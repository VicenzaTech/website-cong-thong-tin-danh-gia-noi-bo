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defaultThemeVersion="124226"/>
  <xr:revisionPtr revIDLastSave="0" documentId="8_{BAC8EAE5-4ADA-46B8-AD61-4ED1B4CA4458}" xr6:coauthVersionLast="47" xr6:coauthVersionMax="47" xr10:uidLastSave="{00000000-0000-0000-0000-000000000000}"/>
  <bookViews>
    <workbookView xWindow="-120" yWindow="-120" windowWidth="20730" windowHeight="11160" firstSheet="8" activeTab="8" xr2:uid="{00000000-000D-0000-FFFF-FFFF00000000}"/>
  </bookViews>
  <sheets>
    <sheet name="TCT" sheetId="4" state="hidden" r:id="rId1"/>
    <sheet name="CT" sheetId="5" state="hidden" r:id="rId2"/>
    <sheet name="PXSX1" sheetId="2" state="hidden" r:id="rId3"/>
    <sheet name="PXSX2" sheetId="3" state="hidden" r:id="rId4"/>
    <sheet name="VIỆT NHẬT" sheetId="8" state="hidden" r:id="rId5"/>
    <sheet name="TỔNG HỢP" sheetId="7" state="hidden" r:id="rId6"/>
    <sheet name="KHEN THƯỞNG" sheetId="9" state="hidden" r:id="rId7"/>
    <sheet name="Danh sách" sheetId="10" state="hidden" r:id="rId8"/>
    <sheet name="Tổng hợp điểm phạt" sheetId="12" r:id="rId9"/>
  </sheets>
  <externalReferences>
    <externalReference r:id="rId10"/>
    <externalReference r:id="rId11"/>
  </externalReferences>
  <definedNames>
    <definedName name="_xlnm._FilterDatabase" localSheetId="8" hidden="1">'Tổng hợp điểm phạt'!$B$1:$B$291</definedName>
    <definedName name="_xlnm.Print_Area" localSheetId="3">PXSX2!$A$253:$M$280</definedName>
  </definedNames>
  <calcPr calcId="181029"/>
</workbook>
</file>

<file path=xl/calcChain.xml><?xml version="1.0" encoding="utf-8"?>
<calcChain xmlns="http://schemas.openxmlformats.org/spreadsheetml/2006/main">
  <c r="Q9" i="12" l="1"/>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8" i="12"/>
  <c r="Q21" i="7"/>
  <c r="L104" i="8"/>
  <c r="F283" i="12" l="1"/>
  <c r="G283" i="12"/>
  <c r="H283" i="12"/>
  <c r="I283" i="12"/>
  <c r="J283" i="12"/>
  <c r="K283" i="12"/>
  <c r="L283" i="12"/>
  <c r="M283" i="12"/>
  <c r="N283" i="12"/>
  <c r="O283" i="12"/>
  <c r="P283" i="12"/>
  <c r="E283" i="12"/>
  <c r="Q283" i="12" s="1"/>
  <c r="J104" i="8"/>
  <c r="H104" i="8"/>
  <c r="L338" i="3"/>
  <c r="K338" i="3"/>
  <c r="J338" i="3"/>
  <c r="H338" i="3"/>
  <c r="L284" i="2"/>
  <c r="K284" i="2"/>
  <c r="J284" i="2"/>
  <c r="H284" i="2"/>
  <c r="L248" i="5"/>
  <c r="K248" i="5"/>
  <c r="J248" i="5"/>
  <c r="H248" i="5"/>
  <c r="L305" i="4"/>
  <c r="K305" i="4"/>
  <c r="J305" i="4"/>
  <c r="H305" i="4"/>
  <c r="L304" i="3"/>
  <c r="K304" i="3"/>
  <c r="J304" i="3"/>
  <c r="H304" i="3"/>
  <c r="K254" i="2"/>
  <c r="J254" i="2"/>
  <c r="H254" i="2"/>
  <c r="L254" i="2"/>
  <c r="K227" i="5"/>
  <c r="J227" i="5"/>
  <c r="H227" i="5"/>
  <c r="L227" i="5"/>
  <c r="L281" i="4"/>
  <c r="K281" i="4"/>
  <c r="J281" i="4"/>
  <c r="H281" i="4"/>
  <c r="J83" i="8"/>
  <c r="H83" i="8"/>
  <c r="L83" i="8"/>
  <c r="E67" i="8"/>
  <c r="J66" i="8"/>
  <c r="H66" i="8"/>
  <c r="L65" i="8"/>
  <c r="L66" i="8" s="1"/>
  <c r="L49" i="8"/>
  <c r="L272" i="3"/>
  <c r="K272" i="3"/>
  <c r="J272" i="3"/>
  <c r="H272" i="3"/>
  <c r="K207" i="5"/>
  <c r="H207" i="5"/>
  <c r="J203" i="5"/>
  <c r="J207" i="5" s="1"/>
  <c r="L202" i="5"/>
  <c r="K259" i="4"/>
  <c r="J259" i="4"/>
  <c r="H259" i="4"/>
  <c r="L256" i="4"/>
  <c r="L255" i="4"/>
  <c r="L254" i="4"/>
  <c r="K230" i="2"/>
  <c r="J230" i="2"/>
  <c r="H230" i="2"/>
  <c r="L229" i="2"/>
  <c r="L230" i="2" s="1"/>
  <c r="K185" i="5"/>
  <c r="H185" i="5"/>
  <c r="L178" i="5"/>
  <c r="J178" i="5"/>
  <c r="J185" i="5" s="1"/>
  <c r="L177" i="5"/>
  <c r="L259" i="4" l="1"/>
  <c r="L203" i="5"/>
  <c r="L207" i="5" s="1"/>
  <c r="L185" i="5"/>
  <c r="K243" i="3"/>
  <c r="J243" i="3"/>
  <c r="H243" i="3"/>
  <c r="L243" i="3"/>
  <c r="K237" i="4"/>
  <c r="J237" i="4"/>
  <c r="H237" i="4"/>
  <c r="L234" i="4"/>
  <c r="L233" i="4"/>
  <c r="L232" i="4"/>
  <c r="L237" i="4" l="1"/>
  <c r="L204" i="3"/>
  <c r="L205" i="3"/>
  <c r="L206" i="3"/>
  <c r="L207" i="3"/>
  <c r="L208" i="3"/>
  <c r="L209" i="3"/>
  <c r="L210" i="3"/>
  <c r="L211" i="3"/>
  <c r="L212" i="3"/>
  <c r="L213" i="3"/>
  <c r="L214" i="3"/>
  <c r="K217" i="3" l="1"/>
  <c r="J217" i="3"/>
  <c r="H217" i="3"/>
  <c r="L216" i="3"/>
  <c r="L215" i="3"/>
  <c r="L203" i="3"/>
  <c r="L202" i="3"/>
  <c r="L201" i="3"/>
  <c r="L200" i="3"/>
  <c r="L199" i="3"/>
  <c r="L198" i="3"/>
  <c r="L197" i="3"/>
  <c r="L196" i="3"/>
  <c r="L195" i="3"/>
  <c r="L194" i="3"/>
  <c r="L193" i="3"/>
  <c r="L192" i="3"/>
  <c r="L191" i="3"/>
  <c r="L190" i="3"/>
  <c r="L189" i="3"/>
  <c r="L188" i="3"/>
  <c r="L187" i="3"/>
  <c r="K208" i="2"/>
  <c r="J208" i="2"/>
  <c r="H208" i="2"/>
  <c r="L207" i="2"/>
  <c r="L206" i="2"/>
  <c r="L205" i="2"/>
  <c r="L204" i="2"/>
  <c r="L203" i="2"/>
  <c r="L202" i="2"/>
  <c r="L201" i="2"/>
  <c r="L200" i="2"/>
  <c r="L199" i="2"/>
  <c r="L198" i="2"/>
  <c r="L197" i="2"/>
  <c r="L196" i="2"/>
  <c r="L195" i="2"/>
  <c r="L194" i="2"/>
  <c r="L193" i="2"/>
  <c r="L192" i="2"/>
  <c r="L191" i="2"/>
  <c r="L190" i="2"/>
  <c r="L189" i="2"/>
  <c r="L188" i="2"/>
  <c r="L187" i="2"/>
  <c r="J210" i="4"/>
  <c r="L205" i="4"/>
  <c r="L206" i="4"/>
  <c r="L207" i="4"/>
  <c r="L208" i="4"/>
  <c r="L209" i="4"/>
  <c r="L217" i="3" l="1"/>
  <c r="L208" i="2"/>
  <c r="J154" i="5"/>
  <c r="J161" i="5" s="1"/>
  <c r="K161" i="5"/>
  <c r="H161" i="5"/>
  <c r="L160" i="5"/>
  <c r="L159" i="5"/>
  <c r="L158" i="5"/>
  <c r="L157" i="5"/>
  <c r="L156" i="5"/>
  <c r="L155" i="5"/>
  <c r="L154" i="5"/>
  <c r="L153" i="5"/>
  <c r="L200" i="4"/>
  <c r="L201" i="4"/>
  <c r="L202" i="4"/>
  <c r="L203" i="4"/>
  <c r="L204" i="4"/>
  <c r="K210" i="4"/>
  <c r="H199" i="4"/>
  <c r="L199" i="4" s="1"/>
  <c r="H198" i="4"/>
  <c r="L197" i="4"/>
  <c r="L196" i="4"/>
  <c r="L195" i="4"/>
  <c r="D209" i="2"/>
  <c r="E218" i="3"/>
  <c r="H210" i="4" l="1"/>
  <c r="L198" i="4"/>
  <c r="L210" i="4" s="1"/>
  <c r="L161" i="5"/>
  <c r="K171" i="3"/>
  <c r="K171" i="2"/>
  <c r="K137" i="5"/>
  <c r="K178" i="4"/>
  <c r="D162" i="5"/>
  <c r="E211" i="4"/>
  <c r="G185" i="9" l="1"/>
  <c r="F187" i="9"/>
  <c r="J171" i="3" l="1"/>
  <c r="L16" i="7" s="1"/>
  <c r="H171" i="3"/>
  <c r="K16" i="7" s="1"/>
  <c r="L170" i="3"/>
  <c r="L169" i="3"/>
  <c r="L168" i="3"/>
  <c r="L167" i="3"/>
  <c r="L166" i="3"/>
  <c r="L165" i="3"/>
  <c r="L164" i="3"/>
  <c r="L163" i="3"/>
  <c r="L162" i="3"/>
  <c r="L161" i="3"/>
  <c r="L160" i="3"/>
  <c r="L159" i="3"/>
  <c r="L158" i="3"/>
  <c r="L157" i="3"/>
  <c r="L156" i="3"/>
  <c r="L155" i="3"/>
  <c r="L154" i="3"/>
  <c r="L153" i="3"/>
  <c r="L152" i="3"/>
  <c r="L151" i="3"/>
  <c r="L150" i="3"/>
  <c r="J171" i="2"/>
  <c r="I16" i="7" s="1"/>
  <c r="H171" i="2"/>
  <c r="H16" i="7" s="1"/>
  <c r="L170" i="2"/>
  <c r="L169" i="2"/>
  <c r="L168" i="2"/>
  <c r="L167" i="2"/>
  <c r="L166" i="2"/>
  <c r="L165" i="2"/>
  <c r="L164" i="2"/>
  <c r="L163" i="2"/>
  <c r="L162" i="2"/>
  <c r="L161" i="2"/>
  <c r="L160" i="2"/>
  <c r="L159" i="2"/>
  <c r="L158" i="2"/>
  <c r="L157" i="2"/>
  <c r="L156" i="2"/>
  <c r="L155" i="2"/>
  <c r="L154" i="2"/>
  <c r="L153" i="2"/>
  <c r="L152" i="2"/>
  <c r="L151" i="2"/>
  <c r="L150" i="2"/>
  <c r="H137" i="5"/>
  <c r="E16" i="7" s="1"/>
  <c r="L171" i="4"/>
  <c r="J178" i="4"/>
  <c r="C16" i="7" s="1"/>
  <c r="H172" i="4"/>
  <c r="L172" i="4" s="1"/>
  <c r="J137" i="5"/>
  <c r="F16" i="7" s="1"/>
  <c r="L136" i="5"/>
  <c r="L135" i="5"/>
  <c r="L134" i="5"/>
  <c r="L133" i="5"/>
  <c r="L132" i="5"/>
  <c r="L131" i="5"/>
  <c r="L130" i="5"/>
  <c r="L129" i="5"/>
  <c r="L128" i="5"/>
  <c r="L166" i="4"/>
  <c r="L167" i="4"/>
  <c r="L168" i="4"/>
  <c r="L169" i="4"/>
  <c r="L170" i="4"/>
  <c r="L176" i="4"/>
  <c r="L177" i="4"/>
  <c r="L171" i="3" l="1"/>
  <c r="L171" i="2"/>
  <c r="L137" i="5"/>
  <c r="H142" i="4"/>
  <c r="H165" i="4"/>
  <c r="H178" i="4" s="1"/>
  <c r="B16" i="7" s="1"/>
  <c r="L164" i="4"/>
  <c r="L163" i="4"/>
  <c r="L162" i="4"/>
  <c r="D172" i="2"/>
  <c r="D138" i="5"/>
  <c r="E172" i="3"/>
  <c r="L165" i="4" l="1"/>
  <c r="L178" i="4" s="1"/>
  <c r="H133" i="2"/>
  <c r="J133" i="2"/>
  <c r="L130" i="2"/>
  <c r="L131" i="2"/>
  <c r="J134" i="3"/>
  <c r="L15" i="7" s="1"/>
  <c r="H134" i="3"/>
  <c r="K15" i="7" s="1"/>
  <c r="L127" i="2"/>
  <c r="L128" i="2"/>
  <c r="L129" i="2"/>
  <c r="L124" i="2"/>
  <c r="L125" i="2"/>
  <c r="L126" i="2"/>
  <c r="L122" i="3"/>
  <c r="L123" i="3"/>
  <c r="L124" i="3"/>
  <c r="L125" i="3"/>
  <c r="L126" i="3"/>
  <c r="L128" i="3"/>
  <c r="L129" i="3"/>
  <c r="L130" i="3"/>
  <c r="L114" i="3"/>
  <c r="L115" i="3"/>
  <c r="L116" i="3"/>
  <c r="L117" i="3"/>
  <c r="L118" i="3"/>
  <c r="L119" i="3"/>
  <c r="L120" i="3"/>
  <c r="L121" i="3"/>
  <c r="L127" i="3"/>
  <c r="L133" i="3"/>
  <c r="L132" i="3"/>
  <c r="L131" i="3"/>
  <c r="L113" i="3"/>
  <c r="E179" i="4"/>
  <c r="L134" i="3" l="1"/>
  <c r="L103" i="5"/>
  <c r="L104" i="5"/>
  <c r="L105" i="5"/>
  <c r="L106" i="5"/>
  <c r="L107" i="5"/>
  <c r="L108" i="5"/>
  <c r="L109" i="5"/>
  <c r="L110" i="5"/>
  <c r="L138" i="4"/>
  <c r="L142" i="4"/>
  <c r="L143" i="4"/>
  <c r="L114" i="2"/>
  <c r="L113" i="2"/>
  <c r="L112" i="2"/>
  <c r="H134" i="4"/>
  <c r="H144" i="4" s="1"/>
  <c r="B15" i="7" s="1"/>
  <c r="I15" i="7"/>
  <c r="H15" i="7"/>
  <c r="L132" i="2"/>
  <c r="L123" i="2"/>
  <c r="L122" i="2"/>
  <c r="L121" i="2"/>
  <c r="L120" i="2"/>
  <c r="L119" i="2"/>
  <c r="L118" i="2"/>
  <c r="L117" i="2"/>
  <c r="L116" i="2"/>
  <c r="L115" i="2"/>
  <c r="L132" i="4"/>
  <c r="L133" i="4"/>
  <c r="L102" i="5"/>
  <c r="J111" i="5"/>
  <c r="F15" i="7" s="1"/>
  <c r="H111" i="5"/>
  <c r="E15" i="7" s="1"/>
  <c r="J135" i="4"/>
  <c r="L131" i="4"/>
  <c r="E135" i="3"/>
  <c r="L133" i="2" l="1"/>
  <c r="L134" i="4"/>
  <c r="L135" i="4"/>
  <c r="J144" i="4"/>
  <c r="C15" i="7" s="1"/>
  <c r="L111" i="5"/>
  <c r="H97" i="2"/>
  <c r="D112" i="5"/>
  <c r="D134" i="2"/>
  <c r="L144" i="4" l="1"/>
  <c r="L104" i="4"/>
  <c r="L105" i="4"/>
  <c r="L106" i="4"/>
  <c r="L107" i="4"/>
  <c r="L108" i="4"/>
  <c r="L109" i="4"/>
  <c r="L92" i="3"/>
  <c r="L94" i="2"/>
  <c r="L95" i="2"/>
  <c r="L93" i="2"/>
  <c r="E145" i="4"/>
  <c r="L77" i="5" l="1"/>
  <c r="L78" i="5"/>
  <c r="L79" i="5"/>
  <c r="L80" i="5"/>
  <c r="L81" i="5"/>
  <c r="H102" i="4" l="1"/>
  <c r="H114" i="4" s="1"/>
  <c r="B14" i="7" s="1"/>
  <c r="H81" i="4" l="1"/>
  <c r="D73" i="3"/>
  <c r="E43" i="3"/>
  <c r="L69" i="3" l="1"/>
  <c r="L70" i="3"/>
  <c r="L71" i="3"/>
  <c r="L68" i="3"/>
  <c r="J97" i="2" l="1"/>
  <c r="L96" i="2"/>
  <c r="L92" i="2"/>
  <c r="L91" i="2"/>
  <c r="L90" i="2"/>
  <c r="L89" i="2"/>
  <c r="L88" i="2"/>
  <c r="L87" i="2"/>
  <c r="L86" i="2"/>
  <c r="L85" i="2"/>
  <c r="L84" i="2"/>
  <c r="J85" i="5"/>
  <c r="H85" i="5"/>
  <c r="L84" i="5"/>
  <c r="L83" i="5"/>
  <c r="L82" i="5"/>
  <c r="L76" i="5"/>
  <c r="L76" i="4"/>
  <c r="L67" i="2"/>
  <c r="J103" i="4"/>
  <c r="L102" i="4"/>
  <c r="L101" i="4"/>
  <c r="L100" i="4"/>
  <c r="L99" i="4"/>
  <c r="L98" i="4"/>
  <c r="J95" i="3"/>
  <c r="H95" i="3"/>
  <c r="L94" i="3"/>
  <c r="L93" i="3"/>
  <c r="L67" i="3"/>
  <c r="L78" i="4"/>
  <c r="L77" i="4"/>
  <c r="L61" i="3"/>
  <c r="L75" i="4"/>
  <c r="L73" i="4"/>
  <c r="L74" i="4"/>
  <c r="L79" i="4"/>
  <c r="L80" i="4"/>
  <c r="L62" i="3"/>
  <c r="L103" i="4" l="1"/>
  <c r="L114" i="4" s="1"/>
  <c r="J114" i="4"/>
  <c r="C14" i="7" s="1"/>
  <c r="L97" i="2"/>
  <c r="H14" i="7" s="1"/>
  <c r="L85" i="5"/>
  <c r="L91" i="3"/>
  <c r="L95" i="3" s="1"/>
  <c r="K14" i="7" s="1"/>
  <c r="J60" i="3"/>
  <c r="L60" i="3" s="1"/>
  <c r="J34" i="3"/>
  <c r="E115" i="4"/>
  <c r="E96" i="3"/>
  <c r="D86" i="5"/>
  <c r="D98" i="2"/>
  <c r="E14" i="7" l="1"/>
  <c r="J72" i="3"/>
  <c r="H72" i="3"/>
  <c r="L66" i="3"/>
  <c r="L65" i="3"/>
  <c r="L64" i="3"/>
  <c r="L63" i="3"/>
  <c r="L59" i="3"/>
  <c r="L72" i="3" l="1"/>
  <c r="J68" i="2"/>
  <c r="H68" i="2"/>
  <c r="L66" i="2"/>
  <c r="L65" i="2"/>
  <c r="L64" i="2"/>
  <c r="L68" i="2" l="1"/>
  <c r="D69" i="2"/>
  <c r="J50" i="8" l="1"/>
  <c r="H50" i="8"/>
  <c r="L50" i="8"/>
  <c r="J72" i="4"/>
  <c r="E51" i="8"/>
  <c r="L72" i="4" l="1"/>
  <c r="J81" i="4"/>
  <c r="J57" i="5"/>
  <c r="H57" i="5"/>
  <c r="L56" i="5"/>
  <c r="L55" i="5"/>
  <c r="L54" i="5"/>
  <c r="L71" i="4"/>
  <c r="L70" i="4"/>
  <c r="L69" i="4"/>
  <c r="L68" i="4"/>
  <c r="L67" i="4"/>
  <c r="L66" i="4"/>
  <c r="L36" i="4"/>
  <c r="L57" i="5" l="1"/>
  <c r="L81" i="4"/>
  <c r="L29" i="5"/>
  <c r="L30" i="5"/>
  <c r="L31" i="5"/>
  <c r="L32" i="5"/>
  <c r="L33" i="5"/>
  <c r="L34" i="5"/>
  <c r="L35" i="5"/>
  <c r="L36" i="5"/>
  <c r="E82" i="4"/>
  <c r="J31" i="8" l="1"/>
  <c r="H31" i="8"/>
  <c r="L30" i="8"/>
  <c r="L31" i="8" s="1"/>
  <c r="J42" i="3"/>
  <c r="H42" i="3"/>
  <c r="L41" i="3"/>
  <c r="L40" i="3"/>
  <c r="L39" i="3"/>
  <c r="L38" i="3"/>
  <c r="L37" i="3"/>
  <c r="L36" i="3"/>
  <c r="L35" i="3"/>
  <c r="L34" i="3"/>
  <c r="J47" i="2"/>
  <c r="H47" i="2"/>
  <c r="N46" i="2"/>
  <c r="L46" i="2"/>
  <c r="L45" i="2"/>
  <c r="L44" i="2"/>
  <c r="L43" i="2"/>
  <c r="L42" i="2"/>
  <c r="L41" i="2"/>
  <c r="L40" i="2"/>
  <c r="L39" i="2"/>
  <c r="L38" i="2"/>
  <c r="L37" i="2"/>
  <c r="L36" i="2"/>
  <c r="L35" i="2"/>
  <c r="J37" i="5"/>
  <c r="H37" i="5"/>
  <c r="L28" i="5"/>
  <c r="L37" i="5" s="1"/>
  <c r="J45" i="4"/>
  <c r="H45" i="4"/>
  <c r="L35" i="4"/>
  <c r="L34" i="4"/>
  <c r="L33" i="4"/>
  <c r="L32" i="4"/>
  <c r="L31" i="4"/>
  <c r="E32" i="8"/>
  <c r="D48" i="2"/>
  <c r="D38" i="5"/>
  <c r="L47" i="2" l="1"/>
  <c r="L45" i="4"/>
  <c r="L42" i="3"/>
  <c r="J8" i="8"/>
  <c r="O11" i="7" s="1"/>
  <c r="O23" i="7" s="1"/>
  <c r="H8" i="8"/>
  <c r="L7" i="8"/>
  <c r="L8" i="8" s="1"/>
  <c r="P22" i="7"/>
  <c r="P21" i="7"/>
  <c r="P20" i="7"/>
  <c r="P19" i="7"/>
  <c r="P18" i="7"/>
  <c r="P17" i="7"/>
  <c r="P16" i="7"/>
  <c r="P15" i="7"/>
  <c r="P14" i="7"/>
  <c r="P13" i="7"/>
  <c r="P12" i="7"/>
  <c r="N23" i="7"/>
  <c r="E9" i="8"/>
  <c r="E46" i="4"/>
  <c r="P11" i="7" l="1"/>
  <c r="J14" i="3"/>
  <c r="H14" i="3"/>
  <c r="L13" i="3"/>
  <c r="L12" i="3"/>
  <c r="L11" i="3"/>
  <c r="L10" i="3"/>
  <c r="L9" i="3"/>
  <c r="L8" i="3"/>
  <c r="L7" i="3"/>
  <c r="L6" i="3"/>
  <c r="J18" i="2"/>
  <c r="H18" i="2"/>
  <c r="N17" i="2"/>
  <c r="L17" i="2"/>
  <c r="L16" i="2"/>
  <c r="L15" i="2"/>
  <c r="L14" i="2"/>
  <c r="L13" i="2"/>
  <c r="L12" i="2"/>
  <c r="L11" i="2"/>
  <c r="L10" i="2"/>
  <c r="L9" i="2"/>
  <c r="L8" i="2"/>
  <c r="L7" i="2"/>
  <c r="L6" i="2"/>
  <c r="P23" i="7" l="1"/>
  <c r="L14" i="3"/>
  <c r="L18" i="2"/>
  <c r="L9" i="4"/>
  <c r="L10" i="4"/>
  <c r="L11" i="4"/>
  <c r="L8" i="4"/>
  <c r="J12" i="4"/>
  <c r="H12" i="4"/>
  <c r="B11" i="7" s="1"/>
  <c r="L7" i="4"/>
  <c r="L6" i="5"/>
  <c r="H7" i="5"/>
  <c r="E11" i="7" s="1"/>
  <c r="D19" i="2"/>
  <c r="E15" i="3"/>
  <c r="L12" i="4" l="1"/>
  <c r="L7" i="5"/>
  <c r="J7" i="5"/>
  <c r="D8" i="5"/>
  <c r="E13" i="4"/>
  <c r="D21" i="7" l="1"/>
  <c r="G21" i="7" l="1"/>
  <c r="J21" i="7"/>
  <c r="M22" i="7" l="1"/>
  <c r="J22" i="7"/>
  <c r="G22" i="7"/>
  <c r="D22" i="7"/>
  <c r="M21" i="7"/>
  <c r="M20" i="7"/>
  <c r="J20" i="7"/>
  <c r="G20" i="7"/>
  <c r="D20" i="7"/>
  <c r="J19" i="7"/>
  <c r="G19" i="7"/>
  <c r="M18" i="7"/>
  <c r="J18" i="7"/>
  <c r="G18" i="7"/>
  <c r="D18" i="7"/>
  <c r="M17" i="7"/>
  <c r="J17" i="7"/>
  <c r="G17" i="7"/>
  <c r="D17" i="7"/>
  <c r="M16" i="7"/>
  <c r="J16" i="7"/>
  <c r="G16" i="7"/>
  <c r="M15" i="7"/>
  <c r="J15" i="7"/>
  <c r="G15" i="7"/>
  <c r="D15" i="7"/>
  <c r="J14" i="7"/>
  <c r="G14" i="7"/>
  <c r="J13" i="7"/>
  <c r="G13" i="7"/>
  <c r="D13" i="7"/>
  <c r="L23" i="7"/>
  <c r="I23" i="7"/>
  <c r="H23" i="7"/>
  <c r="F23" i="7"/>
  <c r="C23" i="7"/>
  <c r="M11" i="7"/>
  <c r="J11" i="7"/>
  <c r="G11" i="7"/>
  <c r="D11" i="7"/>
  <c r="D19" i="7"/>
  <c r="M19" i="7"/>
  <c r="Q19" i="7" l="1"/>
  <c r="Q20" i="7"/>
  <c r="Q17" i="7"/>
  <c r="Q22" i="7"/>
  <c r="Q18" i="7"/>
  <c r="Q15" i="7"/>
  <c r="Q11" i="7"/>
  <c r="E23" i="7"/>
  <c r="J12" i="7"/>
  <c r="J23" i="7" s="1"/>
  <c r="G12" i="7"/>
  <c r="G23" i="7" s="1"/>
  <c r="M12" i="7"/>
  <c r="D14" i="7"/>
  <c r="M14" i="7"/>
  <c r="D16" i="7"/>
  <c r="Q16" i="7" s="1"/>
  <c r="B23" i="7"/>
  <c r="D12" i="7"/>
  <c r="Q12" i="7" l="1"/>
  <c r="Q14" i="7"/>
  <c r="D23" i="7"/>
  <c r="M13" i="7" l="1"/>
  <c r="Q13" i="7" s="1"/>
  <c r="K23" i="7"/>
  <c r="Q23" i="7" l="1"/>
  <c r="M23" i="7"/>
</calcChain>
</file>

<file path=xl/sharedStrings.xml><?xml version="1.0" encoding="utf-8"?>
<sst xmlns="http://schemas.openxmlformats.org/spreadsheetml/2006/main" count="3894" uniqueCount="1308">
  <si>
    <t>TỔNG CÔNG TY ĐẦU TƯ</t>
  </si>
  <si>
    <t>CỘNG HÒA XÃ HỘI CHỦ NGHĨA VIỆT NAM</t>
  </si>
  <si>
    <t>Độc Lập - Tự Do - Hạnh Phúc</t>
  </si>
  <si>
    <t>Đỗ Thị Thu Hương</t>
  </si>
  <si>
    <t>NGƯỜI LẬP</t>
  </si>
  <si>
    <t xml:space="preserve">CÔNG TY CỔ PHẦN </t>
  </si>
  <si>
    <t>ĐẦU TƯ PHÁT TRIỂN VICENZA</t>
  </si>
  <si>
    <t>TT</t>
  </si>
  <si>
    <t>Số QĐ</t>
  </si>
  <si>
    <t>Ngày</t>
  </si>
  <si>
    <t>Họ và tên</t>
  </si>
  <si>
    <t>Nơi làm việc</t>
  </si>
  <si>
    <t>Nội dung vi phạm</t>
  </si>
  <si>
    <t>Mức phạt</t>
  </si>
  <si>
    <t>Mức hạ loại</t>
  </si>
  <si>
    <t>Mức bồi thường</t>
  </si>
  <si>
    <t>Tổng phạt</t>
  </si>
  <si>
    <t>Tổng</t>
  </si>
  <si>
    <t xml:space="preserve">Bằng chữ: </t>
  </si>
  <si>
    <t>TP. TỔ CHỨC</t>
  </si>
  <si>
    <t>Ghi chú</t>
  </si>
  <si>
    <t>TỔNG</t>
  </si>
  <si>
    <t xml:space="preserve"> PHÁT TRIỂN ĐÔ THỊ - CTCP</t>
  </si>
  <si>
    <t>THÁNG</t>
  </si>
  <si>
    <t>VĂN PHÒNG TCT</t>
  </si>
  <si>
    <t>VĂN PHÒNG VCZ</t>
  </si>
  <si>
    <t>NHÀ MÁY 1</t>
  </si>
  <si>
    <t>NHÀ MÁY 2</t>
  </si>
  <si>
    <t>TỔNG CỘNG</t>
  </si>
  <si>
    <t xml:space="preserve">                                     THỦ QUỸ                                            </t>
  </si>
  <si>
    <t>Tổng cộng:</t>
  </si>
  <si>
    <t>Mã nhân viên</t>
  </si>
  <si>
    <t>NV0376</t>
  </si>
  <si>
    <t>Lê Bá Long</t>
  </si>
  <si>
    <t xml:space="preserve">P TỔ CHỨC </t>
  </si>
  <si>
    <t>NV0047</t>
  </si>
  <si>
    <t>Bùi Đức Tâm</t>
  </si>
  <si>
    <t>TBP Hậu cần - P. KHHC&amp;KT</t>
  </si>
  <si>
    <t>Sau khi triển khai kiểm kê ở các kho đã không kiểm tra, kiểm soát lại thông tin sản phẩm của các kho. Không kiểm soát lại số liệu, thông tin sản phẩm của bảng tổng hợp trước khi chuyển cho Ban kinh doanh dẫn đến việc xuất nhầm ở các kho và trực tiếp xuất hàng sai không theo  thông báo số 483/TB -TCT ngày 09 tháng 08 năm 2024 của Tổng công ty</t>
  </si>
  <si>
    <t>Trừ từ tháng 12/2024 đến 9/2025 (mỗi tháng 400.000 đồng)</t>
  </si>
  <si>
    <t>Thủ kho thành phẩm - P. KHHC&amp;KT</t>
  </si>
  <si>
    <t>Thực hiện sai chỉ đạo khi kiểm kê, kiểm đếm hàng khoanh vùng tại Kho Phân xưởng 1- Nhà máy 2, có những mã ngày sản xuất không có trong  thông báo số 483/TB-TCT, dẫn đến xuất nhầm hàng khoanh vùng không đúng theo thông báo số 483/TB - TCT  ngày 09 tháng 08 năm 2024 của Tổng công ty</t>
  </si>
  <si>
    <t>Trừ từ tháng 12/2024 đến 9/2025 (mỗi tháng 200.000 đồng)</t>
  </si>
  <si>
    <t>Thực hiện sai chỉ đạo khi kiểm kê, kiểm đếm hàng khoanh vùng tại Kho Quảng Hưng, có những mã ngày sản xuất không có trong thông báo số 483/TB-TCT, dẫn đến xuất nhầm hàng khoanh vùng không đúng theo thông báo số 483/TB - TCT  ngày 09 tháng  08 năm 2024 của Tổng công ty</t>
  </si>
  <si>
    <t>NV0007</t>
  </si>
  <si>
    <t>Đỗ Thị Phương</t>
  </si>
  <si>
    <t>Nguyễn Hữu Hải</t>
  </si>
  <si>
    <t>NV0693</t>
  </si>
  <si>
    <t>Thực hiện sai chỉ đạo khi kiểm kê, kiểm đếm hàng khoanh vùng tại Kho Cảng 2, có những mã ngày sản xuất không có trong thông báo số 483/TB-TCT, dẫn đến xuất nhầm hàng khoanh vùng không đúng theo thông báo số 483/TB - TCT  ngày 09 tháng 08 năm 2024 của Tổng công ty.</t>
  </si>
  <si>
    <t>NV1071</t>
  </si>
  <si>
    <t>Nguyễn Thăng Hệ</t>
  </si>
  <si>
    <t>TBP Thanh tra</t>
  </si>
  <si>
    <t>Thực hiện sai quy trình xử lý vi phạm nội quy lao động, không tổ chức họp xử lý kỷ luật và thông báo mức độ vi phạm cho người lao động, yêu cầu bồi thường vật chất chưa dân chủ, trung thực, khách quan trước khi tham mưu trình Tổng giám đốc</t>
  </si>
  <si>
    <t>Trừ từ tháng 12/2024 đến 9/2025 (mỗi tháng 300.000 đồng)</t>
  </si>
  <si>
    <t>NV0086</t>
  </si>
  <si>
    <t>Trần Văn Kỳ</t>
  </si>
  <si>
    <t>NV Phòng TCHC</t>
  </si>
  <si>
    <t>Liên đới trách nhiệm trong việc thực hiện chưa đúng quy trình xử lý vi phạm nội quy lao động</t>
  </si>
  <si>
    <t>Trừ từ tháng 12/2024 đến 9/2025 (mỗi tháng 100.000 đồng)</t>
  </si>
  <si>
    <t>TỔNG HỢP PHẠT NỘI QUY NHÀ MÁY 1 THÁNG 01/2025</t>
  </si>
  <si>
    <t>Thanh Hóa, ngày 15 tháng 02 năm 2025</t>
  </si>
  <si>
    <t>TỔNG HỢP PHẠT NỘI QUY NHÀ MÁY 2 THÁNG 01/2025</t>
  </si>
  <si>
    <t xml:space="preserve">           Thanh Hóa ngày 15 tháng 02 năm 2025</t>
  </si>
  <si>
    <t>TỔNG HỢP PHẠT NỘI QUY KHỐI VĂN PHÒNG THÁNG 01/2025</t>
  </si>
  <si>
    <t>Nguyễn Văn Dương</t>
  </si>
  <si>
    <t>VIỆT NHẬT</t>
  </si>
  <si>
    <t>CÔNG TY TNHH KHAI THÁC VÀ CHẾ BIẾN</t>
  </si>
  <si>
    <t>KHOÁNG SẢN LIÊN DOANH VIỆT NHẬT</t>
  </si>
  <si>
    <t>NV5394</t>
  </si>
  <si>
    <t>Nguyễn Văn Tuấn</t>
  </si>
  <si>
    <t>Lái xe howo</t>
  </si>
  <si>
    <t>Trong quá trình trút đổ nguyên liệu không cẩn thận khi nâng ben làm xe bị nghiêng và đổ, làm móp méo cabin, vỡ kính cửa bên lái</t>
  </si>
  <si>
    <t>TỔNG HỢP PHẠT NỘI QUY THÁNG 01/2025</t>
  </si>
  <si>
    <t>STT</t>
  </si>
  <si>
    <t>NGÀY THÁNG</t>
  </si>
  <si>
    <t>HỌ TÊN; TẬP THỂ</t>
  </si>
  <si>
    <t>BỘ PHẬN</t>
  </si>
  <si>
    <t>THÀNH TÍCH</t>
  </si>
  <si>
    <t>MỨC 
KHEN THƯỞNG</t>
  </si>
  <si>
    <t>GHI CHÚ</t>
  </si>
  <si>
    <t>TỔNG HỢP KHEN THƯỞNG NĂM 2025</t>
  </si>
  <si>
    <t>ĐIỂM THƯỞNG</t>
  </si>
  <si>
    <t>TỔNG HỢP PHẠT NỘI QUY KHỐI VĂN PHÒNG THÁNG 02/2025</t>
  </si>
  <si>
    <t xml:space="preserve">           Thanh Hóa ngày 15 tháng 03 năm 2025</t>
  </si>
  <si>
    <t>Thanh Hóa, ngày 15 tháng 03 năm 2025</t>
  </si>
  <si>
    <t>TỔNG HỢP PHẠT NỘI QUY THÁNG 02/2025</t>
  </si>
  <si>
    <t>NV2579</t>
  </si>
  <si>
    <t>Lê Văn Chính</t>
  </si>
  <si>
    <t>Nhân viên Bảo vệ</t>
  </si>
  <si>
    <t>Chấp hành không nghiêm nội quy lao động (Ngủ trong giờ làm việc)</t>
  </si>
  <si>
    <t>Điểm trừ</t>
  </si>
  <si>
    <t>NV4119</t>
  </si>
  <si>
    <t>Hoàng Ngọc Dương</t>
  </si>
  <si>
    <t>Thiếu tinh thần trách nhiệm trong quá trình nhập hàng tại kho, kiểm soát lượng hàng tồn kho chưa tốt dẫn đến đề nghị nhập hàng quá với dung tích chứa của bồn, khi xả nhiên liệu từ xe tec xuống bồn làm tràn dầu ra ngoài gây thiệt hại tài sản của công ty</t>
  </si>
  <si>
    <t>TỔNG HỢP PHẠT NỘI QUY KHỐI VĂN PHÒNG THÁNG 03/2025</t>
  </si>
  <si>
    <t xml:space="preserve">           Thanh Hóa ngày 15 tháng 04 năm 2025</t>
  </si>
  <si>
    <t>Thanh Hóa, ngày 15 tháng 04 năm 2025</t>
  </si>
  <si>
    <t>NV1871</t>
  </si>
  <si>
    <t>Viên Đình Khang</t>
  </si>
  <si>
    <t>Nhân viên thủ kho nguyên liệu - Phòng kế toán</t>
  </si>
  <si>
    <t>Nhân viên Lái xe nâng - Tổ phục vụ xuất hàng - Ban kinh doanh</t>
  </si>
  <si>
    <t>Trong quá trình điều khiển xe nâng đẩy gạch lên xe chuyển tải do không cẩn thận tác động làm rơi 1 palet gạch (800x800) mã VC80049ALI2, làm vỡ 28 hộp vào ngày 18/2/2025</t>
  </si>
  <si>
    <t>Phạt 3tr600 (trừ T3;T4;T5)</t>
  </si>
  <si>
    <t>TỔNG HỢP PHẠT NỘI QUY THÁNG 03/2025</t>
  </si>
  <si>
    <t>NV5019</t>
  </si>
  <si>
    <t>Nguyễn Xuân Thủy</t>
  </si>
  <si>
    <t>NV Lái xe mỏ - Tổ đội xe máy - Ban đầu tư và khai thác</t>
  </si>
  <si>
    <t>Vào ngày 19/2/2025 khi đưa xe về đội sửa chữa để khắc phục xe trong tình trạng bị rách thùng (Theo đánh giá thùng xe bị răng của gầu máy xúc đào cào rách). Nhưng lái xe khẳng định không xác định thời gian, điểm điểm và người điều khiển phương tiện (Máy xúc đào) khi vận hành</t>
  </si>
  <si>
    <t>TỔNG HỢP PHẠT NỘI QUY PXSX 1 THÁNG 02/2025</t>
  </si>
  <si>
    <t>TỔNG HỢP PHẠT NỘI QUY PXSX2 THÁNG 02/2025</t>
  </si>
  <si>
    <t>TỔNG HỢP PHẠT NỘI QUY PXSX 1 THÁNG 03/2025</t>
  </si>
  <si>
    <t>NV4640</t>
  </si>
  <si>
    <t>Nguyễn Duy Dương</t>
  </si>
  <si>
    <t>CN Dây chuyền - BP nhiên liệu và gia công bán thành phẩm</t>
  </si>
  <si>
    <t>Vào hồi 17h ngày 22/01/2025 tại vị trí (cổng 3) phân xưởng 1; Tổ bảo vệ kiểm tra hành lý trước khi công nhân giao ca ra về, phát hiện Ông Dương lấy 1 bó dây rút điện (70 cái) thuộc vật tư của cty nhưng mang ra ngoài sử dụng vào mục đích cá nhân</t>
  </si>
  <si>
    <t>TỔNG HỢP PHẠT NỘI QUY PXSX2 THÁNG 03/2025</t>
  </si>
  <si>
    <t>NV4187</t>
  </si>
  <si>
    <t>Phạm Văn Sơn</t>
  </si>
  <si>
    <t>Công nhân Lái xe nâng - DC5 - PXSX2</t>
  </si>
  <si>
    <t>Vào hồi 13h40 ngày 25/2/2025. Trong quá trình điều khiển phương tiện xe nâng do thiếu quan sát để càng xe thúc vào phi dầu (Alpha SP220 Castro), làm thủng phi chảy dầu ra ngoài; Số lượng: 13,2 lít (Có biên bản kèm theo). Làm thất thiệt vật tư của công ty</t>
  </si>
  <si>
    <t>NV1613</t>
  </si>
  <si>
    <t>Lê Hữu Thiết</t>
  </si>
  <si>
    <t>Tổ phó Tổ xe máy Hậu cần - PXSX2</t>
  </si>
  <si>
    <t>Vào hồi 15h35 ngày 5/2/2025. Trong quá trình điều khiển phương tiện xe nâng vận chuyển gạch từ cổng vào phân xưởng, do không cẩn thận khi lên dốc làm nghiêng xe đổ 3 palet gạch (15x80); Tổng 261 hộp; sau khi lọc còn 118 hộp A1 và 21 hộp A2; Vỡ chuyển sang phế hủy 122 hộp; Mã TL11-158006A1F20</t>
  </si>
  <si>
    <t>Phạt 3tr138 (trừ T2;T3)</t>
  </si>
  <si>
    <t>NV5273</t>
  </si>
  <si>
    <t>Lê Bá Cần</t>
  </si>
  <si>
    <t>NV Lái xe mỏ - Đội xe máy - Ban đầu tư và khai thác</t>
  </si>
  <si>
    <t>Thiếu kiểm soát trong việc theo dõi số km vận hành của xe tải BKS: 36H-06891, dẫn đến thay dầu máy trước định kỳ km vận hành của phương tiện, gây lãng phí cho cty</t>
  </si>
  <si>
    <t>Cảnh cáo</t>
  </si>
  <si>
    <t>NV3323</t>
  </si>
  <si>
    <t>Đỗ Đức Nam</t>
  </si>
  <si>
    <t>Nhân viên QC - Ban thanh tra - kiểm soát</t>
  </si>
  <si>
    <t>Vào hồi 16h ngày 15/2/2025. Trong quá trình nhập nhiên liệu (dầu) tại kho PX2. Do tính chất công việc nên không thực hiện giám sát hết quá trình nhập nhiên liệu tại kho. Để thủ kho xả dầu quá dung tích chứa của bồn làm tràn dầu ra ngoài gây thiệt hại cho cty</t>
  </si>
  <si>
    <t>Nguyễn Trọng Hội</t>
  </si>
  <si>
    <t>Nhân viên bảo vệ - PTCHC</t>
  </si>
  <si>
    <t>Vào hồi 17h ngày 22/01/2025 tại vị trí (cổng 3) phân xưởng 1; Tổ bảo vệ kiểm tra hành lý trước khi công nhân giao ca ra về, phát hiện Ông Dương lấy 1 bó dây rút điện (70 cái) sử dụng vào mục đích cá nhân, tâng vật đã được lập văn bản và thu hồi trả lại PX (Theo quy định tiền thưởng bằng 30% giá trị tài sản bị thất thoát, xong do giá trị tài sản rất thấp, để động viên khích lệ CBCNV, cty vận dụng tiền thưởng bằng 30% số tiền xử lý người vi phạm)</t>
  </si>
  <si>
    <t>Đỗ Thị Hằng</t>
  </si>
  <si>
    <t>Nhân viên điều phối vùng 8+9 - Ban kinh doanh</t>
  </si>
  <si>
    <t>Trong thời gian hỗ trợ nhân viên thị trường vùng 6. Do thiếu kiểm soát trong việc kiểm tra nhãn hàng trong giao ước thỏa thuận với NPP, dẫn đến xuất nhầm nhãn hàng VC6217 của NPP (Liên Hiệp) cho NPP (Quang Thịnh),SL:320 hộp</t>
  </si>
  <si>
    <t>NV0607</t>
  </si>
  <si>
    <t>Lê Văn Thông</t>
  </si>
  <si>
    <t>Vận hành chính lò men - Bộ phận dây chuyền gia công và lò nung DC5 - PXSX2</t>
  </si>
  <si>
    <t>Kiểm soát công việc trong ca chưa tốt dẫn đến thừa sản lượng mẫu V880035 sản xuất ngày 2/3/2025 so với kế hoạch sản xuất</t>
  </si>
  <si>
    <t>NV0659</t>
  </si>
  <si>
    <t>Lê Duy Hùng</t>
  </si>
  <si>
    <t>Tổ trưởng DC gia công ca A - BP DC gia công và lò nung DC5 - PXSX2</t>
  </si>
  <si>
    <t>Lê Bá Triệu</t>
  </si>
  <si>
    <t>Nhân viên Lái xe nâng - Ban kinh doanh</t>
  </si>
  <si>
    <t>Trong quá trình điều khiển phương tiện xe nâng vận chuyển nguyên liệu Men vào phân xưởng để bàn giao mặt bằng cho bộ phận kho nguyên liệu. Do thiếu kiểm soát để palet men đè lên dây điện 3 pha cung cấp nguồn cho máy in kỹ thuật số , khi rút càng dây điện bị tỳ làm hỏng vỏ bảo vệ bên ngoài, gây chập cháy, mất an toàn, ảnh hưởng đến sản xuất của phân xưởng.</t>
  </si>
  <si>
    <t>Nguyễn Thị Bích Hường</t>
  </si>
  <si>
    <t>Giám đốc Ban kinh doanh</t>
  </si>
  <si>
    <t>Chịu trách nhiệm liên đới theo quy định:112/QĐ-CT về việc siết chặt kỹ luật và nâng cao trách nhiệm của đội ngũ cán bộ quản lý, CBCNV.Chưa sát sao trong công tác hướng dẫn bán hàng đối với nhân viên mới, dẫn đến việc xuất nhầm nhãn hàng VC6217 của NPP (Liên Hiệp) cho NPP (Quang Thịnh),SL:320 hộp</t>
  </si>
  <si>
    <t>Ngô Tiến Luân</t>
  </si>
  <si>
    <t>Giám đốc vùng 6- Ban kinh doanh</t>
  </si>
  <si>
    <t>Thiếu kiểm soát trong công tác theo dõi đơn hàng của NPP. (Trong khi nhân viên hỗ trợ thị trường vùng xin nghỉ giải quyết việc gia đình, đã điều người khác thay thế).Dẫn đến sai sót trong việc nhân viên hỗ trợ mới xuất nhầm  nhãn hàng VC6217 của NPP (Liên Hiệp) cho NPP (Quang Thịnh),SL:320 hộp</t>
  </si>
  <si>
    <t>Lê Đình Tuấn</t>
  </si>
  <si>
    <t>Chấp hành không nghiêm nội quy lao động (Trực cổng không đúng vị trí, lợi dụng thời gian nghỉ trưa nằm nghỉ tại phòng thủ kho cổng ốp).</t>
  </si>
  <si>
    <t>Mai Xuân Tân</t>
  </si>
  <si>
    <t>Lái xe nâng đi ca PXSX2</t>
  </si>
  <si>
    <t>Thiếu trách nhiệm trong quá trình vận hành phương tiện, không thường xuyên kiểm tra kỹ thuật, bảo dưỡng hàng ngày, để phát hiện kịp thời những dấu hiệu gây mất an toàn cho người và phương tiện.(Cụ thể:Xe đang vận hành bị đứt chốt hãm,rơi bánh lái ra ngoài).Sự cố vào ngày 1/3/2025</t>
  </si>
  <si>
    <t>Đào Xuân Khải</t>
  </si>
  <si>
    <t>Lái xe nâng hành chính PXSX1</t>
  </si>
  <si>
    <t>Trong quá trình điều khiển phương tiện hỗ trợ xe nâng số 27 bị sa lầy, do thiếu kiểm soát để càng xe tỳ vào ống xả của xe được cứu hộ làm hư hỏng tài sản của công ty</t>
  </si>
  <si>
    <t>Nhân viên lái xe mỏ - Ban đầu tư và khai thác</t>
  </si>
  <si>
    <t>Trong quá trình thay dầu máy định kỳ xe tải BKS: 36C-36793 và vận chuyển nguyên liệu từ "Đông Văn" về xưởng nghiền vi phạm quy định về xuất nhập và sử dụng vật tư thay thế, Vận chuyển nguyên liệu khi đổ ben vẫn còn sót lại trên thùng xe, gây lãng phí cho công ty</t>
  </si>
  <si>
    <t>NV0657</t>
  </si>
  <si>
    <t>Nguyễn Văn Duẩn</t>
  </si>
  <si>
    <t>PBP-BP DC gia công và Lò nung DC5 - PXSX2</t>
  </si>
  <si>
    <t>Tập thể phòng Kỹ thuật PXSX1</t>
  </si>
  <si>
    <t>Trách nhiệm liên đới trong vụ việc xe nâng dọn kho men đưa vào phân xưởng, nhưng tại khu vực bố trí gần sát với thủ điện, hệ thống dây nguồn cung cấp cho máy in kỹ thuật số không được bố trí gọn gàng dẫn đến sự cố xe nâng làm chập cháy, gây mất an toàn, gián đoạn quá trình sản xuất của phân xưởng</t>
  </si>
  <si>
    <t>Nguyễn Huy Toàn</t>
  </si>
  <si>
    <t>Thủ kho nguyên liệu - Bộ phận kho vật tư NL&amp;TP</t>
  </si>
  <si>
    <t>Thiếu kiểm soát trong công tác chuẩn bị mặt bằng sắp xếp khu vực để men trong phân xưởng, để xe nâng đưa palet men vào sát khu vực tủ điện, xảy ra sự cố chập, cháy mất an toàn, ảnh hưởng đến sản xuất của PXSX1</t>
  </si>
  <si>
    <t>Xe nâng tổ phục vụ XH</t>
  </si>
  <si>
    <t>Ngày 13/3/2025 bộ phận kho Cảng 1 xuất hàng cho nhà phân phối, phát hiện mã gạch 11V660017A1K1 đã bị xe nâng va quẹt làm vỡ 13 hộp, không xác định được thời gian và phương tiện vận hành</t>
  </si>
  <si>
    <t>Ban kinh doanh</t>
  </si>
  <si>
    <t>Hoàng Huy Tuấn</t>
  </si>
  <si>
    <t>Nhóm trưởng hậu cần nội vụ , PXSX1</t>
  </si>
  <si>
    <t>Trách nhiệm liên đới trong công tác quản lý, để công nhân vận hành máy xúc lật không thường xuyên kiểm tra tình trạng kỹ thuật của máy, dẫn đến thiếu dầu thùy lực, ảnh hưởng đến hiệu suất làm việc của phương tiện.</t>
  </si>
  <si>
    <t>Nguyễn Thái Thuận</t>
  </si>
  <si>
    <t>Vận hành máy đóng bao ca 1A DC6 PXSX2</t>
  </si>
  <si>
    <t>Thiếu kiểm soát trong quá trình làm việc, đóng thiếu số lượng viên (5v/6v) trong hộp gạch (500*500). Vào ca 1A ngày 15/2/2025</t>
  </si>
  <si>
    <t>Tập thể tổ lái máy xúc lật PXSX1</t>
  </si>
  <si>
    <t>Thiếu trách nhiệm trong công tác quản lý và vận hành máy xúc lật số 6 tại PXSX1. Dẫn đến tình trạng thiếu dầu thủy lực, máy làm việc yếu.Khi đưa máy về đội sửa chữa, kiểm tra và phải bổ sung thêm 64 lít dầu</t>
  </si>
  <si>
    <t>Mỗi lái máy 5đ</t>
  </si>
  <si>
    <t>Nguyễn Trung Kiên</t>
  </si>
  <si>
    <t>Quản lý dây chuyền mài PXSX2</t>
  </si>
  <si>
    <t>Trách nhiệm liên đới trong công tác quản lý, để công nhân vận hành bể nước thải làm gãy 11 cánh của máy ép bùn vào ca sản xuất ngày 23 và 24/3/2025</t>
  </si>
  <si>
    <t>Trần Thanh Hải</t>
  </si>
  <si>
    <t>Tổ trưởng mài ca B PXSX2</t>
  </si>
  <si>
    <t>Văn Tiến Đức</t>
  </si>
  <si>
    <t>Công nhân vận hành bể nước thải PXSX2</t>
  </si>
  <si>
    <t>Trong quá trình vận hành máy ép bùn, do thiếu kiểm soát để dây vòi nước cuốn vào cánh ép bùn làm gãy 4 cánh của máy ép vào hồi 16h ca sx ngày 23/3/2025. Đồng thời vào hồi 13h50 trong ca sx ngày 24/3/2025 phát hiện gãy tiếp 7 cánh của máy ép bùn</t>
  </si>
  <si>
    <t xml:space="preserve">           Thanh Hóa ngày 15 tháng 05 năm 2025</t>
  </si>
  <si>
    <t>TỔNG HỢP PHẠT NỘI QUY PXSX2 THÁNG 04/2025</t>
  </si>
  <si>
    <t>TỔNG HỢP PHẠT NỘI QUY KHỐI VĂN PHÒNG THÁNG 04/2025</t>
  </si>
  <si>
    <t>Lê Thị Diễm</t>
  </si>
  <si>
    <t>NV0041</t>
  </si>
  <si>
    <t>NV1278</t>
  </si>
  <si>
    <t>NV0079</t>
  </si>
  <si>
    <t>NV0695</t>
  </si>
  <si>
    <t>NV2213</t>
  </si>
  <si>
    <t>NV0756</t>
  </si>
  <si>
    <t>NV5012</t>
  </si>
  <si>
    <t>Khiển trách</t>
  </si>
  <si>
    <t>NV0386</t>
  </si>
  <si>
    <t>Thanh Hóa, ngày 15 tháng 05 năm 2025</t>
  </si>
  <si>
    <t>Sáu trăm nghìn đồng.</t>
  </si>
  <si>
    <t>TỔNG HỢP PHẠT NỘI QUY PXSX 1 THÁNG 04/2025</t>
  </si>
  <si>
    <t>Thanh hóa ngày 01 tháng 01 năm 2025</t>
  </si>
  <si>
    <t>TỔNG HỢP PHẠT NỘI QUY NĂM 2025</t>
  </si>
  <si>
    <t>01/2025</t>
  </si>
  <si>
    <t>02/2025</t>
  </si>
  <si>
    <t>03/2025</t>
  </si>
  <si>
    <t>04/2025</t>
  </si>
  <si>
    <t>05/2025</t>
  </si>
  <si>
    <t>06/2025</t>
  </si>
  <si>
    <t>07/2025</t>
  </si>
  <si>
    <t>08/2025</t>
  </si>
  <si>
    <t>09/2025</t>
  </si>
  <si>
    <t>10/2025</t>
  </si>
  <si>
    <t>11/2025</t>
  </si>
  <si>
    <t>12/2025</t>
  </si>
  <si>
    <t>NV3881</t>
  </si>
  <si>
    <t>Khiển trách bằng VB</t>
  </si>
  <si>
    <t>NV0486</t>
  </si>
  <si>
    <t>NV4623</t>
  </si>
  <si>
    <t>NV3449</t>
  </si>
  <si>
    <t>NV4557</t>
  </si>
  <si>
    <t>Đã nghỉ việc tháng 3</t>
  </si>
  <si>
    <t>Tập thể bộ phận dây chuyền và lò nung</t>
  </si>
  <si>
    <t>Tập thể bộ phận mài và bao gói</t>
  </si>
  <si>
    <t>Tập thể bộ phận cơ điện và cơ lý đi ca</t>
  </si>
  <si>
    <t>Tập thể CBCNV ca 2A ngày 26/02/2025 DC5-PXSX2</t>
  </si>
  <si>
    <t>Đạt mục tiêu khen thưởng theo thông báo về việc thi đua lập thành tích trong sản xuất Dây chuyền 5 của Ban Giám đốc PXSX2 ngày 21/2/2025</t>
  </si>
  <si>
    <t>Tập thể CBCNV ca 1B ngày 23/02/2025 DC5-PXSX2</t>
  </si>
  <si>
    <t>04/04/2025</t>
  </si>
  <si>
    <t>Lưu Đăng Khoa</t>
  </si>
  <si>
    <t>Nhân viên test mẫu, BP Công nghệ PXSX2</t>
  </si>
  <si>
    <t>CBKT, BP Công nghệ PXSX2</t>
  </si>
  <si>
    <t>Nguyễn Sỹ Tư</t>
  </si>
  <si>
    <t>Vũ Đình Hoàng</t>
  </si>
  <si>
    <t>Sai quy trình khi chuyển File mẫu xuống máy in để chạy sản xuất, khi điều chỉnh màu cho đúng code để chạy sản xuất không không test lại, xảy ra chạy sản xuất gạch ra lò sai mẫu vào ca 2A ngày 03/04/2025</t>
  </si>
  <si>
    <t>Trách nhiệm liên đới trong công tác quản lý, nhân viên test mẫu thực hiện sai quy trình khi chuyển file mẫu xuống máy in để chạy sản xuất vào ca 2A ngày 03/04/2025</t>
  </si>
  <si>
    <t>NV5216</t>
  </si>
  <si>
    <t>NV3086</t>
  </si>
  <si>
    <t>NV0215</t>
  </si>
  <si>
    <t>Danh sách kèm theo</t>
  </si>
  <si>
    <t>NV0760</t>
  </si>
  <si>
    <t>Đỗ Đức Hùng</t>
  </si>
  <si>
    <t>NV0757</t>
  </si>
  <si>
    <t>Lê Anh Tuấn</t>
  </si>
  <si>
    <t>NV1296</t>
  </si>
  <si>
    <t>Nguyễn Đăng Ánh</t>
  </si>
  <si>
    <t>NV1236</t>
  </si>
  <si>
    <t>Đỗ Xuân Nam</t>
  </si>
  <si>
    <t>NV0758</t>
  </si>
  <si>
    <t>Đặng Minh Yên</t>
  </si>
  <si>
    <t>NV1057</t>
  </si>
  <si>
    <t>Nguyễn Tuấn Tâm</t>
  </si>
  <si>
    <t>NV0377</t>
  </si>
  <si>
    <t>Lê Quang Việt</t>
  </si>
  <si>
    <t>NV0382</t>
  </si>
  <si>
    <t>Đỗ Văn Khánh</t>
  </si>
  <si>
    <t>NV2494</t>
  </si>
  <si>
    <t>Hoàng Ngọc Huy</t>
  </si>
  <si>
    <t>NV4328</t>
  </si>
  <si>
    <t>Nguyễn Viết Thiện</t>
  </si>
  <si>
    <t>NV0389</t>
  </si>
  <si>
    <t>Nguyễn Bá Dũng</t>
  </si>
  <si>
    <t>Nhóm trưởng xe nâng</t>
  </si>
  <si>
    <t>Nhân viên Lái xe nâng</t>
  </si>
  <si>
    <t>MÃ NV</t>
  </si>
  <si>
    <t>NGÀY SINH</t>
  </si>
  <si>
    <t>CHỨC VỤ</t>
  </si>
  <si>
    <t>HỌ TÊN</t>
  </si>
  <si>
    <t>DANH SÁCH TỔ XE NÂNG PHỤC VỤ XUẤT HÀNG</t>
  </si>
  <si>
    <t>DANH SÁCH LÁI MÁY XÚC LẬT PXSX1</t>
  </si>
  <si>
    <t>NV0131</t>
  </si>
  <si>
    <t>Nguyễn Viết Thanh</t>
  </si>
  <si>
    <t>NV0135</t>
  </si>
  <si>
    <t>Nguyễn Khắc Thành</t>
  </si>
  <si>
    <t>Nhóm trưởng xúc lật</t>
  </si>
  <si>
    <t>Xúc lật</t>
  </si>
  <si>
    <t>Hoàng Xuân Tùng</t>
  </si>
  <si>
    <t>Nguyễn Khắc Thảo</t>
  </si>
  <si>
    <t>NV4864</t>
  </si>
  <si>
    <t>NV1618</t>
  </si>
  <si>
    <t>Trừ từ tháng 12/2024 đến 9/2025 (mỗi tháng 300.000 đồng) , đã nghỉ việc nên trừ hết từ tháng 4/2025</t>
  </si>
  <si>
    <t>NV0036</t>
  </si>
  <si>
    <t>Nguyễn Thị Biên</t>
  </si>
  <si>
    <t>Nhân viên hỗ trợ thị trường - Ban kinh doanh</t>
  </si>
  <si>
    <t>Lợi dụng vị trí công tác, gây sách nhiễu cho bên dịch vụ vận tải, để nhận tiền dịch vụ thông quá lái xe, làm ảnh hưởng đến uy tín của Công ty</t>
  </si>
  <si>
    <t>Giám đốc - Ban kinh doanh</t>
  </si>
  <si>
    <t>Trách nhiệm liên đới trong công tác quản lý, quán triệt chưa triệt để và quyết liệt đối với nhân viên thuộc quyền quản lý, để nhân viên gây sách nhiễu cho bên dịch vụ vận tải và nhận tiền dịch vụ, làm ảnh hưởng đến uy tín của Công ty</t>
  </si>
  <si>
    <t>Lái xe - Ban đầu tư và khai thác</t>
  </si>
  <si>
    <t>Thiếu trách nhiệm trong công tác bảo quản, bảo dưỡng phương tiện định kỳ của xe tải 36C-36793 . Để tình trạng xe bị vỡ bầu lọc gió, bóp méo thùng xe, nhưng không báo cáo cấp quản lý để được bố trí đưa phương tiện vào xưởng sửa chữa kịp thời, đảm bảo tuổi thọ động cơ và vận hành của phương tiện</t>
  </si>
  <si>
    <t>NV0058</t>
  </si>
  <si>
    <t>Lê Tuấn Anh</t>
  </si>
  <si>
    <t>Phó phòng sản xuất - PXSX1</t>
  </si>
  <si>
    <t>Kiểm soát chi phí chưa chặt chẽ dẫn đến chi phí trong sản xuất tháng 3 tăng cao</t>
  </si>
  <si>
    <t>NV0005</t>
  </si>
  <si>
    <t>Trưởng phòng TCHC</t>
  </si>
  <si>
    <t>Chậm trễ trong công việc điều chỉnh cơ chế lương của bộ phận mua hàng khi điều động xuống bộ phận khác nhưng không kịp thời điều chỉnh mức lương,dẫn đến vẫn để mức lương cũ tạm tính trong bảng lương (tháng 02/2025)</t>
  </si>
  <si>
    <t>NV0450</t>
  </si>
  <si>
    <t>Hoàng Minh Hà</t>
  </si>
  <si>
    <t>NV0765</t>
  </si>
  <si>
    <t xml:space="preserve">Nguyễn Văn Thanh </t>
  </si>
  <si>
    <t>NV0771</t>
  </si>
  <si>
    <t>Lê Khắc Bình</t>
  </si>
  <si>
    <t>Nguyễn Phú Thêm</t>
  </si>
  <si>
    <t>NV0207</t>
  </si>
  <si>
    <t>Tổ trưởng lò nung PXSX1</t>
  </si>
  <si>
    <t>Giám đốc PXSX1</t>
  </si>
  <si>
    <t>Trưởng phòng sản xuất PXSX1</t>
  </si>
  <si>
    <t>Phó giám đốc PXSX1</t>
  </si>
  <si>
    <t>Trong ca sản xuất 3B ngày 18/04/2025, khi lò nung xảy ra hiện tượng thưa lò, nhưng không thông báo cho bộ phận KCS để kiểm soát,dẫn đến gạch xương thâm, xương đen vào mài đóng hộp A1</t>
  </si>
  <si>
    <t>Trần Văn Hùng</t>
  </si>
  <si>
    <t>NV0223</t>
  </si>
  <si>
    <t>Điều khiển phương tiện xe nâng số 05, để nâng gạch phế về kho nguyên liệu,trong thời gian hai công nhân lọc phế trong palet để cho vào thùng phế nhưng vẫn để xe nổ máy,gây lãng phí nhiên liệu của Công ty</t>
  </si>
  <si>
    <t>Lê Thị Thanh Thúy</t>
  </si>
  <si>
    <t>NV4081</t>
  </si>
  <si>
    <t>Vi phạm nội quy lao động, trong giờ hành chính đặt đồ uống ( nước dừa ) và sử dụng trong giờ làm việc, gây phản cảm, ảnh hưởng tiến độ và chất lượng công việc</t>
  </si>
  <si>
    <t>NV0027</t>
  </si>
  <si>
    <t>Trần Thị Hương</t>
  </si>
  <si>
    <t>Nguyễn Thị Hà</t>
  </si>
  <si>
    <t>NV2352</t>
  </si>
  <si>
    <t>Lê Hữu Mạnh</t>
  </si>
  <si>
    <t>NV0861</t>
  </si>
  <si>
    <t>Vương Huy Trường</t>
  </si>
  <si>
    <t>NV0264</t>
  </si>
  <si>
    <t>Tổ trưởng ca B Bộ phận đóng hộp PXSX1</t>
  </si>
  <si>
    <t>Trách nhiệm trong công tác quản lý, thiếu kiểm tra,kiểm soát trong quá trình đóng gạch cắt lô.Xếp chung gạch cắt lô loại 2 với gạch cắt lô loại 1 trong 1 palet ngày 18/03/2025, dẫn đến gạch bán ra thị trường bị khiếu nại</t>
  </si>
  <si>
    <t>Đoàn Ngọc Thanh</t>
  </si>
  <si>
    <t>NV0269</t>
  </si>
  <si>
    <t>Tổ trưởng ca A Bộ phận đóng hộp PXSX1</t>
  </si>
  <si>
    <t>Nguyễn Thị Phương</t>
  </si>
  <si>
    <t>NV5326</t>
  </si>
  <si>
    <t>Công nhân bốc lai DC1 PXSX1</t>
  </si>
  <si>
    <t>Thiếu kiểm soát trong việc bốc lai A2 vào ngày 23/3/2025 khi đang sản xuất mẫu PN362141-I1.Để gạch sứt góc hạ loại A3 (1 viên) và sứt, U hạ loại A2 (5 viên) lọt xuống vào đóng bao A1</t>
  </si>
  <si>
    <t>Phó bộ phận -Phụ trách đóng hộp PXSX1</t>
  </si>
  <si>
    <t>Trách nhiệm trong công tác quản lý, điều hành để 5 hộp gạch mã KAG 36902 sản xuất ca 2C ngày 8/4/2025 bị rách vỏ hộp, nhưng không thay vẫn để ra vị trí nhập kho</t>
  </si>
  <si>
    <t>NV0538</t>
  </si>
  <si>
    <t>Đỗ Như Giang</t>
  </si>
  <si>
    <t>Vận hành sấy phun ca B- Bộ phận nguyên liệu và gia công bán thành phẩm DC6-PXSX2</t>
  </si>
  <si>
    <t>Vào ca 2 ngày 21/4/2025 kiểm soát công việc không tốt. Khi vệ sinh tháp sấy phun làm bật ti ô bắn nước lên si lô chảy nước vào si lô 1 và 2</t>
  </si>
  <si>
    <t>NV1903</t>
  </si>
  <si>
    <t>Nguyễn Thế Tài</t>
  </si>
  <si>
    <t>Nhóm trưởng ca B- Bộ phận nguyên liệu và gia công bán thành phẩm DC6-PXSX2</t>
  </si>
  <si>
    <t>NV0639</t>
  </si>
  <si>
    <t>Hoàng Văn Đông</t>
  </si>
  <si>
    <t>Tổ phó ca B- Bộ phận nguyên liệu và gia công bán thành phẩm DC6-PXSX2</t>
  </si>
  <si>
    <t>Ca 1B ngày 19/4/2025 trong quá trình sản xuất đồng chí Hoàng Văn Đông đã thực hiện xúc đất sập tháp để lên băng tải, làm ảnh hưởng đến chất lượng bột trong sản xuất</t>
  </si>
  <si>
    <t>Khiển trách bằng văn bản</t>
  </si>
  <si>
    <t>NV0651</t>
  </si>
  <si>
    <t>Phạm Duy Thiết</t>
  </si>
  <si>
    <t>Tổ trưởng ca B- Bộ phận nguyên liệu và gia công bán thành phẩm DC6-PXSX2</t>
  </si>
  <si>
    <t>Ca 2B ngày 18/4/2025 chỉ đạo kiểm soát cuối ca không tốt để xảy ra tình trạng rách màng men, gạch ra lò bốc phế 50m2 mẫu VC50511</t>
  </si>
  <si>
    <t>Nghỉ từ tháng 5, trừ hết lương tháng 4</t>
  </si>
  <si>
    <t>TỔNG HỢP PHẠT NỘI QUY KHỐI VĂN PHÒNG THÁNG 05/2025</t>
  </si>
  <si>
    <t>Vũ Xuân Tuấn</t>
  </si>
  <si>
    <t>Trợ lý TGĐ - Phụ trách đội xe</t>
  </si>
  <si>
    <t>Trách nhiệm liên đới trong vụ việc xe đầu kéo BKS : 36H-06825. Vào hồi 7h40' ngày 16/3/2025 lái xe vận chuyển nguyên liệu từ mỏ Lang Chánh về kho nguyên liệu Công ty. Do thiếu kiểm soát trong khi điều khiển phương tiện, để xảy ra mất an toàn, xe bị lật, làm móp méo thùng, hỏng mâm rơ mooc, hỏng cabin, gây thiệt hại cho Công ty</t>
  </si>
  <si>
    <t>Lê Quang Trung</t>
  </si>
  <si>
    <t>Phó TGĐ - Phụ trách ban đầu tư và khai thác</t>
  </si>
  <si>
    <t>Đỗ Xuân Chinh</t>
  </si>
  <si>
    <t>NV4890</t>
  </si>
  <si>
    <t>NV0093</t>
  </si>
  <si>
    <t>NV1118</t>
  </si>
  <si>
    <t>Trách nhiệm  trong công tác vận hành phương tiện xe đầu kéo BKS : 36H-06825. Vào hồi 7h40' ngày 16/3/2025 lái xe vận chuyển nguyên liệu từ mỏ Lang Chánh về kho nguyên liệu Công ty. Do thiếu kiểm soát trong khi điều khiển phương tiện, để xảy ra mất an toàn, xe bị lật, làm móp méo thùng, hỏng mâm rơ mooc, hỏng cabin, gây thiệt hại cho Công ty</t>
  </si>
  <si>
    <t>Bộ phận KCS - Ban thanh tra kiểm soát</t>
  </si>
  <si>
    <t>Không tuân thủ quy định về VSATLĐ&amp;PCCN, sử dụng ấm điện đun nước trong phân xưởng, gây chập cháy, nguy cơ mất an toàn vào ngày 27/4/2025</t>
  </si>
  <si>
    <t>Tập thể đội sửa chữa</t>
  </si>
  <si>
    <t>Ban đầu tư và khai thác</t>
  </si>
  <si>
    <t>Tập thể đội sửa chữa đã cải tiến, gia công "Khuôn ép lốp đặc xe nâng" thực hiện sửa chữa và thay thế tại phân xưởng, thay cho việc phải vận chuyển đi thay bên ngoài, vừa rút ngắn thời gian phương tiện lưu xưởng, đồng thời tiết kiệm chi phí cho nhà máy, mang lại hiệu xuất kinh doanh</t>
  </si>
  <si>
    <t>Phạm Văn Thiện</t>
  </si>
  <si>
    <t>Đội trưởng</t>
  </si>
  <si>
    <t>Phan Văn Thắng</t>
  </si>
  <si>
    <t>Phó bộ phận nhiên liệu và gia công bán thành phẩm</t>
  </si>
  <si>
    <t>Kiểm soát công việc chưa tốt, để lái xe xúc lật xúc nhầm gạch phế hủy chưa qua bàn cân ( T5/2025 ) , dùng vào việc san lấp nền kho nguyên liệu đang xây dựng ( mặc dù Ban đầu tư đã có đề xuất xin ý kiến lãnh đạo công ty v/v sử dụng gạch phế hủy tồn của năm 2024 )</t>
  </si>
  <si>
    <t>Nguyễn Đình Toàn</t>
  </si>
  <si>
    <t>Thiếu kiểm soát khi bộ phận hoàn thiện sản phẩm Phân xưởng đóng dấu sai mã số gạch trên palet nhưng vẫn đóng dấu KCS hoàn thiện để nhập kho</t>
  </si>
  <si>
    <t>Lê Thị Bình</t>
  </si>
  <si>
    <t>Bộ phận nung và hoàn thiện sản phẩm PXSX1</t>
  </si>
  <si>
    <t>Kiểm soát công việc chưa tốt, trong ca sản xuất 2C ngày 13/5/2025 đóng nhầm mã gạch từ MTC88041-K1 thành MTC88034</t>
  </si>
  <si>
    <t>Lê Khả Hoàng</t>
  </si>
  <si>
    <t>Nhóm trưởng - Bộ phận KCS - Ban thanh tra kiểm soát</t>
  </si>
  <si>
    <t>Trách nhiệm liên đới trong công tác quản lý bộ phận, để nhân viên thiếu kiểm soát khi bộ phận hoàn thiện sản phẩm phân xưởng đóng dấu sai mã số gạch trên palet, nhưng vẫn đóng dấu KCS hoàn thiện để nhập kho</t>
  </si>
  <si>
    <t>Nguyễn Thái Sỹ</t>
  </si>
  <si>
    <t>Tổ trưởng - Bộ phận KCS - Ban thanh tra kiểm soát</t>
  </si>
  <si>
    <t>Phạm Văn Thùy</t>
  </si>
  <si>
    <t>Nhân viên test mẫu - Bộ phận công nghệ PXSX1</t>
  </si>
  <si>
    <t>Kiểm soát công việc chưa tốt, trong quá trình test mẫu đã sử dụng nhầm file sản xuất KH4870V cũ, trong khi đã có file mới do bộ phận thiết kế Ban kinh doanh chuyển xuống đã chỉnh sửa (bỏ viền trên) dẫn đến sai phạm khi đưa vào sản xuất (sản lượng 1.538m2) vào ngày 9/5/2025</t>
  </si>
  <si>
    <t>Lê Đức Kiệm</t>
  </si>
  <si>
    <t>Lái máy xúc đào - Ban đầu tư và khai thác</t>
  </si>
  <si>
    <t>Trong quá trình vận hành máy xúc đào sảm tước mặt đường vào kho xuất hàng ( Bãi đất Quảng Hưng ) đã tự ý sử dụng phương tiện (gầu máy) đập bê trông để tận thu sắt vụn mang bán</t>
  </si>
  <si>
    <t>Lê Xuân Cảnh</t>
  </si>
  <si>
    <t>NV0275</t>
  </si>
  <si>
    <t>Trừ từ tháng 12/2024 đến 9/2025 (mỗi tháng 200.000 đồng) đã nghỉ, trừ hết 5 tháng</t>
  </si>
  <si>
    <t>NV0132</t>
  </si>
  <si>
    <t>NV2737</t>
  </si>
  <si>
    <t>TỔNG HỢP PHẠT NỘI QUY PXSX2 THÁNG 05/2025</t>
  </si>
  <si>
    <t>Nguyễn Đức Thanh</t>
  </si>
  <si>
    <t>NV5347</t>
  </si>
  <si>
    <t>Nghỉ việc vô lý do vào ca sản xuất 2A ngày 17/05/2025 làm ảnh hưởng đến kế hoạch sản xuất và nguồn nhân lực của bộ phận</t>
  </si>
  <si>
    <t>Nguyễn Kiên Cường</t>
  </si>
  <si>
    <t>NV2776</t>
  </si>
  <si>
    <t>Ý thức chấp hành NQLĐ chưa tốt, tự ý bỏ ca làm việc không báo cáo cấp quản lý (Vào ca sản xuất 2A ngày 28/04/2025) làm ảnh hưởng đến kế hoạch sản xuất và nguồn lực của phân xưởng</t>
  </si>
  <si>
    <t>Trương Văn Nam</t>
  </si>
  <si>
    <t>NV3775</t>
  </si>
  <si>
    <t>NV4564</t>
  </si>
  <si>
    <t>Lường Văn Tùng</t>
  </si>
  <si>
    <t>NV5045</t>
  </si>
  <si>
    <t>Vũ Đình Lương</t>
  </si>
  <si>
    <t>NV3688</t>
  </si>
  <si>
    <t>Lê Công Dũng</t>
  </si>
  <si>
    <t>NV0576</t>
  </si>
  <si>
    <t>Tống Văn Tỵ</t>
  </si>
  <si>
    <t>Tổ trưởng - Bộ phận Mài và Đóng hộp PXSX2</t>
  </si>
  <si>
    <t>Công nhân - Bộ phận Trạm than và Lò nung PXSX2</t>
  </si>
  <si>
    <t>Công nhân - Bộ phận Mài và Đóng hộp PXSX2</t>
  </si>
  <si>
    <t>NV0087</t>
  </si>
  <si>
    <t>Lê Xuân Long</t>
  </si>
  <si>
    <t>Phó phòng Kỹ thuật - Phụ trách mài PXSX2</t>
  </si>
  <si>
    <t>Trách nhiệm liên đới trong công tác quản lý, để một số công nhân ca 2A ngày 28/04/2025 nghỉ việc vô lý do, làm ảnh hưởng đến kế hoạch và nguồn nhân lực trong sản xuất của phân xưởng</t>
  </si>
  <si>
    <t>Phó Bp Mài - PXSX2</t>
  </si>
  <si>
    <t>NV3966</t>
  </si>
  <si>
    <t>Hoàng Đình Bảy</t>
  </si>
  <si>
    <t>Tổ phó mài ca B PXSX2</t>
  </si>
  <si>
    <t>Kiểm soát chưa tốt, để công nhân vận hành dừng máy mài trong thời gian 30 phút, nhưng không phát hiện và báo cáo kịp thời với cấp quản lý phân xưởng, gây thiệu hại cho Công ty</t>
  </si>
  <si>
    <t>NV2660</t>
  </si>
  <si>
    <t>Nguyễn Trường Giang</t>
  </si>
  <si>
    <t>Vận hành máy in KTS PXSX1</t>
  </si>
  <si>
    <t>Vào ca sản xuất 1B ngày 4/5/2025 trong quá trình sản xuất mẫu 80465 , do thiếu kiểm soát để sọc mầu máy in, gạch ra lò hạ loại A3 số lượng 286 m2</t>
  </si>
  <si>
    <t>NV2764</t>
  </si>
  <si>
    <t>NV kiểm soát công nghệ PXSX1</t>
  </si>
  <si>
    <t>Cao Văn Nhân</t>
  </si>
  <si>
    <t>Kiểm soát công việc chưa tốt để độ ẩm của bột tại xilo vượt quá tiêu chuẩn cho phép, dẫn đến tình trạng U bẩn, phân lớp, khi ép gạch 800x800 trong thời gian kéo dài</t>
  </si>
  <si>
    <t>NV0425</t>
  </si>
  <si>
    <t>Mai Cát Vượng</t>
  </si>
  <si>
    <t>NV0068</t>
  </si>
  <si>
    <t>Lê Duy Nam</t>
  </si>
  <si>
    <t>NV1108</t>
  </si>
  <si>
    <t>Mai Trọng Ninh</t>
  </si>
  <si>
    <t>Công nhận vận hành sấy phun PXSX1</t>
  </si>
  <si>
    <t>NV1697</t>
  </si>
  <si>
    <t>Đỗ Ngọc Vui</t>
  </si>
  <si>
    <t>NV0286</t>
  </si>
  <si>
    <t>Nguyễn Trọng Luật</t>
  </si>
  <si>
    <t>Tổ trưởng sấy phun PXSX1</t>
  </si>
  <si>
    <t>NV0293</t>
  </si>
  <si>
    <t>Trịnh Xuân Mong</t>
  </si>
  <si>
    <t>NV0574</t>
  </si>
  <si>
    <t>Nguyễn Hoàng Dũng</t>
  </si>
  <si>
    <t>Phó bộ phận dây chuyền PXSX1</t>
  </si>
  <si>
    <t>Trách nhiệm liên đới trong công tác quản lý để độ ẩm của bột tại xilo vượt quá tiêu chuẩn cho phép, dẫn đến tình trạng U bẩn, phân lớp, khi ép gạch 800x800 trong thời gian kéo dài</t>
  </si>
  <si>
    <t>NV0195</t>
  </si>
  <si>
    <t>Trương Văn Thắng</t>
  </si>
  <si>
    <t>Phó bộ phận sấy phun PXSX1</t>
  </si>
  <si>
    <t>Lái xe xúc lật PXSX</t>
  </si>
  <si>
    <t>Thiếu kiểm soát trong quá trình cân đơn hồ xương BS15, số đơn 74 DC1 , mã nguyên liệu sét CL3 đã cân sai khối lượng theo đơn</t>
  </si>
  <si>
    <t>NV2085</t>
  </si>
  <si>
    <t>Bùi Khắc Toàn</t>
  </si>
  <si>
    <t>Giám sát cân định lượng PXSX</t>
  </si>
  <si>
    <t>NV3214</t>
  </si>
  <si>
    <t>Nguyễn Mạnh Uyên</t>
  </si>
  <si>
    <t>Trưởng bộ phận kế hoạch SX - BKD</t>
  </si>
  <si>
    <t>Chậm trễ trong công tác báo cáo vụ việc tại DC5 , PXSX2 trường hợp nhân viên test mẫu đã nhầm đơn hàng cũ, dẫn đến sản xuất mẫu MTC66051 dư 1500 hộp vào ngày 10/5/2025 khi chưa có đơn hàng của BKD</t>
  </si>
  <si>
    <t>Nhóm trưởng test mẫu - Phòng công nghệ PXSX2</t>
  </si>
  <si>
    <t>Trong quá trình test mẫu sản xuất Ông Tư đã nhầm đơn hàng cũ dẫn đến mẫu MTC 66051 sản xuất dư 1500 hộp vào ngày 10/5/2025 khi chưa có đơn hàng của BKD</t>
  </si>
  <si>
    <t>NV0600</t>
  </si>
  <si>
    <t>Trần Quốc Tuấn</t>
  </si>
  <si>
    <t>Giám đốc PXSX2</t>
  </si>
  <si>
    <t>Trách nhiệm liên đới trong công tác quản lý , trong quá trình test mẫu sản xuất, nhân viên test mẫu đã nhầm đơn hàng cũ dẫn đến mẫu MTC 66051 sản xuất dư 1500 hộp vào ngày 10/5/2025 khi chưa có đơn hàng của BKD</t>
  </si>
  <si>
    <t>CBKT - Phòng công nghệ PXSX2</t>
  </si>
  <si>
    <t>NV0157</t>
  </si>
  <si>
    <t>NV0162</t>
  </si>
  <si>
    <t>NV0716</t>
  </si>
  <si>
    <t xml:space="preserve">           Thanh Hóa ngày 03 tháng 06 năm 2025</t>
  </si>
  <si>
    <t>NV0161</t>
  </si>
  <si>
    <t>NV1435</t>
  </si>
  <si>
    <t>Thanh Hóa, ngày 03 tháng 06 năm 2025</t>
  </si>
  <si>
    <t>TỔNG HỢP PHẠT NỘI QUY PXSX 1 THÁNG 05/2025</t>
  </si>
  <si>
    <t>TỔNG HỢP PHẠT NỘI QUY KHỐI VĂN PHÒNG THÁNG 06/2025</t>
  </si>
  <si>
    <t>NV0133</t>
  </si>
  <si>
    <t>Bùi Sỹ Quang</t>
  </si>
  <si>
    <t>Quản đốc PXCBNL</t>
  </si>
  <si>
    <t>Trách nhiệm trong công tác quản lý, điều hành bộ phận, không tuân thủ quy định về ATLĐ,chưa đánh giá đầy đủ các yếu tố rủi ro trong quá trình tập kết nguyên liệu tại kho, đổ và vun nguyên liệu vượt quá chiều cao cho phép,gây áp lực nén làm đổ tường,sập mái kho vòm phân xưởng chế biến nguyên liệu, gây thiệt hại cho công ty vào ngày 05/05/2025</t>
  </si>
  <si>
    <t>Trừ tháng 05,06,07/2025</t>
  </si>
  <si>
    <t>Nguyễn Đăng Thiên</t>
  </si>
  <si>
    <t>NV2434</t>
  </si>
  <si>
    <t>Nhân viên thiết kế - Ban kinh doanh</t>
  </si>
  <si>
    <t>Thiếu kiểm soát trong quá trình thiết kế vỏ hộp 400x800 Granicer dẫn đến thông số ghi trên vỏ hộp sai so với thực tế đóng tại phân xưởng sản xuất (Vỏ hộp ghi 6v/hộp, thực tế đóng 5v/hộp) số lượng đặt nhà cung cấp đã in và nhập kho đưa vào sản xuất là 60.000 cái vào ngày 14/05/2025</t>
  </si>
  <si>
    <t>Mai Văn Thanh</t>
  </si>
  <si>
    <t>NV0092</t>
  </si>
  <si>
    <t>CV - Cán bộ kỹ thuật - Ban đầu tư và khai thác</t>
  </si>
  <si>
    <t>Thiếu kiểm soát trong quá trình giám sát thi công công trình kho chứa nguyên liệu phân xưởng CBNL. Để xảy ra sự cố công nhân tổ thi công dùng oxi để cắt, tháo xà gồ , nhưng thiếu các biện pháp PCCN để dẫn đến phát sinh nguồn nhiệt gây cháy phần tấm lợp bằng nhựa trắng kho chứa nguyên liệu</t>
  </si>
  <si>
    <t>NV0096</t>
  </si>
  <si>
    <t>Lái xe- Ban đầu tư và khai thác</t>
  </si>
  <si>
    <t>Trong quá trình điều khiển phương tiện xe đầu kéo BKS: 36H-06891 vận chuyển nguyên liệu từ mỏ Lang Chánh về Nhà máy, do kiểm soát công việc chưa tốt, để xảy ra sự cố mất an toàn vào ngày 06/06/2025</t>
  </si>
  <si>
    <t>Đỗ Đức Tùng</t>
  </si>
  <si>
    <t>NV0340</t>
  </si>
  <si>
    <t>TBP kho Đông Văn</t>
  </si>
  <si>
    <t>Kiểm soát công việc chưa tốt dẫn đến sự cố khi xuống nguyên liệu tại kho Đông Văn, để gầy máy xúc cà vào thùng xe đầu kéo BKS 36H-06891 làm rách phần sàn đáy của xe vào ngày 13/06/2025</t>
  </si>
  <si>
    <t>Hoàng Đức Bình</t>
  </si>
  <si>
    <t>NV0736</t>
  </si>
  <si>
    <t>Nhân viên sơ chế - Tổ phục vụ xuất hàng</t>
  </si>
  <si>
    <t>Chấp hành NQLĐ chưa nghiêm, mất đoàn kết nội bộ,ảnh hưởng đến tình hình ANTT trong Công ty ngày 16/06/2025</t>
  </si>
  <si>
    <t>Nhân viên lái xe nâng - Tổ phục vụ xuất hàng</t>
  </si>
  <si>
    <t>Lê Văn Tuấn Anh</t>
  </si>
  <si>
    <t>NV5534</t>
  </si>
  <si>
    <t>Thiếu kiểm soát trong quá trình nâng hàng xuất bán cho NPP, khi Palet bị mục,hỏng nhưng vẫn vận chuyển hàng ra vị trí xuất bán, để xảy ra hiện tượng sập Palet làm vỡ gạch,gây thiệt hại cho công ty vào ngày 22/06/2025</t>
  </si>
  <si>
    <t>Nguyễn Văn Tâm</t>
  </si>
  <si>
    <t>NV1309</t>
  </si>
  <si>
    <t>Trong quá trình phục vụ công tác xuất hàng hàng tại kho Quảng hưng, khi làm vệ sinh thu gom và đốt rác ( trong đó có cả dây đai palet phế thải ) phát sinh nguồn lửa gần khu vực có nguy cơ mất an toàn PCCN</t>
  </si>
  <si>
    <t>Nguyễn Văn Dũng</t>
  </si>
  <si>
    <t>NV0403</t>
  </si>
  <si>
    <t>Nhân viên lái xe con - Phòng tổ chức hành chính</t>
  </si>
  <si>
    <t>Không trung thực trong công tác chấm công, sử dụng oto con BKS 36A-77894 của công ty vào mục đích cá nhân, không đúng lịch trình đăng ký</t>
  </si>
  <si>
    <t>Nhân viên - Phòng tổ chức hành chính</t>
  </si>
  <si>
    <t>Trách nhiệm liên đới trong công tác quản lý, để nhân viên lái xe oto con sử dụng phương tiện của công ty phục vụ không đúng mục đích</t>
  </si>
  <si>
    <t>TỔNG HỢP PHẠT NỘI QUY PXSX 1 THÁNG 06/2025</t>
  </si>
  <si>
    <t>Mai Văn Tới</t>
  </si>
  <si>
    <t>NV4627</t>
  </si>
  <si>
    <t>Tổ trưởng Bảo dưỡng HC - Bộ phận mài PXSX1</t>
  </si>
  <si>
    <t>Không tuân thủ quy định VSATLĐ, để một số mô tơ máy mài mất nắp bảo hiểm cánh quạt, tiềm ẩn nguy cơ mất ATLĐ,chưa thường xuyên chỉ đạo,đôn đốc bộ phận vệ sinh nền nhà xưởng khu vực làm việc, đã được Ban thanh tra-kiểm soát nhắc nhở nhiều lần nhưng vẫn không tổ chức thực hiện</t>
  </si>
  <si>
    <t>Bùi Văn Chinh</t>
  </si>
  <si>
    <t>NV4794</t>
  </si>
  <si>
    <t>Tổ trưởng mài ca B - PXSX1</t>
  </si>
  <si>
    <t>Lê Ngọc Khánh</t>
  </si>
  <si>
    <t>NV0257</t>
  </si>
  <si>
    <t>Tổ trưởng mài ca A - PXSX1</t>
  </si>
  <si>
    <t>Lê Đình Toàn</t>
  </si>
  <si>
    <t>NV0454</t>
  </si>
  <si>
    <t>Phó bộ phận mài PXSX1</t>
  </si>
  <si>
    <t>Lê Văn Dương</t>
  </si>
  <si>
    <t>VH mài -DC1 PXSX1</t>
  </si>
  <si>
    <t>Trong quá trình sản xuất tại ca 2C ngày 10/06/2025, do thiếu kiểm soát dẫn đến đóng lẫn 1 hộp gạch khác mã vào palet mã 481100 - I1 khi san gạch lẻ xuất bán cho NPP thì mới phát hiện tại kho cảng 1</t>
  </si>
  <si>
    <t>Đào Xuân Hùng</t>
  </si>
  <si>
    <t>NV0181</t>
  </si>
  <si>
    <t>VH máy ép PXSX1</t>
  </si>
  <si>
    <t>Thiếu kiểm soát trong vận hành dẫn đến gạch sản xuất ra lò ca 1B ngày 11/06/2025 bị tách cạnh, hạ loại A2=1,174 m2 , cắt lô 470 m2</t>
  </si>
  <si>
    <t>Phó bộ phận phụ trách dây chuyền PXSX1</t>
  </si>
  <si>
    <t>Liên đới trong công tác quản lí, công nhân vận hành máy ép thiếu kiểm soát dẫn đến gạch ra ca 1B ngày 11/06/2025 bị tách cạnh, hạ loại A2 và cắt lô</t>
  </si>
  <si>
    <t>Cao Văn Mùi</t>
  </si>
  <si>
    <t>NV0980</t>
  </si>
  <si>
    <t>Tổ trưởng ca A PXSX1</t>
  </si>
  <si>
    <t>Kiểm soát chưa tốt để xảy ra trong palet PR 362100 I1 xuất bán ra thị trường có lẫn mẫu khác dẫn đến khiếu kiện của NPP</t>
  </si>
  <si>
    <t>TỔNG HỢP PHẠT NỘI QUY PXSX2 THÁNG 06/2025</t>
  </si>
  <si>
    <t>Nguyễn Duy Xuân</t>
  </si>
  <si>
    <t>NV1279</t>
  </si>
  <si>
    <t>VH máy mài cạnh - DC5 PXSX2</t>
  </si>
  <si>
    <t>Chấp hành NQLĐ chưa nghiêm, nghỉ việc vô lý do, không báo cáo cấp quản lý,làm ảnh hưởng đến nhân lực sản xuất trong ca từ ngày 02-06/06/2025</t>
  </si>
  <si>
    <t>Nguyễn Trọng Tiến</t>
  </si>
  <si>
    <t>NV0243</t>
  </si>
  <si>
    <t>Công nhân VH DC5 PXSX2</t>
  </si>
  <si>
    <t>Chấp hành NQLĐ chưa nghiêm,hút thuốc không đúng nơi quy định, tiềm ẩn mất VSATLĐ và PCCN trong phân xưởng vào ca sản xuất 1B ngày 11/06/2025 tại vị trí hoàn thiện palet DC5 PXSX2</t>
  </si>
  <si>
    <t>Nguyễn Văn Cảnh</t>
  </si>
  <si>
    <t>NV0628</t>
  </si>
  <si>
    <t>Công nhân hoàn thiện Palet DC5 PXSX2</t>
  </si>
  <si>
    <t>Vũ Xuân Lâm</t>
  </si>
  <si>
    <t>NV0205</t>
  </si>
  <si>
    <t>Công nhân vận hành lò xương DC5 PXSX2</t>
  </si>
  <si>
    <t>Chấp hành NQLĐ chưa nghiêm, tự ý bỏ vị trí làm việc khi không được sự đồng ý của cán bộ quản lý vào ca sản xuất 2A ngày 07/06/2025</t>
  </si>
  <si>
    <t>Đỗ Văn Thắng</t>
  </si>
  <si>
    <t>NV3172</t>
  </si>
  <si>
    <t>Công nhân lò nung DC5 PXSX2</t>
  </si>
  <si>
    <t>Chấp hành NQLĐ chưa nghiêm, sử dụng điếu thuốc lào trong ca làm việc không đúng nơi quy định, tiềm ẩn nguy cơ mất an toàn về công tác PCCN vào ca sản xuất 1B ngày 24/06/2025</t>
  </si>
  <si>
    <t>Phạm Đức Mạnh</t>
  </si>
  <si>
    <t>NV0603</t>
  </si>
  <si>
    <t>PBP Phụ trách NSP DC5,6 và dây chuyển gia công DC6</t>
  </si>
  <si>
    <t>Trách nhiệm liên đới trong công tác quản lý để công nhân kiểm soát nhiệt độ buồng đốt sấy nằm không tốt dẫn đến độ ẩm và cuối sấy không đạt, gạch ra lò bị nứt, rạn mặt ảnh hưởng đến chất lượng sau hạ loại A2 là 350m , phế 50m</t>
  </si>
  <si>
    <t>Lê Ngọc Hiếu</t>
  </si>
  <si>
    <t>NV0567</t>
  </si>
  <si>
    <t>Tổ trưởng ca A- Phụ trách DC gia công Dc6</t>
  </si>
  <si>
    <t>Lê Xuân Bắc</t>
  </si>
  <si>
    <t>NV0575</t>
  </si>
  <si>
    <t>Công nhân VH máy ép DC6 PXSX2</t>
  </si>
  <si>
    <t>Trong ca sản xuất 1B ngày 23/06/2025 quá trình kiểm soát nhiệt độ buồng đốt sấy nằm không tốt dẫn đến độ ẩm và cuối sấy không đạt, gạch ra lò bị nứt, rạn mặt ảnh hưởng đến chất lượng sau hạ loại A2 là 350m , phế 50m</t>
  </si>
  <si>
    <t>Lê Viết Trung</t>
  </si>
  <si>
    <t>NV0430</t>
  </si>
  <si>
    <t>Phụ trách trạm than-lò nung và đóng hộp Dc6</t>
  </si>
  <si>
    <t>Thiếu tinh thần trách nhiệm trong công tác vệ sinh định kỳ và sắp xếp bảo quản vật tư theo chỉ đạo của BGĐ phân xưởng</t>
  </si>
  <si>
    <t>Lê Văn Tuân</t>
  </si>
  <si>
    <t>NV1100</t>
  </si>
  <si>
    <t>NV Vận hành máy ép -DC5 PXSX2</t>
  </si>
  <si>
    <t>Chấp hành NQLĐ chưa nghiêm, ngủ gật trong ca làm việc 1A ngày 12/06/2025</t>
  </si>
  <si>
    <t>Lê Văn Huy</t>
  </si>
  <si>
    <t>NV5167</t>
  </si>
  <si>
    <t>NV Vận hành máy in KTS -DC5 PXSX2</t>
  </si>
  <si>
    <t>Trong ca sản xuất 2A/21/06/2025 chạy mẫu gạch ML 60223 xảy ra tình trạng xước mầu liên tục nhưng vận hành máy in không kiểm soát kịp thời dẫn đến gạch ra lò phải hạ loại A2 150m2</t>
  </si>
  <si>
    <t>Tập thể nghiền sấy phun PXSX1</t>
  </si>
  <si>
    <t>Tập thể bộ phận nghiền sấy phun PXSX1 đã chủ động khắc phục mọi khó khăn về thời tiết và thiếu hụt nguồn nhân lực nhưng vẫn chủ động đáp ứng nguồn nguyên liệu phục vụ sản xuất của phân xưởng</t>
  </si>
  <si>
    <t>Tập thể bộ phận sơ chế</t>
  </si>
  <si>
    <t>Lê Viết Hùng</t>
  </si>
  <si>
    <t>Nguyễn Đình Vũ</t>
  </si>
  <si>
    <t>NV cơ điện PX1</t>
  </si>
  <si>
    <t>Tổ trưởng tổ PVXH</t>
  </si>
  <si>
    <t>Tập thể bộ phận sơ chế( Tổ phục vụ xuất hàng) và các cá nhân bộ phận cơ điện PXSX1 đã chủ động khắc phục mọi khó khăn về thời tiết và thiếu hụt nhân lực nhưng vẫn chủ động đáp ứng công tác đảm bảo phục vụ sản xuất của phân xưởng</t>
  </si>
  <si>
    <t xml:space="preserve">           Thanh Hóa ngày 02 tháng 07 năm 2025</t>
  </si>
  <si>
    <t>Thanh Hóa, ngày 02 tháng 07 năm 2025</t>
  </si>
  <si>
    <t>Trừ lương T06,07/2025 (mỗi tháng 1.500.000 đồng )</t>
  </si>
  <si>
    <t>Phó GĐ Điều hành + BGĐ PXSX1</t>
  </si>
  <si>
    <t>Phó GĐ Điều hành + BGĐ PXSX2</t>
  </si>
  <si>
    <t>k đc tính</t>
  </si>
  <si>
    <t>TỔNG HỢP PHẠT NỘI QUY KHỐI VĂN PHÒNG THÁNG 07/2025</t>
  </si>
  <si>
    <t>Nhân viên Lái xe nâng - Tổ phục vụ xuất hàng</t>
  </si>
  <si>
    <t>Trong quá trình nâng gạch nhập kho, xuất bán, không cẩn thận làm vỡ 55 hộp gạch VS95515A1G theo biển bản của Thủ kho và Tổ giám sát đã lập ngày 26/6/2025</t>
  </si>
  <si>
    <t xml:space="preserve">Trừ tháng 07,08,09/2025 tổng 2,475,000 đồng </t>
  </si>
  <si>
    <t>NV5515</t>
  </si>
  <si>
    <t>Văn Doãn Hoa</t>
  </si>
  <si>
    <t>Nhân viên KCS - Tổ thanh tra sản xuất</t>
  </si>
  <si>
    <t>Thiếu kiểm soát khi đóng dấu code nhập kho ngày 26/6/2025, dẫn đến gạch nhập kho lẫn hai mẫu trong một palet. Theo biên bản Thủ kho thành phẩm và Tổ giám sát lập ngày 06/07/2025</t>
  </si>
  <si>
    <t>Trong quá trình nâng gạch nhập kho, xuất bán, không cẩn thận làm vỡ 03 hộp gạch KA68-8002A2G2 theo biển bản của Thủ kho và Tổ giám sát đã lập ngày 05/07/2025</t>
  </si>
  <si>
    <t>NV3301</t>
  </si>
  <si>
    <t>Nguyễn Hữu Chung</t>
  </si>
  <si>
    <t>Nhân viên bảo vệ - Ban thanh tra kiểm soát</t>
  </si>
  <si>
    <t>Vào lúc 02h41p ngày 28/07/2025, ông Nguyễn Hữu Chung đã tự ý cho lái xe của CÔng ty uống rượu về kho Đông Văn để ngủ và để lái máy tự ý đánh máy đi nhổ cây khu vực dự án lúc 04h33p vào ngày 19/07/2025</t>
  </si>
  <si>
    <t>Trong quá trình thiết kế market vỏ hộp 500x500 Japanhome không cẩn thận bị sai phần tai vỏ hộp, tổng số lượng 15.360 cái vỏ hộp phải sử dụng ke góc nhựa để khắc phục</t>
  </si>
  <si>
    <t>NV2749</t>
  </si>
  <si>
    <t>Phạm Văn Năm</t>
  </si>
  <si>
    <t>Nhân viên lái máy - Ban đầu tư - khai thác</t>
  </si>
  <si>
    <t>Vào lúc 02h41p ngày 28/07/2025 , ông Phạm Văn Năm đi uống rượu bên ngoại về kho Đông Văn để ngủ và tự ý nghỉ việc vô lý do ngày 28/07/2025 không xin phép cấp quản lý</t>
  </si>
  <si>
    <t>Trưởng bộ phận Kế hoạch sản xuất - Ban kinh doanh</t>
  </si>
  <si>
    <t>Vào lúc 14h18p ngày 29/07/2025, ông Nguyễn Mạnh Uyên tự ý ra ngoài công ty không xin phép cấp quản lý</t>
  </si>
  <si>
    <t>Thanh Hóa, ngày 07 tháng 08 năm 2025</t>
  </si>
  <si>
    <t>NV5529</t>
  </si>
  <si>
    <t>Vũ Đình Hải</t>
  </si>
  <si>
    <t>Trong quá trình nâng gạch nhập kho, xuất bán, không cẩn thận làm vỡ 3 hộp gạch VR6103A1H2 và 1 hộp gạch MTC66043A1I2 theo biên bản của thủ kho và tổ giám sát đã lập ngày 16 và 23/06/2025</t>
  </si>
  <si>
    <t>NV5522</t>
  </si>
  <si>
    <t>Phạm Thế Luyến</t>
  </si>
  <si>
    <t>Bộ phận xe nâng hành chính</t>
  </si>
  <si>
    <t>Trong quá trình nâng gạch nhập kho, xuất bán,không cẩn thận làm vỡ 1 hộp gạch KH48710A1G1 theo biên bản của thủ kho và tổ giám sát đã lập ngày 30/6/2025</t>
  </si>
  <si>
    <t>NV0158</t>
  </si>
  <si>
    <t>Nguyễn Trọng Bình</t>
  </si>
  <si>
    <t>Nhóm trưởng - Tổ thanh tra sản xuất</t>
  </si>
  <si>
    <t>Trách nhiệm liên đới trong việc nhân viên KCS thiếu kiểm soát khi đóng dấu code nhập kho ngày 26/6/2025, dẫn đến gạch nhập kho lẫn hai mẫu trong một palet, theo biên bản thủ kho thành phẩm và tổ giám sát đã lập ngày 6/7/2025</t>
  </si>
  <si>
    <t>NV3542</t>
  </si>
  <si>
    <t>Nguyễn Xuân Sơn</t>
  </si>
  <si>
    <t>Thủ kho công trình Quảng Thành - Ban đầu tư</t>
  </si>
  <si>
    <t>Tự ý cho người ngoài công ty để đồ dùng, vật tư gia đình trong căn nhà mẫu số 5 - Công trình: Hạ tầng kỹ thuật khu tái định cư Quảng Thành giai đoạn 2-3 theo biên bản Ban thanh tra kiểm soát lập ngày 14/07/2025</t>
  </si>
  <si>
    <t>NV0824</t>
  </si>
  <si>
    <t>Trần Thị Hiền</t>
  </si>
  <si>
    <t>Thủ kho Đông Văn - Phòng kế toán</t>
  </si>
  <si>
    <t>Báo cáo không kịp thời về việc công nhân lái máy tự ý đánh máy đi nhổ cây khu vực dự án lúc 04h33p ngày 19/7/2025</t>
  </si>
  <si>
    <t>Trưởng bộ phận kho Đông Văn - Ban đầu tư - khai thác</t>
  </si>
  <si>
    <t>Trách nhiệm liên đới cấp quản lý về việc công nhân lái máy tự ý đánh máy đi nhổ cây khu vực dự án lúc 04h33p ngày 19/7/2025</t>
  </si>
  <si>
    <t>NV4515</t>
  </si>
  <si>
    <t>Lê Hữu Phước</t>
  </si>
  <si>
    <t>Nhân viên lái xe - Ban đầu tư - khai thác</t>
  </si>
  <si>
    <t>Vào lúc 02h41p ngày 28/07/2025 ông Lê Hữu Phước đi uống rượu bên ngoại về kho Đông Văn để ngủ và tự ý nghỉ việc vô lý do ngày 28/07/2025 không xin phép cấp quản lý</t>
  </si>
  <si>
    <t xml:space="preserve">           Thanh Hóa ngày 07 tháng 08 năm 2025</t>
  </si>
  <si>
    <t>TỔNG HỢP PHẠT NỘI QUY PXSX 1 THÁNG 07/2025</t>
  </si>
  <si>
    <t>NV1612</t>
  </si>
  <si>
    <t>Lê Văn Trường</t>
  </si>
  <si>
    <t>CBKT Mài - BP máy mài</t>
  </si>
  <si>
    <t>Trong quá trình dọn dẹp, lọc gạch vỡ tại khu vực ngoài PX1, không chọn lọc tách riêng gạch phế và gạch phế hủy, khi thanh tra kiểm tra phát hiện tổng có 33 viên gạch phế loại 1 trong thùng phế hủy mang sang đổ xưởng nghiền</t>
  </si>
  <si>
    <t>NV4752</t>
  </si>
  <si>
    <t>Nguyễn Văn Tưởng</t>
  </si>
  <si>
    <t>Công nhân lái xe nâng đi ca</t>
  </si>
  <si>
    <t>Tự ý nghỉ việc vô lý do từ ngày 5/7/2025 đến 10/7/2025 theo biên bản Bộ phận bao gói lập ngày 10/7/2025</t>
  </si>
  <si>
    <t>NV5418</t>
  </si>
  <si>
    <t>Vương Huy Tân</t>
  </si>
  <si>
    <t xml:space="preserve">Công nhân bao gói ca B </t>
  </si>
  <si>
    <t>Tự ý nghỉ việc vô lý do từ ngày 6/7/2025 đến 11/7/2025 theo biên bản Bộ phận bao gói lập ngày 11/7/2025</t>
  </si>
  <si>
    <t>NV5419</t>
  </si>
  <si>
    <t>Vương Huy Phúc</t>
  </si>
  <si>
    <t>NV3376</t>
  </si>
  <si>
    <t xml:space="preserve">Lê Vạn Tâm </t>
  </si>
  <si>
    <t>Vận hành máy mài cạnh B</t>
  </si>
  <si>
    <t>Thiếu kiểm soát trong vận hành máy mài để 04 viên đá mài bị hết đá liền kề nhau cùng một máy dẫn đến phải dừng mài 15p, theo biên bản bộ phận máy mài lập ngày 07/07/2025</t>
  </si>
  <si>
    <t>NV1200</t>
  </si>
  <si>
    <t>Trịnh Tuấn Linh</t>
  </si>
  <si>
    <t>CN vận hành máy in KTS ca B</t>
  </si>
  <si>
    <t>Trong ca sản xuất ca 2B ngày 16/06/2025, thiếu kiểm soát trong công việc dẫn đến gạch ra lò bị mất màu máy in hạ loại A3 số lượng 480m2</t>
  </si>
  <si>
    <t>NV0183</t>
  </si>
  <si>
    <t>Lê Văn Thuận</t>
  </si>
  <si>
    <t>Tổ trưởng dây chuyền ca B</t>
  </si>
  <si>
    <t>Trách nhiệm liên đới trong việc công nhân vận hành máy in kỹ thuật số, thiếu kiểm soát trong công việc dẫn gạch ra lò bị hạ loại ngày 16/6 và 29/6/2025</t>
  </si>
  <si>
    <t>Trong ca sản xuất 2B ngày 29/06/2025, thiếu kiểm soát trong công việc dẫn đến gạch ra lò bị xước màu hạ loại A2 số lượng 842m2</t>
  </si>
  <si>
    <t>NV1263</t>
  </si>
  <si>
    <t>Nguyễn Xuân Dũng</t>
  </si>
  <si>
    <t>VH Máy in kỹ thuật số ca A</t>
  </si>
  <si>
    <t>Trong ca sản xuất 2A ngày 30/6/2025, ông Nguyễn Xuân Dũng có sử dụng điện thoại vào việc riêng xen lẫn khi đang báo cáo công việc</t>
  </si>
  <si>
    <t>NV0323</t>
  </si>
  <si>
    <t>Lê Tiến Đại</t>
  </si>
  <si>
    <t>Trong ca sản xuất 2A ngày 30/6/2025, ông Lê Tiến Đại có sử dụng điện thoại vào việc riêng xen lẫn khi đang báo cáo công việc</t>
  </si>
  <si>
    <t>Công nhân Nghiền sấy phun ca A</t>
  </si>
  <si>
    <t>Trong ca sản xuất 2A ngày 30/6/2025, ông Đỗ Ngọc Vui có sử dụng điện thoại vào việc riêng xen lẫn khi đang báo cáo công việc</t>
  </si>
  <si>
    <t>Tổ trưởng bao gói ca C</t>
  </si>
  <si>
    <t>Tổ trưởng bao gói ca B</t>
  </si>
  <si>
    <t>Công tác kiểm soát vật tư chưa tốt dẫn đến vật tư ke góc đang sử dụng được lại bỏ vào thùng rác, vật tư ke góc bị xô lệch sau quá trình lĩnh sử dụng, theo biên bản bộ phận bao gói lập ngày 15/7/2025</t>
  </si>
  <si>
    <t>TỔNG HỢP PHẠT NỘI QUY PXSX2 THÁNG 07/2025</t>
  </si>
  <si>
    <t>NV0617</t>
  </si>
  <si>
    <t>Phạm Văn Chiến</t>
  </si>
  <si>
    <t>Tổ trưởng - Bộ phận nung và hoàn thiện sản phẩm DC6</t>
  </si>
  <si>
    <t>Kiểm soát chưa tốt việc cân, ghi sổ báo cáo khối lượng cân gạch phế hủy theo biên bản Ban giám đốc PX2 lập ngày 25/6/2025</t>
  </si>
  <si>
    <t>NV0606</t>
  </si>
  <si>
    <t>Nguyễn Thương Huyền</t>
  </si>
  <si>
    <t>NV0976</t>
  </si>
  <si>
    <t>Hoàng Văn Vũ</t>
  </si>
  <si>
    <t>Tổ trưởng cơ điện - Phòng kỹ thuật</t>
  </si>
  <si>
    <t>Trách nhiệm liên đới trong quản lý, quá trình xử lý sự cố máy xếp chồng chưa đúng quy trình đảm bảo an toàn dẫn đến xảy ra tai nạn lao động, theo biên bản Phòng kỹ thuật - PX2 lập ngày 25/05/2025</t>
  </si>
  <si>
    <t>NV0107</t>
  </si>
  <si>
    <t>Lê Văn Đại</t>
  </si>
  <si>
    <t>Tổ phó cơ điện - Phòng kỹ thuật</t>
  </si>
  <si>
    <t>NV0544</t>
  </si>
  <si>
    <t>Lê Đức Dự</t>
  </si>
  <si>
    <t>Công nhân lái xe nâng ca A - Bộ phận nung và hoàn thiện sản phẩm DC6</t>
  </si>
  <si>
    <t>Không thực hiện đúng yêu cầu công việc của cấp trên, báo cáo sai hụt số cân gạch hủy khi đỗ vào kho, theo biên bản bộ phận nung và hoàn thiện sản phẩm lập ngày 30/06/2025</t>
  </si>
  <si>
    <t>Kiểm soát chưa tốt việc cân, ghi sổ báo cáo khối lượng cân gạch phế hủy theo biên bản Ban giám đốc PX2 lập ngày 30/6/2025</t>
  </si>
  <si>
    <t>NV4587</t>
  </si>
  <si>
    <t>Viên Trịnh Hà</t>
  </si>
  <si>
    <t>VH máy mài cạnh - BP máy mài DC6</t>
  </si>
  <si>
    <t>Trong quá trình dọn vệ sinh gầm máy mài cạnh đã đổ lẫn cuống đá mài vát vào thùng gạch phế hủy, việc này đã được nhắc nhở nhưng vẫn không thực hiện triệt để, ảnh hưởng tới quá trình nghiền sử dụng lại gạch hủy, theo biên bản Bộ phận mài ngày 04/07/2025</t>
  </si>
  <si>
    <t>NV5496</t>
  </si>
  <si>
    <t>Ngô Công Tám</t>
  </si>
  <si>
    <t>CN bao gói ca B -DC5</t>
  </si>
  <si>
    <t>Trong quá trình dồn gạch thí nghiệm của Bộ phận công nghệ, không kiểm tra mã gạch sản phẩm dẫn đến xếp chung hai mẫu trong một palet nhập kho ngày 26/06/2025</t>
  </si>
  <si>
    <t>NV5560</t>
  </si>
  <si>
    <t>Đỗ Văn Thành</t>
  </si>
  <si>
    <t>NV1892</t>
  </si>
  <si>
    <t>Nguyễn Viết Linh</t>
  </si>
  <si>
    <t>Trách nhiệm liên đới, kiểm soát chưa tốt trong công việc để công nhân bao gói dồn gạch đã xếp hai mẫu chung vào một palet nhập kho ngày 26/06/2025</t>
  </si>
  <si>
    <t>NV3011</t>
  </si>
  <si>
    <t>Trương Quốc Thịnh</t>
  </si>
  <si>
    <t>CN vận hành máy in KTS - DC6</t>
  </si>
  <si>
    <t>Trong ca sản xuất 2B ngày 08/07/2025 vào lúc 22h ông Trương Quốc Thịnh sử dụng điện thoại vào việc riêng, theo biên bản tổ trưởng dây chuyền lập ngày 08/06/2025</t>
  </si>
  <si>
    <t>Trách nhiệm liên đới trong việc công nhân vận hành máy in KTS sử dụng điện thoại vào việc riêng ca 2B ngày 08/07/2025</t>
  </si>
  <si>
    <t>NV0714</t>
  </si>
  <si>
    <t>Phùng Văn Dũng</t>
  </si>
  <si>
    <t>Lái xúc lật</t>
  </si>
  <si>
    <t>Cân sai thành phần nguyên liệu bài phối đơn 69, gây ảnh hưởng đến bài phối liệu, theo biên bản bộ phận Nghiền sấy phun lập ngày 13/07/2025</t>
  </si>
  <si>
    <t>Nhóm trưởng - Bộ phận Nghiền, sấy phun</t>
  </si>
  <si>
    <t>Giám sát cân nguyên liệu chưa tốt, dẫn đến cân sai nguyên liệu bài phối, theo biên bản bộ phận nghiền sấy phun lập ngày 13/07/2025</t>
  </si>
  <si>
    <t>Phó bộ phận Nghiền, sấy phun</t>
  </si>
  <si>
    <t>Trách nhiệm liên đới trong công việc công nhân Nghiền,sấy phun thiếu kiểm soát dẫn đến cân nhầm nguyên liệu bài phối và trong khi bơm sấy trực tiếp hồ thí nghiệm, chưa đánh giá tốt công việc dẫn đến ống nối vào bơm biston bị nứt chảy hồ ra nền xưởng ngày 13/07/2025</t>
  </si>
  <si>
    <t>NV3296</t>
  </si>
  <si>
    <t>Lê Nhữ Đạt</t>
  </si>
  <si>
    <t>Công nhân lò nung ca A</t>
  </si>
  <si>
    <t>Trong ca sản xuất 2A ngày 14/07/2025 , ông Lê Như Đạt tự ý điều khiển xe nâng trong quá trình điều khiển xe nâng để xe nâng rơi xuống hối đầu rải làm xe nâng hư hỏng nặng</t>
  </si>
  <si>
    <t>Trưởng bộ phận công nghệ</t>
  </si>
  <si>
    <t>Trách nhiệm liên đới cấp quản lý, nhân viên thiết kế ghi nhầm thông số chày phẳng thành chày định hình, dẫn đến gạch ra lò tách riêng số lượng là 580m2</t>
  </si>
  <si>
    <t>Tổ trưởng dây chuyền ca A - DC6</t>
  </si>
  <si>
    <t>Kiểm soát chưa tốt trong quá trình thay mẫu, nhân viên thiết kế ghi nhầm thông số chày phẳng thành chày định hình, dẫn đến gạch ra lò tách riêng số lượng là 580m2</t>
  </si>
  <si>
    <t>NV0768</t>
  </si>
  <si>
    <t>Vũ Đức Cường</t>
  </si>
  <si>
    <t>Nhân viên thiết kế - Bộ phận công nghệ</t>
  </si>
  <si>
    <t>Trong ca sản xuất 1A ngày 27/07/2025, quá trình thay mẫu sản xuất MTCS50218 ông Vũ Đức Cường thiếu kiểm soát ghi nhầm  thông số chày phẳng thành chày định hình, dẫn đến gạch ra lò tách riêng số lượng là 580m2</t>
  </si>
  <si>
    <t>Phó bộ phận Gia công nguyên liệu</t>
  </si>
  <si>
    <t>Trách nhiệm liên đới cấp quản lý, công nhân vận hành máy in kỹ thuật số thiếu kiểm soát, dẫn đến gạch ra lò thừa sản lượng với kế hoạch sản xuất là 1193m2</t>
  </si>
  <si>
    <t>NV0588</t>
  </si>
  <si>
    <t>Nguyễn Đức Toán</t>
  </si>
  <si>
    <t>Tổ trưởng dây chuyền ca A - DC5</t>
  </si>
  <si>
    <t>NV3245</t>
  </si>
  <si>
    <t>Lê Hữu Việt</t>
  </si>
  <si>
    <t>Công nhân vận hành máy in kỹ thuật số ca A</t>
  </si>
  <si>
    <t>Trong ca sản xuất 1A ngày 25/07/2025, quá trình thay mẫu sản xuất từ mẫu MRS5502 sang mẫu MTC50411, ông Lê Hữu Việt kiểm soát chưa tốt khi máy in KTS lỗi chạy quay lại mẫu MRS5502, dẫn đến gạch ra lò thừa sản lượng với kế hoạch sản xuất là 1193m2</t>
  </si>
  <si>
    <t>NV5628</t>
  </si>
  <si>
    <t>Lê Kiên Quyết</t>
  </si>
  <si>
    <t>Công nhân bao gói ca A - DC5</t>
  </si>
  <si>
    <t>Trong ca sản xuất 1A ngày 22/07/2025, ông Lê Kiên Quyết tự ý bỏ về,không được sự đồng ý của cấp quản lý, theo biên bản bộ phận bao gói lập ngày 24/07/2025</t>
  </si>
  <si>
    <t>NV5563</t>
  </si>
  <si>
    <t>Đỗ Xuân Quyết</t>
  </si>
  <si>
    <t>NV4046</t>
  </si>
  <si>
    <t>Lê Hữu Quyền</t>
  </si>
  <si>
    <t>Trong ca sản xuất 1A ngày 22/07/2025, ông Lê Hữu Quyền tự ý bỏ về,không được sự đồng ý của cấp quản lý, theo biên bản bộ phận bao gói lập ngày 24/07/2025</t>
  </si>
  <si>
    <t>Công nhân nghiền sấy phun - DC5 (Điều động hỗ trợ tạm thời sang bao gói)</t>
  </si>
  <si>
    <t>Tự ý nghỉ việc vô lý do ngày 21/07/2025, không xin phép cấp quản lý, theo biên bản bộ phận bao gói lập ngày 21/07/2025</t>
  </si>
  <si>
    <t>NV4424</t>
  </si>
  <si>
    <t>Lê Văn Kiên</t>
  </si>
  <si>
    <t>Công nhân bao gói ca B - DC5</t>
  </si>
  <si>
    <t>NV5543</t>
  </si>
  <si>
    <t>Bùi Sĩ Trung</t>
  </si>
  <si>
    <t>Tự ý nghỉ việc vô lý do ngày 22/07/2025, không xin phép cấp quản lý, theo biên bản bộ phận bao gói lập ngày 24/07/2025</t>
  </si>
  <si>
    <t>NV0621</t>
  </si>
  <si>
    <t>Nguyễn Thị Hoài Thu</t>
  </si>
  <si>
    <t>NV5222</t>
  </si>
  <si>
    <t>Nguyễn Sĩ Sáu</t>
  </si>
  <si>
    <t>TỔNG HỢP PHẠT NỘI QUY KHỐI VĂN PHÒNG THÁNG 08/2025</t>
  </si>
  <si>
    <t>TỔNG HỢP PHẠT NỘI QUY PXSX2 THÁNG 08/2025</t>
  </si>
  <si>
    <t>NV0480</t>
  </si>
  <si>
    <t>Cao Văn Tân</t>
  </si>
  <si>
    <t>Trong ca sản xuất 1B ngày 28/07/2025, kiểm soát bột ép không tốt dẫn đến gạch ra lò bị phân lớp kéo dài.</t>
  </si>
  <si>
    <t>NV1261</t>
  </si>
  <si>
    <t>Trương Quốc Cường</t>
  </si>
  <si>
    <t>Công nhân VH máy ép - Bộ phận dây chuyền gia công và Lò nung</t>
  </si>
  <si>
    <t>Tổ trưởng dây chuyền - Bộ phận dây chuyền gia công và Lò nung</t>
  </si>
  <si>
    <t>Trong ca sản xuất 1B ngày 28/07/2025, kiểm soát chất lượng gạch sau ép chưa tốt và báo cáo sự cố không kịp thời dẫn đến gạch ra lò bị phân lớp kéo dài.</t>
  </si>
  <si>
    <t>Phạm Thanh Hải</t>
  </si>
  <si>
    <t>NV0106</t>
  </si>
  <si>
    <t>Tổ trưởng - Phụ trách Đóng hộp DC5</t>
  </si>
  <si>
    <t xml:space="preserve">Trách nhiệm liên đới cấp quản lý, công nhân để thuốc lá không đúng nơi quy định. </t>
  </si>
  <si>
    <t>Phó bộ phận - Phụ trách Dây chuyền gia công DC5</t>
  </si>
  <si>
    <t xml:space="preserve">Trách nhiệm liên đới cấp quản lý, công nhân vận hành máy ép kiểm soát bột không tốt dẫn đến tình trang gạch ra lò phân lớp kéo dài. </t>
  </si>
  <si>
    <r>
      <t>Trong quá trình nâng gạch nhập kho, xuất bán, không cẩn thận làm vỡ 08 hộp gạch MT 80416 A</t>
    </r>
    <r>
      <rPr>
        <vertAlign val="subscript"/>
        <sz val="12"/>
        <color theme="1"/>
        <rFont val="Times New Roman"/>
        <family val="1"/>
      </rPr>
      <t>1</t>
    </r>
    <r>
      <rPr>
        <sz val="12"/>
        <color theme="1"/>
        <rFont val="Times New Roman"/>
        <family val="1"/>
      </rPr>
      <t xml:space="preserve"> I</t>
    </r>
    <r>
      <rPr>
        <vertAlign val="subscript"/>
        <sz val="12"/>
        <color theme="1"/>
        <rFont val="Times New Roman"/>
        <family val="1"/>
      </rPr>
      <t>1</t>
    </r>
    <r>
      <rPr>
        <sz val="12"/>
        <color theme="1"/>
        <rFont val="Times New Roman"/>
        <family val="1"/>
      </rPr>
      <t>.</t>
    </r>
    <r>
      <rPr>
        <vertAlign val="subscript"/>
        <sz val="12"/>
        <color theme="1"/>
        <rFont val="Times New Roman"/>
        <family val="1"/>
      </rPr>
      <t xml:space="preserve"> </t>
    </r>
    <r>
      <rPr>
        <sz val="12"/>
        <color theme="1"/>
        <rFont val="Times New Roman"/>
        <family val="1"/>
      </rPr>
      <t xml:space="preserve"> Theo biên bản của Thủ kho và Tổ giám sát đã lập ngày 19 tháng 07 năm 2025.</t>
    </r>
  </si>
  <si>
    <t>Trừ lương tháng 10/2025</t>
  </si>
  <si>
    <t>Tổ trưởng bao gói - Bộ phận Mài đóng hộp</t>
  </si>
  <si>
    <t xml:space="preserve">Trong ca sản xuất 2B ngày 21/07/2025, Ông: Nguyễn Viết Linh có thái độ chưa chuẩn mực trong công tác chỉ đạo đối với công công nhân mới. </t>
  </si>
  <si>
    <t>NV2473</t>
  </si>
  <si>
    <t>Nguyễn Việt Anh</t>
  </si>
  <si>
    <t xml:space="preserve">Trong ca sản xuất 1A ngày 29/07/2025, để thuốc lá không đúng nơi quy định.    </t>
  </si>
  <si>
    <t>NV5302</t>
  </si>
  <si>
    <t>Lê Thị Ánh</t>
  </si>
  <si>
    <t>Vệ sinh công nghiệp</t>
  </si>
  <si>
    <t>Vào lúc 14h45 phút ngày 29/07/2025, Bà: Lê Thị Ánh thực hiện công tác vệ sinh quét nền nhà xưởng nhưng không tưới nước trước khi quét.</t>
  </si>
  <si>
    <t>NV5157</t>
  </si>
  <si>
    <t>Hoàng Phú Đạt</t>
  </si>
  <si>
    <t>GĐ vùng 9 - Ban kinh doanh</t>
  </si>
  <si>
    <t xml:space="preserve">Trong quá trình kiểm tra, thực hiện công việc chưa tốt dẫn đến ghi nhầm mã sản phẩm MZ 80363 thành mã VC 80063 vào biên bản kiểm tra chất lượng và đăng Dingtak để giảm trừ gạch vỡ cho nhà phân phối. </t>
  </si>
  <si>
    <t>NV0081</t>
  </si>
  <si>
    <t>Lê Thị Nhung</t>
  </si>
  <si>
    <t>NV điều phối - Ban kinh doanh</t>
  </si>
  <si>
    <t xml:space="preserve">Kỷ năng giao tiếp với Nhà phân phối còn hạn chế, làm ảnh hưởng đến doanh số xuất bán hàng của Công ty. </t>
  </si>
  <si>
    <t>NV4900</t>
  </si>
  <si>
    <t>Lê Ngọc Quỳnh</t>
  </si>
  <si>
    <t>VH lò nung xương dây chuyền 5</t>
  </si>
  <si>
    <t>Trong ca sản xuất 3B ngày 13/08/2025, Ông: Lê Ngọc Quỳnh đã không thực hiện việc kiểm soát và báo cáo phế theo đúng tần suất quy định. Theo biên bản Bộ phận lò nung lập ngày 13/08/2025.</t>
  </si>
  <si>
    <t>Trần Văn Hệ</t>
  </si>
  <si>
    <t>Tổ phó lò nung dây chuyền 5</t>
  </si>
  <si>
    <t xml:space="preserve">Trách nhiệm liên đới cấp quản lý, công nhân vận hành không thực hiện việc kiểm soát và báo cáo phế theo đúng tần suất quy định. </t>
  </si>
  <si>
    <t>NV0623</t>
  </si>
  <si>
    <t>Đặng Viết Xứng</t>
  </si>
  <si>
    <t>Phó bộ phận lò nung dây chuyền 5</t>
  </si>
  <si>
    <t>NV0769</t>
  </si>
  <si>
    <t>Tổ phục vụ xuất hàng</t>
  </si>
  <si>
    <t>Phòng kế toán</t>
  </si>
  <si>
    <t>Khen thưởng đối với tập thể tổ phục vụ xuất hàng, Phòng kế toán. Vì đã có thành tích đột xuất trong quá trình thực hiện nhiệm vụ xuất hàng cho nhà phân phối tại tại thời điểm điễn biến cơn bão số 5 (Kajiki) vào ngày 25/08/2025</t>
  </si>
  <si>
    <t>Đỗ Ngọc Toàn</t>
  </si>
  <si>
    <t>Phạm Văn Lực</t>
  </si>
  <si>
    <t>PP Phòng tổ chức</t>
  </si>
  <si>
    <t>Chuyên viên Phòng tổ chức</t>
  </si>
  <si>
    <t>Nguyễn Anh Hải</t>
  </si>
  <si>
    <t>PP Phòng khai thác</t>
  </si>
  <si>
    <t>Lê Xuân Lộc</t>
  </si>
  <si>
    <t>Đỗ Văn Duyên</t>
  </si>
  <si>
    <t>Nguyễn Hoàng Anh</t>
  </si>
  <si>
    <t>Trần Công Đua</t>
  </si>
  <si>
    <t>Nguyễn Văn Thìn</t>
  </si>
  <si>
    <t>Hoàng Đình Cương</t>
  </si>
  <si>
    <t>Lê Văn Hưng</t>
  </si>
  <si>
    <t>Lê Đình Hưng</t>
  </si>
  <si>
    <t>TBP ngiền SP PX1</t>
  </si>
  <si>
    <t>Giám đốc mỏ</t>
  </si>
  <si>
    <t>Tổ QC</t>
  </si>
  <si>
    <t>Bảo vệ</t>
  </si>
  <si>
    <t>PXCBNL</t>
  </si>
  <si>
    <t>Khen thưởng đối với các cá nhân vì đã có thành tích đột xuất trong quá trình thực hiện nhiệm vụ phòng chống bão số 5 (Kajiki) ngày 24/08/2025</t>
  </si>
  <si>
    <t>Tám trăm nghìn đồng</t>
  </si>
  <si>
    <t>Thanh Hóa, ngày 05 tháng 09 năm 2025</t>
  </si>
  <si>
    <t>Một triệu chín trăm linh tám nghìn đồng</t>
  </si>
  <si>
    <t xml:space="preserve"> </t>
  </si>
  <si>
    <t xml:space="preserve">           Thanh Hóa ngày 05 tháng 09 năm 2025</t>
  </si>
  <si>
    <t>Một triệu năm trăm nghìn đồng</t>
  </si>
  <si>
    <t xml:space="preserve">         Thanh Hóa ngày 05 tháng 09 năm 2025</t>
  </si>
  <si>
    <t>TỔNG HỢP PHẠT NỘI QUY KHỐI VĂN PHÒNG THÁNG 09/2025</t>
  </si>
  <si>
    <t xml:space="preserve">         Thanh Hóa ngày 05 tháng 10 năm 2025</t>
  </si>
  <si>
    <t>NV1867</t>
  </si>
  <si>
    <t>Trần Thị Yến</t>
  </si>
  <si>
    <t>Kế toán tổng hợp - Phòng kế toán</t>
  </si>
  <si>
    <t>Kiểm soát công việc chưa tốt, nộp chậm tờ khai thuế tài nguyên, tờ khai phí bảo vệ môi trường, kỳ tính thuế tháng 5/2025, quá hạn 39 ngày theo quy định của luật thuế số 38/2019/QH14 ngày 13/06/2025.</t>
  </si>
  <si>
    <t>Trừ từ tháng 09 và tháng 10/2025 (mỗi tháng trừ 1.625.000đ)</t>
  </si>
  <si>
    <t>Thanh Hóa, ngày 05 tháng 10 năm 2025</t>
  </si>
  <si>
    <r>
      <t>Trong quá trình nâng gạch nhập kho, xuất bán, không cẩn thận làm vỡ 03 hộp gạch KA68 - 8002 A</t>
    </r>
    <r>
      <rPr>
        <vertAlign val="subscript"/>
        <sz val="12"/>
        <color theme="1"/>
        <rFont val="Times New Roman"/>
        <family val="1"/>
      </rPr>
      <t>2</t>
    </r>
    <r>
      <rPr>
        <sz val="12"/>
        <color theme="1"/>
        <rFont val="Times New Roman"/>
        <family val="1"/>
      </rPr>
      <t xml:space="preserve"> G</t>
    </r>
    <r>
      <rPr>
        <vertAlign val="superscript"/>
        <sz val="12"/>
        <color theme="1"/>
        <rFont val="Times New Roman"/>
        <family val="1"/>
      </rPr>
      <t xml:space="preserve">2 </t>
    </r>
    <r>
      <rPr>
        <vertAlign val="subscript"/>
        <sz val="12"/>
        <color theme="1"/>
        <rFont val="Times New Roman"/>
        <family val="1"/>
      </rPr>
      <t xml:space="preserve"> .</t>
    </r>
    <r>
      <rPr>
        <sz val="12"/>
        <color theme="1"/>
        <rFont val="Times New Roman"/>
        <family val="1"/>
      </rPr>
      <t xml:space="preserve"> Theo biên bản của Thủ kho và Tổ giám sát đã lập ngày 05 tháng 07 năm 2025.</t>
    </r>
  </si>
  <si>
    <t>TỔNG HỢP PHẠT NỘI QUY PXSX 1 THÁNG 09/2025</t>
  </si>
  <si>
    <t>NV4896</t>
  </si>
  <si>
    <t>Nguyễn Văn Gia</t>
  </si>
  <si>
    <t>Công nhân VH mài cạnh - Bộ Phận mài</t>
  </si>
  <si>
    <t>Lê Như Hiệp</t>
  </si>
  <si>
    <t>NV4535</t>
  </si>
  <si>
    <t>Công nhân VH mài Nano - Bộ Phận mài</t>
  </si>
  <si>
    <t>Vào ca sản xuát 2B ngày 21/08/2025, Ông Nguyễn Văn Gia; đã ngủ trong giờ làm việc, mất kiểm soát dẫn đến máy mài bị chồng gạch phải dừng mài 10 phút, theo biên bản Bộ phận mài lập ngày 22/08/2025</t>
  </si>
  <si>
    <t>Vào ca sản xuát 2B ngày 22/08/2025, Ông Lê Như Hiệp, tự ý nghỉ việc vô lý do không được sự đồng ý của cấp quản lý, theo biên bản Bộ phận mài lập ngày 23/08/2025</t>
  </si>
  <si>
    <t>NV0057</t>
  </si>
  <si>
    <t>Phạm Hồng Như</t>
  </si>
  <si>
    <t>CBKT Bộ phận công nghệ</t>
  </si>
  <si>
    <r>
      <t xml:space="preserve">Trách nhiệm trong cong tác quản lý, sử dụng nguyên liệu </t>
    </r>
    <r>
      <rPr>
        <i/>
        <sz val="12"/>
        <color theme="1"/>
        <rFont val="Times New Roman"/>
        <family val="1"/>
      </rPr>
      <t>(men)</t>
    </r>
    <r>
      <rPr>
        <sz val="12"/>
        <color theme="1"/>
        <rFont val="Times New Roman"/>
        <family val="1"/>
      </rPr>
      <t xml:space="preserve"> thí nghiệm, để tồn kho lâu ngày, chưa có phương án xử lý, tại thời điểm đánh giá để tiêu huỷ chưa thực hiện đúng quy trình.</t>
    </r>
  </si>
  <si>
    <t xml:space="preserve">           Thanh Hóa ngày 05 tháng 10 năm 2025</t>
  </si>
  <si>
    <t>TỔNG HỢP PHẠT NỘI QUY PXSX2 THÁNG 09/2025</t>
  </si>
  <si>
    <t xml:space="preserve">Trong ca sản xuất 3C ngày 25/08/2025, Ông: Nguyễn Việt Anh chưa bám sát công việc dẫn đến công nhân cắt dây đai Pet, đai palet gạch thừa 30cm/sợi, tổng đã cắt 23 sợi. Theo biên bản Bộ phận bao gói lập ngày 25/08/2025. </t>
  </si>
  <si>
    <t>NV5636</t>
  </si>
  <si>
    <t>Lê Đình Dũng</t>
  </si>
  <si>
    <t>Công nhân bao gói - Dây chuyền 5</t>
  </si>
  <si>
    <t xml:space="preserve">Trong ca sản xuất 1C ngày 24/08/2025, Ông: Lê Đình Dũng sử dụng điện thoại vào việc riêng gây ảnh hưởng đến chất lượng công việc. Theo biên bản Bộ phận bao gói lập ngày 24/08/2025. </t>
  </si>
  <si>
    <t>Nguyễn Trọng Thức</t>
  </si>
  <si>
    <t>NV0231</t>
  </si>
  <si>
    <t>Công nhân VH máy mài mặt - Dây chuyền 5</t>
  </si>
  <si>
    <t>Trong ca sản xuất 2B ngày 20/08/2025, Ông: Nguyễn Trọng Thức kiểm soát không tốt dẫn đến máy mài mặt hết đá quá nhiều, phải dừng mài thay đá gây ảnh hưởng đến tiến độ sản xuất. Theo biên bản Bộ phận máy mài lập ngày 20/08/2025.</t>
  </si>
  <si>
    <t>Tổ phó Bộ phận mài - Dây chuyền 5</t>
  </si>
  <si>
    <t>Trách nhiệm liên đới cấp quản lý để công nhân vận hành máy mài mặt kiểm soát không tốt dẫn đến máy mài mặt hết đá quá nhiều, phải dừng mài thay đá gây ảnh hưởng đến tiến độ sản xuất. Theo biên bản Bộ phận máy mài lập ngày 20/08/2025.</t>
  </si>
  <si>
    <t>Trịnh Văn Trọng</t>
  </si>
  <si>
    <t>NV5062</t>
  </si>
  <si>
    <t>Trong ca sản xuất 3B ngày 02/09/2025, Ông: Trịnh Văn Trọng tự ý nghỉ việc vô lý do không được sự đồng ý của cấp quản lý. Theo biên bản Bộ phận bao gói lập ngày 02/09/2025.</t>
  </si>
  <si>
    <t>Nguyễn Duy Toàn</t>
  </si>
  <si>
    <t>NV5594</t>
  </si>
  <si>
    <t>Trong ca sản xuất 3B ngày 02/09/2025, Ông: Nguyễn Duy Toàn tự ý nghỉ việc vô lý do không được sự đồng ý của cấp quản lý. Theo biên bản Bộ phận bao gói lập ngày 02/09/2025.</t>
  </si>
  <si>
    <t>Nguyễn Xuân Hạnh</t>
  </si>
  <si>
    <t>NV2719</t>
  </si>
  <si>
    <t>Công nhân dây chuyền - Dây chuyền 6</t>
  </si>
  <si>
    <t>Trong ca sản xuất 1A ngày 18/08/2025, Ông: Nguyễn Xuân Hạnh trông thay tráng men không kiểm soát tốt dẫn đến gạch ra lò bị thủng men hạ loại A2 tổng 50m2. Theo biên bản Bộ phận dây chuyền lập ngày 18/08/2025.</t>
  </si>
  <si>
    <t>NV3530</t>
  </si>
  <si>
    <t>Lê Trọng Tấn</t>
  </si>
  <si>
    <t>Nhân viên lái máy - Tổ đội xe máy - Phòng khai thác</t>
  </si>
  <si>
    <t>Vào hồi 04h33 phút ngày 19/07/2025, Ông Lê Trọng Tấn; tự ý đánh máy múc của Công ty đi nhổ cây trong khu vực dự án Đông Văn, không có chỉ đạo và đồng ý của cấp quản lý.</t>
  </si>
  <si>
    <t>NV5585</t>
  </si>
  <si>
    <t>Lê Văn Thành</t>
  </si>
  <si>
    <t>Trong ca sản xuất 1C ngày 02/09/2025, Ông: Lê Văn Thành; tự ý nghĩ việc vô lý do không được sự đồng ý của cấp quản lý. Theo biên bản Bộ phận bao gói lập ngày 02/09/2025.</t>
  </si>
  <si>
    <t>NV5485</t>
  </si>
  <si>
    <t>Nguyễn Lê Trang</t>
  </si>
  <si>
    <t>Công nhân lò nung bao gói - Dây chuyền 6</t>
  </si>
  <si>
    <t>Trong ca sản xuất 2B ngày 06/09/2025, Ông: Nguyễn Lê Trang; tự ý nghĩ việc vô lý do không được sự đồng ý của cấp quản lý. Theo biên bản Bộ phận bao gói lập ngày 06/09/2025.</t>
  </si>
  <si>
    <t>Công nhân bộ phận nghiền sấy phun</t>
  </si>
  <si>
    <t>Trong ca sản xuất 2B ngày 12/09/2025, thực hiện cân nạp đơn thí nghiệm BXS25C (Dẻo) nhầm lẫn khối lượng thuỷ tinh lỏng theo đơn là; 1.350kg nhưng nạp 135kg, thiếu 1.215kg. Sau khi bổ sung số lượng thuỷ tinh lỏng thiếu, phát sinh thêm 4h40 phút quay quả nghiền.</t>
  </si>
  <si>
    <t>NV2093</t>
  </si>
  <si>
    <t>Tổ phó nghiền sấy phun ca B</t>
  </si>
  <si>
    <t>Trách nhiệm liên đới cấp quản lý về việc công nhân thực hiện cân nạp đơn thí nghiệm BXS25C (Dẻo) nhầm lẫn khối lượng thuỷ tinh lỏng theo đơn là; 1.350kg nhưng nạp 135kg, thiếu 1.215kg. Sau khi bổ sung số lượng thuỷ tinh lỏng thiếu, phát sinh thêm 4h40 phút quay quả nghiền.</t>
  </si>
  <si>
    <t>TỔNG HỢP PHẠT NỘI QUY THÁNG 09/2025</t>
  </si>
  <si>
    <t>Phòng kỹ thuật</t>
  </si>
  <si>
    <t>Phân xưởng 1</t>
  </si>
  <si>
    <t>Vì đã có thành tích trong quá trình xử lý hệ thống làm mát, đảm bảo hoạt động của lò đốt dăm gỗ, đáp ứng nhu cầu sản xuất vào ngày 20/09/2025.</t>
  </si>
  <si>
    <t>Trừ lương tháng 9/2025</t>
  </si>
  <si>
    <t>NV5639</t>
  </si>
  <si>
    <t>Đặng Viết Định</t>
  </si>
  <si>
    <t>Công nhân bao gói ca A - phân xưởng sản xuất 1</t>
  </si>
  <si>
    <t>Trong ca sản xuất ngày 19/09 đến ngày 21/09/2025, Ông: Đặng Viết Định; tự ý nghĩ việc vô lý do không được sự đồng ý của cấp quản lý. Theo biên bản Bộ phận bao gói lập ngày 21/09/2025.</t>
  </si>
  <si>
    <t>NV</t>
  </si>
  <si>
    <t>Trong ca sản xuất 1C ngày 31/08/2025, Ông: Nguyễn Sĩ Sáu; tự ý nghĩ việc vô lý do không được sự đồng ý của cấp quản lý. Theo biên bản Bộ phận bao gói lập ngày 31/08/2025.</t>
  </si>
  <si>
    <t>Công nhân vận hành máy mài ca A - DC5</t>
  </si>
  <si>
    <t>Trong ca sản xuất 2A ngày 17/09/2025, Ông: Nguyễn Duy Xuân; kiểm soát không tốt để hết đá quá nhiều đầu mài dẫn đến phải dừng mài thay đá gây ảnh hưởng đến tiến độ sản xuất. Theo biên bản Bộ phận máy mài lập ngày 17/09/2025.</t>
  </si>
  <si>
    <t>Hai triệu đồng</t>
  </si>
  <si>
    <t>Bốn triệu không trăm năm mươi nghìn đồng</t>
  </si>
  <si>
    <t>Một triệu bốn trăm nghìn đồng</t>
  </si>
  <si>
    <t>Trừ hết tiền lương vì đã nghỉ việc</t>
  </si>
  <si>
    <t>Mười triệu bảy trăm tám mươi tư nghìn đồng</t>
  </si>
  <si>
    <t>Năm trăm nghìn đồng</t>
  </si>
  <si>
    <t xml:space="preserve">    Phạm Văn Lực</t>
  </si>
  <si>
    <t xml:space="preserve">         Thanh Hóa ngày 05 tháng 11 năm 2025</t>
  </si>
  <si>
    <t>TỔNG HỢP PHẠT NỘI QUY KHỐI VĂN PHÒNG THÁNG 10/2025</t>
  </si>
  <si>
    <t>Thanh Hóa, ngày 05 tháng 11 năm 2025</t>
  </si>
  <si>
    <t>TỔNG HỢP PHẠT NỘI QUY PXSX 1 THÁNG 10/2025</t>
  </si>
  <si>
    <t xml:space="preserve">           Thanh Hóa ngày 05 tháng 11 năm 2025</t>
  </si>
  <si>
    <t>TỔNG HỢP PHẠT NỘI QUY PXSX2 THÁNG 10/2025</t>
  </si>
  <si>
    <t>Phân xưởng 2</t>
  </si>
  <si>
    <t>Vì đã có thành tích hoàn thành tốt nhiệm vụ trong quá trình cải tạo máy đóng bao để sản xuất thành công gạch khổ lớn (600 x 1200) và (1000 x 1000) từ máy đóng bao khổ (800 x 800) đảm bảo hoàn thành kế hoạch sản xuất của Tổng công ty.</t>
  </si>
  <si>
    <t xml:space="preserve">        Vì đã có thành tích hoàn thành tốt nhiệm vụ trong quá trình cải tạo máy đóng bao để sản xuất thành công gạch khổ lớn (600 x 1200) và (1000 x 1000) từ máy đóng bao khổ (800 x 800) đảm bảo hoàn thành kế hoạch sản xuất của Tổng công ty.</t>
  </si>
  <si>
    <t>Vì đã có thành tích hoàn thành tốt nhiệm vụ thi công lò than mới, vận hành thử nghiệm đảm bảo an toàn, đáp ứng yêu cầu kỹ thuật, phục vụ sản xuất cho phân xưởng.</t>
  </si>
  <si>
    <t xml:space="preserve">Trần Quốc Tuấn </t>
  </si>
  <si>
    <t>GĐ Phân xưởng 2</t>
  </si>
  <si>
    <t>Vì đã có thành tích hoàn thành xuất sắc nhiệm vụ chỉ đạo cải tiến hệ thống máy đóng bao và tổ chức chuyển đổi sản xuất dòng gạch khổ lớn (600 x 1200) và (1000 x 1000) đảm bảo hoàn thành kế hoạch sản xuất của Tổng công ty.</t>
  </si>
  <si>
    <t>Quách Văn Thường</t>
  </si>
  <si>
    <t>PGĐ Phân xưởng 2</t>
  </si>
  <si>
    <t>Nguyễn Thanh Sơn</t>
  </si>
  <si>
    <t>CBKT Hợp đồng ngoài</t>
  </si>
  <si>
    <t>Vì đã có thành tích hoàn thành tốt nhiệm vụ tham gia kỹ thuật thi công lò than mới, vận hành thử nghiệm đảm bảo an toàn, đáp ứng yêu cầu kỹ thuật, phục vụ sản xuất cho phân xưởng.</t>
  </si>
  <si>
    <t>Nguyễn Xuân Tuấn</t>
  </si>
  <si>
    <t>GĐ Phân xưởng 1</t>
  </si>
  <si>
    <t>Vì đã có thành tích hoàn thành tốt nhiệm vụ chỉ đạo thi công lò than mới, vận hành thử nghiệm đảm bảo an toàn, đáp ứng yêu cầu kỹ thuật, phục vụ sản xuất cho phân xưởng.</t>
  </si>
  <si>
    <t>Trịnh Minh Hải</t>
  </si>
  <si>
    <t>Ban Kinh doanh</t>
  </si>
  <si>
    <t>Tập thể thị trường miền bắc - Hoàn thánh vượt kế hoạch doanh số giao khoán tháng 9/2025 (Đạt 122,3%) vad sản lượng bán hàng dòng định hướng cao nhất trong các vùng thị trường truyền thống.</t>
  </si>
  <si>
    <t>Nguyễn Đình Việt</t>
  </si>
  <si>
    <t>Tập thể thị trường Vùng 3 - Doanh số lớn nhất và vùng thị trường có sản lượng bán hàng chính phẩm cao nhất trong thị trường truyền thống tháng 9/2025.</t>
  </si>
  <si>
    <t>Tỷ lệ hàn thành kế hoạch doanh số đật TOP 3 toàn hệ thống (Đạt 93,1%)</t>
  </si>
  <si>
    <t>Nguyễn Văn Tiến</t>
  </si>
  <si>
    <t>TBP thiết kế - Ban kinh doanh</t>
  </si>
  <si>
    <t>Hoàn thành tốt trong công tác thiết kế mẫu 600x1200mm đáp ứng đưa vào sản xuất trong tháng 9/2025.</t>
  </si>
  <si>
    <t>Trịnh Kiều Giang</t>
  </si>
  <si>
    <t>PBP thiết kế - Ban kinh doanh</t>
  </si>
  <si>
    <t>Lái xe nâng nội bộ DC5 - Phân xưởng 2</t>
  </si>
  <si>
    <r>
      <t>Trong quá trình nâng gạch từ máy xếp chồng ra khu vực hoàn thiện, không cẩn thận làm vỡ 35 hộp gạch OG 126516 A</t>
    </r>
    <r>
      <rPr>
        <vertAlign val="subscript"/>
        <sz val="12"/>
        <color theme="1"/>
        <rFont val="Times New Roman"/>
        <family val="1"/>
      </rPr>
      <t xml:space="preserve">1. </t>
    </r>
    <r>
      <rPr>
        <sz val="12"/>
        <color theme="1"/>
        <rFont val="Times New Roman"/>
        <family val="1"/>
      </rPr>
      <t xml:space="preserve"> Theo biên bản của Bộ phận bao gói và Tổ thanh tra sản xuất lập ngày 23 tháng 09 năm 2025.</t>
    </r>
  </si>
  <si>
    <t>Lái xe nâng - Tổ PVXH - Phòng kế toán</t>
  </si>
  <si>
    <r>
      <t>Trong quá trình nâng gạch nhập kho, xuất bán, không cẩn thận làm vỡ 08 hộp gạch KH 126913 A</t>
    </r>
    <r>
      <rPr>
        <vertAlign val="subscript"/>
        <sz val="12"/>
        <color theme="1"/>
        <rFont val="Times New Roman"/>
        <family val="1"/>
      </rPr>
      <t>2</t>
    </r>
    <r>
      <rPr>
        <sz val="12"/>
        <color theme="1"/>
        <rFont val="Times New Roman"/>
        <family val="1"/>
      </rPr>
      <t xml:space="preserve"> I</t>
    </r>
    <r>
      <rPr>
        <vertAlign val="subscript"/>
        <sz val="12"/>
        <color theme="1"/>
        <rFont val="Times New Roman"/>
        <family val="1"/>
      </rPr>
      <t xml:space="preserve">2 </t>
    </r>
    <r>
      <rPr>
        <sz val="12"/>
        <color theme="1"/>
        <rFont val="Times New Roman"/>
        <family val="1"/>
      </rPr>
      <t>.</t>
    </r>
    <r>
      <rPr>
        <vertAlign val="subscript"/>
        <sz val="12"/>
        <color theme="1"/>
        <rFont val="Times New Roman"/>
        <family val="1"/>
      </rPr>
      <t xml:space="preserve"> </t>
    </r>
    <r>
      <rPr>
        <sz val="12"/>
        <color theme="1"/>
        <rFont val="Times New Roman"/>
        <family val="1"/>
      </rPr>
      <t xml:space="preserve"> Theo biên bản của Thủ kho và Tổ giám sát đã lập ngày  23 tháng 09 năm 2025.</t>
    </r>
  </si>
  <si>
    <t>NV5136</t>
  </si>
  <si>
    <t>Phạm Khắc Thành</t>
  </si>
  <si>
    <t>CN vận hành bể nước ca A - DC5 - Phân xưởng 2</t>
  </si>
  <si>
    <t>Trong ca sản xuất 1A ngày 25/09/2025, Ông: Phạm Khắc Thành; trong quá trình vận hành để mực nước bị thiếu hụt không đảm bảo nước mài, phải dừng sản xuất để khắc phục. Theo biên bản Bộ phận máy mài lập ngày 25/09/2025.</t>
  </si>
  <si>
    <t>CN bao gói ca A - DC5 - Phân xưởng 2</t>
  </si>
  <si>
    <t>Trong ca sản xuất 2A ngày 19/09/2025, Ông: Nguyễn Duy Toàn; tự ý nghĩ việc vô lý do không được sự đồng ý của cấp quản lý. Theo biên bản Bộ phận bao gói lập ngày 19/09/2025.</t>
  </si>
  <si>
    <t>CN VH mài măth ca A - DC5</t>
  </si>
  <si>
    <t>Trong ca sản xuất 1A ngày 27/09/2025, Ông: Lê Công Dũng; tự ý nghĩ việc vô lý do không được sự đồng ý của cấp quản lý. Theo biên bản Bộ phận máy mài lập ngày 27/09/2025.</t>
  </si>
  <si>
    <t>Tổ trưởng lò nung - đóng hộp ca B - DC6</t>
  </si>
  <si>
    <t>Trong ca sản xuất 2B ngày 22 và 23/00/2025, Ông: Phạm Văn Chiến: không thực hiện báo cáo chất lượng, sản lượng, phế theo đúng quy định. Theo biên bản Bộ phận máy mài lập ngày 26/09/2025.</t>
  </si>
  <si>
    <t>NV2036</t>
  </si>
  <si>
    <t>Trương Duy Long</t>
  </si>
  <si>
    <t>Trong ca sản xuất 2B ngày 26/09/2025, Ông: Trương Duy Long; tự ý nghĩ việc vô lý do không được sự đồng ý của cấp quản lý. Theo biên bản Bộ phận bao gói lập ngày 26/09/2025.</t>
  </si>
  <si>
    <t>NV5589</t>
  </si>
  <si>
    <t>Trong ca sản xuất 2B ngày 26/09/2025, Ông: Trịnh Xuân Chung; tự ý nghĩ việc vô lý do không được sự đồng ý của cấp quản lý. Theo biên bản Bộ phận bao gói lập ngày 26/09/2025.</t>
  </si>
  <si>
    <t>Trịnh Xuân Chung</t>
  </si>
  <si>
    <t>CN bao gói ca B - DC5 - Phân xưởng 2</t>
  </si>
  <si>
    <t>NV3723</t>
  </si>
  <si>
    <t>NV5592</t>
  </si>
  <si>
    <t>Lê Xuân Tùng</t>
  </si>
  <si>
    <t>Phạm Đình Tùng</t>
  </si>
  <si>
    <t>CN bao gói ca B - DC5 - Phân xưởng 3</t>
  </si>
  <si>
    <t>Trong ca sản xuất 1B ngày 16/09/2025, trong quá trình test mẫu bán công nghiệp mẫu MLS 50224, đánh giá màu sắc chưa tốt ở điều kiện khác bề mặt chày định hình và chày phẳng dẫn đến gạch ra lò bị đậm nhạt, lệch màu. Theo biên bản Bộ phận dây chuyền và lò nung bao gói lập ngày 16/09/2025.</t>
  </si>
  <si>
    <t>NV5574</t>
  </si>
  <si>
    <t>Lê Đồng Việt</t>
  </si>
  <si>
    <t>Công nhân đóng bao DC5</t>
  </si>
  <si>
    <t>Trong ca sản xuất 2A ngày 07/10/2025, Ông: Lê Đồng Việt; tự ý nghĩ việc vô lý do không được sự đồng ý của cấp quản lý. Theo biên bản Bộ phận máy mài lập ngày 07/10/2025.</t>
  </si>
  <si>
    <t>Công nhân đóng bao DC6</t>
  </si>
  <si>
    <t>Trong ca sản xuất 2A ngày 07/10/2025, Ông: Trịnh Văn Trọng; tự ý nghĩ việc vô lý do không được sự đồng ý của cấp quản lý. Theo biên bản Bộ phận máy mài lập ngày 07/10/2025.</t>
  </si>
  <si>
    <t>NV3835</t>
  </si>
  <si>
    <t>Lê Đình Huy</t>
  </si>
  <si>
    <t>VH máy in KTS DC5</t>
  </si>
  <si>
    <r>
      <t>Trong ca sản xuất 2B ngày 14/10/2025, trong quá trình sản xuất mẫu V-91132 do kiểm soát không tốt dẫn đến gạch ra lò bị xước màu hạ loại 522m</t>
    </r>
    <r>
      <rPr>
        <vertAlign val="superscript"/>
        <sz val="12"/>
        <color theme="1"/>
        <rFont val="Times New Roman"/>
        <family val="1"/>
      </rPr>
      <t>2</t>
    </r>
    <r>
      <rPr>
        <sz val="12"/>
        <color theme="1"/>
        <rFont val="Times New Roman"/>
        <family val="1"/>
      </rPr>
      <t>. Theo biên bản Bộ phận dây chuyền lập ngày 14/10/2025.</t>
    </r>
  </si>
  <si>
    <r>
      <t>Trong quá trình nâng gạch từ máy xếp chồng ra khu vực hoàn thiện, không cẩn thận làm vỡ 05 hộp gạch BC 116811 A</t>
    </r>
    <r>
      <rPr>
        <vertAlign val="subscript"/>
        <sz val="12"/>
        <color theme="1"/>
        <rFont val="Times New Roman"/>
        <family val="1"/>
      </rPr>
      <t xml:space="preserve">1. </t>
    </r>
    <r>
      <rPr>
        <sz val="12"/>
        <color theme="1"/>
        <rFont val="Times New Roman"/>
        <family val="1"/>
      </rPr>
      <t xml:space="preserve"> Theo biên bản của Bộ phận bao gói và Tổ thanh tra sản xuất lập ngày 23 tháng 09 năm 2025.</t>
    </r>
  </si>
  <si>
    <t>NV0163</t>
  </si>
  <si>
    <t>Nguyễn Thị Hiền</t>
  </si>
  <si>
    <t>NV phân loại - bộ phận thanh tra sản xuất</t>
  </si>
  <si>
    <t>Trong ca sản xuất 2A ngày 14/10/2025; Bà; Nguyễn Thị Hiền đã ngủ gật trong thời gian làm việc. Theo biên bản Bộ phận Thanh tra sản xuất lập ngày 14/10/2025.</t>
  </si>
  <si>
    <t>Trừ vào lương tháng 11/2025</t>
  </si>
  <si>
    <t>CN Vận hành máy in</t>
  </si>
  <si>
    <r>
      <t>Trong ca sản xuất 1B ngày 21/09/2025, trong quá trình thay mẫu MTC 88050 đã nhầm đuôi file test, dẫn đến gạch ra lò màu không giống với code duyệt với số lượng 4.185 m</t>
    </r>
    <r>
      <rPr>
        <vertAlign val="superscript"/>
        <sz val="12"/>
        <color theme="1"/>
        <rFont val="Times New Roman"/>
        <family val="1"/>
      </rPr>
      <t>2</t>
    </r>
    <r>
      <rPr>
        <sz val="12"/>
        <color theme="1"/>
        <rFont val="Times New Roman"/>
        <family val="1"/>
      </rPr>
      <t>. Theo biên bản Bộ phận dây chuyền lập ngày 03/10/2025.</t>
    </r>
  </si>
  <si>
    <t>Trừ lương tháng 10 và tháng 11/2025 mỗi tháng trừ 1.000.000</t>
  </si>
  <si>
    <t>Lê Đình Văn</t>
  </si>
  <si>
    <t>CN sơ chế - Tổ PVXH - Phòng kế toán</t>
  </si>
  <si>
    <t>Ngày 19/10/2025, Ông: Lê Đình Văn; giờ nghỉ trưa uống rượu bia dẫn đến đầu giờ chiều không thực hiện được công việc hàng ngày, gây ảnh hưởng đến tiến độ của Tổ. Theo biên bản Tổ phục vụ xuất hàng lập ngày 19/10/2025.</t>
  </si>
  <si>
    <t>NV0003</t>
  </si>
  <si>
    <t>Nguyễn Thanh Hải</t>
  </si>
  <si>
    <t>Phó giám đốc</t>
  </si>
  <si>
    <t>Trong quá trình điều hành sản xuất, ông Nguyễn Thanh Hải chưa dự đoán chính xác tình huống phát sinh, dẫn đến việc thiếu bột tại phân xưởng chế biến nguyên liệu, gây ảnh hưởng đến Phân xưởng sản xuất 01 phải tăng chu kỳ nung.</t>
  </si>
  <si>
    <t>Tổng Giám đốc</t>
  </si>
  <si>
    <t>Trong quá trình điều hành sản xuất, ông Vũ Xuân Tuấn chưa dự đoán chính xác tình huống phát sinh, dẫn đến việc thiếu bột tại phân xưởng chế biến nguyên liệu, gây ảnh hưởng đến Phân xưởng sản xuất 01 phải tăng chu kỳ nung.</t>
  </si>
  <si>
    <t>NV lái xúc lật</t>
  </si>
  <si>
    <t>Trong quá trình điều khiển máy xúc lật 09, không thực hiện công tác kiểm tra máy, thiết bị thường xuyên dẫn đến cầu sau máy xúc lật bị thủng chảy hết dầu cầu. Theo biên bản Tổ phục vụ hậu cần lập ngày 11/10/2025.</t>
  </si>
  <si>
    <t>CN vận hành máy in KTS</t>
  </si>
  <si>
    <t>Trong ca sản xuất 2B ngày 19/10/2025, Ông: Trịnh Tuấn Linh; tự ý nghĩ việc vô lý do không được sự đồng ý của cấp quản lý. Theo biên bản Bộ phận dây chuyền lập ngày 19/10/2025.</t>
  </si>
  <si>
    <t>Lê Duy Vĩnh</t>
  </si>
  <si>
    <t>CN vận hành mấy ép</t>
  </si>
  <si>
    <t>NV3737</t>
  </si>
  <si>
    <t>Trong ca sản xuất 2B ngày 20/10/2025, Ông: Lê Duy Vĩnh; tự ý bỏ việc ra về không được sự đồng ý của cấp quản lý. Theo biên bản Bộ phận dây chuyền lập ngày 19/10/2025.</t>
  </si>
  <si>
    <t>Hoàng Văn Hưng</t>
  </si>
  <si>
    <t>CN đóng hôp</t>
  </si>
  <si>
    <t>NV5660</t>
  </si>
  <si>
    <t>Trong ca sản xuất 1A ngày 24/10/2025, Ông: Hoàng Văn Hưng; tự ý nghĩ việc vô lý do không được sự đồng ý của cấp quản lý. Theo biên bản Bộ phận dây chuyền lập ngày 24/10/2025.</t>
  </si>
  <si>
    <t>Lê Văn Lực</t>
  </si>
  <si>
    <t>VH nạp liệu</t>
  </si>
  <si>
    <t>NV0537</t>
  </si>
  <si>
    <t>Trong ca sản xuất 1A ngày 16/10/2025, trong quá trình nạp liệu vào máy nghiền do kiểm soát không tốt nạp thừa nước đơn nguyên liệu dẫn đến tụt tỉ trọng. Theo biên bản Bộ phận nghiền sấy phun lập ngày 19/10/2025.</t>
  </si>
  <si>
    <t>CN đóng hộp</t>
  </si>
  <si>
    <t>Trong ca sản xuất 1A ngày 18/10/2025, Ông: Lê Đồng Việt; tự ý nghĩ việc vô lý do không được sự đồng ý của cấp quản lý. Theo biên bản Bộ phận máy mài lập ngày 19/10/2025.</t>
  </si>
  <si>
    <t>Đào Văn Tính</t>
  </si>
  <si>
    <t>CN vânh hành bể mài</t>
  </si>
  <si>
    <t>Trong thời gian từ ngày 10/10 đến ngày 23/10/2025, Ông: Đào Văn Tính; thiếu kiểm soát trong công việc dẫn đến bể mài đầy bùn ảnh hưởng đến chát lượng nước mài. Theo biên bản Bộ phận bao gói lập ngày 23/10/2025.</t>
  </si>
  <si>
    <t>NV1007</t>
  </si>
  <si>
    <t>Nguyễn Hoàng Kỷ</t>
  </si>
  <si>
    <t>NV2781</t>
  </si>
  <si>
    <t>Ba triệu chín trăm hai mươi lăm nghìn đồng</t>
  </si>
  <si>
    <t>Bốn triệu đồng</t>
  </si>
  <si>
    <t>Năm triệu bốn trăm năm mươi lăm nghìn đồng</t>
  </si>
  <si>
    <t>NV0404</t>
  </si>
  <si>
    <t>GĐ Phân xưởng sx 1</t>
  </si>
  <si>
    <t>Triển khai chậm nội dung thông báo: 767/TB-TCT, ngày 30/08/2025 của tổng công ty về việc điều chỉnh thông só, quy cách và quy trình hoàn thiện, sử dung palet tại các phân xưởng sản xuất dẫn đến ngày 05/10/2025 NPP Hoà Bình Minh phản ánh palet gạch 800x800 mã MTC 88057, tại phân xưởng sản xuất 1 vẫn chưa gia cố ba nan thanh mặt dưới, quá trình vận chuyển gạch xô lệch, sứt vỡ nhiều.</t>
  </si>
  <si>
    <t xml:space="preserve">         Thanh Hóa ngày 05 tháng 12 năm 2025</t>
  </si>
  <si>
    <t>TỔNG HỢP PHẠT NỘI QUY KHỐI VĂN PHÒNG THÁNG 11/2025</t>
  </si>
  <si>
    <t>Thanh Hóa, ngày 05 tháng 12 năm 2025</t>
  </si>
  <si>
    <t>TỔNG HỢP PHẠT NỘI QUY PXSX 1 THÁNG 11/2025</t>
  </si>
  <si>
    <t xml:space="preserve">           Thanh Hóa ngày 05 tháng 12 năm 2025</t>
  </si>
  <si>
    <t>TỔNG HỢP PHẠT NỘI QUY PXSX2 THÁNG 11/2025</t>
  </si>
  <si>
    <t>NV0986</t>
  </si>
  <si>
    <t>NV cơ điện - Phòng kỹ thuật</t>
  </si>
  <si>
    <t>Trong ca sản xuất 3C ngày 27/10/2025, trong quá trình xử lý sự cố máy ép dây chuyền 1, không kiểm tra dầu trước khi bơm vào máy ép dẫn đến bơm nhầm dầu Diezen, phải dừng sản xuất để khắc phục.</t>
  </si>
  <si>
    <t>Trừ lương tháng 11;12/2025 và tháng 01;02;03/2026 mỗi tháng trừ 3.000.000</t>
  </si>
  <si>
    <t>Nguyễn Bá Quân</t>
  </si>
  <si>
    <t>NV0119</t>
  </si>
  <si>
    <t>NT cơ điện - Phòng kỹ thuật</t>
  </si>
  <si>
    <t>NV0090</t>
  </si>
  <si>
    <t>Nguyễn Văn Học</t>
  </si>
  <si>
    <t>Vũ Xuân Lân</t>
  </si>
  <si>
    <t>PP kỹ thuật</t>
  </si>
  <si>
    <t>Trách nhiệm liên đới trong công tác quản lý, để công nhân cơ điện đi làm ca thiếu kiểm soát, dẫn đến trong quá trình bổ sung dầu thuỷ lực cho máy ép số 2, dây chuyền 1, lấy nhầm dầu Diezen để thay vào ngày 27/11/2025.</t>
  </si>
  <si>
    <t>Trừ lương tháng 11 và 12/2025 mỗi tháng trừ 2.250.000đ</t>
  </si>
  <si>
    <t>NV0451</t>
  </si>
  <si>
    <t>Hồ Xuân Tùng</t>
  </si>
  <si>
    <t>TP kỹ thuật</t>
  </si>
  <si>
    <t>PGĐ PX sản xuất 1</t>
  </si>
  <si>
    <t>NV bảo vệ - Phòng tổ chức</t>
  </si>
  <si>
    <t>Trong ca làm việc bảo vệ tài sản tại kho thành phẩm cảng 3, vào hồi 8h 47 phút, ngày 08/11/2025. Ông: Lê Văn Chính; vi phạm nội quy lao động, ngủ trong giờ làm việc.</t>
  </si>
  <si>
    <t>TỔNG HỢP PHẠT NỘI QUY THÁNG 11/2025</t>
  </si>
  <si>
    <t>NV2509</t>
  </si>
  <si>
    <t>Nguyễn Văn Hải</t>
  </si>
  <si>
    <t>NV lái xe - Phòng khai thác</t>
  </si>
  <si>
    <t>Trong quá trình đièu khiển phương tiện xe tải BKS: 36C-09469 vận chuyển nguyên liệu từ kho Đông Văn về nhà máy vào ngày 11/11/2025. không thực hiện việc che bạt trên thùng xe, vi phạm quy định vê sinh môi trường và an toàn giao thông.</t>
  </si>
  <si>
    <t>Khen thưởng đối với tập thể và cá nhân đã có thành tích xuất sắc, tinh thần trách nhiệm cao trong qua trình triển khai, lắp đặt và đưa vào hoạt động thành công Phân Xưởng sản xuất bao bì tại Phân xưởng sản xuất 2</t>
  </si>
  <si>
    <t>Phân xưởng sản xuất bao bì</t>
  </si>
  <si>
    <t>PGĐ Công ty</t>
  </si>
  <si>
    <t>Lê Văn Luận</t>
  </si>
  <si>
    <t>PGĐ PX bao bì</t>
  </si>
  <si>
    <t>PTGĐ Phụ trách tổ chức</t>
  </si>
  <si>
    <t>GĐ PX2</t>
  </si>
  <si>
    <t>Nguyễn Thế Hùng</t>
  </si>
  <si>
    <t>PGĐ PX2</t>
  </si>
  <si>
    <t>Nguyễn Văn Toàn</t>
  </si>
  <si>
    <t>PP kỹ thuật PX2</t>
  </si>
  <si>
    <t>Đinh Xuân Lộc</t>
  </si>
  <si>
    <t>Quản đốc PX sản xuất bao bì</t>
  </si>
  <si>
    <t>Nguyễn Huy Dũng</t>
  </si>
  <si>
    <t>KT Ban đầu tư</t>
  </si>
  <si>
    <t>PGĐ Ban kinh doanh</t>
  </si>
  <si>
    <t>Nguyễn Đức Hà</t>
  </si>
  <si>
    <t>NV mua hàng</t>
  </si>
  <si>
    <t>PGĐ PX1</t>
  </si>
  <si>
    <t>Mai Văn Luận</t>
  </si>
  <si>
    <t>Trưởng BP Kho</t>
  </si>
  <si>
    <t>NV0412</t>
  </si>
  <si>
    <t>Trần Đức Đảm</t>
  </si>
  <si>
    <t>Trong ca làm việc bảo vệ tài sản tại kho Quảng Hưng đêm ngày 12/11/2025, Ông: Trần Đức Đảm; không chấp hành tuần tra, chụp ảnh gửi lên nhóm mặc dù đã quản lý đã được nhắc nhở trược đó.</t>
  </si>
  <si>
    <t>NV2576</t>
  </si>
  <si>
    <t>CN VH sấy DC1</t>
  </si>
  <si>
    <t>Trong ca làm việc tại vị trí sấy 5 tầng dc1, Phân xưởng 1, vào hồi 10h 30 phút ngày 13/11/2025. Ông: Nguyễn Đăng Điệp; vi phạm nội quy lao động, ngủ gật trong giờ làm việc.</t>
  </si>
  <si>
    <t>NV2486</t>
  </si>
  <si>
    <t>Trong quá trình làm việc vào ca 2 ngày 16/11/2025, tại vị trí cổng 2, PX sản xuất 2, không tuân thủ chỉ đạo của cấp quản lý, bỏ qua việc đi tuần tra và không báo cáo đúng giờ quy định</t>
  </si>
  <si>
    <t>NV lái xe nâng</t>
  </si>
  <si>
    <r>
      <t>Trong quá trình nâng gạch nhập kho, xuất bán, không cẩn thận làm vỡ 01 hộp gạch MZ 80369 A</t>
    </r>
    <r>
      <rPr>
        <vertAlign val="subscript"/>
        <sz val="12"/>
        <color theme="1"/>
        <rFont val="Times New Roman"/>
        <family val="1"/>
      </rPr>
      <t>1</t>
    </r>
    <r>
      <rPr>
        <sz val="12"/>
        <color theme="1"/>
        <rFont val="Times New Roman"/>
        <family val="1"/>
      </rPr>
      <t xml:space="preserve"> I</t>
    </r>
    <r>
      <rPr>
        <vertAlign val="subscript"/>
        <sz val="12"/>
        <color theme="1"/>
        <rFont val="Times New Roman"/>
        <family val="1"/>
      </rPr>
      <t xml:space="preserve">1 </t>
    </r>
    <r>
      <rPr>
        <sz val="12"/>
        <color theme="1"/>
        <rFont val="Times New Roman"/>
        <family val="1"/>
      </rPr>
      <t xml:space="preserve">: </t>
    </r>
    <r>
      <rPr>
        <vertAlign val="subscript"/>
        <sz val="12"/>
        <color theme="1"/>
        <rFont val="Times New Roman"/>
        <family val="1"/>
      </rPr>
      <t xml:space="preserve"> </t>
    </r>
    <r>
      <rPr>
        <sz val="12"/>
        <color theme="1"/>
        <rFont val="Times New Roman"/>
        <family val="1"/>
      </rPr>
      <t>01 hộp gạch MTC 88033 A</t>
    </r>
    <r>
      <rPr>
        <vertAlign val="subscript"/>
        <sz val="12"/>
        <color theme="1"/>
        <rFont val="Times New Roman"/>
        <family val="1"/>
      </rPr>
      <t xml:space="preserve">1 </t>
    </r>
    <r>
      <rPr>
        <sz val="12"/>
        <color theme="1"/>
        <rFont val="Times New Roman"/>
        <family val="1"/>
      </rPr>
      <t>I</t>
    </r>
    <r>
      <rPr>
        <vertAlign val="subscript"/>
        <sz val="12"/>
        <color theme="1"/>
        <rFont val="Times New Roman"/>
        <family val="1"/>
      </rPr>
      <t>1</t>
    </r>
    <r>
      <rPr>
        <sz val="12"/>
        <color theme="1"/>
        <rFont val="Times New Roman"/>
        <family val="1"/>
      </rPr>
      <t>.</t>
    </r>
    <r>
      <rPr>
        <vertAlign val="subscript"/>
        <sz val="12"/>
        <color theme="1"/>
        <rFont val="Times New Roman"/>
        <family val="1"/>
      </rPr>
      <t xml:space="preserve"> </t>
    </r>
    <r>
      <rPr>
        <sz val="12"/>
        <color theme="1"/>
        <rFont val="Times New Roman"/>
        <family val="1"/>
      </rPr>
      <t xml:space="preserve"> Theo biên bản của Thủ kho và Tổ giám sát đã lập ngày 14 và 17 tháng 10 năm 2025.</t>
    </r>
  </si>
  <si>
    <t>Tổ xe nâng HC</t>
  </si>
  <si>
    <r>
      <t>Trong quá trình nâng gạch nhập kho, xuất bán, không cẩn thận làm vỡ 04 hộp gạch VC 60038 A</t>
    </r>
    <r>
      <rPr>
        <vertAlign val="subscript"/>
        <sz val="12"/>
        <color theme="1"/>
        <rFont val="Times New Roman"/>
        <family val="1"/>
      </rPr>
      <t>1</t>
    </r>
    <r>
      <rPr>
        <sz val="12"/>
        <color theme="1"/>
        <rFont val="Times New Roman"/>
        <family val="1"/>
      </rPr>
      <t xml:space="preserve"> I</t>
    </r>
    <r>
      <rPr>
        <vertAlign val="superscript"/>
        <sz val="12"/>
        <color theme="1"/>
        <rFont val="Times New Roman"/>
        <family val="1"/>
      </rPr>
      <t>1</t>
    </r>
    <r>
      <rPr>
        <vertAlign val="subscript"/>
        <sz val="12"/>
        <color theme="1"/>
        <rFont val="Times New Roman"/>
        <family val="1"/>
      </rPr>
      <t xml:space="preserve"> .</t>
    </r>
    <r>
      <rPr>
        <sz val="12"/>
        <color theme="1"/>
        <rFont val="Times New Roman"/>
        <family val="1"/>
      </rPr>
      <t xml:space="preserve">  Theo biên bản của Thủ kho và Tổ giám sát đã lập ngày 15 tháng 10 năm 2025.</t>
    </r>
  </si>
  <si>
    <t>TT bp đóng hộp</t>
  </si>
  <si>
    <t>Đã được nhắc nhở nhiều lần nhưng vẫn chậm việc hoàn thiện và nộp bảng công tháng 10, theo quy định của Công ty . Theo biên bản Ban giám đốc Phân xưởng sản xuất 2 lập ngày 03/11/2025.</t>
  </si>
  <si>
    <t>CN vh máy ép</t>
  </si>
  <si>
    <r>
      <t xml:space="preserve">Trong ca sản xuất 2B ngày 05/11/2025, do kiểm soát phối bộ </t>
    </r>
    <r>
      <rPr>
        <i/>
        <sz val="12"/>
        <color theme="1"/>
        <rFont val="Times New Roman"/>
        <family val="1"/>
      </rPr>
      <t>Kimsa</t>
    </r>
    <r>
      <rPr>
        <sz val="12"/>
        <color theme="1"/>
        <rFont val="Times New Roman"/>
        <family val="1"/>
      </rPr>
      <t xml:space="preserve"> chưa tốt vượt quá mức quy định gây thiếu hụt số lượng bột </t>
    </r>
    <r>
      <rPr>
        <i/>
        <sz val="12"/>
        <color theme="1"/>
        <rFont val="Times New Roman"/>
        <family val="1"/>
      </rPr>
      <t>Kimsa</t>
    </r>
    <r>
      <rPr>
        <sz val="12"/>
        <color theme="1"/>
        <rFont val="Times New Roman"/>
        <family val="1"/>
      </rPr>
      <t xml:space="preserve"> chuẩn bị cho sản xuất . Theo biên bản Bộ phận nguyên liệu ca dây chuyền gia công lập ngày 05/11/2025.</t>
    </r>
  </si>
  <si>
    <t>TT Dây chuyền 6</t>
  </si>
  <si>
    <r>
      <t xml:space="preserve">Trách nhiệm liên đới cấp quản lý trong việc công nhân vận hành máy ép, kiểm soát phối bộ </t>
    </r>
    <r>
      <rPr>
        <i/>
        <sz val="12"/>
        <color theme="1"/>
        <rFont val="Times New Roman"/>
        <family val="1"/>
      </rPr>
      <t>Kimsa</t>
    </r>
    <r>
      <rPr>
        <sz val="12"/>
        <color theme="1"/>
        <rFont val="Times New Roman"/>
        <family val="1"/>
      </rPr>
      <t xml:space="preserve"> chưa tốt vượt quá mức quy định gây thiếu hụt số lượng bột </t>
    </r>
    <r>
      <rPr>
        <i/>
        <sz val="12"/>
        <color theme="1"/>
        <rFont val="Times New Roman"/>
        <family val="1"/>
      </rPr>
      <t>Kimsa</t>
    </r>
    <r>
      <rPr>
        <sz val="12"/>
        <color theme="1"/>
        <rFont val="Times New Roman"/>
        <family val="1"/>
      </rPr>
      <t xml:space="preserve"> chuẩn bị cho sản xuất . Theo biên bản Bộ phận nguyên liệu ca dây chuyền gia công lập ngày 05/11/2025.</t>
    </r>
  </si>
  <si>
    <t>PBP Dây chuyền 5</t>
  </si>
  <si>
    <r>
      <t>Trách nhiệm liên đới cấp quản lý trong việc công nhân vận hành tráng engobe, kiểm soát bề mặt gạch qua tráng chưa tốt để xảy ra tình trạng sọc engobe kéo dài dẫn đến ảnh hưởng chất lượng gạch ra lò hạ loại A2 = 350m</t>
    </r>
    <r>
      <rPr>
        <vertAlign val="superscript"/>
        <sz val="12"/>
        <color theme="1"/>
        <rFont val="Times New Roman"/>
        <family val="1"/>
      </rPr>
      <t>2</t>
    </r>
    <r>
      <rPr>
        <sz val="12"/>
        <color theme="1"/>
        <rFont val="Times New Roman"/>
        <family val="1"/>
      </rPr>
      <t xml:space="preserve"> . Theo biên bản Bộ phận dây chuyền gia công và lò nung lập ngày 07/11/2025.</t>
    </r>
  </si>
  <si>
    <t>NV2148</t>
  </si>
  <si>
    <t>Lê Đình Lâm</t>
  </si>
  <si>
    <t>CN VH tráng engobe DC6</t>
  </si>
  <si>
    <r>
      <t>Trong ca sản xuất 1B ngày 05/11/2025, do kiểm soát bề mặt gạch qua tráng chưa tốt để xảy ra tình trạng sọc engobe kéo dài dẫn đến ảnh hưởng chất lượng gạch ra lò hạ loại A2 = 350m</t>
    </r>
    <r>
      <rPr>
        <vertAlign val="superscript"/>
        <sz val="12"/>
        <color theme="1"/>
        <rFont val="Times New Roman"/>
        <family val="1"/>
      </rPr>
      <t>2</t>
    </r>
    <r>
      <rPr>
        <sz val="12"/>
        <color theme="1"/>
        <rFont val="Times New Roman"/>
        <family val="1"/>
      </rPr>
      <t xml:space="preserve"> . Theo biên bản Bộ phận dây chuyền gia công và lò nung lập ngày 07/11/2025.</t>
    </r>
  </si>
  <si>
    <t>TT lò nung đóng hộp DC5</t>
  </si>
  <si>
    <t>Trong ca sản xuất 2A ngày 09/10/2025, kiểm soát đánh giá màu sắc chưa kịp thời, khi dao động khí than, dao động nhiệt độ nung dẫn đến gạch ra lò dao động màu sắc tách khoanh vùng. Theo biên bản Bộ phận Lò nung - Đóng hộp lập ngày 24/10/2025.</t>
  </si>
  <si>
    <r>
      <t xml:space="preserve">Trong ca sản xuất 2A ngày 12/11/2025, khi đóng hoàn thiện gạch cắt lô </t>
    </r>
    <r>
      <rPr>
        <i/>
        <sz val="12"/>
        <color theme="1"/>
        <rFont val="Times New Roman"/>
        <family val="1"/>
      </rPr>
      <t>(600x1200mm),</t>
    </r>
    <r>
      <rPr>
        <sz val="12"/>
        <color theme="1"/>
        <rFont val="Times New Roman"/>
        <family val="1"/>
      </rPr>
      <t xml:space="preserve"> không thực hiện lắp ke vào 4 góc của 26 hộp gạch . Theo biên bản Bộ phận mài đóng hộp lập ngày 12/11/2025</t>
    </r>
  </si>
  <si>
    <r>
      <t xml:space="preserve">Trong ca sản xuất 2A ngày 12/11/2025, khi đóng hoàn thiện gạch cắt lô </t>
    </r>
    <r>
      <rPr>
        <i/>
        <sz val="12"/>
        <color theme="1"/>
        <rFont val="Times New Roman"/>
        <family val="1"/>
      </rPr>
      <t>(600x1200mm),</t>
    </r>
    <r>
      <rPr>
        <sz val="12"/>
        <color theme="1"/>
        <rFont val="Times New Roman"/>
        <family val="1"/>
      </rPr>
      <t xml:space="preserve"> không thực hiện lắp ke vào 4 góc của 26 hộp gạch . Theo biên bản Bộ phận mài đóng hộp lập ngày 12/11/2026</t>
    </r>
    <r>
      <rPr>
        <sz val="12"/>
        <color theme="1"/>
        <rFont val="Times New Roman"/>
        <family val="2"/>
      </rPr>
      <t/>
    </r>
  </si>
  <si>
    <r>
      <t xml:space="preserve">Trong ca sản xuất 2A ngày 12/11/2025, khi đóng hoàn thiện gạch cắt lô </t>
    </r>
    <r>
      <rPr>
        <i/>
        <sz val="12"/>
        <color theme="1"/>
        <rFont val="Times New Roman"/>
        <family val="1"/>
      </rPr>
      <t>(600x1200mm),</t>
    </r>
    <r>
      <rPr>
        <sz val="12"/>
        <color theme="1"/>
        <rFont val="Times New Roman"/>
        <family val="1"/>
      </rPr>
      <t xml:space="preserve"> không thực hiện lắp ke vào 4 góc của 26 hộp gạch . Theo biên bản Bộ phận mài đóng hộp lập ngày 12/11/2027</t>
    </r>
    <r>
      <rPr>
        <sz val="12"/>
        <color theme="1"/>
        <rFont val="Times New Roman"/>
        <family val="2"/>
      </rPr>
      <t/>
    </r>
  </si>
  <si>
    <r>
      <t xml:space="preserve">Trong ca sản xuất 2A ngày 12/11/2025, khi đóng hoàn thiện gạch cắt lô </t>
    </r>
    <r>
      <rPr>
        <i/>
        <sz val="12"/>
        <color theme="1"/>
        <rFont val="Times New Roman"/>
        <family val="1"/>
      </rPr>
      <t>(600x1200mm),</t>
    </r>
    <r>
      <rPr>
        <sz val="12"/>
        <color theme="1"/>
        <rFont val="Times New Roman"/>
        <family val="1"/>
      </rPr>
      <t xml:space="preserve"> không thực hiện lắp ke vào 4 góc của 26 hộp gạch . Theo biên bản Bộ phận mài đóng hộp lập ngày 12/11/2028</t>
    </r>
    <r>
      <rPr>
        <sz val="12"/>
        <color theme="1"/>
        <rFont val="Times New Roman"/>
        <family val="2"/>
      </rPr>
      <t/>
    </r>
  </si>
  <si>
    <t>NV4465</t>
  </si>
  <si>
    <t>Đỗ Ngọc Đức</t>
  </si>
  <si>
    <t>TT đóng hộp dc5</t>
  </si>
  <si>
    <t>Trong ca sản xuất 2A ngày 17/11/2025, khi mài mẫu MTC 126801, do hết vỏ A2 phải bốc ra palet sắt, Ông; Nguyễn Viết Linh không bám sát công việc dẫn đến công nhân không lót giấy giữa các lớp gạch với nhau, sai quy định bảo quản sản phẩm trong sản xuất . Theo biên bản Bộ phận mài bao gói lập ngày 117/11/2025.</t>
  </si>
  <si>
    <t>NV0417</t>
  </si>
  <si>
    <t>Trịnh Văn Hoà</t>
  </si>
  <si>
    <t>Thủ kho</t>
  </si>
  <si>
    <t>Trong quá trình xuất hàng ngày 19/11/2025, tại khu vực cổng 2 (Số phiếu PX17318) xuất 01 palet mã gạch MTS 50422 A1 I, nhưng xuất nhầm sang mã gạch VCS 50022 A1 I.</t>
  </si>
  <si>
    <t>Hạ KPI chỉ tính lương khoán</t>
  </si>
  <si>
    <t>NV0424</t>
  </si>
  <si>
    <t>Lê Văn Linh</t>
  </si>
  <si>
    <t>Tổ phó nghiền men</t>
  </si>
  <si>
    <t>Thực hiện công tác vệ sinh thùng chứa men không sạch, để tình trạng rách màng men nhiều khi sản xuất dẫn đến gạch ra lò hạ loại và phế. Theo biên bản Bộ phận công nghệ lập ngày 24/11/2025.</t>
  </si>
  <si>
    <t>NV3529</t>
  </si>
  <si>
    <t>Lê Duy Nguyên</t>
  </si>
  <si>
    <t>CN VH nghiền men</t>
  </si>
  <si>
    <t>NV5710</t>
  </si>
  <si>
    <t>Nguyễn Công Hoà</t>
  </si>
  <si>
    <t>Trong ca sản xuất 1B ngày 20/11/2025, Ông: Nguyễn Công Hoà; tự ý nghĩ việc vô lý do không được sự đồng ý của cấp quản lý. Theo biên bản Bộ phận máy mài lập ngày 20/11/2025.</t>
  </si>
  <si>
    <t>NV2404</t>
  </si>
  <si>
    <t>Lê Văn Khoa</t>
  </si>
  <si>
    <t>CN vh tráng men</t>
  </si>
  <si>
    <t>Trong quá trình sản xuất, kiểm soát tráng men chưa tốt dẫn đến gạch ra lò rách màng men hạ loại. Theo biên bản Bộ phận day chuyền gia công và lò nung lập ngày 21/11/2025.</t>
  </si>
  <si>
    <t>NV5637</t>
  </si>
  <si>
    <t>Nguyễn Đăng Điệp</t>
  </si>
  <si>
    <t>Đào Đình Quyết</t>
  </si>
  <si>
    <t>Lái xe nâng ca B</t>
  </si>
  <si>
    <t>Trong ca sản xuất 2B ngày 28/10/2025, Ông: Đào Đình Quyết; tự ý nghĩ việc vô lý do không được sự đồng ý của cấp quản lý. Theo biên bản Bộ phận dây chuyền lập ngày 29/10/2025.</t>
  </si>
  <si>
    <t>Tổ phó DC mài</t>
  </si>
  <si>
    <t>Thiếu tinh thần trách nhiệm trong công tác quản lý bộ phận, đã tự ý cho công nhân tổ chứ ăn uống vào ca đêm ngày 18/11/2025, có đưa chất kích thích (Bia) vào phân xưởng sử dụng trong ca làm việc.</t>
  </si>
  <si>
    <t>NV5052</t>
  </si>
  <si>
    <t>Cao Thế Vinh</t>
  </si>
  <si>
    <t>CN VH mài</t>
  </si>
  <si>
    <t>Vào ca sản xuất tối ngày 18/11/2025, đã chủ động tổ chức thành nhóm, mua đồ ăn + chất kích thích (Bia) vào phân xưởng sử dụng, vi phạm NQLĐ</t>
  </si>
  <si>
    <t>NV5456</t>
  </si>
  <si>
    <t>Nguyễn Văn Cường</t>
  </si>
  <si>
    <t>NV3949</t>
  </si>
  <si>
    <t>Lê Văn Nam</t>
  </si>
  <si>
    <t>NV5176</t>
  </si>
  <si>
    <t>CN cơ điện HC</t>
  </si>
  <si>
    <t>Trong quá trình làm việc, vào hồi 08h32' ngày 19/11/2025, đã có hành vi thiếu ý thức giữ gìn vệ sinh chung, đi tiểu tiện không đúng nơi quy định.</t>
  </si>
  <si>
    <t>NV3135</t>
  </si>
  <si>
    <t>Đỗ Viết Trang</t>
  </si>
  <si>
    <t>CN nạp liệu</t>
  </si>
  <si>
    <t>Vào ca 2A lúc 22h00 ngày 22/11/2025, đã thiếu kiểm soát trong công việc, Không nạp thuỷ tinh lỏng vào máy nghiền số 2, gây ra hậu quả không đạt thông số kỹ thuật mà phong công nghệ đưa ra.</t>
  </si>
  <si>
    <t>NT xúc lật</t>
  </si>
  <si>
    <t>Vào hồi 09h45' ngày 25/11/2025, trong quá trình xúc nguyên liệu vào cân, kiểm soát không tốt dẫn đén khi xúc chưa đủ lượng cân bột đá nghiền xương theo đơn. Nhưng đã tự ý xúc nguyên liệu đá cựng Xuân Khang vào cho đủ khối lượng đơn, tiềm ẩn làm thay đổi thông số công nghệ và tính chất bài xương</t>
  </si>
  <si>
    <t>Nguyễn Quốc Huy</t>
  </si>
  <si>
    <t>NV5640</t>
  </si>
  <si>
    <t>Nguyễn Đăng Hùng</t>
  </si>
  <si>
    <t>Hoàn thiện palet</t>
  </si>
  <si>
    <t>Đã có hành vi nghỉ việc vô lý do nhiều ngày trong tháng, không xin phép cấp quản lý</t>
  </si>
  <si>
    <t>Tháng 1</t>
  </si>
  <si>
    <t>Tháng 2</t>
  </si>
  <si>
    <t>Tháng 3</t>
  </si>
  <si>
    <t>Tháng 4</t>
  </si>
  <si>
    <t>Tháng 5</t>
  </si>
  <si>
    <t>Tháng 6</t>
  </si>
  <si>
    <t>Tháng 7</t>
  </si>
  <si>
    <t>Tháng 8</t>
  </si>
  <si>
    <t>Tháng 9</t>
  </si>
  <si>
    <t>Tháng 10</t>
  </si>
  <si>
    <t>Tháng 11</t>
  </si>
  <si>
    <t>Tháng 12</t>
  </si>
  <si>
    <t>Bộ phận</t>
  </si>
  <si>
    <t>Tổng cộng</t>
  </si>
  <si>
    <t>NV Tổ bảo vệ Phòng TC</t>
  </si>
  <si>
    <t>NV Thủ kho Phòng Kế toán</t>
  </si>
  <si>
    <t>NV QC Ban kiểm soát</t>
  </si>
  <si>
    <t>Lái xe nâng - Tổ PVXH</t>
  </si>
  <si>
    <t>Nguyễn Xuân Thuỷ</t>
  </si>
  <si>
    <t>NV lái xe mỏ - Phòng khai thác</t>
  </si>
  <si>
    <t>Lê Bá Cẩn</t>
  </si>
  <si>
    <t>TỔNG HỢP ĐIỂM PHẠT HÀNG  THÁNG2025</t>
  </si>
  <si>
    <t>Nguyễn Duy Dương</t>
  </si>
  <si>
    <t>GĐ ban kinh doanh</t>
  </si>
  <si>
    <t>Tổ phó hậu cần nội vụ , PXSX1</t>
  </si>
  <si>
    <t>PGĐ - Ban kinh doanh</t>
  </si>
  <si>
    <t>Lê Thị Thanh Thuý</t>
  </si>
  <si>
    <t>NV - Phòng kế toán</t>
  </si>
  <si>
    <t>Bộ phận công nghệ</t>
  </si>
  <si>
    <t>Bộ phận nguyên liệu và gia công</t>
  </si>
  <si>
    <t>TGĐ</t>
  </si>
  <si>
    <t>Phó TGĐ - Phụ trách Phòng Tổ chức</t>
  </si>
  <si>
    <t>Lái máy xúc đào - Phòng khai thác</t>
  </si>
  <si>
    <t>Lái xe - Phòng khai thác</t>
  </si>
  <si>
    <t>TBP nghiền sấy phun - PXSX1</t>
  </si>
  <si>
    <t>Thủ kho - Phòng kế Toán</t>
  </si>
  <si>
    <t>GĐ vùng 9</t>
  </si>
  <si>
    <t>Le Thị Nhung</t>
  </si>
  <si>
    <t>NV hỗ trợ thị trường BKD</t>
  </si>
  <si>
    <t>NV5504</t>
  </si>
  <si>
    <t>Nguyễn Hữu Hiếu</t>
  </si>
  <si>
    <t>Lê Xuân Toán</t>
  </si>
  <si>
    <t>Hà Trường Giang</t>
  </si>
  <si>
    <t>Trương Quốc Hoàn</t>
  </si>
  <si>
    <t>Tổ đội xe máy</t>
  </si>
  <si>
    <t>BP khai thác mỏ</t>
  </si>
  <si>
    <t>NV0375</t>
  </si>
  <si>
    <t>NV5532</t>
  </si>
  <si>
    <t>NV1229</t>
  </si>
  <si>
    <t>NV0519</t>
  </si>
  <si>
    <t>NV1032</t>
  </si>
  <si>
    <t>Nguyễn Đình Tứ</t>
  </si>
  <si>
    <t>NV5779</t>
  </si>
  <si>
    <t>NV lái máy xúc đào - Phòng khai thác</t>
  </si>
  <si>
    <t>Trong quá trình cào thùng xe vạn chuyển và vun nguyên liệu, do thiếu quan sát dẫn đến va chạm gầu máy xúc làm cong cột chống mái kho nguyên liệu</t>
  </si>
  <si>
    <t>0,98</t>
  </si>
  <si>
    <t>Một triệu năm trăm năm mươi bảy nghìn đồng</t>
  </si>
  <si>
    <t>Năm mươi tư triệu không trăm tám mươi sáu nghìn đồng</t>
  </si>
  <si>
    <t>Năm triệu bảy trăm linh chín nghìn đồng</t>
  </si>
  <si>
    <t>Sáu trăm chín mươi tám nghìn đồng</t>
  </si>
  <si>
    <t>Đỗ Văn Thạnh</t>
  </si>
  <si>
    <t>Lê Ngọc Anh</t>
  </si>
  <si>
    <t>Quản Văn Phương</t>
  </si>
  <si>
    <t>Nguyễn Hữu Nhân</t>
  </si>
  <si>
    <t>Vũ Hải Minh</t>
  </si>
  <si>
    <t>Đỗ Đức Chung</t>
  </si>
  <si>
    <t>Lê Thanh Phong</t>
  </si>
  <si>
    <t>Nguyễn Trọng Hợp</t>
  </si>
  <si>
    <t>Phạm Văn Tiến</t>
  </si>
  <si>
    <t>La Văn Long</t>
  </si>
  <si>
    <t>Đỗ Hữu Nghị</t>
  </si>
  <si>
    <t>Phạm Thị Loan</t>
  </si>
  <si>
    <t>Phạm Văn Thắng</t>
  </si>
  <si>
    <t>Nguyễn Văn Giáp</t>
  </si>
  <si>
    <t>Nguyễn Mạnh Hùng</t>
  </si>
  <si>
    <t>Nguyễn Viết Sâm</t>
  </si>
  <si>
    <t>Nguyễn Xuân Vũ</t>
  </si>
  <si>
    <t>Văn Như Hùng</t>
  </si>
  <si>
    <t>Lê Văn Tư</t>
  </si>
  <si>
    <t>Nguyễn Quý Hoạt</t>
  </si>
  <si>
    <t>Lê Duy Dũng</t>
  </si>
  <si>
    <t>Nguyễn Văn Thanh</t>
  </si>
  <si>
    <t>Đinh Quang Trung</t>
  </si>
  <si>
    <t>Nguyễn Huy Tuyên</t>
  </si>
  <si>
    <t>Đặng Ngọc Điệp</t>
  </si>
  <si>
    <t>Hoàng Đình Cường</t>
  </si>
  <si>
    <t>Nhân viên QC</t>
  </si>
  <si>
    <t>TT Bảo vệ</t>
  </si>
  <si>
    <t>TBP mài PX1</t>
  </si>
  <si>
    <t>TBP lò nung PX1</t>
  </si>
  <si>
    <t>Trần Thế Anh</t>
  </si>
  <si>
    <t>Lái máy xúc lật PXCBNL</t>
  </si>
  <si>
    <t>CV Phòng TC</t>
  </si>
  <si>
    <t>Phòng TC - HC</t>
  </si>
  <si>
    <t>PBP trạm than PX1</t>
  </si>
  <si>
    <t>Tổ xe nâng</t>
  </si>
  <si>
    <t>Đội sữa chữa</t>
  </si>
  <si>
    <t>Đội xe máy</t>
  </si>
  <si>
    <t>NV sơ chế</t>
  </si>
  <si>
    <t>TBP đóng hộp PX1</t>
  </si>
  <si>
    <t>Tổ phó BPHC PX1</t>
  </si>
  <si>
    <t>Bộ phận dự án</t>
  </si>
  <si>
    <t>Cơ điện PX2</t>
  </si>
  <si>
    <t>PTGĐ</t>
  </si>
  <si>
    <t>TBP Kho</t>
  </si>
  <si>
    <t>PP Tổ chức</t>
  </si>
  <si>
    <t>TBP nghiền sấy phun PX1</t>
  </si>
  <si>
    <t>Cúc lật</t>
  </si>
  <si>
    <t>TBP trạm than PX2</t>
  </si>
  <si>
    <t>Cơ điện PX1</t>
  </si>
  <si>
    <t>GĐ PX1</t>
  </si>
  <si>
    <t>TP sản xuất PX1</t>
  </si>
  <si>
    <t>PBP nghiền sấy phun PX2</t>
  </si>
  <si>
    <t>NV văn phong CT</t>
  </si>
  <si>
    <t>TP tổ bảo dưỡng mài PX1</t>
  </si>
  <si>
    <t>Bảo dưỡng mài</t>
  </si>
  <si>
    <t>TBP công nghệ PX1</t>
  </si>
  <si>
    <t>Khen thưởng thành tích đột xuất đối với tập thể CBCNV tham gia công tác PCCC tại kho thành phẩm Phân xưởng sản xuất 1, Công ty đầu tư phát triển VICENZA. Vì đã có thành tích hoàn thành xuất sắc nhiệm vụ trong công tác PCCC, xử lý thành công, dập tắt đám cháy khu vực chứa dăm gỗ, đảm bảo an toàn cho người và phương tiện, không gây thiệt hạu tài sản của Công ty.</t>
  </si>
  <si>
    <t>Nguyễn Xuân Nam</t>
  </si>
  <si>
    <t>Tổ Bảo vệ</t>
  </si>
  <si>
    <t>Vì đã có thành tích hoàn thành tốt nhiệm vụ trong ca trực đêm ngày 18/11/2025, thông qua hệ thống camera giám sát, kịp thời phát hiện và ngăn chặn, công nhân bộ phận mài , PXSX1 đưa đồ ăn+ chất kích thích (Bia) vào sử dụng trong ca làm việc.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</si>
</sst>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_);_(* \(#,##0\);_(* &quot;-&quot;??_);_(@_)"/>
    <numFmt numFmtId="166" formatCode="d/mm/yyyy;@"/>
    <numFmt numFmtId="167" formatCode="_-* #,##0_-;\-* #,##0_-;_-* &quot;-&quot;??_-;_-@_-"/>
    <numFmt numFmtId="168" formatCode="_-* #,##0\ _₫_-;\-* #,##0\ _₫_-;_-* &quot;-&quot;??\ _₫_-;_-@_-"/>
  </numFmts>
  <fonts count="21" x14ac:knownFonts="1">
    <font>
      <sz val="11"/>
      <color theme="1"/>
      <name val="Calibri"/>
      <family val="2"/>
      <scheme val="minor"/>
    </font>
    <font>
      <sz val="12"/>
      <color theme="1"/>
      <name val="Times New Roman"/>
      <family val="2"/>
    </font>
    <font>
      <b/>
      <sz val="12"/>
      <name val="Times New Roman"/>
      <family val="1"/>
    </font>
    <font>
      <sz val="12"/>
      <name val="Times New Roman"/>
      <family val="1"/>
    </font>
    <font>
      <i/>
      <sz val="12"/>
      <name val="Times New Roman"/>
      <family val="1"/>
    </font>
    <font>
      <sz val="11"/>
      <name val="Times New Roman"/>
      <family val="1"/>
    </font>
    <font>
      <sz val="11"/>
      <color theme="1"/>
      <name val="Calibri"/>
      <family val="2"/>
      <scheme val="minor"/>
    </font>
    <font>
      <sz val="11"/>
      <color theme="1"/>
      <name val="Times New Roman"/>
      <family val="1"/>
    </font>
    <font>
      <b/>
      <sz val="11"/>
      <color theme="1"/>
      <name val="Times New Roman"/>
      <family val="1"/>
    </font>
    <font>
      <sz val="12"/>
      <color theme="1"/>
      <name val="Times New Roman"/>
      <family val="1"/>
    </font>
    <font>
      <b/>
      <sz val="14"/>
      <color theme="1"/>
      <name val="Times New Roman"/>
      <family val="1"/>
    </font>
    <font>
      <b/>
      <sz val="12"/>
      <color theme="1"/>
      <name val="Times New Roman"/>
      <family val="1"/>
    </font>
    <font>
      <i/>
      <sz val="12"/>
      <color theme="1"/>
      <name val="Times New Roman"/>
      <family val="1"/>
    </font>
    <font>
      <b/>
      <i/>
      <sz val="12"/>
      <color theme="1"/>
      <name val="Times New Roman"/>
      <family val="1"/>
    </font>
    <font>
      <b/>
      <sz val="11"/>
      <name val="Times New Roman"/>
      <family val="1"/>
    </font>
    <font>
      <b/>
      <sz val="12"/>
      <color rgb="FFFF0000"/>
      <name val="Times New Roman"/>
      <family val="1"/>
    </font>
    <font>
      <b/>
      <sz val="14"/>
      <name val="Times New Roman"/>
      <family val="1"/>
    </font>
    <font>
      <b/>
      <sz val="10"/>
      <color theme="1"/>
      <name val="Times New Roman"/>
      <family val="1"/>
    </font>
    <font>
      <vertAlign val="subscript"/>
      <sz val="12"/>
      <color theme="1"/>
      <name val="Times New Roman"/>
      <family val="1"/>
    </font>
    <font>
      <vertAlign val="superscript"/>
      <sz val="12"/>
      <color theme="1"/>
      <name val="Times New Roman"/>
      <family val="1"/>
    </font>
    <font>
      <sz val="8"/>
      <name val="Calibri"/>
      <family val="2"/>
      <scheme val="minor"/>
    </font>
  </fonts>
  <fills count="5">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s>
  <cellStyleXfs count="2">
    <xf numFmtId="0" fontId="0" fillId="0" borderId="0"/>
    <xf numFmtId="164" fontId="6" fillId="0" borderId="0" applyFont="0" applyFill="0" applyBorder="0" applyAlignment="0" applyProtection="0"/>
  </cellStyleXfs>
  <cellXfs count="229">
    <xf numFmtId="0" fontId="0" fillId="0" borderId="0" xfId="0"/>
    <xf numFmtId="0" fontId="3" fillId="2" borderId="0" xfId="0" applyFont="1" applyFill="1"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0" borderId="0" xfId="0" applyFont="1" applyAlignment="1">
      <alignment horizontal="center" vertical="center"/>
    </xf>
    <xf numFmtId="0" fontId="9" fillId="0" borderId="0" xfId="0" applyFont="1"/>
    <xf numFmtId="0" fontId="7" fillId="0" borderId="0" xfId="0" applyFont="1" applyAlignment="1">
      <alignment horizontal="center" vertical="center" wrapText="1"/>
    </xf>
    <xf numFmtId="3" fontId="9" fillId="0" borderId="0" xfId="0" applyNumberFormat="1" applyFont="1" applyAlignment="1">
      <alignment horizontal="center" vertical="center"/>
    </xf>
    <xf numFmtId="0" fontId="9" fillId="0" borderId="0" xfId="0" applyFont="1" applyAlignment="1">
      <alignment horizontal="center" vertical="center"/>
    </xf>
    <xf numFmtId="0" fontId="8" fillId="0" borderId="1" xfId="0" applyFont="1" applyBorder="1" applyAlignment="1">
      <alignment horizontal="center" vertical="center" wrapText="1"/>
    </xf>
    <xf numFmtId="0" fontId="13" fillId="2" borderId="3" xfId="0" applyFont="1" applyFill="1" applyBorder="1" applyAlignment="1">
      <alignment vertical="center"/>
    </xf>
    <xf numFmtId="0" fontId="9" fillId="2" borderId="0" xfId="0" applyFont="1" applyFill="1" applyAlignment="1">
      <alignment horizontal="center" vertical="center" wrapText="1"/>
    </xf>
    <xf numFmtId="3" fontId="9" fillId="2" borderId="0" xfId="0" applyNumberFormat="1" applyFont="1" applyFill="1" applyAlignment="1">
      <alignment horizontal="center" vertical="center"/>
    </xf>
    <xf numFmtId="0" fontId="9" fillId="2" borderId="0" xfId="0" applyFont="1" applyFill="1" applyAlignment="1">
      <alignment horizontal="center" vertical="center"/>
    </xf>
    <xf numFmtId="3" fontId="2" fillId="2" borderId="0" xfId="0" applyNumberFormat="1" applyFont="1" applyFill="1" applyAlignment="1">
      <alignment horizontal="center" vertical="center"/>
    </xf>
    <xf numFmtId="0" fontId="11" fillId="2" borderId="0" xfId="0" applyFont="1" applyFill="1" applyAlignment="1">
      <alignment horizontal="center" vertical="center" wrapText="1"/>
    </xf>
    <xf numFmtId="0" fontId="9" fillId="0" borderId="1" xfId="0" applyFont="1" applyBorder="1" applyAlignment="1">
      <alignment horizontal="center" vertical="center"/>
    </xf>
    <xf numFmtId="0" fontId="13" fillId="2" borderId="0" xfId="0" applyFont="1" applyFill="1" applyAlignment="1">
      <alignment vertical="center"/>
    </xf>
    <xf numFmtId="0" fontId="9" fillId="0" borderId="0" xfId="0" applyFont="1" applyAlignment="1">
      <alignment horizontal="center"/>
    </xf>
    <xf numFmtId="0" fontId="3" fillId="2" borderId="0" xfId="0" applyFont="1" applyFill="1" applyAlignment="1">
      <alignment horizontal="center" vertical="center" wrapText="1"/>
    </xf>
    <xf numFmtId="3" fontId="3" fillId="2" borderId="0" xfId="1" applyNumberFormat="1" applyFont="1" applyFill="1" applyAlignment="1">
      <alignment horizontal="center" vertical="center"/>
    </xf>
    <xf numFmtId="3" fontId="3" fillId="2" borderId="0" xfId="0" applyNumberFormat="1" applyFont="1" applyFill="1" applyAlignment="1">
      <alignment horizontal="center" vertical="center"/>
    </xf>
    <xf numFmtId="3" fontId="2" fillId="2" borderId="1" xfId="1"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3" fontId="11" fillId="2" borderId="1" xfId="0" applyNumberFormat="1" applyFont="1" applyFill="1" applyBorder="1"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9" fillId="0" borderId="1" xfId="0" applyFont="1" applyBorder="1" applyAlignment="1">
      <alignment horizontal="center" vertical="center" wrapText="1"/>
    </xf>
    <xf numFmtId="0" fontId="9" fillId="0" borderId="0" xfId="0" applyFont="1" applyAlignment="1">
      <alignment horizontal="right" vertical="center"/>
    </xf>
    <xf numFmtId="0" fontId="11" fillId="0" borderId="0" xfId="0" applyFont="1" applyAlignment="1">
      <alignment vertical="center"/>
    </xf>
    <xf numFmtId="0" fontId="11" fillId="0" borderId="0" xfId="0" applyFont="1" applyAlignment="1">
      <alignment horizontal="center"/>
    </xf>
    <xf numFmtId="0" fontId="11" fillId="0" borderId="0" xfId="0" applyFont="1" applyAlignment="1">
      <alignment horizontal="right"/>
    </xf>
    <xf numFmtId="0" fontId="9" fillId="0" borderId="0" xfId="0" applyFont="1" applyAlignment="1">
      <alignment vertical="center"/>
    </xf>
    <xf numFmtId="165" fontId="9" fillId="0" borderId="0" xfId="1" applyNumberFormat="1" applyFont="1" applyAlignment="1">
      <alignment vertical="center"/>
    </xf>
    <xf numFmtId="49" fontId="9" fillId="0" borderId="0" xfId="0" applyNumberFormat="1" applyFont="1"/>
    <xf numFmtId="0" fontId="9" fillId="0" borderId="0" xfId="0" applyFont="1" applyAlignment="1">
      <alignment horizontal="right"/>
    </xf>
    <xf numFmtId="0" fontId="10" fillId="0" borderId="0" xfId="0" applyFont="1" applyAlignment="1">
      <alignment horizontal="center" vertical="center"/>
    </xf>
    <xf numFmtId="165" fontId="2" fillId="0" borderId="1" xfId="1" applyNumberFormat="1" applyFont="1" applyBorder="1" applyAlignment="1">
      <alignment horizontal="center" vertical="center" wrapText="1"/>
    </xf>
    <xf numFmtId="0" fontId="2" fillId="0" borderId="1" xfId="0" applyFont="1" applyBorder="1" applyAlignment="1">
      <alignment horizontal="center" vertical="center" wrapText="1"/>
    </xf>
    <xf numFmtId="165" fontId="2" fillId="0" borderId="5" xfId="1" applyNumberFormat="1" applyFont="1" applyBorder="1" applyAlignment="1">
      <alignment horizontal="center" vertical="center" wrapText="1"/>
    </xf>
    <xf numFmtId="0" fontId="2" fillId="0" borderId="5" xfId="0" applyFont="1" applyBorder="1" applyAlignment="1">
      <alignment horizontal="center" vertical="center" wrapText="1"/>
    </xf>
    <xf numFmtId="49" fontId="9" fillId="0" borderId="2" xfId="0" applyNumberFormat="1" applyFont="1" applyBorder="1" applyAlignment="1">
      <alignment horizontal="center" vertical="center"/>
    </xf>
    <xf numFmtId="167" fontId="9" fillId="0" borderId="2" xfId="1" applyNumberFormat="1" applyFont="1" applyBorder="1" applyAlignment="1">
      <alignment horizontal="right" vertical="center"/>
    </xf>
    <xf numFmtId="167" fontId="11" fillId="0" borderId="2" xfId="1" applyNumberFormat="1" applyFont="1" applyBorder="1" applyAlignment="1">
      <alignment vertical="center"/>
    </xf>
    <xf numFmtId="167" fontId="9" fillId="0" borderId="2" xfId="1" applyNumberFormat="1" applyFont="1" applyBorder="1" applyAlignment="1">
      <alignment vertical="center"/>
    </xf>
    <xf numFmtId="167" fontId="9" fillId="0" borderId="1" xfId="1" applyNumberFormat="1" applyFont="1" applyBorder="1" applyAlignment="1">
      <alignment horizontal="center"/>
    </xf>
    <xf numFmtId="167" fontId="11" fillId="0" borderId="1" xfId="1" applyNumberFormat="1" applyFont="1" applyBorder="1"/>
    <xf numFmtId="167" fontId="15" fillId="4" borderId="2" xfId="1" applyNumberFormat="1" applyFont="1" applyFill="1" applyBorder="1" applyAlignment="1">
      <alignment horizontal="center" vertical="center"/>
    </xf>
    <xf numFmtId="167" fontId="9" fillId="0" borderId="1" xfId="1" applyNumberFormat="1" applyFont="1" applyBorder="1" applyAlignment="1">
      <alignment horizontal="right" vertical="center"/>
    </xf>
    <xf numFmtId="167" fontId="9" fillId="0" borderId="1" xfId="1" applyNumberFormat="1" applyFont="1" applyBorder="1" applyAlignment="1">
      <alignment horizontal="center" vertical="center"/>
    </xf>
    <xf numFmtId="167" fontId="9" fillId="0" borderId="0" xfId="0" applyNumberFormat="1" applyFont="1"/>
    <xf numFmtId="167" fontId="9" fillId="0" borderId="1" xfId="1" applyNumberFormat="1" applyFont="1" applyBorder="1" applyAlignment="1">
      <alignment vertical="center"/>
    </xf>
    <xf numFmtId="49" fontId="11" fillId="0" borderId="1" xfId="0" applyNumberFormat="1" applyFont="1" applyBorder="1" applyAlignment="1">
      <alignment horizontal="center"/>
    </xf>
    <xf numFmtId="167" fontId="11" fillId="0" borderId="1" xfId="1" applyNumberFormat="1" applyFont="1" applyBorder="1" applyAlignment="1">
      <alignment horizontal="right"/>
    </xf>
    <xf numFmtId="167" fontId="11" fillId="3" borderId="1" xfId="1" applyNumberFormat="1" applyFont="1" applyFill="1" applyBorder="1"/>
    <xf numFmtId="167" fontId="15" fillId="4" borderId="1" xfId="1" applyNumberFormat="1" applyFont="1" applyFill="1" applyBorder="1" applyAlignment="1">
      <alignment horizontal="center" vertical="center"/>
    </xf>
    <xf numFmtId="49" fontId="10" fillId="0" borderId="0" xfId="0" applyNumberFormat="1" applyFont="1" applyAlignment="1">
      <alignment horizontal="center" vertical="center"/>
    </xf>
    <xf numFmtId="165" fontId="11" fillId="2" borderId="0" xfId="0" applyNumberFormat="1" applyFont="1" applyFill="1" applyAlignment="1">
      <alignment vertical="center"/>
    </xf>
    <xf numFmtId="0" fontId="2" fillId="0" borderId="0" xfId="0" applyFont="1" applyAlignment="1">
      <alignment horizontal="center"/>
    </xf>
    <xf numFmtId="165" fontId="9" fillId="0" borderId="0" xfId="0" applyNumberFormat="1" applyFont="1" applyAlignment="1">
      <alignment horizontal="right"/>
    </xf>
    <xf numFmtId="165" fontId="9" fillId="0" borderId="0" xfId="0" applyNumberFormat="1" applyFont="1"/>
    <xf numFmtId="3" fontId="3" fillId="0" borderId="1" xfId="1" applyNumberFormat="1" applyFont="1" applyFill="1" applyBorder="1" applyAlignment="1">
      <alignment horizontal="center" vertical="center"/>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xf>
    <xf numFmtId="0" fontId="9" fillId="2" borderId="1" xfId="0" applyFont="1" applyFill="1" applyBorder="1" applyAlignment="1">
      <alignment horizontal="center" vertical="center" wrapText="1"/>
    </xf>
    <xf numFmtId="166" fontId="3" fillId="0" borderId="1" xfId="0" applyNumberFormat="1" applyFont="1" applyBorder="1" applyAlignment="1">
      <alignment horizontal="center" vertical="center"/>
    </xf>
    <xf numFmtId="3" fontId="3" fillId="2" borderId="1" xfId="1" applyNumberFormat="1" applyFont="1" applyFill="1" applyBorder="1" applyAlignment="1">
      <alignment horizontal="center" vertical="center"/>
    </xf>
    <xf numFmtId="0" fontId="3" fillId="2" borderId="1" xfId="0" applyFont="1" applyFill="1" applyBorder="1" applyAlignment="1">
      <alignment horizontal="center" vertical="center"/>
    </xf>
    <xf numFmtId="3" fontId="3" fillId="2" borderId="1" xfId="0" applyNumberFormat="1" applyFont="1" applyFill="1" applyBorder="1" applyAlignment="1">
      <alignment horizontal="center" vertical="center" wrapText="1"/>
    </xf>
    <xf numFmtId="0" fontId="9" fillId="0" borderId="1" xfId="0" applyFont="1" applyBorder="1" applyAlignment="1">
      <alignment vertical="center" wrapText="1"/>
    </xf>
    <xf numFmtId="3" fontId="2" fillId="0" borderId="1" xfId="1" applyNumberFormat="1" applyFont="1" applyFill="1" applyBorder="1" applyAlignment="1">
      <alignment horizontal="center" vertical="center"/>
    </xf>
    <xf numFmtId="3" fontId="3" fillId="2" borderId="5" xfId="0" applyNumberFormat="1" applyFont="1" applyFill="1" applyBorder="1" applyAlignment="1">
      <alignment horizontal="center" vertical="center" wrapText="1"/>
    </xf>
    <xf numFmtId="0" fontId="2" fillId="2" borderId="0" xfId="0" applyFont="1" applyFill="1" applyAlignment="1">
      <alignment horizontal="center" vertical="center" wrapText="1"/>
    </xf>
    <xf numFmtId="0" fontId="11" fillId="2" borderId="1" xfId="0" applyFont="1" applyFill="1" applyBorder="1" applyAlignment="1">
      <alignment horizontal="center" vertical="center"/>
    </xf>
    <xf numFmtId="0" fontId="3" fillId="0" borderId="5" xfId="0" applyFont="1" applyBorder="1" applyAlignment="1">
      <alignment horizontal="center" vertical="center"/>
    </xf>
    <xf numFmtId="0" fontId="11" fillId="0" borderId="1" xfId="0" applyFont="1" applyBorder="1" applyAlignment="1">
      <alignment horizontal="center" vertical="center" wrapText="1"/>
    </xf>
    <xf numFmtId="3" fontId="11" fillId="0" borderId="1" xfId="1" applyNumberFormat="1" applyFont="1" applyFill="1" applyBorder="1" applyAlignment="1">
      <alignment horizontal="center" vertical="center" wrapText="1"/>
    </xf>
    <xf numFmtId="165" fontId="11" fillId="0" borderId="1" xfId="1" applyNumberFormat="1" applyFont="1" applyFill="1" applyBorder="1" applyAlignment="1">
      <alignment horizontal="center" vertical="center" wrapText="1"/>
    </xf>
    <xf numFmtId="0" fontId="13" fillId="2" borderId="0" xfId="0" applyFont="1" applyFill="1" applyAlignment="1">
      <alignment horizontal="left" vertical="center"/>
    </xf>
    <xf numFmtId="3" fontId="9" fillId="0" borderId="0" xfId="0" applyNumberFormat="1" applyFont="1"/>
    <xf numFmtId="0" fontId="9" fillId="0" borderId="0" xfId="0" applyFont="1" applyAlignment="1">
      <alignment horizontal="center" wrapText="1"/>
    </xf>
    <xf numFmtId="168" fontId="9" fillId="0" borderId="0" xfId="1" applyNumberFormat="1" applyFont="1"/>
    <xf numFmtId="168" fontId="9" fillId="0" borderId="0" xfId="0" applyNumberFormat="1" applyFont="1"/>
    <xf numFmtId="0" fontId="13" fillId="2" borderId="0" xfId="0" applyFont="1" applyFill="1" applyAlignment="1">
      <alignment horizontal="center" vertical="center"/>
    </xf>
    <xf numFmtId="0" fontId="2" fillId="2" borderId="0" xfId="0" applyFont="1" applyFill="1" applyAlignment="1">
      <alignment horizontal="center" vertical="center"/>
    </xf>
    <xf numFmtId="0" fontId="11" fillId="0" borderId="0" xfId="0" applyFont="1" applyAlignment="1">
      <alignment horizontal="center" vertical="center"/>
    </xf>
    <xf numFmtId="0" fontId="9" fillId="0" borderId="2" xfId="0" applyFont="1" applyBorder="1" applyAlignment="1">
      <alignment horizontal="center" vertical="center" wrapText="1"/>
    </xf>
    <xf numFmtId="0" fontId="9" fillId="2" borderId="5" xfId="0" applyFont="1" applyFill="1" applyBorder="1" applyAlignment="1">
      <alignment horizontal="center" vertical="center" wrapText="1"/>
    </xf>
    <xf numFmtId="0" fontId="13" fillId="2" borderId="3" xfId="0" applyFont="1" applyFill="1" applyBorder="1" applyAlignment="1">
      <alignment horizontal="center" vertical="center"/>
    </xf>
    <xf numFmtId="167" fontId="11" fillId="0" borderId="2" xfId="1" applyNumberFormat="1" applyFont="1" applyBorder="1"/>
    <xf numFmtId="165" fontId="7" fillId="0" borderId="0" xfId="1" applyNumberFormat="1" applyFont="1" applyAlignment="1">
      <alignment horizontal="center" vertical="center"/>
    </xf>
    <xf numFmtId="165" fontId="11" fillId="0" borderId="0" xfId="1" applyNumberFormat="1" applyFont="1" applyAlignment="1">
      <alignment horizontal="center" vertical="center"/>
    </xf>
    <xf numFmtId="49" fontId="9" fillId="0" borderId="0" xfId="0" applyNumberFormat="1" applyFont="1" applyAlignment="1">
      <alignment horizontal="center" vertical="center"/>
    </xf>
    <xf numFmtId="165" fontId="9" fillId="0" borderId="0" xfId="1" applyNumberFormat="1" applyFont="1" applyAlignment="1">
      <alignment horizontal="center" vertical="center"/>
    </xf>
    <xf numFmtId="0" fontId="17" fillId="0" borderId="1" xfId="0" applyFont="1" applyBorder="1" applyAlignment="1">
      <alignment horizontal="center" vertical="center"/>
    </xf>
    <xf numFmtId="165" fontId="17" fillId="0" borderId="1" xfId="1" applyNumberFormat="1" applyFont="1" applyBorder="1" applyAlignment="1">
      <alignment horizontal="center" vertical="center" wrapText="1"/>
    </xf>
    <xf numFmtId="14" fontId="9" fillId="0" borderId="1" xfId="0" applyNumberFormat="1" applyFont="1" applyBorder="1" applyAlignment="1">
      <alignment horizontal="center" vertical="center" wrapText="1"/>
    </xf>
    <xf numFmtId="165" fontId="9" fillId="0" borderId="1" xfId="1" applyNumberFormat="1"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165" fontId="7" fillId="0" borderId="1" xfId="1" applyNumberFormat="1" applyFont="1" applyBorder="1" applyAlignment="1">
      <alignment horizontal="center" vertical="center"/>
    </xf>
    <xf numFmtId="14" fontId="7" fillId="0" borderId="1" xfId="0" applyNumberFormat="1" applyFont="1" applyBorder="1" applyAlignment="1">
      <alignment horizontal="center" vertical="center"/>
    </xf>
    <xf numFmtId="165" fontId="8" fillId="0" borderId="1" xfId="0" applyNumberFormat="1" applyFont="1" applyBorder="1" applyAlignment="1">
      <alignment horizontal="center" vertical="center"/>
    </xf>
    <xf numFmtId="0" fontId="7" fillId="0" borderId="1" xfId="0" applyFont="1" applyBorder="1" applyAlignment="1">
      <alignment vertical="center"/>
    </xf>
    <xf numFmtId="14" fontId="7" fillId="0" borderId="1" xfId="0" applyNumberFormat="1" applyFont="1" applyBorder="1" applyAlignment="1">
      <alignment vertical="center"/>
    </xf>
    <xf numFmtId="0" fontId="7" fillId="0" borderId="1" xfId="0" applyFont="1" applyBorder="1" applyAlignment="1">
      <alignment vertical="center" wrapText="1"/>
    </xf>
    <xf numFmtId="3" fontId="3" fillId="0" borderId="5" xfId="1" applyNumberFormat="1" applyFont="1" applyFill="1" applyBorder="1" applyAlignment="1">
      <alignment horizontal="center" vertical="center"/>
    </xf>
    <xf numFmtId="166" fontId="3" fillId="0" borderId="1" xfId="0" applyNumberFormat="1" applyFont="1" applyBorder="1" applyAlignment="1">
      <alignment horizontal="center" vertical="center" wrapText="1"/>
    </xf>
    <xf numFmtId="0" fontId="13" fillId="2" borderId="3" xfId="0" applyFont="1" applyFill="1" applyBorder="1" applyAlignment="1">
      <alignment horizontal="center" vertical="center" wrapText="1"/>
    </xf>
    <xf numFmtId="0" fontId="13" fillId="2" borderId="3" xfId="0" applyFont="1" applyFill="1" applyBorder="1" applyAlignment="1">
      <alignment vertical="center" wrapText="1"/>
    </xf>
    <xf numFmtId="0" fontId="9" fillId="0" borderId="5" xfId="0" applyFont="1" applyBorder="1" applyAlignment="1">
      <alignment horizontal="center" vertical="center" wrapText="1"/>
    </xf>
    <xf numFmtId="166" fontId="5" fillId="0" borderId="0" xfId="0" applyNumberFormat="1" applyFont="1" applyAlignment="1">
      <alignment horizontal="center" vertical="center" wrapText="1"/>
    </xf>
    <xf numFmtId="166" fontId="2" fillId="2" borderId="1" xfId="0" applyNumberFormat="1" applyFont="1" applyFill="1" applyBorder="1" applyAlignment="1">
      <alignment horizontal="center" vertical="center" wrapText="1"/>
    </xf>
    <xf numFmtId="166" fontId="9" fillId="2" borderId="0" xfId="0" applyNumberFormat="1" applyFont="1" applyFill="1" applyAlignment="1">
      <alignment horizontal="center" vertical="center" wrapText="1"/>
    </xf>
    <xf numFmtId="166" fontId="7" fillId="0" borderId="1" xfId="0" applyNumberFormat="1" applyFont="1" applyBorder="1" applyAlignment="1">
      <alignment horizontal="center" vertical="center" wrapText="1"/>
    </xf>
    <xf numFmtId="3" fontId="11" fillId="0" borderId="1" xfId="1" applyNumberFormat="1" applyFont="1" applyFill="1" applyBorder="1" applyAlignment="1">
      <alignment horizontal="center" vertical="center"/>
    </xf>
    <xf numFmtId="3" fontId="3" fillId="2" borderId="1" xfId="1" applyNumberFormat="1" applyFont="1" applyFill="1" applyBorder="1" applyAlignment="1">
      <alignment horizontal="center" vertical="center" wrapText="1"/>
    </xf>
    <xf numFmtId="166" fontId="3" fillId="0" borderId="1" xfId="0" quotePrefix="1" applyNumberFormat="1" applyFont="1" applyBorder="1" applyAlignment="1">
      <alignment horizontal="center" vertical="center" wrapText="1"/>
    </xf>
    <xf numFmtId="0" fontId="9" fillId="0" borderId="0" xfId="0" applyFont="1" applyAlignment="1">
      <alignment horizontal="left" vertical="center"/>
    </xf>
    <xf numFmtId="14" fontId="9" fillId="0" borderId="1" xfId="0" applyNumberFormat="1" applyFont="1" applyBorder="1" applyAlignment="1">
      <alignment horizontal="center" vertical="center"/>
    </xf>
    <xf numFmtId="0" fontId="11" fillId="0" borderId="1" xfId="0" applyFont="1" applyBorder="1" applyAlignment="1">
      <alignment horizontal="center" vertical="center"/>
    </xf>
    <xf numFmtId="0" fontId="9" fillId="0" borderId="1" xfId="0" applyFont="1" applyBorder="1" applyAlignment="1">
      <alignment horizontal="left" indent="1"/>
    </xf>
    <xf numFmtId="0" fontId="9" fillId="0" borderId="1" xfId="0" applyFont="1" applyBorder="1" applyAlignment="1">
      <alignment horizontal="left" vertical="center" indent="1"/>
    </xf>
    <xf numFmtId="14" fontId="9" fillId="0" borderId="1" xfId="0" applyNumberFormat="1" applyFont="1" applyBorder="1" applyAlignment="1">
      <alignment horizontal="center"/>
    </xf>
    <xf numFmtId="14" fontId="9" fillId="0" borderId="1" xfId="0" applyNumberFormat="1" applyFont="1" applyBorder="1" applyAlignment="1">
      <alignment horizontal="left" indent="1"/>
    </xf>
    <xf numFmtId="0" fontId="3" fillId="4" borderId="1" xfId="0" applyFont="1" applyFill="1" applyBorder="1" applyAlignment="1">
      <alignment horizontal="center" vertical="center" wrapText="1"/>
    </xf>
    <xf numFmtId="14" fontId="3" fillId="4" borderId="1" xfId="0" applyNumberFormat="1" applyFont="1" applyFill="1" applyBorder="1" applyAlignment="1">
      <alignment horizontal="center" vertical="center"/>
    </xf>
    <xf numFmtId="166" fontId="3" fillId="4" borderId="1" xfId="0" applyNumberFormat="1" applyFont="1" applyFill="1" applyBorder="1" applyAlignment="1">
      <alignment horizontal="center" vertical="center"/>
    </xf>
    <xf numFmtId="0" fontId="9" fillId="4" borderId="1" xfId="0" applyFont="1" applyFill="1" applyBorder="1" applyAlignment="1">
      <alignment horizontal="center" vertical="center" wrapText="1"/>
    </xf>
    <xf numFmtId="3" fontId="3" fillId="4" borderId="1" xfId="1" applyNumberFormat="1" applyFont="1" applyFill="1" applyBorder="1" applyAlignment="1">
      <alignment horizontal="center" vertical="center"/>
    </xf>
    <xf numFmtId="0" fontId="3" fillId="4" borderId="1" xfId="0" applyFont="1" applyFill="1" applyBorder="1" applyAlignment="1">
      <alignment horizontal="center" vertical="center"/>
    </xf>
    <xf numFmtId="3" fontId="3" fillId="4" borderId="1" xfId="0" applyNumberFormat="1" applyFont="1" applyFill="1" applyBorder="1" applyAlignment="1">
      <alignment horizontal="center" vertical="center" wrapText="1"/>
    </xf>
    <xf numFmtId="0" fontId="9" fillId="4" borderId="0" xfId="0" applyFont="1" applyFill="1" applyAlignment="1">
      <alignment horizontal="center" vertical="center"/>
    </xf>
    <xf numFmtId="14" fontId="9" fillId="0" borderId="2" xfId="0" applyNumberFormat="1" applyFont="1" applyBorder="1" applyAlignment="1">
      <alignment horizontal="center" vertical="center" wrapText="1"/>
    </xf>
    <xf numFmtId="0" fontId="9" fillId="0" borderId="0" xfId="0" applyFont="1" applyAlignment="1">
      <alignment wrapText="1"/>
    </xf>
    <xf numFmtId="0" fontId="9" fillId="0" borderId="0" xfId="0" applyFont="1" applyAlignment="1">
      <alignment vertical="center" wrapText="1"/>
    </xf>
    <xf numFmtId="0" fontId="9" fillId="0" borderId="0" xfId="0" applyFont="1" applyAlignment="1">
      <alignment horizontal="justify" vertical="center"/>
    </xf>
    <xf numFmtId="0" fontId="11" fillId="2" borderId="0" xfId="0" applyFont="1" applyFill="1" applyAlignment="1">
      <alignment horizontal="center" vertical="center"/>
    </xf>
    <xf numFmtId="0" fontId="9" fillId="0" borderId="1" xfId="0" applyFont="1" applyBorder="1" applyAlignment="1">
      <alignment wrapText="1"/>
    </xf>
    <xf numFmtId="0" fontId="2" fillId="2"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3" fontId="2" fillId="2" borderId="1" xfId="1" applyNumberFormat="1" applyFont="1" applyFill="1" applyBorder="1" applyAlignment="1" applyProtection="1">
      <alignment horizontal="center" vertical="center" wrapText="1"/>
      <protection locked="0"/>
    </xf>
    <xf numFmtId="3" fontId="2" fillId="2" borderId="1" xfId="0" applyNumberFormat="1" applyFont="1" applyFill="1" applyBorder="1" applyAlignment="1" applyProtection="1">
      <alignment horizontal="center" vertical="center" wrapText="1"/>
      <protection locked="0"/>
    </xf>
    <xf numFmtId="0" fontId="9" fillId="2" borderId="0" xfId="0" applyFont="1" applyFill="1" applyAlignment="1" applyProtection="1">
      <alignment horizontal="center" vertical="center"/>
      <protection locked="0"/>
    </xf>
    <xf numFmtId="0" fontId="9" fillId="0" borderId="7" xfId="0" applyFont="1" applyBorder="1" applyAlignment="1">
      <alignment horizontal="center" vertical="center" wrapText="1"/>
    </xf>
    <xf numFmtId="0" fontId="9" fillId="0" borderId="1" xfId="0" applyFont="1" applyBorder="1" applyAlignment="1">
      <alignment horizontal="justify" vertical="center"/>
    </xf>
    <xf numFmtId="0" fontId="9" fillId="0" borderId="1" xfId="0" applyFont="1" applyBorder="1" applyAlignment="1">
      <alignment vertical="top" wrapText="1"/>
    </xf>
    <xf numFmtId="0" fontId="9" fillId="0" borderId="0" xfId="0" applyFont="1" applyAlignment="1">
      <alignment vertical="top" wrapText="1"/>
    </xf>
    <xf numFmtId="0" fontId="9" fillId="0" borderId="7" xfId="0" applyFont="1" applyBorder="1" applyAlignment="1">
      <alignment vertical="center" wrapText="1"/>
    </xf>
    <xf numFmtId="0" fontId="9" fillId="0" borderId="5" xfId="0" applyFont="1" applyBorder="1" applyAlignment="1">
      <alignment horizontal="justify" vertical="center"/>
    </xf>
    <xf numFmtId="0" fontId="7" fillId="0" borderId="1" xfId="0" applyFont="1" applyBorder="1" applyAlignment="1">
      <alignment wrapText="1"/>
    </xf>
    <xf numFmtId="0" fontId="7" fillId="0" borderId="1" xfId="0" applyFont="1" applyBorder="1" applyAlignment="1">
      <alignment vertical="top" wrapText="1"/>
    </xf>
    <xf numFmtId="0" fontId="9" fillId="0" borderId="1" xfId="0" applyFont="1" applyBorder="1" applyAlignment="1">
      <alignment horizontal="justify" vertical="top"/>
    </xf>
    <xf numFmtId="0" fontId="7" fillId="0" borderId="1" xfId="0" applyFont="1" applyBorder="1" applyAlignment="1">
      <alignment horizontal="left" vertical="top" wrapText="1"/>
    </xf>
    <xf numFmtId="0" fontId="9" fillId="0" borderId="1" xfId="0" applyFont="1" applyBorder="1" applyAlignment="1">
      <alignment horizontal="left" vertical="top" wrapText="1"/>
    </xf>
    <xf numFmtId="0" fontId="3" fillId="0" borderId="7" xfId="0" applyFont="1" applyBorder="1" applyAlignment="1">
      <alignment horizontal="center" vertical="center" wrapText="1"/>
    </xf>
    <xf numFmtId="0" fontId="2" fillId="2" borderId="1" xfId="0" applyFont="1" applyFill="1" applyBorder="1" applyAlignment="1">
      <alignment vertical="center" wrapText="1"/>
    </xf>
    <xf numFmtId="14" fontId="3" fillId="2" borderId="1" xfId="0" applyNumberFormat="1" applyFont="1" applyFill="1" applyBorder="1" applyAlignment="1">
      <alignment horizontal="center"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top" wrapText="1"/>
    </xf>
    <xf numFmtId="0" fontId="9" fillId="0" borderId="1" xfId="0" applyFont="1" applyBorder="1" applyAlignment="1">
      <alignment horizontal="left" vertical="top"/>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0" fontId="9" fillId="2" borderId="1" xfId="0" applyFont="1" applyFill="1" applyBorder="1" applyAlignment="1">
      <alignment horizontal="center" vertical="center"/>
    </xf>
    <xf numFmtId="0" fontId="2" fillId="0" borderId="1" xfId="0" applyFont="1" applyBorder="1" applyAlignment="1">
      <alignment vertical="center"/>
    </xf>
    <xf numFmtId="14" fontId="3" fillId="0" borderId="1" xfId="0" applyNumberFormat="1" applyFont="1" applyBorder="1" applyAlignment="1">
      <alignment horizontal="center" vertical="center" wrapText="1"/>
    </xf>
    <xf numFmtId="0" fontId="7" fillId="0" borderId="10" xfId="0" applyFont="1" applyBorder="1" applyAlignment="1">
      <alignment horizontal="center" vertical="center" wrapText="1"/>
    </xf>
    <xf numFmtId="3" fontId="3" fillId="2" borderId="7" xfId="1" applyNumberFormat="1" applyFont="1" applyFill="1" applyBorder="1" applyAlignment="1">
      <alignment horizontal="center" vertical="center"/>
    </xf>
    <xf numFmtId="165" fontId="9" fillId="0" borderId="1" xfId="1" quotePrefix="1" applyNumberFormat="1" applyFont="1" applyBorder="1" applyAlignment="1">
      <alignment horizontal="center" wrapText="1"/>
    </xf>
    <xf numFmtId="165" fontId="9" fillId="0" borderId="1" xfId="1" quotePrefix="1" applyNumberFormat="1" applyFont="1" applyBorder="1" applyAlignment="1">
      <alignment horizontal="left" wrapText="1"/>
    </xf>
    <xf numFmtId="165" fontId="9" fillId="0" borderId="1" xfId="1" applyNumberFormat="1" applyFont="1" applyBorder="1" applyAlignment="1">
      <alignment horizontal="left" vertical="center" wrapText="1"/>
    </xf>
    <xf numFmtId="165" fontId="9" fillId="0" borderId="1" xfId="1" quotePrefix="1" applyNumberFormat="1" applyFont="1" applyBorder="1" applyAlignment="1">
      <alignment horizontal="center" vertical="center" wrapText="1"/>
    </xf>
    <xf numFmtId="49" fontId="9" fillId="2" borderId="1" xfId="0" applyNumberFormat="1" applyFont="1" applyFill="1" applyBorder="1" applyAlignment="1">
      <alignment horizontal="center" vertical="center"/>
    </xf>
    <xf numFmtId="0" fontId="2" fillId="2" borderId="0" xfId="0" applyFont="1" applyFill="1" applyAlignment="1">
      <alignment horizontal="center" vertical="center"/>
    </xf>
    <xf numFmtId="0" fontId="11" fillId="2" borderId="0" xfId="0" applyFont="1" applyFill="1" applyAlignment="1">
      <alignment horizontal="center" vertical="center"/>
    </xf>
    <xf numFmtId="0" fontId="2" fillId="0" borderId="0" xfId="0" applyFont="1" applyAlignment="1">
      <alignment horizontal="center" vertical="center"/>
    </xf>
    <xf numFmtId="0" fontId="14" fillId="0" borderId="0" xfId="0" applyFont="1" applyAlignment="1">
      <alignment horizontal="center" vertical="center"/>
    </xf>
    <xf numFmtId="3" fontId="4" fillId="0" borderId="0" xfId="0" applyNumberFormat="1" applyFont="1" applyAlignment="1">
      <alignment horizontal="center" vertical="center"/>
    </xf>
    <xf numFmtId="0" fontId="16" fillId="2" borderId="0" xfId="0" applyFont="1" applyFill="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3" fillId="2" borderId="3" xfId="0" applyFont="1" applyFill="1" applyBorder="1" applyAlignment="1">
      <alignment horizontal="center" vertical="center"/>
    </xf>
    <xf numFmtId="0" fontId="13" fillId="2" borderId="3" xfId="0" applyFont="1" applyFill="1" applyBorder="1" applyAlignment="1">
      <alignment horizontal="left" vertical="center"/>
    </xf>
    <xf numFmtId="3" fontId="4" fillId="0" borderId="0" xfId="0" applyNumberFormat="1" applyFont="1" applyAlignment="1">
      <alignment horizontal="right" vertical="center"/>
    </xf>
    <xf numFmtId="3" fontId="11" fillId="0" borderId="0" xfId="1" applyNumberFormat="1" applyFont="1" applyFill="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0" fillId="0" borderId="4" xfId="0" applyFont="1" applyBorder="1" applyAlignment="1">
      <alignment horizontal="center" vertical="center"/>
    </xf>
    <xf numFmtId="0" fontId="2" fillId="0" borderId="1" xfId="0" applyFont="1" applyBorder="1" applyAlignment="1">
      <alignment horizontal="center" vertical="center"/>
    </xf>
    <xf numFmtId="0" fontId="13" fillId="2" borderId="0" xfId="0" applyFont="1" applyFill="1" applyAlignment="1">
      <alignment horizontal="center" vertical="center"/>
    </xf>
    <xf numFmtId="0" fontId="13" fillId="0" borderId="3" xfId="0" applyFont="1" applyBorder="1" applyAlignment="1">
      <alignment horizontal="center"/>
    </xf>
    <xf numFmtId="0" fontId="9" fillId="0" borderId="3" xfId="0" applyFont="1" applyBorder="1" applyAlignment="1">
      <alignment horizontal="center"/>
    </xf>
    <xf numFmtId="0" fontId="9" fillId="2" borderId="2"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0" fillId="0" borderId="0" xfId="0" applyFont="1" applyAlignment="1">
      <alignment horizontal="center" vertical="center"/>
    </xf>
    <xf numFmtId="49" fontId="11" fillId="0" borderId="1" xfId="0" applyNumberFormat="1" applyFont="1" applyBorder="1" applyAlignment="1">
      <alignment horizontal="center" vertical="center"/>
    </xf>
    <xf numFmtId="0" fontId="11" fillId="0" borderId="7" xfId="0" applyFont="1" applyBorder="1" applyAlignment="1">
      <alignment horizontal="center"/>
    </xf>
    <xf numFmtId="0" fontId="11" fillId="0" borderId="8" xfId="0" applyFont="1" applyBorder="1" applyAlignment="1">
      <alignment horizontal="center"/>
    </xf>
    <xf numFmtId="0" fontId="11" fillId="0" borderId="9" xfId="0" applyFont="1" applyBorder="1" applyAlignment="1">
      <alignment horizontal="center"/>
    </xf>
    <xf numFmtId="49" fontId="15" fillId="4" borderId="2" xfId="0" applyNumberFormat="1" applyFont="1" applyFill="1" applyBorder="1" applyAlignment="1">
      <alignment horizontal="center" vertical="center"/>
    </xf>
    <xf numFmtId="49" fontId="15" fillId="4" borderId="5" xfId="0" applyNumberFormat="1" applyFont="1" applyFill="1" applyBorder="1" applyAlignment="1">
      <alignment horizontal="center" vertical="center"/>
    </xf>
    <xf numFmtId="0" fontId="11" fillId="0" borderId="0" xfId="0" applyFont="1" applyAlignment="1">
      <alignment horizontal="center"/>
    </xf>
    <xf numFmtId="0" fontId="9" fillId="0" borderId="0" xfId="0" applyFont="1" applyAlignment="1">
      <alignment horizontal="center" vertical="center"/>
    </xf>
    <xf numFmtId="0" fontId="2" fillId="0" borderId="0" xfId="0" applyFont="1" applyAlignment="1">
      <alignment horizontal="center"/>
    </xf>
    <xf numFmtId="0" fontId="7" fillId="0" borderId="2" xfId="0" applyFont="1" applyBorder="1" applyAlignment="1">
      <alignment horizontal="center" vertical="center"/>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7" fillId="0" borderId="2" xfId="0" applyFont="1" applyBorder="1" applyAlignment="1">
      <alignment horizontal="center" vertical="center" wrapText="1"/>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14" fontId="7" fillId="0" borderId="2" xfId="0" applyNumberFormat="1" applyFont="1" applyBorder="1" applyAlignment="1">
      <alignment horizontal="center" vertical="center"/>
    </xf>
    <xf numFmtId="14" fontId="7" fillId="0" borderId="6" xfId="0" applyNumberFormat="1" applyFont="1" applyBorder="1" applyAlignment="1">
      <alignment horizontal="center" vertical="center"/>
    </xf>
    <xf numFmtId="14" fontId="7" fillId="0" borderId="5" xfId="0" applyNumberFormat="1"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14" fontId="7" fillId="0" borderId="2" xfId="0" applyNumberFormat="1" applyFont="1" applyBorder="1" applyAlignment="1">
      <alignment horizontal="center" vertical="center" wrapText="1"/>
    </xf>
    <xf numFmtId="14" fontId="7" fillId="0" borderId="6" xfId="0" applyNumberFormat="1" applyFont="1" applyBorder="1" applyAlignment="1">
      <alignment horizontal="center" vertical="center" wrapText="1"/>
    </xf>
    <xf numFmtId="14" fontId="7" fillId="0" borderId="5" xfId="0" applyNumberFormat="1" applyFont="1" applyBorder="1" applyAlignment="1">
      <alignment horizontal="center" vertical="center" wrapText="1"/>
    </xf>
    <xf numFmtId="0" fontId="9" fillId="0" borderId="2" xfId="0" applyFont="1" applyBorder="1" applyAlignment="1">
      <alignment horizontal="center" vertical="center" wrapText="1"/>
    </xf>
    <xf numFmtId="0" fontId="9" fillId="0" borderId="5" xfId="0" applyFont="1" applyBorder="1" applyAlignment="1">
      <alignment horizontal="center" vertical="center" wrapText="1"/>
    </xf>
    <xf numFmtId="0" fontId="9" fillId="0" borderId="2" xfId="0" applyFont="1" applyBorder="1" applyAlignment="1">
      <alignment horizontal="center" vertical="center"/>
    </xf>
    <xf numFmtId="0" fontId="9" fillId="0" borderId="5" xfId="0" applyFont="1" applyBorder="1" applyAlignment="1">
      <alignment horizontal="center" vertical="center"/>
    </xf>
    <xf numFmtId="165" fontId="11" fillId="0" borderId="0" xfId="1" applyNumberFormat="1" applyFont="1" applyAlignment="1">
      <alignment horizontal="center" vertical="center"/>
    </xf>
  </cellXfs>
  <cellStyles count="2">
    <cellStyle name="Comma" xfId="1" builtinId="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377190</xdr:colOff>
      <xdr:row>2</xdr:row>
      <xdr:rowOff>15240</xdr:rowOff>
    </xdr:from>
    <xdr:to>
      <xdr:col>4</xdr:col>
      <xdr:colOff>1106805</xdr:colOff>
      <xdr:row>2</xdr:row>
      <xdr:rowOff>15240</xdr:rowOff>
    </xdr:to>
    <xdr:cxnSp macro="">
      <xdr:nvCxnSpPr>
        <xdr:cNvPr id="14" name="Straight Connector 13">
          <a:extLst>
            <a:ext uri="{FF2B5EF4-FFF2-40B4-BE49-F238E27FC236}">
              <a16:creationId xmlns:a16="http://schemas.microsoft.com/office/drawing/2014/main" id="{00000000-0008-0000-0000-00000E000000}"/>
            </a:ext>
          </a:extLst>
        </xdr:cNvPr>
        <xdr:cNvCxnSpPr/>
      </xdr:nvCxnSpPr>
      <xdr:spPr>
        <a:xfrm>
          <a:off x="2045970" y="502920"/>
          <a:ext cx="150685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377190</xdr:colOff>
      <xdr:row>26</xdr:row>
      <xdr:rowOff>15240</xdr:rowOff>
    </xdr:from>
    <xdr:to>
      <xdr:col>4</xdr:col>
      <xdr:colOff>1106805</xdr:colOff>
      <xdr:row>26</xdr:row>
      <xdr:rowOff>15240</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2045970" y="502920"/>
          <a:ext cx="150685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377190</xdr:colOff>
      <xdr:row>61</xdr:row>
      <xdr:rowOff>15240</xdr:rowOff>
    </xdr:from>
    <xdr:to>
      <xdr:col>4</xdr:col>
      <xdr:colOff>1106805</xdr:colOff>
      <xdr:row>61</xdr:row>
      <xdr:rowOff>15240</xdr:rowOff>
    </xdr:to>
    <xdr:cxnSp macro="">
      <xdr:nvCxnSpPr>
        <xdr:cNvPr id="4" name="Straight Connector 3">
          <a:extLst>
            <a:ext uri="{FF2B5EF4-FFF2-40B4-BE49-F238E27FC236}">
              <a16:creationId xmlns:a16="http://schemas.microsoft.com/office/drawing/2014/main" id="{00000000-0008-0000-0000-000004000000}"/>
            </a:ext>
          </a:extLst>
        </xdr:cNvPr>
        <xdr:cNvCxnSpPr/>
      </xdr:nvCxnSpPr>
      <xdr:spPr>
        <a:xfrm>
          <a:off x="2045970" y="502920"/>
          <a:ext cx="150685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377190</xdr:colOff>
      <xdr:row>93</xdr:row>
      <xdr:rowOff>15240</xdr:rowOff>
    </xdr:from>
    <xdr:to>
      <xdr:col>4</xdr:col>
      <xdr:colOff>1106805</xdr:colOff>
      <xdr:row>93</xdr:row>
      <xdr:rowOff>15240</xdr:rowOff>
    </xdr:to>
    <xdr:cxnSp macro="">
      <xdr:nvCxnSpPr>
        <xdr:cNvPr id="5" name="Straight Connector 4">
          <a:extLst>
            <a:ext uri="{FF2B5EF4-FFF2-40B4-BE49-F238E27FC236}">
              <a16:creationId xmlns:a16="http://schemas.microsoft.com/office/drawing/2014/main" id="{00000000-0008-0000-0000-000005000000}"/>
            </a:ext>
          </a:extLst>
        </xdr:cNvPr>
        <xdr:cNvCxnSpPr/>
      </xdr:nvCxnSpPr>
      <xdr:spPr>
        <a:xfrm>
          <a:off x="1996440" y="14702790"/>
          <a:ext cx="148209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377190</xdr:colOff>
      <xdr:row>126</xdr:row>
      <xdr:rowOff>15240</xdr:rowOff>
    </xdr:from>
    <xdr:to>
      <xdr:col>4</xdr:col>
      <xdr:colOff>1106805</xdr:colOff>
      <xdr:row>126</xdr:row>
      <xdr:rowOff>15240</xdr:rowOff>
    </xdr:to>
    <xdr:cxnSp macro="">
      <xdr:nvCxnSpPr>
        <xdr:cNvPr id="6" name="Straight Connector 5">
          <a:extLst>
            <a:ext uri="{FF2B5EF4-FFF2-40B4-BE49-F238E27FC236}">
              <a16:creationId xmlns:a16="http://schemas.microsoft.com/office/drawing/2014/main" id="{00000000-0008-0000-0000-000006000000}"/>
            </a:ext>
          </a:extLst>
        </xdr:cNvPr>
        <xdr:cNvCxnSpPr/>
      </xdr:nvCxnSpPr>
      <xdr:spPr>
        <a:xfrm>
          <a:off x="2045970" y="39593520"/>
          <a:ext cx="150685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377190</xdr:colOff>
      <xdr:row>157</xdr:row>
      <xdr:rowOff>15240</xdr:rowOff>
    </xdr:from>
    <xdr:to>
      <xdr:col>4</xdr:col>
      <xdr:colOff>1106805</xdr:colOff>
      <xdr:row>157</xdr:row>
      <xdr:rowOff>15240</xdr:rowOff>
    </xdr:to>
    <xdr:cxnSp macro="">
      <xdr:nvCxnSpPr>
        <xdr:cNvPr id="7" name="Straight Connector 6">
          <a:extLst>
            <a:ext uri="{FF2B5EF4-FFF2-40B4-BE49-F238E27FC236}">
              <a16:creationId xmlns:a16="http://schemas.microsoft.com/office/drawing/2014/main" id="{00000000-0008-0000-0000-000007000000}"/>
            </a:ext>
          </a:extLst>
        </xdr:cNvPr>
        <xdr:cNvCxnSpPr/>
      </xdr:nvCxnSpPr>
      <xdr:spPr>
        <a:xfrm>
          <a:off x="1977390" y="57538620"/>
          <a:ext cx="143065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377190</xdr:colOff>
      <xdr:row>190</xdr:row>
      <xdr:rowOff>15240</xdr:rowOff>
    </xdr:from>
    <xdr:to>
      <xdr:col>4</xdr:col>
      <xdr:colOff>1106805</xdr:colOff>
      <xdr:row>190</xdr:row>
      <xdr:rowOff>15240</xdr:rowOff>
    </xdr:to>
    <xdr:cxnSp macro="">
      <xdr:nvCxnSpPr>
        <xdr:cNvPr id="8" name="Straight Connector 7">
          <a:extLst>
            <a:ext uri="{FF2B5EF4-FFF2-40B4-BE49-F238E27FC236}">
              <a16:creationId xmlns:a16="http://schemas.microsoft.com/office/drawing/2014/main" id="{00000000-0008-0000-0000-000008000000}"/>
            </a:ext>
          </a:extLst>
        </xdr:cNvPr>
        <xdr:cNvCxnSpPr/>
      </xdr:nvCxnSpPr>
      <xdr:spPr>
        <a:xfrm>
          <a:off x="1977390" y="77129640"/>
          <a:ext cx="143065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377190</xdr:colOff>
      <xdr:row>227</xdr:row>
      <xdr:rowOff>15240</xdr:rowOff>
    </xdr:from>
    <xdr:to>
      <xdr:col>4</xdr:col>
      <xdr:colOff>1106805</xdr:colOff>
      <xdr:row>227</xdr:row>
      <xdr:rowOff>15240</xdr:rowOff>
    </xdr:to>
    <xdr:cxnSp macro="">
      <xdr:nvCxnSpPr>
        <xdr:cNvPr id="9" name="Straight Connector 8">
          <a:extLst>
            <a:ext uri="{FF2B5EF4-FFF2-40B4-BE49-F238E27FC236}">
              <a16:creationId xmlns:a16="http://schemas.microsoft.com/office/drawing/2014/main" id="{00000000-0008-0000-0000-000009000000}"/>
            </a:ext>
          </a:extLst>
        </xdr:cNvPr>
        <xdr:cNvCxnSpPr/>
      </xdr:nvCxnSpPr>
      <xdr:spPr>
        <a:xfrm>
          <a:off x="1929765" y="93817440"/>
          <a:ext cx="141541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24765</xdr:colOff>
      <xdr:row>249</xdr:row>
      <xdr:rowOff>15240</xdr:rowOff>
    </xdr:from>
    <xdr:to>
      <xdr:col>4</xdr:col>
      <xdr:colOff>754380</xdr:colOff>
      <xdr:row>249</xdr:row>
      <xdr:rowOff>15240</xdr:rowOff>
    </xdr:to>
    <xdr:cxnSp macro="">
      <xdr:nvCxnSpPr>
        <xdr:cNvPr id="10" name="Straight Connector 9">
          <a:extLst>
            <a:ext uri="{FF2B5EF4-FFF2-40B4-BE49-F238E27FC236}">
              <a16:creationId xmlns:a16="http://schemas.microsoft.com/office/drawing/2014/main" id="{D2CEA503-16FE-4BF1-A393-63BD611FE5F5}"/>
            </a:ext>
          </a:extLst>
        </xdr:cNvPr>
        <xdr:cNvCxnSpPr/>
      </xdr:nvCxnSpPr>
      <xdr:spPr>
        <a:xfrm>
          <a:off x="1577340" y="121163715"/>
          <a:ext cx="141541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24765</xdr:colOff>
      <xdr:row>270</xdr:row>
      <xdr:rowOff>15240</xdr:rowOff>
    </xdr:from>
    <xdr:to>
      <xdr:col>4</xdr:col>
      <xdr:colOff>754380</xdr:colOff>
      <xdr:row>270</xdr:row>
      <xdr:rowOff>15240</xdr:rowOff>
    </xdr:to>
    <xdr:cxnSp macro="">
      <xdr:nvCxnSpPr>
        <xdr:cNvPr id="2" name="Straight Connector 1">
          <a:extLst>
            <a:ext uri="{FF2B5EF4-FFF2-40B4-BE49-F238E27FC236}">
              <a16:creationId xmlns:a16="http://schemas.microsoft.com/office/drawing/2014/main" id="{BC196E95-649A-421E-9575-5ADADB459C0C}"/>
            </a:ext>
          </a:extLst>
        </xdr:cNvPr>
        <xdr:cNvCxnSpPr/>
      </xdr:nvCxnSpPr>
      <xdr:spPr>
        <a:xfrm>
          <a:off x="1577340" y="121163715"/>
          <a:ext cx="141541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24765</xdr:colOff>
      <xdr:row>292</xdr:row>
      <xdr:rowOff>15240</xdr:rowOff>
    </xdr:from>
    <xdr:to>
      <xdr:col>4</xdr:col>
      <xdr:colOff>754380</xdr:colOff>
      <xdr:row>292</xdr:row>
      <xdr:rowOff>15240</xdr:rowOff>
    </xdr:to>
    <xdr:cxnSp macro="">
      <xdr:nvCxnSpPr>
        <xdr:cNvPr id="11" name="Straight Connector 10">
          <a:extLst>
            <a:ext uri="{FF2B5EF4-FFF2-40B4-BE49-F238E27FC236}">
              <a16:creationId xmlns:a16="http://schemas.microsoft.com/office/drawing/2014/main" id="{548468BE-CECF-49A1-B9E1-D6DDD4BBB9E3}"/>
            </a:ext>
          </a:extLst>
        </xdr:cNvPr>
        <xdr:cNvCxnSpPr/>
      </xdr:nvCxnSpPr>
      <xdr:spPr>
        <a:xfrm>
          <a:off x="1577340" y="130202940"/>
          <a:ext cx="141541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323850</xdr:colOff>
      <xdr:row>2</xdr:row>
      <xdr:rowOff>17145</xdr:rowOff>
    </xdr:from>
    <xdr:to>
      <xdr:col>5</xdr:col>
      <xdr:colOff>443865</xdr:colOff>
      <xdr:row>2</xdr:row>
      <xdr:rowOff>17145</xdr:rowOff>
    </xdr:to>
    <xdr:cxnSp macro="">
      <xdr:nvCxnSpPr>
        <xdr:cNvPr id="40" name="Straight Connector 39">
          <a:extLst>
            <a:ext uri="{FF2B5EF4-FFF2-40B4-BE49-F238E27FC236}">
              <a16:creationId xmlns:a16="http://schemas.microsoft.com/office/drawing/2014/main" id="{00000000-0008-0000-0100-000028000000}"/>
            </a:ext>
          </a:extLst>
        </xdr:cNvPr>
        <xdr:cNvCxnSpPr/>
      </xdr:nvCxnSpPr>
      <xdr:spPr>
        <a:xfrm>
          <a:off x="1901190" y="474345"/>
          <a:ext cx="220789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2505075</xdr:colOff>
      <xdr:row>1</xdr:row>
      <xdr:rowOff>190500</xdr:rowOff>
    </xdr:from>
    <xdr:to>
      <xdr:col>9</xdr:col>
      <xdr:colOff>9525</xdr:colOff>
      <xdr:row>1</xdr:row>
      <xdr:rowOff>190500</xdr:rowOff>
    </xdr:to>
    <xdr:cxnSp macro="">
      <xdr:nvCxnSpPr>
        <xdr:cNvPr id="41" name="Straight Connector 40">
          <a:extLst>
            <a:ext uri="{FF2B5EF4-FFF2-40B4-BE49-F238E27FC236}">
              <a16:creationId xmlns:a16="http://schemas.microsoft.com/office/drawing/2014/main" id="{00000000-0008-0000-0100-000029000000}"/>
            </a:ext>
          </a:extLst>
        </xdr:cNvPr>
        <xdr:cNvCxnSpPr/>
      </xdr:nvCxnSpPr>
      <xdr:spPr>
        <a:xfrm>
          <a:off x="7618095" y="419100"/>
          <a:ext cx="17640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2</xdr:row>
      <xdr:rowOff>17145</xdr:rowOff>
    </xdr:from>
    <xdr:to>
      <xdr:col>5</xdr:col>
      <xdr:colOff>443865</xdr:colOff>
      <xdr:row>2</xdr:row>
      <xdr:rowOff>17145</xdr:rowOff>
    </xdr:to>
    <xdr:cxnSp macro="">
      <xdr:nvCxnSpPr>
        <xdr:cNvPr id="58" name="Straight Connector 57">
          <a:extLst>
            <a:ext uri="{FF2B5EF4-FFF2-40B4-BE49-F238E27FC236}">
              <a16:creationId xmlns:a16="http://schemas.microsoft.com/office/drawing/2014/main" id="{00000000-0008-0000-0100-00003A000000}"/>
            </a:ext>
          </a:extLst>
        </xdr:cNvPr>
        <xdr:cNvCxnSpPr/>
      </xdr:nvCxnSpPr>
      <xdr:spPr>
        <a:xfrm>
          <a:off x="1901190" y="474345"/>
          <a:ext cx="220789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2505075</xdr:colOff>
      <xdr:row>1</xdr:row>
      <xdr:rowOff>190500</xdr:rowOff>
    </xdr:from>
    <xdr:to>
      <xdr:col>9</xdr:col>
      <xdr:colOff>9525</xdr:colOff>
      <xdr:row>1</xdr:row>
      <xdr:rowOff>190500</xdr:rowOff>
    </xdr:to>
    <xdr:cxnSp macro="">
      <xdr:nvCxnSpPr>
        <xdr:cNvPr id="59" name="Straight Connector 58">
          <a:extLst>
            <a:ext uri="{FF2B5EF4-FFF2-40B4-BE49-F238E27FC236}">
              <a16:creationId xmlns:a16="http://schemas.microsoft.com/office/drawing/2014/main" id="{00000000-0008-0000-0100-00003B000000}"/>
            </a:ext>
          </a:extLst>
        </xdr:cNvPr>
        <xdr:cNvCxnSpPr/>
      </xdr:nvCxnSpPr>
      <xdr:spPr>
        <a:xfrm>
          <a:off x="7618095" y="419100"/>
          <a:ext cx="17640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24</xdr:row>
      <xdr:rowOff>17145</xdr:rowOff>
    </xdr:from>
    <xdr:to>
      <xdr:col>5</xdr:col>
      <xdr:colOff>443865</xdr:colOff>
      <xdr:row>24</xdr:row>
      <xdr:rowOff>17145</xdr:rowOff>
    </xdr:to>
    <xdr:cxnSp macro="">
      <xdr:nvCxnSpPr>
        <xdr:cNvPr id="6" name="Straight Connector 5">
          <a:extLst>
            <a:ext uri="{FF2B5EF4-FFF2-40B4-BE49-F238E27FC236}">
              <a16:creationId xmlns:a16="http://schemas.microsoft.com/office/drawing/2014/main" id="{00000000-0008-0000-0100-000006000000}"/>
            </a:ext>
          </a:extLst>
        </xdr:cNvPr>
        <xdr:cNvCxnSpPr/>
      </xdr:nvCxnSpPr>
      <xdr:spPr>
        <a:xfrm>
          <a:off x="1901190" y="474345"/>
          <a:ext cx="220789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2505075</xdr:colOff>
      <xdr:row>23</xdr:row>
      <xdr:rowOff>190500</xdr:rowOff>
    </xdr:from>
    <xdr:to>
      <xdr:col>9</xdr:col>
      <xdr:colOff>9525</xdr:colOff>
      <xdr:row>23</xdr:row>
      <xdr:rowOff>190500</xdr:rowOff>
    </xdr:to>
    <xdr:cxnSp macro="">
      <xdr:nvCxnSpPr>
        <xdr:cNvPr id="7" name="Straight Connector 6">
          <a:extLst>
            <a:ext uri="{FF2B5EF4-FFF2-40B4-BE49-F238E27FC236}">
              <a16:creationId xmlns:a16="http://schemas.microsoft.com/office/drawing/2014/main" id="{00000000-0008-0000-0100-000007000000}"/>
            </a:ext>
          </a:extLst>
        </xdr:cNvPr>
        <xdr:cNvCxnSpPr/>
      </xdr:nvCxnSpPr>
      <xdr:spPr>
        <a:xfrm>
          <a:off x="7618095" y="419100"/>
          <a:ext cx="17640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24</xdr:row>
      <xdr:rowOff>17145</xdr:rowOff>
    </xdr:from>
    <xdr:to>
      <xdr:col>5</xdr:col>
      <xdr:colOff>443865</xdr:colOff>
      <xdr:row>24</xdr:row>
      <xdr:rowOff>17145</xdr:rowOff>
    </xdr:to>
    <xdr:cxnSp macro="">
      <xdr:nvCxnSpPr>
        <xdr:cNvPr id="8" name="Straight Connector 7">
          <a:extLst>
            <a:ext uri="{FF2B5EF4-FFF2-40B4-BE49-F238E27FC236}">
              <a16:creationId xmlns:a16="http://schemas.microsoft.com/office/drawing/2014/main" id="{00000000-0008-0000-0100-000008000000}"/>
            </a:ext>
          </a:extLst>
        </xdr:cNvPr>
        <xdr:cNvCxnSpPr/>
      </xdr:nvCxnSpPr>
      <xdr:spPr>
        <a:xfrm>
          <a:off x="1901190" y="474345"/>
          <a:ext cx="220789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2505075</xdr:colOff>
      <xdr:row>23</xdr:row>
      <xdr:rowOff>190500</xdr:rowOff>
    </xdr:from>
    <xdr:to>
      <xdr:col>9</xdr:col>
      <xdr:colOff>9525</xdr:colOff>
      <xdr:row>23</xdr:row>
      <xdr:rowOff>190500</xdr:rowOff>
    </xdr:to>
    <xdr:cxnSp macro="">
      <xdr:nvCxnSpPr>
        <xdr:cNvPr id="9" name="Straight Connector 8">
          <a:extLst>
            <a:ext uri="{FF2B5EF4-FFF2-40B4-BE49-F238E27FC236}">
              <a16:creationId xmlns:a16="http://schemas.microsoft.com/office/drawing/2014/main" id="{00000000-0008-0000-0100-000009000000}"/>
            </a:ext>
          </a:extLst>
        </xdr:cNvPr>
        <xdr:cNvCxnSpPr/>
      </xdr:nvCxnSpPr>
      <xdr:spPr>
        <a:xfrm>
          <a:off x="7618095" y="419100"/>
          <a:ext cx="17640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50</xdr:row>
      <xdr:rowOff>17145</xdr:rowOff>
    </xdr:from>
    <xdr:to>
      <xdr:col>5</xdr:col>
      <xdr:colOff>443865</xdr:colOff>
      <xdr:row>50</xdr:row>
      <xdr:rowOff>17145</xdr:rowOff>
    </xdr:to>
    <xdr:cxnSp macro="">
      <xdr:nvCxnSpPr>
        <xdr:cNvPr id="10" name="Straight Connector 9">
          <a:extLst>
            <a:ext uri="{FF2B5EF4-FFF2-40B4-BE49-F238E27FC236}">
              <a16:creationId xmlns:a16="http://schemas.microsoft.com/office/drawing/2014/main" id="{00000000-0008-0000-0100-00000A000000}"/>
            </a:ext>
          </a:extLst>
        </xdr:cNvPr>
        <xdr:cNvCxnSpPr/>
      </xdr:nvCxnSpPr>
      <xdr:spPr>
        <a:xfrm>
          <a:off x="1901190" y="474345"/>
          <a:ext cx="220789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2505075</xdr:colOff>
      <xdr:row>49</xdr:row>
      <xdr:rowOff>190500</xdr:rowOff>
    </xdr:from>
    <xdr:to>
      <xdr:col>9</xdr:col>
      <xdr:colOff>9525</xdr:colOff>
      <xdr:row>49</xdr:row>
      <xdr:rowOff>190500</xdr:rowOff>
    </xdr:to>
    <xdr:cxnSp macro="">
      <xdr:nvCxnSpPr>
        <xdr:cNvPr id="11" name="Straight Connector 10">
          <a:extLst>
            <a:ext uri="{FF2B5EF4-FFF2-40B4-BE49-F238E27FC236}">
              <a16:creationId xmlns:a16="http://schemas.microsoft.com/office/drawing/2014/main" id="{00000000-0008-0000-0100-00000B000000}"/>
            </a:ext>
          </a:extLst>
        </xdr:cNvPr>
        <xdr:cNvCxnSpPr/>
      </xdr:nvCxnSpPr>
      <xdr:spPr>
        <a:xfrm>
          <a:off x="7618095" y="419100"/>
          <a:ext cx="14592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50</xdr:row>
      <xdr:rowOff>17145</xdr:rowOff>
    </xdr:from>
    <xdr:to>
      <xdr:col>5</xdr:col>
      <xdr:colOff>443865</xdr:colOff>
      <xdr:row>50</xdr:row>
      <xdr:rowOff>17145</xdr:rowOff>
    </xdr:to>
    <xdr:cxnSp macro="">
      <xdr:nvCxnSpPr>
        <xdr:cNvPr id="12" name="Straight Connector 11">
          <a:extLst>
            <a:ext uri="{FF2B5EF4-FFF2-40B4-BE49-F238E27FC236}">
              <a16:creationId xmlns:a16="http://schemas.microsoft.com/office/drawing/2014/main" id="{00000000-0008-0000-0100-00000C000000}"/>
            </a:ext>
          </a:extLst>
        </xdr:cNvPr>
        <xdr:cNvCxnSpPr/>
      </xdr:nvCxnSpPr>
      <xdr:spPr>
        <a:xfrm>
          <a:off x="1901190" y="474345"/>
          <a:ext cx="220789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2505075</xdr:colOff>
      <xdr:row>49</xdr:row>
      <xdr:rowOff>190500</xdr:rowOff>
    </xdr:from>
    <xdr:to>
      <xdr:col>9</xdr:col>
      <xdr:colOff>9525</xdr:colOff>
      <xdr:row>49</xdr:row>
      <xdr:rowOff>190500</xdr:rowOff>
    </xdr:to>
    <xdr:cxnSp macro="">
      <xdr:nvCxnSpPr>
        <xdr:cNvPr id="13" name="Straight Connector 12">
          <a:extLst>
            <a:ext uri="{FF2B5EF4-FFF2-40B4-BE49-F238E27FC236}">
              <a16:creationId xmlns:a16="http://schemas.microsoft.com/office/drawing/2014/main" id="{00000000-0008-0000-0100-00000D000000}"/>
            </a:ext>
          </a:extLst>
        </xdr:cNvPr>
        <xdr:cNvCxnSpPr/>
      </xdr:nvCxnSpPr>
      <xdr:spPr>
        <a:xfrm>
          <a:off x="7618095" y="419100"/>
          <a:ext cx="14592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72</xdr:row>
      <xdr:rowOff>17145</xdr:rowOff>
    </xdr:from>
    <xdr:to>
      <xdr:col>5</xdr:col>
      <xdr:colOff>443865</xdr:colOff>
      <xdr:row>72</xdr:row>
      <xdr:rowOff>17145</xdr:rowOff>
    </xdr:to>
    <xdr:cxnSp macro="">
      <xdr:nvCxnSpPr>
        <xdr:cNvPr id="14" name="Straight Connector 13">
          <a:extLst>
            <a:ext uri="{FF2B5EF4-FFF2-40B4-BE49-F238E27FC236}">
              <a16:creationId xmlns:a16="http://schemas.microsoft.com/office/drawing/2014/main" id="{00000000-0008-0000-0100-00000E000000}"/>
            </a:ext>
          </a:extLst>
        </xdr:cNvPr>
        <xdr:cNvCxnSpPr/>
      </xdr:nvCxnSpPr>
      <xdr:spPr>
        <a:xfrm>
          <a:off x="1857375" y="5503545"/>
          <a:ext cx="214884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2505075</xdr:colOff>
      <xdr:row>71</xdr:row>
      <xdr:rowOff>190500</xdr:rowOff>
    </xdr:from>
    <xdr:to>
      <xdr:col>9</xdr:col>
      <xdr:colOff>9525</xdr:colOff>
      <xdr:row>71</xdr:row>
      <xdr:rowOff>190500</xdr:rowOff>
    </xdr:to>
    <xdr:cxnSp macro="">
      <xdr:nvCxnSpPr>
        <xdr:cNvPr id="15" name="Straight Connector 14">
          <a:extLst>
            <a:ext uri="{FF2B5EF4-FFF2-40B4-BE49-F238E27FC236}">
              <a16:creationId xmlns:a16="http://schemas.microsoft.com/office/drawing/2014/main" id="{00000000-0008-0000-0100-00000F000000}"/>
            </a:ext>
          </a:extLst>
        </xdr:cNvPr>
        <xdr:cNvCxnSpPr/>
      </xdr:nvCxnSpPr>
      <xdr:spPr>
        <a:xfrm>
          <a:off x="7477125" y="5448300"/>
          <a:ext cx="13525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72</xdr:row>
      <xdr:rowOff>17145</xdr:rowOff>
    </xdr:from>
    <xdr:to>
      <xdr:col>5</xdr:col>
      <xdr:colOff>443865</xdr:colOff>
      <xdr:row>72</xdr:row>
      <xdr:rowOff>17145</xdr:rowOff>
    </xdr:to>
    <xdr:cxnSp macro="">
      <xdr:nvCxnSpPr>
        <xdr:cNvPr id="16" name="Straight Connector 15">
          <a:extLst>
            <a:ext uri="{FF2B5EF4-FFF2-40B4-BE49-F238E27FC236}">
              <a16:creationId xmlns:a16="http://schemas.microsoft.com/office/drawing/2014/main" id="{00000000-0008-0000-0100-000010000000}"/>
            </a:ext>
          </a:extLst>
        </xdr:cNvPr>
        <xdr:cNvCxnSpPr/>
      </xdr:nvCxnSpPr>
      <xdr:spPr>
        <a:xfrm>
          <a:off x="1857375" y="5503545"/>
          <a:ext cx="214884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2505075</xdr:colOff>
      <xdr:row>71</xdr:row>
      <xdr:rowOff>190500</xdr:rowOff>
    </xdr:from>
    <xdr:to>
      <xdr:col>9</xdr:col>
      <xdr:colOff>9525</xdr:colOff>
      <xdr:row>71</xdr:row>
      <xdr:rowOff>190500</xdr:rowOff>
    </xdr:to>
    <xdr:cxnSp macro="">
      <xdr:nvCxnSpPr>
        <xdr:cNvPr id="17" name="Straight Connector 16">
          <a:extLst>
            <a:ext uri="{FF2B5EF4-FFF2-40B4-BE49-F238E27FC236}">
              <a16:creationId xmlns:a16="http://schemas.microsoft.com/office/drawing/2014/main" id="{00000000-0008-0000-0100-000011000000}"/>
            </a:ext>
          </a:extLst>
        </xdr:cNvPr>
        <xdr:cNvCxnSpPr/>
      </xdr:nvCxnSpPr>
      <xdr:spPr>
        <a:xfrm>
          <a:off x="7477125" y="5448300"/>
          <a:ext cx="13525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98</xdr:row>
      <xdr:rowOff>17145</xdr:rowOff>
    </xdr:from>
    <xdr:to>
      <xdr:col>5</xdr:col>
      <xdr:colOff>443865</xdr:colOff>
      <xdr:row>98</xdr:row>
      <xdr:rowOff>17145</xdr:rowOff>
    </xdr:to>
    <xdr:cxnSp macro="">
      <xdr:nvCxnSpPr>
        <xdr:cNvPr id="18" name="Straight Connector 17">
          <a:extLst>
            <a:ext uri="{FF2B5EF4-FFF2-40B4-BE49-F238E27FC236}">
              <a16:creationId xmlns:a16="http://schemas.microsoft.com/office/drawing/2014/main" id="{00000000-0008-0000-0100-000012000000}"/>
            </a:ext>
          </a:extLst>
        </xdr:cNvPr>
        <xdr:cNvCxnSpPr/>
      </xdr:nvCxnSpPr>
      <xdr:spPr>
        <a:xfrm>
          <a:off x="1901190" y="12536805"/>
          <a:ext cx="220789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2505075</xdr:colOff>
      <xdr:row>97</xdr:row>
      <xdr:rowOff>190500</xdr:rowOff>
    </xdr:from>
    <xdr:to>
      <xdr:col>9</xdr:col>
      <xdr:colOff>9525</xdr:colOff>
      <xdr:row>97</xdr:row>
      <xdr:rowOff>190500</xdr:rowOff>
    </xdr:to>
    <xdr:cxnSp macro="">
      <xdr:nvCxnSpPr>
        <xdr:cNvPr id="19" name="Straight Connector 18">
          <a:extLst>
            <a:ext uri="{FF2B5EF4-FFF2-40B4-BE49-F238E27FC236}">
              <a16:creationId xmlns:a16="http://schemas.microsoft.com/office/drawing/2014/main" id="{00000000-0008-0000-0100-000013000000}"/>
            </a:ext>
          </a:extLst>
        </xdr:cNvPr>
        <xdr:cNvCxnSpPr/>
      </xdr:nvCxnSpPr>
      <xdr:spPr>
        <a:xfrm>
          <a:off x="7618095" y="12512040"/>
          <a:ext cx="14592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98</xdr:row>
      <xdr:rowOff>17145</xdr:rowOff>
    </xdr:from>
    <xdr:to>
      <xdr:col>5</xdr:col>
      <xdr:colOff>443865</xdr:colOff>
      <xdr:row>98</xdr:row>
      <xdr:rowOff>17145</xdr:rowOff>
    </xdr:to>
    <xdr:cxnSp macro="">
      <xdr:nvCxnSpPr>
        <xdr:cNvPr id="20" name="Straight Connector 19">
          <a:extLst>
            <a:ext uri="{FF2B5EF4-FFF2-40B4-BE49-F238E27FC236}">
              <a16:creationId xmlns:a16="http://schemas.microsoft.com/office/drawing/2014/main" id="{00000000-0008-0000-0100-000014000000}"/>
            </a:ext>
          </a:extLst>
        </xdr:cNvPr>
        <xdr:cNvCxnSpPr/>
      </xdr:nvCxnSpPr>
      <xdr:spPr>
        <a:xfrm>
          <a:off x="1901190" y="12536805"/>
          <a:ext cx="220789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2505075</xdr:colOff>
      <xdr:row>97</xdr:row>
      <xdr:rowOff>190500</xdr:rowOff>
    </xdr:from>
    <xdr:to>
      <xdr:col>9</xdr:col>
      <xdr:colOff>9525</xdr:colOff>
      <xdr:row>97</xdr:row>
      <xdr:rowOff>190500</xdr:rowOff>
    </xdr:to>
    <xdr:cxnSp macro="">
      <xdr:nvCxnSpPr>
        <xdr:cNvPr id="21" name="Straight Connector 20">
          <a:extLst>
            <a:ext uri="{FF2B5EF4-FFF2-40B4-BE49-F238E27FC236}">
              <a16:creationId xmlns:a16="http://schemas.microsoft.com/office/drawing/2014/main" id="{00000000-0008-0000-0100-000015000000}"/>
            </a:ext>
          </a:extLst>
        </xdr:cNvPr>
        <xdr:cNvCxnSpPr/>
      </xdr:nvCxnSpPr>
      <xdr:spPr>
        <a:xfrm>
          <a:off x="7618095" y="12512040"/>
          <a:ext cx="14592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124</xdr:row>
      <xdr:rowOff>17145</xdr:rowOff>
    </xdr:from>
    <xdr:to>
      <xdr:col>5</xdr:col>
      <xdr:colOff>443865</xdr:colOff>
      <xdr:row>124</xdr:row>
      <xdr:rowOff>17145</xdr:rowOff>
    </xdr:to>
    <xdr:cxnSp macro="">
      <xdr:nvCxnSpPr>
        <xdr:cNvPr id="22" name="Straight Connector 21">
          <a:extLst>
            <a:ext uri="{FF2B5EF4-FFF2-40B4-BE49-F238E27FC236}">
              <a16:creationId xmlns:a16="http://schemas.microsoft.com/office/drawing/2014/main" id="{00000000-0008-0000-0100-000016000000}"/>
            </a:ext>
          </a:extLst>
        </xdr:cNvPr>
        <xdr:cNvCxnSpPr/>
      </xdr:nvCxnSpPr>
      <xdr:spPr>
        <a:xfrm>
          <a:off x="1901190" y="19897725"/>
          <a:ext cx="220789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2505075</xdr:colOff>
      <xdr:row>123</xdr:row>
      <xdr:rowOff>190500</xdr:rowOff>
    </xdr:from>
    <xdr:to>
      <xdr:col>9</xdr:col>
      <xdr:colOff>9525</xdr:colOff>
      <xdr:row>123</xdr:row>
      <xdr:rowOff>190500</xdr:rowOff>
    </xdr:to>
    <xdr:cxnSp macro="">
      <xdr:nvCxnSpPr>
        <xdr:cNvPr id="23" name="Straight Connector 22">
          <a:extLst>
            <a:ext uri="{FF2B5EF4-FFF2-40B4-BE49-F238E27FC236}">
              <a16:creationId xmlns:a16="http://schemas.microsoft.com/office/drawing/2014/main" id="{00000000-0008-0000-0100-000017000000}"/>
            </a:ext>
          </a:extLst>
        </xdr:cNvPr>
        <xdr:cNvCxnSpPr/>
      </xdr:nvCxnSpPr>
      <xdr:spPr>
        <a:xfrm>
          <a:off x="7618095" y="19872960"/>
          <a:ext cx="14592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124</xdr:row>
      <xdr:rowOff>17145</xdr:rowOff>
    </xdr:from>
    <xdr:to>
      <xdr:col>5</xdr:col>
      <xdr:colOff>443865</xdr:colOff>
      <xdr:row>124</xdr:row>
      <xdr:rowOff>17145</xdr:rowOff>
    </xdr:to>
    <xdr:cxnSp macro="">
      <xdr:nvCxnSpPr>
        <xdr:cNvPr id="24" name="Straight Connector 23">
          <a:extLst>
            <a:ext uri="{FF2B5EF4-FFF2-40B4-BE49-F238E27FC236}">
              <a16:creationId xmlns:a16="http://schemas.microsoft.com/office/drawing/2014/main" id="{00000000-0008-0000-0100-000018000000}"/>
            </a:ext>
          </a:extLst>
        </xdr:cNvPr>
        <xdr:cNvCxnSpPr/>
      </xdr:nvCxnSpPr>
      <xdr:spPr>
        <a:xfrm>
          <a:off x="1901190" y="19897725"/>
          <a:ext cx="220789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2505075</xdr:colOff>
      <xdr:row>123</xdr:row>
      <xdr:rowOff>190500</xdr:rowOff>
    </xdr:from>
    <xdr:to>
      <xdr:col>9</xdr:col>
      <xdr:colOff>9525</xdr:colOff>
      <xdr:row>123</xdr:row>
      <xdr:rowOff>190500</xdr:rowOff>
    </xdr:to>
    <xdr:cxnSp macro="">
      <xdr:nvCxnSpPr>
        <xdr:cNvPr id="25" name="Straight Connector 24">
          <a:extLst>
            <a:ext uri="{FF2B5EF4-FFF2-40B4-BE49-F238E27FC236}">
              <a16:creationId xmlns:a16="http://schemas.microsoft.com/office/drawing/2014/main" id="{00000000-0008-0000-0100-000019000000}"/>
            </a:ext>
          </a:extLst>
        </xdr:cNvPr>
        <xdr:cNvCxnSpPr/>
      </xdr:nvCxnSpPr>
      <xdr:spPr>
        <a:xfrm>
          <a:off x="7618095" y="19872960"/>
          <a:ext cx="14592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149</xdr:row>
      <xdr:rowOff>17145</xdr:rowOff>
    </xdr:from>
    <xdr:to>
      <xdr:col>5</xdr:col>
      <xdr:colOff>443865</xdr:colOff>
      <xdr:row>149</xdr:row>
      <xdr:rowOff>17145</xdr:rowOff>
    </xdr:to>
    <xdr:cxnSp macro="">
      <xdr:nvCxnSpPr>
        <xdr:cNvPr id="26" name="Straight Connector 25">
          <a:extLst>
            <a:ext uri="{FF2B5EF4-FFF2-40B4-BE49-F238E27FC236}">
              <a16:creationId xmlns:a16="http://schemas.microsoft.com/office/drawing/2014/main" id="{00000000-0008-0000-0100-00001A000000}"/>
            </a:ext>
          </a:extLst>
        </xdr:cNvPr>
        <xdr:cNvCxnSpPr/>
      </xdr:nvCxnSpPr>
      <xdr:spPr>
        <a:xfrm>
          <a:off x="1901190" y="27060525"/>
          <a:ext cx="220789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2505075</xdr:colOff>
      <xdr:row>148</xdr:row>
      <xdr:rowOff>190500</xdr:rowOff>
    </xdr:from>
    <xdr:to>
      <xdr:col>9</xdr:col>
      <xdr:colOff>9525</xdr:colOff>
      <xdr:row>148</xdr:row>
      <xdr:rowOff>190500</xdr:rowOff>
    </xdr:to>
    <xdr:cxnSp macro="">
      <xdr:nvCxnSpPr>
        <xdr:cNvPr id="27" name="Straight Connector 26">
          <a:extLst>
            <a:ext uri="{FF2B5EF4-FFF2-40B4-BE49-F238E27FC236}">
              <a16:creationId xmlns:a16="http://schemas.microsoft.com/office/drawing/2014/main" id="{00000000-0008-0000-0100-00001B000000}"/>
            </a:ext>
          </a:extLst>
        </xdr:cNvPr>
        <xdr:cNvCxnSpPr/>
      </xdr:nvCxnSpPr>
      <xdr:spPr>
        <a:xfrm>
          <a:off x="7618095" y="27035760"/>
          <a:ext cx="14592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149</xdr:row>
      <xdr:rowOff>17145</xdr:rowOff>
    </xdr:from>
    <xdr:to>
      <xdr:col>5</xdr:col>
      <xdr:colOff>443865</xdr:colOff>
      <xdr:row>149</xdr:row>
      <xdr:rowOff>17145</xdr:rowOff>
    </xdr:to>
    <xdr:cxnSp macro="">
      <xdr:nvCxnSpPr>
        <xdr:cNvPr id="28" name="Straight Connector 27">
          <a:extLst>
            <a:ext uri="{FF2B5EF4-FFF2-40B4-BE49-F238E27FC236}">
              <a16:creationId xmlns:a16="http://schemas.microsoft.com/office/drawing/2014/main" id="{00000000-0008-0000-0100-00001C000000}"/>
            </a:ext>
          </a:extLst>
        </xdr:cNvPr>
        <xdr:cNvCxnSpPr/>
      </xdr:nvCxnSpPr>
      <xdr:spPr>
        <a:xfrm>
          <a:off x="1901190" y="27060525"/>
          <a:ext cx="220789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2505075</xdr:colOff>
      <xdr:row>148</xdr:row>
      <xdr:rowOff>190500</xdr:rowOff>
    </xdr:from>
    <xdr:to>
      <xdr:col>9</xdr:col>
      <xdr:colOff>9525</xdr:colOff>
      <xdr:row>148</xdr:row>
      <xdr:rowOff>190500</xdr:rowOff>
    </xdr:to>
    <xdr:cxnSp macro="">
      <xdr:nvCxnSpPr>
        <xdr:cNvPr id="29" name="Straight Connector 28">
          <a:extLst>
            <a:ext uri="{FF2B5EF4-FFF2-40B4-BE49-F238E27FC236}">
              <a16:creationId xmlns:a16="http://schemas.microsoft.com/office/drawing/2014/main" id="{00000000-0008-0000-0100-00001D000000}"/>
            </a:ext>
          </a:extLst>
        </xdr:cNvPr>
        <xdr:cNvCxnSpPr/>
      </xdr:nvCxnSpPr>
      <xdr:spPr>
        <a:xfrm>
          <a:off x="7618095" y="27035760"/>
          <a:ext cx="14592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173</xdr:row>
      <xdr:rowOff>17145</xdr:rowOff>
    </xdr:from>
    <xdr:to>
      <xdr:col>5</xdr:col>
      <xdr:colOff>443865</xdr:colOff>
      <xdr:row>173</xdr:row>
      <xdr:rowOff>17145</xdr:rowOff>
    </xdr:to>
    <xdr:cxnSp macro="">
      <xdr:nvCxnSpPr>
        <xdr:cNvPr id="30" name="Straight Connector 29">
          <a:extLst>
            <a:ext uri="{FF2B5EF4-FFF2-40B4-BE49-F238E27FC236}">
              <a16:creationId xmlns:a16="http://schemas.microsoft.com/office/drawing/2014/main" id="{00000000-0008-0000-0100-00001E000000}"/>
            </a:ext>
          </a:extLst>
        </xdr:cNvPr>
        <xdr:cNvCxnSpPr/>
      </xdr:nvCxnSpPr>
      <xdr:spPr>
        <a:xfrm>
          <a:off x="1857375" y="34240470"/>
          <a:ext cx="214884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209550</xdr:colOff>
      <xdr:row>172</xdr:row>
      <xdr:rowOff>190500</xdr:rowOff>
    </xdr:from>
    <xdr:to>
      <xdr:col>9</xdr:col>
      <xdr:colOff>619125</xdr:colOff>
      <xdr:row>172</xdr:row>
      <xdr:rowOff>190500</xdr:rowOff>
    </xdr:to>
    <xdr:cxnSp macro="">
      <xdr:nvCxnSpPr>
        <xdr:cNvPr id="31" name="Straight Connector 30">
          <a:extLst>
            <a:ext uri="{FF2B5EF4-FFF2-40B4-BE49-F238E27FC236}">
              <a16:creationId xmlns:a16="http://schemas.microsoft.com/office/drawing/2014/main" id="{00000000-0008-0000-0100-00001F000000}"/>
            </a:ext>
          </a:extLst>
        </xdr:cNvPr>
        <xdr:cNvCxnSpPr/>
      </xdr:nvCxnSpPr>
      <xdr:spPr>
        <a:xfrm>
          <a:off x="8086725" y="44138850"/>
          <a:ext cx="16097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173</xdr:row>
      <xdr:rowOff>17145</xdr:rowOff>
    </xdr:from>
    <xdr:to>
      <xdr:col>5</xdr:col>
      <xdr:colOff>443865</xdr:colOff>
      <xdr:row>173</xdr:row>
      <xdr:rowOff>17145</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1857375" y="34240470"/>
          <a:ext cx="214884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285750</xdr:colOff>
      <xdr:row>172</xdr:row>
      <xdr:rowOff>190500</xdr:rowOff>
    </xdr:from>
    <xdr:to>
      <xdr:col>9</xdr:col>
      <xdr:colOff>695325</xdr:colOff>
      <xdr:row>172</xdr:row>
      <xdr:rowOff>190500</xdr:rowOff>
    </xdr:to>
    <xdr:cxnSp macro="">
      <xdr:nvCxnSpPr>
        <xdr:cNvPr id="33" name="Straight Connector 32">
          <a:extLst>
            <a:ext uri="{FF2B5EF4-FFF2-40B4-BE49-F238E27FC236}">
              <a16:creationId xmlns:a16="http://schemas.microsoft.com/office/drawing/2014/main" id="{00000000-0008-0000-0100-000021000000}"/>
            </a:ext>
          </a:extLst>
        </xdr:cNvPr>
        <xdr:cNvCxnSpPr/>
      </xdr:nvCxnSpPr>
      <xdr:spPr>
        <a:xfrm>
          <a:off x="8162925" y="44138850"/>
          <a:ext cx="16097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198</xdr:row>
      <xdr:rowOff>17145</xdr:rowOff>
    </xdr:from>
    <xdr:to>
      <xdr:col>5</xdr:col>
      <xdr:colOff>443865</xdr:colOff>
      <xdr:row>198</xdr:row>
      <xdr:rowOff>17145</xdr:rowOff>
    </xdr:to>
    <xdr:cxnSp macro="">
      <xdr:nvCxnSpPr>
        <xdr:cNvPr id="34" name="Straight Connector 33">
          <a:extLst>
            <a:ext uri="{FF2B5EF4-FFF2-40B4-BE49-F238E27FC236}">
              <a16:creationId xmlns:a16="http://schemas.microsoft.com/office/drawing/2014/main" id="{5EA55EFF-7C0E-42D6-81EA-248322EC1021}"/>
            </a:ext>
          </a:extLst>
        </xdr:cNvPr>
        <xdr:cNvCxnSpPr/>
      </xdr:nvCxnSpPr>
      <xdr:spPr>
        <a:xfrm>
          <a:off x="1762125" y="44965620"/>
          <a:ext cx="198691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209550</xdr:colOff>
      <xdr:row>197</xdr:row>
      <xdr:rowOff>190500</xdr:rowOff>
    </xdr:from>
    <xdr:to>
      <xdr:col>9</xdr:col>
      <xdr:colOff>619125</xdr:colOff>
      <xdr:row>197</xdr:row>
      <xdr:rowOff>190500</xdr:rowOff>
    </xdr:to>
    <xdr:cxnSp macro="">
      <xdr:nvCxnSpPr>
        <xdr:cNvPr id="35" name="Straight Connector 34">
          <a:extLst>
            <a:ext uri="{FF2B5EF4-FFF2-40B4-BE49-F238E27FC236}">
              <a16:creationId xmlns:a16="http://schemas.microsoft.com/office/drawing/2014/main" id="{ABE46A6A-14F4-41FD-A625-8E2925CD9E4D}"/>
            </a:ext>
          </a:extLst>
        </xdr:cNvPr>
        <xdr:cNvCxnSpPr/>
      </xdr:nvCxnSpPr>
      <xdr:spPr>
        <a:xfrm>
          <a:off x="7448550" y="44938950"/>
          <a:ext cx="15430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198</xdr:row>
      <xdr:rowOff>17145</xdr:rowOff>
    </xdr:from>
    <xdr:to>
      <xdr:col>5</xdr:col>
      <xdr:colOff>443865</xdr:colOff>
      <xdr:row>198</xdr:row>
      <xdr:rowOff>17145</xdr:rowOff>
    </xdr:to>
    <xdr:cxnSp macro="">
      <xdr:nvCxnSpPr>
        <xdr:cNvPr id="36" name="Straight Connector 35">
          <a:extLst>
            <a:ext uri="{FF2B5EF4-FFF2-40B4-BE49-F238E27FC236}">
              <a16:creationId xmlns:a16="http://schemas.microsoft.com/office/drawing/2014/main" id="{A31D0ADD-FAB8-4414-B8B8-D9C115F2930F}"/>
            </a:ext>
          </a:extLst>
        </xdr:cNvPr>
        <xdr:cNvCxnSpPr/>
      </xdr:nvCxnSpPr>
      <xdr:spPr>
        <a:xfrm>
          <a:off x="1762125" y="44965620"/>
          <a:ext cx="198691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285750</xdr:colOff>
      <xdr:row>197</xdr:row>
      <xdr:rowOff>190500</xdr:rowOff>
    </xdr:from>
    <xdr:to>
      <xdr:col>9</xdr:col>
      <xdr:colOff>695325</xdr:colOff>
      <xdr:row>197</xdr:row>
      <xdr:rowOff>190500</xdr:rowOff>
    </xdr:to>
    <xdr:cxnSp macro="">
      <xdr:nvCxnSpPr>
        <xdr:cNvPr id="37" name="Straight Connector 36">
          <a:extLst>
            <a:ext uri="{FF2B5EF4-FFF2-40B4-BE49-F238E27FC236}">
              <a16:creationId xmlns:a16="http://schemas.microsoft.com/office/drawing/2014/main" id="{5F26674C-1CC3-4F43-B265-95965518268F}"/>
            </a:ext>
          </a:extLst>
        </xdr:cNvPr>
        <xdr:cNvCxnSpPr/>
      </xdr:nvCxnSpPr>
      <xdr:spPr>
        <a:xfrm>
          <a:off x="7524750" y="44938950"/>
          <a:ext cx="15430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218</xdr:row>
      <xdr:rowOff>17145</xdr:rowOff>
    </xdr:from>
    <xdr:to>
      <xdr:col>5</xdr:col>
      <xdr:colOff>443865</xdr:colOff>
      <xdr:row>218</xdr:row>
      <xdr:rowOff>17145</xdr:rowOff>
    </xdr:to>
    <xdr:cxnSp macro="">
      <xdr:nvCxnSpPr>
        <xdr:cNvPr id="2" name="Straight Connector 1">
          <a:extLst>
            <a:ext uri="{FF2B5EF4-FFF2-40B4-BE49-F238E27FC236}">
              <a16:creationId xmlns:a16="http://schemas.microsoft.com/office/drawing/2014/main" id="{DB0A4BD2-9916-4F21-B02A-D2C3264C90F9}"/>
            </a:ext>
          </a:extLst>
        </xdr:cNvPr>
        <xdr:cNvCxnSpPr/>
      </xdr:nvCxnSpPr>
      <xdr:spPr>
        <a:xfrm>
          <a:off x="1762125" y="52728495"/>
          <a:ext cx="198691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209550</xdr:colOff>
      <xdr:row>217</xdr:row>
      <xdr:rowOff>190500</xdr:rowOff>
    </xdr:from>
    <xdr:to>
      <xdr:col>9</xdr:col>
      <xdr:colOff>619125</xdr:colOff>
      <xdr:row>217</xdr:row>
      <xdr:rowOff>190500</xdr:rowOff>
    </xdr:to>
    <xdr:cxnSp macro="">
      <xdr:nvCxnSpPr>
        <xdr:cNvPr id="3" name="Straight Connector 2">
          <a:extLst>
            <a:ext uri="{FF2B5EF4-FFF2-40B4-BE49-F238E27FC236}">
              <a16:creationId xmlns:a16="http://schemas.microsoft.com/office/drawing/2014/main" id="{806BF170-EE52-4DD8-A5F5-74B00E6FA14A}"/>
            </a:ext>
          </a:extLst>
        </xdr:cNvPr>
        <xdr:cNvCxnSpPr/>
      </xdr:nvCxnSpPr>
      <xdr:spPr>
        <a:xfrm>
          <a:off x="7448550" y="52701825"/>
          <a:ext cx="15430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218</xdr:row>
      <xdr:rowOff>17145</xdr:rowOff>
    </xdr:from>
    <xdr:to>
      <xdr:col>5</xdr:col>
      <xdr:colOff>443865</xdr:colOff>
      <xdr:row>218</xdr:row>
      <xdr:rowOff>17145</xdr:rowOff>
    </xdr:to>
    <xdr:cxnSp macro="">
      <xdr:nvCxnSpPr>
        <xdr:cNvPr id="4" name="Straight Connector 3">
          <a:extLst>
            <a:ext uri="{FF2B5EF4-FFF2-40B4-BE49-F238E27FC236}">
              <a16:creationId xmlns:a16="http://schemas.microsoft.com/office/drawing/2014/main" id="{84A03334-E4D4-4AB7-A7BD-A3CD749D3E60}"/>
            </a:ext>
          </a:extLst>
        </xdr:cNvPr>
        <xdr:cNvCxnSpPr/>
      </xdr:nvCxnSpPr>
      <xdr:spPr>
        <a:xfrm>
          <a:off x="1762125" y="52728495"/>
          <a:ext cx="198691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285750</xdr:colOff>
      <xdr:row>217</xdr:row>
      <xdr:rowOff>190500</xdr:rowOff>
    </xdr:from>
    <xdr:to>
      <xdr:col>9</xdr:col>
      <xdr:colOff>695325</xdr:colOff>
      <xdr:row>217</xdr:row>
      <xdr:rowOff>190500</xdr:rowOff>
    </xdr:to>
    <xdr:cxnSp macro="">
      <xdr:nvCxnSpPr>
        <xdr:cNvPr id="5" name="Straight Connector 4">
          <a:extLst>
            <a:ext uri="{FF2B5EF4-FFF2-40B4-BE49-F238E27FC236}">
              <a16:creationId xmlns:a16="http://schemas.microsoft.com/office/drawing/2014/main" id="{98547658-0572-4B89-8D93-C0F85FBF8843}"/>
            </a:ext>
          </a:extLst>
        </xdr:cNvPr>
        <xdr:cNvCxnSpPr/>
      </xdr:nvCxnSpPr>
      <xdr:spPr>
        <a:xfrm>
          <a:off x="7524750" y="52701825"/>
          <a:ext cx="15430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239</xdr:row>
      <xdr:rowOff>17145</xdr:rowOff>
    </xdr:from>
    <xdr:to>
      <xdr:col>5</xdr:col>
      <xdr:colOff>443865</xdr:colOff>
      <xdr:row>239</xdr:row>
      <xdr:rowOff>17145</xdr:rowOff>
    </xdr:to>
    <xdr:cxnSp macro="">
      <xdr:nvCxnSpPr>
        <xdr:cNvPr id="38" name="Straight Connector 37">
          <a:extLst>
            <a:ext uri="{FF2B5EF4-FFF2-40B4-BE49-F238E27FC236}">
              <a16:creationId xmlns:a16="http://schemas.microsoft.com/office/drawing/2014/main" id="{202FACE2-C749-466D-AFE9-A450B9ECD4D8}"/>
            </a:ext>
          </a:extLst>
        </xdr:cNvPr>
        <xdr:cNvCxnSpPr/>
      </xdr:nvCxnSpPr>
      <xdr:spPr>
        <a:xfrm>
          <a:off x="1762125" y="59662695"/>
          <a:ext cx="198691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209550</xdr:colOff>
      <xdr:row>238</xdr:row>
      <xdr:rowOff>190500</xdr:rowOff>
    </xdr:from>
    <xdr:to>
      <xdr:col>9</xdr:col>
      <xdr:colOff>619125</xdr:colOff>
      <xdr:row>238</xdr:row>
      <xdr:rowOff>190500</xdr:rowOff>
    </xdr:to>
    <xdr:cxnSp macro="">
      <xdr:nvCxnSpPr>
        <xdr:cNvPr id="39" name="Straight Connector 38">
          <a:extLst>
            <a:ext uri="{FF2B5EF4-FFF2-40B4-BE49-F238E27FC236}">
              <a16:creationId xmlns:a16="http://schemas.microsoft.com/office/drawing/2014/main" id="{7061BD5C-AD07-42C2-A336-FA5A45127A6D}"/>
            </a:ext>
          </a:extLst>
        </xdr:cNvPr>
        <xdr:cNvCxnSpPr/>
      </xdr:nvCxnSpPr>
      <xdr:spPr>
        <a:xfrm>
          <a:off x="7448550" y="59636025"/>
          <a:ext cx="15906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239</xdr:row>
      <xdr:rowOff>17145</xdr:rowOff>
    </xdr:from>
    <xdr:to>
      <xdr:col>5</xdr:col>
      <xdr:colOff>443865</xdr:colOff>
      <xdr:row>239</xdr:row>
      <xdr:rowOff>17145</xdr:rowOff>
    </xdr:to>
    <xdr:cxnSp macro="">
      <xdr:nvCxnSpPr>
        <xdr:cNvPr id="42" name="Straight Connector 41">
          <a:extLst>
            <a:ext uri="{FF2B5EF4-FFF2-40B4-BE49-F238E27FC236}">
              <a16:creationId xmlns:a16="http://schemas.microsoft.com/office/drawing/2014/main" id="{28604378-C02E-40D6-AD94-4CE80BEE2784}"/>
            </a:ext>
          </a:extLst>
        </xdr:cNvPr>
        <xdr:cNvCxnSpPr/>
      </xdr:nvCxnSpPr>
      <xdr:spPr>
        <a:xfrm>
          <a:off x="1762125" y="59662695"/>
          <a:ext cx="198691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285750</xdr:colOff>
      <xdr:row>238</xdr:row>
      <xdr:rowOff>190500</xdr:rowOff>
    </xdr:from>
    <xdr:to>
      <xdr:col>9</xdr:col>
      <xdr:colOff>695325</xdr:colOff>
      <xdr:row>238</xdr:row>
      <xdr:rowOff>190500</xdr:rowOff>
    </xdr:to>
    <xdr:cxnSp macro="">
      <xdr:nvCxnSpPr>
        <xdr:cNvPr id="43" name="Straight Connector 42">
          <a:extLst>
            <a:ext uri="{FF2B5EF4-FFF2-40B4-BE49-F238E27FC236}">
              <a16:creationId xmlns:a16="http://schemas.microsoft.com/office/drawing/2014/main" id="{E8627521-F758-4E80-A5DB-B53B88C67115}"/>
            </a:ext>
          </a:extLst>
        </xdr:cNvPr>
        <xdr:cNvCxnSpPr/>
      </xdr:nvCxnSpPr>
      <xdr:spPr>
        <a:xfrm>
          <a:off x="7524750" y="59636025"/>
          <a:ext cx="15906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323850</xdr:colOff>
      <xdr:row>2</xdr:row>
      <xdr:rowOff>9525</xdr:rowOff>
    </xdr:from>
    <xdr:to>
      <xdr:col>5</xdr:col>
      <xdr:colOff>443865</xdr:colOff>
      <xdr:row>2</xdr:row>
      <xdr:rowOff>9525</xdr:rowOff>
    </xdr:to>
    <xdr:cxnSp macro="">
      <xdr:nvCxnSpPr>
        <xdr:cNvPr id="28" name="Straight Connector 27">
          <a:extLst>
            <a:ext uri="{FF2B5EF4-FFF2-40B4-BE49-F238E27FC236}">
              <a16:creationId xmlns:a16="http://schemas.microsoft.com/office/drawing/2014/main" id="{00000000-0008-0000-0200-00001C000000}"/>
            </a:ext>
          </a:extLst>
        </xdr:cNvPr>
        <xdr:cNvCxnSpPr/>
      </xdr:nvCxnSpPr>
      <xdr:spPr>
        <a:xfrm>
          <a:off x="1786890" y="405765"/>
          <a:ext cx="223075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1</xdr:row>
      <xdr:rowOff>190500</xdr:rowOff>
    </xdr:from>
    <xdr:to>
      <xdr:col>8</xdr:col>
      <xdr:colOff>110448</xdr:colOff>
      <xdr:row>1</xdr:row>
      <xdr:rowOff>190500</xdr:rowOff>
    </xdr:to>
    <xdr:cxnSp macro="">
      <xdr:nvCxnSpPr>
        <xdr:cNvPr id="29" name="Straight Connector 28">
          <a:extLst>
            <a:ext uri="{FF2B5EF4-FFF2-40B4-BE49-F238E27FC236}">
              <a16:creationId xmlns:a16="http://schemas.microsoft.com/office/drawing/2014/main" id="{00000000-0008-0000-0200-00001D000000}"/>
            </a:ext>
          </a:extLst>
        </xdr:cNvPr>
        <xdr:cNvCxnSpPr/>
      </xdr:nvCxnSpPr>
      <xdr:spPr>
        <a:xfrm>
          <a:off x="7416208" y="388620"/>
          <a:ext cx="16553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31</xdr:row>
      <xdr:rowOff>9525</xdr:rowOff>
    </xdr:from>
    <xdr:to>
      <xdr:col>5</xdr:col>
      <xdr:colOff>443865</xdr:colOff>
      <xdr:row>31</xdr:row>
      <xdr:rowOff>9525</xdr:rowOff>
    </xdr:to>
    <xdr:cxnSp macro="">
      <xdr:nvCxnSpPr>
        <xdr:cNvPr id="4" name="Straight Connector 3">
          <a:extLst>
            <a:ext uri="{FF2B5EF4-FFF2-40B4-BE49-F238E27FC236}">
              <a16:creationId xmlns:a16="http://schemas.microsoft.com/office/drawing/2014/main" id="{00000000-0008-0000-0200-000004000000}"/>
            </a:ext>
          </a:extLst>
        </xdr:cNvPr>
        <xdr:cNvCxnSpPr/>
      </xdr:nvCxnSpPr>
      <xdr:spPr>
        <a:xfrm>
          <a:off x="1786890" y="405765"/>
          <a:ext cx="223075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30</xdr:row>
      <xdr:rowOff>190500</xdr:rowOff>
    </xdr:from>
    <xdr:to>
      <xdr:col>8</xdr:col>
      <xdr:colOff>110448</xdr:colOff>
      <xdr:row>30</xdr:row>
      <xdr:rowOff>190500</xdr:rowOff>
    </xdr:to>
    <xdr:cxnSp macro="">
      <xdr:nvCxnSpPr>
        <xdr:cNvPr id="5" name="Straight Connector 4">
          <a:extLst>
            <a:ext uri="{FF2B5EF4-FFF2-40B4-BE49-F238E27FC236}">
              <a16:creationId xmlns:a16="http://schemas.microsoft.com/office/drawing/2014/main" id="{00000000-0008-0000-0200-000005000000}"/>
            </a:ext>
          </a:extLst>
        </xdr:cNvPr>
        <xdr:cNvCxnSpPr/>
      </xdr:nvCxnSpPr>
      <xdr:spPr>
        <a:xfrm>
          <a:off x="7416208" y="388620"/>
          <a:ext cx="16553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60</xdr:row>
      <xdr:rowOff>9525</xdr:rowOff>
    </xdr:from>
    <xdr:to>
      <xdr:col>5</xdr:col>
      <xdr:colOff>443865</xdr:colOff>
      <xdr:row>60</xdr:row>
      <xdr:rowOff>9525</xdr:rowOff>
    </xdr:to>
    <xdr:cxnSp macro="">
      <xdr:nvCxnSpPr>
        <xdr:cNvPr id="6" name="Straight Connector 5">
          <a:extLst>
            <a:ext uri="{FF2B5EF4-FFF2-40B4-BE49-F238E27FC236}">
              <a16:creationId xmlns:a16="http://schemas.microsoft.com/office/drawing/2014/main" id="{00000000-0008-0000-0200-000006000000}"/>
            </a:ext>
          </a:extLst>
        </xdr:cNvPr>
        <xdr:cNvCxnSpPr/>
      </xdr:nvCxnSpPr>
      <xdr:spPr>
        <a:xfrm>
          <a:off x="1786890" y="405765"/>
          <a:ext cx="223075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59</xdr:row>
      <xdr:rowOff>190500</xdr:rowOff>
    </xdr:from>
    <xdr:to>
      <xdr:col>8</xdr:col>
      <xdr:colOff>110448</xdr:colOff>
      <xdr:row>59</xdr:row>
      <xdr:rowOff>190500</xdr:rowOff>
    </xdr:to>
    <xdr:cxnSp macro="">
      <xdr:nvCxnSpPr>
        <xdr:cNvPr id="7" name="Straight Connector 6">
          <a:extLst>
            <a:ext uri="{FF2B5EF4-FFF2-40B4-BE49-F238E27FC236}">
              <a16:creationId xmlns:a16="http://schemas.microsoft.com/office/drawing/2014/main" id="{00000000-0008-0000-0200-000007000000}"/>
            </a:ext>
          </a:extLst>
        </xdr:cNvPr>
        <xdr:cNvCxnSpPr/>
      </xdr:nvCxnSpPr>
      <xdr:spPr>
        <a:xfrm>
          <a:off x="7416208" y="388620"/>
          <a:ext cx="16553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80</xdr:row>
      <xdr:rowOff>9525</xdr:rowOff>
    </xdr:from>
    <xdr:to>
      <xdr:col>5</xdr:col>
      <xdr:colOff>443865</xdr:colOff>
      <xdr:row>80</xdr:row>
      <xdr:rowOff>9525</xdr:rowOff>
    </xdr:to>
    <xdr:cxnSp macro="">
      <xdr:nvCxnSpPr>
        <xdr:cNvPr id="8" name="Straight Connector 7">
          <a:extLst>
            <a:ext uri="{FF2B5EF4-FFF2-40B4-BE49-F238E27FC236}">
              <a16:creationId xmlns:a16="http://schemas.microsoft.com/office/drawing/2014/main" id="{00000000-0008-0000-0200-000008000000}"/>
            </a:ext>
          </a:extLst>
        </xdr:cNvPr>
        <xdr:cNvCxnSpPr/>
      </xdr:nvCxnSpPr>
      <xdr:spPr>
        <a:xfrm>
          <a:off x="1743075" y="7305675"/>
          <a:ext cx="216789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79</xdr:row>
      <xdr:rowOff>190500</xdr:rowOff>
    </xdr:from>
    <xdr:to>
      <xdr:col>8</xdr:col>
      <xdr:colOff>110448</xdr:colOff>
      <xdr:row>79</xdr:row>
      <xdr:rowOff>190500</xdr:rowOff>
    </xdr:to>
    <xdr:cxnSp macro="">
      <xdr:nvCxnSpPr>
        <xdr:cNvPr id="9" name="Straight Connector 8">
          <a:extLst>
            <a:ext uri="{FF2B5EF4-FFF2-40B4-BE49-F238E27FC236}">
              <a16:creationId xmlns:a16="http://schemas.microsoft.com/office/drawing/2014/main" id="{00000000-0008-0000-0200-000009000000}"/>
            </a:ext>
          </a:extLst>
        </xdr:cNvPr>
        <xdr:cNvCxnSpPr/>
      </xdr:nvCxnSpPr>
      <xdr:spPr>
        <a:xfrm>
          <a:off x="7280953" y="7286625"/>
          <a:ext cx="153534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108</xdr:row>
      <xdr:rowOff>9525</xdr:rowOff>
    </xdr:from>
    <xdr:to>
      <xdr:col>5</xdr:col>
      <xdr:colOff>443865</xdr:colOff>
      <xdr:row>108</xdr:row>
      <xdr:rowOff>9525</xdr:rowOff>
    </xdr:to>
    <xdr:cxnSp macro="">
      <xdr:nvCxnSpPr>
        <xdr:cNvPr id="10" name="Straight Connector 9">
          <a:extLst>
            <a:ext uri="{FF2B5EF4-FFF2-40B4-BE49-F238E27FC236}">
              <a16:creationId xmlns:a16="http://schemas.microsoft.com/office/drawing/2014/main" id="{00000000-0008-0000-0200-00000A000000}"/>
            </a:ext>
          </a:extLst>
        </xdr:cNvPr>
        <xdr:cNvCxnSpPr/>
      </xdr:nvCxnSpPr>
      <xdr:spPr>
        <a:xfrm>
          <a:off x="1786890" y="15211425"/>
          <a:ext cx="223075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107</xdr:row>
      <xdr:rowOff>190500</xdr:rowOff>
    </xdr:from>
    <xdr:to>
      <xdr:col>8</xdr:col>
      <xdr:colOff>110448</xdr:colOff>
      <xdr:row>107</xdr:row>
      <xdr:rowOff>190500</xdr:rowOff>
    </xdr:to>
    <xdr:cxnSp macro="">
      <xdr:nvCxnSpPr>
        <xdr:cNvPr id="11" name="Straight Connector 10">
          <a:extLst>
            <a:ext uri="{FF2B5EF4-FFF2-40B4-BE49-F238E27FC236}">
              <a16:creationId xmlns:a16="http://schemas.microsoft.com/office/drawing/2014/main" id="{00000000-0008-0000-0200-00000B000000}"/>
            </a:ext>
          </a:extLst>
        </xdr:cNvPr>
        <xdr:cNvCxnSpPr/>
      </xdr:nvCxnSpPr>
      <xdr:spPr>
        <a:xfrm>
          <a:off x="7416208" y="15194280"/>
          <a:ext cx="16553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79</xdr:row>
      <xdr:rowOff>190500</xdr:rowOff>
    </xdr:from>
    <xdr:to>
      <xdr:col>8</xdr:col>
      <xdr:colOff>110448</xdr:colOff>
      <xdr:row>79</xdr:row>
      <xdr:rowOff>190500</xdr:rowOff>
    </xdr:to>
    <xdr:cxnSp macro="">
      <xdr:nvCxnSpPr>
        <xdr:cNvPr id="12" name="Straight Connector 11">
          <a:extLst>
            <a:ext uri="{FF2B5EF4-FFF2-40B4-BE49-F238E27FC236}">
              <a16:creationId xmlns:a16="http://schemas.microsoft.com/office/drawing/2014/main" id="{00000000-0008-0000-0200-00000C000000}"/>
            </a:ext>
          </a:extLst>
        </xdr:cNvPr>
        <xdr:cNvCxnSpPr/>
      </xdr:nvCxnSpPr>
      <xdr:spPr>
        <a:xfrm>
          <a:off x="7416208" y="7292340"/>
          <a:ext cx="16553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107</xdr:row>
      <xdr:rowOff>190500</xdr:rowOff>
    </xdr:from>
    <xdr:to>
      <xdr:col>8</xdr:col>
      <xdr:colOff>110448</xdr:colOff>
      <xdr:row>107</xdr:row>
      <xdr:rowOff>190500</xdr:rowOff>
    </xdr:to>
    <xdr:cxnSp macro="">
      <xdr:nvCxnSpPr>
        <xdr:cNvPr id="13" name="Straight Connector 12">
          <a:extLst>
            <a:ext uri="{FF2B5EF4-FFF2-40B4-BE49-F238E27FC236}">
              <a16:creationId xmlns:a16="http://schemas.microsoft.com/office/drawing/2014/main" id="{00000000-0008-0000-0200-00000D000000}"/>
            </a:ext>
          </a:extLst>
        </xdr:cNvPr>
        <xdr:cNvCxnSpPr/>
      </xdr:nvCxnSpPr>
      <xdr:spPr>
        <a:xfrm>
          <a:off x="7416208" y="15194280"/>
          <a:ext cx="16553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107</xdr:row>
      <xdr:rowOff>190500</xdr:rowOff>
    </xdr:from>
    <xdr:to>
      <xdr:col>8</xdr:col>
      <xdr:colOff>110448</xdr:colOff>
      <xdr:row>107</xdr:row>
      <xdr:rowOff>190500</xdr:rowOff>
    </xdr:to>
    <xdr:cxnSp macro="">
      <xdr:nvCxnSpPr>
        <xdr:cNvPr id="14" name="Straight Connector 13">
          <a:extLst>
            <a:ext uri="{FF2B5EF4-FFF2-40B4-BE49-F238E27FC236}">
              <a16:creationId xmlns:a16="http://schemas.microsoft.com/office/drawing/2014/main" id="{00000000-0008-0000-0200-00000E000000}"/>
            </a:ext>
          </a:extLst>
        </xdr:cNvPr>
        <xdr:cNvCxnSpPr/>
      </xdr:nvCxnSpPr>
      <xdr:spPr>
        <a:xfrm>
          <a:off x="7416208" y="15194280"/>
          <a:ext cx="16553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146</xdr:row>
      <xdr:rowOff>9525</xdr:rowOff>
    </xdr:from>
    <xdr:to>
      <xdr:col>5</xdr:col>
      <xdr:colOff>443865</xdr:colOff>
      <xdr:row>146</xdr:row>
      <xdr:rowOff>9525</xdr:rowOff>
    </xdr:to>
    <xdr:cxnSp macro="">
      <xdr:nvCxnSpPr>
        <xdr:cNvPr id="15" name="Straight Connector 14">
          <a:extLst>
            <a:ext uri="{FF2B5EF4-FFF2-40B4-BE49-F238E27FC236}">
              <a16:creationId xmlns:a16="http://schemas.microsoft.com/office/drawing/2014/main" id="{00000000-0008-0000-0200-00000F000000}"/>
            </a:ext>
          </a:extLst>
        </xdr:cNvPr>
        <xdr:cNvCxnSpPr/>
      </xdr:nvCxnSpPr>
      <xdr:spPr>
        <a:xfrm>
          <a:off x="1786890" y="24751665"/>
          <a:ext cx="223075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145</xdr:row>
      <xdr:rowOff>190500</xdr:rowOff>
    </xdr:from>
    <xdr:to>
      <xdr:col>8</xdr:col>
      <xdr:colOff>110448</xdr:colOff>
      <xdr:row>145</xdr:row>
      <xdr:rowOff>190500</xdr:rowOff>
    </xdr:to>
    <xdr:cxnSp macro="">
      <xdr:nvCxnSpPr>
        <xdr:cNvPr id="16" name="Straight Connector 15">
          <a:extLst>
            <a:ext uri="{FF2B5EF4-FFF2-40B4-BE49-F238E27FC236}">
              <a16:creationId xmlns:a16="http://schemas.microsoft.com/office/drawing/2014/main" id="{00000000-0008-0000-0200-000010000000}"/>
            </a:ext>
          </a:extLst>
        </xdr:cNvPr>
        <xdr:cNvCxnSpPr/>
      </xdr:nvCxnSpPr>
      <xdr:spPr>
        <a:xfrm>
          <a:off x="7416208" y="24734520"/>
          <a:ext cx="16553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145</xdr:row>
      <xdr:rowOff>190500</xdr:rowOff>
    </xdr:from>
    <xdr:to>
      <xdr:col>8</xdr:col>
      <xdr:colOff>110448</xdr:colOff>
      <xdr:row>145</xdr:row>
      <xdr:rowOff>190500</xdr:rowOff>
    </xdr:to>
    <xdr:cxnSp macro="">
      <xdr:nvCxnSpPr>
        <xdr:cNvPr id="17" name="Straight Connector 16">
          <a:extLst>
            <a:ext uri="{FF2B5EF4-FFF2-40B4-BE49-F238E27FC236}">
              <a16:creationId xmlns:a16="http://schemas.microsoft.com/office/drawing/2014/main" id="{00000000-0008-0000-0200-000011000000}"/>
            </a:ext>
          </a:extLst>
        </xdr:cNvPr>
        <xdr:cNvCxnSpPr/>
      </xdr:nvCxnSpPr>
      <xdr:spPr>
        <a:xfrm>
          <a:off x="7416208" y="24734520"/>
          <a:ext cx="16553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145</xdr:row>
      <xdr:rowOff>190500</xdr:rowOff>
    </xdr:from>
    <xdr:to>
      <xdr:col>8</xdr:col>
      <xdr:colOff>110448</xdr:colOff>
      <xdr:row>145</xdr:row>
      <xdr:rowOff>190500</xdr:rowOff>
    </xdr:to>
    <xdr:cxnSp macro="">
      <xdr:nvCxnSpPr>
        <xdr:cNvPr id="18" name="Straight Connector 17">
          <a:extLst>
            <a:ext uri="{FF2B5EF4-FFF2-40B4-BE49-F238E27FC236}">
              <a16:creationId xmlns:a16="http://schemas.microsoft.com/office/drawing/2014/main" id="{00000000-0008-0000-0200-000012000000}"/>
            </a:ext>
          </a:extLst>
        </xdr:cNvPr>
        <xdr:cNvCxnSpPr/>
      </xdr:nvCxnSpPr>
      <xdr:spPr>
        <a:xfrm>
          <a:off x="7416208" y="24734520"/>
          <a:ext cx="16553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183</xdr:row>
      <xdr:rowOff>9525</xdr:rowOff>
    </xdr:from>
    <xdr:to>
      <xdr:col>5</xdr:col>
      <xdr:colOff>443865</xdr:colOff>
      <xdr:row>183</xdr:row>
      <xdr:rowOff>9525</xdr:rowOff>
    </xdr:to>
    <xdr:cxnSp macro="">
      <xdr:nvCxnSpPr>
        <xdr:cNvPr id="19" name="Straight Connector 18">
          <a:extLst>
            <a:ext uri="{FF2B5EF4-FFF2-40B4-BE49-F238E27FC236}">
              <a16:creationId xmlns:a16="http://schemas.microsoft.com/office/drawing/2014/main" id="{00000000-0008-0000-0200-000013000000}"/>
            </a:ext>
          </a:extLst>
        </xdr:cNvPr>
        <xdr:cNvCxnSpPr/>
      </xdr:nvCxnSpPr>
      <xdr:spPr>
        <a:xfrm>
          <a:off x="1786890" y="39443025"/>
          <a:ext cx="223075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182</xdr:row>
      <xdr:rowOff>190500</xdr:rowOff>
    </xdr:from>
    <xdr:to>
      <xdr:col>8</xdr:col>
      <xdr:colOff>110448</xdr:colOff>
      <xdr:row>182</xdr:row>
      <xdr:rowOff>190500</xdr:rowOff>
    </xdr:to>
    <xdr:cxnSp macro="">
      <xdr:nvCxnSpPr>
        <xdr:cNvPr id="20" name="Straight Connector 19">
          <a:extLst>
            <a:ext uri="{FF2B5EF4-FFF2-40B4-BE49-F238E27FC236}">
              <a16:creationId xmlns:a16="http://schemas.microsoft.com/office/drawing/2014/main" id="{00000000-0008-0000-0200-000014000000}"/>
            </a:ext>
          </a:extLst>
        </xdr:cNvPr>
        <xdr:cNvCxnSpPr/>
      </xdr:nvCxnSpPr>
      <xdr:spPr>
        <a:xfrm>
          <a:off x="7416208" y="39425880"/>
          <a:ext cx="198302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182</xdr:row>
      <xdr:rowOff>190500</xdr:rowOff>
    </xdr:from>
    <xdr:to>
      <xdr:col>8</xdr:col>
      <xdr:colOff>110448</xdr:colOff>
      <xdr:row>182</xdr:row>
      <xdr:rowOff>190500</xdr:rowOff>
    </xdr:to>
    <xdr:cxnSp macro="">
      <xdr:nvCxnSpPr>
        <xdr:cNvPr id="21" name="Straight Connector 20">
          <a:extLst>
            <a:ext uri="{FF2B5EF4-FFF2-40B4-BE49-F238E27FC236}">
              <a16:creationId xmlns:a16="http://schemas.microsoft.com/office/drawing/2014/main" id="{00000000-0008-0000-0200-000015000000}"/>
            </a:ext>
          </a:extLst>
        </xdr:cNvPr>
        <xdr:cNvCxnSpPr/>
      </xdr:nvCxnSpPr>
      <xdr:spPr>
        <a:xfrm>
          <a:off x="7416208" y="39425880"/>
          <a:ext cx="198302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182</xdr:row>
      <xdr:rowOff>190500</xdr:rowOff>
    </xdr:from>
    <xdr:to>
      <xdr:col>8</xdr:col>
      <xdr:colOff>110448</xdr:colOff>
      <xdr:row>182</xdr:row>
      <xdr:rowOff>190500</xdr:rowOff>
    </xdr:to>
    <xdr:cxnSp macro="">
      <xdr:nvCxnSpPr>
        <xdr:cNvPr id="22" name="Straight Connector 21">
          <a:extLst>
            <a:ext uri="{FF2B5EF4-FFF2-40B4-BE49-F238E27FC236}">
              <a16:creationId xmlns:a16="http://schemas.microsoft.com/office/drawing/2014/main" id="{00000000-0008-0000-0200-000016000000}"/>
            </a:ext>
          </a:extLst>
        </xdr:cNvPr>
        <xdr:cNvCxnSpPr/>
      </xdr:nvCxnSpPr>
      <xdr:spPr>
        <a:xfrm>
          <a:off x="7416208" y="39425880"/>
          <a:ext cx="198302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217</xdr:row>
      <xdr:rowOff>9525</xdr:rowOff>
    </xdr:from>
    <xdr:to>
      <xdr:col>5</xdr:col>
      <xdr:colOff>443865</xdr:colOff>
      <xdr:row>217</xdr:row>
      <xdr:rowOff>9525</xdr:rowOff>
    </xdr:to>
    <xdr:cxnSp macro="">
      <xdr:nvCxnSpPr>
        <xdr:cNvPr id="23" name="Straight Connector 22">
          <a:extLst>
            <a:ext uri="{FF2B5EF4-FFF2-40B4-BE49-F238E27FC236}">
              <a16:creationId xmlns:a16="http://schemas.microsoft.com/office/drawing/2014/main" id="{00000000-0008-0000-0200-000017000000}"/>
            </a:ext>
          </a:extLst>
        </xdr:cNvPr>
        <xdr:cNvCxnSpPr/>
      </xdr:nvCxnSpPr>
      <xdr:spPr>
        <a:xfrm>
          <a:off x="1743075" y="49863375"/>
          <a:ext cx="216789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216</xdr:row>
      <xdr:rowOff>190500</xdr:rowOff>
    </xdr:from>
    <xdr:to>
      <xdr:col>8</xdr:col>
      <xdr:colOff>110448</xdr:colOff>
      <xdr:row>216</xdr:row>
      <xdr:rowOff>190500</xdr:rowOff>
    </xdr:to>
    <xdr:cxnSp macro="">
      <xdr:nvCxnSpPr>
        <xdr:cNvPr id="24" name="Straight Connector 23">
          <a:extLst>
            <a:ext uri="{FF2B5EF4-FFF2-40B4-BE49-F238E27FC236}">
              <a16:creationId xmlns:a16="http://schemas.microsoft.com/office/drawing/2014/main" id="{00000000-0008-0000-0200-000018000000}"/>
            </a:ext>
          </a:extLst>
        </xdr:cNvPr>
        <xdr:cNvCxnSpPr/>
      </xdr:nvCxnSpPr>
      <xdr:spPr>
        <a:xfrm>
          <a:off x="7280953" y="49844325"/>
          <a:ext cx="184967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216</xdr:row>
      <xdr:rowOff>190500</xdr:rowOff>
    </xdr:from>
    <xdr:to>
      <xdr:col>8</xdr:col>
      <xdr:colOff>110448</xdr:colOff>
      <xdr:row>216</xdr:row>
      <xdr:rowOff>190500</xdr:rowOff>
    </xdr:to>
    <xdr:cxnSp macro="">
      <xdr:nvCxnSpPr>
        <xdr:cNvPr id="25" name="Straight Connector 24">
          <a:extLst>
            <a:ext uri="{FF2B5EF4-FFF2-40B4-BE49-F238E27FC236}">
              <a16:creationId xmlns:a16="http://schemas.microsoft.com/office/drawing/2014/main" id="{00000000-0008-0000-0200-000019000000}"/>
            </a:ext>
          </a:extLst>
        </xdr:cNvPr>
        <xdr:cNvCxnSpPr/>
      </xdr:nvCxnSpPr>
      <xdr:spPr>
        <a:xfrm>
          <a:off x="7280953" y="49844325"/>
          <a:ext cx="184967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216</xdr:row>
      <xdr:rowOff>190500</xdr:rowOff>
    </xdr:from>
    <xdr:to>
      <xdr:col>8</xdr:col>
      <xdr:colOff>110448</xdr:colOff>
      <xdr:row>216</xdr:row>
      <xdr:rowOff>190500</xdr:rowOff>
    </xdr:to>
    <xdr:cxnSp macro="">
      <xdr:nvCxnSpPr>
        <xdr:cNvPr id="26" name="Straight Connector 25">
          <a:extLst>
            <a:ext uri="{FF2B5EF4-FFF2-40B4-BE49-F238E27FC236}">
              <a16:creationId xmlns:a16="http://schemas.microsoft.com/office/drawing/2014/main" id="{00000000-0008-0000-0200-00001A000000}"/>
            </a:ext>
          </a:extLst>
        </xdr:cNvPr>
        <xdr:cNvCxnSpPr/>
      </xdr:nvCxnSpPr>
      <xdr:spPr>
        <a:xfrm>
          <a:off x="7280953" y="49844325"/>
          <a:ext cx="184967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241</xdr:row>
      <xdr:rowOff>9525</xdr:rowOff>
    </xdr:from>
    <xdr:to>
      <xdr:col>5</xdr:col>
      <xdr:colOff>443865</xdr:colOff>
      <xdr:row>241</xdr:row>
      <xdr:rowOff>9525</xdr:rowOff>
    </xdr:to>
    <xdr:cxnSp macro="">
      <xdr:nvCxnSpPr>
        <xdr:cNvPr id="2" name="Straight Connector 1">
          <a:extLst>
            <a:ext uri="{FF2B5EF4-FFF2-40B4-BE49-F238E27FC236}">
              <a16:creationId xmlns:a16="http://schemas.microsoft.com/office/drawing/2014/main" id="{A358B244-3526-4852-A566-818F89ECF4B7}"/>
            </a:ext>
          </a:extLst>
        </xdr:cNvPr>
        <xdr:cNvCxnSpPr/>
      </xdr:nvCxnSpPr>
      <xdr:spPr>
        <a:xfrm>
          <a:off x="1743075" y="62074425"/>
          <a:ext cx="216789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240</xdr:row>
      <xdr:rowOff>190500</xdr:rowOff>
    </xdr:from>
    <xdr:to>
      <xdr:col>8</xdr:col>
      <xdr:colOff>110448</xdr:colOff>
      <xdr:row>240</xdr:row>
      <xdr:rowOff>190500</xdr:rowOff>
    </xdr:to>
    <xdr:cxnSp macro="">
      <xdr:nvCxnSpPr>
        <xdr:cNvPr id="3" name="Straight Connector 2">
          <a:extLst>
            <a:ext uri="{FF2B5EF4-FFF2-40B4-BE49-F238E27FC236}">
              <a16:creationId xmlns:a16="http://schemas.microsoft.com/office/drawing/2014/main" id="{65FBAEA5-0298-483E-85E6-EB6A665C0B6C}"/>
            </a:ext>
          </a:extLst>
        </xdr:cNvPr>
        <xdr:cNvCxnSpPr/>
      </xdr:nvCxnSpPr>
      <xdr:spPr>
        <a:xfrm>
          <a:off x="7280953" y="62055375"/>
          <a:ext cx="184967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240</xdr:row>
      <xdr:rowOff>190500</xdr:rowOff>
    </xdr:from>
    <xdr:to>
      <xdr:col>8</xdr:col>
      <xdr:colOff>110448</xdr:colOff>
      <xdr:row>240</xdr:row>
      <xdr:rowOff>190500</xdr:rowOff>
    </xdr:to>
    <xdr:cxnSp macro="">
      <xdr:nvCxnSpPr>
        <xdr:cNvPr id="27" name="Straight Connector 26">
          <a:extLst>
            <a:ext uri="{FF2B5EF4-FFF2-40B4-BE49-F238E27FC236}">
              <a16:creationId xmlns:a16="http://schemas.microsoft.com/office/drawing/2014/main" id="{C7C7D093-B25B-4181-884A-7FC5CBC4D739}"/>
            </a:ext>
          </a:extLst>
        </xdr:cNvPr>
        <xdr:cNvCxnSpPr/>
      </xdr:nvCxnSpPr>
      <xdr:spPr>
        <a:xfrm>
          <a:off x="7280953" y="62055375"/>
          <a:ext cx="184967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240</xdr:row>
      <xdr:rowOff>190500</xdr:rowOff>
    </xdr:from>
    <xdr:to>
      <xdr:col>8</xdr:col>
      <xdr:colOff>110448</xdr:colOff>
      <xdr:row>240</xdr:row>
      <xdr:rowOff>190500</xdr:rowOff>
    </xdr:to>
    <xdr:cxnSp macro="">
      <xdr:nvCxnSpPr>
        <xdr:cNvPr id="30" name="Straight Connector 29">
          <a:extLst>
            <a:ext uri="{FF2B5EF4-FFF2-40B4-BE49-F238E27FC236}">
              <a16:creationId xmlns:a16="http://schemas.microsoft.com/office/drawing/2014/main" id="{BA3CF72D-E038-4739-AA27-97605F975496}"/>
            </a:ext>
          </a:extLst>
        </xdr:cNvPr>
        <xdr:cNvCxnSpPr/>
      </xdr:nvCxnSpPr>
      <xdr:spPr>
        <a:xfrm>
          <a:off x="7280953" y="62055375"/>
          <a:ext cx="184967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323850</xdr:colOff>
      <xdr:row>264</xdr:row>
      <xdr:rowOff>9525</xdr:rowOff>
    </xdr:from>
    <xdr:to>
      <xdr:col>5</xdr:col>
      <xdr:colOff>443865</xdr:colOff>
      <xdr:row>264</xdr:row>
      <xdr:rowOff>9525</xdr:rowOff>
    </xdr:to>
    <xdr:cxnSp macro="">
      <xdr:nvCxnSpPr>
        <xdr:cNvPr id="31" name="Straight Connector 30">
          <a:extLst>
            <a:ext uri="{FF2B5EF4-FFF2-40B4-BE49-F238E27FC236}">
              <a16:creationId xmlns:a16="http://schemas.microsoft.com/office/drawing/2014/main" id="{36EA1F5F-0143-4541-B78C-8539B0E7B769}"/>
            </a:ext>
          </a:extLst>
        </xdr:cNvPr>
        <xdr:cNvCxnSpPr/>
      </xdr:nvCxnSpPr>
      <xdr:spPr>
        <a:xfrm>
          <a:off x="1743075" y="70913625"/>
          <a:ext cx="223456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263</xdr:row>
      <xdr:rowOff>190500</xdr:rowOff>
    </xdr:from>
    <xdr:to>
      <xdr:col>8</xdr:col>
      <xdr:colOff>110448</xdr:colOff>
      <xdr:row>263</xdr:row>
      <xdr:rowOff>190500</xdr:rowOff>
    </xdr:to>
    <xdr:cxnSp macro="">
      <xdr:nvCxnSpPr>
        <xdr:cNvPr id="32" name="Straight Connector 31">
          <a:extLst>
            <a:ext uri="{FF2B5EF4-FFF2-40B4-BE49-F238E27FC236}">
              <a16:creationId xmlns:a16="http://schemas.microsoft.com/office/drawing/2014/main" id="{2EABE466-244B-4D50-B8F3-28A5FBF377AF}"/>
            </a:ext>
          </a:extLst>
        </xdr:cNvPr>
        <xdr:cNvCxnSpPr/>
      </xdr:nvCxnSpPr>
      <xdr:spPr>
        <a:xfrm>
          <a:off x="7347628" y="70894575"/>
          <a:ext cx="184967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263</xdr:row>
      <xdr:rowOff>190500</xdr:rowOff>
    </xdr:from>
    <xdr:to>
      <xdr:col>8</xdr:col>
      <xdr:colOff>110448</xdr:colOff>
      <xdr:row>263</xdr:row>
      <xdr:rowOff>190500</xdr:rowOff>
    </xdr:to>
    <xdr:cxnSp macro="">
      <xdr:nvCxnSpPr>
        <xdr:cNvPr id="33" name="Straight Connector 32">
          <a:extLst>
            <a:ext uri="{FF2B5EF4-FFF2-40B4-BE49-F238E27FC236}">
              <a16:creationId xmlns:a16="http://schemas.microsoft.com/office/drawing/2014/main" id="{47C4DE69-5625-42C3-A000-4EC8EF5F820F}"/>
            </a:ext>
          </a:extLst>
        </xdr:cNvPr>
        <xdr:cNvCxnSpPr/>
      </xdr:nvCxnSpPr>
      <xdr:spPr>
        <a:xfrm>
          <a:off x="7347628" y="70894575"/>
          <a:ext cx="184967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2813728</xdr:colOff>
      <xdr:row>263</xdr:row>
      <xdr:rowOff>190500</xdr:rowOff>
    </xdr:from>
    <xdr:to>
      <xdr:col>8</xdr:col>
      <xdr:colOff>110448</xdr:colOff>
      <xdr:row>263</xdr:row>
      <xdr:rowOff>190500</xdr:rowOff>
    </xdr:to>
    <xdr:cxnSp macro="">
      <xdr:nvCxnSpPr>
        <xdr:cNvPr id="34" name="Straight Connector 33">
          <a:extLst>
            <a:ext uri="{FF2B5EF4-FFF2-40B4-BE49-F238E27FC236}">
              <a16:creationId xmlns:a16="http://schemas.microsoft.com/office/drawing/2014/main" id="{CCFE7AF6-D57E-473A-A0C5-B0716C4A8494}"/>
            </a:ext>
          </a:extLst>
        </xdr:cNvPr>
        <xdr:cNvCxnSpPr/>
      </xdr:nvCxnSpPr>
      <xdr:spPr>
        <a:xfrm>
          <a:off x="7347628" y="70894575"/>
          <a:ext cx="184967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377190</xdr:colOff>
      <xdr:row>2</xdr:row>
      <xdr:rowOff>15240</xdr:rowOff>
    </xdr:from>
    <xdr:to>
      <xdr:col>4</xdr:col>
      <xdr:colOff>1106805</xdr:colOff>
      <xdr:row>2</xdr:row>
      <xdr:rowOff>15240</xdr:rowOff>
    </xdr:to>
    <xdr:cxnSp macro="">
      <xdr:nvCxnSpPr>
        <xdr:cNvPr id="2" name="Straight Connector 1">
          <a:extLst>
            <a:ext uri="{FF2B5EF4-FFF2-40B4-BE49-F238E27FC236}">
              <a16:creationId xmlns:a16="http://schemas.microsoft.com/office/drawing/2014/main" id="{00000000-0008-0000-0400-000002000000}"/>
            </a:ext>
          </a:extLst>
        </xdr:cNvPr>
        <xdr:cNvCxnSpPr/>
      </xdr:nvCxnSpPr>
      <xdr:spPr>
        <a:xfrm>
          <a:off x="2045970" y="502920"/>
          <a:ext cx="150685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377190</xdr:colOff>
      <xdr:row>25</xdr:row>
      <xdr:rowOff>15240</xdr:rowOff>
    </xdr:from>
    <xdr:to>
      <xdr:col>4</xdr:col>
      <xdr:colOff>1106805</xdr:colOff>
      <xdr:row>25</xdr:row>
      <xdr:rowOff>15240</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1855470" y="502920"/>
          <a:ext cx="138493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377190</xdr:colOff>
      <xdr:row>44</xdr:row>
      <xdr:rowOff>15240</xdr:rowOff>
    </xdr:from>
    <xdr:to>
      <xdr:col>4</xdr:col>
      <xdr:colOff>1106805</xdr:colOff>
      <xdr:row>44</xdr:row>
      <xdr:rowOff>15240</xdr:rowOff>
    </xdr:to>
    <xdr:cxnSp macro="">
      <xdr:nvCxnSpPr>
        <xdr:cNvPr id="4" name="Straight Connector 3">
          <a:extLst>
            <a:ext uri="{FF2B5EF4-FFF2-40B4-BE49-F238E27FC236}">
              <a16:creationId xmlns:a16="http://schemas.microsoft.com/office/drawing/2014/main" id="{00000000-0008-0000-0400-000004000000}"/>
            </a:ext>
          </a:extLst>
        </xdr:cNvPr>
        <xdr:cNvCxnSpPr/>
      </xdr:nvCxnSpPr>
      <xdr:spPr>
        <a:xfrm>
          <a:off x="1855470" y="7574280"/>
          <a:ext cx="138493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377190</xdr:colOff>
      <xdr:row>60</xdr:row>
      <xdr:rowOff>15240</xdr:rowOff>
    </xdr:from>
    <xdr:to>
      <xdr:col>4</xdr:col>
      <xdr:colOff>1106805</xdr:colOff>
      <xdr:row>60</xdr:row>
      <xdr:rowOff>15240</xdr:rowOff>
    </xdr:to>
    <xdr:cxnSp macro="">
      <xdr:nvCxnSpPr>
        <xdr:cNvPr id="5" name="Straight Connector 4">
          <a:extLst>
            <a:ext uri="{FF2B5EF4-FFF2-40B4-BE49-F238E27FC236}">
              <a16:creationId xmlns:a16="http://schemas.microsoft.com/office/drawing/2014/main" id="{AF129ECC-52D0-45A2-916A-43F5B3527DC5}"/>
            </a:ext>
          </a:extLst>
        </xdr:cNvPr>
        <xdr:cNvCxnSpPr/>
      </xdr:nvCxnSpPr>
      <xdr:spPr>
        <a:xfrm>
          <a:off x="1805940" y="6749415"/>
          <a:ext cx="136779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377190</xdr:colOff>
      <xdr:row>77</xdr:row>
      <xdr:rowOff>15240</xdr:rowOff>
    </xdr:from>
    <xdr:to>
      <xdr:col>4</xdr:col>
      <xdr:colOff>1106805</xdr:colOff>
      <xdr:row>77</xdr:row>
      <xdr:rowOff>15240</xdr:rowOff>
    </xdr:to>
    <xdr:cxnSp macro="">
      <xdr:nvCxnSpPr>
        <xdr:cNvPr id="6" name="Straight Connector 5">
          <a:extLst>
            <a:ext uri="{FF2B5EF4-FFF2-40B4-BE49-F238E27FC236}">
              <a16:creationId xmlns:a16="http://schemas.microsoft.com/office/drawing/2014/main" id="{6EB64642-D7A6-42AC-BCCF-F4291ACCE052}"/>
            </a:ext>
          </a:extLst>
        </xdr:cNvPr>
        <xdr:cNvCxnSpPr/>
      </xdr:nvCxnSpPr>
      <xdr:spPr>
        <a:xfrm>
          <a:off x="1805940" y="12331065"/>
          <a:ext cx="136779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377190</xdr:colOff>
      <xdr:row>94</xdr:row>
      <xdr:rowOff>15240</xdr:rowOff>
    </xdr:from>
    <xdr:to>
      <xdr:col>4</xdr:col>
      <xdr:colOff>1106805</xdr:colOff>
      <xdr:row>94</xdr:row>
      <xdr:rowOff>15240</xdr:rowOff>
    </xdr:to>
    <xdr:cxnSp macro="">
      <xdr:nvCxnSpPr>
        <xdr:cNvPr id="7" name="Straight Connector 6">
          <a:extLst>
            <a:ext uri="{FF2B5EF4-FFF2-40B4-BE49-F238E27FC236}">
              <a16:creationId xmlns:a16="http://schemas.microsoft.com/office/drawing/2014/main" id="{1A5E29E5-BEA5-40D1-8B9D-9BC57C8EC2F0}"/>
            </a:ext>
          </a:extLst>
        </xdr:cNvPr>
        <xdr:cNvCxnSpPr/>
      </xdr:nvCxnSpPr>
      <xdr:spPr>
        <a:xfrm>
          <a:off x="1805940" y="17169765"/>
          <a:ext cx="136779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609600</xdr:colOff>
      <xdr:row>5</xdr:row>
      <xdr:rowOff>0</xdr:rowOff>
    </xdr:from>
    <xdr:to>
      <xdr:col>2</xdr:col>
      <xdr:colOff>76200</xdr:colOff>
      <xdr:row>5</xdr:row>
      <xdr:rowOff>0</xdr:rowOff>
    </xdr:to>
    <xdr:cxnSp macro="">
      <xdr:nvCxnSpPr>
        <xdr:cNvPr id="3" name="Straight Connector 2">
          <a:extLst>
            <a:ext uri="{FF2B5EF4-FFF2-40B4-BE49-F238E27FC236}">
              <a16:creationId xmlns:a16="http://schemas.microsoft.com/office/drawing/2014/main" id="{00000000-0008-0000-0500-000003000000}"/>
            </a:ext>
          </a:extLst>
        </xdr:cNvPr>
        <xdr:cNvCxnSpPr/>
      </xdr:nvCxnSpPr>
      <xdr:spPr>
        <a:xfrm>
          <a:off x="609600" y="1000125"/>
          <a:ext cx="14097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219075</xdr:colOff>
      <xdr:row>4</xdr:row>
      <xdr:rowOff>20552</xdr:rowOff>
    </xdr:from>
    <xdr:to>
      <xdr:col>3</xdr:col>
      <xdr:colOff>2152650</xdr:colOff>
      <xdr:row>4</xdr:row>
      <xdr:rowOff>28576</xdr:rowOff>
    </xdr:to>
    <xdr:cxnSp macro="">
      <xdr:nvCxnSpPr>
        <xdr:cNvPr id="2" name="Straight Connector 1">
          <a:extLst>
            <a:ext uri="{FF2B5EF4-FFF2-40B4-BE49-F238E27FC236}">
              <a16:creationId xmlns:a16="http://schemas.microsoft.com/office/drawing/2014/main" id="{00000000-0008-0000-0600-000002000000}"/>
            </a:ext>
          </a:extLst>
        </xdr:cNvPr>
        <xdr:cNvCxnSpPr/>
      </xdr:nvCxnSpPr>
      <xdr:spPr>
        <a:xfrm>
          <a:off x="2314575" y="767312"/>
          <a:ext cx="1933575" cy="80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1428750</xdr:colOff>
      <xdr:row>3</xdr:row>
      <xdr:rowOff>193162</xdr:rowOff>
    </xdr:from>
    <xdr:to>
      <xdr:col>5</xdr:col>
      <xdr:colOff>3124200</xdr:colOff>
      <xdr:row>3</xdr:row>
      <xdr:rowOff>193162</xdr:rowOff>
    </xdr:to>
    <xdr:cxnSp macro="">
      <xdr:nvCxnSpPr>
        <xdr:cNvPr id="3" name="Straight Connector 2">
          <a:extLst>
            <a:ext uri="{FF2B5EF4-FFF2-40B4-BE49-F238E27FC236}">
              <a16:creationId xmlns:a16="http://schemas.microsoft.com/office/drawing/2014/main" id="{00000000-0008-0000-0600-000003000000}"/>
            </a:ext>
          </a:extLst>
        </xdr:cNvPr>
        <xdr:cNvCxnSpPr/>
      </xdr:nvCxnSpPr>
      <xdr:spPr>
        <a:xfrm>
          <a:off x="8065770" y="741802"/>
          <a:ext cx="1695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956099</xdr:colOff>
      <xdr:row>3</xdr:row>
      <xdr:rowOff>25823</xdr:rowOff>
    </xdr:from>
    <xdr:to>
      <xdr:col>3</xdr:col>
      <xdr:colOff>1347047</xdr:colOff>
      <xdr:row>3</xdr:row>
      <xdr:rowOff>25823</xdr:rowOff>
    </xdr:to>
    <xdr:cxnSp macro="">
      <xdr:nvCxnSpPr>
        <xdr:cNvPr id="2" name="Straight Connector 1">
          <a:extLst>
            <a:ext uri="{FF2B5EF4-FFF2-40B4-BE49-F238E27FC236}">
              <a16:creationId xmlns:a16="http://schemas.microsoft.com/office/drawing/2014/main" id="{A5F52058-2AFD-47A2-9749-64BD904B7CA3}"/>
            </a:ext>
          </a:extLst>
        </xdr:cNvPr>
        <xdr:cNvCxnSpPr/>
      </xdr:nvCxnSpPr>
      <xdr:spPr>
        <a:xfrm>
          <a:off x="2702349" y="629073"/>
          <a:ext cx="135403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Program%20Files%20(x86)\VnToolsExcel\VnTools-Excel.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gram%20Files%20(x86)/VnToolsExcel/VnTools-Excel.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nTools-Excel"/>
    </sheetNames>
    <definedNames>
      <definedName name="vnd"/>
    </defined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nTools-Excel"/>
    </sheetNames>
    <definedNames>
      <definedName name="vnd"/>
    </definedNames>
    <sheetDataSet>
      <sheetData sheetId="0"/>
      <sheetData sheetId="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312"/>
  <sheetViews>
    <sheetView topLeftCell="A245" zoomScaleNormal="100" workbookViewId="0">
      <selection activeCell="F311" sqref="F311"/>
    </sheetView>
  </sheetViews>
  <sheetFormatPr defaultColWidth="10.28515625" defaultRowHeight="15.75" x14ac:dyDescent="0.25"/>
  <cols>
    <col min="1" max="1" width="3.85546875" style="13" customWidth="1"/>
    <col min="2" max="2" width="5.7109375" style="13" customWidth="1"/>
    <col min="3" max="3" width="11.7109375" style="13" customWidth="1"/>
    <col min="4" max="4" width="10.28515625" style="13" customWidth="1"/>
    <col min="5" max="5" width="16" style="11" customWidth="1"/>
    <col min="6" max="6" width="17.85546875" style="11" customWidth="1"/>
    <col min="7" max="7" width="52.140625" style="11" customWidth="1"/>
    <col min="8" max="8" width="12" style="12" customWidth="1"/>
    <col min="9" max="9" width="9.7109375" style="12" customWidth="1"/>
    <col min="10" max="11" width="10.28515625" style="12"/>
    <col min="12" max="12" width="11.85546875" style="12" customWidth="1"/>
    <col min="13" max="13" width="16" style="13" customWidth="1"/>
    <col min="14" max="14" width="16" style="13" bestFit="1" customWidth="1"/>
    <col min="15" max="16" width="10.28515625" style="13"/>
    <col min="17" max="17" width="11.28515625" style="13" bestFit="1" customWidth="1"/>
    <col min="18" max="16384" width="10.28515625" style="13"/>
  </cols>
  <sheetData>
    <row r="1" spans="1:13" ht="19.149999999999999" hidden="1" customHeight="1" x14ac:dyDescent="0.25">
      <c r="A1" s="177" t="s">
        <v>0</v>
      </c>
      <c r="B1" s="177"/>
      <c r="C1" s="177"/>
      <c r="D1" s="177"/>
      <c r="E1" s="177"/>
      <c r="F1" s="177"/>
      <c r="G1" s="178" t="s">
        <v>1</v>
      </c>
      <c r="H1" s="178"/>
      <c r="I1" s="178"/>
      <c r="J1" s="178"/>
      <c r="K1" s="178"/>
      <c r="L1" s="178"/>
      <c r="M1" s="178"/>
    </row>
    <row r="2" spans="1:13" ht="19.149999999999999" hidden="1" customHeight="1" x14ac:dyDescent="0.25">
      <c r="A2" s="177" t="s">
        <v>22</v>
      </c>
      <c r="B2" s="177"/>
      <c r="C2" s="177"/>
      <c r="D2" s="177"/>
      <c r="E2" s="177"/>
      <c r="F2" s="177"/>
      <c r="G2" s="178" t="s">
        <v>2</v>
      </c>
      <c r="H2" s="178"/>
      <c r="I2" s="178"/>
      <c r="J2" s="178"/>
      <c r="K2" s="178"/>
      <c r="L2" s="178"/>
      <c r="M2" s="178"/>
    </row>
    <row r="3" spans="1:13" ht="30.6" hidden="1" customHeight="1" x14ac:dyDescent="0.25">
      <c r="A3" s="25"/>
      <c r="B3" s="26"/>
      <c r="C3" s="25"/>
      <c r="D3" s="25"/>
      <c r="E3" s="26"/>
      <c r="F3" s="26"/>
      <c r="G3" s="179" t="s">
        <v>62</v>
      </c>
      <c r="H3" s="179"/>
      <c r="I3" s="179"/>
      <c r="J3" s="179"/>
      <c r="K3" s="179"/>
      <c r="L3" s="179"/>
      <c r="M3" s="179"/>
    </row>
    <row r="4" spans="1:13" ht="18.75" hidden="1" x14ac:dyDescent="0.25">
      <c r="A4" s="180" t="s">
        <v>63</v>
      </c>
      <c r="B4" s="180"/>
      <c r="C4" s="180"/>
      <c r="D4" s="180"/>
      <c r="E4" s="180"/>
      <c r="F4" s="180"/>
      <c r="G4" s="180"/>
      <c r="H4" s="180"/>
      <c r="I4" s="180"/>
      <c r="J4" s="180"/>
      <c r="K4" s="180"/>
      <c r="L4" s="180"/>
      <c r="M4" s="180"/>
    </row>
    <row r="5" spans="1:13" hidden="1" x14ac:dyDescent="0.25">
      <c r="A5" s="1"/>
      <c r="B5" s="1"/>
      <c r="C5" s="1"/>
      <c r="D5" s="1"/>
      <c r="E5" s="19"/>
      <c r="F5" s="19"/>
      <c r="G5" s="19"/>
      <c r="H5" s="20"/>
      <c r="I5" s="21"/>
      <c r="J5" s="21"/>
      <c r="K5" s="21"/>
      <c r="L5" s="21"/>
      <c r="M5" s="1"/>
    </row>
    <row r="6" spans="1:13" ht="37.9" hidden="1" customHeight="1" x14ac:dyDescent="0.25">
      <c r="A6" s="2" t="s">
        <v>7</v>
      </c>
      <c r="B6" s="2" t="s">
        <v>8</v>
      </c>
      <c r="C6" s="2" t="s">
        <v>9</v>
      </c>
      <c r="D6" s="9" t="s">
        <v>31</v>
      </c>
      <c r="E6" s="2" t="s">
        <v>10</v>
      </c>
      <c r="F6" s="2" t="s">
        <v>11</v>
      </c>
      <c r="G6" s="2" t="s">
        <v>12</v>
      </c>
      <c r="H6" s="22" t="s">
        <v>13</v>
      </c>
      <c r="I6" s="23" t="s">
        <v>14</v>
      </c>
      <c r="J6" s="22" t="s">
        <v>15</v>
      </c>
      <c r="K6" s="22"/>
      <c r="L6" s="23" t="s">
        <v>16</v>
      </c>
      <c r="M6" s="9" t="s">
        <v>20</v>
      </c>
    </row>
    <row r="7" spans="1:13" ht="150.6" hidden="1" customHeight="1" x14ac:dyDescent="0.25">
      <c r="A7" s="3">
        <v>1</v>
      </c>
      <c r="B7" s="64">
        <v>3</v>
      </c>
      <c r="C7" s="65">
        <v>45661</v>
      </c>
      <c r="D7" s="67" t="s">
        <v>32</v>
      </c>
      <c r="E7" s="64" t="s">
        <v>33</v>
      </c>
      <c r="F7" s="64" t="s">
        <v>37</v>
      </c>
      <c r="G7" s="27" t="s">
        <v>38</v>
      </c>
      <c r="H7" s="61">
        <v>400000</v>
      </c>
      <c r="I7" s="62"/>
      <c r="J7" s="61"/>
      <c r="K7" s="61"/>
      <c r="L7" s="63">
        <f>H7+J7</f>
        <v>400000</v>
      </c>
      <c r="M7" s="27" t="s">
        <v>39</v>
      </c>
    </row>
    <row r="8" spans="1:13" ht="136.9" hidden="1" customHeight="1" x14ac:dyDescent="0.25">
      <c r="A8" s="3">
        <v>2</v>
      </c>
      <c r="B8" s="64">
        <v>4</v>
      </c>
      <c r="C8" s="65">
        <v>45661</v>
      </c>
      <c r="D8" s="67" t="s">
        <v>35</v>
      </c>
      <c r="E8" s="64" t="s">
        <v>36</v>
      </c>
      <c r="F8" s="64" t="s">
        <v>40</v>
      </c>
      <c r="G8" s="27" t="s">
        <v>41</v>
      </c>
      <c r="H8" s="61">
        <v>200000</v>
      </c>
      <c r="I8" s="62"/>
      <c r="J8" s="61"/>
      <c r="K8" s="61"/>
      <c r="L8" s="63">
        <f>H8+J8</f>
        <v>200000</v>
      </c>
      <c r="M8" s="27" t="s">
        <v>42</v>
      </c>
    </row>
    <row r="9" spans="1:13" ht="114" hidden="1" customHeight="1" x14ac:dyDescent="0.25">
      <c r="A9" s="3">
        <v>3</v>
      </c>
      <c r="B9" s="64">
        <v>5</v>
      </c>
      <c r="C9" s="65">
        <v>45661</v>
      </c>
      <c r="D9" s="67" t="s">
        <v>44</v>
      </c>
      <c r="E9" s="64" t="s">
        <v>45</v>
      </c>
      <c r="F9" s="64" t="s">
        <v>40</v>
      </c>
      <c r="G9" s="27" t="s">
        <v>43</v>
      </c>
      <c r="H9" s="61">
        <v>200000</v>
      </c>
      <c r="I9" s="62"/>
      <c r="J9" s="61"/>
      <c r="K9" s="61"/>
      <c r="L9" s="63">
        <f>H9+J9</f>
        <v>200000</v>
      </c>
      <c r="M9" s="27" t="s">
        <v>42</v>
      </c>
    </row>
    <row r="10" spans="1:13" ht="115.9" hidden="1" customHeight="1" x14ac:dyDescent="0.25">
      <c r="A10" s="3">
        <v>4</v>
      </c>
      <c r="B10" s="64">
        <v>6</v>
      </c>
      <c r="C10" s="65">
        <v>45661</v>
      </c>
      <c r="D10" s="67" t="s">
        <v>47</v>
      </c>
      <c r="E10" s="64" t="s">
        <v>46</v>
      </c>
      <c r="F10" s="64" t="s">
        <v>40</v>
      </c>
      <c r="G10" s="27" t="s">
        <v>48</v>
      </c>
      <c r="H10" s="61">
        <v>200000</v>
      </c>
      <c r="I10" s="62"/>
      <c r="J10" s="61"/>
      <c r="K10" s="61"/>
      <c r="L10" s="63">
        <f>H10+J10</f>
        <v>200000</v>
      </c>
      <c r="M10" s="27" t="s">
        <v>42</v>
      </c>
    </row>
    <row r="11" spans="1:13" ht="102" hidden="1" customHeight="1" x14ac:dyDescent="0.25">
      <c r="A11" s="3">
        <v>5</v>
      </c>
      <c r="B11" s="64">
        <v>7</v>
      </c>
      <c r="C11" s="65">
        <v>45661</v>
      </c>
      <c r="D11" s="67" t="s">
        <v>49</v>
      </c>
      <c r="E11" s="64" t="s">
        <v>50</v>
      </c>
      <c r="F11" s="64" t="s">
        <v>51</v>
      </c>
      <c r="G11" s="27" t="s">
        <v>52</v>
      </c>
      <c r="H11" s="61">
        <v>300000</v>
      </c>
      <c r="I11" s="62"/>
      <c r="J11" s="61"/>
      <c r="K11" s="61"/>
      <c r="L11" s="63">
        <f>H11+J11</f>
        <v>300000</v>
      </c>
      <c r="M11" s="27" t="s">
        <v>53</v>
      </c>
    </row>
    <row r="12" spans="1:13" ht="24" hidden="1" customHeight="1" x14ac:dyDescent="0.25">
      <c r="A12" s="181" t="s">
        <v>30</v>
      </c>
      <c r="B12" s="182"/>
      <c r="C12" s="182"/>
      <c r="D12" s="182"/>
      <c r="E12" s="182"/>
      <c r="F12" s="182"/>
      <c r="G12" s="183"/>
      <c r="H12" s="24">
        <f>SUM(H7:H11)</f>
        <v>1300000</v>
      </c>
      <c r="I12" s="24"/>
      <c r="J12" s="24">
        <f>SUM(J7:J11)</f>
        <v>0</v>
      </c>
      <c r="K12" s="24"/>
      <c r="L12" s="24">
        <f>SUM(L7:L11)</f>
        <v>1300000</v>
      </c>
      <c r="M12" s="75"/>
    </row>
    <row r="13" spans="1:13" hidden="1" x14ac:dyDescent="0.25">
      <c r="A13" s="184" t="s">
        <v>18</v>
      </c>
      <c r="B13" s="184"/>
      <c r="C13" s="184"/>
      <c r="D13" s="90"/>
      <c r="E13" s="10" t="e">
        <f ca="1">[1]!vnd(L12)</f>
        <v>#NAME?</v>
      </c>
      <c r="G13" s="90"/>
    </row>
    <row r="14" spans="1:13" hidden="1" x14ac:dyDescent="0.25"/>
    <row r="15" spans="1:13" hidden="1" x14ac:dyDescent="0.25">
      <c r="A15" s="86"/>
      <c r="B15" s="175" t="s">
        <v>34</v>
      </c>
      <c r="C15" s="175"/>
      <c r="D15" s="175"/>
      <c r="E15" s="175"/>
      <c r="F15" s="74"/>
      <c r="G15" s="74"/>
      <c r="H15" s="14"/>
      <c r="I15" s="14"/>
      <c r="J15" s="175" t="s">
        <v>4</v>
      </c>
      <c r="K15" s="175"/>
      <c r="L15" s="175"/>
      <c r="M15" s="175"/>
    </row>
    <row r="16" spans="1:13" hidden="1" x14ac:dyDescent="0.25"/>
    <row r="17" spans="1:13" hidden="1" x14ac:dyDescent="0.25"/>
    <row r="18" spans="1:13" hidden="1" x14ac:dyDescent="0.25"/>
    <row r="19" spans="1:13" hidden="1" x14ac:dyDescent="0.25">
      <c r="B19" s="176" t="s">
        <v>64</v>
      </c>
      <c r="C19" s="176"/>
      <c r="D19" s="176"/>
      <c r="E19" s="176"/>
      <c r="G19" s="15"/>
      <c r="J19" s="176" t="s">
        <v>3</v>
      </c>
      <c r="K19" s="176"/>
      <c r="L19" s="176"/>
      <c r="M19" s="176"/>
    </row>
    <row r="20" spans="1:13" hidden="1" x14ac:dyDescent="0.25"/>
    <row r="21" spans="1:13" hidden="1" x14ac:dyDescent="0.25"/>
    <row r="22" spans="1:13" hidden="1" x14ac:dyDescent="0.25"/>
    <row r="23" spans="1:13" hidden="1" x14ac:dyDescent="0.25"/>
    <row r="24" spans="1:13" hidden="1" x14ac:dyDescent="0.25"/>
    <row r="25" spans="1:13" ht="19.149999999999999" customHeight="1" x14ac:dyDescent="0.25">
      <c r="A25" s="177" t="s">
        <v>0</v>
      </c>
      <c r="B25" s="177"/>
      <c r="C25" s="177"/>
      <c r="D25" s="177"/>
      <c r="E25" s="177"/>
      <c r="F25" s="177"/>
      <c r="G25" s="178" t="s">
        <v>1</v>
      </c>
      <c r="H25" s="178"/>
      <c r="I25" s="178"/>
      <c r="J25" s="178"/>
      <c r="K25" s="178"/>
      <c r="L25" s="178"/>
      <c r="M25" s="178"/>
    </row>
    <row r="26" spans="1:13" ht="19.149999999999999" customHeight="1" x14ac:dyDescent="0.25">
      <c r="A26" s="177" t="s">
        <v>22</v>
      </c>
      <c r="B26" s="177"/>
      <c r="C26" s="177"/>
      <c r="D26" s="177"/>
      <c r="E26" s="177"/>
      <c r="F26" s="177"/>
      <c r="G26" s="178" t="s">
        <v>2</v>
      </c>
      <c r="H26" s="178"/>
      <c r="I26" s="178"/>
      <c r="J26" s="178"/>
      <c r="K26" s="178"/>
      <c r="L26" s="178"/>
      <c r="M26" s="178"/>
    </row>
    <row r="27" spans="1:13" ht="30.6" customHeight="1" x14ac:dyDescent="0.25">
      <c r="A27" s="25"/>
      <c r="B27" s="26"/>
      <c r="C27" s="25"/>
      <c r="D27" s="25"/>
      <c r="E27" s="26"/>
      <c r="F27" s="26"/>
      <c r="G27" s="179" t="s">
        <v>83</v>
      </c>
      <c r="H27" s="179"/>
      <c r="I27" s="179"/>
      <c r="J27" s="179"/>
      <c r="K27" s="179"/>
      <c r="L27" s="179"/>
      <c r="M27" s="179"/>
    </row>
    <row r="28" spans="1:13" ht="18.75" x14ac:dyDescent="0.25">
      <c r="A28" s="180" t="s">
        <v>82</v>
      </c>
      <c r="B28" s="180"/>
      <c r="C28" s="180"/>
      <c r="D28" s="180"/>
      <c r="E28" s="180"/>
      <c r="F28" s="180"/>
      <c r="G28" s="180"/>
      <c r="H28" s="180"/>
      <c r="I28" s="180"/>
      <c r="J28" s="180"/>
      <c r="K28" s="180"/>
      <c r="L28" s="180"/>
      <c r="M28" s="180"/>
    </row>
    <row r="29" spans="1:13" x14ac:dyDescent="0.25">
      <c r="A29" s="1"/>
      <c r="B29" s="1"/>
      <c r="C29" s="1"/>
      <c r="D29" s="1"/>
      <c r="E29" s="19"/>
      <c r="F29" s="19"/>
      <c r="G29" s="19"/>
      <c r="H29" s="20"/>
      <c r="I29" s="21"/>
      <c r="J29" s="21"/>
      <c r="K29" s="21"/>
      <c r="L29" s="21"/>
      <c r="M29" s="1"/>
    </row>
    <row r="30" spans="1:13" ht="37.9" customHeight="1" x14ac:dyDescent="0.25">
      <c r="A30" s="2" t="s">
        <v>7</v>
      </c>
      <c r="B30" s="2" t="s">
        <v>8</v>
      </c>
      <c r="C30" s="2" t="s">
        <v>9</v>
      </c>
      <c r="D30" s="9" t="s">
        <v>31</v>
      </c>
      <c r="E30" s="2" t="s">
        <v>10</v>
      </c>
      <c r="F30" s="2" t="s">
        <v>11</v>
      </c>
      <c r="G30" s="2" t="s">
        <v>12</v>
      </c>
      <c r="H30" s="22" t="s">
        <v>13</v>
      </c>
      <c r="I30" s="23" t="s">
        <v>14</v>
      </c>
      <c r="J30" s="22" t="s">
        <v>15</v>
      </c>
      <c r="K30" s="22" t="s">
        <v>90</v>
      </c>
      <c r="L30" s="23" t="s">
        <v>16</v>
      </c>
      <c r="M30" s="9" t="s">
        <v>20</v>
      </c>
    </row>
    <row r="31" spans="1:13" ht="150.6" customHeight="1" x14ac:dyDescent="0.25">
      <c r="A31" s="3">
        <v>1</v>
      </c>
      <c r="B31" s="64">
        <v>3</v>
      </c>
      <c r="C31" s="65">
        <v>45661</v>
      </c>
      <c r="D31" s="67" t="s">
        <v>32</v>
      </c>
      <c r="E31" s="64" t="s">
        <v>33</v>
      </c>
      <c r="F31" s="64" t="s">
        <v>37</v>
      </c>
      <c r="G31" s="27" t="s">
        <v>38</v>
      </c>
      <c r="H31" s="61">
        <v>400000</v>
      </c>
      <c r="I31" s="62"/>
      <c r="J31" s="61"/>
      <c r="K31" s="61"/>
      <c r="L31" s="63">
        <f t="shared" ref="L31:L36" si="0">H31+J31</f>
        <v>400000</v>
      </c>
      <c r="M31" s="27" t="s">
        <v>39</v>
      </c>
    </row>
    <row r="32" spans="1:13" ht="136.9" customHeight="1" x14ac:dyDescent="0.25">
      <c r="A32" s="3">
        <v>2</v>
      </c>
      <c r="B32" s="64">
        <v>4</v>
      </c>
      <c r="C32" s="65">
        <v>45661</v>
      </c>
      <c r="D32" s="67" t="s">
        <v>35</v>
      </c>
      <c r="E32" s="64" t="s">
        <v>36</v>
      </c>
      <c r="F32" s="64" t="s">
        <v>40</v>
      </c>
      <c r="G32" s="27" t="s">
        <v>41</v>
      </c>
      <c r="H32" s="61">
        <v>200000</v>
      </c>
      <c r="I32" s="62"/>
      <c r="J32" s="61"/>
      <c r="K32" s="61"/>
      <c r="L32" s="63">
        <f t="shared" si="0"/>
        <v>200000</v>
      </c>
      <c r="M32" s="27" t="s">
        <v>42</v>
      </c>
    </row>
    <row r="33" spans="1:13" ht="114" customHeight="1" x14ac:dyDescent="0.25">
      <c r="A33" s="3">
        <v>3</v>
      </c>
      <c r="B33" s="64">
        <v>5</v>
      </c>
      <c r="C33" s="65">
        <v>45661</v>
      </c>
      <c r="D33" s="67" t="s">
        <v>44</v>
      </c>
      <c r="E33" s="64" t="s">
        <v>45</v>
      </c>
      <c r="F33" s="64" t="s">
        <v>40</v>
      </c>
      <c r="G33" s="27" t="s">
        <v>43</v>
      </c>
      <c r="H33" s="61">
        <v>200000</v>
      </c>
      <c r="I33" s="62"/>
      <c r="J33" s="61"/>
      <c r="K33" s="61"/>
      <c r="L33" s="63">
        <f t="shared" si="0"/>
        <v>200000</v>
      </c>
      <c r="M33" s="27" t="s">
        <v>42</v>
      </c>
    </row>
    <row r="34" spans="1:13" ht="115.9" customHeight="1" x14ac:dyDescent="0.25">
      <c r="A34" s="3">
        <v>4</v>
      </c>
      <c r="B34" s="64">
        <v>6</v>
      </c>
      <c r="C34" s="65">
        <v>45661</v>
      </c>
      <c r="D34" s="67" t="s">
        <v>47</v>
      </c>
      <c r="E34" s="64" t="s">
        <v>46</v>
      </c>
      <c r="F34" s="64" t="s">
        <v>40</v>
      </c>
      <c r="G34" s="27" t="s">
        <v>48</v>
      </c>
      <c r="H34" s="61">
        <v>200000</v>
      </c>
      <c r="I34" s="62"/>
      <c r="J34" s="61"/>
      <c r="K34" s="61"/>
      <c r="L34" s="63">
        <f t="shared" si="0"/>
        <v>200000</v>
      </c>
      <c r="M34" s="27" t="s">
        <v>42</v>
      </c>
    </row>
    <row r="35" spans="1:13" ht="102" customHeight="1" x14ac:dyDescent="0.25">
      <c r="A35" s="3">
        <v>5</v>
      </c>
      <c r="B35" s="64">
        <v>7</v>
      </c>
      <c r="C35" s="65">
        <v>45661</v>
      </c>
      <c r="D35" s="67" t="s">
        <v>49</v>
      </c>
      <c r="E35" s="64" t="s">
        <v>50</v>
      </c>
      <c r="F35" s="64" t="s">
        <v>51</v>
      </c>
      <c r="G35" s="27" t="s">
        <v>52</v>
      </c>
      <c r="H35" s="61">
        <v>300000</v>
      </c>
      <c r="I35" s="62"/>
      <c r="J35" s="61"/>
      <c r="K35" s="61"/>
      <c r="L35" s="63">
        <f t="shared" si="0"/>
        <v>300000</v>
      </c>
      <c r="M35" s="27" t="s">
        <v>53</v>
      </c>
    </row>
    <row r="36" spans="1:13" ht="117" customHeight="1" x14ac:dyDescent="0.25">
      <c r="A36" s="3">
        <v>6</v>
      </c>
      <c r="B36" s="64">
        <v>115</v>
      </c>
      <c r="C36" s="65">
        <v>45709</v>
      </c>
      <c r="D36" s="67" t="s">
        <v>130</v>
      </c>
      <c r="E36" s="64" t="s">
        <v>131</v>
      </c>
      <c r="F36" s="64" t="s">
        <v>132</v>
      </c>
      <c r="G36" s="27" t="s">
        <v>133</v>
      </c>
      <c r="H36" s="61"/>
      <c r="I36" s="62"/>
      <c r="J36" s="61"/>
      <c r="K36" s="61"/>
      <c r="L36" s="63">
        <f t="shared" si="0"/>
        <v>0</v>
      </c>
      <c r="M36" s="27" t="s">
        <v>129</v>
      </c>
    </row>
    <row r="37" spans="1:13" ht="42" hidden="1" customHeight="1" x14ac:dyDescent="0.25">
      <c r="A37" s="3"/>
      <c r="B37" s="64"/>
      <c r="C37" s="65"/>
      <c r="D37" s="67"/>
      <c r="E37" s="64"/>
      <c r="F37" s="64"/>
      <c r="G37" s="27"/>
      <c r="H37" s="61"/>
      <c r="I37" s="62"/>
      <c r="J37" s="61"/>
      <c r="K37" s="61"/>
      <c r="L37" s="63"/>
      <c r="M37" s="27"/>
    </row>
    <row r="38" spans="1:13" ht="42" hidden="1" customHeight="1" x14ac:dyDescent="0.25">
      <c r="A38" s="3"/>
      <c r="B38" s="64"/>
      <c r="C38" s="65"/>
      <c r="D38" s="67"/>
      <c r="E38" s="64"/>
      <c r="F38" s="64"/>
      <c r="G38" s="27"/>
      <c r="H38" s="61"/>
      <c r="I38" s="62"/>
      <c r="J38" s="61"/>
      <c r="K38" s="61"/>
      <c r="L38" s="63"/>
      <c r="M38" s="27"/>
    </row>
    <row r="39" spans="1:13" ht="42" hidden="1" customHeight="1" x14ac:dyDescent="0.25">
      <c r="A39" s="3"/>
      <c r="B39" s="64"/>
      <c r="C39" s="65"/>
      <c r="D39" s="67"/>
      <c r="E39" s="64"/>
      <c r="F39" s="64"/>
      <c r="G39" s="27"/>
      <c r="H39" s="61"/>
      <c r="I39" s="62"/>
      <c r="J39" s="61"/>
      <c r="K39" s="61"/>
      <c r="L39" s="63"/>
      <c r="M39" s="27"/>
    </row>
    <row r="40" spans="1:13" ht="42" hidden="1" customHeight="1" x14ac:dyDescent="0.25">
      <c r="A40" s="3"/>
      <c r="B40" s="64"/>
      <c r="C40" s="65"/>
      <c r="D40" s="67"/>
      <c r="E40" s="64"/>
      <c r="F40" s="64"/>
      <c r="G40" s="27"/>
      <c r="H40" s="61"/>
      <c r="I40" s="62"/>
      <c r="J40" s="61"/>
      <c r="K40" s="61"/>
      <c r="L40" s="63"/>
      <c r="M40" s="27"/>
    </row>
    <row r="41" spans="1:13" ht="42" hidden="1" customHeight="1" x14ac:dyDescent="0.25">
      <c r="A41" s="3"/>
      <c r="B41" s="64"/>
      <c r="C41" s="65"/>
      <c r="D41" s="67"/>
      <c r="E41" s="64"/>
      <c r="F41" s="64"/>
      <c r="G41" s="27"/>
      <c r="H41" s="61"/>
      <c r="I41" s="62"/>
      <c r="J41" s="61"/>
      <c r="K41" s="61"/>
      <c r="L41" s="63"/>
      <c r="M41" s="27"/>
    </row>
    <row r="42" spans="1:13" ht="42" hidden="1" customHeight="1" x14ac:dyDescent="0.25">
      <c r="A42" s="3"/>
      <c r="B42" s="64"/>
      <c r="C42" s="65"/>
      <c r="D42" s="67"/>
      <c r="E42" s="64"/>
      <c r="F42" s="64"/>
      <c r="G42" s="27"/>
      <c r="H42" s="61"/>
      <c r="I42" s="62"/>
      <c r="J42" s="61"/>
      <c r="K42" s="61"/>
      <c r="L42" s="63"/>
      <c r="M42" s="27"/>
    </row>
    <row r="43" spans="1:13" ht="42" hidden="1" customHeight="1" x14ac:dyDescent="0.25">
      <c r="A43" s="3"/>
      <c r="B43" s="64"/>
      <c r="C43" s="65"/>
      <c r="D43" s="67"/>
      <c r="E43" s="64"/>
      <c r="F43" s="64"/>
      <c r="G43" s="27"/>
      <c r="H43" s="61"/>
      <c r="I43" s="62"/>
      <c r="J43" s="61"/>
      <c r="K43" s="61"/>
      <c r="L43" s="63"/>
      <c r="M43" s="27"/>
    </row>
    <row r="44" spans="1:13" ht="42" hidden="1" customHeight="1" x14ac:dyDescent="0.25">
      <c r="A44" s="3"/>
      <c r="B44" s="64"/>
      <c r="C44" s="65"/>
      <c r="D44" s="67"/>
      <c r="E44" s="64"/>
      <c r="F44" s="64"/>
      <c r="G44" s="27"/>
      <c r="H44" s="61"/>
      <c r="I44" s="62"/>
      <c r="J44" s="61"/>
      <c r="K44" s="61"/>
      <c r="L44" s="63"/>
      <c r="M44" s="27"/>
    </row>
    <row r="45" spans="1:13" ht="24" customHeight="1" x14ac:dyDescent="0.25">
      <c r="A45" s="181" t="s">
        <v>30</v>
      </c>
      <c r="B45" s="182"/>
      <c r="C45" s="182"/>
      <c r="D45" s="182"/>
      <c r="E45" s="182"/>
      <c r="F45" s="182"/>
      <c r="G45" s="183"/>
      <c r="H45" s="24">
        <f>SUM(H31:H44)</f>
        <v>1300000</v>
      </c>
      <c r="I45" s="24"/>
      <c r="J45" s="24">
        <f>SUM(J31:J44)</f>
        <v>0</v>
      </c>
      <c r="K45" s="24"/>
      <c r="L45" s="24">
        <f>SUM(L31:L44)</f>
        <v>1300000</v>
      </c>
      <c r="M45" s="75"/>
    </row>
    <row r="46" spans="1:13" x14ac:dyDescent="0.25">
      <c r="A46" s="184" t="s">
        <v>18</v>
      </c>
      <c r="B46" s="184"/>
      <c r="C46" s="184"/>
      <c r="D46" s="90"/>
      <c r="E46" s="10" t="e">
        <f ca="1">[2]!vnd(L45)</f>
        <v>#NAME?</v>
      </c>
      <c r="G46" s="90"/>
    </row>
    <row r="48" spans="1:13" x14ac:dyDescent="0.25">
      <c r="A48" s="86"/>
      <c r="B48" s="175" t="s">
        <v>34</v>
      </c>
      <c r="C48" s="175"/>
      <c r="D48" s="175"/>
      <c r="E48" s="175"/>
      <c r="F48" s="74"/>
      <c r="G48" s="74"/>
      <c r="H48" s="14"/>
      <c r="I48" s="14"/>
      <c r="J48" s="175" t="s">
        <v>4</v>
      </c>
      <c r="K48" s="175"/>
      <c r="L48" s="175"/>
      <c r="M48" s="175"/>
    </row>
    <row r="52" spans="1:13" x14ac:dyDescent="0.25">
      <c r="B52" s="176" t="s">
        <v>64</v>
      </c>
      <c r="C52" s="176"/>
      <c r="D52" s="176"/>
      <c r="E52" s="176"/>
      <c r="G52" s="15"/>
      <c r="J52" s="176" t="s">
        <v>3</v>
      </c>
      <c r="K52" s="176"/>
      <c r="L52" s="176"/>
      <c r="M52" s="176"/>
    </row>
    <row r="60" spans="1:13" ht="19.149999999999999" customHeight="1" x14ac:dyDescent="0.25">
      <c r="A60" s="177" t="s">
        <v>0</v>
      </c>
      <c r="B60" s="177"/>
      <c r="C60" s="177"/>
      <c r="D60" s="177"/>
      <c r="E60" s="177"/>
      <c r="F60" s="177"/>
      <c r="G60" s="178" t="s">
        <v>1</v>
      </c>
      <c r="H60" s="178"/>
      <c r="I60" s="178"/>
      <c r="J60" s="178"/>
      <c r="K60" s="178"/>
      <c r="L60" s="178"/>
      <c r="M60" s="178"/>
    </row>
    <row r="61" spans="1:13" ht="19.149999999999999" customHeight="1" x14ac:dyDescent="0.25">
      <c r="A61" s="177" t="s">
        <v>22</v>
      </c>
      <c r="B61" s="177"/>
      <c r="C61" s="177"/>
      <c r="D61" s="177"/>
      <c r="E61" s="177"/>
      <c r="F61" s="177"/>
      <c r="G61" s="178" t="s">
        <v>2</v>
      </c>
      <c r="H61" s="178"/>
      <c r="I61" s="178"/>
      <c r="J61" s="178"/>
      <c r="K61" s="178"/>
      <c r="L61" s="178"/>
      <c r="M61" s="178"/>
    </row>
    <row r="62" spans="1:13" ht="30.6" customHeight="1" x14ac:dyDescent="0.25">
      <c r="A62" s="25"/>
      <c r="B62" s="26"/>
      <c r="C62" s="25"/>
      <c r="D62" s="25"/>
      <c r="E62" s="26"/>
      <c r="F62" s="26"/>
      <c r="G62" s="179" t="s">
        <v>95</v>
      </c>
      <c r="H62" s="179"/>
      <c r="I62" s="179"/>
      <c r="J62" s="179"/>
      <c r="K62" s="179"/>
      <c r="L62" s="179"/>
      <c r="M62" s="179"/>
    </row>
    <row r="63" spans="1:13" ht="18.75" x14ac:dyDescent="0.25">
      <c r="A63" s="180" t="s">
        <v>94</v>
      </c>
      <c r="B63" s="180"/>
      <c r="C63" s="180"/>
      <c r="D63" s="180"/>
      <c r="E63" s="180"/>
      <c r="F63" s="180"/>
      <c r="G63" s="180"/>
      <c r="H63" s="180"/>
      <c r="I63" s="180"/>
      <c r="J63" s="180"/>
      <c r="K63" s="180"/>
      <c r="L63" s="180"/>
      <c r="M63" s="180"/>
    </row>
    <row r="64" spans="1:13" x14ac:dyDescent="0.25">
      <c r="A64" s="1"/>
      <c r="B64" s="1"/>
      <c r="C64" s="1"/>
      <c r="D64" s="1"/>
      <c r="E64" s="19"/>
      <c r="F64" s="19"/>
      <c r="G64" s="19"/>
      <c r="H64" s="20"/>
      <c r="I64" s="21"/>
      <c r="J64" s="21"/>
      <c r="K64" s="21"/>
      <c r="L64" s="21"/>
      <c r="M64" s="1"/>
    </row>
    <row r="65" spans="1:13" ht="37.9" customHeight="1" x14ac:dyDescent="0.25">
      <c r="A65" s="2" t="s">
        <v>7</v>
      </c>
      <c r="B65" s="2" t="s">
        <v>8</v>
      </c>
      <c r="C65" s="2" t="s">
        <v>9</v>
      </c>
      <c r="D65" s="9" t="s">
        <v>31</v>
      </c>
      <c r="E65" s="2" t="s">
        <v>10</v>
      </c>
      <c r="F65" s="2" t="s">
        <v>11</v>
      </c>
      <c r="G65" s="2" t="s">
        <v>12</v>
      </c>
      <c r="H65" s="22" t="s">
        <v>13</v>
      </c>
      <c r="I65" s="23" t="s">
        <v>14</v>
      </c>
      <c r="J65" s="22" t="s">
        <v>15</v>
      </c>
      <c r="K65" s="22" t="s">
        <v>90</v>
      </c>
      <c r="L65" s="23" t="s">
        <v>16</v>
      </c>
      <c r="M65" s="9" t="s">
        <v>20</v>
      </c>
    </row>
    <row r="66" spans="1:13" ht="150.6" customHeight="1" x14ac:dyDescent="0.25">
      <c r="A66" s="3">
        <v>1</v>
      </c>
      <c r="B66" s="64">
        <v>3</v>
      </c>
      <c r="C66" s="65">
        <v>45661</v>
      </c>
      <c r="D66" s="67" t="s">
        <v>32</v>
      </c>
      <c r="E66" s="64" t="s">
        <v>33</v>
      </c>
      <c r="F66" s="64" t="s">
        <v>37</v>
      </c>
      <c r="G66" s="27" t="s">
        <v>38</v>
      </c>
      <c r="H66" s="61">
        <v>400000</v>
      </c>
      <c r="I66" s="62"/>
      <c r="J66" s="61"/>
      <c r="K66" s="61"/>
      <c r="L66" s="63">
        <f t="shared" ref="L66:L80" si="1">H66+J66</f>
        <v>400000</v>
      </c>
      <c r="M66" s="27" t="s">
        <v>39</v>
      </c>
    </row>
    <row r="67" spans="1:13" ht="124.15" customHeight="1" x14ac:dyDescent="0.25">
      <c r="A67" s="3">
        <v>2</v>
      </c>
      <c r="B67" s="64">
        <v>4</v>
      </c>
      <c r="C67" s="65">
        <v>45661</v>
      </c>
      <c r="D67" s="67" t="s">
        <v>35</v>
      </c>
      <c r="E67" s="64" t="s">
        <v>36</v>
      </c>
      <c r="F67" s="64" t="s">
        <v>40</v>
      </c>
      <c r="G67" s="27" t="s">
        <v>41</v>
      </c>
      <c r="H67" s="61">
        <v>200000</v>
      </c>
      <c r="I67" s="62"/>
      <c r="J67" s="61"/>
      <c r="K67" s="61"/>
      <c r="L67" s="63">
        <f t="shared" si="1"/>
        <v>200000</v>
      </c>
      <c r="M67" s="27" t="s">
        <v>42</v>
      </c>
    </row>
    <row r="68" spans="1:13" ht="111.6" customHeight="1" x14ac:dyDescent="0.25">
      <c r="A68" s="3">
        <v>3</v>
      </c>
      <c r="B68" s="64">
        <v>5</v>
      </c>
      <c r="C68" s="65">
        <v>45661</v>
      </c>
      <c r="D68" s="67" t="s">
        <v>44</v>
      </c>
      <c r="E68" s="64" t="s">
        <v>45</v>
      </c>
      <c r="F68" s="64" t="s">
        <v>40</v>
      </c>
      <c r="G68" s="27" t="s">
        <v>43</v>
      </c>
      <c r="H68" s="61">
        <v>200000</v>
      </c>
      <c r="I68" s="62"/>
      <c r="J68" s="61"/>
      <c r="K68" s="61"/>
      <c r="L68" s="63">
        <f t="shared" si="1"/>
        <v>200000</v>
      </c>
      <c r="M68" s="27" t="s">
        <v>42</v>
      </c>
    </row>
    <row r="69" spans="1:13" ht="108.6" customHeight="1" x14ac:dyDescent="0.25">
      <c r="A69" s="3">
        <v>4</v>
      </c>
      <c r="B69" s="64">
        <v>6</v>
      </c>
      <c r="C69" s="65">
        <v>45661</v>
      </c>
      <c r="D69" s="67" t="s">
        <v>47</v>
      </c>
      <c r="E69" s="64" t="s">
        <v>46</v>
      </c>
      <c r="F69" s="64" t="s">
        <v>40</v>
      </c>
      <c r="G69" s="27" t="s">
        <v>48</v>
      </c>
      <c r="H69" s="61">
        <v>200000</v>
      </c>
      <c r="I69" s="62"/>
      <c r="J69" s="61"/>
      <c r="K69" s="61"/>
      <c r="L69" s="63">
        <f t="shared" si="1"/>
        <v>200000</v>
      </c>
      <c r="M69" s="27" t="s">
        <v>42</v>
      </c>
    </row>
    <row r="70" spans="1:13" ht="102" customHeight="1" x14ac:dyDescent="0.25">
      <c r="A70" s="3">
        <v>5</v>
      </c>
      <c r="B70" s="64">
        <v>7</v>
      </c>
      <c r="C70" s="65">
        <v>45661</v>
      </c>
      <c r="D70" s="67" t="s">
        <v>49</v>
      </c>
      <c r="E70" s="64" t="s">
        <v>50</v>
      </c>
      <c r="F70" s="64" t="s">
        <v>51</v>
      </c>
      <c r="G70" s="27" t="s">
        <v>52</v>
      </c>
      <c r="H70" s="61">
        <v>300000</v>
      </c>
      <c r="I70" s="62"/>
      <c r="J70" s="61"/>
      <c r="K70" s="61"/>
      <c r="L70" s="63">
        <f t="shared" si="1"/>
        <v>300000</v>
      </c>
      <c r="M70" s="27" t="s">
        <v>53</v>
      </c>
    </row>
    <row r="71" spans="1:13" ht="96" customHeight="1" x14ac:dyDescent="0.25">
      <c r="A71" s="3">
        <v>6</v>
      </c>
      <c r="B71" s="64">
        <v>96</v>
      </c>
      <c r="C71" s="65">
        <v>46009</v>
      </c>
      <c r="D71" s="67" t="s">
        <v>91</v>
      </c>
      <c r="E71" s="64" t="s">
        <v>92</v>
      </c>
      <c r="F71" s="64" t="s">
        <v>99</v>
      </c>
      <c r="G71" s="27" t="s">
        <v>93</v>
      </c>
      <c r="H71" s="61">
        <v>500000</v>
      </c>
      <c r="I71" s="62"/>
      <c r="J71" s="61">
        <v>600000</v>
      </c>
      <c r="K71" s="61">
        <v>20</v>
      </c>
      <c r="L71" s="63">
        <f t="shared" si="1"/>
        <v>1100000</v>
      </c>
      <c r="M71" s="27"/>
    </row>
    <row r="72" spans="1:13" ht="82.9" customHeight="1" x14ac:dyDescent="0.25">
      <c r="A72" s="3">
        <v>7</v>
      </c>
      <c r="B72" s="64">
        <v>99</v>
      </c>
      <c r="C72" s="65">
        <v>45706</v>
      </c>
      <c r="D72" s="67" t="s">
        <v>97</v>
      </c>
      <c r="E72" s="64" t="s">
        <v>98</v>
      </c>
      <c r="F72" s="64" t="s">
        <v>100</v>
      </c>
      <c r="G72" s="27" t="s">
        <v>101</v>
      </c>
      <c r="H72" s="61"/>
      <c r="I72" s="62"/>
      <c r="J72" s="61">
        <f>3600000/3</f>
        <v>1200000</v>
      </c>
      <c r="K72" s="61">
        <v>18</v>
      </c>
      <c r="L72" s="63">
        <f t="shared" si="1"/>
        <v>1200000</v>
      </c>
      <c r="M72" s="27" t="s">
        <v>102</v>
      </c>
    </row>
    <row r="73" spans="1:13" ht="129.75" customHeight="1" x14ac:dyDescent="0.25">
      <c r="A73" s="3">
        <v>8</v>
      </c>
      <c r="B73" s="64">
        <v>168</v>
      </c>
      <c r="C73" s="65">
        <v>45720</v>
      </c>
      <c r="D73" s="67" t="s">
        <v>198</v>
      </c>
      <c r="E73" s="64" t="s">
        <v>150</v>
      </c>
      <c r="F73" s="64" t="s">
        <v>151</v>
      </c>
      <c r="G73" s="27" t="s">
        <v>152</v>
      </c>
      <c r="H73" s="61"/>
      <c r="I73" s="62"/>
      <c r="J73" s="61"/>
      <c r="K73" s="61">
        <v>2</v>
      </c>
      <c r="L73" s="63">
        <f t="shared" si="1"/>
        <v>0</v>
      </c>
      <c r="M73" s="112"/>
    </row>
    <row r="74" spans="1:13" ht="99.6" customHeight="1" x14ac:dyDescent="0.25">
      <c r="A74" s="3">
        <v>9</v>
      </c>
      <c r="B74" s="64">
        <v>169</v>
      </c>
      <c r="C74" s="65">
        <v>45720</v>
      </c>
      <c r="D74" s="67" t="s">
        <v>199</v>
      </c>
      <c r="E74" s="64" t="s">
        <v>137</v>
      </c>
      <c r="F74" s="64" t="s">
        <v>138</v>
      </c>
      <c r="G74" s="27" t="s">
        <v>139</v>
      </c>
      <c r="H74" s="61">
        <v>500000</v>
      </c>
      <c r="I74" s="62"/>
      <c r="J74" s="61"/>
      <c r="K74" s="61">
        <v>5</v>
      </c>
      <c r="L74" s="63">
        <f t="shared" si="1"/>
        <v>500000</v>
      </c>
      <c r="M74" s="89"/>
    </row>
    <row r="75" spans="1:13" ht="127.15" customHeight="1" x14ac:dyDescent="0.25">
      <c r="A75" s="3">
        <v>10</v>
      </c>
      <c r="B75" s="64">
        <v>170</v>
      </c>
      <c r="C75" s="65">
        <v>45720</v>
      </c>
      <c r="D75" s="67" t="s">
        <v>200</v>
      </c>
      <c r="E75" s="64" t="s">
        <v>153</v>
      </c>
      <c r="F75" s="64" t="s">
        <v>154</v>
      </c>
      <c r="G75" s="27" t="s">
        <v>155</v>
      </c>
      <c r="H75" s="61"/>
      <c r="I75" s="62"/>
      <c r="J75" s="61"/>
      <c r="K75" s="61">
        <v>3</v>
      </c>
      <c r="L75" s="63">
        <f t="shared" si="1"/>
        <v>0</v>
      </c>
      <c r="M75" s="89"/>
    </row>
    <row r="76" spans="1:13" ht="72.599999999999994" customHeight="1" x14ac:dyDescent="0.25">
      <c r="A76" s="3">
        <v>11</v>
      </c>
      <c r="B76" s="64">
        <v>177</v>
      </c>
      <c r="C76" s="67">
        <v>45721</v>
      </c>
      <c r="D76" s="67" t="s">
        <v>204</v>
      </c>
      <c r="E76" s="64" t="s">
        <v>161</v>
      </c>
      <c r="F76" s="27" t="s">
        <v>162</v>
      </c>
      <c r="G76" s="71" t="s">
        <v>163</v>
      </c>
      <c r="H76" s="68"/>
      <c r="I76" s="69"/>
      <c r="J76" s="68"/>
      <c r="K76" s="68">
        <v>30</v>
      </c>
      <c r="L76" s="70">
        <f t="shared" si="1"/>
        <v>0</v>
      </c>
      <c r="M76" s="89"/>
    </row>
    <row r="77" spans="1:13" ht="114" customHeight="1" x14ac:dyDescent="0.25">
      <c r="A77" s="3">
        <v>12</v>
      </c>
      <c r="B77" s="64">
        <v>184</v>
      </c>
      <c r="C77" s="65">
        <v>45722</v>
      </c>
      <c r="D77" s="67" t="s">
        <v>68</v>
      </c>
      <c r="E77" s="64" t="s">
        <v>69</v>
      </c>
      <c r="F77" s="64" t="s">
        <v>164</v>
      </c>
      <c r="G77" s="27" t="s">
        <v>165</v>
      </c>
      <c r="H77" s="61"/>
      <c r="I77" s="62"/>
      <c r="J77" s="61"/>
      <c r="K77" s="61">
        <v>15</v>
      </c>
      <c r="L77" s="63">
        <f t="shared" si="1"/>
        <v>0</v>
      </c>
      <c r="M77" s="89"/>
    </row>
    <row r="78" spans="1:13" ht="96.6" customHeight="1" x14ac:dyDescent="0.25">
      <c r="A78" s="3">
        <v>13</v>
      </c>
      <c r="B78" s="64">
        <v>201</v>
      </c>
      <c r="C78" s="65">
        <v>45728</v>
      </c>
      <c r="D78" s="67" t="s">
        <v>201</v>
      </c>
      <c r="E78" s="64" t="s">
        <v>171</v>
      </c>
      <c r="F78" s="64" t="s">
        <v>172</v>
      </c>
      <c r="G78" s="27" t="s">
        <v>173</v>
      </c>
      <c r="H78" s="61"/>
      <c r="I78" s="62"/>
      <c r="J78" s="61"/>
      <c r="K78" s="61">
        <v>3</v>
      </c>
      <c r="L78" s="63">
        <f t="shared" si="1"/>
        <v>0</v>
      </c>
      <c r="M78" s="89"/>
    </row>
    <row r="79" spans="1:13" ht="142.5" customHeight="1" x14ac:dyDescent="0.25">
      <c r="A79" s="3">
        <v>14</v>
      </c>
      <c r="B79" s="64">
        <v>202</v>
      </c>
      <c r="C79" s="65">
        <v>45728</v>
      </c>
      <c r="D79" s="67" t="s">
        <v>202</v>
      </c>
      <c r="E79" s="64" t="s">
        <v>147</v>
      </c>
      <c r="F79" s="64" t="s">
        <v>148</v>
      </c>
      <c r="G79" s="27" t="s">
        <v>149</v>
      </c>
      <c r="H79" s="61">
        <v>500000</v>
      </c>
      <c r="I79" s="62"/>
      <c r="J79" s="61"/>
      <c r="K79" s="61">
        <v>15</v>
      </c>
      <c r="L79" s="63">
        <f t="shared" si="1"/>
        <v>500000</v>
      </c>
      <c r="M79" s="89"/>
    </row>
    <row r="80" spans="1:13" ht="88.5" customHeight="1" x14ac:dyDescent="0.25">
      <c r="A80" s="3">
        <v>15</v>
      </c>
      <c r="B80" s="64">
        <v>210</v>
      </c>
      <c r="C80" s="65">
        <v>45731</v>
      </c>
      <c r="D80" s="67"/>
      <c r="E80" s="64" t="s">
        <v>174</v>
      </c>
      <c r="F80" s="64" t="s">
        <v>176</v>
      </c>
      <c r="G80" s="27" t="s">
        <v>175</v>
      </c>
      <c r="H80" s="61"/>
      <c r="I80" s="62"/>
      <c r="J80" s="61">
        <v>1010000</v>
      </c>
      <c r="K80" s="61"/>
      <c r="L80" s="63">
        <f t="shared" si="1"/>
        <v>1010000</v>
      </c>
      <c r="M80" s="66" t="s">
        <v>248</v>
      </c>
    </row>
    <row r="81" spans="1:13" ht="24" customHeight="1" x14ac:dyDescent="0.25">
      <c r="A81" s="181" t="s">
        <v>30</v>
      </c>
      <c r="B81" s="182"/>
      <c r="C81" s="182"/>
      <c r="D81" s="182"/>
      <c r="E81" s="182"/>
      <c r="F81" s="182"/>
      <c r="G81" s="183"/>
      <c r="H81" s="24">
        <f>SUM(H66:H80)</f>
        <v>2800000</v>
      </c>
      <c r="I81" s="24"/>
      <c r="J81" s="24">
        <f>SUM(J66:J80)</f>
        <v>2810000</v>
      </c>
      <c r="K81" s="24"/>
      <c r="L81" s="24">
        <f>SUM(L66:L80)</f>
        <v>5610000</v>
      </c>
      <c r="M81" s="75"/>
    </row>
    <row r="82" spans="1:13" x14ac:dyDescent="0.25">
      <c r="A82" s="184" t="s">
        <v>18</v>
      </c>
      <c r="B82" s="184"/>
      <c r="C82" s="184"/>
      <c r="D82" s="90"/>
      <c r="E82" s="10" t="e">
        <f ca="1">[2]!vnd(L81)</f>
        <v>#NAME?</v>
      </c>
      <c r="G82" s="90"/>
    </row>
    <row r="84" spans="1:13" x14ac:dyDescent="0.25">
      <c r="A84" s="86"/>
      <c r="B84" s="175" t="s">
        <v>34</v>
      </c>
      <c r="C84" s="175"/>
      <c r="D84" s="175"/>
      <c r="E84" s="175"/>
      <c r="F84" s="74"/>
      <c r="G84" s="74"/>
      <c r="H84" s="14"/>
      <c r="I84" s="14"/>
      <c r="J84" s="175" t="s">
        <v>4</v>
      </c>
      <c r="K84" s="175"/>
      <c r="L84" s="175"/>
      <c r="M84" s="175"/>
    </row>
    <row r="88" spans="1:13" x14ac:dyDescent="0.25">
      <c r="B88" s="176" t="s">
        <v>64</v>
      </c>
      <c r="C88" s="176"/>
      <c r="D88" s="176"/>
      <c r="E88" s="176"/>
      <c r="G88" s="15"/>
      <c r="J88" s="176" t="s">
        <v>197</v>
      </c>
      <c r="K88" s="176"/>
      <c r="L88" s="176"/>
      <c r="M88" s="176"/>
    </row>
    <row r="92" spans="1:13" x14ac:dyDescent="0.25">
      <c r="A92" s="177" t="s">
        <v>0</v>
      </c>
      <c r="B92" s="177"/>
      <c r="C92" s="177"/>
      <c r="D92" s="177"/>
      <c r="E92" s="177"/>
      <c r="F92" s="177"/>
      <c r="G92" s="178" t="s">
        <v>1</v>
      </c>
      <c r="H92" s="178"/>
      <c r="I92" s="178"/>
      <c r="J92" s="178"/>
      <c r="K92" s="178"/>
      <c r="L92" s="178"/>
      <c r="M92" s="178"/>
    </row>
    <row r="93" spans="1:13" x14ac:dyDescent="0.25">
      <c r="A93" s="177" t="s">
        <v>22</v>
      </c>
      <c r="B93" s="177"/>
      <c r="C93" s="177"/>
      <c r="D93" s="177"/>
      <c r="E93" s="177"/>
      <c r="F93" s="177"/>
      <c r="G93" s="178" t="s">
        <v>2</v>
      </c>
      <c r="H93" s="178"/>
      <c r="I93" s="178"/>
      <c r="J93" s="178"/>
      <c r="K93" s="178"/>
      <c r="L93" s="178"/>
      <c r="M93" s="178"/>
    </row>
    <row r="94" spans="1:13" x14ac:dyDescent="0.25">
      <c r="A94" s="25"/>
      <c r="B94" s="26"/>
      <c r="C94" s="25"/>
      <c r="D94" s="25"/>
      <c r="E94" s="26"/>
      <c r="F94" s="26"/>
      <c r="G94" s="186" t="s">
        <v>194</v>
      </c>
      <c r="H94" s="186"/>
      <c r="I94" s="186"/>
      <c r="J94" s="186"/>
      <c r="K94" s="186"/>
      <c r="L94" s="186"/>
      <c r="M94" s="186"/>
    </row>
    <row r="95" spans="1:13" ht="18.75" x14ac:dyDescent="0.25">
      <c r="A95" s="180" t="s">
        <v>196</v>
      </c>
      <c r="B95" s="180"/>
      <c r="C95" s="180"/>
      <c r="D95" s="180"/>
      <c r="E95" s="180"/>
      <c r="F95" s="180"/>
      <c r="G95" s="180"/>
      <c r="H95" s="180"/>
      <c r="I95" s="180"/>
      <c r="J95" s="180"/>
      <c r="K95" s="180"/>
      <c r="L95" s="180"/>
      <c r="M95" s="180"/>
    </row>
    <row r="96" spans="1:13" x14ac:dyDescent="0.25">
      <c r="A96" s="1"/>
      <c r="B96" s="1"/>
      <c r="C96" s="1"/>
      <c r="D96" s="1"/>
      <c r="E96" s="19"/>
      <c r="F96" s="19"/>
      <c r="G96" s="19"/>
      <c r="H96" s="20"/>
      <c r="I96" s="21"/>
      <c r="J96" s="21"/>
      <c r="K96" s="21"/>
      <c r="L96" s="21"/>
      <c r="M96" s="1"/>
    </row>
    <row r="97" spans="1:13" ht="31.5" x14ac:dyDescent="0.25">
      <c r="A97" s="2" t="s">
        <v>7</v>
      </c>
      <c r="B97" s="2" t="s">
        <v>8</v>
      </c>
      <c r="C97" s="2" t="s">
        <v>9</v>
      </c>
      <c r="D97" s="9" t="s">
        <v>31</v>
      </c>
      <c r="E97" s="2" t="s">
        <v>10</v>
      </c>
      <c r="F97" s="2" t="s">
        <v>11</v>
      </c>
      <c r="G97" s="2" t="s">
        <v>12</v>
      </c>
      <c r="H97" s="22" t="s">
        <v>13</v>
      </c>
      <c r="I97" s="23" t="s">
        <v>14</v>
      </c>
      <c r="J97" s="22" t="s">
        <v>15</v>
      </c>
      <c r="K97" s="22" t="s">
        <v>90</v>
      </c>
      <c r="L97" s="23" t="s">
        <v>16</v>
      </c>
      <c r="M97" s="9" t="s">
        <v>20</v>
      </c>
    </row>
    <row r="98" spans="1:13" ht="110.25" x14ac:dyDescent="0.25">
      <c r="A98" s="3">
        <v>1</v>
      </c>
      <c r="B98" s="64">
        <v>3</v>
      </c>
      <c r="C98" s="65">
        <v>45661</v>
      </c>
      <c r="D98" s="67" t="s">
        <v>32</v>
      </c>
      <c r="E98" s="64" t="s">
        <v>33</v>
      </c>
      <c r="F98" s="64" t="s">
        <v>37</v>
      </c>
      <c r="G98" s="27" t="s">
        <v>38</v>
      </c>
      <c r="H98" s="61">
        <v>400000</v>
      </c>
      <c r="I98" s="62"/>
      <c r="J98" s="61"/>
      <c r="K98" s="61"/>
      <c r="L98" s="63">
        <f t="shared" ref="L98:L109" si="2">H98+J98</f>
        <v>400000</v>
      </c>
      <c r="M98" s="27" t="s">
        <v>39</v>
      </c>
    </row>
    <row r="99" spans="1:13" ht="94.5" x14ac:dyDescent="0.25">
      <c r="A99" s="3">
        <v>2</v>
      </c>
      <c r="B99" s="64">
        <v>4</v>
      </c>
      <c r="C99" s="65">
        <v>45661</v>
      </c>
      <c r="D99" s="67" t="s">
        <v>35</v>
      </c>
      <c r="E99" s="64" t="s">
        <v>36</v>
      </c>
      <c r="F99" s="64" t="s">
        <v>40</v>
      </c>
      <c r="G99" s="27" t="s">
        <v>41</v>
      </c>
      <c r="H99" s="61">
        <v>200000</v>
      </c>
      <c r="I99" s="62"/>
      <c r="J99" s="61"/>
      <c r="K99" s="61"/>
      <c r="L99" s="63">
        <f t="shared" si="2"/>
        <v>200000</v>
      </c>
      <c r="M99" s="27" t="s">
        <v>42</v>
      </c>
    </row>
    <row r="100" spans="1:13" ht="94.5" x14ac:dyDescent="0.25">
      <c r="A100" s="3">
        <v>3</v>
      </c>
      <c r="B100" s="64">
        <v>5</v>
      </c>
      <c r="C100" s="65">
        <v>45661</v>
      </c>
      <c r="D100" s="67" t="s">
        <v>44</v>
      </c>
      <c r="E100" s="64" t="s">
        <v>45</v>
      </c>
      <c r="F100" s="64" t="s">
        <v>40</v>
      </c>
      <c r="G100" s="27" t="s">
        <v>43</v>
      </c>
      <c r="H100" s="61">
        <v>200000</v>
      </c>
      <c r="I100" s="62"/>
      <c r="J100" s="61"/>
      <c r="K100" s="61"/>
      <c r="L100" s="63">
        <f t="shared" si="2"/>
        <v>200000</v>
      </c>
      <c r="M100" s="27" t="s">
        <v>42</v>
      </c>
    </row>
    <row r="101" spans="1:13" ht="94.5" x14ac:dyDescent="0.25">
      <c r="A101" s="3">
        <v>4</v>
      </c>
      <c r="B101" s="64">
        <v>6</v>
      </c>
      <c r="C101" s="65">
        <v>45661</v>
      </c>
      <c r="D101" s="67" t="s">
        <v>47</v>
      </c>
      <c r="E101" s="64" t="s">
        <v>46</v>
      </c>
      <c r="F101" s="64" t="s">
        <v>40</v>
      </c>
      <c r="G101" s="27" t="s">
        <v>48</v>
      </c>
      <c r="H101" s="61">
        <v>200000</v>
      </c>
      <c r="I101" s="62"/>
      <c r="J101" s="61"/>
      <c r="K101" s="61"/>
      <c r="L101" s="63">
        <f t="shared" si="2"/>
        <v>200000</v>
      </c>
      <c r="M101" s="27" t="s">
        <v>42</v>
      </c>
    </row>
    <row r="102" spans="1:13" ht="116.45" customHeight="1" x14ac:dyDescent="0.25">
      <c r="A102" s="3">
        <v>5</v>
      </c>
      <c r="B102" s="64">
        <v>7</v>
      </c>
      <c r="C102" s="65">
        <v>45661</v>
      </c>
      <c r="D102" s="67" t="s">
        <v>49</v>
      </c>
      <c r="E102" s="64" t="s">
        <v>50</v>
      </c>
      <c r="F102" s="64" t="s">
        <v>51</v>
      </c>
      <c r="G102" s="27" t="s">
        <v>52</v>
      </c>
      <c r="H102" s="61">
        <f>300000*6</f>
        <v>1800000</v>
      </c>
      <c r="I102" s="62"/>
      <c r="J102" s="61"/>
      <c r="K102" s="61"/>
      <c r="L102" s="63">
        <f t="shared" si="2"/>
        <v>1800000</v>
      </c>
      <c r="M102" s="27" t="s">
        <v>289</v>
      </c>
    </row>
    <row r="103" spans="1:13" ht="63" x14ac:dyDescent="0.25">
      <c r="A103" s="3">
        <v>6</v>
      </c>
      <c r="B103" s="64">
        <v>99</v>
      </c>
      <c r="C103" s="65">
        <v>45706</v>
      </c>
      <c r="D103" s="67" t="s">
        <v>97</v>
      </c>
      <c r="E103" s="64" t="s">
        <v>98</v>
      </c>
      <c r="F103" s="64" t="s">
        <v>100</v>
      </c>
      <c r="G103" s="27" t="s">
        <v>101</v>
      </c>
      <c r="H103" s="61"/>
      <c r="I103" s="62"/>
      <c r="J103" s="61">
        <f>3600000/3</f>
        <v>1200000</v>
      </c>
      <c r="K103" s="61"/>
      <c r="L103" s="63">
        <f t="shared" si="2"/>
        <v>1200000</v>
      </c>
      <c r="M103" s="27" t="s">
        <v>102</v>
      </c>
    </row>
    <row r="104" spans="1:13" ht="69.599999999999994" customHeight="1" x14ac:dyDescent="0.25">
      <c r="A104" s="3">
        <v>7</v>
      </c>
      <c r="B104" s="64">
        <v>334</v>
      </c>
      <c r="C104" s="65">
        <v>45772</v>
      </c>
      <c r="D104" s="67" t="s">
        <v>290</v>
      </c>
      <c r="E104" s="64" t="s">
        <v>291</v>
      </c>
      <c r="F104" s="64" t="s">
        <v>292</v>
      </c>
      <c r="G104" s="27" t="s">
        <v>293</v>
      </c>
      <c r="H104" s="61">
        <v>10000000</v>
      </c>
      <c r="I104" s="62"/>
      <c r="J104" s="61"/>
      <c r="K104" s="61">
        <v>36</v>
      </c>
      <c r="L104" s="63">
        <f t="shared" si="2"/>
        <v>10000000</v>
      </c>
      <c r="M104" s="27" t="s">
        <v>359</v>
      </c>
    </row>
    <row r="105" spans="1:13" ht="96.6" customHeight="1" x14ac:dyDescent="0.25">
      <c r="A105" s="3">
        <v>8</v>
      </c>
      <c r="B105" s="64">
        <v>333</v>
      </c>
      <c r="C105" s="65">
        <v>45772</v>
      </c>
      <c r="D105" s="67" t="s">
        <v>198</v>
      </c>
      <c r="E105" s="64" t="s">
        <v>150</v>
      </c>
      <c r="F105" s="64" t="s">
        <v>294</v>
      </c>
      <c r="G105" s="27" t="s">
        <v>295</v>
      </c>
      <c r="H105" s="61"/>
      <c r="I105" s="62"/>
      <c r="J105" s="61"/>
      <c r="K105" s="61">
        <v>3</v>
      </c>
      <c r="L105" s="63">
        <f t="shared" si="2"/>
        <v>0</v>
      </c>
      <c r="M105" s="27"/>
    </row>
    <row r="106" spans="1:13" ht="124.9" customHeight="1" x14ac:dyDescent="0.25">
      <c r="A106" s="3">
        <v>9</v>
      </c>
      <c r="B106" s="64">
        <v>330</v>
      </c>
      <c r="C106" s="65">
        <v>45771</v>
      </c>
      <c r="D106" s="67" t="s">
        <v>68</v>
      </c>
      <c r="E106" s="64" t="s">
        <v>69</v>
      </c>
      <c r="F106" s="64" t="s">
        <v>296</v>
      </c>
      <c r="G106" s="27" t="s">
        <v>297</v>
      </c>
      <c r="H106" s="61"/>
      <c r="I106" s="62"/>
      <c r="J106" s="61"/>
      <c r="K106" s="61">
        <v>5</v>
      </c>
      <c r="L106" s="63">
        <f t="shared" si="2"/>
        <v>0</v>
      </c>
      <c r="M106" s="27"/>
    </row>
    <row r="107" spans="1:13" ht="78" customHeight="1" x14ac:dyDescent="0.25">
      <c r="A107" s="3">
        <v>10</v>
      </c>
      <c r="B107" s="64">
        <v>301</v>
      </c>
      <c r="C107" s="65">
        <v>45762</v>
      </c>
      <c r="E107" s="64" t="s">
        <v>321</v>
      </c>
      <c r="F107" s="64" t="s">
        <v>176</v>
      </c>
      <c r="G107" s="27" t="s">
        <v>323</v>
      </c>
      <c r="H107" s="61"/>
      <c r="I107" s="62"/>
      <c r="J107" s="61"/>
      <c r="K107" s="61">
        <v>8</v>
      </c>
      <c r="L107" s="63">
        <f t="shared" si="2"/>
        <v>0</v>
      </c>
      <c r="M107" s="27"/>
    </row>
    <row r="108" spans="1:13" ht="72.599999999999994" customHeight="1" x14ac:dyDescent="0.25">
      <c r="A108" s="3">
        <v>11</v>
      </c>
      <c r="B108" s="64">
        <v>302</v>
      </c>
      <c r="C108" s="65">
        <v>45762</v>
      </c>
      <c r="D108" s="67" t="s">
        <v>324</v>
      </c>
      <c r="E108" s="64" t="s">
        <v>325</v>
      </c>
      <c r="F108" s="64" t="s">
        <v>176</v>
      </c>
      <c r="G108" s="27" t="s">
        <v>323</v>
      </c>
      <c r="H108" s="61"/>
      <c r="I108" s="62"/>
      <c r="J108" s="61"/>
      <c r="K108" s="61">
        <v>8</v>
      </c>
      <c r="L108" s="63">
        <f t="shared" si="2"/>
        <v>0</v>
      </c>
      <c r="M108" s="27"/>
    </row>
    <row r="109" spans="1:13" ht="72.599999999999994" customHeight="1" x14ac:dyDescent="0.25">
      <c r="A109" s="3">
        <v>12</v>
      </c>
      <c r="B109" s="64">
        <v>305</v>
      </c>
      <c r="C109" s="65">
        <v>45762</v>
      </c>
      <c r="D109" s="67" t="s">
        <v>290</v>
      </c>
      <c r="E109" s="64" t="s">
        <v>291</v>
      </c>
      <c r="F109" s="64" t="s">
        <v>292</v>
      </c>
      <c r="G109" s="27" t="s">
        <v>323</v>
      </c>
      <c r="H109" s="61"/>
      <c r="I109" s="62"/>
      <c r="J109" s="61"/>
      <c r="K109" s="61">
        <v>3</v>
      </c>
      <c r="L109" s="63">
        <f t="shared" si="2"/>
        <v>0</v>
      </c>
      <c r="M109" s="27"/>
    </row>
    <row r="110" spans="1:13" ht="124.9" hidden="1" customHeight="1" x14ac:dyDescent="0.25">
      <c r="A110" s="3">
        <v>13</v>
      </c>
      <c r="B110" s="64"/>
      <c r="C110" s="65"/>
      <c r="D110" s="67"/>
      <c r="E110" s="64"/>
      <c r="F110" s="64"/>
      <c r="G110" s="27"/>
      <c r="H110" s="61"/>
      <c r="I110" s="62"/>
      <c r="J110" s="61"/>
      <c r="K110" s="61"/>
      <c r="L110" s="63"/>
      <c r="M110" s="27"/>
    </row>
    <row r="111" spans="1:13" ht="21.75" hidden="1" customHeight="1" x14ac:dyDescent="0.25">
      <c r="A111" s="3">
        <v>14</v>
      </c>
      <c r="B111" s="64"/>
      <c r="C111" s="65"/>
      <c r="D111" s="67"/>
      <c r="E111" s="64"/>
      <c r="F111" s="64"/>
      <c r="G111" s="27"/>
      <c r="H111" s="61"/>
      <c r="I111" s="62"/>
      <c r="J111" s="61"/>
      <c r="K111" s="61"/>
      <c r="L111" s="63"/>
      <c r="M111" s="27"/>
    </row>
    <row r="112" spans="1:13" ht="21.75" hidden="1" customHeight="1" x14ac:dyDescent="0.25">
      <c r="A112" s="3">
        <v>15</v>
      </c>
      <c r="B112" s="64"/>
      <c r="C112" s="65"/>
      <c r="D112" s="67"/>
      <c r="E112" s="64"/>
      <c r="F112" s="64"/>
      <c r="G112" s="27"/>
      <c r="H112" s="61"/>
      <c r="I112" s="62"/>
      <c r="J112" s="61"/>
      <c r="K112" s="61"/>
      <c r="L112" s="63"/>
      <c r="M112" s="27"/>
    </row>
    <row r="113" spans="1:13" ht="21.75" hidden="1" customHeight="1" x14ac:dyDescent="0.25">
      <c r="A113" s="3">
        <v>16</v>
      </c>
      <c r="B113" s="64"/>
      <c r="C113" s="65"/>
      <c r="D113" s="67"/>
      <c r="E113" s="64"/>
      <c r="F113" s="64"/>
      <c r="G113" s="27"/>
      <c r="H113" s="61"/>
      <c r="I113" s="62"/>
      <c r="J113" s="61"/>
      <c r="K113" s="61"/>
      <c r="L113" s="63"/>
      <c r="M113" s="27"/>
    </row>
    <row r="114" spans="1:13" x14ac:dyDescent="0.25">
      <c r="A114" s="181" t="s">
        <v>30</v>
      </c>
      <c r="B114" s="182"/>
      <c r="C114" s="182"/>
      <c r="D114" s="182"/>
      <c r="E114" s="182"/>
      <c r="F114" s="182"/>
      <c r="G114" s="183"/>
      <c r="H114" s="24">
        <f>SUM(H98:H109)</f>
        <v>12800000</v>
      </c>
      <c r="I114" s="24"/>
      <c r="J114" s="24">
        <f>SUM(J98:J109)</f>
        <v>1200000</v>
      </c>
      <c r="K114" s="24"/>
      <c r="L114" s="24">
        <f>SUM(L98:L109)</f>
        <v>14000000</v>
      </c>
      <c r="M114" s="75"/>
    </row>
    <row r="115" spans="1:13" x14ac:dyDescent="0.25">
      <c r="A115" s="184" t="s">
        <v>18</v>
      </c>
      <c r="B115" s="184"/>
      <c r="C115" s="184"/>
      <c r="D115" s="90"/>
      <c r="E115" s="10" t="e">
        <f ca="1">[2]!vnd(L114)</f>
        <v>#NAME?</v>
      </c>
      <c r="G115" s="90"/>
    </row>
    <row r="117" spans="1:13" x14ac:dyDescent="0.25">
      <c r="A117" s="86"/>
      <c r="B117" s="175" t="s">
        <v>34</v>
      </c>
      <c r="C117" s="175"/>
      <c r="D117" s="175"/>
      <c r="E117" s="175"/>
      <c r="F117" s="74"/>
      <c r="G117" s="74"/>
      <c r="H117" s="14"/>
      <c r="I117" s="14"/>
      <c r="J117" s="175" t="s">
        <v>4</v>
      </c>
      <c r="K117" s="175"/>
      <c r="L117" s="175"/>
      <c r="M117" s="175"/>
    </row>
    <row r="120" spans="1:13" hidden="1" x14ac:dyDescent="0.25"/>
    <row r="121" spans="1:13" x14ac:dyDescent="0.25">
      <c r="B121" s="176" t="s">
        <v>64</v>
      </c>
      <c r="C121" s="176"/>
      <c r="D121" s="176"/>
      <c r="E121" s="176"/>
      <c r="G121" s="15"/>
      <c r="J121" s="176" t="s">
        <v>197</v>
      </c>
      <c r="K121" s="176"/>
      <c r="L121" s="176"/>
      <c r="M121" s="176"/>
    </row>
    <row r="125" spans="1:13" x14ac:dyDescent="0.25">
      <c r="A125" s="177" t="s">
        <v>0</v>
      </c>
      <c r="B125" s="177"/>
      <c r="C125" s="177"/>
      <c r="D125" s="177"/>
      <c r="E125" s="177"/>
      <c r="F125" s="177"/>
      <c r="G125" s="178" t="s">
        <v>1</v>
      </c>
      <c r="H125" s="178"/>
      <c r="I125" s="178"/>
      <c r="J125" s="178"/>
      <c r="K125" s="178"/>
      <c r="L125" s="178"/>
      <c r="M125" s="178"/>
    </row>
    <row r="126" spans="1:13" x14ac:dyDescent="0.25">
      <c r="A126" s="177" t="s">
        <v>22</v>
      </c>
      <c r="B126" s="177"/>
      <c r="C126" s="177"/>
      <c r="D126" s="177"/>
      <c r="E126" s="177"/>
      <c r="F126" s="177"/>
      <c r="G126" s="178" t="s">
        <v>2</v>
      </c>
      <c r="H126" s="178"/>
      <c r="I126" s="178"/>
      <c r="J126" s="178"/>
      <c r="K126" s="178"/>
      <c r="L126" s="178"/>
      <c r="M126" s="178"/>
    </row>
    <row r="127" spans="1:13" x14ac:dyDescent="0.25">
      <c r="A127" s="25"/>
      <c r="B127" s="26"/>
      <c r="C127" s="25"/>
      <c r="D127" s="25"/>
      <c r="E127" s="26"/>
      <c r="F127" s="26"/>
      <c r="G127" s="186" t="s">
        <v>479</v>
      </c>
      <c r="H127" s="186"/>
      <c r="I127" s="186"/>
      <c r="J127" s="186"/>
      <c r="K127" s="186"/>
      <c r="L127" s="186"/>
      <c r="M127" s="186"/>
    </row>
    <row r="128" spans="1:13" ht="18.75" x14ac:dyDescent="0.25">
      <c r="A128" s="180" t="s">
        <v>360</v>
      </c>
      <c r="B128" s="180"/>
      <c r="C128" s="180"/>
      <c r="D128" s="180"/>
      <c r="E128" s="180"/>
      <c r="F128" s="180"/>
      <c r="G128" s="180"/>
      <c r="H128" s="180"/>
      <c r="I128" s="180"/>
      <c r="J128" s="180"/>
      <c r="K128" s="180"/>
      <c r="L128" s="180"/>
      <c r="M128" s="180"/>
    </row>
    <row r="129" spans="1:13" x14ac:dyDescent="0.25">
      <c r="A129" s="1"/>
      <c r="B129" s="1"/>
      <c r="C129" s="1"/>
      <c r="D129" s="1"/>
      <c r="E129" s="19"/>
      <c r="F129" s="19"/>
      <c r="G129" s="19"/>
      <c r="H129" s="20"/>
      <c r="I129" s="21"/>
      <c r="J129" s="21"/>
      <c r="K129" s="21"/>
      <c r="L129" s="21"/>
      <c r="M129" s="1"/>
    </row>
    <row r="130" spans="1:13" ht="31.5" x14ac:dyDescent="0.25">
      <c r="A130" s="2" t="s">
        <v>7</v>
      </c>
      <c r="B130" s="2" t="s">
        <v>8</v>
      </c>
      <c r="C130" s="2" t="s">
        <v>9</v>
      </c>
      <c r="D130" s="9" t="s">
        <v>31</v>
      </c>
      <c r="E130" s="2" t="s">
        <v>10</v>
      </c>
      <c r="F130" s="2" t="s">
        <v>11</v>
      </c>
      <c r="G130" s="2" t="s">
        <v>12</v>
      </c>
      <c r="H130" s="22" t="s">
        <v>13</v>
      </c>
      <c r="I130" s="23" t="s">
        <v>14</v>
      </c>
      <c r="J130" s="22" t="s">
        <v>15</v>
      </c>
      <c r="K130" s="22" t="s">
        <v>90</v>
      </c>
      <c r="L130" s="23" t="s">
        <v>16</v>
      </c>
      <c r="M130" s="9" t="s">
        <v>20</v>
      </c>
    </row>
    <row r="131" spans="1:13" ht="126" customHeight="1" x14ac:dyDescent="0.25">
      <c r="A131" s="3">
        <v>1</v>
      </c>
      <c r="B131" s="64">
        <v>3</v>
      </c>
      <c r="C131" s="65">
        <v>45661</v>
      </c>
      <c r="D131" s="67" t="s">
        <v>32</v>
      </c>
      <c r="E131" s="64" t="s">
        <v>33</v>
      </c>
      <c r="F131" s="64" t="s">
        <v>37</v>
      </c>
      <c r="G131" s="27" t="s">
        <v>38</v>
      </c>
      <c r="H131" s="61">
        <v>400000</v>
      </c>
      <c r="I131" s="62"/>
      <c r="J131" s="61"/>
      <c r="K131" s="61"/>
      <c r="L131" s="63">
        <f>H131+J131</f>
        <v>400000</v>
      </c>
      <c r="M131" s="27" t="s">
        <v>39</v>
      </c>
    </row>
    <row r="132" spans="1:13" ht="109.15" customHeight="1" x14ac:dyDescent="0.25">
      <c r="A132" s="3">
        <v>2</v>
      </c>
      <c r="B132" s="64">
        <v>4</v>
      </c>
      <c r="C132" s="65">
        <v>45661</v>
      </c>
      <c r="D132" s="67" t="s">
        <v>35</v>
      </c>
      <c r="E132" s="64" t="s">
        <v>36</v>
      </c>
      <c r="F132" s="64" t="s">
        <v>40</v>
      </c>
      <c r="G132" s="27" t="s">
        <v>41</v>
      </c>
      <c r="H132" s="61">
        <v>200000</v>
      </c>
      <c r="I132" s="62"/>
      <c r="J132" s="61"/>
      <c r="K132" s="61"/>
      <c r="L132" s="63">
        <f>H132+J132</f>
        <v>200000</v>
      </c>
      <c r="M132" s="27" t="s">
        <v>42</v>
      </c>
    </row>
    <row r="133" spans="1:13" ht="93" customHeight="1" x14ac:dyDescent="0.25">
      <c r="A133" s="3">
        <v>3</v>
      </c>
      <c r="B133" s="64">
        <v>5</v>
      </c>
      <c r="C133" s="65">
        <v>45661</v>
      </c>
      <c r="D133" s="67" t="s">
        <v>44</v>
      </c>
      <c r="E133" s="64" t="s">
        <v>45</v>
      </c>
      <c r="F133" s="64" t="s">
        <v>40</v>
      </c>
      <c r="G133" s="27" t="s">
        <v>43</v>
      </c>
      <c r="H133" s="61">
        <v>200000</v>
      </c>
      <c r="I133" s="62"/>
      <c r="J133" s="61"/>
      <c r="K133" s="61"/>
      <c r="L133" s="63">
        <f t="shared" ref="L133:L143" si="3">H133+J133</f>
        <v>200000</v>
      </c>
      <c r="M133" s="27" t="s">
        <v>42</v>
      </c>
    </row>
    <row r="134" spans="1:13" s="134" customFormat="1" ht="97.15" customHeight="1" x14ac:dyDescent="0.25">
      <c r="A134" s="127">
        <v>4</v>
      </c>
      <c r="B134" s="127">
        <v>6</v>
      </c>
      <c r="C134" s="128">
        <v>45661</v>
      </c>
      <c r="D134" s="129" t="s">
        <v>47</v>
      </c>
      <c r="E134" s="127" t="s">
        <v>46</v>
      </c>
      <c r="F134" s="127" t="s">
        <v>40</v>
      </c>
      <c r="G134" s="130" t="s">
        <v>48</v>
      </c>
      <c r="H134" s="131">
        <f>200000*5</f>
        <v>1000000</v>
      </c>
      <c r="I134" s="132"/>
      <c r="J134" s="131"/>
      <c r="K134" s="131"/>
      <c r="L134" s="133">
        <f t="shared" si="3"/>
        <v>1000000</v>
      </c>
      <c r="M134" s="130" t="s">
        <v>399</v>
      </c>
    </row>
    <row r="135" spans="1:13" ht="61.15" customHeight="1" x14ac:dyDescent="0.25">
      <c r="A135" s="3">
        <v>4</v>
      </c>
      <c r="B135" s="64">
        <v>99</v>
      </c>
      <c r="C135" s="65">
        <v>45706</v>
      </c>
      <c r="D135" s="67" t="s">
        <v>97</v>
      </c>
      <c r="E135" s="64" t="s">
        <v>98</v>
      </c>
      <c r="F135" s="64" t="s">
        <v>100</v>
      </c>
      <c r="G135" s="27" t="s">
        <v>101</v>
      </c>
      <c r="H135" s="61"/>
      <c r="I135" s="62"/>
      <c r="J135" s="61">
        <f>3600000/3</f>
        <v>1200000</v>
      </c>
      <c r="K135" s="61"/>
      <c r="L135" s="63">
        <f t="shared" si="3"/>
        <v>1200000</v>
      </c>
      <c r="M135" s="27" t="s">
        <v>102</v>
      </c>
    </row>
    <row r="136" spans="1:13" ht="122.45" customHeight="1" x14ac:dyDescent="0.25">
      <c r="A136" s="3">
        <v>5</v>
      </c>
      <c r="B136" s="64">
        <v>369</v>
      </c>
      <c r="C136" s="65">
        <v>45790</v>
      </c>
      <c r="D136" s="67" t="s">
        <v>369</v>
      </c>
      <c r="E136" s="64" t="s">
        <v>361</v>
      </c>
      <c r="F136" s="64" t="s">
        <v>362</v>
      </c>
      <c r="G136" s="27" t="s">
        <v>363</v>
      </c>
      <c r="H136" s="61"/>
      <c r="I136" s="62"/>
      <c r="J136" s="61"/>
      <c r="K136" s="61">
        <v>3</v>
      </c>
      <c r="L136" s="63"/>
      <c r="M136" s="27"/>
    </row>
    <row r="137" spans="1:13" ht="122.45" customHeight="1" x14ac:dyDescent="0.25">
      <c r="A137" s="3">
        <v>6</v>
      </c>
      <c r="B137" s="64">
        <v>368</v>
      </c>
      <c r="C137" s="65">
        <v>45790</v>
      </c>
      <c r="D137" s="67" t="s">
        <v>368</v>
      </c>
      <c r="E137" s="64" t="s">
        <v>364</v>
      </c>
      <c r="F137" s="64" t="s">
        <v>365</v>
      </c>
      <c r="G137" s="27" t="s">
        <v>363</v>
      </c>
      <c r="H137" s="61"/>
      <c r="I137" s="62"/>
      <c r="J137" s="61"/>
      <c r="K137" s="61">
        <v>2</v>
      </c>
      <c r="L137" s="63"/>
      <c r="M137" s="27"/>
    </row>
    <row r="138" spans="1:13" ht="130.9" customHeight="1" x14ac:dyDescent="0.25">
      <c r="A138" s="3">
        <v>7</v>
      </c>
      <c r="B138" s="64">
        <v>367</v>
      </c>
      <c r="C138" s="65">
        <v>45790</v>
      </c>
      <c r="D138" s="67" t="s">
        <v>367</v>
      </c>
      <c r="E138" s="64" t="s">
        <v>366</v>
      </c>
      <c r="F138" s="64" t="s">
        <v>296</v>
      </c>
      <c r="G138" s="27" t="s">
        <v>370</v>
      </c>
      <c r="H138" s="61">
        <v>1000000</v>
      </c>
      <c r="I138" s="62"/>
      <c r="J138" s="61"/>
      <c r="K138" s="61">
        <v>16</v>
      </c>
      <c r="L138" s="63">
        <f t="shared" si="3"/>
        <v>1000000</v>
      </c>
      <c r="M138" s="27"/>
    </row>
    <row r="139" spans="1:13" ht="85.15" customHeight="1" x14ac:dyDescent="0.25">
      <c r="A139" s="3">
        <v>8</v>
      </c>
      <c r="B139" s="64">
        <v>380</v>
      </c>
      <c r="C139" s="65">
        <v>45793</v>
      </c>
      <c r="D139" s="67" t="s">
        <v>476</v>
      </c>
      <c r="E139" s="64" t="s">
        <v>386</v>
      </c>
      <c r="F139" s="64" t="s">
        <v>387</v>
      </c>
      <c r="G139" s="27" t="s">
        <v>388</v>
      </c>
      <c r="H139" s="61"/>
      <c r="I139" s="62"/>
      <c r="J139" s="61"/>
      <c r="K139" s="61">
        <v>5</v>
      </c>
      <c r="L139" s="63"/>
      <c r="M139" s="27"/>
    </row>
    <row r="140" spans="1:13" ht="85.15" customHeight="1" x14ac:dyDescent="0.25">
      <c r="A140" s="3">
        <v>9</v>
      </c>
      <c r="B140" s="64">
        <v>379</v>
      </c>
      <c r="C140" s="65">
        <v>45793</v>
      </c>
      <c r="D140" s="67" t="s">
        <v>477</v>
      </c>
      <c r="E140" s="64" t="s">
        <v>389</v>
      </c>
      <c r="F140" s="64" t="s">
        <v>390</v>
      </c>
      <c r="G140" s="27" t="s">
        <v>388</v>
      </c>
      <c r="H140" s="61"/>
      <c r="I140" s="62"/>
      <c r="J140" s="61"/>
      <c r="K140" s="61">
        <v>3</v>
      </c>
      <c r="L140" s="63"/>
      <c r="M140" s="27"/>
    </row>
    <row r="141" spans="1:13" ht="70.900000000000006" customHeight="1" x14ac:dyDescent="0.25">
      <c r="A141" s="3">
        <v>10</v>
      </c>
      <c r="B141" s="64">
        <v>398</v>
      </c>
      <c r="C141" s="65">
        <v>45800</v>
      </c>
      <c r="D141" s="67" t="s">
        <v>478</v>
      </c>
      <c r="E141" s="64" t="s">
        <v>394</v>
      </c>
      <c r="F141" s="64" t="s">
        <v>395</v>
      </c>
      <c r="G141" s="27" t="s">
        <v>396</v>
      </c>
      <c r="H141" s="61"/>
      <c r="I141" s="62"/>
      <c r="J141" s="61"/>
      <c r="K141" s="61">
        <v>3</v>
      </c>
      <c r="L141" s="63"/>
      <c r="M141" s="27"/>
    </row>
    <row r="142" spans="1:13" ht="110.25" x14ac:dyDescent="0.25">
      <c r="A142" s="3">
        <v>11</v>
      </c>
      <c r="B142" s="64">
        <v>491</v>
      </c>
      <c r="C142" s="65">
        <v>45819</v>
      </c>
      <c r="D142" s="67" t="s">
        <v>485</v>
      </c>
      <c r="E142" s="64" t="s">
        <v>486</v>
      </c>
      <c r="F142" s="64" t="s">
        <v>487</v>
      </c>
      <c r="G142" s="27" t="s">
        <v>488</v>
      </c>
      <c r="H142" s="61">
        <f>5000000/3</f>
        <v>1666666.6666666667</v>
      </c>
      <c r="I142" s="62"/>
      <c r="J142" s="61"/>
      <c r="K142" s="61">
        <v>22</v>
      </c>
      <c r="L142" s="63">
        <f t="shared" si="3"/>
        <v>1666666.6666666667</v>
      </c>
      <c r="M142" s="27" t="s">
        <v>489</v>
      </c>
    </row>
    <row r="143" spans="1:13" x14ac:dyDescent="0.25">
      <c r="A143" s="3"/>
      <c r="B143" s="64"/>
      <c r="C143" s="65"/>
      <c r="D143" s="67"/>
      <c r="E143" s="64"/>
      <c r="F143" s="64"/>
      <c r="G143" s="27"/>
      <c r="H143" s="61"/>
      <c r="I143" s="62"/>
      <c r="J143" s="61"/>
      <c r="K143" s="61"/>
      <c r="L143" s="63">
        <f t="shared" si="3"/>
        <v>0</v>
      </c>
      <c r="M143" s="27"/>
    </row>
    <row r="144" spans="1:13" x14ac:dyDescent="0.25">
      <c r="A144" s="181" t="s">
        <v>30</v>
      </c>
      <c r="B144" s="182"/>
      <c r="C144" s="182"/>
      <c r="D144" s="182"/>
      <c r="E144" s="182"/>
      <c r="F144" s="182"/>
      <c r="G144" s="183"/>
      <c r="H144" s="24">
        <f>SUM(H131:H143)</f>
        <v>4466666.666666667</v>
      </c>
      <c r="I144" s="24"/>
      <c r="J144" s="24">
        <f>SUM(J131:J143)</f>
        <v>1200000</v>
      </c>
      <c r="K144" s="24"/>
      <c r="L144" s="24">
        <f>SUM(L131:L143)</f>
        <v>5666666.666666667</v>
      </c>
      <c r="M144" s="75"/>
    </row>
    <row r="145" spans="1:13" x14ac:dyDescent="0.25">
      <c r="A145" s="184" t="s">
        <v>18</v>
      </c>
      <c r="B145" s="184"/>
      <c r="C145" s="184"/>
      <c r="D145" s="90"/>
      <c r="E145" s="10" t="e">
        <f ca="1">[2]!vnd(L144)</f>
        <v>#NAME?</v>
      </c>
      <c r="G145" s="90"/>
    </row>
    <row r="147" spans="1:13" x14ac:dyDescent="0.25">
      <c r="A147" s="86"/>
      <c r="B147" s="175" t="s">
        <v>34</v>
      </c>
      <c r="C147" s="175"/>
      <c r="D147" s="175"/>
      <c r="E147" s="175"/>
      <c r="F147" s="74"/>
      <c r="G147" s="74"/>
      <c r="H147" s="14"/>
      <c r="I147" s="14"/>
      <c r="J147" s="175" t="s">
        <v>4</v>
      </c>
      <c r="K147" s="175"/>
      <c r="L147" s="175"/>
      <c r="M147" s="175"/>
    </row>
    <row r="151" spans="1:13" x14ac:dyDescent="0.25">
      <c r="B151" s="176" t="s">
        <v>64</v>
      </c>
      <c r="C151" s="176"/>
      <c r="D151" s="176"/>
      <c r="E151" s="176"/>
      <c r="G151" s="15"/>
      <c r="J151" s="176" t="s">
        <v>197</v>
      </c>
      <c r="K151" s="176"/>
      <c r="L151" s="176"/>
      <c r="M151" s="176"/>
    </row>
    <row r="156" spans="1:13" x14ac:dyDescent="0.25">
      <c r="A156" s="177" t="s">
        <v>0</v>
      </c>
      <c r="B156" s="177"/>
      <c r="C156" s="177"/>
      <c r="D156" s="177"/>
      <c r="E156" s="177"/>
      <c r="F156" s="177"/>
      <c r="G156" s="178" t="s">
        <v>1</v>
      </c>
      <c r="H156" s="178"/>
      <c r="I156" s="178"/>
      <c r="J156" s="178"/>
      <c r="K156" s="178"/>
      <c r="L156" s="178"/>
      <c r="M156" s="178"/>
    </row>
    <row r="157" spans="1:13" x14ac:dyDescent="0.25">
      <c r="A157" s="177" t="s">
        <v>22</v>
      </c>
      <c r="B157" s="177"/>
      <c r="C157" s="177"/>
      <c r="D157" s="177"/>
      <c r="E157" s="177"/>
      <c r="F157" s="177"/>
      <c r="G157" s="178" t="s">
        <v>2</v>
      </c>
      <c r="H157" s="178"/>
      <c r="I157" s="178"/>
      <c r="J157" s="178"/>
      <c r="K157" s="178"/>
      <c r="L157" s="178"/>
      <c r="M157" s="178"/>
    </row>
    <row r="158" spans="1:13" x14ac:dyDescent="0.25">
      <c r="A158" s="25"/>
      <c r="B158" s="26"/>
      <c r="C158" s="25"/>
      <c r="D158" s="25"/>
      <c r="E158" s="26"/>
      <c r="F158" s="26"/>
      <c r="G158" s="186" t="s">
        <v>600</v>
      </c>
      <c r="H158" s="186"/>
      <c r="I158" s="186"/>
      <c r="J158" s="186"/>
      <c r="K158" s="186"/>
      <c r="L158" s="186"/>
      <c r="M158" s="186"/>
    </row>
    <row r="159" spans="1:13" ht="18.75" x14ac:dyDescent="0.25">
      <c r="A159" s="180" t="s">
        <v>484</v>
      </c>
      <c r="B159" s="180"/>
      <c r="C159" s="180"/>
      <c r="D159" s="180"/>
      <c r="E159" s="180"/>
      <c r="F159" s="180"/>
      <c r="G159" s="180"/>
      <c r="H159" s="180"/>
      <c r="I159" s="180"/>
      <c r="J159" s="180"/>
      <c r="K159" s="180"/>
      <c r="L159" s="180"/>
      <c r="M159" s="180"/>
    </row>
    <row r="160" spans="1:13" x14ac:dyDescent="0.25">
      <c r="A160" s="1"/>
      <c r="B160" s="1"/>
      <c r="C160" s="1"/>
      <c r="D160" s="1"/>
      <c r="E160" s="19"/>
      <c r="F160" s="19"/>
      <c r="G160" s="19"/>
      <c r="H160" s="20"/>
      <c r="I160" s="21"/>
      <c r="J160" s="21"/>
      <c r="K160" s="21"/>
      <c r="L160" s="21"/>
      <c r="M160" s="1"/>
    </row>
    <row r="161" spans="1:13" ht="31.5" x14ac:dyDescent="0.25">
      <c r="A161" s="2" t="s">
        <v>7</v>
      </c>
      <c r="B161" s="2" t="s">
        <v>8</v>
      </c>
      <c r="C161" s="2" t="s">
        <v>9</v>
      </c>
      <c r="D161" s="9" t="s">
        <v>31</v>
      </c>
      <c r="E161" s="2" t="s">
        <v>10</v>
      </c>
      <c r="F161" s="2" t="s">
        <v>11</v>
      </c>
      <c r="G161" s="2" t="s">
        <v>12</v>
      </c>
      <c r="H161" s="22" t="s">
        <v>13</v>
      </c>
      <c r="I161" s="23" t="s">
        <v>14</v>
      </c>
      <c r="J161" s="22" t="s">
        <v>15</v>
      </c>
      <c r="K161" s="22" t="s">
        <v>90</v>
      </c>
      <c r="L161" s="23" t="s">
        <v>16</v>
      </c>
      <c r="M161" s="9" t="s">
        <v>20</v>
      </c>
    </row>
    <row r="162" spans="1:13" ht="110.25" x14ac:dyDescent="0.25">
      <c r="A162" s="3">
        <v>1</v>
      </c>
      <c r="B162" s="64">
        <v>3</v>
      </c>
      <c r="C162" s="65">
        <v>45661</v>
      </c>
      <c r="D162" s="67" t="s">
        <v>32</v>
      </c>
      <c r="E162" s="64" t="s">
        <v>33</v>
      </c>
      <c r="F162" s="64" t="s">
        <v>37</v>
      </c>
      <c r="G162" s="27" t="s">
        <v>38</v>
      </c>
      <c r="H162" s="61">
        <v>400000</v>
      </c>
      <c r="I162" s="62"/>
      <c r="J162" s="61"/>
      <c r="K162" s="61"/>
      <c r="L162" s="63">
        <f>H162+J162</f>
        <v>400000</v>
      </c>
      <c r="M162" s="27" t="s">
        <v>39</v>
      </c>
    </row>
    <row r="163" spans="1:13" ht="94.5" x14ac:dyDescent="0.25">
      <c r="A163" s="3">
        <v>2</v>
      </c>
      <c r="B163" s="64">
        <v>4</v>
      </c>
      <c r="C163" s="65">
        <v>45661</v>
      </c>
      <c r="D163" s="67" t="s">
        <v>35</v>
      </c>
      <c r="E163" s="64" t="s">
        <v>36</v>
      </c>
      <c r="F163" s="64" t="s">
        <v>40</v>
      </c>
      <c r="G163" s="27" t="s">
        <v>41</v>
      </c>
      <c r="H163" s="61">
        <v>200000</v>
      </c>
      <c r="I163" s="62"/>
      <c r="J163" s="61"/>
      <c r="K163" s="61"/>
      <c r="L163" s="63">
        <f>H163+J163</f>
        <v>200000</v>
      </c>
      <c r="M163" s="27" t="s">
        <v>42</v>
      </c>
    </row>
    <row r="164" spans="1:13" ht="94.5" x14ac:dyDescent="0.25">
      <c r="A164" s="3">
        <v>3</v>
      </c>
      <c r="B164" s="64">
        <v>5</v>
      </c>
      <c r="C164" s="65">
        <v>45661</v>
      </c>
      <c r="D164" s="67" t="s">
        <v>44</v>
      </c>
      <c r="E164" s="64" t="s">
        <v>45</v>
      </c>
      <c r="F164" s="64" t="s">
        <v>40</v>
      </c>
      <c r="G164" s="27" t="s">
        <v>43</v>
      </c>
      <c r="H164" s="61">
        <v>200000</v>
      </c>
      <c r="I164" s="62"/>
      <c r="J164" s="61"/>
      <c r="K164" s="61"/>
      <c r="L164" s="63">
        <f t="shared" ref="L164" si="4">H164+J164</f>
        <v>200000</v>
      </c>
      <c r="M164" s="27" t="s">
        <v>42</v>
      </c>
    </row>
    <row r="165" spans="1:13" ht="110.25" x14ac:dyDescent="0.25">
      <c r="A165" s="3">
        <v>4</v>
      </c>
      <c r="B165" s="64">
        <v>491</v>
      </c>
      <c r="C165" s="65">
        <v>45819</v>
      </c>
      <c r="D165" s="67" t="s">
        <v>485</v>
      </c>
      <c r="E165" s="64" t="s">
        <v>486</v>
      </c>
      <c r="F165" s="64" t="s">
        <v>487</v>
      </c>
      <c r="G165" s="27" t="s">
        <v>488</v>
      </c>
      <c r="H165" s="61">
        <f>5000000/3</f>
        <v>1666666.6666666667</v>
      </c>
      <c r="I165" s="62"/>
      <c r="J165" s="61"/>
      <c r="K165" s="61"/>
      <c r="L165" s="63">
        <f t="shared" ref="L165:L177" si="5">H165+J165</f>
        <v>1666666.6666666667</v>
      </c>
      <c r="M165" s="27" t="s">
        <v>489</v>
      </c>
    </row>
    <row r="166" spans="1:13" ht="94.5" x14ac:dyDescent="0.25">
      <c r="A166" s="3">
        <v>5</v>
      </c>
      <c r="B166" s="64">
        <v>446</v>
      </c>
      <c r="C166" s="65">
        <v>45813</v>
      </c>
      <c r="D166" s="67" t="s">
        <v>495</v>
      </c>
      <c r="E166" s="64" t="s">
        <v>494</v>
      </c>
      <c r="F166" s="64" t="s">
        <v>496</v>
      </c>
      <c r="G166" s="27" t="s">
        <v>497</v>
      </c>
      <c r="H166" s="61">
        <v>500000</v>
      </c>
      <c r="I166" s="62"/>
      <c r="J166" s="61"/>
      <c r="K166" s="61">
        <v>10</v>
      </c>
      <c r="L166" s="63">
        <f t="shared" si="5"/>
        <v>500000</v>
      </c>
      <c r="M166" s="27"/>
    </row>
    <row r="167" spans="1:13" ht="94.5" x14ac:dyDescent="0.25">
      <c r="A167" s="3">
        <v>6</v>
      </c>
      <c r="B167" s="64">
        <v>447</v>
      </c>
      <c r="C167" s="65">
        <v>45813</v>
      </c>
      <c r="D167" s="67" t="s">
        <v>498</v>
      </c>
      <c r="E167" s="64" t="s">
        <v>69</v>
      </c>
      <c r="F167" s="64" t="s">
        <v>496</v>
      </c>
      <c r="G167" s="27" t="s">
        <v>497</v>
      </c>
      <c r="H167" s="61">
        <v>200000</v>
      </c>
      <c r="I167" s="62"/>
      <c r="J167" s="61"/>
      <c r="K167" s="61">
        <v>5</v>
      </c>
      <c r="L167" s="63">
        <f t="shared" si="5"/>
        <v>200000</v>
      </c>
      <c r="M167" s="27"/>
    </row>
    <row r="168" spans="1:13" ht="63" x14ac:dyDescent="0.25">
      <c r="A168" s="3">
        <v>7</v>
      </c>
      <c r="B168" s="64">
        <v>510</v>
      </c>
      <c r="C168" s="65">
        <v>45824</v>
      </c>
      <c r="D168" s="67" t="s">
        <v>502</v>
      </c>
      <c r="E168" s="64" t="s">
        <v>501</v>
      </c>
      <c r="F168" s="64" t="s">
        <v>503</v>
      </c>
      <c r="G168" s="27" t="s">
        <v>504</v>
      </c>
      <c r="H168" s="61"/>
      <c r="I168" s="62"/>
      <c r="J168" s="61"/>
      <c r="K168" s="61">
        <v>2</v>
      </c>
      <c r="L168" s="63">
        <f t="shared" si="5"/>
        <v>0</v>
      </c>
      <c r="M168" s="27"/>
    </row>
    <row r="169" spans="1:13" ht="47.25" x14ac:dyDescent="0.25">
      <c r="A169" s="3">
        <v>8</v>
      </c>
      <c r="B169" s="64">
        <v>515</v>
      </c>
      <c r="C169" s="65">
        <v>45827</v>
      </c>
      <c r="D169" s="67" t="s">
        <v>506</v>
      </c>
      <c r="E169" s="64" t="s">
        <v>505</v>
      </c>
      <c r="F169" s="64" t="s">
        <v>507</v>
      </c>
      <c r="G169" s="27" t="s">
        <v>508</v>
      </c>
      <c r="H169" s="61">
        <v>200000</v>
      </c>
      <c r="I169" s="62"/>
      <c r="J169" s="61"/>
      <c r="K169" s="61">
        <v>12</v>
      </c>
      <c r="L169" s="63">
        <f t="shared" si="5"/>
        <v>200000</v>
      </c>
      <c r="M169" s="27"/>
    </row>
    <row r="170" spans="1:13" ht="47.25" x14ac:dyDescent="0.25">
      <c r="A170" s="3">
        <v>9</v>
      </c>
      <c r="B170" s="64">
        <v>516</v>
      </c>
      <c r="C170" s="65">
        <v>45827</v>
      </c>
      <c r="D170" s="67" t="s">
        <v>269</v>
      </c>
      <c r="E170" s="64" t="s">
        <v>270</v>
      </c>
      <c r="F170" s="64" t="s">
        <v>509</v>
      </c>
      <c r="G170" s="27" t="s">
        <v>508</v>
      </c>
      <c r="H170" s="61">
        <v>200000</v>
      </c>
      <c r="I170" s="62"/>
      <c r="J170" s="61"/>
      <c r="K170" s="61">
        <v>12</v>
      </c>
      <c r="L170" s="63">
        <f t="shared" si="5"/>
        <v>200000</v>
      </c>
      <c r="M170" s="27"/>
    </row>
    <row r="171" spans="1:13" ht="63" x14ac:dyDescent="0.25">
      <c r="A171" s="3">
        <v>10</v>
      </c>
      <c r="B171" s="64">
        <v>553</v>
      </c>
      <c r="C171" s="65">
        <v>45838</v>
      </c>
      <c r="D171" s="67" t="s">
        <v>514</v>
      </c>
      <c r="E171" s="64" t="s">
        <v>513</v>
      </c>
      <c r="F171" s="64" t="s">
        <v>507</v>
      </c>
      <c r="G171" s="27" t="s">
        <v>515</v>
      </c>
      <c r="H171" s="61"/>
      <c r="I171" s="62"/>
      <c r="J171" s="61"/>
      <c r="K171" s="61">
        <v>6</v>
      </c>
      <c r="L171" s="63">
        <f t="shared" si="5"/>
        <v>0</v>
      </c>
      <c r="M171" s="27"/>
    </row>
    <row r="172" spans="1:13" ht="78.75" x14ac:dyDescent="0.25">
      <c r="A172" s="3">
        <v>11</v>
      </c>
      <c r="B172" s="64">
        <v>558</v>
      </c>
      <c r="C172" s="65">
        <v>45838</v>
      </c>
      <c r="D172" s="67" t="s">
        <v>517</v>
      </c>
      <c r="E172" s="64" t="s">
        <v>516</v>
      </c>
      <c r="F172" s="64" t="s">
        <v>518</v>
      </c>
      <c r="G172" s="27" t="s">
        <v>519</v>
      </c>
      <c r="H172" s="61">
        <f>1500000/2</f>
        <v>750000</v>
      </c>
      <c r="I172" s="62"/>
      <c r="J172" s="61"/>
      <c r="K172" s="61">
        <v>25</v>
      </c>
      <c r="L172" s="63">
        <f t="shared" si="5"/>
        <v>750000</v>
      </c>
      <c r="M172" s="27" t="s">
        <v>602</v>
      </c>
    </row>
    <row r="173" spans="1:13" hidden="1" x14ac:dyDescent="0.25">
      <c r="A173" s="3"/>
      <c r="B173" s="64"/>
      <c r="C173" s="65"/>
      <c r="D173" s="67"/>
      <c r="E173" s="64"/>
      <c r="F173" s="64"/>
      <c r="G173" s="27"/>
      <c r="H173" s="61"/>
      <c r="I173" s="62"/>
      <c r="J173" s="61"/>
      <c r="K173" s="61"/>
      <c r="L173" s="63"/>
      <c r="M173" s="27"/>
    </row>
    <row r="174" spans="1:13" hidden="1" x14ac:dyDescent="0.25">
      <c r="A174" s="3"/>
      <c r="B174" s="64"/>
      <c r="C174" s="65"/>
      <c r="D174" s="67"/>
      <c r="E174" s="64"/>
      <c r="F174" s="64"/>
      <c r="G174" s="27"/>
      <c r="H174" s="61"/>
      <c r="I174" s="62"/>
      <c r="J174" s="61"/>
      <c r="K174" s="61"/>
      <c r="L174" s="63"/>
      <c r="M174" s="27"/>
    </row>
    <row r="175" spans="1:13" hidden="1" x14ac:dyDescent="0.25">
      <c r="A175" s="3"/>
      <c r="B175" s="64"/>
      <c r="C175" s="65"/>
      <c r="D175" s="67"/>
      <c r="E175" s="64"/>
      <c r="F175" s="64"/>
      <c r="G175" s="27"/>
      <c r="H175" s="61"/>
      <c r="I175" s="62"/>
      <c r="J175" s="61"/>
      <c r="K175" s="61"/>
      <c r="L175" s="63"/>
      <c r="M175" s="27"/>
    </row>
    <row r="176" spans="1:13" hidden="1" x14ac:dyDescent="0.25">
      <c r="A176" s="3"/>
      <c r="B176" s="64"/>
      <c r="C176" s="65"/>
      <c r="D176" s="67"/>
      <c r="E176" s="64"/>
      <c r="F176" s="64"/>
      <c r="G176" s="27"/>
      <c r="H176" s="61"/>
      <c r="I176" s="62"/>
      <c r="J176" s="61"/>
      <c r="K176" s="61"/>
      <c r="L176" s="63">
        <f t="shared" si="5"/>
        <v>0</v>
      </c>
      <c r="M176" s="27"/>
    </row>
    <row r="177" spans="1:13" hidden="1" x14ac:dyDescent="0.25">
      <c r="A177" s="3"/>
      <c r="B177" s="64"/>
      <c r="C177" s="65"/>
      <c r="D177" s="67"/>
      <c r="E177" s="64"/>
      <c r="F177" s="64"/>
      <c r="G177" s="27"/>
      <c r="H177" s="61"/>
      <c r="I177" s="62"/>
      <c r="J177" s="61"/>
      <c r="K177" s="61"/>
      <c r="L177" s="63">
        <f t="shared" si="5"/>
        <v>0</v>
      </c>
      <c r="M177" s="27"/>
    </row>
    <row r="178" spans="1:13" x14ac:dyDescent="0.25">
      <c r="A178" s="181" t="s">
        <v>30</v>
      </c>
      <c r="B178" s="182"/>
      <c r="C178" s="182"/>
      <c r="D178" s="182"/>
      <c r="E178" s="182"/>
      <c r="F178" s="182"/>
      <c r="G178" s="183"/>
      <c r="H178" s="24">
        <f>SUM(H162:H177)</f>
        <v>4316666.666666667</v>
      </c>
      <c r="I178" s="24"/>
      <c r="J178" s="24">
        <f>SUM(J162:J177)</f>
        <v>0</v>
      </c>
      <c r="K178" s="24">
        <f>SUM(K162:K177)</f>
        <v>72</v>
      </c>
      <c r="L178" s="24">
        <f>SUM(L162:L177)</f>
        <v>4316666.666666667</v>
      </c>
      <c r="M178" s="75"/>
    </row>
    <row r="179" spans="1:13" x14ac:dyDescent="0.25">
      <c r="A179" s="184" t="s">
        <v>18</v>
      </c>
      <c r="B179" s="184"/>
      <c r="C179" s="184"/>
      <c r="D179" s="90"/>
      <c r="E179" s="10" t="e">
        <f ca="1">[2]!vnd(L178)</f>
        <v>#NAME?</v>
      </c>
      <c r="G179" s="90"/>
    </row>
    <row r="181" spans="1:13" x14ac:dyDescent="0.25">
      <c r="A181" s="86"/>
      <c r="B181" s="175" t="s">
        <v>34</v>
      </c>
      <c r="C181" s="175"/>
      <c r="D181" s="175"/>
      <c r="E181" s="175"/>
      <c r="F181" s="74"/>
      <c r="G181" s="74"/>
      <c r="H181" s="14"/>
      <c r="I181" s="14"/>
      <c r="J181" s="175" t="s">
        <v>4</v>
      </c>
      <c r="K181" s="175"/>
      <c r="L181" s="175"/>
      <c r="M181" s="175"/>
    </row>
    <row r="185" spans="1:13" x14ac:dyDescent="0.25">
      <c r="B185" s="176" t="s">
        <v>64</v>
      </c>
      <c r="C185" s="176"/>
      <c r="D185" s="176"/>
      <c r="E185" s="176"/>
      <c r="G185" s="15"/>
      <c r="J185" s="176" t="s">
        <v>197</v>
      </c>
      <c r="K185" s="176"/>
      <c r="L185" s="176"/>
      <c r="M185" s="176"/>
    </row>
    <row r="189" spans="1:13" x14ac:dyDescent="0.25">
      <c r="A189" s="177" t="s">
        <v>0</v>
      </c>
      <c r="B189" s="177"/>
      <c r="C189" s="177"/>
      <c r="D189" s="177"/>
      <c r="E189" s="177"/>
      <c r="F189" s="177"/>
      <c r="G189" s="178" t="s">
        <v>1</v>
      </c>
      <c r="H189" s="178"/>
      <c r="I189" s="178"/>
      <c r="J189" s="178"/>
      <c r="K189" s="178"/>
      <c r="L189" s="178"/>
      <c r="M189" s="178"/>
    </row>
    <row r="190" spans="1:13" x14ac:dyDescent="0.25">
      <c r="A190" s="177" t="s">
        <v>22</v>
      </c>
      <c r="B190" s="177"/>
      <c r="C190" s="177"/>
      <c r="D190" s="177"/>
      <c r="E190" s="177"/>
      <c r="F190" s="177"/>
      <c r="G190" s="178" t="s">
        <v>2</v>
      </c>
      <c r="H190" s="178"/>
      <c r="I190" s="178"/>
      <c r="J190" s="178"/>
      <c r="K190" s="178"/>
      <c r="L190" s="178"/>
      <c r="M190" s="178"/>
    </row>
    <row r="191" spans="1:13" x14ac:dyDescent="0.25">
      <c r="A191" s="25"/>
      <c r="B191" s="26"/>
      <c r="C191" s="25"/>
      <c r="D191" s="25"/>
      <c r="E191" s="26"/>
      <c r="F191" s="26"/>
      <c r="G191" s="186" t="s">
        <v>652</v>
      </c>
      <c r="H191" s="186"/>
      <c r="I191" s="186"/>
      <c r="J191" s="186"/>
      <c r="K191" s="186"/>
      <c r="L191" s="186"/>
      <c r="M191" s="186"/>
    </row>
    <row r="192" spans="1:13" ht="18.75" x14ac:dyDescent="0.25">
      <c r="A192" s="180" t="s">
        <v>606</v>
      </c>
      <c r="B192" s="180"/>
      <c r="C192" s="180"/>
      <c r="D192" s="180"/>
      <c r="E192" s="180"/>
      <c r="F192" s="180"/>
      <c r="G192" s="180"/>
      <c r="H192" s="180"/>
      <c r="I192" s="180"/>
      <c r="J192" s="180"/>
      <c r="K192" s="180"/>
      <c r="L192" s="180"/>
      <c r="M192" s="180"/>
    </row>
    <row r="193" spans="1:13" x14ac:dyDescent="0.25">
      <c r="A193" s="1"/>
      <c r="B193" s="1"/>
      <c r="C193" s="1"/>
      <c r="D193" s="1"/>
      <c r="E193" s="19"/>
      <c r="F193" s="19"/>
      <c r="G193" s="19"/>
      <c r="H193" s="20"/>
      <c r="I193" s="21"/>
      <c r="J193" s="21"/>
      <c r="K193" s="21"/>
      <c r="L193" s="21"/>
      <c r="M193" s="1"/>
    </row>
    <row r="194" spans="1:13" ht="31.5" x14ac:dyDescent="0.25">
      <c r="A194" s="2" t="s">
        <v>7</v>
      </c>
      <c r="B194" s="2" t="s">
        <v>8</v>
      </c>
      <c r="C194" s="2" t="s">
        <v>9</v>
      </c>
      <c r="D194" s="9" t="s">
        <v>31</v>
      </c>
      <c r="E194" s="2" t="s">
        <v>10</v>
      </c>
      <c r="F194" s="2" t="s">
        <v>11</v>
      </c>
      <c r="G194" s="2" t="s">
        <v>12</v>
      </c>
      <c r="H194" s="22" t="s">
        <v>13</v>
      </c>
      <c r="I194" s="23" t="s">
        <v>14</v>
      </c>
      <c r="J194" s="22" t="s">
        <v>15</v>
      </c>
      <c r="K194" s="22" t="s">
        <v>90</v>
      </c>
      <c r="L194" s="23" t="s">
        <v>16</v>
      </c>
      <c r="M194" s="9" t="s">
        <v>20</v>
      </c>
    </row>
    <row r="195" spans="1:13" ht="110.25" x14ac:dyDescent="0.25">
      <c r="A195" s="3">
        <v>1</v>
      </c>
      <c r="B195" s="64">
        <v>3</v>
      </c>
      <c r="C195" s="65">
        <v>45661</v>
      </c>
      <c r="D195" s="67" t="s">
        <v>32</v>
      </c>
      <c r="E195" s="64" t="s">
        <v>33</v>
      </c>
      <c r="F195" s="64" t="s">
        <v>37</v>
      </c>
      <c r="G195" s="27" t="s">
        <v>38</v>
      </c>
      <c r="H195" s="61">
        <v>400000</v>
      </c>
      <c r="I195" s="62"/>
      <c r="J195" s="61"/>
      <c r="K195" s="61"/>
      <c r="L195" s="63">
        <f>H195+J195</f>
        <v>400000</v>
      </c>
      <c r="M195" s="27" t="s">
        <v>39</v>
      </c>
    </row>
    <row r="196" spans="1:13" ht="94.5" x14ac:dyDescent="0.25">
      <c r="A196" s="3">
        <v>2</v>
      </c>
      <c r="B196" s="64">
        <v>4</v>
      </c>
      <c r="C196" s="65">
        <v>45661</v>
      </c>
      <c r="D196" s="67" t="s">
        <v>35</v>
      </c>
      <c r="E196" s="64" t="s">
        <v>36</v>
      </c>
      <c r="F196" s="64" t="s">
        <v>40</v>
      </c>
      <c r="G196" s="27" t="s">
        <v>41</v>
      </c>
      <c r="H196" s="61">
        <v>200000</v>
      </c>
      <c r="I196" s="62"/>
      <c r="J196" s="61"/>
      <c r="K196" s="61"/>
      <c r="L196" s="63">
        <f>H196+J196</f>
        <v>200000</v>
      </c>
      <c r="M196" s="27" t="s">
        <v>42</v>
      </c>
    </row>
    <row r="197" spans="1:13" ht="94.5" x14ac:dyDescent="0.25">
      <c r="A197" s="3">
        <v>3</v>
      </c>
      <c r="B197" s="64">
        <v>5</v>
      </c>
      <c r="C197" s="65">
        <v>45661</v>
      </c>
      <c r="D197" s="67" t="s">
        <v>44</v>
      </c>
      <c r="E197" s="64" t="s">
        <v>45</v>
      </c>
      <c r="F197" s="64" t="s">
        <v>40</v>
      </c>
      <c r="G197" s="27" t="s">
        <v>43</v>
      </c>
      <c r="H197" s="61">
        <v>200000</v>
      </c>
      <c r="I197" s="62"/>
      <c r="J197" s="61"/>
      <c r="K197" s="61"/>
      <c r="L197" s="63">
        <f t="shared" ref="L197:L209" si="6">H197+J197</f>
        <v>200000</v>
      </c>
      <c r="M197" s="27" t="s">
        <v>42</v>
      </c>
    </row>
    <row r="198" spans="1:13" ht="110.25" x14ac:dyDescent="0.25">
      <c r="A198" s="3">
        <v>4</v>
      </c>
      <c r="B198" s="64">
        <v>491</v>
      </c>
      <c r="C198" s="65">
        <v>45819</v>
      </c>
      <c r="D198" s="67" t="s">
        <v>485</v>
      </c>
      <c r="E198" s="64" t="s">
        <v>486</v>
      </c>
      <c r="F198" s="64" t="s">
        <v>487</v>
      </c>
      <c r="G198" s="27" t="s">
        <v>488</v>
      </c>
      <c r="H198" s="61">
        <f>5000000/3</f>
        <v>1666666.6666666667</v>
      </c>
      <c r="I198" s="62"/>
      <c r="J198" s="61"/>
      <c r="K198" s="61"/>
      <c r="L198" s="63">
        <f t="shared" si="6"/>
        <v>1666666.6666666667</v>
      </c>
      <c r="M198" s="27" t="s">
        <v>489</v>
      </c>
    </row>
    <row r="199" spans="1:13" ht="78.75" x14ac:dyDescent="0.25">
      <c r="A199" s="3">
        <v>5</v>
      </c>
      <c r="B199" s="64">
        <v>558</v>
      </c>
      <c r="C199" s="65">
        <v>45838</v>
      </c>
      <c r="D199" s="67" t="s">
        <v>517</v>
      </c>
      <c r="E199" s="64" t="s">
        <v>516</v>
      </c>
      <c r="F199" s="64" t="s">
        <v>518</v>
      </c>
      <c r="G199" s="27" t="s">
        <v>519</v>
      </c>
      <c r="H199" s="61">
        <f>1500000/2</f>
        <v>750000</v>
      </c>
      <c r="I199" s="62"/>
      <c r="J199" s="61"/>
      <c r="K199" s="61">
        <v>25</v>
      </c>
      <c r="L199" s="63">
        <f t="shared" si="6"/>
        <v>750000</v>
      </c>
      <c r="M199" s="27" t="s">
        <v>602</v>
      </c>
    </row>
    <row r="200" spans="1:13" ht="63" x14ac:dyDescent="0.25">
      <c r="A200" s="3">
        <v>6</v>
      </c>
      <c r="B200" s="64">
        <v>573</v>
      </c>
      <c r="C200" s="65">
        <v>45845</v>
      </c>
      <c r="D200" s="64" t="s">
        <v>627</v>
      </c>
      <c r="E200" s="64" t="s">
        <v>628</v>
      </c>
      <c r="F200" s="64" t="s">
        <v>607</v>
      </c>
      <c r="G200" s="27" t="s">
        <v>629</v>
      </c>
      <c r="H200" s="61"/>
      <c r="I200" s="62"/>
      <c r="J200" s="61">
        <v>293000</v>
      </c>
      <c r="K200" s="61"/>
      <c r="L200" s="63">
        <f t="shared" si="6"/>
        <v>293000</v>
      </c>
      <c r="M200" s="27"/>
    </row>
    <row r="201" spans="1:13" ht="47.25" x14ac:dyDescent="0.25">
      <c r="A201" s="3">
        <v>7</v>
      </c>
      <c r="B201" s="64">
        <v>572</v>
      </c>
      <c r="C201" s="65">
        <v>45845</v>
      </c>
      <c r="D201" s="67"/>
      <c r="E201" s="64"/>
      <c r="F201" s="64" t="s">
        <v>632</v>
      </c>
      <c r="G201" s="27" t="s">
        <v>633</v>
      </c>
      <c r="H201" s="61"/>
      <c r="I201" s="62"/>
      <c r="J201" s="61">
        <v>160000</v>
      </c>
      <c r="K201" s="61"/>
      <c r="L201" s="63">
        <f t="shared" si="6"/>
        <v>160000</v>
      </c>
      <c r="M201" s="27"/>
    </row>
    <row r="202" spans="1:13" ht="78.75" x14ac:dyDescent="0.25">
      <c r="A202" s="3">
        <v>8</v>
      </c>
      <c r="B202" s="64">
        <v>584</v>
      </c>
      <c r="C202" s="65">
        <v>45850</v>
      </c>
      <c r="D202" s="67" t="s">
        <v>634</v>
      </c>
      <c r="E202" s="64" t="s">
        <v>635</v>
      </c>
      <c r="F202" s="64" t="s">
        <v>636</v>
      </c>
      <c r="G202" s="27" t="s">
        <v>637</v>
      </c>
      <c r="H202" s="61"/>
      <c r="I202" s="62"/>
      <c r="J202" s="61"/>
      <c r="K202" s="61">
        <v>5</v>
      </c>
      <c r="L202" s="63">
        <f t="shared" si="6"/>
        <v>0</v>
      </c>
      <c r="M202" s="27"/>
    </row>
    <row r="203" spans="1:13" ht="63" x14ac:dyDescent="0.25">
      <c r="A203" s="3">
        <v>9</v>
      </c>
      <c r="B203" s="64">
        <v>623</v>
      </c>
      <c r="C203" s="65">
        <v>45854</v>
      </c>
      <c r="D203" s="67" t="s">
        <v>638</v>
      </c>
      <c r="E203" s="64" t="s">
        <v>639</v>
      </c>
      <c r="F203" s="64" t="s">
        <v>640</v>
      </c>
      <c r="G203" s="27" t="s">
        <v>641</v>
      </c>
      <c r="H203" s="61">
        <v>1000000</v>
      </c>
      <c r="I203" s="62"/>
      <c r="J203" s="61"/>
      <c r="K203" s="61">
        <v>15</v>
      </c>
      <c r="L203" s="63">
        <f t="shared" si="6"/>
        <v>1000000</v>
      </c>
      <c r="M203" s="27"/>
    </row>
    <row r="204" spans="1:13" ht="47.25" x14ac:dyDescent="0.25">
      <c r="A204" s="3">
        <v>10</v>
      </c>
      <c r="B204" s="64">
        <v>663</v>
      </c>
      <c r="C204" s="65">
        <v>45867</v>
      </c>
      <c r="D204" s="67" t="s">
        <v>642</v>
      </c>
      <c r="E204" s="64" t="s">
        <v>643</v>
      </c>
      <c r="F204" s="64" t="s">
        <v>644</v>
      </c>
      <c r="G204" s="27" t="s">
        <v>645</v>
      </c>
      <c r="H204" s="61"/>
      <c r="I204" s="62"/>
      <c r="J204" s="61"/>
      <c r="K204" s="61">
        <v>2</v>
      </c>
      <c r="L204" s="63">
        <f t="shared" si="6"/>
        <v>0</v>
      </c>
      <c r="M204" s="27"/>
    </row>
    <row r="205" spans="1:13" ht="63" x14ac:dyDescent="0.25">
      <c r="A205" s="3">
        <v>11</v>
      </c>
      <c r="B205" s="64">
        <v>662</v>
      </c>
      <c r="C205" s="65">
        <v>45867</v>
      </c>
      <c r="D205" s="67" t="s">
        <v>502</v>
      </c>
      <c r="E205" s="64" t="s">
        <v>501</v>
      </c>
      <c r="F205" s="64" t="s">
        <v>646</v>
      </c>
      <c r="G205" s="27" t="s">
        <v>647</v>
      </c>
      <c r="H205" s="61"/>
      <c r="I205" s="62"/>
      <c r="J205" s="61"/>
      <c r="K205" s="61">
        <v>3</v>
      </c>
      <c r="L205" s="63">
        <f t="shared" si="6"/>
        <v>0</v>
      </c>
      <c r="M205" s="27"/>
    </row>
    <row r="206" spans="1:13" ht="63" x14ac:dyDescent="0.25">
      <c r="A206" s="3">
        <v>12</v>
      </c>
      <c r="B206" s="64">
        <v>660</v>
      </c>
      <c r="C206" s="65">
        <v>45867</v>
      </c>
      <c r="D206" s="67" t="s">
        <v>648</v>
      </c>
      <c r="E206" s="64" t="s">
        <v>649</v>
      </c>
      <c r="F206" s="64" t="s">
        <v>650</v>
      </c>
      <c r="G206" s="27" t="s">
        <v>651</v>
      </c>
      <c r="H206" s="61">
        <v>500000</v>
      </c>
      <c r="I206" s="62"/>
      <c r="J206" s="61"/>
      <c r="K206" s="61">
        <v>5</v>
      </c>
      <c r="L206" s="63">
        <f t="shared" si="6"/>
        <v>500000</v>
      </c>
      <c r="M206" s="27"/>
    </row>
    <row r="207" spans="1:13" hidden="1" x14ac:dyDescent="0.25">
      <c r="A207" s="3"/>
      <c r="B207" s="64"/>
      <c r="C207" s="65"/>
      <c r="D207" s="67"/>
      <c r="E207" s="64"/>
      <c r="F207" s="64"/>
      <c r="G207" s="27"/>
      <c r="H207" s="61"/>
      <c r="I207" s="62"/>
      <c r="J207" s="61"/>
      <c r="K207" s="61"/>
      <c r="L207" s="63">
        <f t="shared" si="6"/>
        <v>0</v>
      </c>
      <c r="M207" s="27"/>
    </row>
    <row r="208" spans="1:13" hidden="1" x14ac:dyDescent="0.25">
      <c r="A208" s="3"/>
      <c r="B208" s="64"/>
      <c r="C208" s="65"/>
      <c r="D208" s="67"/>
      <c r="E208" s="64"/>
      <c r="F208" s="64"/>
      <c r="G208" s="27"/>
      <c r="H208" s="61"/>
      <c r="I208" s="62"/>
      <c r="J208" s="61"/>
      <c r="K208" s="61"/>
      <c r="L208" s="63">
        <f t="shared" si="6"/>
        <v>0</v>
      </c>
      <c r="M208" s="27"/>
    </row>
    <row r="209" spans="1:13" hidden="1" x14ac:dyDescent="0.25">
      <c r="A209" s="3"/>
      <c r="B209" s="64"/>
      <c r="C209" s="65"/>
      <c r="D209" s="67"/>
      <c r="E209" s="64"/>
      <c r="F209" s="64"/>
      <c r="G209" s="27"/>
      <c r="H209" s="61"/>
      <c r="I209" s="62"/>
      <c r="J209" s="61"/>
      <c r="K209" s="61"/>
      <c r="L209" s="63">
        <f t="shared" si="6"/>
        <v>0</v>
      </c>
      <c r="M209" s="27"/>
    </row>
    <row r="210" spans="1:13" x14ac:dyDescent="0.25">
      <c r="A210" s="181" t="s">
        <v>30</v>
      </c>
      <c r="B210" s="182"/>
      <c r="C210" s="182"/>
      <c r="D210" s="182"/>
      <c r="E210" s="182"/>
      <c r="F210" s="182"/>
      <c r="G210" s="183"/>
      <c r="H210" s="24">
        <f>SUM(H195:H209)</f>
        <v>4716666.666666667</v>
      </c>
      <c r="I210" s="24"/>
      <c r="J210" s="24">
        <f>SUM(J195:J209)</f>
        <v>453000</v>
      </c>
      <c r="K210" s="24">
        <f>SUM(K195:K209)</f>
        <v>55</v>
      </c>
      <c r="L210" s="24">
        <f>SUM(L195:L209)</f>
        <v>5169666.666666667</v>
      </c>
      <c r="M210" s="75"/>
    </row>
    <row r="211" spans="1:13" x14ac:dyDescent="0.25">
      <c r="A211" s="184" t="s">
        <v>18</v>
      </c>
      <c r="B211" s="184"/>
      <c r="C211" s="184"/>
      <c r="D211" s="90"/>
      <c r="E211" s="10" t="e">
        <f ca="1">[2]!vnd(L210)</f>
        <v>#NAME?</v>
      </c>
      <c r="G211" s="90"/>
    </row>
    <row r="213" spans="1:13" x14ac:dyDescent="0.25">
      <c r="A213" s="86"/>
      <c r="B213" s="175" t="s">
        <v>34</v>
      </c>
      <c r="C213" s="175"/>
      <c r="D213" s="175"/>
      <c r="E213" s="175"/>
      <c r="F213" s="74"/>
      <c r="G213" s="74"/>
      <c r="H213" s="14"/>
      <c r="I213" s="14"/>
      <c r="J213" s="175" t="s">
        <v>4</v>
      </c>
      <c r="K213" s="175"/>
      <c r="L213" s="175"/>
      <c r="M213" s="175"/>
    </row>
    <row r="217" spans="1:13" x14ac:dyDescent="0.25">
      <c r="B217" s="176" t="s">
        <v>64</v>
      </c>
      <c r="C217" s="176"/>
      <c r="D217" s="176"/>
      <c r="E217" s="176"/>
      <c r="G217" s="15"/>
      <c r="J217" s="176" t="s">
        <v>197</v>
      </c>
      <c r="K217" s="176"/>
      <c r="L217" s="176"/>
      <c r="M217" s="176"/>
    </row>
    <row r="218" spans="1:13" x14ac:dyDescent="0.25">
      <c r="B218" s="139"/>
      <c r="C218" s="139"/>
      <c r="D218" s="139"/>
      <c r="E218" s="139"/>
      <c r="G218" s="15"/>
      <c r="J218" s="139"/>
      <c r="K218" s="139"/>
      <c r="L218" s="139"/>
      <c r="M218" s="139"/>
    </row>
    <row r="219" spans="1:13" x14ac:dyDescent="0.25">
      <c r="B219" s="139"/>
      <c r="C219" s="139"/>
      <c r="D219" s="139"/>
      <c r="E219" s="139"/>
      <c r="G219" s="15"/>
      <c r="J219" s="139"/>
      <c r="K219" s="139"/>
      <c r="L219" s="139"/>
      <c r="M219" s="139"/>
    </row>
    <row r="220" spans="1:13" x14ac:dyDescent="0.25">
      <c r="B220" s="139"/>
      <c r="C220" s="139"/>
      <c r="D220" s="139"/>
      <c r="E220" s="139"/>
      <c r="G220" s="15"/>
      <c r="J220" s="139"/>
      <c r="K220" s="139"/>
      <c r="L220" s="139"/>
      <c r="M220" s="139"/>
    </row>
    <row r="221" spans="1:13" x14ac:dyDescent="0.25">
      <c r="B221" s="139"/>
      <c r="C221" s="139"/>
      <c r="D221" s="139"/>
      <c r="E221" s="139"/>
      <c r="G221" s="15"/>
      <c r="J221" s="139"/>
      <c r="K221" s="139"/>
      <c r="L221" s="139"/>
      <c r="M221" s="139"/>
    </row>
    <row r="222" spans="1:13" x14ac:dyDescent="0.25">
      <c r="B222" s="139"/>
      <c r="C222" s="139"/>
      <c r="D222" s="139"/>
      <c r="E222" s="139"/>
      <c r="G222" s="15"/>
      <c r="J222" s="139"/>
      <c r="K222" s="139"/>
      <c r="L222" s="139"/>
      <c r="M222" s="139"/>
    </row>
    <row r="223" spans="1:13" x14ac:dyDescent="0.25">
      <c r="B223" s="139"/>
      <c r="C223" s="139"/>
      <c r="D223" s="139"/>
      <c r="E223" s="139"/>
      <c r="G223" s="15"/>
      <c r="J223" s="139"/>
      <c r="K223" s="139"/>
      <c r="L223" s="139"/>
      <c r="M223" s="139"/>
    </row>
    <row r="226" spans="1:13" x14ac:dyDescent="0.25">
      <c r="A226" s="177" t="s">
        <v>0</v>
      </c>
      <c r="B226" s="177"/>
      <c r="C226" s="177"/>
      <c r="D226" s="177"/>
      <c r="E226" s="177"/>
      <c r="F226" s="177"/>
      <c r="G226" s="178" t="s">
        <v>1</v>
      </c>
      <c r="H226" s="178"/>
      <c r="I226" s="178"/>
      <c r="J226" s="178"/>
      <c r="K226" s="178"/>
      <c r="L226" s="178"/>
      <c r="M226" s="178"/>
    </row>
    <row r="227" spans="1:13" x14ac:dyDescent="0.25">
      <c r="A227" s="177" t="s">
        <v>22</v>
      </c>
      <c r="B227" s="177"/>
      <c r="C227" s="177"/>
      <c r="D227" s="177"/>
      <c r="E227" s="177"/>
      <c r="F227" s="177"/>
      <c r="G227" s="178" t="s">
        <v>2</v>
      </c>
      <c r="H227" s="178"/>
      <c r="I227" s="178"/>
      <c r="J227" s="178"/>
      <c r="K227" s="178"/>
      <c r="L227" s="178"/>
      <c r="M227" s="178"/>
    </row>
    <row r="228" spans="1:13" x14ac:dyDescent="0.25">
      <c r="A228" s="25"/>
      <c r="B228" s="26"/>
      <c r="C228" s="25"/>
      <c r="D228" s="25"/>
      <c r="E228" s="26"/>
      <c r="F228" s="26"/>
      <c r="G228" s="179" t="s">
        <v>855</v>
      </c>
      <c r="H228" s="179"/>
      <c r="I228" s="179"/>
      <c r="J228" s="179"/>
      <c r="K228" s="179"/>
      <c r="L228" s="179"/>
      <c r="M228" s="179"/>
    </row>
    <row r="229" spans="1:13" ht="18.75" x14ac:dyDescent="0.25">
      <c r="A229" s="180" t="s">
        <v>780</v>
      </c>
      <c r="B229" s="180"/>
      <c r="C229" s="180"/>
      <c r="D229" s="180"/>
      <c r="E229" s="180"/>
      <c r="F229" s="180"/>
      <c r="G229" s="180"/>
      <c r="H229" s="180"/>
      <c r="I229" s="180"/>
      <c r="J229" s="180"/>
      <c r="K229" s="180"/>
      <c r="L229" s="180"/>
      <c r="M229" s="180"/>
    </row>
    <row r="230" spans="1:13" x14ac:dyDescent="0.25">
      <c r="A230" s="1"/>
      <c r="B230" s="1"/>
      <c r="C230" s="1"/>
      <c r="D230" s="1"/>
      <c r="E230" s="19"/>
      <c r="F230" s="19"/>
      <c r="G230" s="19"/>
      <c r="H230" s="20"/>
      <c r="I230" s="21"/>
      <c r="J230" s="21"/>
      <c r="K230" s="21"/>
      <c r="L230" s="21"/>
      <c r="M230" s="1"/>
    </row>
    <row r="231" spans="1:13" s="145" customFormat="1" ht="31.5" x14ac:dyDescent="0.25">
      <c r="A231" s="141" t="s">
        <v>7</v>
      </c>
      <c r="B231" s="141" t="s">
        <v>8</v>
      </c>
      <c r="C231" s="141" t="s">
        <v>9</v>
      </c>
      <c r="D231" s="142" t="s">
        <v>31</v>
      </c>
      <c r="E231" s="141" t="s">
        <v>10</v>
      </c>
      <c r="F231" s="141" t="s">
        <v>11</v>
      </c>
      <c r="G231" s="141" t="s">
        <v>12</v>
      </c>
      <c r="H231" s="143" t="s">
        <v>13</v>
      </c>
      <c r="I231" s="144" t="s">
        <v>14</v>
      </c>
      <c r="J231" s="143" t="s">
        <v>15</v>
      </c>
      <c r="K231" s="143" t="s">
        <v>90</v>
      </c>
      <c r="L231" s="144" t="s">
        <v>16</v>
      </c>
      <c r="M231" s="142" t="s">
        <v>20</v>
      </c>
    </row>
    <row r="232" spans="1:13" ht="110.25" x14ac:dyDescent="0.25">
      <c r="A232" s="3">
        <v>1</v>
      </c>
      <c r="B232" s="64">
        <v>3</v>
      </c>
      <c r="C232" s="65">
        <v>45661</v>
      </c>
      <c r="D232" s="67" t="s">
        <v>32</v>
      </c>
      <c r="E232" s="64" t="s">
        <v>33</v>
      </c>
      <c r="F232" s="64" t="s">
        <v>37</v>
      </c>
      <c r="G232" s="27" t="s">
        <v>38</v>
      </c>
      <c r="H232" s="61">
        <v>400000</v>
      </c>
      <c r="I232" s="62"/>
      <c r="J232" s="61"/>
      <c r="K232" s="61"/>
      <c r="L232" s="63">
        <f>H232+J232</f>
        <v>400000</v>
      </c>
      <c r="M232" s="27" t="s">
        <v>39</v>
      </c>
    </row>
    <row r="233" spans="1:13" ht="94.5" x14ac:dyDescent="0.25">
      <c r="A233" s="3">
        <v>2</v>
      </c>
      <c r="B233" s="64">
        <v>4</v>
      </c>
      <c r="C233" s="65">
        <v>45661</v>
      </c>
      <c r="D233" s="67" t="s">
        <v>35</v>
      </c>
      <c r="E233" s="64" t="s">
        <v>36</v>
      </c>
      <c r="F233" s="64" t="s">
        <v>40</v>
      </c>
      <c r="G233" s="27" t="s">
        <v>41</v>
      </c>
      <c r="H233" s="61">
        <v>200000</v>
      </c>
      <c r="I233" s="62"/>
      <c r="J233" s="61"/>
      <c r="K233" s="61"/>
      <c r="L233" s="63">
        <f>H233+J233</f>
        <v>200000</v>
      </c>
      <c r="M233" s="27" t="s">
        <v>42</v>
      </c>
    </row>
    <row r="234" spans="1:13" ht="94.5" x14ac:dyDescent="0.25">
      <c r="A234" s="3">
        <v>3</v>
      </c>
      <c r="B234" s="64">
        <v>5</v>
      </c>
      <c r="C234" s="65">
        <v>45661</v>
      </c>
      <c r="D234" s="67" t="s">
        <v>44</v>
      </c>
      <c r="E234" s="64" t="s">
        <v>45</v>
      </c>
      <c r="F234" s="64" t="s">
        <v>40</v>
      </c>
      <c r="G234" s="27" t="s">
        <v>43</v>
      </c>
      <c r="H234" s="61">
        <v>200000</v>
      </c>
      <c r="I234" s="62"/>
      <c r="J234" s="61"/>
      <c r="K234" s="61"/>
      <c r="L234" s="63">
        <f t="shared" ref="L234" si="7">H234+J234</f>
        <v>200000</v>
      </c>
      <c r="M234" s="27" t="s">
        <v>42</v>
      </c>
    </row>
    <row r="235" spans="1:13" ht="63" x14ac:dyDescent="0.25">
      <c r="A235" s="3">
        <v>4</v>
      </c>
      <c r="B235" s="64">
        <v>765</v>
      </c>
      <c r="C235" s="65">
        <v>45838</v>
      </c>
      <c r="D235" s="67" t="s">
        <v>807</v>
      </c>
      <c r="E235" s="64" t="s">
        <v>808</v>
      </c>
      <c r="F235" s="64" t="s">
        <v>809</v>
      </c>
      <c r="G235" s="136" t="s">
        <v>810</v>
      </c>
      <c r="H235" s="61"/>
      <c r="I235" s="62"/>
      <c r="J235" s="61"/>
      <c r="K235" s="61">
        <v>5</v>
      </c>
      <c r="L235" s="63"/>
      <c r="M235" s="27"/>
    </row>
    <row r="236" spans="1:13" ht="31.5" x14ac:dyDescent="0.25">
      <c r="A236" s="3">
        <v>5</v>
      </c>
      <c r="B236" s="64">
        <v>766</v>
      </c>
      <c r="C236" s="65">
        <v>45838</v>
      </c>
      <c r="D236" s="67" t="s">
        <v>811</v>
      </c>
      <c r="E236" s="64" t="s">
        <v>812</v>
      </c>
      <c r="F236" s="64" t="s">
        <v>813</v>
      </c>
      <c r="G236" s="140" t="s">
        <v>814</v>
      </c>
      <c r="H236" s="61"/>
      <c r="I236" s="62"/>
      <c r="J236" s="61"/>
      <c r="K236" s="61">
        <v>5</v>
      </c>
      <c r="L236" s="63"/>
      <c r="M236" s="27"/>
    </row>
    <row r="237" spans="1:13" x14ac:dyDescent="0.25">
      <c r="A237" s="181" t="s">
        <v>30</v>
      </c>
      <c r="B237" s="182"/>
      <c r="C237" s="182"/>
      <c r="D237" s="182"/>
      <c r="E237" s="182"/>
      <c r="F237" s="182"/>
      <c r="G237" s="183"/>
      <c r="H237" s="24">
        <f>SUM(H232:H236)</f>
        <v>800000</v>
      </c>
      <c r="I237" s="24"/>
      <c r="J237" s="24">
        <f>SUM(J232:J236)</f>
        <v>0</v>
      </c>
      <c r="K237" s="24">
        <f>SUM(K232:K236)</f>
        <v>10</v>
      </c>
      <c r="L237" s="24">
        <f>SUM(L232:L236)</f>
        <v>800000</v>
      </c>
      <c r="M237" s="75"/>
    </row>
    <row r="238" spans="1:13" x14ac:dyDescent="0.25">
      <c r="A238" s="184" t="s">
        <v>18</v>
      </c>
      <c r="B238" s="184"/>
      <c r="C238" s="184"/>
      <c r="D238" s="185" t="s">
        <v>849</v>
      </c>
      <c r="E238" s="185"/>
      <c r="F238" s="185"/>
      <c r="G238" s="185"/>
    </row>
    <row r="240" spans="1:13" x14ac:dyDescent="0.25">
      <c r="A240" s="86"/>
      <c r="B240" s="175" t="s">
        <v>34</v>
      </c>
      <c r="C240" s="175"/>
      <c r="D240" s="175"/>
      <c r="E240" s="175"/>
      <c r="F240" s="74"/>
      <c r="G240" s="74"/>
      <c r="H240" s="14"/>
      <c r="I240" s="14"/>
      <c r="J240" s="175" t="s">
        <v>4</v>
      </c>
      <c r="K240" s="175"/>
      <c r="L240" s="175"/>
      <c r="M240" s="175"/>
    </row>
    <row r="241" spans="1:13" ht="27" customHeight="1" x14ac:dyDescent="0.25"/>
    <row r="242" spans="1:13" ht="25.5" customHeight="1" x14ac:dyDescent="0.25"/>
    <row r="244" spans="1:13" x14ac:dyDescent="0.25">
      <c r="B244" s="176" t="s">
        <v>364</v>
      </c>
      <c r="C244" s="176"/>
      <c r="D244" s="176"/>
      <c r="E244" s="176"/>
      <c r="G244" s="15"/>
      <c r="J244" s="176" t="s">
        <v>830</v>
      </c>
      <c r="K244" s="176"/>
      <c r="L244" s="176"/>
      <c r="M244" s="176"/>
    </row>
    <row r="248" spans="1:13" x14ac:dyDescent="0.25">
      <c r="A248" s="177" t="s">
        <v>0</v>
      </c>
      <c r="B248" s="177"/>
      <c r="C248" s="177"/>
      <c r="D248" s="177"/>
      <c r="E248" s="177"/>
      <c r="F248" s="177"/>
      <c r="G248" s="178" t="s">
        <v>1</v>
      </c>
      <c r="H248" s="178"/>
      <c r="I248" s="178"/>
      <c r="J248" s="178"/>
      <c r="K248" s="178"/>
      <c r="L248" s="178"/>
      <c r="M248" s="178"/>
    </row>
    <row r="249" spans="1:13" x14ac:dyDescent="0.25">
      <c r="A249" s="177" t="s">
        <v>22</v>
      </c>
      <c r="B249" s="177"/>
      <c r="C249" s="177"/>
      <c r="D249" s="177"/>
      <c r="E249" s="177"/>
      <c r="F249" s="177"/>
      <c r="G249" s="178" t="s">
        <v>2</v>
      </c>
      <c r="H249" s="178"/>
      <c r="I249" s="178"/>
      <c r="J249" s="178"/>
      <c r="K249" s="178"/>
      <c r="L249" s="178"/>
      <c r="M249" s="178"/>
    </row>
    <row r="250" spans="1:13" x14ac:dyDescent="0.25">
      <c r="A250" s="25"/>
      <c r="B250" s="26"/>
      <c r="C250" s="25"/>
      <c r="D250" s="25"/>
      <c r="E250" s="26"/>
      <c r="F250" s="26"/>
      <c r="G250" s="179" t="s">
        <v>857</v>
      </c>
      <c r="H250" s="179"/>
      <c r="I250" s="179"/>
      <c r="J250" s="179"/>
      <c r="K250" s="179"/>
      <c r="L250" s="179"/>
      <c r="M250" s="179"/>
    </row>
    <row r="251" spans="1:13" ht="18.75" x14ac:dyDescent="0.25">
      <c r="A251" s="180" t="s">
        <v>856</v>
      </c>
      <c r="B251" s="180"/>
      <c r="C251" s="180"/>
      <c r="D251" s="180"/>
      <c r="E251" s="180"/>
      <c r="F251" s="180"/>
      <c r="G251" s="180"/>
      <c r="H251" s="180"/>
      <c r="I251" s="180"/>
      <c r="J251" s="180"/>
      <c r="K251" s="180"/>
      <c r="L251" s="180"/>
      <c r="M251" s="180"/>
    </row>
    <row r="252" spans="1:13" x14ac:dyDescent="0.25">
      <c r="A252" s="1"/>
      <c r="B252" s="1"/>
      <c r="C252" s="1"/>
      <c r="D252" s="1"/>
      <c r="E252" s="19"/>
      <c r="F252" s="19"/>
      <c r="G252" s="19"/>
      <c r="H252" s="20"/>
      <c r="I252" s="21"/>
      <c r="J252" s="21"/>
      <c r="K252" s="21"/>
      <c r="L252" s="21"/>
      <c r="M252" s="1"/>
    </row>
    <row r="253" spans="1:13" ht="31.5" x14ac:dyDescent="0.25">
      <c r="A253" s="141" t="s">
        <v>7</v>
      </c>
      <c r="B253" s="141" t="s">
        <v>8</v>
      </c>
      <c r="C253" s="141" t="s">
        <v>9</v>
      </c>
      <c r="D253" s="142" t="s">
        <v>31</v>
      </c>
      <c r="E253" s="141" t="s">
        <v>10</v>
      </c>
      <c r="F253" s="141" t="s">
        <v>11</v>
      </c>
      <c r="G253" s="141" t="s">
        <v>12</v>
      </c>
      <c r="H253" s="143" t="s">
        <v>13</v>
      </c>
      <c r="I253" s="144" t="s">
        <v>14</v>
      </c>
      <c r="J253" s="143" t="s">
        <v>15</v>
      </c>
      <c r="K253" s="143" t="s">
        <v>90</v>
      </c>
      <c r="L253" s="144" t="s">
        <v>16</v>
      </c>
      <c r="M253" s="142" t="s">
        <v>20</v>
      </c>
    </row>
    <row r="254" spans="1:13" ht="110.25" x14ac:dyDescent="0.25">
      <c r="A254" s="3">
        <v>1</v>
      </c>
      <c r="B254" s="64">
        <v>3</v>
      </c>
      <c r="C254" s="65">
        <v>45661</v>
      </c>
      <c r="D254" s="67" t="s">
        <v>32</v>
      </c>
      <c r="E254" s="64" t="s">
        <v>33</v>
      </c>
      <c r="F254" s="64" t="s">
        <v>37</v>
      </c>
      <c r="G254" s="27" t="s">
        <v>38</v>
      </c>
      <c r="H254" s="61">
        <v>400000</v>
      </c>
      <c r="I254" s="62"/>
      <c r="J254" s="61"/>
      <c r="K254" s="61"/>
      <c r="L254" s="63">
        <f>H254+J254</f>
        <v>400000</v>
      </c>
      <c r="M254" s="27" t="s">
        <v>39</v>
      </c>
    </row>
    <row r="255" spans="1:13" ht="94.5" x14ac:dyDescent="0.25">
      <c r="A255" s="3">
        <v>2</v>
      </c>
      <c r="B255" s="64">
        <v>4</v>
      </c>
      <c r="C255" s="65">
        <v>45661</v>
      </c>
      <c r="D255" s="67" t="s">
        <v>35</v>
      </c>
      <c r="E255" s="64" t="s">
        <v>36</v>
      </c>
      <c r="F255" s="64" t="s">
        <v>40</v>
      </c>
      <c r="G255" s="27" t="s">
        <v>41</v>
      </c>
      <c r="H255" s="61">
        <v>200000</v>
      </c>
      <c r="I255" s="62"/>
      <c r="J255" s="61"/>
      <c r="K255" s="61"/>
      <c r="L255" s="63">
        <f>H255+J255</f>
        <v>200000</v>
      </c>
      <c r="M255" s="27" t="s">
        <v>42</v>
      </c>
    </row>
    <row r="256" spans="1:13" ht="94.5" x14ac:dyDescent="0.25">
      <c r="A256" s="3">
        <v>3</v>
      </c>
      <c r="B256" s="64">
        <v>5</v>
      </c>
      <c r="C256" s="65">
        <v>45661</v>
      </c>
      <c r="D256" s="67" t="s">
        <v>44</v>
      </c>
      <c r="E256" s="64" t="s">
        <v>45</v>
      </c>
      <c r="F256" s="64" t="s">
        <v>40</v>
      </c>
      <c r="G256" s="27" t="s">
        <v>43</v>
      </c>
      <c r="H256" s="61">
        <v>200000</v>
      </c>
      <c r="I256" s="62"/>
      <c r="J256" s="61"/>
      <c r="K256" s="61"/>
      <c r="L256" s="63">
        <f t="shared" ref="L256" si="8">H256+J256</f>
        <v>200000</v>
      </c>
      <c r="M256" s="27" t="s">
        <v>42</v>
      </c>
    </row>
    <row r="257" spans="1:13" ht="78.75" x14ac:dyDescent="0.25">
      <c r="A257" s="3">
        <v>4</v>
      </c>
      <c r="B257" s="64">
        <v>786</v>
      </c>
      <c r="C257" s="65">
        <v>45910</v>
      </c>
      <c r="D257" s="67" t="s">
        <v>858</v>
      </c>
      <c r="E257" s="64" t="s">
        <v>859</v>
      </c>
      <c r="F257" s="64" t="s">
        <v>860</v>
      </c>
      <c r="G257" s="149" t="s">
        <v>861</v>
      </c>
      <c r="H257" s="61"/>
      <c r="I257" s="62"/>
      <c r="J257" s="61">
        <v>3250000</v>
      </c>
      <c r="K257" s="61">
        <v>5</v>
      </c>
      <c r="L257" s="63">
        <v>3250000</v>
      </c>
      <c r="M257" s="27" t="s">
        <v>862</v>
      </c>
    </row>
    <row r="258" spans="1:13" x14ac:dyDescent="0.25">
      <c r="A258" s="3">
        <v>5</v>
      </c>
      <c r="B258" s="64"/>
      <c r="C258" s="65"/>
      <c r="D258" s="67"/>
      <c r="E258" s="64"/>
      <c r="F258" s="64"/>
      <c r="G258" s="140"/>
      <c r="H258" s="61"/>
      <c r="I258" s="62"/>
      <c r="J258" s="61"/>
      <c r="K258" s="61"/>
      <c r="L258" s="63"/>
      <c r="M258" s="27"/>
    </row>
    <row r="259" spans="1:13" x14ac:dyDescent="0.25">
      <c r="A259" s="181" t="s">
        <v>30</v>
      </c>
      <c r="B259" s="182"/>
      <c r="C259" s="182"/>
      <c r="D259" s="182"/>
      <c r="E259" s="182"/>
      <c r="F259" s="182"/>
      <c r="G259" s="183"/>
      <c r="H259" s="24">
        <f>SUM(H254:H258)</f>
        <v>800000</v>
      </c>
      <c r="I259" s="24"/>
      <c r="J259" s="24">
        <f>SUM(J254:J258)</f>
        <v>3250000</v>
      </c>
      <c r="K259" s="24">
        <f>SUM(K254:K258)</f>
        <v>5</v>
      </c>
      <c r="L259" s="24">
        <f>SUM(L254:L258)</f>
        <v>4050000</v>
      </c>
      <c r="M259" s="75"/>
    </row>
    <row r="260" spans="1:13" x14ac:dyDescent="0.25">
      <c r="A260" s="184" t="s">
        <v>18</v>
      </c>
      <c r="B260" s="184"/>
      <c r="C260" s="184"/>
      <c r="D260" s="185" t="s">
        <v>931</v>
      </c>
      <c r="E260" s="185"/>
      <c r="F260" s="185"/>
      <c r="G260" s="185"/>
    </row>
    <row r="262" spans="1:13" x14ac:dyDescent="0.25">
      <c r="A262" s="86"/>
      <c r="B262" s="175" t="s">
        <v>34</v>
      </c>
      <c r="C262" s="175"/>
      <c r="D262" s="175"/>
      <c r="E262" s="175"/>
      <c r="F262" s="74"/>
      <c r="G262" s="74"/>
      <c r="H262" s="14"/>
      <c r="I262" s="14"/>
      <c r="J262" s="175" t="s">
        <v>4</v>
      </c>
      <c r="K262" s="175"/>
      <c r="L262" s="175"/>
      <c r="M262" s="175"/>
    </row>
    <row r="266" spans="1:13" x14ac:dyDescent="0.25">
      <c r="B266" s="176" t="s">
        <v>829</v>
      </c>
      <c r="C266" s="176"/>
      <c r="D266" s="176"/>
      <c r="E266" s="176"/>
      <c r="G266" s="15"/>
      <c r="J266" s="176" t="s">
        <v>830</v>
      </c>
      <c r="K266" s="176"/>
      <c r="L266" s="176"/>
      <c r="M266" s="176"/>
    </row>
    <row r="269" spans="1:13" x14ac:dyDescent="0.25">
      <c r="A269" s="177" t="s">
        <v>0</v>
      </c>
      <c r="B269" s="177"/>
      <c r="C269" s="177"/>
      <c r="D269" s="177"/>
      <c r="E269" s="177"/>
      <c r="F269" s="177"/>
      <c r="G269" s="178" t="s">
        <v>1</v>
      </c>
      <c r="H269" s="178"/>
      <c r="I269" s="178"/>
      <c r="J269" s="178"/>
      <c r="K269" s="178"/>
      <c r="L269" s="178"/>
      <c r="M269" s="178"/>
    </row>
    <row r="270" spans="1:13" x14ac:dyDescent="0.25">
      <c r="A270" s="177" t="s">
        <v>22</v>
      </c>
      <c r="B270" s="177"/>
      <c r="C270" s="177"/>
      <c r="D270" s="177"/>
      <c r="E270" s="177"/>
      <c r="F270" s="177"/>
      <c r="G270" s="178" t="s">
        <v>2</v>
      </c>
      <c r="H270" s="178"/>
      <c r="I270" s="178"/>
      <c r="J270" s="178"/>
      <c r="K270" s="178"/>
      <c r="L270" s="178"/>
      <c r="M270" s="178"/>
    </row>
    <row r="271" spans="1:13" x14ac:dyDescent="0.25">
      <c r="A271" s="25"/>
      <c r="B271" s="26"/>
      <c r="C271" s="25"/>
      <c r="D271" s="25"/>
      <c r="E271" s="26"/>
      <c r="F271" s="26"/>
      <c r="G271" s="179" t="s">
        <v>937</v>
      </c>
      <c r="H271" s="179"/>
      <c r="I271" s="179"/>
      <c r="J271" s="179"/>
      <c r="K271" s="179"/>
      <c r="L271" s="179"/>
      <c r="M271" s="179"/>
    </row>
    <row r="272" spans="1:13" ht="18.75" x14ac:dyDescent="0.25">
      <c r="A272" s="180" t="s">
        <v>938</v>
      </c>
      <c r="B272" s="180"/>
      <c r="C272" s="180"/>
      <c r="D272" s="180"/>
      <c r="E272" s="180"/>
      <c r="F272" s="180"/>
      <c r="G272" s="180"/>
      <c r="H272" s="180"/>
      <c r="I272" s="180"/>
      <c r="J272" s="180"/>
      <c r="K272" s="180"/>
      <c r="L272" s="180"/>
      <c r="M272" s="180"/>
    </row>
    <row r="273" spans="1:13" x14ac:dyDescent="0.25">
      <c r="A273" s="1"/>
      <c r="B273" s="1"/>
      <c r="C273" s="1"/>
      <c r="D273" s="1"/>
      <c r="E273" s="19"/>
      <c r="F273" s="19"/>
      <c r="G273" s="19"/>
      <c r="H273" s="20"/>
      <c r="I273" s="21"/>
      <c r="J273" s="21"/>
      <c r="K273" s="21"/>
      <c r="L273" s="21"/>
      <c r="M273" s="1"/>
    </row>
    <row r="274" spans="1:13" ht="31.5" x14ac:dyDescent="0.25">
      <c r="A274" s="141" t="s">
        <v>7</v>
      </c>
      <c r="B274" s="141" t="s">
        <v>8</v>
      </c>
      <c r="C274" s="141" t="s">
        <v>9</v>
      </c>
      <c r="D274" s="142" t="s">
        <v>31</v>
      </c>
      <c r="E274" s="141" t="s">
        <v>10</v>
      </c>
      <c r="F274" s="141" t="s">
        <v>11</v>
      </c>
      <c r="G274" s="141" t="s">
        <v>12</v>
      </c>
      <c r="H274" s="143" t="s">
        <v>13</v>
      </c>
      <c r="I274" s="144" t="s">
        <v>14</v>
      </c>
      <c r="J274" s="143" t="s">
        <v>15</v>
      </c>
      <c r="K274" s="143" t="s">
        <v>90</v>
      </c>
      <c r="L274" s="144" t="s">
        <v>16</v>
      </c>
      <c r="M274" s="142" t="s">
        <v>20</v>
      </c>
    </row>
    <row r="275" spans="1:13" ht="78.75" x14ac:dyDescent="0.25">
      <c r="A275" s="3">
        <v>1</v>
      </c>
      <c r="B275" s="64">
        <v>786</v>
      </c>
      <c r="C275" s="65">
        <v>45910</v>
      </c>
      <c r="D275" s="67" t="s">
        <v>858</v>
      </c>
      <c r="E275" s="64" t="s">
        <v>859</v>
      </c>
      <c r="F275" s="157" t="s">
        <v>860</v>
      </c>
      <c r="G275" s="148" t="s">
        <v>861</v>
      </c>
      <c r="H275" s="61"/>
      <c r="I275" s="62"/>
      <c r="J275" s="61">
        <v>1625000</v>
      </c>
      <c r="K275" s="61"/>
      <c r="L275" s="63">
        <v>1625000</v>
      </c>
      <c r="M275" s="27" t="s">
        <v>862</v>
      </c>
    </row>
    <row r="276" spans="1:13" ht="66" x14ac:dyDescent="0.25">
      <c r="A276" s="3">
        <v>2</v>
      </c>
      <c r="B276" s="64">
        <v>847</v>
      </c>
      <c r="C276" s="65">
        <v>45938</v>
      </c>
      <c r="D276" s="109" t="s">
        <v>630</v>
      </c>
      <c r="E276" s="64" t="s">
        <v>631</v>
      </c>
      <c r="F276" s="146" t="s">
        <v>971</v>
      </c>
      <c r="G276" s="148" t="s">
        <v>972</v>
      </c>
      <c r="H276" s="68"/>
      <c r="I276" s="69"/>
      <c r="J276" s="68">
        <v>720000</v>
      </c>
      <c r="K276" s="61"/>
      <c r="L276" s="63"/>
      <c r="M276" s="27"/>
    </row>
    <row r="277" spans="1:13" ht="78.75" x14ac:dyDescent="0.25">
      <c r="A277" s="3">
        <v>3</v>
      </c>
      <c r="B277" s="64">
        <v>895</v>
      </c>
      <c r="C277" s="65">
        <v>45950</v>
      </c>
      <c r="D277" s="67" t="s">
        <v>1226</v>
      </c>
      <c r="E277" s="64" t="s">
        <v>1015</v>
      </c>
      <c r="F277" s="146" t="s">
        <v>1016</v>
      </c>
      <c r="G277" s="148" t="s">
        <v>1017</v>
      </c>
      <c r="H277" s="61">
        <v>300000</v>
      </c>
      <c r="I277" s="62"/>
      <c r="J277" s="61"/>
      <c r="K277" s="61">
        <v>5</v>
      </c>
      <c r="L277" s="63">
        <v>300000</v>
      </c>
      <c r="M277" s="27"/>
    </row>
    <row r="278" spans="1:13" ht="78.75" x14ac:dyDescent="0.25">
      <c r="A278" s="3">
        <v>4</v>
      </c>
      <c r="B278" s="64">
        <v>899</v>
      </c>
      <c r="C278" s="65">
        <v>45950</v>
      </c>
      <c r="D278" s="67" t="s">
        <v>1018</v>
      </c>
      <c r="E278" s="64" t="s">
        <v>1019</v>
      </c>
      <c r="F278" s="157" t="s">
        <v>1020</v>
      </c>
      <c r="G278" s="27" t="s">
        <v>1021</v>
      </c>
      <c r="H278" s="61">
        <v>1000000</v>
      </c>
      <c r="I278" s="62"/>
      <c r="J278" s="61"/>
      <c r="K278" s="61"/>
      <c r="L278" s="63">
        <v>1000000</v>
      </c>
      <c r="M278" s="27"/>
    </row>
    <row r="279" spans="1:13" ht="78.75" x14ac:dyDescent="0.25">
      <c r="A279" s="3">
        <v>5</v>
      </c>
      <c r="B279" s="64">
        <v>898</v>
      </c>
      <c r="C279" s="65">
        <v>45950</v>
      </c>
      <c r="D279" s="67" t="s">
        <v>369</v>
      </c>
      <c r="E279" s="64" t="s">
        <v>361</v>
      </c>
      <c r="F279" s="157" t="s">
        <v>1022</v>
      </c>
      <c r="G279" s="27" t="s">
        <v>1023</v>
      </c>
      <c r="H279" s="61">
        <v>1000000</v>
      </c>
      <c r="I279" s="62"/>
      <c r="J279" s="61"/>
      <c r="K279" s="61"/>
      <c r="L279" s="63">
        <v>1000000</v>
      </c>
      <c r="M279" s="27"/>
    </row>
    <row r="280" spans="1:13" x14ac:dyDescent="0.25">
      <c r="A280" s="3">
        <v>6</v>
      </c>
      <c r="B280" s="64"/>
      <c r="C280" s="65"/>
      <c r="D280" s="67"/>
      <c r="E280" s="64"/>
      <c r="F280" s="157"/>
      <c r="G280" s="27"/>
      <c r="H280" s="61"/>
      <c r="I280" s="62"/>
      <c r="J280" s="61"/>
      <c r="K280" s="61"/>
      <c r="L280" s="63"/>
      <c r="M280" s="27"/>
    </row>
    <row r="281" spans="1:13" x14ac:dyDescent="0.25">
      <c r="A281" s="181" t="s">
        <v>30</v>
      </c>
      <c r="B281" s="182"/>
      <c r="C281" s="182"/>
      <c r="D281" s="182"/>
      <c r="E281" s="182"/>
      <c r="F281" s="182"/>
      <c r="G281" s="183"/>
      <c r="H281" s="24">
        <f>SUM(H275:H280)</f>
        <v>2300000</v>
      </c>
      <c r="I281" s="24"/>
      <c r="J281" s="24">
        <f>SUM(J275:J280)</f>
        <v>2345000</v>
      </c>
      <c r="K281" s="24">
        <f>SUM(K275:K280)</f>
        <v>5</v>
      </c>
      <c r="L281" s="24">
        <f>SUM(L275:L280)</f>
        <v>3925000</v>
      </c>
      <c r="M281" s="75"/>
    </row>
    <row r="282" spans="1:13" x14ac:dyDescent="0.25">
      <c r="A282" s="184" t="s">
        <v>18</v>
      </c>
      <c r="B282" s="184"/>
      <c r="C282" s="184"/>
      <c r="D282" s="185" t="s">
        <v>1048</v>
      </c>
      <c r="E282" s="185"/>
      <c r="F282" s="185"/>
      <c r="G282" s="185"/>
    </row>
    <row r="284" spans="1:13" x14ac:dyDescent="0.25">
      <c r="A284" s="86"/>
      <c r="B284" s="175" t="s">
        <v>34</v>
      </c>
      <c r="C284" s="175"/>
      <c r="D284" s="175"/>
      <c r="E284" s="175"/>
      <c r="F284" s="74"/>
      <c r="G284" s="74"/>
      <c r="H284" s="14"/>
      <c r="I284" s="14"/>
      <c r="J284" s="175" t="s">
        <v>4</v>
      </c>
      <c r="K284" s="175"/>
      <c r="L284" s="175"/>
      <c r="M284" s="175"/>
    </row>
    <row r="288" spans="1:13" x14ac:dyDescent="0.25">
      <c r="B288" s="176" t="s">
        <v>829</v>
      </c>
      <c r="C288" s="176"/>
      <c r="D288" s="176"/>
      <c r="E288" s="176"/>
      <c r="G288" s="15"/>
      <c r="J288" s="176" t="s">
        <v>830</v>
      </c>
      <c r="K288" s="176"/>
      <c r="L288" s="176"/>
      <c r="M288" s="176"/>
    </row>
    <row r="291" spans="1:13" x14ac:dyDescent="0.25">
      <c r="A291" s="177" t="s">
        <v>0</v>
      </c>
      <c r="B291" s="177"/>
      <c r="C291" s="177"/>
      <c r="D291" s="177"/>
      <c r="E291" s="177"/>
      <c r="F291" s="177"/>
      <c r="G291" s="178" t="s">
        <v>1</v>
      </c>
      <c r="H291" s="178"/>
      <c r="I291" s="178"/>
      <c r="J291" s="178"/>
      <c r="K291" s="178"/>
      <c r="L291" s="178"/>
      <c r="M291" s="178"/>
    </row>
    <row r="292" spans="1:13" x14ac:dyDescent="0.25">
      <c r="A292" s="177" t="s">
        <v>22</v>
      </c>
      <c r="B292" s="177"/>
      <c r="C292" s="177"/>
      <c r="D292" s="177"/>
      <c r="E292" s="177"/>
      <c r="F292" s="177"/>
      <c r="G292" s="178" t="s">
        <v>2</v>
      </c>
      <c r="H292" s="178"/>
      <c r="I292" s="178"/>
      <c r="J292" s="178"/>
      <c r="K292" s="178"/>
      <c r="L292" s="178"/>
      <c r="M292" s="178"/>
    </row>
    <row r="293" spans="1:13" x14ac:dyDescent="0.25">
      <c r="A293" s="25"/>
      <c r="B293" s="26"/>
      <c r="C293" s="25"/>
      <c r="D293" s="25"/>
      <c r="E293" s="26"/>
      <c r="F293" s="26"/>
      <c r="G293" s="179" t="s">
        <v>1054</v>
      </c>
      <c r="H293" s="179"/>
      <c r="I293" s="179"/>
      <c r="J293" s="179"/>
      <c r="K293" s="179"/>
      <c r="L293" s="179"/>
      <c r="M293" s="179"/>
    </row>
    <row r="294" spans="1:13" ht="18.75" x14ac:dyDescent="0.25">
      <c r="A294" s="180" t="s">
        <v>1055</v>
      </c>
      <c r="B294" s="180"/>
      <c r="C294" s="180"/>
      <c r="D294" s="180"/>
      <c r="E294" s="180"/>
      <c r="F294" s="180"/>
      <c r="G294" s="180"/>
      <c r="H294" s="180"/>
      <c r="I294" s="180"/>
      <c r="J294" s="180"/>
      <c r="K294" s="180"/>
      <c r="L294" s="180"/>
      <c r="M294" s="180"/>
    </row>
    <row r="295" spans="1:13" x14ac:dyDescent="0.25">
      <c r="A295" s="1"/>
      <c r="B295" s="1"/>
      <c r="C295" s="1"/>
      <c r="D295" s="1"/>
      <c r="E295" s="19"/>
      <c r="F295" s="19"/>
      <c r="G295" s="19"/>
      <c r="H295" s="20"/>
      <c r="I295" s="21"/>
      <c r="J295" s="21"/>
      <c r="K295" s="21"/>
      <c r="L295" s="21"/>
      <c r="M295" s="1"/>
    </row>
    <row r="296" spans="1:13" ht="31.5" x14ac:dyDescent="0.25">
      <c r="A296" s="141" t="s">
        <v>7</v>
      </c>
      <c r="B296" s="141" t="s">
        <v>8</v>
      </c>
      <c r="C296" s="141" t="s">
        <v>9</v>
      </c>
      <c r="D296" s="142" t="s">
        <v>31</v>
      </c>
      <c r="E296" s="141" t="s">
        <v>10</v>
      </c>
      <c r="F296" s="141" t="s">
        <v>11</v>
      </c>
      <c r="G296" s="141" t="s">
        <v>12</v>
      </c>
      <c r="H296" s="143" t="s">
        <v>13</v>
      </c>
      <c r="I296" s="144" t="s">
        <v>14</v>
      </c>
      <c r="J296" s="143" t="s">
        <v>15</v>
      </c>
      <c r="K296" s="143" t="s">
        <v>90</v>
      </c>
      <c r="L296" s="144" t="s">
        <v>16</v>
      </c>
      <c r="M296" s="142" t="s">
        <v>20</v>
      </c>
    </row>
    <row r="297" spans="1:13" ht="56.25" customHeight="1" x14ac:dyDescent="0.25">
      <c r="A297" s="3">
        <v>1</v>
      </c>
      <c r="B297" s="64">
        <v>958</v>
      </c>
      <c r="C297" s="65">
        <v>45969</v>
      </c>
      <c r="D297" s="67" t="s">
        <v>86</v>
      </c>
      <c r="E297" s="64" t="s">
        <v>87</v>
      </c>
      <c r="F297" s="157" t="s">
        <v>1077</v>
      </c>
      <c r="G297" s="148" t="s">
        <v>1078</v>
      </c>
      <c r="H297" s="61">
        <v>200000</v>
      </c>
      <c r="I297" s="62"/>
      <c r="J297" s="61"/>
      <c r="K297" s="61">
        <v>5</v>
      </c>
      <c r="L297" s="63">
        <v>200000</v>
      </c>
      <c r="M297" s="27"/>
    </row>
    <row r="298" spans="1:13" ht="70.5" customHeight="1" x14ac:dyDescent="0.25">
      <c r="A298" s="3">
        <v>2</v>
      </c>
      <c r="B298" s="64">
        <v>968</v>
      </c>
      <c r="C298" s="65">
        <v>45975</v>
      </c>
      <c r="D298" s="67" t="s">
        <v>1105</v>
      </c>
      <c r="E298" s="64" t="s">
        <v>1106</v>
      </c>
      <c r="F298" s="157" t="s">
        <v>1077</v>
      </c>
      <c r="G298" s="148" t="s">
        <v>1107</v>
      </c>
      <c r="H298" s="61">
        <v>200000</v>
      </c>
      <c r="I298" s="62"/>
      <c r="J298" s="61"/>
      <c r="K298" s="61">
        <v>5</v>
      </c>
      <c r="L298" s="63">
        <v>200000</v>
      </c>
      <c r="M298" s="27"/>
    </row>
    <row r="299" spans="1:13" ht="65.25" customHeight="1" x14ac:dyDescent="0.25">
      <c r="A299" s="3">
        <v>3</v>
      </c>
      <c r="B299" s="64">
        <v>973</v>
      </c>
      <c r="C299" s="65">
        <v>45982</v>
      </c>
      <c r="D299" s="67" t="s">
        <v>1111</v>
      </c>
      <c r="E299" s="64" t="s">
        <v>156</v>
      </c>
      <c r="F299" s="157" t="s">
        <v>1077</v>
      </c>
      <c r="G299" s="148" t="s">
        <v>1112</v>
      </c>
      <c r="H299" s="61">
        <v>200000</v>
      </c>
      <c r="I299" s="62"/>
      <c r="J299" s="61"/>
      <c r="K299" s="61">
        <v>8</v>
      </c>
      <c r="L299" s="63">
        <v>200000</v>
      </c>
      <c r="M299" s="27"/>
    </row>
    <row r="300" spans="1:13" ht="76.5" customHeight="1" x14ac:dyDescent="0.25">
      <c r="A300" s="3">
        <v>4</v>
      </c>
      <c r="B300" s="64">
        <v>984</v>
      </c>
      <c r="C300" s="65">
        <v>45988</v>
      </c>
      <c r="D300" s="67" t="s">
        <v>627</v>
      </c>
      <c r="E300" s="64" t="s">
        <v>628</v>
      </c>
      <c r="F300" s="157" t="s">
        <v>1113</v>
      </c>
      <c r="G300" s="156" t="s">
        <v>1114</v>
      </c>
      <c r="H300" s="61"/>
      <c r="I300" s="62"/>
      <c r="J300" s="61">
        <v>230000</v>
      </c>
      <c r="K300" s="61"/>
      <c r="L300" s="63">
        <v>230000</v>
      </c>
      <c r="M300" s="27"/>
    </row>
    <row r="301" spans="1:13" ht="67.5" x14ac:dyDescent="0.25">
      <c r="A301" s="3">
        <v>5</v>
      </c>
      <c r="B301" s="64">
        <v>985</v>
      </c>
      <c r="C301" s="65">
        <v>45988</v>
      </c>
      <c r="D301" s="67"/>
      <c r="E301" s="64" t="s">
        <v>1115</v>
      </c>
      <c r="F301" s="157"/>
      <c r="G301" s="147" t="s">
        <v>1116</v>
      </c>
      <c r="H301" s="61"/>
      <c r="I301" s="62"/>
      <c r="J301" s="61">
        <v>403000</v>
      </c>
      <c r="K301" s="61"/>
      <c r="L301" s="63">
        <v>403000</v>
      </c>
      <c r="M301" s="27"/>
    </row>
    <row r="302" spans="1:13" ht="63" x14ac:dyDescent="0.25">
      <c r="A302" s="3">
        <v>6</v>
      </c>
      <c r="B302" s="64">
        <v>992</v>
      </c>
      <c r="C302" s="65">
        <v>45988</v>
      </c>
      <c r="D302" s="109" t="s">
        <v>1139</v>
      </c>
      <c r="E302" s="64" t="s">
        <v>1140</v>
      </c>
      <c r="F302" s="146" t="s">
        <v>1141</v>
      </c>
      <c r="G302" s="147" t="s">
        <v>1142</v>
      </c>
      <c r="H302" s="68"/>
      <c r="I302" s="69">
        <v>0.98</v>
      </c>
      <c r="J302" s="68"/>
      <c r="K302" s="68">
        <v>5</v>
      </c>
      <c r="L302" s="70">
        <v>180000</v>
      </c>
      <c r="M302" s="89" t="s">
        <v>1143</v>
      </c>
    </row>
    <row r="303" spans="1:13" ht="63" x14ac:dyDescent="0.25">
      <c r="A303" s="3">
        <v>7</v>
      </c>
      <c r="B303" s="64">
        <v>993</v>
      </c>
      <c r="C303" s="65">
        <v>45988</v>
      </c>
      <c r="D303" s="67" t="s">
        <v>1111</v>
      </c>
      <c r="E303" s="64" t="s">
        <v>156</v>
      </c>
      <c r="F303" s="157" t="s">
        <v>1077</v>
      </c>
      <c r="G303" s="147" t="s">
        <v>1142</v>
      </c>
      <c r="H303" s="61"/>
      <c r="I303" s="62">
        <v>0.98</v>
      </c>
      <c r="J303" s="61"/>
      <c r="K303" s="61">
        <v>5</v>
      </c>
      <c r="L303" s="63">
        <v>144000</v>
      </c>
      <c r="M303" s="89" t="s">
        <v>1143</v>
      </c>
    </row>
    <row r="304" spans="1:13" x14ac:dyDescent="0.25">
      <c r="A304" s="3"/>
      <c r="B304" s="64"/>
      <c r="C304" s="65"/>
      <c r="D304" s="67"/>
      <c r="E304" s="64"/>
      <c r="F304" s="157"/>
      <c r="G304" s="27"/>
      <c r="H304" s="61"/>
      <c r="I304" s="62"/>
      <c r="J304" s="61"/>
      <c r="K304" s="61"/>
      <c r="L304" s="63"/>
      <c r="M304" s="27"/>
    </row>
    <row r="305" spans="1:13" x14ac:dyDescent="0.25">
      <c r="A305" s="181" t="s">
        <v>30</v>
      </c>
      <c r="B305" s="182"/>
      <c r="C305" s="182"/>
      <c r="D305" s="182"/>
      <c r="E305" s="182"/>
      <c r="F305" s="182"/>
      <c r="G305" s="183"/>
      <c r="H305" s="24">
        <f>SUM(H297:H304)</f>
        <v>600000</v>
      </c>
      <c r="I305" s="24"/>
      <c r="J305" s="24">
        <f>SUM(J297:J304)</f>
        <v>633000</v>
      </c>
      <c r="K305" s="24">
        <f>SUM(K297:K304)</f>
        <v>28</v>
      </c>
      <c r="L305" s="24">
        <f>SUM(L297:L304)</f>
        <v>1557000</v>
      </c>
      <c r="M305" s="75"/>
    </row>
    <row r="306" spans="1:13" x14ac:dyDescent="0.25">
      <c r="A306" s="184" t="s">
        <v>18</v>
      </c>
      <c r="B306" s="184"/>
      <c r="C306" s="184"/>
      <c r="D306" s="185" t="s">
        <v>1243</v>
      </c>
      <c r="E306" s="185"/>
      <c r="F306" s="185"/>
      <c r="G306" s="185"/>
    </row>
    <row r="308" spans="1:13" x14ac:dyDescent="0.25">
      <c r="A308" s="86"/>
      <c r="B308" s="175" t="s">
        <v>34</v>
      </c>
      <c r="C308" s="175"/>
      <c r="D308" s="175"/>
      <c r="E308" s="175"/>
      <c r="F308" s="74"/>
      <c r="G308" s="74"/>
      <c r="H308" s="14"/>
      <c r="I308" s="14"/>
      <c r="J308" s="175" t="s">
        <v>4</v>
      </c>
      <c r="K308" s="175"/>
      <c r="L308" s="175"/>
      <c r="M308" s="175"/>
    </row>
    <row r="312" spans="1:13" x14ac:dyDescent="0.25">
      <c r="B312" s="176" t="s">
        <v>829</v>
      </c>
      <c r="C312" s="176"/>
      <c r="D312" s="176"/>
      <c r="E312" s="176"/>
      <c r="G312" s="15"/>
      <c r="J312" s="176" t="s">
        <v>830</v>
      </c>
      <c r="K312" s="176"/>
      <c r="L312" s="176"/>
      <c r="M312" s="176"/>
    </row>
  </sheetData>
  <mergeCells count="136">
    <mergeCell ref="B284:E284"/>
    <mergeCell ref="J284:M284"/>
    <mergeCell ref="B288:E288"/>
    <mergeCell ref="J288:M288"/>
    <mergeCell ref="A269:F269"/>
    <mergeCell ref="G269:M269"/>
    <mergeCell ref="A270:F270"/>
    <mergeCell ref="G270:M270"/>
    <mergeCell ref="G271:M271"/>
    <mergeCell ref="A272:M272"/>
    <mergeCell ref="A281:G281"/>
    <mergeCell ref="A282:C282"/>
    <mergeCell ref="D282:G282"/>
    <mergeCell ref="B266:E266"/>
    <mergeCell ref="J266:M266"/>
    <mergeCell ref="A251:M251"/>
    <mergeCell ref="A259:G259"/>
    <mergeCell ref="A260:C260"/>
    <mergeCell ref="D260:G260"/>
    <mergeCell ref="B262:E262"/>
    <mergeCell ref="J262:M262"/>
    <mergeCell ref="A248:F248"/>
    <mergeCell ref="G248:M248"/>
    <mergeCell ref="A249:F249"/>
    <mergeCell ref="G249:M249"/>
    <mergeCell ref="G250:M250"/>
    <mergeCell ref="B217:E217"/>
    <mergeCell ref="J217:M217"/>
    <mergeCell ref="A192:M192"/>
    <mergeCell ref="A210:G210"/>
    <mergeCell ref="A211:C211"/>
    <mergeCell ref="B213:E213"/>
    <mergeCell ref="J213:M213"/>
    <mergeCell ref="A189:F189"/>
    <mergeCell ref="G189:M189"/>
    <mergeCell ref="A190:F190"/>
    <mergeCell ref="G190:M190"/>
    <mergeCell ref="G191:M191"/>
    <mergeCell ref="B121:E121"/>
    <mergeCell ref="J121:M121"/>
    <mergeCell ref="A95:M95"/>
    <mergeCell ref="A114:G114"/>
    <mergeCell ref="A115:C115"/>
    <mergeCell ref="B117:E117"/>
    <mergeCell ref="J117:M117"/>
    <mergeCell ref="A92:F92"/>
    <mergeCell ref="G92:M92"/>
    <mergeCell ref="A93:F93"/>
    <mergeCell ref="G93:M93"/>
    <mergeCell ref="G94:M94"/>
    <mergeCell ref="B88:E88"/>
    <mergeCell ref="J88:M88"/>
    <mergeCell ref="G62:M62"/>
    <mergeCell ref="A63:M63"/>
    <mergeCell ref="A81:G81"/>
    <mergeCell ref="A82:C82"/>
    <mergeCell ref="B84:E84"/>
    <mergeCell ref="J84:M84"/>
    <mergeCell ref="B52:E52"/>
    <mergeCell ref="J52:M52"/>
    <mergeCell ref="A60:F60"/>
    <mergeCell ref="G60:M60"/>
    <mergeCell ref="A61:F61"/>
    <mergeCell ref="G61:M61"/>
    <mergeCell ref="A28:M28"/>
    <mergeCell ref="A45:G45"/>
    <mergeCell ref="A46:C46"/>
    <mergeCell ref="B48:E48"/>
    <mergeCell ref="J48:M48"/>
    <mergeCell ref="A25:F25"/>
    <mergeCell ref="G25:M25"/>
    <mergeCell ref="A26:F26"/>
    <mergeCell ref="G26:M26"/>
    <mergeCell ref="G27:M27"/>
    <mergeCell ref="B19:E19"/>
    <mergeCell ref="J19:M19"/>
    <mergeCell ref="A1:F1"/>
    <mergeCell ref="G1:M1"/>
    <mergeCell ref="A2:F2"/>
    <mergeCell ref="G2:M2"/>
    <mergeCell ref="G3:M3"/>
    <mergeCell ref="A4:M4"/>
    <mergeCell ref="A12:G12"/>
    <mergeCell ref="A13:C13"/>
    <mergeCell ref="B15:E15"/>
    <mergeCell ref="J15:M15"/>
    <mergeCell ref="A125:F125"/>
    <mergeCell ref="G125:M125"/>
    <mergeCell ref="A126:F126"/>
    <mergeCell ref="G126:M126"/>
    <mergeCell ref="G127:M127"/>
    <mergeCell ref="B151:E151"/>
    <mergeCell ref="J151:M151"/>
    <mergeCell ref="A128:M128"/>
    <mergeCell ref="A144:G144"/>
    <mergeCell ref="A145:C145"/>
    <mergeCell ref="B147:E147"/>
    <mergeCell ref="J147:M147"/>
    <mergeCell ref="A156:F156"/>
    <mergeCell ref="G156:M156"/>
    <mergeCell ref="A157:F157"/>
    <mergeCell ref="G157:M157"/>
    <mergeCell ref="G158:M158"/>
    <mergeCell ref="B185:E185"/>
    <mergeCell ref="J185:M185"/>
    <mergeCell ref="A159:M159"/>
    <mergeCell ref="A178:G178"/>
    <mergeCell ref="A179:C179"/>
    <mergeCell ref="B181:E181"/>
    <mergeCell ref="J181:M181"/>
    <mergeCell ref="A226:F226"/>
    <mergeCell ref="G226:M226"/>
    <mergeCell ref="A227:F227"/>
    <mergeCell ref="G227:M227"/>
    <mergeCell ref="G228:M228"/>
    <mergeCell ref="B244:E244"/>
    <mergeCell ref="J244:M244"/>
    <mergeCell ref="A229:M229"/>
    <mergeCell ref="A237:G237"/>
    <mergeCell ref="A238:C238"/>
    <mergeCell ref="B240:E240"/>
    <mergeCell ref="J240:M240"/>
    <mergeCell ref="D238:G238"/>
    <mergeCell ref="B308:E308"/>
    <mergeCell ref="J308:M308"/>
    <mergeCell ref="B312:E312"/>
    <mergeCell ref="J312:M312"/>
    <mergeCell ref="A291:F291"/>
    <mergeCell ref="G291:M291"/>
    <mergeCell ref="A292:F292"/>
    <mergeCell ref="G292:M292"/>
    <mergeCell ref="G293:M293"/>
    <mergeCell ref="A294:M294"/>
    <mergeCell ref="A305:G305"/>
    <mergeCell ref="A306:C306"/>
    <mergeCell ref="D306:G306"/>
  </mergeCells>
  <pageMargins left="0.23622047244094499" right="0.196850393700787" top="0.31496062992126" bottom="0.15748031496063" header="0.23622047244094499" footer="0.15748031496063"/>
  <pageSetup paperSize="9" scale="76" fitToHeight="0" orientation="landscape"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55"/>
  <sheetViews>
    <sheetView topLeftCell="A55" workbookViewId="0">
      <selection activeCell="F222" sqref="F222"/>
    </sheetView>
  </sheetViews>
  <sheetFormatPr defaultColWidth="10.28515625" defaultRowHeight="15.75" x14ac:dyDescent="0.25"/>
  <cols>
    <col min="1" max="1" width="4.28515625" style="8" customWidth="1"/>
    <col min="2" max="2" width="5.7109375" style="8" customWidth="1"/>
    <col min="3" max="3" width="11.5703125" style="8" customWidth="1"/>
    <col min="4" max="4" width="11.28515625" style="8" customWidth="1"/>
    <col min="5" max="5" width="16.7109375" style="18" customWidth="1"/>
    <col min="6" max="6" width="18.42578125" style="8" customWidth="1"/>
    <col min="7" max="7" width="40.5703125" style="82" customWidth="1"/>
    <col min="8" max="8" width="10.140625" style="7" customWidth="1"/>
    <col min="9" max="9" width="7.5703125" style="8" customWidth="1"/>
    <col min="10" max="10" width="11.7109375" style="7" customWidth="1"/>
    <col min="11" max="11" width="10.5703125" style="7" customWidth="1"/>
    <col min="12" max="12" width="11.28515625" style="8" customWidth="1"/>
    <col min="13" max="13" width="21.140625" style="5" customWidth="1"/>
    <col min="14" max="14" width="14.5703125" style="5" bestFit="1" customWidth="1"/>
    <col min="15" max="16384" width="10.28515625" style="5"/>
  </cols>
  <sheetData>
    <row r="1" spans="1:14" ht="18" hidden="1" customHeight="1" x14ac:dyDescent="0.25">
      <c r="E1" s="30" t="s">
        <v>5</v>
      </c>
      <c r="F1" s="87"/>
      <c r="G1" s="187" t="s">
        <v>1</v>
      </c>
      <c r="H1" s="187"/>
      <c r="I1" s="187"/>
      <c r="J1" s="187"/>
      <c r="K1" s="187"/>
      <c r="L1" s="187"/>
      <c r="M1" s="187"/>
    </row>
    <row r="2" spans="1:14" ht="18" hidden="1" customHeight="1" x14ac:dyDescent="0.25">
      <c r="E2" s="30" t="s">
        <v>6</v>
      </c>
      <c r="F2" s="87"/>
      <c r="G2" s="188" t="s">
        <v>2</v>
      </c>
      <c r="H2" s="188"/>
      <c r="I2" s="188"/>
      <c r="J2" s="188"/>
      <c r="K2" s="188"/>
      <c r="L2" s="188"/>
      <c r="M2" s="188"/>
    </row>
    <row r="3" spans="1:14" ht="19.149999999999999" hidden="1" customHeight="1" x14ac:dyDescent="0.25">
      <c r="A3" s="4"/>
      <c r="B3" s="4"/>
      <c r="C3" s="4"/>
      <c r="D3" s="4"/>
      <c r="E3" s="4"/>
      <c r="F3" s="6"/>
      <c r="G3" s="6"/>
      <c r="H3" s="189" t="s">
        <v>60</v>
      </c>
      <c r="I3" s="189"/>
      <c r="J3" s="189"/>
      <c r="K3" s="189"/>
      <c r="L3" s="189"/>
      <c r="M3" s="189"/>
    </row>
    <row r="4" spans="1:14" ht="24" hidden="1" customHeight="1" x14ac:dyDescent="0.25">
      <c r="A4" s="190" t="s">
        <v>63</v>
      </c>
      <c r="B4" s="190"/>
      <c r="C4" s="190"/>
      <c r="D4" s="190"/>
      <c r="E4" s="190"/>
      <c r="F4" s="190"/>
      <c r="G4" s="190"/>
      <c r="H4" s="190"/>
      <c r="I4" s="190"/>
      <c r="J4" s="190"/>
      <c r="K4" s="190"/>
      <c r="L4" s="190"/>
      <c r="M4" s="190"/>
    </row>
    <row r="5" spans="1:14" ht="36.6" hidden="1" customHeight="1" x14ac:dyDescent="0.25">
      <c r="A5" s="77" t="s">
        <v>7</v>
      </c>
      <c r="B5" s="77" t="s">
        <v>8</v>
      </c>
      <c r="C5" s="77" t="s">
        <v>9</v>
      </c>
      <c r="D5" s="77" t="s">
        <v>31</v>
      </c>
      <c r="E5" s="77" t="s">
        <v>10</v>
      </c>
      <c r="F5" s="77" t="s">
        <v>11</v>
      </c>
      <c r="G5" s="77" t="s">
        <v>12</v>
      </c>
      <c r="H5" s="78" t="s">
        <v>13</v>
      </c>
      <c r="I5" s="77" t="s">
        <v>14</v>
      </c>
      <c r="J5" s="78" t="s">
        <v>15</v>
      </c>
      <c r="K5" s="78"/>
      <c r="L5" s="79" t="s">
        <v>16</v>
      </c>
      <c r="M5" s="77" t="s">
        <v>20</v>
      </c>
    </row>
    <row r="6" spans="1:14" ht="82.15" hidden="1" customHeight="1" x14ac:dyDescent="0.25">
      <c r="A6" s="16">
        <v>1</v>
      </c>
      <c r="B6" s="64">
        <v>8</v>
      </c>
      <c r="C6" s="65">
        <v>45661</v>
      </c>
      <c r="D6" s="67" t="s">
        <v>54</v>
      </c>
      <c r="E6" s="64" t="s">
        <v>55</v>
      </c>
      <c r="F6" s="64" t="s">
        <v>56</v>
      </c>
      <c r="G6" s="27" t="s">
        <v>57</v>
      </c>
      <c r="H6" s="61">
        <v>100000</v>
      </c>
      <c r="I6" s="76"/>
      <c r="J6" s="61"/>
      <c r="K6" s="108"/>
      <c r="L6" s="73">
        <f t="shared" ref="L6" si="0">H6+J6</f>
        <v>100000</v>
      </c>
      <c r="M6" s="27" t="s">
        <v>58</v>
      </c>
      <c r="N6" s="81"/>
    </row>
    <row r="7" spans="1:14" ht="26.45" hidden="1" customHeight="1" x14ac:dyDescent="0.25">
      <c r="A7" s="191" t="s">
        <v>30</v>
      </c>
      <c r="B7" s="191"/>
      <c r="C7" s="191"/>
      <c r="D7" s="191"/>
      <c r="E7" s="191"/>
      <c r="F7" s="191"/>
      <c r="G7" s="191"/>
      <c r="H7" s="72">
        <f>SUM(H6:H6)</f>
        <v>100000</v>
      </c>
      <c r="I7" s="72"/>
      <c r="J7" s="72">
        <f>SUM(J6:J6)</f>
        <v>0</v>
      </c>
      <c r="K7" s="72"/>
      <c r="L7" s="72">
        <f>SUM(L6:L6)</f>
        <v>100000</v>
      </c>
      <c r="M7" s="71"/>
    </row>
    <row r="8" spans="1:14" hidden="1" x14ac:dyDescent="0.25">
      <c r="A8" s="192" t="s">
        <v>18</v>
      </c>
      <c r="B8" s="192"/>
      <c r="C8" s="192"/>
      <c r="D8" s="80" t="e">
        <f ca="1">[1]!vnd(L7)</f>
        <v>#NAME?</v>
      </c>
      <c r="E8" s="85"/>
      <c r="F8" s="11"/>
      <c r="G8" s="85"/>
      <c r="H8" s="12"/>
      <c r="I8" s="12"/>
      <c r="J8" s="12"/>
      <c r="K8" s="12"/>
      <c r="L8" s="12"/>
      <c r="M8" s="13"/>
    </row>
    <row r="9" spans="1:14" hidden="1" x14ac:dyDescent="0.25">
      <c r="A9" s="13"/>
      <c r="B9" s="13"/>
      <c r="C9" s="13"/>
      <c r="D9" s="13"/>
      <c r="E9" s="11"/>
      <c r="F9" s="11"/>
      <c r="G9" s="11"/>
      <c r="H9" s="12"/>
      <c r="I9" s="12"/>
      <c r="J9" s="12"/>
      <c r="K9" s="12"/>
      <c r="L9" s="12"/>
      <c r="M9" s="13"/>
    </row>
    <row r="10" spans="1:14" hidden="1" x14ac:dyDescent="0.25">
      <c r="A10" s="86"/>
      <c r="B10" s="175" t="s">
        <v>34</v>
      </c>
      <c r="C10" s="175"/>
      <c r="D10" s="175"/>
      <c r="E10" s="175"/>
      <c r="F10" s="74"/>
      <c r="G10" s="74"/>
      <c r="H10" s="14"/>
      <c r="I10" s="14"/>
      <c r="J10" s="175" t="s">
        <v>4</v>
      </c>
      <c r="K10" s="175"/>
      <c r="L10" s="175"/>
      <c r="M10" s="175"/>
    </row>
    <row r="11" spans="1:14" hidden="1" x14ac:dyDescent="0.25">
      <c r="A11" s="13"/>
      <c r="B11" s="13"/>
      <c r="C11" s="13"/>
      <c r="D11" s="13"/>
      <c r="E11" s="11"/>
      <c r="F11" s="11"/>
      <c r="G11" s="11"/>
      <c r="H11" s="12"/>
      <c r="I11" s="12"/>
      <c r="J11" s="12"/>
      <c r="K11" s="12"/>
      <c r="L11" s="12"/>
      <c r="M11" s="13"/>
    </row>
    <row r="12" spans="1:14" hidden="1" x14ac:dyDescent="0.25">
      <c r="A12" s="13"/>
      <c r="B12" s="13"/>
      <c r="C12" s="13"/>
      <c r="D12" s="13"/>
      <c r="E12" s="11"/>
      <c r="F12" s="11"/>
      <c r="G12" s="11"/>
      <c r="H12" s="12"/>
      <c r="I12" s="12"/>
      <c r="J12" s="12"/>
      <c r="K12" s="12"/>
      <c r="L12" s="12"/>
      <c r="M12" s="13"/>
    </row>
    <row r="13" spans="1:14" hidden="1" x14ac:dyDescent="0.25">
      <c r="A13" s="13"/>
      <c r="B13" s="13"/>
      <c r="C13" s="13"/>
      <c r="D13" s="13"/>
      <c r="E13" s="11"/>
      <c r="F13" s="11"/>
      <c r="G13" s="11"/>
      <c r="H13" s="12"/>
      <c r="I13" s="12"/>
      <c r="J13" s="12"/>
      <c r="K13" s="12"/>
      <c r="L13" s="12"/>
      <c r="M13" s="13"/>
    </row>
    <row r="14" spans="1:14" hidden="1" x14ac:dyDescent="0.25">
      <c r="A14" s="13"/>
      <c r="B14" s="176" t="s">
        <v>64</v>
      </c>
      <c r="C14" s="176"/>
      <c r="D14" s="176"/>
      <c r="E14" s="176"/>
      <c r="F14" s="11"/>
      <c r="G14" s="15"/>
      <c r="H14" s="12"/>
      <c r="I14" s="12"/>
      <c r="J14" s="176" t="s">
        <v>3</v>
      </c>
      <c r="K14" s="176"/>
      <c r="L14" s="176"/>
      <c r="M14" s="176"/>
    </row>
    <row r="15" spans="1:14" hidden="1" x14ac:dyDescent="0.25"/>
    <row r="16" spans="1:14" hidden="1" x14ac:dyDescent="0.25"/>
    <row r="17" spans="1:14" hidden="1" x14ac:dyDescent="0.25"/>
    <row r="18" spans="1:14" hidden="1" x14ac:dyDescent="0.25"/>
    <row r="19" spans="1:14" hidden="1" x14ac:dyDescent="0.25"/>
    <row r="20" spans="1:14" hidden="1" x14ac:dyDescent="0.25"/>
    <row r="21" spans="1:14" hidden="1" x14ac:dyDescent="0.25"/>
    <row r="22" spans="1:14" hidden="1" x14ac:dyDescent="0.25"/>
    <row r="23" spans="1:14" ht="18" customHeight="1" x14ac:dyDescent="0.25">
      <c r="E23" s="30" t="s">
        <v>5</v>
      </c>
      <c r="F23" s="87"/>
      <c r="G23" s="187" t="s">
        <v>1</v>
      </c>
      <c r="H23" s="187"/>
      <c r="I23" s="187"/>
      <c r="J23" s="187"/>
      <c r="K23" s="187"/>
      <c r="L23" s="187"/>
      <c r="M23" s="187"/>
    </row>
    <row r="24" spans="1:14" ht="18" customHeight="1" x14ac:dyDescent="0.25">
      <c r="E24" s="30" t="s">
        <v>6</v>
      </c>
      <c r="F24" s="87"/>
      <c r="G24" s="188" t="s">
        <v>2</v>
      </c>
      <c r="H24" s="188"/>
      <c r="I24" s="188"/>
      <c r="J24" s="188"/>
      <c r="K24" s="188"/>
      <c r="L24" s="188"/>
      <c r="M24" s="188"/>
    </row>
    <row r="25" spans="1:14" ht="19.149999999999999" customHeight="1" x14ac:dyDescent="0.25">
      <c r="A25" s="4"/>
      <c r="B25" s="4"/>
      <c r="C25" s="4"/>
      <c r="D25" s="4"/>
      <c r="E25" s="4"/>
      <c r="F25" s="6"/>
      <c r="G25" s="6"/>
      <c r="H25" s="189" t="s">
        <v>84</v>
      </c>
      <c r="I25" s="189"/>
      <c r="J25" s="189"/>
      <c r="K25" s="189"/>
      <c r="L25" s="189"/>
      <c r="M25" s="189"/>
    </row>
    <row r="26" spans="1:14" ht="24" customHeight="1" x14ac:dyDescent="0.25">
      <c r="A26" s="190" t="s">
        <v>82</v>
      </c>
      <c r="B26" s="190"/>
      <c r="C26" s="190"/>
      <c r="D26" s="190"/>
      <c r="E26" s="190"/>
      <c r="F26" s="190"/>
      <c r="G26" s="190"/>
      <c r="H26" s="190"/>
      <c r="I26" s="190"/>
      <c r="J26" s="190"/>
      <c r="K26" s="190"/>
      <c r="L26" s="190"/>
      <c r="M26" s="190"/>
    </row>
    <row r="27" spans="1:14" ht="36.6" customHeight="1" x14ac:dyDescent="0.25">
      <c r="A27" s="77" t="s">
        <v>7</v>
      </c>
      <c r="B27" s="77" t="s">
        <v>8</v>
      </c>
      <c r="C27" s="77" t="s">
        <v>9</v>
      </c>
      <c r="D27" s="77" t="s">
        <v>31</v>
      </c>
      <c r="E27" s="77" t="s">
        <v>10</v>
      </c>
      <c r="F27" s="77" t="s">
        <v>11</v>
      </c>
      <c r="G27" s="77" t="s">
        <v>12</v>
      </c>
      <c r="H27" s="78" t="s">
        <v>13</v>
      </c>
      <c r="I27" s="77" t="s">
        <v>14</v>
      </c>
      <c r="J27" s="78" t="s">
        <v>15</v>
      </c>
      <c r="K27" s="78" t="s">
        <v>90</v>
      </c>
      <c r="L27" s="79" t="s">
        <v>16</v>
      </c>
      <c r="M27" s="77" t="s">
        <v>20</v>
      </c>
    </row>
    <row r="28" spans="1:14" ht="82.15" customHeight="1" x14ac:dyDescent="0.25">
      <c r="A28" s="16">
        <v>1</v>
      </c>
      <c r="B28" s="64">
        <v>8</v>
      </c>
      <c r="C28" s="65">
        <v>45661</v>
      </c>
      <c r="D28" s="67" t="s">
        <v>54</v>
      </c>
      <c r="E28" s="64" t="s">
        <v>55</v>
      </c>
      <c r="F28" s="64" t="s">
        <v>56</v>
      </c>
      <c r="G28" s="27" t="s">
        <v>57</v>
      </c>
      <c r="H28" s="61">
        <v>100000</v>
      </c>
      <c r="I28" s="76"/>
      <c r="J28" s="61"/>
      <c r="K28" s="108"/>
      <c r="L28" s="73">
        <f t="shared" ref="L28:L36" si="1">H28+J28</f>
        <v>100000</v>
      </c>
      <c r="M28" s="27" t="s">
        <v>58</v>
      </c>
      <c r="N28" s="81"/>
    </row>
    <row r="29" spans="1:14" ht="48" hidden="1" customHeight="1" x14ac:dyDescent="0.25">
      <c r="A29" s="16">
        <v>2</v>
      </c>
      <c r="B29" s="64"/>
      <c r="C29" s="65"/>
      <c r="D29" s="67"/>
      <c r="E29" s="64"/>
      <c r="F29" s="64"/>
      <c r="G29" s="27"/>
      <c r="H29" s="61"/>
      <c r="I29" s="76"/>
      <c r="J29" s="61"/>
      <c r="K29" s="108"/>
      <c r="L29" s="73">
        <f t="shared" si="1"/>
        <v>0</v>
      </c>
      <c r="M29" s="27"/>
      <c r="N29" s="81"/>
    </row>
    <row r="30" spans="1:14" ht="82.15" hidden="1" customHeight="1" x14ac:dyDescent="0.25">
      <c r="A30" s="16"/>
      <c r="B30" s="64"/>
      <c r="C30" s="65"/>
      <c r="D30" s="67"/>
      <c r="E30" s="64"/>
      <c r="F30" s="64"/>
      <c r="G30" s="27"/>
      <c r="H30" s="61"/>
      <c r="I30" s="76"/>
      <c r="J30" s="61"/>
      <c r="K30" s="108"/>
      <c r="L30" s="73">
        <f t="shared" si="1"/>
        <v>0</v>
      </c>
      <c r="M30" s="27"/>
      <c r="N30" s="81"/>
    </row>
    <row r="31" spans="1:14" ht="82.15" hidden="1" customHeight="1" x14ac:dyDescent="0.25">
      <c r="A31" s="16"/>
      <c r="B31" s="64"/>
      <c r="C31" s="65"/>
      <c r="D31" s="67"/>
      <c r="E31" s="64"/>
      <c r="F31" s="64"/>
      <c r="G31" s="27"/>
      <c r="H31" s="61"/>
      <c r="I31" s="76"/>
      <c r="J31" s="61"/>
      <c r="K31" s="108"/>
      <c r="L31" s="73">
        <f t="shared" si="1"/>
        <v>0</v>
      </c>
      <c r="M31" s="27"/>
      <c r="N31" s="81"/>
    </row>
    <row r="32" spans="1:14" ht="82.15" hidden="1" customHeight="1" x14ac:dyDescent="0.25">
      <c r="A32" s="16"/>
      <c r="B32" s="64"/>
      <c r="C32" s="65"/>
      <c r="D32" s="67"/>
      <c r="E32" s="64"/>
      <c r="F32" s="64"/>
      <c r="G32" s="27"/>
      <c r="H32" s="61"/>
      <c r="I32" s="76"/>
      <c r="J32" s="61"/>
      <c r="K32" s="108"/>
      <c r="L32" s="73">
        <f t="shared" si="1"/>
        <v>0</v>
      </c>
      <c r="M32" s="27"/>
      <c r="N32" s="81"/>
    </row>
    <row r="33" spans="1:14" ht="82.15" hidden="1" customHeight="1" x14ac:dyDescent="0.25">
      <c r="A33" s="16"/>
      <c r="B33" s="64"/>
      <c r="C33" s="65"/>
      <c r="D33" s="67"/>
      <c r="E33" s="64"/>
      <c r="F33" s="64"/>
      <c r="G33" s="27"/>
      <c r="H33" s="61"/>
      <c r="I33" s="76"/>
      <c r="J33" s="61"/>
      <c r="K33" s="108"/>
      <c r="L33" s="73">
        <f t="shared" si="1"/>
        <v>0</v>
      </c>
      <c r="M33" s="27"/>
      <c r="N33" s="81"/>
    </row>
    <row r="34" spans="1:14" ht="82.15" hidden="1" customHeight="1" x14ac:dyDescent="0.25">
      <c r="A34" s="16"/>
      <c r="B34" s="64"/>
      <c r="C34" s="65"/>
      <c r="D34" s="67"/>
      <c r="E34" s="64"/>
      <c r="F34" s="64"/>
      <c r="G34" s="27"/>
      <c r="H34" s="61"/>
      <c r="I34" s="76"/>
      <c r="J34" s="61"/>
      <c r="K34" s="108"/>
      <c r="L34" s="73">
        <f t="shared" si="1"/>
        <v>0</v>
      </c>
      <c r="M34" s="27"/>
      <c r="N34" s="81"/>
    </row>
    <row r="35" spans="1:14" ht="82.15" hidden="1" customHeight="1" x14ac:dyDescent="0.25">
      <c r="A35" s="16"/>
      <c r="B35" s="64"/>
      <c r="C35" s="65"/>
      <c r="D35" s="67"/>
      <c r="E35" s="64"/>
      <c r="F35" s="64"/>
      <c r="G35" s="27"/>
      <c r="H35" s="61"/>
      <c r="I35" s="76"/>
      <c r="J35" s="61"/>
      <c r="K35" s="108"/>
      <c r="L35" s="73">
        <f t="shared" si="1"/>
        <v>0</v>
      </c>
      <c r="M35" s="27"/>
      <c r="N35" s="81"/>
    </row>
    <row r="36" spans="1:14" ht="82.15" hidden="1" customHeight="1" x14ac:dyDescent="0.25">
      <c r="A36" s="16"/>
      <c r="B36" s="64"/>
      <c r="C36" s="65"/>
      <c r="D36" s="67"/>
      <c r="E36" s="64"/>
      <c r="F36" s="64"/>
      <c r="G36" s="27"/>
      <c r="H36" s="61"/>
      <c r="I36" s="76"/>
      <c r="J36" s="61"/>
      <c r="K36" s="108"/>
      <c r="L36" s="73">
        <f t="shared" si="1"/>
        <v>0</v>
      </c>
      <c r="M36" s="27"/>
      <c r="N36" s="81"/>
    </row>
    <row r="37" spans="1:14" ht="26.45" customHeight="1" x14ac:dyDescent="0.25">
      <c r="A37" s="191" t="s">
        <v>30</v>
      </c>
      <c r="B37" s="191"/>
      <c r="C37" s="191"/>
      <c r="D37" s="191"/>
      <c r="E37" s="191"/>
      <c r="F37" s="191"/>
      <c r="G37" s="191"/>
      <c r="H37" s="72">
        <f>SUM(H28:H36)</f>
        <v>100000</v>
      </c>
      <c r="I37" s="72"/>
      <c r="J37" s="72">
        <f>SUM(J28:J36)</f>
        <v>0</v>
      </c>
      <c r="K37" s="72"/>
      <c r="L37" s="72">
        <f>SUM(L28:L36)</f>
        <v>100000</v>
      </c>
      <c r="M37" s="71"/>
    </row>
    <row r="38" spans="1:14" x14ac:dyDescent="0.25">
      <c r="A38" s="192" t="s">
        <v>18</v>
      </c>
      <c r="B38" s="192"/>
      <c r="C38" s="192"/>
      <c r="D38" s="80" t="e">
        <f ca="1">[1]!vnd(L37)</f>
        <v>#NAME?</v>
      </c>
      <c r="E38" s="85"/>
      <c r="F38" s="11"/>
      <c r="G38" s="85"/>
      <c r="H38" s="12"/>
      <c r="I38" s="12"/>
      <c r="J38" s="12"/>
      <c r="K38" s="12"/>
      <c r="L38" s="12"/>
      <c r="M38" s="13"/>
    </row>
    <row r="39" spans="1:14" x14ac:dyDescent="0.25">
      <c r="A39" s="13"/>
      <c r="B39" s="13"/>
      <c r="C39" s="13"/>
      <c r="D39" s="13"/>
      <c r="E39" s="11"/>
      <c r="F39" s="11"/>
      <c r="G39" s="11"/>
      <c r="H39" s="12"/>
      <c r="I39" s="12"/>
      <c r="J39" s="12"/>
      <c r="K39" s="12"/>
      <c r="L39" s="12"/>
      <c r="M39" s="13"/>
    </row>
    <row r="40" spans="1:14" x14ac:dyDescent="0.25">
      <c r="A40" s="86"/>
      <c r="B40" s="175" t="s">
        <v>34</v>
      </c>
      <c r="C40" s="175"/>
      <c r="D40" s="175"/>
      <c r="E40" s="175"/>
      <c r="F40" s="74"/>
      <c r="G40" s="74"/>
      <c r="H40" s="14"/>
      <c r="I40" s="14"/>
      <c r="J40" s="175" t="s">
        <v>4</v>
      </c>
      <c r="K40" s="175"/>
      <c r="L40" s="175"/>
      <c r="M40" s="175"/>
    </row>
    <row r="41" spans="1:14" x14ac:dyDescent="0.25">
      <c r="A41" s="13"/>
      <c r="B41" s="13"/>
      <c r="C41" s="13"/>
      <c r="D41" s="13"/>
      <c r="E41" s="11"/>
      <c r="F41" s="11"/>
      <c r="G41" s="11"/>
      <c r="H41" s="12"/>
      <c r="I41" s="12"/>
      <c r="J41" s="12"/>
      <c r="K41" s="12"/>
      <c r="L41" s="12"/>
      <c r="M41" s="13"/>
    </row>
    <row r="42" spans="1:14" x14ac:dyDescent="0.25">
      <c r="A42" s="13"/>
      <c r="B42" s="13"/>
      <c r="C42" s="13"/>
      <c r="D42" s="13"/>
      <c r="E42" s="11"/>
      <c r="F42" s="11"/>
      <c r="G42" s="11"/>
      <c r="H42" s="12"/>
      <c r="I42" s="12"/>
      <c r="J42" s="12"/>
      <c r="K42" s="12"/>
      <c r="L42" s="12"/>
      <c r="M42" s="13"/>
    </row>
    <row r="43" spans="1:14" x14ac:dyDescent="0.25">
      <c r="A43" s="13"/>
      <c r="B43" s="13"/>
      <c r="C43" s="13"/>
      <c r="D43" s="13"/>
      <c r="E43" s="11"/>
      <c r="F43" s="11"/>
      <c r="G43" s="11"/>
      <c r="H43" s="12"/>
      <c r="I43" s="12"/>
      <c r="J43" s="12"/>
      <c r="K43" s="12"/>
      <c r="L43" s="12"/>
      <c r="M43" s="13"/>
    </row>
    <row r="44" spans="1:14" x14ac:dyDescent="0.25">
      <c r="A44" s="13"/>
      <c r="B44" s="176" t="s">
        <v>64</v>
      </c>
      <c r="C44" s="176"/>
      <c r="D44" s="176"/>
      <c r="E44" s="176"/>
      <c r="F44" s="11"/>
      <c r="G44" s="15"/>
      <c r="H44" s="12"/>
      <c r="I44" s="12"/>
      <c r="J44" s="176" t="s">
        <v>3</v>
      </c>
      <c r="K44" s="176"/>
      <c r="L44" s="176"/>
      <c r="M44" s="176"/>
    </row>
    <row r="49" spans="1:14" ht="18" customHeight="1" x14ac:dyDescent="0.25">
      <c r="E49" s="30" t="s">
        <v>5</v>
      </c>
      <c r="F49" s="87"/>
      <c r="G49" s="187" t="s">
        <v>1</v>
      </c>
      <c r="H49" s="187"/>
      <c r="I49" s="187"/>
      <c r="J49" s="187"/>
      <c r="K49" s="187"/>
      <c r="L49" s="187"/>
      <c r="M49" s="187"/>
    </row>
    <row r="50" spans="1:14" ht="18" customHeight="1" x14ac:dyDescent="0.25">
      <c r="E50" s="30" t="s">
        <v>6</v>
      </c>
      <c r="F50" s="87"/>
      <c r="G50" s="188" t="s">
        <v>2</v>
      </c>
      <c r="H50" s="188"/>
      <c r="I50" s="188"/>
      <c r="J50" s="188"/>
      <c r="K50" s="188"/>
      <c r="L50" s="188"/>
      <c r="M50" s="188"/>
    </row>
    <row r="51" spans="1:14" ht="19.149999999999999" customHeight="1" x14ac:dyDescent="0.25">
      <c r="A51" s="4"/>
      <c r="B51" s="4"/>
      <c r="C51" s="4"/>
      <c r="D51" s="4"/>
      <c r="E51" s="4"/>
      <c r="F51" s="6"/>
      <c r="G51" s="6"/>
      <c r="H51" s="189" t="s">
        <v>96</v>
      </c>
      <c r="I51" s="189"/>
      <c r="J51" s="189"/>
      <c r="K51" s="189"/>
      <c r="L51" s="189"/>
      <c r="M51" s="189"/>
    </row>
    <row r="52" spans="1:14" ht="24" customHeight="1" x14ac:dyDescent="0.25">
      <c r="A52" s="190" t="s">
        <v>94</v>
      </c>
      <c r="B52" s="190"/>
      <c r="C52" s="190"/>
      <c r="D52" s="190"/>
      <c r="E52" s="190"/>
      <c r="F52" s="190"/>
      <c r="G52" s="190"/>
      <c r="H52" s="190"/>
      <c r="I52" s="190"/>
      <c r="J52" s="190"/>
      <c r="K52" s="190"/>
      <c r="L52" s="190"/>
      <c r="M52" s="190"/>
    </row>
    <row r="53" spans="1:14" ht="36.6" customHeight="1" x14ac:dyDescent="0.25">
      <c r="A53" s="77" t="s">
        <v>7</v>
      </c>
      <c r="B53" s="77" t="s">
        <v>8</v>
      </c>
      <c r="C53" s="77" t="s">
        <v>9</v>
      </c>
      <c r="D53" s="77" t="s">
        <v>31</v>
      </c>
      <c r="E53" s="77" t="s">
        <v>10</v>
      </c>
      <c r="F53" s="77" t="s">
        <v>11</v>
      </c>
      <c r="G53" s="77" t="s">
        <v>12</v>
      </c>
      <c r="H53" s="78" t="s">
        <v>13</v>
      </c>
      <c r="I53" s="77" t="s">
        <v>14</v>
      </c>
      <c r="J53" s="78" t="s">
        <v>15</v>
      </c>
      <c r="K53" s="78" t="s">
        <v>90</v>
      </c>
      <c r="L53" s="79" t="s">
        <v>16</v>
      </c>
      <c r="M53" s="77" t="s">
        <v>20</v>
      </c>
    </row>
    <row r="54" spans="1:14" ht="82.15" customHeight="1" x14ac:dyDescent="0.25">
      <c r="A54" s="16">
        <v>1</v>
      </c>
      <c r="B54" s="64">
        <v>8</v>
      </c>
      <c r="C54" s="65">
        <v>45661</v>
      </c>
      <c r="D54" s="67" t="s">
        <v>54</v>
      </c>
      <c r="E54" s="64" t="s">
        <v>55</v>
      </c>
      <c r="F54" s="64" t="s">
        <v>56</v>
      </c>
      <c r="G54" s="27" t="s">
        <v>57</v>
      </c>
      <c r="H54" s="61">
        <v>100000</v>
      </c>
      <c r="I54" s="76"/>
      <c r="J54" s="61"/>
      <c r="K54" s="108"/>
      <c r="L54" s="73">
        <f t="shared" ref="L54:L56" si="2">H54+J54</f>
        <v>100000</v>
      </c>
      <c r="M54" s="27" t="s">
        <v>58</v>
      </c>
      <c r="N54" s="81"/>
    </row>
    <row r="55" spans="1:14" ht="48" customHeight="1" x14ac:dyDescent="0.25">
      <c r="A55" s="16">
        <v>2</v>
      </c>
      <c r="B55" s="64">
        <v>97</v>
      </c>
      <c r="C55" s="65">
        <v>45706</v>
      </c>
      <c r="D55" s="67" t="s">
        <v>86</v>
      </c>
      <c r="E55" s="64" t="s">
        <v>87</v>
      </c>
      <c r="F55" s="64" t="s">
        <v>88</v>
      </c>
      <c r="G55" s="27" t="s">
        <v>89</v>
      </c>
      <c r="H55" s="61">
        <v>500000</v>
      </c>
      <c r="I55" s="76"/>
      <c r="J55" s="61"/>
      <c r="K55" s="108">
        <v>15</v>
      </c>
      <c r="L55" s="73">
        <f t="shared" si="2"/>
        <v>500000</v>
      </c>
      <c r="M55" s="27"/>
      <c r="N55" s="81"/>
    </row>
    <row r="56" spans="1:14" ht="82.15" customHeight="1" x14ac:dyDescent="0.25">
      <c r="A56" s="16">
        <v>3</v>
      </c>
      <c r="B56" s="64">
        <v>179</v>
      </c>
      <c r="C56" s="65">
        <v>45721</v>
      </c>
      <c r="D56" s="67" t="s">
        <v>206</v>
      </c>
      <c r="E56" s="64" t="s">
        <v>156</v>
      </c>
      <c r="F56" s="64" t="s">
        <v>88</v>
      </c>
      <c r="G56" s="27" t="s">
        <v>157</v>
      </c>
      <c r="H56" s="61"/>
      <c r="I56" s="76"/>
      <c r="J56" s="61"/>
      <c r="K56" s="108">
        <v>5</v>
      </c>
      <c r="L56" s="73">
        <f t="shared" si="2"/>
        <v>0</v>
      </c>
      <c r="M56" s="27"/>
      <c r="N56" s="81"/>
    </row>
    <row r="57" spans="1:14" ht="26.45" customHeight="1" x14ac:dyDescent="0.25">
      <c r="A57" s="191" t="s">
        <v>30</v>
      </c>
      <c r="B57" s="191"/>
      <c r="C57" s="191"/>
      <c r="D57" s="191"/>
      <c r="E57" s="191"/>
      <c r="F57" s="191"/>
      <c r="G57" s="191"/>
      <c r="H57" s="72">
        <f>SUM(H54:H56)</f>
        <v>600000</v>
      </c>
      <c r="I57" s="72"/>
      <c r="J57" s="72">
        <f>SUM(J54:J56)</f>
        <v>0</v>
      </c>
      <c r="K57" s="72"/>
      <c r="L57" s="72">
        <f>SUM(L54:L56)</f>
        <v>600000</v>
      </c>
      <c r="M57" s="71"/>
    </row>
    <row r="58" spans="1:14" x14ac:dyDescent="0.25">
      <c r="A58" s="192" t="s">
        <v>18</v>
      </c>
      <c r="B58" s="192"/>
      <c r="C58" s="192"/>
      <c r="D58" s="80" t="s">
        <v>208</v>
      </c>
      <c r="E58" s="85"/>
      <c r="F58" s="11"/>
      <c r="G58" s="85"/>
      <c r="H58" s="12"/>
      <c r="I58" s="12"/>
      <c r="J58" s="12"/>
      <c r="K58" s="12"/>
      <c r="L58" s="12"/>
      <c r="M58" s="13"/>
    </row>
    <row r="59" spans="1:14" x14ac:dyDescent="0.25">
      <c r="A59" s="13"/>
      <c r="B59" s="13"/>
      <c r="C59" s="13"/>
      <c r="D59" s="13"/>
      <c r="E59" s="11"/>
      <c r="F59" s="11"/>
      <c r="G59" s="11"/>
      <c r="H59" s="12"/>
      <c r="I59" s="12"/>
      <c r="J59" s="12"/>
      <c r="K59" s="12"/>
      <c r="L59" s="12"/>
      <c r="M59" s="13"/>
    </row>
    <row r="60" spans="1:14" x14ac:dyDescent="0.25">
      <c r="A60" s="86"/>
      <c r="B60" s="175" t="s">
        <v>34</v>
      </c>
      <c r="C60" s="175"/>
      <c r="D60" s="175"/>
      <c r="E60" s="175"/>
      <c r="F60" s="74"/>
      <c r="G60" s="74"/>
      <c r="H60" s="14"/>
      <c r="I60" s="14"/>
      <c r="J60" s="175" t="s">
        <v>4</v>
      </c>
      <c r="K60" s="175"/>
      <c r="L60" s="175"/>
      <c r="M60" s="175"/>
    </row>
    <row r="61" spans="1:14" x14ac:dyDescent="0.25">
      <c r="A61" s="13"/>
      <c r="B61" s="13"/>
      <c r="C61" s="13"/>
      <c r="D61" s="13"/>
      <c r="E61" s="11"/>
      <c r="F61" s="11"/>
      <c r="G61" s="11"/>
      <c r="H61" s="12"/>
      <c r="I61" s="12"/>
      <c r="J61" s="12"/>
      <c r="K61" s="12"/>
      <c r="L61" s="12"/>
      <c r="M61" s="13"/>
    </row>
    <row r="62" spans="1:14" x14ac:dyDescent="0.25">
      <c r="A62" s="13"/>
      <c r="B62" s="13"/>
      <c r="C62" s="13"/>
      <c r="D62" s="13"/>
      <c r="E62" s="11"/>
      <c r="F62" s="11"/>
      <c r="G62" s="11"/>
      <c r="H62" s="12"/>
      <c r="I62" s="12"/>
      <c r="J62" s="12"/>
      <c r="K62" s="12"/>
      <c r="L62" s="12"/>
      <c r="M62" s="13"/>
    </row>
    <row r="63" spans="1:14" x14ac:dyDescent="0.25">
      <c r="A63" s="13"/>
      <c r="B63" s="13"/>
      <c r="C63" s="13"/>
      <c r="D63" s="13"/>
      <c r="E63" s="11"/>
      <c r="F63" s="11"/>
      <c r="G63" s="11"/>
      <c r="H63" s="12"/>
      <c r="I63" s="12"/>
      <c r="J63" s="12"/>
      <c r="K63" s="12"/>
      <c r="L63" s="12"/>
      <c r="M63" s="13"/>
    </row>
    <row r="64" spans="1:14" x14ac:dyDescent="0.25">
      <c r="A64" s="13"/>
      <c r="B64" s="176" t="s">
        <v>64</v>
      </c>
      <c r="C64" s="176"/>
      <c r="D64" s="176"/>
      <c r="E64" s="176"/>
      <c r="F64" s="11"/>
      <c r="G64" s="15"/>
      <c r="H64" s="12"/>
      <c r="I64" s="12"/>
      <c r="J64" s="176" t="s">
        <v>197</v>
      </c>
      <c r="K64" s="176"/>
      <c r="L64" s="176"/>
      <c r="M64" s="176"/>
    </row>
    <row r="71" spans="1:13" x14ac:dyDescent="0.25">
      <c r="E71" s="30" t="s">
        <v>5</v>
      </c>
      <c r="F71" s="87"/>
      <c r="G71" s="187" t="s">
        <v>1</v>
      </c>
      <c r="H71" s="187"/>
      <c r="I71" s="187"/>
      <c r="J71" s="187"/>
      <c r="K71" s="187"/>
      <c r="L71" s="187"/>
      <c r="M71" s="187"/>
    </row>
    <row r="72" spans="1:13" x14ac:dyDescent="0.25">
      <c r="E72" s="30" t="s">
        <v>6</v>
      </c>
      <c r="F72" s="87"/>
      <c r="G72" s="188" t="s">
        <v>2</v>
      </c>
      <c r="H72" s="188"/>
      <c r="I72" s="188"/>
      <c r="J72" s="188"/>
      <c r="K72" s="188"/>
      <c r="L72" s="188"/>
      <c r="M72" s="188"/>
    </row>
    <row r="73" spans="1:13" x14ac:dyDescent="0.25">
      <c r="A73" s="4"/>
      <c r="B73" s="4"/>
      <c r="C73" s="4"/>
      <c r="D73" s="4"/>
      <c r="E73" s="4"/>
      <c r="F73" s="6"/>
      <c r="G73" s="6"/>
      <c r="H73" s="189" t="s">
        <v>207</v>
      </c>
      <c r="I73" s="189"/>
      <c r="J73" s="189"/>
      <c r="K73" s="189"/>
      <c r="L73" s="189"/>
      <c r="M73" s="189"/>
    </row>
    <row r="74" spans="1:13" ht="18.75" x14ac:dyDescent="0.25">
      <c r="A74" s="190" t="s">
        <v>196</v>
      </c>
      <c r="B74" s="190"/>
      <c r="C74" s="190"/>
      <c r="D74" s="190"/>
      <c r="E74" s="190"/>
      <c r="F74" s="190"/>
      <c r="G74" s="190"/>
      <c r="H74" s="190"/>
      <c r="I74" s="190"/>
      <c r="J74" s="190"/>
      <c r="K74" s="190"/>
      <c r="L74" s="190"/>
      <c r="M74" s="190"/>
    </row>
    <row r="75" spans="1:13" ht="31.5" x14ac:dyDescent="0.25">
      <c r="A75" s="77" t="s">
        <v>7</v>
      </c>
      <c r="B75" s="77" t="s">
        <v>8</v>
      </c>
      <c r="C75" s="77" t="s">
        <v>9</v>
      </c>
      <c r="D75" s="77" t="s">
        <v>31</v>
      </c>
      <c r="E75" s="77" t="s">
        <v>10</v>
      </c>
      <c r="F75" s="77" t="s">
        <v>11</v>
      </c>
      <c r="G75" s="77" t="s">
        <v>12</v>
      </c>
      <c r="H75" s="78" t="s">
        <v>13</v>
      </c>
      <c r="I75" s="77" t="s">
        <v>14</v>
      </c>
      <c r="J75" s="78" t="s">
        <v>15</v>
      </c>
      <c r="K75" s="78" t="s">
        <v>90</v>
      </c>
      <c r="L75" s="79" t="s">
        <v>16</v>
      </c>
      <c r="M75" s="77" t="s">
        <v>20</v>
      </c>
    </row>
    <row r="76" spans="1:13" ht="47.25" x14ac:dyDescent="0.25">
      <c r="A76" s="16">
        <v>1</v>
      </c>
      <c r="B76" s="64">
        <v>8</v>
      </c>
      <c r="C76" s="65">
        <v>45661</v>
      </c>
      <c r="D76" s="67" t="s">
        <v>54</v>
      </c>
      <c r="E76" s="64" t="s">
        <v>55</v>
      </c>
      <c r="F76" s="64" t="s">
        <v>56</v>
      </c>
      <c r="G76" s="27" t="s">
        <v>57</v>
      </c>
      <c r="H76" s="61">
        <v>100000</v>
      </c>
      <c r="I76" s="76"/>
      <c r="J76" s="61"/>
      <c r="K76" s="108"/>
      <c r="L76" s="73">
        <f t="shared" ref="L76:L84" si="3">H76+J76</f>
        <v>100000</v>
      </c>
      <c r="M76" s="27" t="s">
        <v>58</v>
      </c>
    </row>
    <row r="77" spans="1:13" ht="94.5" x14ac:dyDescent="0.25">
      <c r="A77" s="16">
        <v>2</v>
      </c>
      <c r="B77" s="64">
        <v>327</v>
      </c>
      <c r="C77" s="67">
        <v>45770</v>
      </c>
      <c r="D77" s="67" t="s">
        <v>302</v>
      </c>
      <c r="E77" s="64" t="s">
        <v>64</v>
      </c>
      <c r="F77" s="27" t="s">
        <v>303</v>
      </c>
      <c r="G77" s="71" t="s">
        <v>304</v>
      </c>
      <c r="H77" s="68"/>
      <c r="I77" s="69"/>
      <c r="J77" s="68"/>
      <c r="K77" s="68">
        <v>2</v>
      </c>
      <c r="L77" s="73">
        <f t="shared" si="3"/>
        <v>0</v>
      </c>
      <c r="M77" s="27"/>
    </row>
    <row r="78" spans="1:13" ht="63" x14ac:dyDescent="0.25">
      <c r="A78" s="16">
        <v>3</v>
      </c>
      <c r="B78" s="64">
        <v>303</v>
      </c>
      <c r="C78" s="65">
        <v>45762</v>
      </c>
      <c r="D78" s="67" t="s">
        <v>327</v>
      </c>
      <c r="E78" s="64" t="s">
        <v>326</v>
      </c>
      <c r="F78" s="64" t="s">
        <v>176</v>
      </c>
      <c r="G78" s="27" t="s">
        <v>323</v>
      </c>
      <c r="H78" s="61"/>
      <c r="I78" s="62"/>
      <c r="J78" s="61"/>
      <c r="K78" s="61">
        <v>3</v>
      </c>
      <c r="L78" s="73">
        <f t="shared" si="3"/>
        <v>0</v>
      </c>
      <c r="M78" s="27"/>
    </row>
    <row r="79" spans="1:13" ht="63" x14ac:dyDescent="0.25">
      <c r="A79" s="16">
        <v>4</v>
      </c>
      <c r="B79" s="64">
        <v>304</v>
      </c>
      <c r="C79" s="65">
        <v>45762</v>
      </c>
      <c r="D79" s="67" t="s">
        <v>329</v>
      </c>
      <c r="E79" s="64" t="s">
        <v>328</v>
      </c>
      <c r="F79" s="64" t="s">
        <v>176</v>
      </c>
      <c r="G79" s="27" t="s">
        <v>323</v>
      </c>
      <c r="H79" s="61"/>
      <c r="I79" s="76"/>
      <c r="J79" s="61"/>
      <c r="K79" s="108">
        <v>3</v>
      </c>
      <c r="L79" s="73">
        <f t="shared" si="3"/>
        <v>0</v>
      </c>
      <c r="M79" s="27"/>
    </row>
    <row r="80" spans="1:13" hidden="1" x14ac:dyDescent="0.25">
      <c r="A80" s="16"/>
      <c r="B80" s="64"/>
      <c r="C80" s="65"/>
      <c r="D80" s="67"/>
      <c r="E80" s="64"/>
      <c r="F80" s="64"/>
      <c r="G80" s="27"/>
      <c r="H80" s="61"/>
      <c r="I80" s="76"/>
      <c r="J80" s="61"/>
      <c r="K80" s="108"/>
      <c r="L80" s="73">
        <f t="shared" si="3"/>
        <v>0</v>
      </c>
      <c r="M80" s="27"/>
    </row>
    <row r="81" spans="1:13" hidden="1" x14ac:dyDescent="0.25">
      <c r="A81" s="16"/>
      <c r="B81" s="64"/>
      <c r="C81" s="65"/>
      <c r="D81" s="67"/>
      <c r="E81" s="64"/>
      <c r="F81" s="64"/>
      <c r="G81" s="27"/>
      <c r="H81" s="61"/>
      <c r="I81" s="76"/>
      <c r="J81" s="61"/>
      <c r="K81" s="108"/>
      <c r="L81" s="73">
        <f t="shared" si="3"/>
        <v>0</v>
      </c>
      <c r="M81" s="27"/>
    </row>
    <row r="82" spans="1:13" hidden="1" x14ac:dyDescent="0.25">
      <c r="A82" s="16"/>
      <c r="B82" s="64"/>
      <c r="C82" s="65"/>
      <c r="D82" s="67"/>
      <c r="E82" s="64"/>
      <c r="F82" s="64"/>
      <c r="G82" s="27"/>
      <c r="H82" s="61"/>
      <c r="I82" s="76"/>
      <c r="J82" s="61"/>
      <c r="K82" s="108"/>
      <c r="L82" s="73">
        <f t="shared" si="3"/>
        <v>0</v>
      </c>
      <c r="M82" s="27"/>
    </row>
    <row r="83" spans="1:13" hidden="1" x14ac:dyDescent="0.25">
      <c r="A83" s="16"/>
      <c r="B83" s="64"/>
      <c r="C83" s="65"/>
      <c r="D83" s="67"/>
      <c r="E83" s="64"/>
      <c r="F83" s="64"/>
      <c r="G83" s="27"/>
      <c r="H83" s="61"/>
      <c r="I83" s="76"/>
      <c r="J83" s="61"/>
      <c r="K83" s="108"/>
      <c r="L83" s="73">
        <f t="shared" si="3"/>
        <v>0</v>
      </c>
      <c r="M83" s="27"/>
    </row>
    <row r="84" spans="1:13" hidden="1" x14ac:dyDescent="0.25">
      <c r="A84" s="16"/>
      <c r="B84" s="64"/>
      <c r="C84" s="65"/>
      <c r="D84" s="67"/>
      <c r="E84" s="64"/>
      <c r="F84" s="64"/>
      <c r="G84" s="27"/>
      <c r="H84" s="61"/>
      <c r="I84" s="76"/>
      <c r="J84" s="61"/>
      <c r="K84" s="108"/>
      <c r="L84" s="73">
        <f t="shared" si="3"/>
        <v>0</v>
      </c>
      <c r="M84" s="27"/>
    </row>
    <row r="85" spans="1:13" x14ac:dyDescent="0.25">
      <c r="A85" s="191" t="s">
        <v>30</v>
      </c>
      <c r="B85" s="191"/>
      <c r="C85" s="191"/>
      <c r="D85" s="191"/>
      <c r="E85" s="191"/>
      <c r="F85" s="191"/>
      <c r="G85" s="191"/>
      <c r="H85" s="72">
        <f>SUM(H76:H84)</f>
        <v>100000</v>
      </c>
      <c r="I85" s="72"/>
      <c r="J85" s="72">
        <f>SUM(J76:J84)</f>
        <v>0</v>
      </c>
      <c r="K85" s="72"/>
      <c r="L85" s="72">
        <f>SUM(L76:L84)</f>
        <v>100000</v>
      </c>
      <c r="M85" s="71"/>
    </row>
    <row r="86" spans="1:13" x14ac:dyDescent="0.25">
      <c r="A86" s="192" t="s">
        <v>18</v>
      </c>
      <c r="B86" s="192"/>
      <c r="C86" s="192"/>
      <c r="D86" s="80" t="e">
        <f ca="1">[2]!vnd(L85)</f>
        <v>#NAME?</v>
      </c>
      <c r="E86" s="85"/>
      <c r="F86" s="11"/>
      <c r="G86" s="85"/>
      <c r="H86" s="12"/>
      <c r="I86" s="12"/>
      <c r="J86" s="12"/>
      <c r="K86" s="12"/>
      <c r="L86" s="12"/>
      <c r="M86" s="13"/>
    </row>
    <row r="87" spans="1:13" x14ac:dyDescent="0.25">
      <c r="A87" s="13"/>
      <c r="B87" s="13"/>
      <c r="C87" s="13"/>
      <c r="D87" s="13"/>
      <c r="E87" s="11"/>
      <c r="F87" s="11"/>
      <c r="G87" s="11"/>
      <c r="H87" s="12"/>
      <c r="I87" s="12"/>
      <c r="J87" s="12"/>
      <c r="K87" s="12"/>
      <c r="L87" s="12"/>
      <c r="M87" s="13"/>
    </row>
    <row r="88" spans="1:13" x14ac:dyDescent="0.25">
      <c r="A88" s="86"/>
      <c r="B88" s="175" t="s">
        <v>34</v>
      </c>
      <c r="C88" s="175"/>
      <c r="D88" s="175"/>
      <c r="E88" s="175"/>
      <c r="F88" s="74"/>
      <c r="G88" s="74"/>
      <c r="H88" s="14"/>
      <c r="I88" s="14"/>
      <c r="J88" s="175" t="s">
        <v>4</v>
      </c>
      <c r="K88" s="175"/>
      <c r="L88" s="175"/>
      <c r="M88" s="175"/>
    </row>
    <row r="89" spans="1:13" x14ac:dyDescent="0.25">
      <c r="A89" s="13"/>
      <c r="B89" s="13"/>
      <c r="C89" s="13"/>
      <c r="D89" s="13"/>
      <c r="E89" s="11"/>
      <c r="F89" s="11"/>
      <c r="G89" s="11"/>
      <c r="H89" s="12"/>
      <c r="I89" s="12"/>
      <c r="J89" s="12"/>
      <c r="K89" s="12"/>
      <c r="L89" s="12"/>
      <c r="M89" s="13"/>
    </row>
    <row r="90" spans="1:13" x14ac:dyDescent="0.25">
      <c r="A90" s="13"/>
      <c r="B90" s="13"/>
      <c r="C90" s="13"/>
      <c r="D90" s="13"/>
      <c r="E90" s="11"/>
      <c r="F90" s="11"/>
      <c r="G90" s="11"/>
      <c r="H90" s="12"/>
      <c r="I90" s="12"/>
      <c r="J90" s="12"/>
      <c r="K90" s="12"/>
      <c r="L90" s="12"/>
      <c r="M90" s="13"/>
    </row>
    <row r="91" spans="1:13" x14ac:dyDescent="0.25">
      <c r="A91" s="13"/>
      <c r="B91" s="13"/>
      <c r="C91" s="13"/>
      <c r="D91" s="13"/>
      <c r="E91" s="11"/>
      <c r="F91" s="11"/>
      <c r="G91" s="11"/>
      <c r="H91" s="12"/>
      <c r="I91" s="12"/>
      <c r="J91" s="12"/>
      <c r="K91" s="12"/>
      <c r="L91" s="12"/>
      <c r="M91" s="13"/>
    </row>
    <row r="92" spans="1:13" x14ac:dyDescent="0.25">
      <c r="A92" s="13"/>
      <c r="B92" s="176" t="s">
        <v>64</v>
      </c>
      <c r="C92" s="176"/>
      <c r="D92" s="176"/>
      <c r="E92" s="176"/>
      <c r="F92" s="11"/>
      <c r="G92" s="15"/>
      <c r="H92" s="12"/>
      <c r="I92" s="12"/>
      <c r="J92" s="176" t="s">
        <v>197</v>
      </c>
      <c r="K92" s="176"/>
      <c r="L92" s="176"/>
      <c r="M92" s="176"/>
    </row>
    <row r="97" spans="1:13" x14ac:dyDescent="0.25">
      <c r="E97" s="30" t="s">
        <v>5</v>
      </c>
      <c r="F97" s="87"/>
      <c r="G97" s="187" t="s">
        <v>1</v>
      </c>
      <c r="H97" s="187"/>
      <c r="I97" s="187"/>
      <c r="J97" s="187"/>
      <c r="K97" s="187"/>
      <c r="L97" s="187"/>
      <c r="M97" s="187"/>
    </row>
    <row r="98" spans="1:13" x14ac:dyDescent="0.25">
      <c r="E98" s="30" t="s">
        <v>6</v>
      </c>
      <c r="F98" s="87"/>
      <c r="G98" s="188" t="s">
        <v>2</v>
      </c>
      <c r="H98" s="188"/>
      <c r="I98" s="188"/>
      <c r="J98" s="188"/>
      <c r="K98" s="188"/>
      <c r="L98" s="188"/>
      <c r="M98" s="188"/>
    </row>
    <row r="99" spans="1:13" x14ac:dyDescent="0.25">
      <c r="A99" s="4"/>
      <c r="B99" s="4"/>
      <c r="C99" s="4"/>
      <c r="D99" s="4"/>
      <c r="E99" s="4"/>
      <c r="F99" s="6"/>
      <c r="G99" s="6"/>
      <c r="H99" s="189" t="s">
        <v>482</v>
      </c>
      <c r="I99" s="189"/>
      <c r="J99" s="189"/>
      <c r="K99" s="189"/>
      <c r="L99" s="189"/>
      <c r="M99" s="189"/>
    </row>
    <row r="100" spans="1:13" ht="18.75" x14ac:dyDescent="0.25">
      <c r="A100" s="190" t="s">
        <v>360</v>
      </c>
      <c r="B100" s="190"/>
      <c r="C100" s="190"/>
      <c r="D100" s="190"/>
      <c r="E100" s="190"/>
      <c r="F100" s="190"/>
      <c r="G100" s="190"/>
      <c r="H100" s="190"/>
      <c r="I100" s="190"/>
      <c r="J100" s="190"/>
      <c r="K100" s="190"/>
      <c r="L100" s="190"/>
      <c r="M100" s="190"/>
    </row>
    <row r="101" spans="1:13" ht="31.5" x14ac:dyDescent="0.25">
      <c r="A101" s="77" t="s">
        <v>7</v>
      </c>
      <c r="B101" s="77" t="s">
        <v>8</v>
      </c>
      <c r="C101" s="77" t="s">
        <v>9</v>
      </c>
      <c r="D101" s="77" t="s">
        <v>31</v>
      </c>
      <c r="E101" s="77" t="s">
        <v>10</v>
      </c>
      <c r="F101" s="77" t="s">
        <v>11</v>
      </c>
      <c r="G101" s="77" t="s">
        <v>12</v>
      </c>
      <c r="H101" s="78" t="s">
        <v>13</v>
      </c>
      <c r="I101" s="77" t="s">
        <v>14</v>
      </c>
      <c r="J101" s="78" t="s">
        <v>15</v>
      </c>
      <c r="K101" s="78" t="s">
        <v>90</v>
      </c>
      <c r="L101" s="79" t="s">
        <v>16</v>
      </c>
      <c r="M101" s="77" t="s">
        <v>20</v>
      </c>
    </row>
    <row r="102" spans="1:13" ht="47.25" x14ac:dyDescent="0.25">
      <c r="A102" s="16">
        <v>1</v>
      </c>
      <c r="B102" s="64">
        <v>8</v>
      </c>
      <c r="C102" s="65">
        <v>45661</v>
      </c>
      <c r="D102" s="67" t="s">
        <v>54</v>
      </c>
      <c r="E102" s="64" t="s">
        <v>55</v>
      </c>
      <c r="F102" s="64" t="s">
        <v>56</v>
      </c>
      <c r="G102" s="27" t="s">
        <v>57</v>
      </c>
      <c r="H102" s="61">
        <v>100000</v>
      </c>
      <c r="I102" s="76"/>
      <c r="J102" s="61"/>
      <c r="K102" s="108"/>
      <c r="L102" s="73">
        <f t="shared" ref="L102:L110" si="4">H102+J102</f>
        <v>100000</v>
      </c>
      <c r="M102" s="27" t="s">
        <v>58</v>
      </c>
    </row>
    <row r="103" spans="1:13" ht="63" x14ac:dyDescent="0.25">
      <c r="A103" s="16">
        <v>2</v>
      </c>
      <c r="B103" s="64">
        <v>372</v>
      </c>
      <c r="C103" s="65">
        <v>45791</v>
      </c>
      <c r="D103" s="67" t="s">
        <v>480</v>
      </c>
      <c r="E103" s="64" t="s">
        <v>397</v>
      </c>
      <c r="F103" s="64" t="s">
        <v>371</v>
      </c>
      <c r="G103" s="27" t="s">
        <v>372</v>
      </c>
      <c r="H103" s="61">
        <v>500000</v>
      </c>
      <c r="I103" s="62"/>
      <c r="J103" s="61"/>
      <c r="K103" s="61">
        <v>11</v>
      </c>
      <c r="L103" s="73">
        <f t="shared" si="4"/>
        <v>500000</v>
      </c>
      <c r="M103" s="27"/>
    </row>
    <row r="104" spans="1:13" ht="63" x14ac:dyDescent="0.25">
      <c r="A104" s="16">
        <v>3</v>
      </c>
      <c r="B104" s="64">
        <v>382</v>
      </c>
      <c r="C104" s="65">
        <v>45793</v>
      </c>
      <c r="D104" s="67" t="s">
        <v>481</v>
      </c>
      <c r="E104" s="64" t="s">
        <v>381</v>
      </c>
      <c r="F104" s="64" t="s">
        <v>371</v>
      </c>
      <c r="G104" s="27" t="s">
        <v>382</v>
      </c>
      <c r="H104" s="61">
        <v>500000</v>
      </c>
      <c r="I104" s="62"/>
      <c r="J104" s="61"/>
      <c r="K104" s="61">
        <v>23</v>
      </c>
      <c r="L104" s="73">
        <f t="shared" si="4"/>
        <v>500000</v>
      </c>
      <c r="M104" s="27"/>
    </row>
    <row r="105" spans="1:13" ht="78.75" x14ac:dyDescent="0.25">
      <c r="A105" s="16">
        <v>4</v>
      </c>
      <c r="B105" s="64">
        <v>427</v>
      </c>
      <c r="C105" s="65">
        <v>45808</v>
      </c>
      <c r="D105" s="67" t="s">
        <v>465</v>
      </c>
      <c r="E105" s="64" t="s">
        <v>466</v>
      </c>
      <c r="F105" s="64" t="s">
        <v>467</v>
      </c>
      <c r="G105" s="27" t="s">
        <v>468</v>
      </c>
      <c r="H105" s="61"/>
      <c r="I105" s="76"/>
      <c r="J105" s="61"/>
      <c r="K105" s="108">
        <v>5</v>
      </c>
      <c r="L105" s="73">
        <f t="shared" si="4"/>
        <v>0</v>
      </c>
      <c r="M105" s="27"/>
    </row>
    <row r="106" spans="1:13" hidden="1" x14ac:dyDescent="0.25">
      <c r="A106" s="16"/>
      <c r="B106" s="64"/>
      <c r="C106" s="65"/>
      <c r="D106" s="67"/>
      <c r="E106" s="64"/>
      <c r="F106" s="64"/>
      <c r="G106" s="27"/>
      <c r="H106" s="61"/>
      <c r="I106" s="76"/>
      <c r="J106" s="61"/>
      <c r="K106" s="108"/>
      <c r="L106" s="73">
        <f t="shared" si="4"/>
        <v>0</v>
      </c>
      <c r="M106" s="27"/>
    </row>
    <row r="107" spans="1:13" hidden="1" x14ac:dyDescent="0.25">
      <c r="A107" s="16"/>
      <c r="B107" s="64"/>
      <c r="C107" s="65"/>
      <c r="D107" s="67"/>
      <c r="E107" s="64"/>
      <c r="F107" s="64"/>
      <c r="G107" s="27"/>
      <c r="H107" s="61"/>
      <c r="I107" s="76"/>
      <c r="J107" s="61"/>
      <c r="K107" s="108"/>
      <c r="L107" s="73">
        <f t="shared" si="4"/>
        <v>0</v>
      </c>
      <c r="M107" s="27"/>
    </row>
    <row r="108" spans="1:13" hidden="1" x14ac:dyDescent="0.25">
      <c r="A108" s="16"/>
      <c r="B108" s="64"/>
      <c r="C108" s="65"/>
      <c r="D108" s="67"/>
      <c r="E108" s="64"/>
      <c r="F108" s="64"/>
      <c r="G108" s="27"/>
      <c r="H108" s="61"/>
      <c r="I108" s="76"/>
      <c r="J108" s="61"/>
      <c r="K108" s="108"/>
      <c r="L108" s="73">
        <f t="shared" si="4"/>
        <v>0</v>
      </c>
      <c r="M108" s="27"/>
    </row>
    <row r="109" spans="1:13" hidden="1" x14ac:dyDescent="0.25">
      <c r="A109" s="16"/>
      <c r="B109" s="64"/>
      <c r="C109" s="65"/>
      <c r="D109" s="67"/>
      <c r="E109" s="64"/>
      <c r="F109" s="64"/>
      <c r="G109" s="27"/>
      <c r="H109" s="61"/>
      <c r="I109" s="76"/>
      <c r="J109" s="61"/>
      <c r="K109" s="108"/>
      <c r="L109" s="73">
        <f t="shared" si="4"/>
        <v>0</v>
      </c>
      <c r="M109" s="27"/>
    </row>
    <row r="110" spans="1:13" hidden="1" x14ac:dyDescent="0.25">
      <c r="A110" s="16"/>
      <c r="B110" s="64"/>
      <c r="C110" s="65"/>
      <c r="D110" s="67"/>
      <c r="E110" s="64"/>
      <c r="F110" s="64"/>
      <c r="G110" s="27"/>
      <c r="H110" s="61"/>
      <c r="I110" s="76"/>
      <c r="J110" s="61"/>
      <c r="K110" s="108"/>
      <c r="L110" s="73">
        <f t="shared" si="4"/>
        <v>0</v>
      </c>
      <c r="M110" s="27"/>
    </row>
    <row r="111" spans="1:13" x14ac:dyDescent="0.25">
      <c r="A111" s="191" t="s">
        <v>30</v>
      </c>
      <c r="B111" s="191"/>
      <c r="C111" s="191"/>
      <c r="D111" s="191"/>
      <c r="E111" s="191"/>
      <c r="F111" s="191"/>
      <c r="G111" s="191"/>
      <c r="H111" s="72">
        <f>SUM(H102:H110)</f>
        <v>1100000</v>
      </c>
      <c r="I111" s="72"/>
      <c r="J111" s="72">
        <f>SUM(J102:J110)</f>
        <v>0</v>
      </c>
      <c r="K111" s="72"/>
      <c r="L111" s="72">
        <f>SUM(L102:L110)</f>
        <v>1100000</v>
      </c>
      <c r="M111" s="71"/>
    </row>
    <row r="112" spans="1:13" x14ac:dyDescent="0.25">
      <c r="A112" s="192" t="s">
        <v>18</v>
      </c>
      <c r="B112" s="192"/>
      <c r="C112" s="192"/>
      <c r="D112" s="80" t="e">
        <f ca="1">[2]!vnd(L111)</f>
        <v>#NAME?</v>
      </c>
      <c r="E112" s="85"/>
      <c r="F112" s="11"/>
      <c r="G112" s="85"/>
      <c r="H112" s="12"/>
      <c r="I112" s="12"/>
      <c r="J112" s="12"/>
      <c r="K112" s="12"/>
      <c r="L112" s="12"/>
      <c r="M112" s="13"/>
    </row>
    <row r="113" spans="1:13" x14ac:dyDescent="0.25">
      <c r="A113" s="13"/>
      <c r="B113" s="13"/>
      <c r="C113" s="13"/>
      <c r="D113" s="13"/>
      <c r="E113" s="11"/>
      <c r="F113" s="11"/>
      <c r="G113" s="11"/>
      <c r="H113" s="12"/>
      <c r="I113" s="12"/>
      <c r="J113" s="12"/>
      <c r="K113" s="12"/>
      <c r="L113" s="12"/>
      <c r="M113" s="13"/>
    </row>
    <row r="114" spans="1:13" x14ac:dyDescent="0.25">
      <c r="A114" s="86"/>
      <c r="B114" s="175" t="s">
        <v>34</v>
      </c>
      <c r="C114" s="175"/>
      <c r="D114" s="175"/>
      <c r="E114" s="175"/>
      <c r="F114" s="74"/>
      <c r="G114" s="74"/>
      <c r="H114" s="14"/>
      <c r="I114" s="14"/>
      <c r="J114" s="175" t="s">
        <v>4</v>
      </c>
      <c r="K114" s="175"/>
      <c r="L114" s="175"/>
      <c r="M114" s="175"/>
    </row>
    <row r="115" spans="1:13" x14ac:dyDescent="0.25">
      <c r="A115" s="13"/>
      <c r="B115" s="13"/>
      <c r="C115" s="13"/>
      <c r="D115" s="13"/>
      <c r="E115" s="11"/>
      <c r="F115" s="11"/>
      <c r="G115" s="11"/>
      <c r="H115" s="12"/>
      <c r="I115" s="12"/>
      <c r="J115" s="12"/>
      <c r="K115" s="12"/>
      <c r="L115" s="12"/>
      <c r="M115" s="13"/>
    </row>
    <row r="116" spans="1:13" x14ac:dyDescent="0.25">
      <c r="A116" s="13"/>
      <c r="B116" s="13"/>
      <c r="C116" s="13"/>
      <c r="D116" s="13"/>
      <c r="E116" s="11"/>
      <c r="F116" s="11"/>
      <c r="G116" s="11"/>
      <c r="H116" s="12"/>
      <c r="I116" s="12"/>
      <c r="J116" s="12"/>
      <c r="K116" s="12"/>
      <c r="L116" s="12"/>
      <c r="M116" s="13"/>
    </row>
    <row r="117" spans="1:13" x14ac:dyDescent="0.25">
      <c r="A117" s="13"/>
      <c r="B117" s="13"/>
      <c r="C117" s="13"/>
      <c r="D117" s="13"/>
      <c r="E117" s="11"/>
      <c r="F117" s="11"/>
      <c r="G117" s="11"/>
      <c r="H117" s="12"/>
      <c r="I117" s="12"/>
      <c r="J117" s="12"/>
      <c r="K117" s="12"/>
      <c r="L117" s="12"/>
      <c r="M117" s="13"/>
    </row>
    <row r="118" spans="1:13" x14ac:dyDescent="0.25">
      <c r="A118" s="13"/>
      <c r="B118" s="176" t="s">
        <v>64</v>
      </c>
      <c r="C118" s="176"/>
      <c r="D118" s="176"/>
      <c r="E118" s="176"/>
      <c r="F118" s="11"/>
      <c r="G118" s="15"/>
      <c r="H118" s="12"/>
      <c r="I118" s="12"/>
      <c r="J118" s="176" t="s">
        <v>197</v>
      </c>
      <c r="K118" s="176"/>
      <c r="L118" s="176"/>
      <c r="M118" s="176"/>
    </row>
    <row r="123" spans="1:13" x14ac:dyDescent="0.25">
      <c r="E123" s="30" t="s">
        <v>5</v>
      </c>
      <c r="F123" s="87"/>
      <c r="G123" s="187" t="s">
        <v>1</v>
      </c>
      <c r="H123" s="187"/>
      <c r="I123" s="187"/>
      <c r="J123" s="187"/>
      <c r="K123" s="187"/>
      <c r="L123" s="187"/>
      <c r="M123" s="187"/>
    </row>
    <row r="124" spans="1:13" x14ac:dyDescent="0.25">
      <c r="E124" s="30" t="s">
        <v>6</v>
      </c>
      <c r="F124" s="87"/>
      <c r="G124" s="188" t="s">
        <v>2</v>
      </c>
      <c r="H124" s="188"/>
      <c r="I124" s="188"/>
      <c r="J124" s="188"/>
      <c r="K124" s="188"/>
      <c r="L124" s="188"/>
      <c r="M124" s="188"/>
    </row>
    <row r="125" spans="1:13" x14ac:dyDescent="0.25">
      <c r="A125" s="4"/>
      <c r="B125" s="4"/>
      <c r="C125" s="4"/>
      <c r="D125" s="4"/>
      <c r="E125" s="4"/>
      <c r="F125" s="6"/>
      <c r="G125" s="6"/>
      <c r="H125" s="189" t="s">
        <v>601</v>
      </c>
      <c r="I125" s="189"/>
      <c r="J125" s="189"/>
      <c r="K125" s="189"/>
      <c r="L125" s="189"/>
      <c r="M125" s="189"/>
    </row>
    <row r="126" spans="1:13" ht="18.75" x14ac:dyDescent="0.25">
      <c r="A126" s="190" t="s">
        <v>484</v>
      </c>
      <c r="B126" s="190"/>
      <c r="C126" s="190"/>
      <c r="D126" s="190"/>
      <c r="E126" s="190"/>
      <c r="F126" s="190"/>
      <c r="G126" s="190"/>
      <c r="H126" s="190"/>
      <c r="I126" s="190"/>
      <c r="J126" s="190"/>
      <c r="K126" s="190"/>
      <c r="L126" s="190"/>
      <c r="M126" s="190"/>
    </row>
    <row r="127" spans="1:13" ht="31.5" x14ac:dyDescent="0.25">
      <c r="A127" s="77" t="s">
        <v>7</v>
      </c>
      <c r="B127" s="77" t="s">
        <v>8</v>
      </c>
      <c r="C127" s="77" t="s">
        <v>9</v>
      </c>
      <c r="D127" s="77" t="s">
        <v>31</v>
      </c>
      <c r="E127" s="77" t="s">
        <v>10</v>
      </c>
      <c r="F127" s="77" t="s">
        <v>11</v>
      </c>
      <c r="G127" s="77" t="s">
        <v>12</v>
      </c>
      <c r="H127" s="78" t="s">
        <v>13</v>
      </c>
      <c r="I127" s="77" t="s">
        <v>14</v>
      </c>
      <c r="J127" s="78" t="s">
        <v>15</v>
      </c>
      <c r="K127" s="78" t="s">
        <v>90</v>
      </c>
      <c r="L127" s="79" t="s">
        <v>16</v>
      </c>
      <c r="M127" s="77" t="s">
        <v>20</v>
      </c>
    </row>
    <row r="128" spans="1:13" ht="47.25" x14ac:dyDescent="0.25">
      <c r="A128" s="16">
        <v>1</v>
      </c>
      <c r="B128" s="64">
        <v>8</v>
      </c>
      <c r="C128" s="65">
        <v>45661</v>
      </c>
      <c r="D128" s="67" t="s">
        <v>54</v>
      </c>
      <c r="E128" s="64" t="s">
        <v>55</v>
      </c>
      <c r="F128" s="64" t="s">
        <v>56</v>
      </c>
      <c r="G128" s="27" t="s">
        <v>57</v>
      </c>
      <c r="H128" s="61">
        <v>100000</v>
      </c>
      <c r="I128" s="76"/>
      <c r="J128" s="61"/>
      <c r="K128" s="108"/>
      <c r="L128" s="73">
        <f t="shared" ref="L128:L136" si="5">H128+J128</f>
        <v>100000</v>
      </c>
      <c r="M128" s="27" t="s">
        <v>58</v>
      </c>
    </row>
    <row r="129" spans="1:13" ht="110.25" x14ac:dyDescent="0.25">
      <c r="A129" s="16">
        <v>2</v>
      </c>
      <c r="B129" s="64">
        <v>433</v>
      </c>
      <c r="C129" s="65">
        <v>45810</v>
      </c>
      <c r="D129" s="67" t="s">
        <v>491</v>
      </c>
      <c r="E129" s="64" t="s">
        <v>490</v>
      </c>
      <c r="F129" s="64" t="s">
        <v>492</v>
      </c>
      <c r="G129" s="27" t="s">
        <v>493</v>
      </c>
      <c r="H129" s="61">
        <v>500000</v>
      </c>
      <c r="I129" s="62"/>
      <c r="J129" s="61"/>
      <c r="K129" s="61">
        <v>11</v>
      </c>
      <c r="L129" s="73">
        <f t="shared" si="5"/>
        <v>500000</v>
      </c>
      <c r="M129" s="27"/>
    </row>
    <row r="130" spans="1:13" ht="78.75" x14ac:dyDescent="0.25">
      <c r="A130" s="16">
        <v>3</v>
      </c>
      <c r="B130" s="64">
        <v>508</v>
      </c>
      <c r="C130" s="65">
        <v>45824</v>
      </c>
      <c r="D130" s="67" t="s">
        <v>125</v>
      </c>
      <c r="E130" s="64" t="s">
        <v>126</v>
      </c>
      <c r="F130" s="64" t="s">
        <v>499</v>
      </c>
      <c r="G130" s="27" t="s">
        <v>500</v>
      </c>
      <c r="H130" s="61"/>
      <c r="I130" s="62"/>
      <c r="J130" s="61"/>
      <c r="K130" s="61">
        <v>6</v>
      </c>
      <c r="L130" s="73">
        <f t="shared" si="5"/>
        <v>0</v>
      </c>
      <c r="M130" s="27"/>
    </row>
    <row r="131" spans="1:13" ht="94.5" x14ac:dyDescent="0.25">
      <c r="A131" s="16">
        <v>4</v>
      </c>
      <c r="B131" s="64">
        <v>550</v>
      </c>
      <c r="C131" s="65">
        <v>45838</v>
      </c>
      <c r="D131" s="67" t="s">
        <v>511</v>
      </c>
      <c r="E131" s="64" t="s">
        <v>510</v>
      </c>
      <c r="F131" s="64" t="s">
        <v>509</v>
      </c>
      <c r="G131" s="27" t="s">
        <v>512</v>
      </c>
      <c r="H131" s="61"/>
      <c r="I131" s="76"/>
      <c r="J131" s="61"/>
      <c r="K131" s="108">
        <v>15</v>
      </c>
      <c r="L131" s="73">
        <f t="shared" si="5"/>
        <v>0</v>
      </c>
      <c r="M131" s="27"/>
    </row>
    <row r="132" spans="1:13" ht="63" x14ac:dyDescent="0.25">
      <c r="A132" s="16">
        <v>5</v>
      </c>
      <c r="B132" s="64">
        <v>559</v>
      </c>
      <c r="C132" s="65">
        <v>45838</v>
      </c>
      <c r="D132" s="67" t="s">
        <v>54</v>
      </c>
      <c r="E132" s="64" t="s">
        <v>55</v>
      </c>
      <c r="F132" s="64" t="s">
        <v>520</v>
      </c>
      <c r="G132" s="27" t="s">
        <v>521</v>
      </c>
      <c r="H132" s="61"/>
      <c r="I132" s="76"/>
      <c r="J132" s="61"/>
      <c r="K132" s="108">
        <v>5</v>
      </c>
      <c r="L132" s="73">
        <f t="shared" si="5"/>
        <v>0</v>
      </c>
      <c r="M132" s="27"/>
    </row>
    <row r="133" spans="1:13" hidden="1" x14ac:dyDescent="0.25">
      <c r="A133" s="16"/>
      <c r="B133" s="64"/>
      <c r="C133" s="65"/>
      <c r="D133" s="67"/>
      <c r="E133" s="64"/>
      <c r="F133" s="64"/>
      <c r="G133" s="27"/>
      <c r="H133" s="61"/>
      <c r="I133" s="76"/>
      <c r="J133" s="61"/>
      <c r="K133" s="108"/>
      <c r="L133" s="73">
        <f t="shared" si="5"/>
        <v>0</v>
      </c>
      <c r="M133" s="27"/>
    </row>
    <row r="134" spans="1:13" hidden="1" x14ac:dyDescent="0.25">
      <c r="A134" s="16"/>
      <c r="B134" s="64"/>
      <c r="C134" s="65"/>
      <c r="D134" s="67"/>
      <c r="E134" s="64"/>
      <c r="F134" s="64"/>
      <c r="G134" s="27"/>
      <c r="H134" s="61"/>
      <c r="I134" s="76"/>
      <c r="J134" s="61"/>
      <c r="K134" s="108"/>
      <c r="L134" s="73">
        <f t="shared" si="5"/>
        <v>0</v>
      </c>
      <c r="M134" s="27"/>
    </row>
    <row r="135" spans="1:13" hidden="1" x14ac:dyDescent="0.25">
      <c r="A135" s="16"/>
      <c r="B135" s="64"/>
      <c r="C135" s="65"/>
      <c r="D135" s="67"/>
      <c r="E135" s="64"/>
      <c r="F135" s="64"/>
      <c r="G135" s="27"/>
      <c r="H135" s="61"/>
      <c r="I135" s="76"/>
      <c r="J135" s="61"/>
      <c r="K135" s="108"/>
      <c r="L135" s="73">
        <f t="shared" si="5"/>
        <v>0</v>
      </c>
      <c r="M135" s="27"/>
    </row>
    <row r="136" spans="1:13" hidden="1" x14ac:dyDescent="0.25">
      <c r="A136" s="16"/>
      <c r="B136" s="64"/>
      <c r="C136" s="65"/>
      <c r="D136" s="67"/>
      <c r="E136" s="64"/>
      <c r="F136" s="64"/>
      <c r="G136" s="27"/>
      <c r="H136" s="61"/>
      <c r="I136" s="76"/>
      <c r="J136" s="61"/>
      <c r="K136" s="108"/>
      <c r="L136" s="73">
        <f t="shared" si="5"/>
        <v>0</v>
      </c>
      <c r="M136" s="27"/>
    </row>
    <row r="137" spans="1:13" x14ac:dyDescent="0.25">
      <c r="A137" s="191" t="s">
        <v>30</v>
      </c>
      <c r="B137" s="191"/>
      <c r="C137" s="191"/>
      <c r="D137" s="191"/>
      <c r="E137" s="191"/>
      <c r="F137" s="191"/>
      <c r="G137" s="191"/>
      <c r="H137" s="72">
        <f>SUM(H128:H136)</f>
        <v>600000</v>
      </c>
      <c r="I137" s="72"/>
      <c r="J137" s="72">
        <f>SUM(J128:J136)</f>
        <v>0</v>
      </c>
      <c r="K137" s="72">
        <f>SUM(K128:K136)</f>
        <v>37</v>
      </c>
      <c r="L137" s="72">
        <f>SUM(L128:L136)</f>
        <v>600000</v>
      </c>
      <c r="M137" s="71"/>
    </row>
    <row r="138" spans="1:13" x14ac:dyDescent="0.25">
      <c r="A138" s="192" t="s">
        <v>18</v>
      </c>
      <c r="B138" s="192"/>
      <c r="C138" s="192"/>
      <c r="D138" s="80" t="e">
        <f ca="1">[2]!vnd(L137)</f>
        <v>#NAME?</v>
      </c>
      <c r="E138" s="85"/>
      <c r="F138" s="11"/>
      <c r="G138" s="85"/>
      <c r="H138" s="12"/>
      <c r="I138" s="12"/>
      <c r="J138" s="12"/>
      <c r="K138" s="12"/>
      <c r="L138" s="12"/>
      <c r="M138" s="13"/>
    </row>
    <row r="139" spans="1:13" x14ac:dyDescent="0.25">
      <c r="A139" s="13"/>
      <c r="B139" s="13"/>
      <c r="C139" s="13"/>
      <c r="D139" s="13"/>
      <c r="E139" s="11"/>
      <c r="F139" s="11"/>
      <c r="G139" s="11"/>
      <c r="H139" s="12"/>
      <c r="I139" s="12"/>
      <c r="J139" s="12"/>
      <c r="K139" s="12"/>
      <c r="L139" s="12"/>
      <c r="M139" s="13"/>
    </row>
    <row r="140" spans="1:13" x14ac:dyDescent="0.25">
      <c r="A140" s="86"/>
      <c r="B140" s="175" t="s">
        <v>34</v>
      </c>
      <c r="C140" s="175"/>
      <c r="D140" s="175"/>
      <c r="E140" s="175"/>
      <c r="F140" s="74"/>
      <c r="G140" s="74"/>
      <c r="H140" s="14"/>
      <c r="I140" s="14"/>
      <c r="J140" s="175" t="s">
        <v>4</v>
      </c>
      <c r="K140" s="175"/>
      <c r="L140" s="175"/>
      <c r="M140" s="175"/>
    </row>
    <row r="141" spans="1:13" x14ac:dyDescent="0.25">
      <c r="A141" s="13"/>
      <c r="B141" s="13"/>
      <c r="C141" s="13"/>
      <c r="D141" s="13"/>
      <c r="E141" s="11"/>
      <c r="F141" s="11"/>
      <c r="G141" s="11"/>
      <c r="H141" s="12"/>
      <c r="I141" s="12"/>
      <c r="J141" s="12"/>
      <c r="K141" s="12"/>
      <c r="L141" s="12"/>
      <c r="M141" s="13"/>
    </row>
    <row r="142" spans="1:13" x14ac:dyDescent="0.25">
      <c r="A142" s="13"/>
      <c r="B142" s="13"/>
      <c r="C142" s="13"/>
      <c r="D142" s="13"/>
      <c r="E142" s="11"/>
      <c r="F142" s="11"/>
      <c r="G142" s="11"/>
      <c r="H142" s="12"/>
      <c r="I142" s="12"/>
      <c r="J142" s="12"/>
      <c r="K142" s="12"/>
      <c r="L142" s="12"/>
      <c r="M142" s="13"/>
    </row>
    <row r="143" spans="1:13" x14ac:dyDescent="0.25">
      <c r="A143" s="13"/>
      <c r="B143" s="13"/>
      <c r="C143" s="13"/>
      <c r="D143" s="13"/>
      <c r="E143" s="11"/>
      <c r="F143" s="11"/>
      <c r="G143" s="11"/>
      <c r="H143" s="12"/>
      <c r="I143" s="12"/>
      <c r="J143" s="12"/>
      <c r="K143" s="12"/>
      <c r="L143" s="12"/>
      <c r="M143" s="13"/>
    </row>
    <row r="144" spans="1:13" x14ac:dyDescent="0.25">
      <c r="A144" s="13"/>
      <c r="B144" s="176" t="s">
        <v>64</v>
      </c>
      <c r="C144" s="176"/>
      <c r="D144" s="176"/>
      <c r="E144" s="176"/>
      <c r="F144" s="11"/>
      <c r="G144" s="15"/>
      <c r="H144" s="12"/>
      <c r="I144" s="12"/>
      <c r="J144" s="176" t="s">
        <v>197</v>
      </c>
      <c r="K144" s="176"/>
      <c r="L144" s="176"/>
      <c r="M144" s="176"/>
    </row>
    <row r="148" spans="1:13" x14ac:dyDescent="0.25">
      <c r="E148" s="30" t="s">
        <v>5</v>
      </c>
      <c r="F148" s="87"/>
      <c r="G148" s="187" t="s">
        <v>1</v>
      </c>
      <c r="H148" s="187"/>
      <c r="I148" s="187"/>
      <c r="J148" s="187"/>
      <c r="K148" s="187"/>
      <c r="L148" s="187"/>
      <c r="M148" s="187"/>
    </row>
    <row r="149" spans="1:13" x14ac:dyDescent="0.25">
      <c r="E149" s="30" t="s">
        <v>6</v>
      </c>
      <c r="F149" s="87"/>
      <c r="G149" s="188" t="s">
        <v>2</v>
      </c>
      <c r="H149" s="188"/>
      <c r="I149" s="188"/>
      <c r="J149" s="188"/>
      <c r="K149" s="188"/>
      <c r="L149" s="188"/>
      <c r="M149" s="188"/>
    </row>
    <row r="150" spans="1:13" x14ac:dyDescent="0.25">
      <c r="A150" s="4"/>
      <c r="B150" s="4"/>
      <c r="C150" s="4"/>
      <c r="D150" s="4"/>
      <c r="E150" s="4"/>
      <c r="F150" s="6"/>
      <c r="G150" s="6"/>
      <c r="H150" s="189" t="s">
        <v>626</v>
      </c>
      <c r="I150" s="189"/>
      <c r="J150" s="189"/>
      <c r="K150" s="189"/>
      <c r="L150" s="189"/>
      <c r="M150" s="189"/>
    </row>
    <row r="151" spans="1:13" ht="18.75" x14ac:dyDescent="0.25">
      <c r="A151" s="190" t="s">
        <v>606</v>
      </c>
      <c r="B151" s="190"/>
      <c r="C151" s="190"/>
      <c r="D151" s="190"/>
      <c r="E151" s="190"/>
      <c r="F151" s="190"/>
      <c r="G151" s="190"/>
      <c r="H151" s="190"/>
      <c r="I151" s="190"/>
      <c r="J151" s="190"/>
      <c r="K151" s="190"/>
      <c r="L151" s="190"/>
      <c r="M151" s="190"/>
    </row>
    <row r="152" spans="1:13" ht="31.5" x14ac:dyDescent="0.25">
      <c r="A152" s="77" t="s">
        <v>7</v>
      </c>
      <c r="B152" s="77" t="s">
        <v>8</v>
      </c>
      <c r="C152" s="77" t="s">
        <v>9</v>
      </c>
      <c r="D152" s="77" t="s">
        <v>31</v>
      </c>
      <c r="E152" s="77" t="s">
        <v>10</v>
      </c>
      <c r="F152" s="77" t="s">
        <v>11</v>
      </c>
      <c r="G152" s="77" t="s">
        <v>12</v>
      </c>
      <c r="H152" s="78" t="s">
        <v>13</v>
      </c>
      <c r="I152" s="77" t="s">
        <v>14</v>
      </c>
      <c r="J152" s="78" t="s">
        <v>15</v>
      </c>
      <c r="K152" s="78" t="s">
        <v>90</v>
      </c>
      <c r="L152" s="79" t="s">
        <v>16</v>
      </c>
      <c r="M152" s="77" t="s">
        <v>20</v>
      </c>
    </row>
    <row r="153" spans="1:13" ht="57" customHeight="1" x14ac:dyDescent="0.25">
      <c r="A153" s="16">
        <v>1</v>
      </c>
      <c r="B153" s="64">
        <v>8</v>
      </c>
      <c r="C153" s="65">
        <v>45661</v>
      </c>
      <c r="D153" s="67" t="s">
        <v>54</v>
      </c>
      <c r="E153" s="64" t="s">
        <v>55</v>
      </c>
      <c r="F153" s="64" t="s">
        <v>56</v>
      </c>
      <c r="G153" s="27" t="s">
        <v>57</v>
      </c>
      <c r="H153" s="61">
        <v>100000</v>
      </c>
      <c r="I153" s="76"/>
      <c r="J153" s="61"/>
      <c r="K153" s="108"/>
      <c r="L153" s="73">
        <f t="shared" ref="L153:L160" si="6">H153+J153</f>
        <v>100000</v>
      </c>
      <c r="M153" s="27" t="s">
        <v>58</v>
      </c>
    </row>
    <row r="154" spans="1:13" ht="58.9" customHeight="1" x14ac:dyDescent="0.25">
      <c r="A154" s="16">
        <v>2</v>
      </c>
      <c r="B154" s="64">
        <v>554</v>
      </c>
      <c r="C154" s="65">
        <v>45838</v>
      </c>
      <c r="D154" s="67" t="s">
        <v>511</v>
      </c>
      <c r="E154" s="64" t="s">
        <v>510</v>
      </c>
      <c r="F154" s="64" t="s">
        <v>607</v>
      </c>
      <c r="G154" s="27" t="s">
        <v>608</v>
      </c>
      <c r="H154" s="61"/>
      <c r="I154" s="62"/>
      <c r="J154" s="61">
        <f>2475000/3</f>
        <v>825000</v>
      </c>
      <c r="K154" s="61"/>
      <c r="L154" s="73">
        <f t="shared" si="6"/>
        <v>825000</v>
      </c>
      <c r="M154" s="27" t="s">
        <v>609</v>
      </c>
    </row>
    <row r="155" spans="1:13" ht="69" customHeight="1" x14ac:dyDescent="0.25">
      <c r="A155" s="16">
        <v>3</v>
      </c>
      <c r="B155" s="64">
        <v>585</v>
      </c>
      <c r="C155" s="65">
        <v>45850</v>
      </c>
      <c r="D155" s="67" t="s">
        <v>610</v>
      </c>
      <c r="E155" s="64" t="s">
        <v>611</v>
      </c>
      <c r="F155" s="64" t="s">
        <v>612</v>
      </c>
      <c r="G155" s="27" t="s">
        <v>613</v>
      </c>
      <c r="H155" s="61">
        <v>500000</v>
      </c>
      <c r="I155" s="62"/>
      <c r="J155" s="61"/>
      <c r="K155" s="61">
        <v>15</v>
      </c>
      <c r="L155" s="73">
        <f t="shared" si="6"/>
        <v>500000</v>
      </c>
      <c r="M155" s="27"/>
    </row>
    <row r="156" spans="1:13" ht="63" x14ac:dyDescent="0.25">
      <c r="A156" s="16">
        <v>4</v>
      </c>
      <c r="B156" s="64">
        <v>665</v>
      </c>
      <c r="C156" s="65">
        <v>45867</v>
      </c>
      <c r="D156" s="67" t="s">
        <v>263</v>
      </c>
      <c r="E156" s="64" t="s">
        <v>264</v>
      </c>
      <c r="F156" s="64" t="s">
        <v>607</v>
      </c>
      <c r="G156" s="27" t="s">
        <v>614</v>
      </c>
      <c r="H156" s="61"/>
      <c r="I156" s="76"/>
      <c r="J156" s="61">
        <v>273500</v>
      </c>
      <c r="K156" s="108"/>
      <c r="L156" s="73">
        <f t="shared" si="6"/>
        <v>273500</v>
      </c>
      <c r="M156" s="27"/>
    </row>
    <row r="157" spans="1:13" ht="84" customHeight="1" x14ac:dyDescent="0.25">
      <c r="A157" s="16">
        <v>5</v>
      </c>
      <c r="B157" s="64">
        <v>664</v>
      </c>
      <c r="C157" s="65">
        <v>45867</v>
      </c>
      <c r="D157" s="67" t="s">
        <v>615</v>
      </c>
      <c r="E157" s="64" t="s">
        <v>616</v>
      </c>
      <c r="F157" s="64" t="s">
        <v>617</v>
      </c>
      <c r="G157" s="27" t="s">
        <v>618</v>
      </c>
      <c r="H157" s="61">
        <v>500000</v>
      </c>
      <c r="I157" s="76"/>
      <c r="J157" s="61"/>
      <c r="K157" s="108">
        <v>13</v>
      </c>
      <c r="L157" s="73">
        <f t="shared" si="6"/>
        <v>500000</v>
      </c>
      <c r="M157" s="27"/>
    </row>
    <row r="158" spans="1:13" ht="78.75" x14ac:dyDescent="0.25">
      <c r="A158" s="16">
        <v>6</v>
      </c>
      <c r="B158" s="64">
        <v>661</v>
      </c>
      <c r="C158" s="65">
        <v>45867</v>
      </c>
      <c r="D158" s="67" t="s">
        <v>491</v>
      </c>
      <c r="E158" s="64" t="s">
        <v>490</v>
      </c>
      <c r="F158" s="64" t="s">
        <v>492</v>
      </c>
      <c r="G158" s="27" t="s">
        <v>619</v>
      </c>
      <c r="H158" s="61"/>
      <c r="I158" s="76"/>
      <c r="J158" s="61">
        <v>2670000</v>
      </c>
      <c r="K158" s="108"/>
      <c r="L158" s="73">
        <f t="shared" si="6"/>
        <v>2670000</v>
      </c>
      <c r="M158" s="27"/>
    </row>
    <row r="159" spans="1:13" ht="69" customHeight="1" x14ac:dyDescent="0.25">
      <c r="A159" s="16">
        <v>7</v>
      </c>
      <c r="B159" s="64">
        <v>659</v>
      </c>
      <c r="C159" s="65">
        <v>45867</v>
      </c>
      <c r="D159" s="67" t="s">
        <v>620</v>
      </c>
      <c r="E159" s="64" t="s">
        <v>621</v>
      </c>
      <c r="F159" s="64" t="s">
        <v>622</v>
      </c>
      <c r="G159" s="27" t="s">
        <v>623</v>
      </c>
      <c r="H159" s="61">
        <v>500000</v>
      </c>
      <c r="I159" s="76"/>
      <c r="J159" s="61"/>
      <c r="K159" s="108">
        <v>5</v>
      </c>
      <c r="L159" s="73">
        <f t="shared" si="6"/>
        <v>500000</v>
      </c>
      <c r="M159" s="27"/>
    </row>
    <row r="160" spans="1:13" ht="47.25" x14ac:dyDescent="0.25">
      <c r="A160" s="16">
        <v>8</v>
      </c>
      <c r="B160" s="64">
        <v>676</v>
      </c>
      <c r="C160" s="65">
        <v>45869</v>
      </c>
      <c r="D160" s="67" t="s">
        <v>465</v>
      </c>
      <c r="E160" s="64" t="s">
        <v>466</v>
      </c>
      <c r="F160" s="64" t="s">
        <v>624</v>
      </c>
      <c r="G160" s="27" t="s">
        <v>625</v>
      </c>
      <c r="H160" s="61"/>
      <c r="I160" s="76"/>
      <c r="J160" s="61"/>
      <c r="K160" s="108">
        <v>6</v>
      </c>
      <c r="L160" s="73">
        <f t="shared" si="6"/>
        <v>0</v>
      </c>
      <c r="M160" s="27"/>
    </row>
    <row r="161" spans="1:13" x14ac:dyDescent="0.25">
      <c r="A161" s="191" t="s">
        <v>30</v>
      </c>
      <c r="B161" s="191"/>
      <c r="C161" s="191"/>
      <c r="D161" s="191"/>
      <c r="E161" s="191"/>
      <c r="F161" s="191"/>
      <c r="G161" s="191"/>
      <c r="H161" s="72">
        <f>SUM(H153:H160)</f>
        <v>1600000</v>
      </c>
      <c r="I161" s="72"/>
      <c r="J161" s="72">
        <f>SUM(J153:J160)</f>
        <v>3768500</v>
      </c>
      <c r="K161" s="72">
        <f>SUM(K153:K160)</f>
        <v>39</v>
      </c>
      <c r="L161" s="72">
        <f>SUM(L153:L160)</f>
        <v>5368500</v>
      </c>
      <c r="M161" s="71"/>
    </row>
    <row r="162" spans="1:13" x14ac:dyDescent="0.25">
      <c r="A162" s="192" t="s">
        <v>18</v>
      </c>
      <c r="B162" s="192"/>
      <c r="C162" s="192"/>
      <c r="D162" s="80" t="e">
        <f ca="1">[2]!vnd(L161)</f>
        <v>#NAME?</v>
      </c>
      <c r="E162" s="85"/>
      <c r="F162" s="11"/>
      <c r="G162" s="85"/>
      <c r="H162" s="12"/>
      <c r="I162" s="12"/>
      <c r="J162" s="12"/>
      <c r="K162" s="12"/>
      <c r="L162" s="12"/>
      <c r="M162" s="13"/>
    </row>
    <row r="163" spans="1:13" x14ac:dyDescent="0.25">
      <c r="A163" s="13"/>
      <c r="B163" s="13"/>
      <c r="C163" s="13"/>
      <c r="D163" s="13"/>
      <c r="E163" s="11"/>
      <c r="F163" s="11"/>
      <c r="G163" s="11"/>
      <c r="H163" s="12"/>
      <c r="I163" s="12"/>
      <c r="J163" s="12"/>
      <c r="K163" s="12"/>
      <c r="L163" s="12"/>
      <c r="M163" s="13"/>
    </row>
    <row r="164" spans="1:13" x14ac:dyDescent="0.25">
      <c r="A164" s="86"/>
      <c r="B164" s="175" t="s">
        <v>34</v>
      </c>
      <c r="C164" s="175"/>
      <c r="D164" s="175"/>
      <c r="E164" s="175"/>
      <c r="F164" s="74"/>
      <c r="G164" s="74"/>
      <c r="H164" s="14"/>
      <c r="I164" s="14"/>
      <c r="J164" s="175" t="s">
        <v>4</v>
      </c>
      <c r="K164" s="175"/>
      <c r="L164" s="175"/>
      <c r="M164" s="175"/>
    </row>
    <row r="165" spans="1:13" x14ac:dyDescent="0.25">
      <c r="A165" s="13"/>
      <c r="B165" s="13"/>
      <c r="C165" s="13"/>
      <c r="D165" s="13"/>
      <c r="E165" s="11"/>
      <c r="F165" s="11"/>
      <c r="G165" s="11"/>
      <c r="H165" s="12"/>
      <c r="I165" s="12"/>
      <c r="J165" s="12"/>
      <c r="K165" s="12"/>
      <c r="L165" s="12"/>
      <c r="M165" s="13"/>
    </row>
    <row r="166" spans="1:13" x14ac:dyDescent="0.25">
      <c r="A166" s="13"/>
      <c r="B166" s="13"/>
      <c r="C166" s="13"/>
      <c r="D166" s="13"/>
      <c r="E166" s="11"/>
      <c r="F166" s="11"/>
      <c r="G166" s="11"/>
      <c r="H166" s="12"/>
      <c r="I166" s="12"/>
      <c r="J166" s="12"/>
      <c r="K166" s="12"/>
      <c r="L166" s="12"/>
      <c r="M166" s="13"/>
    </row>
    <row r="167" spans="1:13" x14ac:dyDescent="0.25">
      <c r="A167" s="13"/>
      <c r="B167" s="13"/>
      <c r="C167" s="13"/>
      <c r="D167" s="13"/>
      <c r="E167" s="11"/>
      <c r="F167" s="11"/>
      <c r="G167" s="11"/>
      <c r="H167" s="12"/>
      <c r="I167" s="12"/>
      <c r="J167" s="12"/>
      <c r="K167" s="12"/>
      <c r="L167" s="12"/>
      <c r="M167" s="13"/>
    </row>
    <row r="168" spans="1:13" x14ac:dyDescent="0.25">
      <c r="A168" s="13"/>
      <c r="B168" s="176" t="s">
        <v>64</v>
      </c>
      <c r="C168" s="176"/>
      <c r="D168" s="176"/>
      <c r="E168" s="176"/>
      <c r="F168" s="11"/>
      <c r="G168" s="15"/>
      <c r="H168" s="12"/>
      <c r="I168" s="12"/>
      <c r="J168" s="176" t="s">
        <v>197</v>
      </c>
      <c r="K168" s="176"/>
      <c r="L168" s="176"/>
      <c r="M168" s="176"/>
    </row>
    <row r="169" spans="1:13" x14ac:dyDescent="0.25">
      <c r="A169" s="13"/>
      <c r="B169" s="139"/>
      <c r="C169" s="139"/>
      <c r="D169" s="139"/>
      <c r="E169" s="139"/>
      <c r="F169" s="11"/>
      <c r="G169" s="15"/>
      <c r="H169" s="12"/>
      <c r="I169" s="12"/>
      <c r="J169" s="139"/>
      <c r="K169" s="139"/>
      <c r="L169" s="139"/>
      <c r="M169" s="139"/>
    </row>
    <row r="170" spans="1:13" x14ac:dyDescent="0.25">
      <c r="A170" s="13"/>
      <c r="B170" s="139"/>
      <c r="C170" s="139"/>
      <c r="D170" s="139"/>
      <c r="E170" s="139"/>
      <c r="F170" s="11"/>
      <c r="G170" s="15"/>
      <c r="H170" s="12"/>
      <c r="I170" s="12"/>
      <c r="J170" s="139"/>
      <c r="K170" s="139"/>
      <c r="L170" s="139"/>
      <c r="M170" s="139"/>
    </row>
    <row r="172" spans="1:13" x14ac:dyDescent="0.25">
      <c r="E172" s="30" t="s">
        <v>5</v>
      </c>
      <c r="F172" s="87"/>
      <c r="G172" s="187" t="s">
        <v>1</v>
      </c>
      <c r="H172" s="187"/>
      <c r="I172" s="187"/>
      <c r="J172" s="187"/>
      <c r="K172" s="187"/>
      <c r="L172" s="187"/>
      <c r="M172" s="187"/>
    </row>
    <row r="173" spans="1:13" x14ac:dyDescent="0.25">
      <c r="E173" s="30" t="s">
        <v>6</v>
      </c>
      <c r="F173" s="87"/>
      <c r="G173" s="188" t="s">
        <v>2</v>
      </c>
      <c r="H173" s="188"/>
      <c r="I173" s="188"/>
      <c r="J173" s="188"/>
      <c r="K173" s="188"/>
      <c r="L173" s="188"/>
      <c r="M173" s="188"/>
    </row>
    <row r="174" spans="1:13" x14ac:dyDescent="0.25">
      <c r="A174" s="4"/>
      <c r="B174" s="4"/>
      <c r="C174" s="4"/>
      <c r="D174" s="4"/>
      <c r="E174" s="4"/>
      <c r="F174" s="6"/>
      <c r="G174" s="6"/>
      <c r="H174" s="189" t="s">
        <v>850</v>
      </c>
      <c r="I174" s="189"/>
      <c r="J174" s="189"/>
      <c r="K174" s="189"/>
      <c r="L174" s="189"/>
      <c r="M174" s="189"/>
    </row>
    <row r="175" spans="1:13" ht="18.75" x14ac:dyDescent="0.25">
      <c r="A175" s="190" t="s">
        <v>780</v>
      </c>
      <c r="B175" s="190"/>
      <c r="C175" s="190"/>
      <c r="D175" s="190"/>
      <c r="E175" s="190"/>
      <c r="F175" s="190"/>
      <c r="G175" s="190"/>
      <c r="H175" s="190"/>
      <c r="I175" s="190"/>
      <c r="J175" s="190"/>
      <c r="K175" s="190"/>
      <c r="L175" s="190"/>
      <c r="M175" s="190"/>
    </row>
    <row r="176" spans="1:13" ht="31.5" x14ac:dyDescent="0.25">
      <c r="A176" s="77" t="s">
        <v>7</v>
      </c>
      <c r="B176" s="77" t="s">
        <v>8</v>
      </c>
      <c r="C176" s="77" t="s">
        <v>9</v>
      </c>
      <c r="D176" s="77" t="s">
        <v>31</v>
      </c>
      <c r="E176" s="77" t="s">
        <v>10</v>
      </c>
      <c r="F176" s="77" t="s">
        <v>11</v>
      </c>
      <c r="G176" s="77" t="s">
        <v>12</v>
      </c>
      <c r="H176" s="78" t="s">
        <v>13</v>
      </c>
      <c r="I176" s="77" t="s">
        <v>14</v>
      </c>
      <c r="J176" s="78" t="s">
        <v>15</v>
      </c>
      <c r="K176" s="78" t="s">
        <v>90</v>
      </c>
      <c r="L176" s="79" t="s">
        <v>16</v>
      </c>
      <c r="M176" s="77" t="s">
        <v>20</v>
      </c>
    </row>
    <row r="177" spans="1:13" ht="47.25" x14ac:dyDescent="0.25">
      <c r="A177" s="16">
        <v>1</v>
      </c>
      <c r="B177" s="64">
        <v>8</v>
      </c>
      <c r="C177" s="65">
        <v>45661</v>
      </c>
      <c r="D177" s="67" t="s">
        <v>54</v>
      </c>
      <c r="E177" s="64" t="s">
        <v>55</v>
      </c>
      <c r="F177" s="64" t="s">
        <v>56</v>
      </c>
      <c r="G177" s="27" t="s">
        <v>57</v>
      </c>
      <c r="H177" s="61">
        <v>100000</v>
      </c>
      <c r="I177" s="76"/>
      <c r="J177" s="61"/>
      <c r="K177" s="108"/>
      <c r="L177" s="73">
        <f t="shared" ref="L177:L178" si="7">H177+J177</f>
        <v>100000</v>
      </c>
      <c r="M177" s="27" t="s">
        <v>58</v>
      </c>
    </row>
    <row r="178" spans="1:13" ht="79.5" customHeight="1" x14ac:dyDescent="0.25">
      <c r="A178" s="16">
        <v>2</v>
      </c>
      <c r="B178" s="64">
        <v>554</v>
      </c>
      <c r="C178" s="65">
        <v>45838</v>
      </c>
      <c r="D178" s="67" t="s">
        <v>511</v>
      </c>
      <c r="E178" s="64" t="s">
        <v>510</v>
      </c>
      <c r="F178" s="64" t="s">
        <v>607</v>
      </c>
      <c r="G178" s="27" t="s">
        <v>608</v>
      </c>
      <c r="H178" s="61"/>
      <c r="I178" s="62"/>
      <c r="J178" s="61">
        <f>2475000/3</f>
        <v>825000</v>
      </c>
      <c r="K178" s="61"/>
      <c r="L178" s="73">
        <f t="shared" si="7"/>
        <v>825000</v>
      </c>
      <c r="M178" s="27" t="s">
        <v>609</v>
      </c>
    </row>
    <row r="179" spans="1:13" ht="87.75" customHeight="1" x14ac:dyDescent="0.25">
      <c r="A179" s="16">
        <v>3</v>
      </c>
      <c r="B179" s="64">
        <v>713</v>
      </c>
      <c r="C179" s="65">
        <v>45881</v>
      </c>
      <c r="D179" s="67" t="s">
        <v>511</v>
      </c>
      <c r="E179" s="64" t="s">
        <v>510</v>
      </c>
      <c r="F179" s="64" t="s">
        <v>607</v>
      </c>
      <c r="G179" s="138" t="s">
        <v>796</v>
      </c>
      <c r="H179" s="61"/>
      <c r="I179" s="62"/>
      <c r="J179" s="61">
        <v>983000</v>
      </c>
      <c r="K179" s="61"/>
      <c r="L179" s="73">
        <v>983000</v>
      </c>
      <c r="M179" s="27" t="s">
        <v>797</v>
      </c>
    </row>
    <row r="180" spans="1:13" x14ac:dyDescent="0.25">
      <c r="A180" s="16">
        <v>4</v>
      </c>
      <c r="B180" s="64"/>
      <c r="C180" s="65"/>
      <c r="D180" s="67"/>
      <c r="E180" s="64"/>
      <c r="F180" s="64"/>
      <c r="G180" s="27"/>
      <c r="H180" s="61"/>
      <c r="I180" s="76"/>
      <c r="J180" s="61"/>
      <c r="K180" s="108"/>
      <c r="L180" s="73"/>
      <c r="M180" s="27"/>
    </row>
    <row r="181" spans="1:13" x14ac:dyDescent="0.25">
      <c r="A181" s="16">
        <v>5</v>
      </c>
      <c r="B181" s="64"/>
      <c r="C181" s="65"/>
      <c r="D181" s="67"/>
      <c r="E181" s="64"/>
      <c r="F181" s="64"/>
      <c r="G181" s="27"/>
      <c r="H181" s="61"/>
      <c r="I181" s="76"/>
      <c r="J181" s="61"/>
      <c r="K181" s="108"/>
      <c r="L181" s="73"/>
      <c r="M181" s="27"/>
    </row>
    <row r="182" spans="1:13" x14ac:dyDescent="0.25">
      <c r="A182" s="16">
        <v>6</v>
      </c>
      <c r="B182" s="64"/>
      <c r="C182" s="65"/>
      <c r="D182" s="67"/>
      <c r="E182" s="64"/>
      <c r="F182" s="64"/>
      <c r="G182" s="27"/>
      <c r="H182" s="61"/>
      <c r="I182" s="76"/>
      <c r="J182" s="61"/>
      <c r="K182" s="108"/>
      <c r="L182" s="73"/>
      <c r="M182" s="27"/>
    </row>
    <row r="183" spans="1:13" x14ac:dyDescent="0.25">
      <c r="A183" s="16">
        <v>7</v>
      </c>
      <c r="B183" s="64"/>
      <c r="C183" s="65"/>
      <c r="D183" s="67"/>
      <c r="E183" s="64"/>
      <c r="F183" s="64"/>
      <c r="G183" s="27"/>
      <c r="H183" s="61"/>
      <c r="I183" s="76"/>
      <c r="J183" s="61"/>
      <c r="K183" s="108"/>
      <c r="L183" s="73"/>
      <c r="M183" s="27"/>
    </row>
    <row r="184" spans="1:13" x14ac:dyDescent="0.25">
      <c r="A184" s="16">
        <v>8</v>
      </c>
      <c r="B184" s="64"/>
      <c r="C184" s="65"/>
      <c r="D184" s="67"/>
      <c r="E184" s="64"/>
      <c r="F184" s="64"/>
      <c r="G184" s="27"/>
      <c r="H184" s="61"/>
      <c r="I184" s="76"/>
      <c r="J184" s="61"/>
      <c r="K184" s="108"/>
      <c r="L184" s="73"/>
      <c r="M184" s="27"/>
    </row>
    <row r="185" spans="1:13" x14ac:dyDescent="0.25">
      <c r="A185" s="191" t="s">
        <v>30</v>
      </c>
      <c r="B185" s="191"/>
      <c r="C185" s="191"/>
      <c r="D185" s="191"/>
      <c r="E185" s="191"/>
      <c r="F185" s="191"/>
      <c r="G185" s="191"/>
      <c r="H185" s="72">
        <f>SUM(H177:H184)</f>
        <v>100000</v>
      </c>
      <c r="I185" s="72"/>
      <c r="J185" s="72">
        <f>SUM(J177:J184)</f>
        <v>1808000</v>
      </c>
      <c r="K185" s="72">
        <f>SUM(K177:K184)</f>
        <v>0</v>
      </c>
      <c r="L185" s="72">
        <f>SUM(L177:L184)</f>
        <v>1908000</v>
      </c>
      <c r="M185" s="71"/>
    </row>
    <row r="186" spans="1:13" x14ac:dyDescent="0.25">
      <c r="A186" s="192" t="s">
        <v>18</v>
      </c>
      <c r="B186" s="192"/>
      <c r="C186" s="192"/>
      <c r="D186" s="193" t="s">
        <v>851</v>
      </c>
      <c r="E186" s="194"/>
      <c r="F186" s="194"/>
      <c r="G186" s="194"/>
      <c r="H186" s="12"/>
      <c r="I186" s="12"/>
      <c r="J186" s="12"/>
      <c r="K186" s="12"/>
      <c r="L186" s="12"/>
      <c r="M186" s="13"/>
    </row>
    <row r="187" spans="1:13" x14ac:dyDescent="0.25">
      <c r="A187" s="13"/>
      <c r="B187" s="13" t="s">
        <v>852</v>
      </c>
      <c r="C187" s="13"/>
      <c r="D187" s="13"/>
      <c r="E187" s="11"/>
      <c r="F187" s="11"/>
      <c r="G187" s="11"/>
      <c r="H187" s="12"/>
      <c r="I187" s="12"/>
      <c r="J187" s="12"/>
      <c r="K187" s="12"/>
      <c r="L187" s="12"/>
      <c r="M187" s="13"/>
    </row>
    <row r="188" spans="1:13" x14ac:dyDescent="0.25">
      <c r="A188" s="86"/>
      <c r="B188" s="175" t="s">
        <v>34</v>
      </c>
      <c r="C188" s="175"/>
      <c r="D188" s="175"/>
      <c r="E188" s="175"/>
      <c r="F188" s="74"/>
      <c r="G188" s="74"/>
      <c r="H188" s="14"/>
      <c r="I188" s="14"/>
      <c r="J188" s="175" t="s">
        <v>4</v>
      </c>
      <c r="K188" s="175"/>
      <c r="L188" s="175"/>
      <c r="M188" s="175"/>
    </row>
    <row r="189" spans="1:13" ht="28.5" customHeight="1" x14ac:dyDescent="0.25">
      <c r="A189" s="13"/>
      <c r="B189" s="13"/>
      <c r="C189" s="13"/>
      <c r="D189" s="13"/>
      <c r="E189" s="11"/>
      <c r="F189" s="11"/>
      <c r="G189" s="11"/>
      <c r="H189" s="12"/>
      <c r="I189" s="12"/>
      <c r="J189" s="12"/>
      <c r="K189" s="12"/>
      <c r="L189" s="12"/>
      <c r="M189" s="13"/>
    </row>
    <row r="190" spans="1:13" ht="34.5" customHeight="1" x14ac:dyDescent="0.25">
      <c r="A190" s="13"/>
      <c r="B190" s="13"/>
      <c r="C190" s="13"/>
      <c r="D190" s="13"/>
      <c r="E190" s="11"/>
      <c r="F190" s="11"/>
      <c r="G190" s="11"/>
      <c r="H190" s="12"/>
      <c r="I190" s="12"/>
      <c r="J190" s="12"/>
      <c r="K190" s="12"/>
      <c r="L190" s="12"/>
      <c r="M190" s="13"/>
    </row>
    <row r="191" spans="1:13" x14ac:dyDescent="0.25">
      <c r="A191" s="13"/>
      <c r="B191" s="13"/>
      <c r="C191" s="13"/>
      <c r="D191" s="13"/>
      <c r="E191" s="11"/>
      <c r="F191" s="11"/>
      <c r="G191" s="11"/>
      <c r="H191" s="12"/>
      <c r="I191" s="12"/>
      <c r="J191" s="12"/>
      <c r="K191" s="12"/>
      <c r="L191" s="12"/>
      <c r="M191" s="13"/>
    </row>
    <row r="192" spans="1:13" x14ac:dyDescent="0.25">
      <c r="A192" s="13"/>
      <c r="B192" s="176" t="s">
        <v>364</v>
      </c>
      <c r="C192" s="176"/>
      <c r="D192" s="176"/>
      <c r="E192" s="176"/>
      <c r="F192" s="11"/>
      <c r="G192" s="15"/>
      <c r="H192" s="12"/>
      <c r="I192" s="12"/>
      <c r="J192" s="176" t="s">
        <v>830</v>
      </c>
      <c r="K192" s="176"/>
      <c r="L192" s="176"/>
      <c r="M192" s="176"/>
    </row>
    <row r="197" spans="1:13" x14ac:dyDescent="0.25">
      <c r="E197" s="30" t="s">
        <v>5</v>
      </c>
      <c r="F197" s="87"/>
      <c r="G197" s="187" t="s">
        <v>1</v>
      </c>
      <c r="H197" s="187"/>
      <c r="I197" s="187"/>
      <c r="J197" s="187"/>
      <c r="K197" s="187"/>
      <c r="L197" s="187"/>
      <c r="M197" s="187"/>
    </row>
    <row r="198" spans="1:13" x14ac:dyDescent="0.25">
      <c r="E198" s="30" t="s">
        <v>6</v>
      </c>
      <c r="F198" s="87"/>
      <c r="G198" s="188" t="s">
        <v>2</v>
      </c>
      <c r="H198" s="188"/>
      <c r="I198" s="188"/>
      <c r="J198" s="188"/>
      <c r="K198" s="188"/>
      <c r="L198" s="188"/>
      <c r="M198" s="188"/>
    </row>
    <row r="199" spans="1:13" x14ac:dyDescent="0.25">
      <c r="A199" s="4"/>
      <c r="B199" s="4"/>
      <c r="C199" s="4"/>
      <c r="D199" s="4"/>
      <c r="E199" s="4"/>
      <c r="F199" s="6"/>
      <c r="G199" s="6"/>
      <c r="H199" s="189" t="s">
        <v>863</v>
      </c>
      <c r="I199" s="189"/>
      <c r="J199" s="189"/>
      <c r="K199" s="189"/>
      <c r="L199" s="189"/>
      <c r="M199" s="189"/>
    </row>
    <row r="200" spans="1:13" ht="18.75" x14ac:dyDescent="0.25">
      <c r="A200" s="190" t="s">
        <v>856</v>
      </c>
      <c r="B200" s="190"/>
      <c r="C200" s="190"/>
      <c r="D200" s="190"/>
      <c r="E200" s="190"/>
      <c r="F200" s="190"/>
      <c r="G200" s="190"/>
      <c r="H200" s="190"/>
      <c r="I200" s="190"/>
      <c r="J200" s="190"/>
      <c r="K200" s="190"/>
      <c r="L200" s="190"/>
      <c r="M200" s="190"/>
    </row>
    <row r="201" spans="1:13" ht="31.5" x14ac:dyDescent="0.25">
      <c r="A201" s="77" t="s">
        <v>7</v>
      </c>
      <c r="B201" s="77" t="s">
        <v>8</v>
      </c>
      <c r="C201" s="77" t="s">
        <v>9</v>
      </c>
      <c r="D201" s="77" t="s">
        <v>31</v>
      </c>
      <c r="E201" s="77" t="s">
        <v>10</v>
      </c>
      <c r="F201" s="77" t="s">
        <v>11</v>
      </c>
      <c r="G201" s="77" t="s">
        <v>12</v>
      </c>
      <c r="H201" s="78" t="s">
        <v>13</v>
      </c>
      <c r="I201" s="77" t="s">
        <v>14</v>
      </c>
      <c r="J201" s="78" t="s">
        <v>15</v>
      </c>
      <c r="K201" s="78" t="s">
        <v>90</v>
      </c>
      <c r="L201" s="79" t="s">
        <v>16</v>
      </c>
      <c r="M201" s="77" t="s">
        <v>20</v>
      </c>
    </row>
    <row r="202" spans="1:13" ht="47.25" x14ac:dyDescent="0.25">
      <c r="A202" s="16">
        <v>1</v>
      </c>
      <c r="B202" s="64">
        <v>8</v>
      </c>
      <c r="C202" s="65">
        <v>45661</v>
      </c>
      <c r="D202" s="67" t="s">
        <v>54</v>
      </c>
      <c r="E202" s="64" t="s">
        <v>55</v>
      </c>
      <c r="F202" s="64" t="s">
        <v>56</v>
      </c>
      <c r="G202" s="27" t="s">
        <v>57</v>
      </c>
      <c r="H202" s="61">
        <v>100000</v>
      </c>
      <c r="I202" s="76"/>
      <c r="J202" s="61"/>
      <c r="K202" s="108"/>
      <c r="L202" s="73">
        <f t="shared" ref="L202:L203" si="8">H202+J202</f>
        <v>100000</v>
      </c>
      <c r="M202" s="27" t="s">
        <v>58</v>
      </c>
    </row>
    <row r="203" spans="1:13" ht="63" x14ac:dyDescent="0.25">
      <c r="A203" s="16">
        <v>2</v>
      </c>
      <c r="B203" s="64">
        <v>554</v>
      </c>
      <c r="C203" s="65">
        <v>45838</v>
      </c>
      <c r="D203" s="67" t="s">
        <v>511</v>
      </c>
      <c r="E203" s="64" t="s">
        <v>510</v>
      </c>
      <c r="F203" s="64" t="s">
        <v>607</v>
      </c>
      <c r="G203" s="27" t="s">
        <v>608</v>
      </c>
      <c r="H203" s="61"/>
      <c r="I203" s="62"/>
      <c r="J203" s="61">
        <f>2475000/3</f>
        <v>825000</v>
      </c>
      <c r="K203" s="61"/>
      <c r="L203" s="73">
        <f t="shared" si="8"/>
        <v>825000</v>
      </c>
      <c r="M203" s="27" t="s">
        <v>609</v>
      </c>
    </row>
    <row r="204" spans="1:13" ht="81.75" x14ac:dyDescent="0.25">
      <c r="A204" s="16">
        <v>3</v>
      </c>
      <c r="B204" s="64">
        <v>713</v>
      </c>
      <c r="C204" s="65">
        <v>45881</v>
      </c>
      <c r="D204" s="67" t="s">
        <v>511</v>
      </c>
      <c r="E204" s="64" t="s">
        <v>510</v>
      </c>
      <c r="F204" s="64" t="s">
        <v>607</v>
      </c>
      <c r="G204" s="138" t="s">
        <v>796</v>
      </c>
      <c r="H204" s="61"/>
      <c r="I204" s="62"/>
      <c r="J204" s="61">
        <v>983000</v>
      </c>
      <c r="K204" s="61"/>
      <c r="L204" s="73">
        <v>983000</v>
      </c>
      <c r="M204" s="27" t="s">
        <v>921</v>
      </c>
    </row>
    <row r="205" spans="1:13" ht="83.25" x14ac:dyDescent="0.25">
      <c r="A205" s="16">
        <v>4</v>
      </c>
      <c r="B205" s="64">
        <v>783</v>
      </c>
      <c r="C205" s="65">
        <v>45908</v>
      </c>
      <c r="D205" s="67" t="s">
        <v>511</v>
      </c>
      <c r="E205" s="64" t="s">
        <v>510</v>
      </c>
      <c r="F205" s="64" t="s">
        <v>607</v>
      </c>
      <c r="G205" s="151" t="s">
        <v>864</v>
      </c>
      <c r="H205" s="61"/>
      <c r="I205" s="76"/>
      <c r="J205" s="61">
        <v>8876000</v>
      </c>
      <c r="K205" s="108"/>
      <c r="L205" s="73">
        <v>8876000</v>
      </c>
      <c r="M205" s="27" t="s">
        <v>933</v>
      </c>
    </row>
    <row r="206" spans="1:13" x14ac:dyDescent="0.25">
      <c r="A206" s="16">
        <v>5</v>
      </c>
      <c r="B206" s="64"/>
      <c r="C206" s="65"/>
      <c r="D206" s="67"/>
      <c r="E206" s="64"/>
      <c r="F206" s="64"/>
      <c r="G206" s="136"/>
      <c r="H206" s="61"/>
      <c r="I206" s="76"/>
      <c r="J206" s="61"/>
      <c r="K206" s="108"/>
      <c r="L206" s="73"/>
      <c r="M206" s="27"/>
    </row>
    <row r="207" spans="1:13" x14ac:dyDescent="0.25">
      <c r="A207" s="191" t="s">
        <v>30</v>
      </c>
      <c r="B207" s="191"/>
      <c r="C207" s="191"/>
      <c r="D207" s="191"/>
      <c r="E207" s="191"/>
      <c r="F207" s="191"/>
      <c r="G207" s="191"/>
      <c r="H207" s="72">
        <f>SUM(H202:H206)</f>
        <v>100000</v>
      </c>
      <c r="I207" s="72"/>
      <c r="J207" s="72">
        <f>SUM(J202:J206)</f>
        <v>10684000</v>
      </c>
      <c r="K207" s="72">
        <f>SUM(K202:K206)</f>
        <v>0</v>
      </c>
      <c r="L207" s="72">
        <f>SUM(L202:L206)</f>
        <v>10784000</v>
      </c>
      <c r="M207" s="71"/>
    </row>
    <row r="208" spans="1:13" x14ac:dyDescent="0.25">
      <c r="A208" s="192" t="s">
        <v>18</v>
      </c>
      <c r="B208" s="192"/>
      <c r="C208" s="192"/>
      <c r="D208" s="193" t="s">
        <v>934</v>
      </c>
      <c r="E208" s="194"/>
      <c r="F208" s="194"/>
      <c r="G208" s="194"/>
      <c r="H208" s="12"/>
      <c r="I208" s="12"/>
      <c r="J208" s="12"/>
      <c r="K208" s="12"/>
      <c r="L208" s="12"/>
      <c r="M208" s="13"/>
    </row>
    <row r="209" spans="1:13" x14ac:dyDescent="0.25">
      <c r="A209" s="13"/>
      <c r="B209" s="13" t="s">
        <v>852</v>
      </c>
      <c r="C209" s="13"/>
      <c r="D209" s="13"/>
      <c r="E209" s="11"/>
      <c r="F209" s="11"/>
      <c r="G209" s="11"/>
      <c r="H209" s="12"/>
      <c r="I209" s="12"/>
      <c r="J209" s="12"/>
      <c r="K209" s="12"/>
      <c r="L209" s="12"/>
      <c r="M209" s="13"/>
    </row>
    <row r="210" spans="1:13" x14ac:dyDescent="0.25">
      <c r="A210" s="86"/>
      <c r="B210" s="175" t="s">
        <v>34</v>
      </c>
      <c r="C210" s="175"/>
      <c r="D210" s="175"/>
      <c r="E210" s="175"/>
      <c r="F210" s="74"/>
      <c r="G210" s="74"/>
      <c r="H210" s="14"/>
      <c r="I210" s="14"/>
      <c r="J210" s="175" t="s">
        <v>4</v>
      </c>
      <c r="K210" s="175"/>
      <c r="L210" s="175"/>
      <c r="M210" s="175"/>
    </row>
    <row r="211" spans="1:13" x14ac:dyDescent="0.25">
      <c r="A211" s="13"/>
      <c r="B211" s="13"/>
      <c r="C211" s="13"/>
      <c r="D211" s="13"/>
      <c r="E211" s="11"/>
      <c r="F211" s="11"/>
      <c r="G211" s="11"/>
      <c r="H211" s="12"/>
      <c r="I211" s="12"/>
      <c r="J211" s="12"/>
      <c r="K211" s="12"/>
      <c r="L211" s="12"/>
      <c r="M211" s="13"/>
    </row>
    <row r="212" spans="1:13" x14ac:dyDescent="0.25">
      <c r="A212" s="13"/>
      <c r="B212" s="13"/>
      <c r="C212" s="13"/>
      <c r="D212" s="13"/>
      <c r="E212" s="11"/>
      <c r="F212" s="11"/>
      <c r="G212" s="11"/>
      <c r="H212" s="12"/>
      <c r="I212" s="12"/>
      <c r="J212" s="12"/>
      <c r="K212" s="12"/>
      <c r="L212" s="12"/>
      <c r="M212" s="13"/>
    </row>
    <row r="213" spans="1:13" x14ac:dyDescent="0.25">
      <c r="A213" s="13"/>
      <c r="B213" s="13"/>
      <c r="C213" s="13"/>
      <c r="D213" s="13"/>
      <c r="E213" s="11"/>
      <c r="F213" s="11"/>
      <c r="G213" s="11"/>
      <c r="H213" s="12"/>
      <c r="I213" s="12"/>
      <c r="J213" s="12"/>
      <c r="K213" s="12"/>
      <c r="L213" s="12"/>
      <c r="M213" s="13"/>
    </row>
    <row r="214" spans="1:13" x14ac:dyDescent="0.25">
      <c r="A214" s="13"/>
      <c r="B214" s="176" t="s">
        <v>829</v>
      </c>
      <c r="C214" s="176"/>
      <c r="D214" s="176"/>
      <c r="E214" s="176"/>
      <c r="F214" s="11"/>
      <c r="G214" s="15"/>
      <c r="H214" s="12"/>
      <c r="I214" s="12"/>
      <c r="J214" s="176" t="s">
        <v>830</v>
      </c>
      <c r="K214" s="176"/>
      <c r="L214" s="176"/>
      <c r="M214" s="176"/>
    </row>
    <row r="217" spans="1:13" x14ac:dyDescent="0.25">
      <c r="E217" s="30" t="s">
        <v>5</v>
      </c>
      <c r="F217" s="87"/>
      <c r="G217" s="187" t="s">
        <v>1</v>
      </c>
      <c r="H217" s="187"/>
      <c r="I217" s="187"/>
      <c r="J217" s="187"/>
      <c r="K217" s="187"/>
      <c r="L217" s="187"/>
      <c r="M217" s="187"/>
    </row>
    <row r="218" spans="1:13" x14ac:dyDescent="0.25">
      <c r="E218" s="30" t="s">
        <v>6</v>
      </c>
      <c r="F218" s="87"/>
      <c r="G218" s="188" t="s">
        <v>2</v>
      </c>
      <c r="H218" s="188"/>
      <c r="I218" s="188"/>
      <c r="J218" s="188"/>
      <c r="K218" s="188"/>
      <c r="L218" s="188"/>
      <c r="M218" s="188"/>
    </row>
    <row r="219" spans="1:13" x14ac:dyDescent="0.25">
      <c r="A219" s="4"/>
      <c r="B219" s="4"/>
      <c r="C219" s="4"/>
      <c r="D219" s="4"/>
      <c r="E219" s="4"/>
      <c r="F219" s="6"/>
      <c r="G219" s="6"/>
      <c r="H219" s="189" t="s">
        <v>939</v>
      </c>
      <c r="I219" s="189"/>
      <c r="J219" s="189"/>
      <c r="K219" s="189"/>
      <c r="L219" s="189"/>
      <c r="M219" s="189"/>
    </row>
    <row r="220" spans="1:13" ht="18.75" x14ac:dyDescent="0.25">
      <c r="A220" s="190" t="s">
        <v>938</v>
      </c>
      <c r="B220" s="190"/>
      <c r="C220" s="190"/>
      <c r="D220" s="190"/>
      <c r="E220" s="190"/>
      <c r="F220" s="190"/>
      <c r="G220" s="190"/>
      <c r="H220" s="190"/>
      <c r="I220" s="190"/>
      <c r="J220" s="190"/>
      <c r="K220" s="190"/>
      <c r="L220" s="190"/>
      <c r="M220" s="190"/>
    </row>
    <row r="221" spans="1:13" ht="31.5" x14ac:dyDescent="0.25">
      <c r="A221" s="77" t="s">
        <v>7</v>
      </c>
      <c r="B221" s="77" t="s">
        <v>8</v>
      </c>
      <c r="C221" s="77" t="s">
        <v>9</v>
      </c>
      <c r="D221" s="77" t="s">
        <v>31</v>
      </c>
      <c r="E221" s="77" t="s">
        <v>10</v>
      </c>
      <c r="F221" s="77" t="s">
        <v>11</v>
      </c>
      <c r="G221" s="77" t="s">
        <v>12</v>
      </c>
      <c r="H221" s="78" t="s">
        <v>13</v>
      </c>
      <c r="I221" s="77" t="s">
        <v>14</v>
      </c>
      <c r="J221" s="78" t="s">
        <v>15</v>
      </c>
      <c r="K221" s="78" t="s">
        <v>90</v>
      </c>
      <c r="L221" s="79" t="s">
        <v>16</v>
      </c>
      <c r="M221" s="77" t="s">
        <v>20</v>
      </c>
    </row>
    <row r="222" spans="1:13" ht="63" x14ac:dyDescent="0.25">
      <c r="A222" s="16">
        <v>1</v>
      </c>
      <c r="B222" s="64">
        <v>879</v>
      </c>
      <c r="C222" s="65">
        <v>45946</v>
      </c>
      <c r="D222" s="67" t="s">
        <v>1007</v>
      </c>
      <c r="E222" s="64" t="s">
        <v>1008</v>
      </c>
      <c r="F222" s="64" t="s">
        <v>1009</v>
      </c>
      <c r="G222" s="149" t="s">
        <v>1010</v>
      </c>
      <c r="H222" s="61">
        <v>500000</v>
      </c>
      <c r="I222" s="76"/>
      <c r="J222" s="61"/>
      <c r="K222" s="108">
        <v>6</v>
      </c>
      <c r="L222" s="73">
        <v>500000</v>
      </c>
      <c r="M222" s="27"/>
    </row>
    <row r="223" spans="1:13" ht="157.5" x14ac:dyDescent="0.25">
      <c r="A223" s="16">
        <v>2</v>
      </c>
      <c r="B223" s="64">
        <v>940</v>
      </c>
      <c r="C223" s="65">
        <v>45965</v>
      </c>
      <c r="D223" s="67" t="s">
        <v>1051</v>
      </c>
      <c r="E223" s="64" t="s">
        <v>955</v>
      </c>
      <c r="F223" s="64" t="s">
        <v>1052</v>
      </c>
      <c r="G223" s="27" t="s">
        <v>1053</v>
      </c>
      <c r="H223" s="61">
        <v>1000000</v>
      </c>
      <c r="I223" s="62"/>
      <c r="J223" s="61"/>
      <c r="K223" s="61"/>
      <c r="L223" s="73">
        <v>1000000</v>
      </c>
      <c r="M223" s="27"/>
    </row>
    <row r="224" spans="1:13" x14ac:dyDescent="0.25">
      <c r="A224" s="16">
        <v>3</v>
      </c>
      <c r="B224" s="64"/>
      <c r="C224" s="65"/>
      <c r="D224" s="67"/>
      <c r="E224" s="64"/>
      <c r="F224" s="64"/>
      <c r="G224" s="138"/>
      <c r="H224" s="61"/>
      <c r="I224" s="62"/>
      <c r="J224" s="61"/>
      <c r="K224" s="61"/>
      <c r="L224" s="73"/>
      <c r="M224" s="27"/>
    </row>
    <row r="225" spans="1:13" x14ac:dyDescent="0.25">
      <c r="A225" s="16">
        <v>4</v>
      </c>
      <c r="B225" s="64"/>
      <c r="C225" s="65"/>
      <c r="D225" s="67"/>
      <c r="E225" s="64"/>
      <c r="F225" s="64"/>
      <c r="G225" s="151"/>
      <c r="H225" s="61"/>
      <c r="I225" s="76"/>
      <c r="J225" s="61"/>
      <c r="K225" s="108"/>
      <c r="L225" s="73"/>
      <c r="M225" s="27"/>
    </row>
    <row r="226" spans="1:13" x14ac:dyDescent="0.25">
      <c r="A226" s="16">
        <v>5</v>
      </c>
      <c r="B226" s="64"/>
      <c r="C226" s="65"/>
      <c r="D226" s="67"/>
      <c r="E226" s="64"/>
      <c r="F226" s="64"/>
      <c r="G226" s="136"/>
      <c r="H226" s="61"/>
      <c r="I226" s="76"/>
      <c r="J226" s="61"/>
      <c r="K226" s="108"/>
      <c r="L226" s="73"/>
      <c r="M226" s="27"/>
    </row>
    <row r="227" spans="1:13" x14ac:dyDescent="0.25">
      <c r="A227" s="191" t="s">
        <v>30</v>
      </c>
      <c r="B227" s="191"/>
      <c r="C227" s="191"/>
      <c r="D227" s="191"/>
      <c r="E227" s="191"/>
      <c r="F227" s="191"/>
      <c r="G227" s="191"/>
      <c r="H227" s="72">
        <f>SUM(H222:H226)</f>
        <v>1500000</v>
      </c>
      <c r="I227" s="72"/>
      <c r="J227" s="72">
        <f>SUM(J222:J226)</f>
        <v>0</v>
      </c>
      <c r="K227" s="72">
        <f>SUM(K222:K226)</f>
        <v>6</v>
      </c>
      <c r="L227" s="72">
        <f>SUM(L222:L226)</f>
        <v>1500000</v>
      </c>
      <c r="M227" s="71"/>
    </row>
    <row r="228" spans="1:13" x14ac:dyDescent="0.25">
      <c r="A228" s="192" t="s">
        <v>18</v>
      </c>
      <c r="B228" s="192"/>
      <c r="C228" s="192"/>
      <c r="D228" s="193" t="s">
        <v>854</v>
      </c>
      <c r="E228" s="194"/>
      <c r="F228" s="194"/>
      <c r="G228" s="194"/>
      <c r="H228" s="12"/>
      <c r="I228" s="12"/>
      <c r="J228" s="12"/>
      <c r="K228" s="12"/>
      <c r="L228" s="12"/>
      <c r="M228" s="13"/>
    </row>
    <row r="229" spans="1:13" x14ac:dyDescent="0.25">
      <c r="A229" s="13"/>
      <c r="B229" s="13" t="s">
        <v>852</v>
      </c>
      <c r="C229" s="13"/>
      <c r="D229" s="13"/>
      <c r="E229" s="11"/>
      <c r="F229" s="11"/>
      <c r="G229" s="11"/>
      <c r="H229" s="12"/>
      <c r="I229" s="12"/>
      <c r="J229" s="12"/>
      <c r="K229" s="12"/>
      <c r="L229" s="12"/>
      <c r="M229" s="13"/>
    </row>
    <row r="230" spans="1:13" x14ac:dyDescent="0.25">
      <c r="A230" s="86"/>
      <c r="B230" s="175" t="s">
        <v>34</v>
      </c>
      <c r="C230" s="175"/>
      <c r="D230" s="175"/>
      <c r="E230" s="175"/>
      <c r="F230" s="74"/>
      <c r="G230" s="74"/>
      <c r="H230" s="14"/>
      <c r="I230" s="14"/>
      <c r="J230" s="175" t="s">
        <v>4</v>
      </c>
      <c r="K230" s="175"/>
      <c r="L230" s="175"/>
      <c r="M230" s="175"/>
    </row>
    <row r="231" spans="1:13" x14ac:dyDescent="0.25">
      <c r="A231" s="13"/>
      <c r="B231" s="13"/>
      <c r="C231" s="13"/>
      <c r="D231" s="13"/>
      <c r="E231" s="11"/>
      <c r="F231" s="11"/>
      <c r="G231" s="11"/>
      <c r="H231" s="12"/>
      <c r="I231" s="12"/>
      <c r="J231" s="12"/>
      <c r="K231" s="12"/>
      <c r="L231" s="12"/>
      <c r="M231" s="13"/>
    </row>
    <row r="232" spans="1:13" x14ac:dyDescent="0.25">
      <c r="A232" s="13"/>
      <c r="B232" s="13"/>
      <c r="C232" s="13"/>
      <c r="D232" s="13"/>
      <c r="E232" s="11"/>
      <c r="F232" s="11"/>
      <c r="G232" s="11"/>
      <c r="H232" s="12"/>
      <c r="I232" s="12"/>
      <c r="J232" s="12"/>
      <c r="K232" s="12"/>
      <c r="L232" s="12"/>
      <c r="M232" s="13"/>
    </row>
    <row r="233" spans="1:13" x14ac:dyDescent="0.25">
      <c r="A233" s="13"/>
      <c r="B233" s="13"/>
      <c r="C233" s="13"/>
      <c r="D233" s="13"/>
      <c r="E233" s="11"/>
      <c r="F233" s="11"/>
      <c r="G233" s="11"/>
      <c r="H233" s="12"/>
      <c r="I233" s="12"/>
      <c r="J233" s="12"/>
      <c r="K233" s="12"/>
      <c r="L233" s="12"/>
      <c r="M233" s="13"/>
    </row>
    <row r="234" spans="1:13" x14ac:dyDescent="0.25">
      <c r="A234" s="13"/>
      <c r="B234" s="176" t="s">
        <v>829</v>
      </c>
      <c r="C234" s="176"/>
      <c r="D234" s="176"/>
      <c r="E234" s="176"/>
      <c r="F234" s="11"/>
      <c r="G234" s="15"/>
      <c r="H234" s="12"/>
      <c r="I234" s="12"/>
      <c r="J234" s="176" t="s">
        <v>830</v>
      </c>
      <c r="K234" s="176"/>
      <c r="L234" s="176"/>
      <c r="M234" s="176"/>
    </row>
    <row r="238" spans="1:13" x14ac:dyDescent="0.25">
      <c r="E238" s="30" t="s">
        <v>5</v>
      </c>
      <c r="F238" s="87"/>
      <c r="G238" s="187" t="s">
        <v>1</v>
      </c>
      <c r="H238" s="187"/>
      <c r="I238" s="187"/>
      <c r="J238" s="187"/>
      <c r="K238" s="187"/>
      <c r="L238" s="187"/>
      <c r="M238" s="187"/>
    </row>
    <row r="239" spans="1:13" x14ac:dyDescent="0.25">
      <c r="E239" s="30" t="s">
        <v>6</v>
      </c>
      <c r="F239" s="87"/>
      <c r="G239" s="188" t="s">
        <v>2</v>
      </c>
      <c r="H239" s="188"/>
      <c r="I239" s="188"/>
      <c r="J239" s="188"/>
      <c r="K239" s="188"/>
      <c r="L239" s="188"/>
      <c r="M239" s="188"/>
    </row>
    <row r="240" spans="1:13" x14ac:dyDescent="0.25">
      <c r="A240" s="4"/>
      <c r="B240" s="4"/>
      <c r="C240" s="4"/>
      <c r="D240" s="4"/>
      <c r="E240" s="4"/>
      <c r="F240" s="6"/>
      <c r="G240" s="6"/>
      <c r="H240" s="189" t="s">
        <v>1056</v>
      </c>
      <c r="I240" s="189"/>
      <c r="J240" s="189"/>
      <c r="K240" s="189"/>
      <c r="L240" s="189"/>
      <c r="M240" s="189"/>
    </row>
    <row r="241" spans="1:13" ht="18.75" x14ac:dyDescent="0.25">
      <c r="A241" s="190" t="s">
        <v>1055</v>
      </c>
      <c r="B241" s="190"/>
      <c r="C241" s="190"/>
      <c r="D241" s="190"/>
      <c r="E241" s="190"/>
      <c r="F241" s="190"/>
      <c r="G241" s="190"/>
      <c r="H241" s="190"/>
      <c r="I241" s="190"/>
      <c r="J241" s="190"/>
      <c r="K241" s="190"/>
      <c r="L241" s="190"/>
      <c r="M241" s="190"/>
    </row>
    <row r="242" spans="1:13" ht="31.5" x14ac:dyDescent="0.25">
      <c r="A242" s="77" t="s">
        <v>7</v>
      </c>
      <c r="B242" s="77" t="s">
        <v>8</v>
      </c>
      <c r="C242" s="77" t="s">
        <v>9</v>
      </c>
      <c r="D242" s="77" t="s">
        <v>31</v>
      </c>
      <c r="E242" s="77" t="s">
        <v>10</v>
      </c>
      <c r="F242" s="77" t="s">
        <v>11</v>
      </c>
      <c r="G242" s="77" t="s">
        <v>12</v>
      </c>
      <c r="H242" s="78" t="s">
        <v>13</v>
      </c>
      <c r="I242" s="77" t="s">
        <v>14</v>
      </c>
      <c r="J242" s="78" t="s">
        <v>15</v>
      </c>
      <c r="K242" s="78" t="s">
        <v>90</v>
      </c>
      <c r="L242" s="79" t="s">
        <v>16</v>
      </c>
      <c r="M242" s="77" t="s">
        <v>20</v>
      </c>
    </row>
    <row r="243" spans="1:13" x14ac:dyDescent="0.25">
      <c r="A243" s="16">
        <v>1</v>
      </c>
      <c r="B243" s="64"/>
      <c r="C243" s="65"/>
      <c r="D243" s="67"/>
      <c r="E243" s="64"/>
      <c r="F243" s="64"/>
      <c r="G243" s="149"/>
      <c r="H243" s="61"/>
      <c r="I243" s="76"/>
      <c r="J243" s="61"/>
      <c r="K243" s="108"/>
      <c r="L243" s="73"/>
      <c r="M243" s="27"/>
    </row>
    <row r="244" spans="1:13" x14ac:dyDescent="0.25">
      <c r="A244" s="16">
        <v>2</v>
      </c>
      <c r="B244" s="64"/>
      <c r="C244" s="65"/>
      <c r="D244" s="67"/>
      <c r="E244" s="64"/>
      <c r="F244" s="64"/>
      <c r="G244" s="27"/>
      <c r="H244" s="61"/>
      <c r="I244" s="62"/>
      <c r="J244" s="61"/>
      <c r="K244" s="61"/>
      <c r="L244" s="73"/>
      <c r="M244" s="27"/>
    </row>
    <row r="245" spans="1:13" x14ac:dyDescent="0.25">
      <c r="A245" s="16">
        <v>3</v>
      </c>
      <c r="B245" s="64"/>
      <c r="C245" s="65"/>
      <c r="D245" s="67"/>
      <c r="E245" s="64"/>
      <c r="F245" s="64"/>
      <c r="G245" s="138"/>
      <c r="H245" s="61"/>
      <c r="I245" s="62"/>
      <c r="J245" s="61"/>
      <c r="K245" s="61"/>
      <c r="L245" s="73"/>
      <c r="M245" s="27"/>
    </row>
    <row r="246" spans="1:13" x14ac:dyDescent="0.25">
      <c r="A246" s="16">
        <v>4</v>
      </c>
      <c r="B246" s="64"/>
      <c r="C246" s="65"/>
      <c r="D246" s="67"/>
      <c r="E246" s="64"/>
      <c r="F246" s="64"/>
      <c r="G246" s="151"/>
      <c r="H246" s="61"/>
      <c r="I246" s="76"/>
      <c r="J246" s="61"/>
      <c r="K246" s="108"/>
      <c r="L246" s="73"/>
      <c r="M246" s="27"/>
    </row>
    <row r="247" spans="1:13" x14ac:dyDescent="0.25">
      <c r="A247" s="16">
        <v>5</v>
      </c>
      <c r="B247" s="64"/>
      <c r="C247" s="65"/>
      <c r="D247" s="67"/>
      <c r="E247" s="64"/>
      <c r="F247" s="64"/>
      <c r="G247" s="136"/>
      <c r="H247" s="61"/>
      <c r="I247" s="76"/>
      <c r="J247" s="61"/>
      <c r="K247" s="108"/>
      <c r="L247" s="73"/>
      <c r="M247" s="27"/>
    </row>
    <row r="248" spans="1:13" x14ac:dyDescent="0.25">
      <c r="A248" s="191" t="s">
        <v>30</v>
      </c>
      <c r="B248" s="191"/>
      <c r="C248" s="191"/>
      <c r="D248" s="191"/>
      <c r="E248" s="191"/>
      <c r="F248" s="191"/>
      <c r="G248" s="191"/>
      <c r="H248" s="72">
        <f>SUM(H243:H247)</f>
        <v>0</v>
      </c>
      <c r="I248" s="72"/>
      <c r="J248" s="72">
        <f>SUM(J243:J247)</f>
        <v>0</v>
      </c>
      <c r="K248" s="72">
        <f>SUM(K243:K247)</f>
        <v>0</v>
      </c>
      <c r="L248" s="72">
        <f>SUM(L243:L247)</f>
        <v>0</v>
      </c>
      <c r="M248" s="71"/>
    </row>
    <row r="249" spans="1:13" x14ac:dyDescent="0.25">
      <c r="A249" s="192" t="s">
        <v>18</v>
      </c>
      <c r="B249" s="192"/>
      <c r="C249" s="192"/>
      <c r="D249" s="193" t="s">
        <v>854</v>
      </c>
      <c r="E249" s="194"/>
      <c r="F249" s="194"/>
      <c r="G249" s="194"/>
      <c r="H249" s="12"/>
      <c r="I249" s="12"/>
      <c r="J249" s="12"/>
      <c r="K249" s="12"/>
      <c r="L249" s="12"/>
      <c r="M249" s="13"/>
    </row>
    <row r="250" spans="1:13" x14ac:dyDescent="0.25">
      <c r="A250" s="13"/>
      <c r="B250" s="13" t="s">
        <v>852</v>
      </c>
      <c r="C250" s="13"/>
      <c r="D250" s="13"/>
      <c r="E250" s="11"/>
      <c r="F250" s="11"/>
      <c r="G250" s="11"/>
      <c r="H250" s="12"/>
      <c r="I250" s="12"/>
      <c r="J250" s="12"/>
      <c r="K250" s="12"/>
      <c r="L250" s="12"/>
      <c r="M250" s="13"/>
    </row>
    <row r="251" spans="1:13" x14ac:dyDescent="0.25">
      <c r="A251" s="86"/>
      <c r="B251" s="175" t="s">
        <v>34</v>
      </c>
      <c r="C251" s="175"/>
      <c r="D251" s="175"/>
      <c r="E251" s="175"/>
      <c r="F251" s="74"/>
      <c r="G251" s="74"/>
      <c r="H251" s="14"/>
      <c r="I251" s="14"/>
      <c r="J251" s="175" t="s">
        <v>4</v>
      </c>
      <c r="K251" s="175"/>
      <c r="L251" s="175"/>
      <c r="M251" s="175"/>
    </row>
    <row r="252" spans="1:13" x14ac:dyDescent="0.25">
      <c r="A252" s="13"/>
      <c r="B252" s="13"/>
      <c r="C252" s="13"/>
      <c r="D252" s="13"/>
      <c r="E252" s="11"/>
      <c r="F252" s="11"/>
      <c r="G252" s="11"/>
      <c r="H252" s="12"/>
      <c r="I252" s="12"/>
      <c r="J252" s="12"/>
      <c r="K252" s="12"/>
      <c r="L252" s="12"/>
      <c r="M252" s="13"/>
    </row>
    <row r="253" spans="1:13" x14ac:dyDescent="0.25">
      <c r="A253" s="13"/>
      <c r="B253" s="13"/>
      <c r="C253" s="13"/>
      <c r="D253" s="13"/>
      <c r="E253" s="11"/>
      <c r="F253" s="11"/>
      <c r="G253" s="11"/>
      <c r="H253" s="12"/>
      <c r="I253" s="12"/>
      <c r="J253" s="12"/>
      <c r="K253" s="12"/>
      <c r="L253" s="12"/>
      <c r="M253" s="13"/>
    </row>
    <row r="254" spans="1:13" x14ac:dyDescent="0.25">
      <c r="A254" s="13"/>
      <c r="B254" s="13"/>
      <c r="C254" s="13"/>
      <c r="D254" s="13"/>
      <c r="E254" s="11"/>
      <c r="F254" s="11"/>
      <c r="G254" s="11"/>
      <c r="H254" s="12"/>
      <c r="I254" s="12"/>
      <c r="J254" s="12"/>
      <c r="K254" s="12"/>
      <c r="L254" s="12"/>
      <c r="M254" s="13"/>
    </row>
    <row r="255" spans="1:13" x14ac:dyDescent="0.25">
      <c r="A255" s="13"/>
      <c r="B255" s="176" t="s">
        <v>829</v>
      </c>
      <c r="C255" s="176"/>
      <c r="D255" s="176"/>
      <c r="E255" s="176"/>
      <c r="F255" s="11"/>
      <c r="G255" s="15"/>
      <c r="H255" s="12"/>
      <c r="I255" s="12"/>
      <c r="J255" s="176" t="s">
        <v>830</v>
      </c>
      <c r="K255" s="176"/>
      <c r="L255" s="176"/>
      <c r="M255" s="176"/>
    </row>
  </sheetData>
  <mergeCells count="114">
    <mergeCell ref="A228:C228"/>
    <mergeCell ref="D228:G228"/>
    <mergeCell ref="B230:E230"/>
    <mergeCell ref="J230:M230"/>
    <mergeCell ref="B234:E234"/>
    <mergeCell ref="J234:M234"/>
    <mergeCell ref="G217:M217"/>
    <mergeCell ref="G218:M218"/>
    <mergeCell ref="H219:M219"/>
    <mergeCell ref="A220:M220"/>
    <mergeCell ref="A227:G227"/>
    <mergeCell ref="A208:C208"/>
    <mergeCell ref="D208:G208"/>
    <mergeCell ref="B210:E210"/>
    <mergeCell ref="J210:M210"/>
    <mergeCell ref="B214:E214"/>
    <mergeCell ref="J214:M214"/>
    <mergeCell ref="G197:M197"/>
    <mergeCell ref="G198:M198"/>
    <mergeCell ref="H199:M199"/>
    <mergeCell ref="A200:M200"/>
    <mergeCell ref="A207:G207"/>
    <mergeCell ref="A186:C186"/>
    <mergeCell ref="B188:E188"/>
    <mergeCell ref="J188:M188"/>
    <mergeCell ref="B192:E192"/>
    <mergeCell ref="J192:M192"/>
    <mergeCell ref="D186:G186"/>
    <mergeCell ref="G172:M172"/>
    <mergeCell ref="G173:M173"/>
    <mergeCell ref="H174:M174"/>
    <mergeCell ref="A175:M175"/>
    <mergeCell ref="A185:G185"/>
    <mergeCell ref="A162:C162"/>
    <mergeCell ref="B164:E164"/>
    <mergeCell ref="J164:M164"/>
    <mergeCell ref="B168:E168"/>
    <mergeCell ref="J168:M168"/>
    <mergeCell ref="G148:M148"/>
    <mergeCell ref="G149:M149"/>
    <mergeCell ref="H150:M150"/>
    <mergeCell ref="A151:M151"/>
    <mergeCell ref="A161:G161"/>
    <mergeCell ref="A86:C86"/>
    <mergeCell ref="B88:E88"/>
    <mergeCell ref="J88:M88"/>
    <mergeCell ref="B92:E92"/>
    <mergeCell ref="J92:M92"/>
    <mergeCell ref="G71:M71"/>
    <mergeCell ref="G72:M72"/>
    <mergeCell ref="H73:M73"/>
    <mergeCell ref="A74:M74"/>
    <mergeCell ref="A85:G85"/>
    <mergeCell ref="A58:C58"/>
    <mergeCell ref="B60:E60"/>
    <mergeCell ref="J60:M60"/>
    <mergeCell ref="B64:E64"/>
    <mergeCell ref="J64:M64"/>
    <mergeCell ref="G49:M49"/>
    <mergeCell ref="G50:M50"/>
    <mergeCell ref="H51:M51"/>
    <mergeCell ref="A52:M52"/>
    <mergeCell ref="A57:G57"/>
    <mergeCell ref="A38:C38"/>
    <mergeCell ref="B40:E40"/>
    <mergeCell ref="J40:M40"/>
    <mergeCell ref="B44:E44"/>
    <mergeCell ref="J44:M44"/>
    <mergeCell ref="G23:M23"/>
    <mergeCell ref="G24:M24"/>
    <mergeCell ref="H25:M25"/>
    <mergeCell ref="A26:M26"/>
    <mergeCell ref="A37:G37"/>
    <mergeCell ref="A8:C8"/>
    <mergeCell ref="B10:E10"/>
    <mergeCell ref="J10:M10"/>
    <mergeCell ref="B14:E14"/>
    <mergeCell ref="J14:M14"/>
    <mergeCell ref="G1:M1"/>
    <mergeCell ref="G2:M2"/>
    <mergeCell ref="H3:M3"/>
    <mergeCell ref="A4:M4"/>
    <mergeCell ref="A7:G7"/>
    <mergeCell ref="G97:M97"/>
    <mergeCell ref="G98:M98"/>
    <mergeCell ref="H99:M99"/>
    <mergeCell ref="A100:M100"/>
    <mergeCell ref="A111:G111"/>
    <mergeCell ref="A112:C112"/>
    <mergeCell ref="B114:E114"/>
    <mergeCell ref="J114:M114"/>
    <mergeCell ref="B118:E118"/>
    <mergeCell ref="J118:M118"/>
    <mergeCell ref="G123:M123"/>
    <mergeCell ref="G124:M124"/>
    <mergeCell ref="H125:M125"/>
    <mergeCell ref="A126:M126"/>
    <mergeCell ref="A137:G137"/>
    <mergeCell ref="A138:C138"/>
    <mergeCell ref="B140:E140"/>
    <mergeCell ref="J140:M140"/>
    <mergeCell ref="B144:E144"/>
    <mergeCell ref="J144:M144"/>
    <mergeCell ref="B255:E255"/>
    <mergeCell ref="J255:M255"/>
    <mergeCell ref="G238:M238"/>
    <mergeCell ref="G239:M239"/>
    <mergeCell ref="H240:M240"/>
    <mergeCell ref="A241:M241"/>
    <mergeCell ref="A248:G248"/>
    <mergeCell ref="A249:C249"/>
    <mergeCell ref="D249:G249"/>
    <mergeCell ref="B251:E251"/>
    <mergeCell ref="J251:M251"/>
  </mergeCells>
  <pageMargins left="0.47244094488188998" right="0.27559055118110198" top="0.60433070899999997" bottom="0.23622047244094499" header="0.31496062992126" footer="0.196850393700787"/>
  <pageSetup paperSize="9" scale="77" orientation="landscape"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291"/>
  <sheetViews>
    <sheetView topLeftCell="A33" zoomScaleNormal="100" workbookViewId="0">
      <selection activeCell="A272" sqref="A272:A283"/>
    </sheetView>
  </sheetViews>
  <sheetFormatPr defaultColWidth="10.28515625" defaultRowHeight="15.75" x14ac:dyDescent="0.25"/>
  <cols>
    <col min="1" max="1" width="4.28515625" style="8" customWidth="1"/>
    <col min="2" max="2" width="5.7109375" style="8" customWidth="1"/>
    <col min="3" max="3" width="11.28515625" style="8" bestFit="1" customWidth="1"/>
    <col min="4" max="4" width="11.28515625" style="8" customWidth="1"/>
    <col min="5" max="5" width="20.42578125" style="18" customWidth="1"/>
    <col min="6" max="6" width="15" style="8" customWidth="1"/>
    <col min="7" max="7" width="55.42578125" style="82" customWidth="1"/>
    <col min="8" max="8" width="11" style="7" customWidth="1"/>
    <col min="9" max="9" width="7.5703125" style="8" customWidth="1"/>
    <col min="10" max="10" width="11" style="7" customWidth="1"/>
    <col min="11" max="11" width="10.42578125" style="7" customWidth="1"/>
    <col min="12" max="12" width="11.7109375" style="8" customWidth="1"/>
    <col min="13" max="13" width="14.140625" style="18" customWidth="1"/>
    <col min="14" max="14" width="17.28515625" style="5" bestFit="1" customWidth="1"/>
    <col min="15" max="16384" width="10.28515625" style="5"/>
  </cols>
  <sheetData>
    <row r="1" spans="1:14" hidden="1" x14ac:dyDescent="0.25">
      <c r="E1" s="30" t="s">
        <v>5</v>
      </c>
      <c r="F1" s="87"/>
      <c r="G1" s="187" t="s">
        <v>1</v>
      </c>
      <c r="H1" s="187"/>
      <c r="I1" s="187"/>
      <c r="J1" s="187"/>
      <c r="K1" s="187"/>
      <c r="L1" s="187"/>
      <c r="M1" s="187"/>
    </row>
    <row r="2" spans="1:14" hidden="1" x14ac:dyDescent="0.25">
      <c r="E2" s="30" t="s">
        <v>6</v>
      </c>
      <c r="F2" s="87"/>
      <c r="G2" s="188" t="s">
        <v>2</v>
      </c>
      <c r="H2" s="188"/>
      <c r="I2" s="188"/>
      <c r="J2" s="188"/>
      <c r="K2" s="188"/>
      <c r="L2" s="188"/>
      <c r="M2" s="188"/>
    </row>
    <row r="3" spans="1:14" hidden="1" x14ac:dyDescent="0.25">
      <c r="A3" s="4"/>
      <c r="B3" s="4"/>
      <c r="C3" s="4"/>
      <c r="D3" s="4"/>
      <c r="E3" s="4"/>
      <c r="F3" s="6"/>
      <c r="G3" s="6"/>
      <c r="H3" s="189" t="s">
        <v>60</v>
      </c>
      <c r="I3" s="189"/>
      <c r="J3" s="189"/>
      <c r="K3" s="189"/>
      <c r="L3" s="189"/>
      <c r="M3" s="189"/>
    </row>
    <row r="4" spans="1:14" ht="18.75" hidden="1" x14ac:dyDescent="0.25">
      <c r="A4" s="190" t="s">
        <v>59</v>
      </c>
      <c r="B4" s="190"/>
      <c r="C4" s="190"/>
      <c r="D4" s="190"/>
      <c r="E4" s="190"/>
      <c r="F4" s="190"/>
      <c r="G4" s="190"/>
      <c r="H4" s="190"/>
      <c r="I4" s="190"/>
      <c r="J4" s="190"/>
      <c r="K4" s="190"/>
      <c r="L4" s="190"/>
      <c r="M4" s="190"/>
    </row>
    <row r="5" spans="1:14" ht="31.5" hidden="1" x14ac:dyDescent="0.25">
      <c r="A5" s="77" t="s">
        <v>7</v>
      </c>
      <c r="B5" s="77" t="s">
        <v>8</v>
      </c>
      <c r="C5" s="77" t="s">
        <v>9</v>
      </c>
      <c r="D5" s="77" t="s">
        <v>31</v>
      </c>
      <c r="E5" s="77" t="s">
        <v>10</v>
      </c>
      <c r="F5" s="77" t="s">
        <v>11</v>
      </c>
      <c r="G5" s="77" t="s">
        <v>12</v>
      </c>
      <c r="H5" s="78" t="s">
        <v>13</v>
      </c>
      <c r="I5" s="77" t="s">
        <v>14</v>
      </c>
      <c r="J5" s="78" t="s">
        <v>15</v>
      </c>
      <c r="K5" s="117"/>
      <c r="L5" s="79" t="s">
        <v>16</v>
      </c>
      <c r="M5" s="9" t="s">
        <v>20</v>
      </c>
    </row>
    <row r="6" spans="1:14" ht="20.45" hidden="1" customHeight="1" x14ac:dyDescent="0.25">
      <c r="A6" s="16">
        <v>1</v>
      </c>
      <c r="B6" s="64"/>
      <c r="C6" s="67"/>
      <c r="D6" s="67"/>
      <c r="E6" s="64"/>
      <c r="F6" s="27"/>
      <c r="G6" s="27"/>
      <c r="H6" s="68"/>
      <c r="I6" s="69"/>
      <c r="J6" s="68"/>
      <c r="K6" s="68"/>
      <c r="L6" s="70">
        <f>H6+J6</f>
        <v>0</v>
      </c>
      <c r="M6" s="66"/>
    </row>
    <row r="7" spans="1:14" ht="20.45" hidden="1" customHeight="1" x14ac:dyDescent="0.25">
      <c r="A7" s="16">
        <v>2</v>
      </c>
      <c r="B7" s="64"/>
      <c r="C7" s="67"/>
      <c r="D7" s="67"/>
      <c r="E7" s="64"/>
      <c r="F7" s="27"/>
      <c r="G7" s="27"/>
      <c r="H7" s="68"/>
      <c r="I7" s="69"/>
      <c r="J7" s="68"/>
      <c r="K7" s="68"/>
      <c r="L7" s="70">
        <f t="shared" ref="L7:L17" si="0">H7+J7</f>
        <v>0</v>
      </c>
      <c r="M7" s="195"/>
    </row>
    <row r="8" spans="1:14" ht="20.45" hidden="1" customHeight="1" x14ac:dyDescent="0.25">
      <c r="A8" s="16">
        <v>3</v>
      </c>
      <c r="B8" s="64"/>
      <c r="C8" s="67"/>
      <c r="D8" s="67"/>
      <c r="E8" s="64"/>
      <c r="F8" s="27"/>
      <c r="G8" s="27"/>
      <c r="H8" s="68"/>
      <c r="I8" s="69"/>
      <c r="J8" s="68"/>
      <c r="K8" s="68"/>
      <c r="L8" s="70">
        <f t="shared" si="0"/>
        <v>0</v>
      </c>
      <c r="M8" s="196"/>
    </row>
    <row r="9" spans="1:14" ht="20.45" hidden="1" customHeight="1" x14ac:dyDescent="0.25">
      <c r="A9" s="16">
        <v>4</v>
      </c>
      <c r="B9" s="64"/>
      <c r="C9" s="67"/>
      <c r="D9" s="67"/>
      <c r="E9" s="64"/>
      <c r="F9" s="27"/>
      <c r="G9" s="27"/>
      <c r="H9" s="68"/>
      <c r="I9" s="69"/>
      <c r="J9" s="68"/>
      <c r="K9" s="68"/>
      <c r="L9" s="70">
        <f t="shared" si="0"/>
        <v>0</v>
      </c>
      <c r="M9" s="197"/>
      <c r="N9" s="83"/>
    </row>
    <row r="10" spans="1:14" ht="20.45" hidden="1" customHeight="1" x14ac:dyDescent="0.25">
      <c r="A10" s="16">
        <v>5</v>
      </c>
      <c r="B10" s="64"/>
      <c r="C10" s="67"/>
      <c r="D10" s="67"/>
      <c r="E10" s="64"/>
      <c r="F10" s="27"/>
      <c r="G10" s="27"/>
      <c r="H10" s="68"/>
      <c r="I10" s="69"/>
      <c r="J10" s="68"/>
      <c r="K10" s="68"/>
      <c r="L10" s="70">
        <f t="shared" si="0"/>
        <v>0</v>
      </c>
      <c r="M10" s="66"/>
      <c r="N10" s="84"/>
    </row>
    <row r="11" spans="1:14" ht="20.45" hidden="1" customHeight="1" x14ac:dyDescent="0.25">
      <c r="A11" s="16">
        <v>6</v>
      </c>
      <c r="B11" s="64"/>
      <c r="C11" s="67"/>
      <c r="D11" s="67"/>
      <c r="E11" s="64"/>
      <c r="F11" s="27"/>
      <c r="G11" s="27"/>
      <c r="H11" s="68"/>
      <c r="I11" s="69"/>
      <c r="J11" s="68"/>
      <c r="K11" s="68"/>
      <c r="L11" s="70">
        <f t="shared" si="0"/>
        <v>0</v>
      </c>
      <c r="M11" s="66"/>
      <c r="N11" s="84"/>
    </row>
    <row r="12" spans="1:14" ht="20.45" hidden="1" customHeight="1" x14ac:dyDescent="0.25">
      <c r="A12" s="16">
        <v>7</v>
      </c>
      <c r="B12" s="64"/>
      <c r="C12" s="67"/>
      <c r="D12" s="67"/>
      <c r="E12" s="64"/>
      <c r="F12" s="27"/>
      <c r="G12" s="27"/>
      <c r="H12" s="68"/>
      <c r="I12" s="69"/>
      <c r="J12" s="68"/>
      <c r="K12" s="68"/>
      <c r="L12" s="70">
        <f t="shared" si="0"/>
        <v>0</v>
      </c>
      <c r="M12" s="66"/>
      <c r="N12" s="84"/>
    </row>
    <row r="13" spans="1:14" ht="20.45" hidden="1" customHeight="1" x14ac:dyDescent="0.25">
      <c r="A13" s="16">
        <v>8</v>
      </c>
      <c r="B13" s="64"/>
      <c r="C13" s="67"/>
      <c r="D13" s="67"/>
      <c r="E13" s="64"/>
      <c r="F13" s="27"/>
      <c r="G13" s="27"/>
      <c r="H13" s="68"/>
      <c r="I13" s="69"/>
      <c r="J13" s="68"/>
      <c r="K13" s="68"/>
      <c r="L13" s="70">
        <f t="shared" si="0"/>
        <v>0</v>
      </c>
      <c r="M13" s="66"/>
      <c r="N13" s="84"/>
    </row>
    <row r="14" spans="1:14" ht="20.45" hidden="1" customHeight="1" x14ac:dyDescent="0.25">
      <c r="A14" s="16">
        <v>9</v>
      </c>
      <c r="B14" s="64"/>
      <c r="C14" s="67"/>
      <c r="D14" s="67"/>
      <c r="E14" s="64"/>
      <c r="F14" s="27"/>
      <c r="G14" s="27"/>
      <c r="H14" s="68"/>
      <c r="I14" s="69"/>
      <c r="J14" s="68"/>
      <c r="K14" s="68"/>
      <c r="L14" s="70">
        <f t="shared" si="0"/>
        <v>0</v>
      </c>
      <c r="M14" s="66"/>
      <c r="N14" s="84"/>
    </row>
    <row r="15" spans="1:14" ht="20.45" hidden="1" customHeight="1" x14ac:dyDescent="0.25">
      <c r="A15" s="16">
        <v>10</v>
      </c>
      <c r="B15" s="64"/>
      <c r="C15" s="67"/>
      <c r="D15" s="67"/>
      <c r="E15" s="64"/>
      <c r="F15" s="27"/>
      <c r="G15" s="27"/>
      <c r="H15" s="68"/>
      <c r="I15" s="69"/>
      <c r="J15" s="68"/>
      <c r="K15" s="68"/>
      <c r="L15" s="70">
        <f t="shared" si="0"/>
        <v>0</v>
      </c>
      <c r="M15" s="66"/>
      <c r="N15" s="84"/>
    </row>
    <row r="16" spans="1:14" ht="20.45" hidden="1" customHeight="1" x14ac:dyDescent="0.25">
      <c r="A16" s="16">
        <v>11</v>
      </c>
      <c r="B16" s="64"/>
      <c r="C16" s="67"/>
      <c r="D16" s="67"/>
      <c r="E16" s="64"/>
      <c r="F16" s="27"/>
      <c r="G16" s="27"/>
      <c r="H16" s="68"/>
      <c r="I16" s="69"/>
      <c r="J16" s="68"/>
      <c r="K16" s="68"/>
      <c r="L16" s="70">
        <f t="shared" si="0"/>
        <v>0</v>
      </c>
      <c r="M16" s="66"/>
      <c r="N16" s="84"/>
    </row>
    <row r="17" spans="1:14" ht="20.45" hidden="1" customHeight="1" x14ac:dyDescent="0.25">
      <c r="A17" s="16">
        <v>12</v>
      </c>
      <c r="B17" s="64"/>
      <c r="C17" s="67"/>
      <c r="D17" s="67"/>
      <c r="E17" s="64"/>
      <c r="F17" s="27"/>
      <c r="G17" s="88"/>
      <c r="H17" s="68"/>
      <c r="I17" s="69"/>
      <c r="J17" s="68"/>
      <c r="K17" s="68"/>
      <c r="L17" s="70">
        <f t="shared" si="0"/>
        <v>0</v>
      </c>
      <c r="M17" s="66"/>
      <c r="N17" s="84">
        <f>SUM(H14:H17)</f>
        <v>0</v>
      </c>
    </row>
    <row r="18" spans="1:14" ht="21" hidden="1" customHeight="1" x14ac:dyDescent="0.25">
      <c r="A18" s="191" t="s">
        <v>30</v>
      </c>
      <c r="B18" s="191"/>
      <c r="C18" s="191"/>
      <c r="D18" s="191"/>
      <c r="E18" s="191"/>
      <c r="F18" s="191"/>
      <c r="G18" s="191"/>
      <c r="H18" s="72">
        <f>SUM(H6:H17)</f>
        <v>0</v>
      </c>
      <c r="I18" s="72"/>
      <c r="J18" s="72">
        <f>SUM(J6:J17)</f>
        <v>0</v>
      </c>
      <c r="K18" s="72"/>
      <c r="L18" s="72">
        <f>SUM(L6:L17)</f>
        <v>0</v>
      </c>
      <c r="M18" s="27"/>
    </row>
    <row r="19" spans="1:14" hidden="1" x14ac:dyDescent="0.25">
      <c r="A19" s="192" t="s">
        <v>18</v>
      </c>
      <c r="B19" s="192"/>
      <c r="C19" s="192"/>
      <c r="D19" s="80" t="e">
        <f ca="1">[1]!vnd(L18)</f>
        <v>#NAME?</v>
      </c>
      <c r="E19" s="17"/>
      <c r="F19" s="11"/>
      <c r="G19" s="85"/>
      <c r="H19" s="12"/>
      <c r="I19" s="12"/>
      <c r="J19" s="12"/>
      <c r="K19" s="12"/>
      <c r="L19" s="12"/>
      <c r="M19" s="13"/>
    </row>
    <row r="20" spans="1:14" hidden="1" x14ac:dyDescent="0.25">
      <c r="A20" s="13"/>
      <c r="B20" s="13"/>
      <c r="C20" s="13"/>
      <c r="D20" s="13"/>
      <c r="E20" s="11"/>
      <c r="F20" s="11"/>
      <c r="G20" s="11"/>
      <c r="H20" s="12"/>
      <c r="I20" s="12"/>
      <c r="J20" s="12"/>
      <c r="K20" s="12"/>
      <c r="L20" s="12"/>
      <c r="M20" s="13"/>
    </row>
    <row r="21" spans="1:14" hidden="1" x14ac:dyDescent="0.25">
      <c r="A21" s="86"/>
      <c r="B21" s="175" t="s">
        <v>34</v>
      </c>
      <c r="C21" s="175"/>
      <c r="D21" s="175"/>
      <c r="E21" s="175"/>
      <c r="F21" s="74"/>
      <c r="G21" s="74"/>
      <c r="H21" s="14"/>
      <c r="I21" s="14"/>
      <c r="J21" s="175" t="s">
        <v>4</v>
      </c>
      <c r="K21" s="175"/>
      <c r="L21" s="175"/>
      <c r="M21" s="175"/>
    </row>
    <row r="22" spans="1:14" hidden="1" x14ac:dyDescent="0.25">
      <c r="A22" s="13"/>
      <c r="B22" s="13"/>
      <c r="C22" s="13"/>
      <c r="D22" s="13"/>
      <c r="E22" s="11"/>
      <c r="F22" s="11"/>
      <c r="G22" s="11"/>
      <c r="H22" s="12"/>
      <c r="I22" s="12"/>
      <c r="J22" s="12"/>
      <c r="K22" s="12"/>
      <c r="L22" s="12"/>
      <c r="M22" s="13"/>
    </row>
    <row r="23" spans="1:14" hidden="1" x14ac:dyDescent="0.25">
      <c r="A23" s="13"/>
      <c r="B23" s="13"/>
      <c r="C23" s="13"/>
      <c r="D23" s="13"/>
      <c r="E23" s="11"/>
      <c r="F23" s="11"/>
      <c r="G23" s="11"/>
      <c r="H23" s="12"/>
      <c r="I23" s="12"/>
      <c r="J23" s="12"/>
      <c r="K23" s="12"/>
      <c r="L23" s="12"/>
      <c r="M23" s="13"/>
    </row>
    <row r="24" spans="1:14" hidden="1" x14ac:dyDescent="0.25">
      <c r="A24" s="13"/>
      <c r="B24" s="13"/>
      <c r="C24" s="13"/>
      <c r="D24" s="13"/>
      <c r="E24" s="11"/>
      <c r="F24" s="11"/>
      <c r="G24" s="11"/>
      <c r="H24" s="12"/>
      <c r="I24" s="12"/>
      <c r="J24" s="12"/>
      <c r="K24" s="12"/>
      <c r="L24" s="12"/>
      <c r="M24" s="13"/>
    </row>
    <row r="25" spans="1:14" hidden="1" x14ac:dyDescent="0.25">
      <c r="A25" s="13"/>
      <c r="B25" s="176" t="s">
        <v>64</v>
      </c>
      <c r="C25" s="176"/>
      <c r="D25" s="176"/>
      <c r="E25" s="176"/>
      <c r="F25" s="11"/>
      <c r="G25" s="15"/>
      <c r="H25" s="12"/>
      <c r="I25" s="12"/>
      <c r="J25" s="176" t="s">
        <v>3</v>
      </c>
      <c r="K25" s="176"/>
      <c r="L25" s="176"/>
      <c r="M25" s="176"/>
    </row>
    <row r="26" spans="1:14" hidden="1" x14ac:dyDescent="0.25"/>
    <row r="27" spans="1:14" hidden="1" x14ac:dyDescent="0.25"/>
    <row r="28" spans="1:14" hidden="1" x14ac:dyDescent="0.25"/>
    <row r="29" spans="1:14" hidden="1" x14ac:dyDescent="0.25"/>
    <row r="30" spans="1:14" x14ac:dyDescent="0.25">
      <c r="E30" s="30" t="s">
        <v>5</v>
      </c>
      <c r="F30" s="87"/>
      <c r="G30" s="187" t="s">
        <v>1</v>
      </c>
      <c r="H30" s="187"/>
      <c r="I30" s="187"/>
      <c r="J30" s="187"/>
      <c r="K30" s="187"/>
      <c r="L30" s="187"/>
      <c r="M30" s="187"/>
    </row>
    <row r="31" spans="1:14" x14ac:dyDescent="0.25">
      <c r="E31" s="30" t="s">
        <v>6</v>
      </c>
      <c r="F31" s="87"/>
      <c r="G31" s="188" t="s">
        <v>2</v>
      </c>
      <c r="H31" s="188"/>
      <c r="I31" s="188"/>
      <c r="J31" s="188"/>
      <c r="K31" s="188"/>
      <c r="L31" s="188"/>
      <c r="M31" s="188"/>
    </row>
    <row r="32" spans="1:14" x14ac:dyDescent="0.25">
      <c r="A32" s="4"/>
      <c r="B32" s="4"/>
      <c r="C32" s="4"/>
      <c r="D32" s="4"/>
      <c r="E32" s="4"/>
      <c r="F32" s="6"/>
      <c r="G32" s="6"/>
      <c r="H32" s="189" t="s">
        <v>84</v>
      </c>
      <c r="I32" s="189"/>
      <c r="J32" s="189"/>
      <c r="K32" s="189"/>
      <c r="L32" s="189"/>
      <c r="M32" s="189"/>
    </row>
    <row r="33" spans="1:14" ht="27.6" customHeight="1" x14ac:dyDescent="0.25">
      <c r="A33" s="190" t="s">
        <v>108</v>
      </c>
      <c r="B33" s="190"/>
      <c r="C33" s="190"/>
      <c r="D33" s="190"/>
      <c r="E33" s="190"/>
      <c r="F33" s="190"/>
      <c r="G33" s="190"/>
      <c r="H33" s="190"/>
      <c r="I33" s="190"/>
      <c r="J33" s="190"/>
      <c r="K33" s="190"/>
      <c r="L33" s="190"/>
      <c r="M33" s="190"/>
    </row>
    <row r="34" spans="1:14" ht="31.5" x14ac:dyDescent="0.25">
      <c r="A34" s="77" t="s">
        <v>7</v>
      </c>
      <c r="B34" s="77" t="s">
        <v>8</v>
      </c>
      <c r="C34" s="77" t="s">
        <v>9</v>
      </c>
      <c r="D34" s="77" t="s">
        <v>31</v>
      </c>
      <c r="E34" s="77" t="s">
        <v>10</v>
      </c>
      <c r="F34" s="77" t="s">
        <v>11</v>
      </c>
      <c r="G34" s="77" t="s">
        <v>12</v>
      </c>
      <c r="H34" s="78" t="s">
        <v>13</v>
      </c>
      <c r="I34" s="77" t="s">
        <v>14</v>
      </c>
      <c r="J34" s="78" t="s">
        <v>15</v>
      </c>
      <c r="K34" s="117" t="s">
        <v>90</v>
      </c>
      <c r="L34" s="79" t="s">
        <v>16</v>
      </c>
      <c r="M34" s="9" t="s">
        <v>20</v>
      </c>
    </row>
    <row r="35" spans="1:14" ht="20.45" customHeight="1" x14ac:dyDescent="0.25">
      <c r="A35" s="16">
        <v>1</v>
      </c>
      <c r="B35" s="64"/>
      <c r="C35" s="67"/>
      <c r="D35" s="67"/>
      <c r="E35" s="64"/>
      <c r="F35" s="27"/>
      <c r="G35" s="27"/>
      <c r="H35" s="68"/>
      <c r="I35" s="69"/>
      <c r="J35" s="68"/>
      <c r="K35" s="68"/>
      <c r="L35" s="70">
        <f>H35+J35</f>
        <v>0</v>
      </c>
      <c r="M35" s="66"/>
    </row>
    <row r="36" spans="1:14" ht="20.45" customHeight="1" x14ac:dyDescent="0.25">
      <c r="A36" s="16">
        <v>2</v>
      </c>
      <c r="B36" s="64"/>
      <c r="C36" s="67"/>
      <c r="D36" s="67"/>
      <c r="E36" s="64"/>
      <c r="F36" s="27"/>
      <c r="G36" s="27"/>
      <c r="H36" s="68"/>
      <c r="I36" s="69"/>
      <c r="J36" s="68"/>
      <c r="K36" s="68"/>
      <c r="L36" s="70">
        <f t="shared" ref="L36:L46" si="1">H36+J36</f>
        <v>0</v>
      </c>
      <c r="M36" s="195"/>
    </row>
    <row r="37" spans="1:14" ht="20.45" customHeight="1" x14ac:dyDescent="0.25">
      <c r="A37" s="16">
        <v>3</v>
      </c>
      <c r="B37" s="64"/>
      <c r="C37" s="67"/>
      <c r="D37" s="67"/>
      <c r="E37" s="64"/>
      <c r="F37" s="27"/>
      <c r="G37" s="27"/>
      <c r="H37" s="68"/>
      <c r="I37" s="69"/>
      <c r="J37" s="68"/>
      <c r="K37" s="68"/>
      <c r="L37" s="70">
        <f t="shared" si="1"/>
        <v>0</v>
      </c>
      <c r="M37" s="196"/>
    </row>
    <row r="38" spans="1:14" ht="20.45" customHeight="1" x14ac:dyDescent="0.25">
      <c r="A38" s="16">
        <v>4</v>
      </c>
      <c r="B38" s="64"/>
      <c r="C38" s="67"/>
      <c r="D38" s="67"/>
      <c r="E38" s="64"/>
      <c r="F38" s="27"/>
      <c r="G38" s="27"/>
      <c r="H38" s="68"/>
      <c r="I38" s="69"/>
      <c r="J38" s="68"/>
      <c r="K38" s="68"/>
      <c r="L38" s="70">
        <f t="shared" si="1"/>
        <v>0</v>
      </c>
      <c r="M38" s="197"/>
      <c r="N38" s="83"/>
    </row>
    <row r="39" spans="1:14" ht="20.45" customHeight="1" x14ac:dyDescent="0.25">
      <c r="A39" s="16">
        <v>5</v>
      </c>
      <c r="B39" s="64"/>
      <c r="C39" s="67"/>
      <c r="D39" s="67"/>
      <c r="E39" s="64"/>
      <c r="F39" s="27"/>
      <c r="G39" s="27"/>
      <c r="H39" s="68"/>
      <c r="I39" s="69"/>
      <c r="J39" s="68"/>
      <c r="K39" s="68"/>
      <c r="L39" s="70">
        <f t="shared" si="1"/>
        <v>0</v>
      </c>
      <c r="M39" s="66"/>
      <c r="N39" s="84"/>
    </row>
    <row r="40" spans="1:14" ht="20.45" customHeight="1" x14ac:dyDescent="0.25">
      <c r="A40" s="16">
        <v>6</v>
      </c>
      <c r="B40" s="64"/>
      <c r="C40" s="67"/>
      <c r="D40" s="67"/>
      <c r="E40" s="64"/>
      <c r="F40" s="27"/>
      <c r="G40" s="27"/>
      <c r="H40" s="68"/>
      <c r="I40" s="69"/>
      <c r="J40" s="68"/>
      <c r="K40" s="68"/>
      <c r="L40" s="70">
        <f t="shared" si="1"/>
        <v>0</v>
      </c>
      <c r="M40" s="66"/>
      <c r="N40" s="84"/>
    </row>
    <row r="41" spans="1:14" ht="20.45" customHeight="1" x14ac:dyDescent="0.25">
      <c r="A41" s="16">
        <v>7</v>
      </c>
      <c r="B41" s="64"/>
      <c r="C41" s="67"/>
      <c r="D41" s="67"/>
      <c r="E41" s="64"/>
      <c r="F41" s="27"/>
      <c r="G41" s="27"/>
      <c r="H41" s="68"/>
      <c r="I41" s="69"/>
      <c r="J41" s="68"/>
      <c r="K41" s="68"/>
      <c r="L41" s="70">
        <f t="shared" si="1"/>
        <v>0</v>
      </c>
      <c r="M41" s="66"/>
      <c r="N41" s="84"/>
    </row>
    <row r="42" spans="1:14" ht="20.45" customHeight="1" x14ac:dyDescent="0.25">
      <c r="A42" s="16">
        <v>8</v>
      </c>
      <c r="B42" s="64"/>
      <c r="C42" s="67"/>
      <c r="D42" s="67"/>
      <c r="E42" s="64"/>
      <c r="F42" s="27"/>
      <c r="G42" s="27"/>
      <c r="H42" s="68"/>
      <c r="I42" s="69"/>
      <c r="J42" s="68"/>
      <c r="K42" s="68"/>
      <c r="L42" s="70">
        <f t="shared" si="1"/>
        <v>0</v>
      </c>
      <c r="M42" s="66"/>
      <c r="N42" s="84"/>
    </row>
    <row r="43" spans="1:14" ht="20.45" customHeight="1" x14ac:dyDescent="0.25">
      <c r="A43" s="16">
        <v>9</v>
      </c>
      <c r="B43" s="64"/>
      <c r="C43" s="67"/>
      <c r="D43" s="67"/>
      <c r="E43" s="64"/>
      <c r="F43" s="27"/>
      <c r="G43" s="27"/>
      <c r="H43" s="68"/>
      <c r="I43" s="69"/>
      <c r="J43" s="68"/>
      <c r="K43" s="68"/>
      <c r="L43" s="70">
        <f t="shared" si="1"/>
        <v>0</v>
      </c>
      <c r="M43" s="66"/>
      <c r="N43" s="84"/>
    </row>
    <row r="44" spans="1:14" ht="20.45" customHeight="1" x14ac:dyDescent="0.25">
      <c r="A44" s="16">
        <v>10</v>
      </c>
      <c r="B44" s="64"/>
      <c r="C44" s="67"/>
      <c r="D44" s="67"/>
      <c r="E44" s="64"/>
      <c r="F44" s="27"/>
      <c r="G44" s="27"/>
      <c r="H44" s="68"/>
      <c r="I44" s="69"/>
      <c r="J44" s="68"/>
      <c r="K44" s="68"/>
      <c r="L44" s="70">
        <f t="shared" si="1"/>
        <v>0</v>
      </c>
      <c r="M44" s="66"/>
      <c r="N44" s="84"/>
    </row>
    <row r="45" spans="1:14" ht="20.45" customHeight="1" x14ac:dyDescent="0.25">
      <c r="A45" s="16">
        <v>11</v>
      </c>
      <c r="B45" s="64"/>
      <c r="C45" s="67"/>
      <c r="D45" s="67"/>
      <c r="E45" s="64"/>
      <c r="F45" s="27"/>
      <c r="G45" s="27"/>
      <c r="H45" s="68"/>
      <c r="I45" s="69"/>
      <c r="J45" s="68"/>
      <c r="K45" s="68"/>
      <c r="L45" s="70">
        <f t="shared" si="1"/>
        <v>0</v>
      </c>
      <c r="M45" s="66"/>
      <c r="N45" s="84"/>
    </row>
    <row r="46" spans="1:14" ht="20.45" customHeight="1" x14ac:dyDescent="0.25">
      <c r="A46" s="16">
        <v>12</v>
      </c>
      <c r="B46" s="64"/>
      <c r="C46" s="67"/>
      <c r="D46" s="67"/>
      <c r="E46" s="64"/>
      <c r="F46" s="27"/>
      <c r="G46" s="88"/>
      <c r="H46" s="68"/>
      <c r="I46" s="69"/>
      <c r="J46" s="68"/>
      <c r="K46" s="68"/>
      <c r="L46" s="70">
        <f t="shared" si="1"/>
        <v>0</v>
      </c>
      <c r="M46" s="66"/>
      <c r="N46" s="84">
        <f>SUM(H43:H46)</f>
        <v>0</v>
      </c>
    </row>
    <row r="47" spans="1:14" ht="21" customHeight="1" x14ac:dyDescent="0.25">
      <c r="A47" s="191" t="s">
        <v>30</v>
      </c>
      <c r="B47" s="191"/>
      <c r="C47" s="191"/>
      <c r="D47" s="191"/>
      <c r="E47" s="191"/>
      <c r="F47" s="191"/>
      <c r="G47" s="191"/>
      <c r="H47" s="72">
        <f>SUM(H35:H46)</f>
        <v>0</v>
      </c>
      <c r="I47" s="72"/>
      <c r="J47" s="72">
        <f>SUM(J35:J46)</f>
        <v>0</v>
      </c>
      <c r="K47" s="72"/>
      <c r="L47" s="72">
        <f>SUM(L35:L46)</f>
        <v>0</v>
      </c>
      <c r="M47" s="27"/>
    </row>
    <row r="48" spans="1:14" x14ac:dyDescent="0.25">
      <c r="A48" s="192" t="s">
        <v>18</v>
      </c>
      <c r="B48" s="192"/>
      <c r="C48" s="192"/>
      <c r="D48" s="80" t="e">
        <f ca="1">[2]!vnd(L47)</f>
        <v>#NAME?</v>
      </c>
      <c r="E48" s="17"/>
      <c r="F48" s="11"/>
      <c r="G48" s="85"/>
      <c r="H48" s="12"/>
      <c r="I48" s="12"/>
      <c r="J48" s="12"/>
      <c r="K48" s="12"/>
      <c r="L48" s="12"/>
      <c r="M48" s="13"/>
    </row>
    <row r="49" spans="1:13" x14ac:dyDescent="0.25">
      <c r="A49" s="13"/>
      <c r="B49" s="13"/>
      <c r="C49" s="13"/>
      <c r="D49" s="13"/>
      <c r="E49" s="11"/>
      <c r="F49" s="11"/>
      <c r="G49" s="11"/>
      <c r="H49" s="12"/>
      <c r="I49" s="12"/>
      <c r="J49" s="12"/>
      <c r="K49" s="12"/>
      <c r="L49" s="12"/>
      <c r="M49" s="13"/>
    </row>
    <row r="50" spans="1:13" x14ac:dyDescent="0.25">
      <c r="A50" s="86"/>
      <c r="B50" s="175" t="s">
        <v>34</v>
      </c>
      <c r="C50" s="175"/>
      <c r="D50" s="175"/>
      <c r="E50" s="175"/>
      <c r="F50" s="74"/>
      <c r="G50" s="74"/>
      <c r="H50" s="14"/>
      <c r="I50" s="14"/>
      <c r="J50" s="175" t="s">
        <v>4</v>
      </c>
      <c r="K50" s="175"/>
      <c r="L50" s="175"/>
      <c r="M50" s="175"/>
    </row>
    <row r="51" spans="1:13" x14ac:dyDescent="0.25">
      <c r="A51" s="13"/>
      <c r="B51" s="13"/>
      <c r="C51" s="13"/>
      <c r="D51" s="13"/>
      <c r="E51" s="11"/>
      <c r="F51" s="11"/>
      <c r="G51" s="11"/>
      <c r="H51" s="12"/>
      <c r="I51" s="12"/>
      <c r="J51" s="12"/>
      <c r="K51" s="12"/>
      <c r="L51" s="12"/>
      <c r="M51" s="13"/>
    </row>
    <row r="52" spans="1:13" x14ac:dyDescent="0.25">
      <c r="A52" s="13"/>
      <c r="B52" s="13"/>
      <c r="C52" s="13"/>
      <c r="D52" s="13"/>
      <c r="E52" s="11"/>
      <c r="F52" s="11"/>
      <c r="G52" s="11"/>
      <c r="H52" s="12"/>
      <c r="I52" s="12"/>
      <c r="J52" s="12"/>
      <c r="K52" s="12"/>
      <c r="L52" s="12"/>
      <c r="M52" s="13"/>
    </row>
    <row r="53" spans="1:13" x14ac:dyDescent="0.25">
      <c r="A53" s="13"/>
      <c r="B53" s="13"/>
      <c r="C53" s="13"/>
      <c r="D53" s="13"/>
      <c r="E53" s="11"/>
      <c r="F53" s="11"/>
      <c r="G53" s="11"/>
      <c r="H53" s="12"/>
      <c r="I53" s="12"/>
      <c r="J53" s="12"/>
      <c r="K53" s="12"/>
      <c r="L53" s="12"/>
      <c r="M53" s="13"/>
    </row>
    <row r="54" spans="1:13" x14ac:dyDescent="0.25">
      <c r="A54" s="13"/>
      <c r="B54" s="176" t="s">
        <v>64</v>
      </c>
      <c r="C54" s="176"/>
      <c r="D54" s="176"/>
      <c r="E54" s="176"/>
      <c r="F54" s="11"/>
      <c r="G54" s="15"/>
      <c r="H54" s="12"/>
      <c r="I54" s="12"/>
      <c r="J54" s="176" t="s">
        <v>3</v>
      </c>
      <c r="K54" s="176"/>
      <c r="L54" s="176"/>
      <c r="M54" s="176"/>
    </row>
    <row r="59" spans="1:13" x14ac:dyDescent="0.25">
      <c r="E59" s="30" t="s">
        <v>5</v>
      </c>
      <c r="F59" s="87"/>
      <c r="G59" s="187" t="s">
        <v>1</v>
      </c>
      <c r="H59" s="187"/>
      <c r="I59" s="187"/>
      <c r="J59" s="187"/>
      <c r="K59" s="187"/>
      <c r="L59" s="187"/>
      <c r="M59" s="187"/>
    </row>
    <row r="60" spans="1:13" x14ac:dyDescent="0.25">
      <c r="E60" s="30" t="s">
        <v>6</v>
      </c>
      <c r="F60" s="87"/>
      <c r="G60" s="188" t="s">
        <v>2</v>
      </c>
      <c r="H60" s="188"/>
      <c r="I60" s="188"/>
      <c r="J60" s="188"/>
      <c r="K60" s="188"/>
      <c r="L60" s="188"/>
      <c r="M60" s="188"/>
    </row>
    <row r="61" spans="1:13" x14ac:dyDescent="0.25">
      <c r="A61" s="4"/>
      <c r="B61" s="4"/>
      <c r="C61" s="4"/>
      <c r="D61" s="4"/>
      <c r="E61" s="4"/>
      <c r="F61" s="6"/>
      <c r="G61" s="6"/>
      <c r="H61" s="189" t="s">
        <v>96</v>
      </c>
      <c r="I61" s="189"/>
      <c r="J61" s="189"/>
      <c r="K61" s="189"/>
      <c r="L61" s="189"/>
      <c r="M61" s="189"/>
    </row>
    <row r="62" spans="1:13" ht="26.45" customHeight="1" x14ac:dyDescent="0.25">
      <c r="A62" s="190" t="s">
        <v>110</v>
      </c>
      <c r="B62" s="190"/>
      <c r="C62" s="190"/>
      <c r="D62" s="190"/>
      <c r="E62" s="190"/>
      <c r="F62" s="190"/>
      <c r="G62" s="190"/>
      <c r="H62" s="190"/>
      <c r="I62" s="190"/>
      <c r="J62" s="190"/>
      <c r="K62" s="190"/>
      <c r="L62" s="190"/>
      <c r="M62" s="190"/>
    </row>
    <row r="63" spans="1:13" ht="31.5" x14ac:dyDescent="0.25">
      <c r="A63" s="77" t="s">
        <v>7</v>
      </c>
      <c r="B63" s="77" t="s">
        <v>8</v>
      </c>
      <c r="C63" s="77" t="s">
        <v>9</v>
      </c>
      <c r="D63" s="77" t="s">
        <v>31</v>
      </c>
      <c r="E63" s="77" t="s">
        <v>10</v>
      </c>
      <c r="F63" s="77" t="s">
        <v>11</v>
      </c>
      <c r="G63" s="77" t="s">
        <v>12</v>
      </c>
      <c r="H63" s="78" t="s">
        <v>13</v>
      </c>
      <c r="I63" s="77" t="s">
        <v>14</v>
      </c>
      <c r="J63" s="78" t="s">
        <v>15</v>
      </c>
      <c r="K63" s="117" t="s">
        <v>90</v>
      </c>
      <c r="L63" s="79" t="s">
        <v>16</v>
      </c>
      <c r="M63" s="9" t="s">
        <v>20</v>
      </c>
    </row>
    <row r="64" spans="1:13" ht="87.6" customHeight="1" x14ac:dyDescent="0.25">
      <c r="A64" s="16">
        <v>1</v>
      </c>
      <c r="B64" s="64">
        <v>107</v>
      </c>
      <c r="C64" s="67">
        <v>45708</v>
      </c>
      <c r="D64" s="67" t="s">
        <v>111</v>
      </c>
      <c r="E64" s="64" t="s">
        <v>112</v>
      </c>
      <c r="F64" s="27" t="s">
        <v>113</v>
      </c>
      <c r="G64" s="27" t="s">
        <v>114</v>
      </c>
      <c r="H64" s="68">
        <v>1000000</v>
      </c>
      <c r="I64" s="69"/>
      <c r="J64" s="68"/>
      <c r="K64" s="68">
        <v>20</v>
      </c>
      <c r="L64" s="70">
        <f>H64+J64</f>
        <v>1000000</v>
      </c>
      <c r="M64" s="66"/>
    </row>
    <row r="65" spans="1:14" ht="98.25" customHeight="1" x14ac:dyDescent="0.25">
      <c r="A65" s="16">
        <v>2</v>
      </c>
      <c r="B65" s="64">
        <v>203</v>
      </c>
      <c r="C65" s="67">
        <v>45728</v>
      </c>
      <c r="D65" s="67"/>
      <c r="E65" s="64" t="s">
        <v>169</v>
      </c>
      <c r="F65" s="27"/>
      <c r="G65" s="27" t="s">
        <v>170</v>
      </c>
      <c r="H65" s="68"/>
      <c r="I65" s="69"/>
      <c r="J65" s="68"/>
      <c r="K65" s="68"/>
      <c r="L65" s="70">
        <f t="shared" ref="L65:L67" si="2">H65+J65</f>
        <v>0</v>
      </c>
      <c r="M65" s="66" t="s">
        <v>205</v>
      </c>
    </row>
    <row r="66" spans="1:14" ht="69.75" customHeight="1" x14ac:dyDescent="0.25">
      <c r="A66" s="16">
        <v>3</v>
      </c>
      <c r="B66" s="64">
        <v>239</v>
      </c>
      <c r="C66" s="67">
        <v>45742</v>
      </c>
      <c r="D66" s="67"/>
      <c r="E66" s="64" t="s">
        <v>183</v>
      </c>
      <c r="F66" s="27"/>
      <c r="G66" s="27" t="s">
        <v>184</v>
      </c>
      <c r="H66" s="68">
        <v>800000</v>
      </c>
      <c r="I66" s="69"/>
      <c r="J66" s="68"/>
      <c r="K66" s="118" t="s">
        <v>185</v>
      </c>
      <c r="L66" s="70">
        <f t="shared" si="2"/>
        <v>800000</v>
      </c>
      <c r="M66" s="66" t="s">
        <v>248</v>
      </c>
      <c r="N66" s="83"/>
    </row>
    <row r="67" spans="1:14" ht="85.5" customHeight="1" x14ac:dyDescent="0.25">
      <c r="A67" s="16">
        <v>4</v>
      </c>
      <c r="B67" s="64">
        <v>238</v>
      </c>
      <c r="C67" s="65">
        <v>45742</v>
      </c>
      <c r="D67" s="67" t="s">
        <v>203</v>
      </c>
      <c r="E67" s="64" t="s">
        <v>177</v>
      </c>
      <c r="F67" s="64" t="s">
        <v>178</v>
      </c>
      <c r="G67" s="27" t="s">
        <v>179</v>
      </c>
      <c r="H67" s="61"/>
      <c r="I67" s="62"/>
      <c r="J67" s="61"/>
      <c r="K67" s="61">
        <v>5</v>
      </c>
      <c r="L67" s="63">
        <f t="shared" si="2"/>
        <v>0</v>
      </c>
      <c r="M67" s="66"/>
      <c r="N67" s="84"/>
    </row>
    <row r="68" spans="1:14" ht="21" customHeight="1" x14ac:dyDescent="0.25">
      <c r="A68" s="191" t="s">
        <v>30</v>
      </c>
      <c r="B68" s="191"/>
      <c r="C68" s="191"/>
      <c r="D68" s="191"/>
      <c r="E68" s="191"/>
      <c r="F68" s="191"/>
      <c r="G68" s="191"/>
      <c r="H68" s="72">
        <f>SUM(H64:H67)</f>
        <v>1800000</v>
      </c>
      <c r="I68" s="72"/>
      <c r="J68" s="72">
        <f>SUM(J64:J67)</f>
        <v>0</v>
      </c>
      <c r="K68" s="72"/>
      <c r="L68" s="72">
        <f>SUM(L64:L67)</f>
        <v>1800000</v>
      </c>
      <c r="M68" s="27"/>
    </row>
    <row r="69" spans="1:14" x14ac:dyDescent="0.25">
      <c r="A69" s="192" t="s">
        <v>18</v>
      </c>
      <c r="B69" s="192"/>
      <c r="C69" s="192"/>
      <c r="D69" s="80" t="e">
        <f ca="1">[2]!vnd(L68)</f>
        <v>#NAME?</v>
      </c>
      <c r="E69" s="17"/>
      <c r="F69" s="11"/>
      <c r="G69" s="85"/>
      <c r="H69" s="12"/>
      <c r="I69" s="12"/>
      <c r="J69" s="12"/>
      <c r="K69" s="12"/>
      <c r="L69" s="12"/>
      <c r="M69" s="13"/>
    </row>
    <row r="70" spans="1:14" x14ac:dyDescent="0.25">
      <c r="A70" s="13"/>
      <c r="B70" s="13"/>
      <c r="C70" s="13"/>
      <c r="D70" s="13"/>
      <c r="E70" s="11"/>
      <c r="F70" s="11"/>
      <c r="G70" s="11"/>
      <c r="H70" s="12"/>
      <c r="I70" s="12"/>
      <c r="J70" s="12"/>
      <c r="K70" s="12"/>
      <c r="L70" s="12"/>
      <c r="M70" s="13"/>
    </row>
    <row r="71" spans="1:14" x14ac:dyDescent="0.25">
      <c r="A71" s="86"/>
      <c r="B71" s="175" t="s">
        <v>34</v>
      </c>
      <c r="C71" s="175"/>
      <c r="D71" s="175"/>
      <c r="E71" s="175"/>
      <c r="F71" s="74"/>
      <c r="G71" s="74"/>
      <c r="H71" s="14"/>
      <c r="I71" s="14"/>
      <c r="J71" s="175" t="s">
        <v>4</v>
      </c>
      <c r="K71" s="175"/>
      <c r="L71" s="175"/>
      <c r="M71" s="175"/>
    </row>
    <row r="72" spans="1:14" x14ac:dyDescent="0.25">
      <c r="A72" s="13"/>
      <c r="B72" s="13"/>
      <c r="C72" s="13"/>
      <c r="D72" s="13"/>
      <c r="E72" s="11"/>
      <c r="F72" s="11"/>
      <c r="G72" s="11"/>
      <c r="H72" s="12"/>
      <c r="I72" s="12"/>
      <c r="J72" s="12"/>
      <c r="K72" s="12"/>
      <c r="L72" s="12"/>
      <c r="M72" s="13"/>
    </row>
    <row r="73" spans="1:14" x14ac:dyDescent="0.25">
      <c r="A73" s="13"/>
      <c r="B73" s="13"/>
      <c r="C73" s="13"/>
      <c r="D73" s="13"/>
      <c r="E73" s="11"/>
      <c r="F73" s="11"/>
      <c r="G73" s="11"/>
      <c r="H73" s="12"/>
      <c r="I73" s="12"/>
      <c r="J73" s="12"/>
      <c r="K73" s="12"/>
      <c r="L73" s="12"/>
      <c r="M73" s="13"/>
    </row>
    <row r="74" spans="1:14" x14ac:dyDescent="0.25">
      <c r="A74" s="13"/>
      <c r="B74" s="13"/>
      <c r="C74" s="13"/>
      <c r="D74" s="13"/>
      <c r="E74" s="11"/>
      <c r="F74" s="11"/>
      <c r="G74" s="11"/>
      <c r="H74" s="12"/>
      <c r="I74" s="12"/>
      <c r="J74" s="12"/>
      <c r="K74" s="12"/>
      <c r="L74" s="12"/>
      <c r="M74" s="13"/>
    </row>
    <row r="75" spans="1:14" x14ac:dyDescent="0.25">
      <c r="A75" s="13"/>
      <c r="B75" s="176" t="s">
        <v>64</v>
      </c>
      <c r="C75" s="176"/>
      <c r="D75" s="176"/>
      <c r="E75" s="176"/>
      <c r="F75" s="11"/>
      <c r="G75" s="15"/>
      <c r="H75" s="12"/>
      <c r="I75" s="12"/>
      <c r="J75" s="176" t="s">
        <v>197</v>
      </c>
      <c r="K75" s="176"/>
      <c r="L75" s="176"/>
      <c r="M75" s="176"/>
    </row>
    <row r="79" spans="1:14" x14ac:dyDescent="0.25">
      <c r="E79" s="30" t="s">
        <v>5</v>
      </c>
      <c r="F79" s="87"/>
      <c r="G79" s="187" t="s">
        <v>1</v>
      </c>
      <c r="H79" s="187"/>
      <c r="I79" s="187"/>
      <c r="J79" s="187"/>
      <c r="K79" s="187"/>
      <c r="L79" s="187"/>
      <c r="M79" s="187"/>
    </row>
    <row r="80" spans="1:14" x14ac:dyDescent="0.25">
      <c r="E80" s="30" t="s">
        <v>6</v>
      </c>
      <c r="F80" s="87"/>
      <c r="G80" s="188" t="s">
        <v>2</v>
      </c>
      <c r="H80" s="188"/>
      <c r="I80" s="188"/>
      <c r="J80" s="188"/>
      <c r="K80" s="188"/>
      <c r="L80" s="188"/>
      <c r="M80" s="188"/>
    </row>
    <row r="81" spans="1:13" x14ac:dyDescent="0.25">
      <c r="A81" s="4"/>
      <c r="B81" s="4"/>
      <c r="C81" s="4"/>
      <c r="D81" s="4"/>
      <c r="E81" s="4"/>
      <c r="F81" s="6"/>
      <c r="G81" s="6"/>
      <c r="H81" s="189" t="s">
        <v>207</v>
      </c>
      <c r="I81" s="189"/>
      <c r="J81" s="189"/>
      <c r="K81" s="189"/>
      <c r="L81" s="189"/>
      <c r="M81" s="189"/>
    </row>
    <row r="82" spans="1:13" ht="18.75" x14ac:dyDescent="0.25">
      <c r="A82" s="190" t="s">
        <v>209</v>
      </c>
      <c r="B82" s="190"/>
      <c r="C82" s="190"/>
      <c r="D82" s="190"/>
      <c r="E82" s="190"/>
      <c r="F82" s="190"/>
      <c r="G82" s="190"/>
      <c r="H82" s="190"/>
      <c r="I82" s="190"/>
      <c r="J82" s="190"/>
      <c r="K82" s="190"/>
      <c r="L82" s="190"/>
      <c r="M82" s="190"/>
    </row>
    <row r="83" spans="1:13" ht="31.5" x14ac:dyDescent="0.25">
      <c r="A83" s="77" t="s">
        <v>7</v>
      </c>
      <c r="B83" s="77" t="s">
        <v>8</v>
      </c>
      <c r="C83" s="77" t="s">
        <v>9</v>
      </c>
      <c r="D83" s="77" t="s">
        <v>31</v>
      </c>
      <c r="E83" s="77" t="s">
        <v>10</v>
      </c>
      <c r="F83" s="77" t="s">
        <v>11</v>
      </c>
      <c r="G83" s="77" t="s">
        <v>12</v>
      </c>
      <c r="H83" s="78" t="s">
        <v>13</v>
      </c>
      <c r="I83" s="77" t="s">
        <v>14</v>
      </c>
      <c r="J83" s="78" t="s">
        <v>15</v>
      </c>
      <c r="K83" s="117" t="s">
        <v>90</v>
      </c>
      <c r="L83" s="79" t="s">
        <v>16</v>
      </c>
      <c r="M83" s="9" t="s">
        <v>20</v>
      </c>
    </row>
    <row r="84" spans="1:13" ht="31.5" x14ac:dyDescent="0.25">
      <c r="A84" s="16">
        <v>1</v>
      </c>
      <c r="B84" s="64">
        <v>328</v>
      </c>
      <c r="C84" s="67">
        <v>45770</v>
      </c>
      <c r="D84" s="67" t="s">
        <v>298</v>
      </c>
      <c r="E84" s="64" t="s">
        <v>299</v>
      </c>
      <c r="F84" s="27" t="s">
        <v>300</v>
      </c>
      <c r="G84" s="27" t="s">
        <v>301</v>
      </c>
      <c r="H84" s="68"/>
      <c r="I84" s="69"/>
      <c r="J84" s="68"/>
      <c r="K84" s="68">
        <v>5</v>
      </c>
      <c r="L84" s="70">
        <f>H84+J84</f>
        <v>0</v>
      </c>
      <c r="M84" s="66"/>
    </row>
    <row r="85" spans="1:13" ht="31.5" x14ac:dyDescent="0.25">
      <c r="A85" s="16">
        <v>3</v>
      </c>
      <c r="B85" s="64">
        <v>326</v>
      </c>
      <c r="C85" s="67">
        <v>45770</v>
      </c>
      <c r="D85" s="67" t="s">
        <v>305</v>
      </c>
      <c r="E85" s="64" t="s">
        <v>306</v>
      </c>
      <c r="F85" s="27" t="s">
        <v>316</v>
      </c>
      <c r="G85" s="27" t="s">
        <v>301</v>
      </c>
      <c r="H85" s="68"/>
      <c r="I85" s="69"/>
      <c r="J85" s="68"/>
      <c r="K85" s="118">
        <v>5</v>
      </c>
      <c r="L85" s="70">
        <f>CT!H77+CT!J77</f>
        <v>0</v>
      </c>
      <c r="M85" s="66"/>
    </row>
    <row r="86" spans="1:13" ht="47.25" x14ac:dyDescent="0.25">
      <c r="A86" s="16">
        <v>4</v>
      </c>
      <c r="B86" s="64">
        <v>325</v>
      </c>
      <c r="C86" s="67">
        <v>45770</v>
      </c>
      <c r="D86" s="67" t="s">
        <v>307</v>
      </c>
      <c r="E86" s="64" t="s">
        <v>308</v>
      </c>
      <c r="F86" s="27" t="s">
        <v>315</v>
      </c>
      <c r="G86" s="27" t="s">
        <v>301</v>
      </c>
      <c r="H86" s="68"/>
      <c r="I86" s="69"/>
      <c r="J86" s="68"/>
      <c r="K86" s="118">
        <v>5</v>
      </c>
      <c r="L86" s="70">
        <f t="shared" ref="L86:L93" si="3">H86+J86</f>
        <v>0</v>
      </c>
      <c r="M86" s="66"/>
    </row>
    <row r="87" spans="1:13" ht="31.5" x14ac:dyDescent="0.25">
      <c r="A87" s="16">
        <v>5</v>
      </c>
      <c r="B87" s="64">
        <v>324</v>
      </c>
      <c r="C87" s="67">
        <v>45770</v>
      </c>
      <c r="D87" s="67" t="s">
        <v>309</v>
      </c>
      <c r="E87" s="64" t="s">
        <v>310</v>
      </c>
      <c r="F87" s="64" t="s">
        <v>314</v>
      </c>
      <c r="G87" s="27" t="s">
        <v>301</v>
      </c>
      <c r="H87" s="61"/>
      <c r="I87" s="62"/>
      <c r="J87" s="61"/>
      <c r="K87" s="118">
        <v>5</v>
      </c>
      <c r="L87" s="63">
        <f t="shared" si="3"/>
        <v>0</v>
      </c>
      <c r="M87" s="66"/>
    </row>
    <row r="88" spans="1:13" ht="63" x14ac:dyDescent="0.25">
      <c r="A88" s="16">
        <v>6</v>
      </c>
      <c r="B88" s="64">
        <v>320</v>
      </c>
      <c r="C88" s="67">
        <v>45766</v>
      </c>
      <c r="D88" s="67" t="s">
        <v>312</v>
      </c>
      <c r="E88" s="64" t="s">
        <v>311</v>
      </c>
      <c r="F88" s="27" t="s">
        <v>313</v>
      </c>
      <c r="G88" s="27" t="s">
        <v>317</v>
      </c>
      <c r="H88" s="68"/>
      <c r="I88" s="69"/>
      <c r="J88" s="68"/>
      <c r="K88" s="68">
        <v>10</v>
      </c>
      <c r="L88" s="70">
        <f t="shared" si="3"/>
        <v>0</v>
      </c>
      <c r="M88" s="66"/>
    </row>
    <row r="89" spans="1:13" ht="63" x14ac:dyDescent="0.25">
      <c r="A89" s="16">
        <v>7</v>
      </c>
      <c r="B89" s="64">
        <v>319</v>
      </c>
      <c r="C89" s="67">
        <v>45765</v>
      </c>
      <c r="D89" s="67" t="s">
        <v>319</v>
      </c>
      <c r="E89" s="64" t="s">
        <v>318</v>
      </c>
      <c r="F89" s="27" t="s">
        <v>341</v>
      </c>
      <c r="G89" s="27" t="s">
        <v>320</v>
      </c>
      <c r="H89" s="68">
        <v>200000</v>
      </c>
      <c r="I89" s="69"/>
      <c r="J89" s="68"/>
      <c r="K89" s="68">
        <v>10</v>
      </c>
      <c r="L89" s="70">
        <f t="shared" si="3"/>
        <v>200000</v>
      </c>
      <c r="M89" s="66"/>
    </row>
    <row r="90" spans="1:13" ht="63" x14ac:dyDescent="0.25">
      <c r="A90" s="16">
        <v>8</v>
      </c>
      <c r="B90" s="64">
        <v>292</v>
      </c>
      <c r="C90" s="67">
        <v>45758</v>
      </c>
      <c r="D90" s="67" t="s">
        <v>331</v>
      </c>
      <c r="E90" s="64" t="s">
        <v>330</v>
      </c>
      <c r="F90" s="27" t="s">
        <v>332</v>
      </c>
      <c r="G90" s="27" t="s">
        <v>333</v>
      </c>
      <c r="H90" s="68">
        <v>500000</v>
      </c>
      <c r="I90" s="69"/>
      <c r="J90" s="68"/>
      <c r="K90" s="68">
        <v>10</v>
      </c>
      <c r="L90" s="70">
        <f t="shared" si="3"/>
        <v>500000</v>
      </c>
      <c r="M90" s="66"/>
    </row>
    <row r="91" spans="1:13" ht="63" x14ac:dyDescent="0.25">
      <c r="A91" s="16">
        <v>9</v>
      </c>
      <c r="B91" s="64">
        <v>293</v>
      </c>
      <c r="C91" s="67">
        <v>45758</v>
      </c>
      <c r="D91" s="67" t="s">
        <v>335</v>
      </c>
      <c r="E91" s="64" t="s">
        <v>334</v>
      </c>
      <c r="F91" s="27" t="s">
        <v>336</v>
      </c>
      <c r="G91" s="27" t="s">
        <v>333</v>
      </c>
      <c r="H91" s="68">
        <v>500000</v>
      </c>
      <c r="I91" s="69"/>
      <c r="J91" s="68"/>
      <c r="K91" s="68">
        <v>10</v>
      </c>
      <c r="L91" s="70">
        <f t="shared" si="3"/>
        <v>500000</v>
      </c>
      <c r="M91" s="66"/>
    </row>
    <row r="92" spans="1:13" ht="63" x14ac:dyDescent="0.25">
      <c r="A92" s="16">
        <v>10</v>
      </c>
      <c r="B92" s="64">
        <v>294</v>
      </c>
      <c r="C92" s="67">
        <v>45758</v>
      </c>
      <c r="D92" s="67" t="s">
        <v>338</v>
      </c>
      <c r="E92" s="64" t="s">
        <v>337</v>
      </c>
      <c r="F92" s="27" t="s">
        <v>339</v>
      </c>
      <c r="G92" s="27" t="s">
        <v>340</v>
      </c>
      <c r="H92" s="68"/>
      <c r="I92" s="69"/>
      <c r="J92" s="68"/>
      <c r="K92" s="68">
        <v>12</v>
      </c>
      <c r="L92" s="70">
        <f t="shared" si="3"/>
        <v>0</v>
      </c>
      <c r="M92" s="66"/>
    </row>
    <row r="93" spans="1:13" ht="47.25" x14ac:dyDescent="0.25">
      <c r="A93" s="16">
        <v>11</v>
      </c>
      <c r="B93" s="64">
        <v>295</v>
      </c>
      <c r="C93" s="67">
        <v>45758</v>
      </c>
      <c r="D93" s="67" t="s">
        <v>319</v>
      </c>
      <c r="E93" s="64" t="s">
        <v>318</v>
      </c>
      <c r="F93" s="27" t="s">
        <v>341</v>
      </c>
      <c r="G93" s="27" t="s">
        <v>342</v>
      </c>
      <c r="H93" s="68"/>
      <c r="I93" s="69"/>
      <c r="J93" s="68"/>
      <c r="K93" s="68">
        <v>5</v>
      </c>
      <c r="L93" s="70">
        <f t="shared" si="3"/>
        <v>0</v>
      </c>
      <c r="M93" s="66"/>
    </row>
    <row r="94" spans="1:13" hidden="1" x14ac:dyDescent="0.25">
      <c r="A94" s="16"/>
      <c r="B94" s="64"/>
      <c r="C94" s="67"/>
      <c r="D94" s="67"/>
      <c r="E94" s="64"/>
      <c r="F94" s="27"/>
      <c r="G94" s="27"/>
      <c r="H94" s="68"/>
      <c r="I94" s="69"/>
      <c r="J94" s="68"/>
      <c r="K94" s="68"/>
      <c r="L94" s="70">
        <f t="shared" ref="L94:L95" si="4">H94+J94</f>
        <v>0</v>
      </c>
      <c r="M94" s="66"/>
    </row>
    <row r="95" spans="1:13" hidden="1" x14ac:dyDescent="0.25">
      <c r="A95" s="16"/>
      <c r="B95" s="64"/>
      <c r="C95" s="67"/>
      <c r="D95" s="67"/>
      <c r="E95" s="64"/>
      <c r="F95" s="27"/>
      <c r="G95" s="27"/>
      <c r="H95" s="68"/>
      <c r="I95" s="69"/>
      <c r="J95" s="68"/>
      <c r="K95" s="68"/>
      <c r="L95" s="70">
        <f t="shared" si="4"/>
        <v>0</v>
      </c>
      <c r="M95" s="66"/>
    </row>
    <row r="96" spans="1:13" hidden="1" x14ac:dyDescent="0.25">
      <c r="A96" s="16"/>
      <c r="B96" s="64"/>
      <c r="C96" s="67"/>
      <c r="D96" s="67"/>
      <c r="E96" s="64"/>
      <c r="F96" s="27"/>
      <c r="G96" s="27"/>
      <c r="H96" s="68"/>
      <c r="I96" s="69"/>
      <c r="J96" s="68"/>
      <c r="K96" s="68"/>
      <c r="L96" s="70">
        <f>H96+J96</f>
        <v>0</v>
      </c>
      <c r="M96" s="66"/>
    </row>
    <row r="97" spans="1:13" x14ac:dyDescent="0.25">
      <c r="A97" s="191" t="s">
        <v>30</v>
      </c>
      <c r="B97" s="191"/>
      <c r="C97" s="191"/>
      <c r="D97" s="191"/>
      <c r="E97" s="191"/>
      <c r="F97" s="191"/>
      <c r="G97" s="191"/>
      <c r="H97" s="72">
        <f>SUM(H84:H96)</f>
        <v>1200000</v>
      </c>
      <c r="I97" s="72"/>
      <c r="J97" s="72">
        <f>SUM(J84:J96)</f>
        <v>0</v>
      </c>
      <c r="K97" s="72"/>
      <c r="L97" s="72">
        <f>SUM(L84:L96)</f>
        <v>1200000</v>
      </c>
      <c r="M97" s="27"/>
    </row>
    <row r="98" spans="1:13" x14ac:dyDescent="0.25">
      <c r="A98" s="192" t="s">
        <v>18</v>
      </c>
      <c r="B98" s="192"/>
      <c r="C98" s="192"/>
      <c r="D98" s="80" t="e">
        <f ca="1">[2]!vnd(L97)</f>
        <v>#NAME?</v>
      </c>
      <c r="E98" s="17"/>
      <c r="F98" s="11"/>
      <c r="G98" s="85"/>
      <c r="H98" s="12"/>
      <c r="I98" s="12"/>
      <c r="J98" s="12"/>
      <c r="K98" s="12"/>
      <c r="L98" s="12"/>
      <c r="M98" s="13"/>
    </row>
    <row r="99" spans="1:13" x14ac:dyDescent="0.25">
      <c r="A99" s="13"/>
      <c r="B99" s="13"/>
      <c r="C99" s="13"/>
      <c r="D99" s="13"/>
      <c r="E99" s="11"/>
      <c r="F99" s="11"/>
      <c r="G99" s="11"/>
      <c r="H99" s="12"/>
      <c r="I99" s="12"/>
      <c r="J99" s="12"/>
      <c r="K99" s="12"/>
      <c r="L99" s="12"/>
      <c r="M99" s="13"/>
    </row>
    <row r="100" spans="1:13" x14ac:dyDescent="0.25">
      <c r="A100" s="86"/>
      <c r="B100" s="175" t="s">
        <v>34</v>
      </c>
      <c r="C100" s="175"/>
      <c r="D100" s="175"/>
      <c r="E100" s="175"/>
      <c r="F100" s="74"/>
      <c r="G100" s="74"/>
      <c r="H100" s="14"/>
      <c r="I100" s="14"/>
      <c r="J100" s="175" t="s">
        <v>4</v>
      </c>
      <c r="K100" s="175"/>
      <c r="L100" s="175"/>
      <c r="M100" s="175"/>
    </row>
    <row r="101" spans="1:13" x14ac:dyDescent="0.25">
      <c r="A101" s="13"/>
      <c r="B101" s="13"/>
      <c r="C101" s="13"/>
      <c r="D101" s="13"/>
      <c r="E101" s="11"/>
      <c r="F101" s="11"/>
      <c r="G101" s="11"/>
      <c r="H101" s="12"/>
      <c r="I101" s="12"/>
      <c r="J101" s="12"/>
      <c r="K101" s="12"/>
      <c r="L101" s="12"/>
      <c r="M101" s="13"/>
    </row>
    <row r="102" spans="1:13" x14ac:dyDescent="0.25">
      <c r="A102" s="13"/>
      <c r="B102" s="13"/>
      <c r="C102" s="13"/>
      <c r="D102" s="13"/>
      <c r="E102" s="11"/>
      <c r="F102" s="11"/>
      <c r="G102" s="11"/>
      <c r="H102" s="12"/>
      <c r="I102" s="12"/>
      <c r="J102" s="12"/>
      <c r="K102" s="12"/>
      <c r="L102" s="12"/>
      <c r="M102" s="13"/>
    </row>
    <row r="103" spans="1:13" x14ac:dyDescent="0.25">
      <c r="A103" s="13"/>
      <c r="B103" s="13"/>
      <c r="C103" s="13"/>
      <c r="D103" s="13"/>
      <c r="E103" s="11"/>
      <c r="F103" s="11"/>
      <c r="G103" s="11"/>
      <c r="H103" s="12"/>
      <c r="I103" s="12"/>
      <c r="J103" s="12"/>
      <c r="K103" s="12"/>
      <c r="L103" s="12"/>
      <c r="M103" s="13"/>
    </row>
    <row r="104" spans="1:13" x14ac:dyDescent="0.25">
      <c r="A104" s="13"/>
      <c r="B104" s="176" t="s">
        <v>64</v>
      </c>
      <c r="C104" s="176"/>
      <c r="D104" s="176"/>
      <c r="E104" s="176"/>
      <c r="F104" s="11"/>
      <c r="G104" s="15"/>
      <c r="H104" s="12"/>
      <c r="I104" s="12"/>
      <c r="J104" s="176" t="s">
        <v>197</v>
      </c>
      <c r="K104" s="176"/>
      <c r="L104" s="176"/>
      <c r="M104" s="176"/>
    </row>
    <row r="107" spans="1:13" x14ac:dyDescent="0.25">
      <c r="E107" s="30" t="s">
        <v>5</v>
      </c>
      <c r="F107" s="87"/>
      <c r="G107" s="187" t="s">
        <v>1</v>
      </c>
      <c r="H107" s="187"/>
      <c r="I107" s="187"/>
      <c r="J107" s="187"/>
      <c r="K107" s="187"/>
      <c r="L107" s="187"/>
      <c r="M107" s="187"/>
    </row>
    <row r="108" spans="1:13" x14ac:dyDescent="0.25">
      <c r="E108" s="30" t="s">
        <v>6</v>
      </c>
      <c r="F108" s="87"/>
      <c r="G108" s="188" t="s">
        <v>2</v>
      </c>
      <c r="H108" s="188"/>
      <c r="I108" s="188"/>
      <c r="J108" s="188"/>
      <c r="K108" s="188"/>
      <c r="L108" s="188"/>
      <c r="M108" s="188"/>
    </row>
    <row r="109" spans="1:13" x14ac:dyDescent="0.25">
      <c r="A109" s="4"/>
      <c r="B109" s="4"/>
      <c r="C109" s="4"/>
      <c r="D109" s="4"/>
      <c r="E109" s="4"/>
      <c r="F109" s="6"/>
      <c r="G109" s="6"/>
      <c r="H109" s="189" t="s">
        <v>482</v>
      </c>
      <c r="I109" s="189"/>
      <c r="J109" s="189"/>
      <c r="K109" s="189"/>
      <c r="L109" s="189"/>
      <c r="M109" s="189"/>
    </row>
    <row r="110" spans="1:13" ht="18.75" x14ac:dyDescent="0.25">
      <c r="A110" s="190" t="s">
        <v>483</v>
      </c>
      <c r="B110" s="190"/>
      <c r="C110" s="190"/>
      <c r="D110" s="190"/>
      <c r="E110" s="190"/>
      <c r="F110" s="190"/>
      <c r="G110" s="190"/>
      <c r="H110" s="190"/>
      <c r="I110" s="190"/>
      <c r="J110" s="190"/>
      <c r="K110" s="190"/>
      <c r="L110" s="190"/>
      <c r="M110" s="190"/>
    </row>
    <row r="111" spans="1:13" ht="31.5" x14ac:dyDescent="0.25">
      <c r="A111" s="77" t="s">
        <v>7</v>
      </c>
      <c r="B111" s="77" t="s">
        <v>8</v>
      </c>
      <c r="C111" s="77" t="s">
        <v>9</v>
      </c>
      <c r="D111" s="77" t="s">
        <v>31</v>
      </c>
      <c r="E111" s="77" t="s">
        <v>10</v>
      </c>
      <c r="F111" s="77" t="s">
        <v>11</v>
      </c>
      <c r="G111" s="77" t="s">
        <v>12</v>
      </c>
      <c r="H111" s="78" t="s">
        <v>13</v>
      </c>
      <c r="I111" s="77" t="s">
        <v>14</v>
      </c>
      <c r="J111" s="78" t="s">
        <v>15</v>
      </c>
      <c r="K111" s="117" t="s">
        <v>90</v>
      </c>
      <c r="L111" s="79" t="s">
        <v>16</v>
      </c>
      <c r="M111" s="9" t="s">
        <v>20</v>
      </c>
    </row>
    <row r="112" spans="1:13" ht="78.75" x14ac:dyDescent="0.25">
      <c r="A112" s="16">
        <v>1</v>
      </c>
      <c r="B112" s="64">
        <v>383</v>
      </c>
      <c r="C112" s="65">
        <v>45793</v>
      </c>
      <c r="D112" s="67" t="s">
        <v>398</v>
      </c>
      <c r="E112" s="64" t="s">
        <v>378</v>
      </c>
      <c r="F112" s="64" t="s">
        <v>379</v>
      </c>
      <c r="G112" s="27" t="s">
        <v>380</v>
      </c>
      <c r="H112" s="61">
        <v>200000</v>
      </c>
      <c r="I112" s="62"/>
      <c r="J112" s="61"/>
      <c r="K112" s="61">
        <v>6</v>
      </c>
      <c r="L112" s="63">
        <f t="shared" ref="L112:L131" si="5">H112+J112</f>
        <v>200000</v>
      </c>
      <c r="M112" s="27"/>
    </row>
    <row r="113" spans="1:13" ht="63" x14ac:dyDescent="0.25">
      <c r="A113" s="16">
        <v>3</v>
      </c>
      <c r="B113" s="64">
        <v>381</v>
      </c>
      <c r="C113" s="65">
        <v>45793</v>
      </c>
      <c r="D113" s="67" t="s">
        <v>400</v>
      </c>
      <c r="E113" s="64" t="s">
        <v>383</v>
      </c>
      <c r="F113" s="64" t="s">
        <v>384</v>
      </c>
      <c r="G113" s="27" t="s">
        <v>385</v>
      </c>
      <c r="H113" s="61">
        <v>500000</v>
      </c>
      <c r="I113" s="62"/>
      <c r="J113" s="61"/>
      <c r="K113" s="61">
        <v>19</v>
      </c>
      <c r="L113" s="63">
        <f t="shared" si="5"/>
        <v>500000</v>
      </c>
      <c r="M113" s="27"/>
    </row>
    <row r="114" spans="1:13" ht="78.75" x14ac:dyDescent="0.25">
      <c r="A114" s="16">
        <v>4</v>
      </c>
      <c r="B114" s="64">
        <v>384</v>
      </c>
      <c r="C114" s="65">
        <v>45793</v>
      </c>
      <c r="D114" s="67" t="s">
        <v>401</v>
      </c>
      <c r="E114" s="64" t="s">
        <v>391</v>
      </c>
      <c r="F114" s="64" t="s">
        <v>392</v>
      </c>
      <c r="G114" s="27" t="s">
        <v>393</v>
      </c>
      <c r="H114" s="61">
        <v>1000000</v>
      </c>
      <c r="I114" s="62"/>
      <c r="J114" s="61"/>
      <c r="K114" s="61">
        <v>14</v>
      </c>
      <c r="L114" s="63">
        <f t="shared" si="5"/>
        <v>1000000</v>
      </c>
      <c r="M114" s="27"/>
    </row>
    <row r="115" spans="1:13" ht="47.25" x14ac:dyDescent="0.25">
      <c r="A115" s="16">
        <v>5</v>
      </c>
      <c r="B115" s="64">
        <v>413</v>
      </c>
      <c r="C115" s="67">
        <v>45806</v>
      </c>
      <c r="D115" s="67" t="s">
        <v>431</v>
      </c>
      <c r="E115" s="64" t="s">
        <v>432</v>
      </c>
      <c r="F115" s="64" t="s">
        <v>433</v>
      </c>
      <c r="G115" s="27" t="s">
        <v>434</v>
      </c>
      <c r="H115" s="61">
        <v>300000</v>
      </c>
      <c r="I115" s="62"/>
      <c r="J115" s="61"/>
      <c r="K115" s="118">
        <v>3</v>
      </c>
      <c r="L115" s="63">
        <f t="shared" si="5"/>
        <v>300000</v>
      </c>
      <c r="M115" s="66"/>
    </row>
    <row r="116" spans="1:13" ht="47.25" x14ac:dyDescent="0.25">
      <c r="A116" s="16">
        <v>6</v>
      </c>
      <c r="B116" s="64">
        <v>414</v>
      </c>
      <c r="C116" s="67">
        <v>45806</v>
      </c>
      <c r="D116" s="67" t="s">
        <v>435</v>
      </c>
      <c r="E116" s="64" t="s">
        <v>437</v>
      </c>
      <c r="F116" s="27" t="s">
        <v>436</v>
      </c>
      <c r="G116" s="27" t="s">
        <v>438</v>
      </c>
      <c r="H116" s="68">
        <v>200000</v>
      </c>
      <c r="I116" s="69"/>
      <c r="J116" s="68"/>
      <c r="K116" s="68">
        <v>2</v>
      </c>
      <c r="L116" s="70">
        <f t="shared" si="5"/>
        <v>200000</v>
      </c>
      <c r="M116" s="66"/>
    </row>
    <row r="117" spans="1:13" ht="47.25" x14ac:dyDescent="0.25">
      <c r="A117" s="16">
        <v>7</v>
      </c>
      <c r="B117" s="64">
        <v>415</v>
      </c>
      <c r="C117" s="67">
        <v>45806</v>
      </c>
      <c r="D117" s="67" t="s">
        <v>439</v>
      </c>
      <c r="E117" s="64" t="s">
        <v>440</v>
      </c>
      <c r="F117" s="27" t="s">
        <v>436</v>
      </c>
      <c r="G117" s="27" t="s">
        <v>438</v>
      </c>
      <c r="H117" s="68">
        <v>200000</v>
      </c>
      <c r="I117" s="69"/>
      <c r="J117" s="68"/>
      <c r="K117" s="68">
        <v>2</v>
      </c>
      <c r="L117" s="70">
        <f t="shared" si="5"/>
        <v>200000</v>
      </c>
      <c r="M117" s="66"/>
    </row>
    <row r="118" spans="1:13" ht="47.25" x14ac:dyDescent="0.25">
      <c r="A118" s="16">
        <v>8</v>
      </c>
      <c r="B118" s="64">
        <v>416</v>
      </c>
      <c r="C118" s="67">
        <v>45806</v>
      </c>
      <c r="D118" s="67" t="s">
        <v>441</v>
      </c>
      <c r="E118" s="64" t="s">
        <v>442</v>
      </c>
      <c r="F118" s="27" t="s">
        <v>436</v>
      </c>
      <c r="G118" s="27" t="s">
        <v>438</v>
      </c>
      <c r="H118" s="68">
        <v>200000</v>
      </c>
      <c r="I118" s="69"/>
      <c r="J118" s="68"/>
      <c r="K118" s="68">
        <v>2</v>
      </c>
      <c r="L118" s="70">
        <f t="shared" si="5"/>
        <v>200000</v>
      </c>
      <c r="M118" s="66"/>
    </row>
    <row r="119" spans="1:13" ht="47.25" x14ac:dyDescent="0.25">
      <c r="A119" s="16">
        <v>9</v>
      </c>
      <c r="B119" s="64">
        <v>417</v>
      </c>
      <c r="C119" s="67">
        <v>45806</v>
      </c>
      <c r="D119" s="67" t="s">
        <v>443</v>
      </c>
      <c r="E119" s="64" t="s">
        <v>444</v>
      </c>
      <c r="F119" s="27" t="s">
        <v>445</v>
      </c>
      <c r="G119" s="27" t="s">
        <v>438</v>
      </c>
      <c r="H119" s="68">
        <v>300000</v>
      </c>
      <c r="I119" s="69"/>
      <c r="J119" s="68"/>
      <c r="K119" s="68">
        <v>3</v>
      </c>
      <c r="L119" s="70">
        <f t="shared" si="5"/>
        <v>300000</v>
      </c>
      <c r="M119" s="66"/>
    </row>
    <row r="120" spans="1:13" ht="47.25" x14ac:dyDescent="0.25">
      <c r="A120" s="16">
        <v>10</v>
      </c>
      <c r="B120" s="64">
        <v>418</v>
      </c>
      <c r="C120" s="67">
        <v>45806</v>
      </c>
      <c r="D120" s="67" t="s">
        <v>446</v>
      </c>
      <c r="E120" s="64" t="s">
        <v>447</v>
      </c>
      <c r="F120" s="27" t="s">
        <v>445</v>
      </c>
      <c r="G120" s="27" t="s">
        <v>438</v>
      </c>
      <c r="H120" s="68">
        <v>300000</v>
      </c>
      <c r="I120" s="69"/>
      <c r="J120" s="68"/>
      <c r="K120" s="68">
        <v>3</v>
      </c>
      <c r="L120" s="70">
        <f t="shared" si="5"/>
        <v>300000</v>
      </c>
      <c r="M120" s="66"/>
    </row>
    <row r="121" spans="1:13" ht="47.25" x14ac:dyDescent="0.25">
      <c r="A121" s="16">
        <v>11</v>
      </c>
      <c r="B121" s="64">
        <v>419</v>
      </c>
      <c r="C121" s="67">
        <v>45806</v>
      </c>
      <c r="D121" s="67" t="s">
        <v>448</v>
      </c>
      <c r="E121" s="64" t="s">
        <v>449</v>
      </c>
      <c r="F121" s="27" t="s">
        <v>450</v>
      </c>
      <c r="G121" s="27" t="s">
        <v>438</v>
      </c>
      <c r="H121" s="68">
        <v>200000</v>
      </c>
      <c r="I121" s="69"/>
      <c r="J121" s="68"/>
      <c r="K121" s="68">
        <v>2</v>
      </c>
      <c r="L121" s="70">
        <f t="shared" si="5"/>
        <v>200000</v>
      </c>
      <c r="M121" s="66"/>
    </row>
    <row r="122" spans="1:13" ht="47.25" x14ac:dyDescent="0.25">
      <c r="A122" s="16">
        <v>12</v>
      </c>
      <c r="B122" s="64">
        <v>420</v>
      </c>
      <c r="C122" s="67">
        <v>45806</v>
      </c>
      <c r="D122" s="67" t="s">
        <v>451</v>
      </c>
      <c r="E122" s="64" t="s">
        <v>452</v>
      </c>
      <c r="F122" s="27" t="s">
        <v>450</v>
      </c>
      <c r="G122" s="27" t="s">
        <v>438</v>
      </c>
      <c r="H122" s="68">
        <v>200000</v>
      </c>
      <c r="I122" s="69"/>
      <c r="J122" s="68"/>
      <c r="K122" s="68">
        <v>2</v>
      </c>
      <c r="L122" s="70">
        <f t="shared" si="5"/>
        <v>200000</v>
      </c>
      <c r="M122" s="66"/>
    </row>
    <row r="123" spans="1:13" ht="47.25" x14ac:dyDescent="0.25">
      <c r="A123" s="16">
        <v>13</v>
      </c>
      <c r="B123" s="64">
        <v>421</v>
      </c>
      <c r="C123" s="67">
        <v>45806</v>
      </c>
      <c r="D123" s="67" t="s">
        <v>453</v>
      </c>
      <c r="E123" s="64" t="s">
        <v>454</v>
      </c>
      <c r="F123" s="27" t="s">
        <v>455</v>
      </c>
      <c r="G123" s="27" t="s">
        <v>456</v>
      </c>
      <c r="H123" s="68"/>
      <c r="I123" s="69"/>
      <c r="J123" s="68"/>
      <c r="K123" s="68">
        <v>2</v>
      </c>
      <c r="L123" s="70">
        <f t="shared" si="5"/>
        <v>0</v>
      </c>
      <c r="M123" s="66"/>
    </row>
    <row r="124" spans="1:13" ht="47.25" x14ac:dyDescent="0.25">
      <c r="A124" s="16">
        <v>14</v>
      </c>
      <c r="B124" s="64">
        <v>422</v>
      </c>
      <c r="C124" s="67">
        <v>45806</v>
      </c>
      <c r="D124" s="67" t="s">
        <v>457</v>
      </c>
      <c r="E124" s="64" t="s">
        <v>458</v>
      </c>
      <c r="F124" s="27" t="s">
        <v>455</v>
      </c>
      <c r="G124" s="27" t="s">
        <v>456</v>
      </c>
      <c r="H124" s="68"/>
      <c r="I124" s="69"/>
      <c r="J124" s="68"/>
      <c r="K124" s="68">
        <v>2</v>
      </c>
      <c r="L124" s="70">
        <f t="shared" si="5"/>
        <v>0</v>
      </c>
      <c r="M124" s="66"/>
    </row>
    <row r="125" spans="1:13" ht="47.25" x14ac:dyDescent="0.25">
      <c r="A125" s="16">
        <v>15</v>
      </c>
      <c r="B125" s="64">
        <v>423</v>
      </c>
      <c r="C125" s="67">
        <v>45806</v>
      </c>
      <c r="D125" s="67" t="s">
        <v>398</v>
      </c>
      <c r="E125" s="64" t="s">
        <v>378</v>
      </c>
      <c r="F125" s="27" t="s">
        <v>459</v>
      </c>
      <c r="G125" s="27" t="s">
        <v>456</v>
      </c>
      <c r="H125" s="68"/>
      <c r="I125" s="69"/>
      <c r="J125" s="68"/>
      <c r="K125" s="68">
        <v>2</v>
      </c>
      <c r="L125" s="70">
        <f t="shared" si="5"/>
        <v>0</v>
      </c>
      <c r="M125" s="66"/>
    </row>
    <row r="126" spans="1:13" ht="47.25" x14ac:dyDescent="0.25">
      <c r="A126" s="16">
        <v>16</v>
      </c>
      <c r="B126" s="64">
        <v>425</v>
      </c>
      <c r="C126" s="67">
        <v>45808</v>
      </c>
      <c r="D126" s="67" t="s">
        <v>279</v>
      </c>
      <c r="E126" s="64" t="s">
        <v>280</v>
      </c>
      <c r="F126" s="27" t="s">
        <v>460</v>
      </c>
      <c r="G126" s="27" t="s">
        <v>461</v>
      </c>
      <c r="H126" s="68">
        <v>300000</v>
      </c>
      <c r="I126" s="69"/>
      <c r="J126" s="68"/>
      <c r="K126" s="68">
        <v>3</v>
      </c>
      <c r="L126" s="70">
        <f t="shared" si="5"/>
        <v>300000</v>
      </c>
      <c r="M126" s="66"/>
    </row>
    <row r="127" spans="1:13" ht="47.25" x14ac:dyDescent="0.25">
      <c r="A127" s="16">
        <v>17</v>
      </c>
      <c r="B127" s="64">
        <v>426</v>
      </c>
      <c r="C127" s="67">
        <v>45808</v>
      </c>
      <c r="D127" s="67" t="s">
        <v>462</v>
      </c>
      <c r="E127" s="64" t="s">
        <v>463</v>
      </c>
      <c r="F127" s="27" t="s">
        <v>464</v>
      </c>
      <c r="G127" s="27" t="s">
        <v>461</v>
      </c>
      <c r="H127" s="68">
        <v>200000</v>
      </c>
      <c r="I127" s="69"/>
      <c r="J127" s="68"/>
      <c r="K127" s="68">
        <v>2</v>
      </c>
      <c r="L127" s="70">
        <f t="shared" si="5"/>
        <v>200000</v>
      </c>
      <c r="M127" s="66"/>
    </row>
    <row r="128" spans="1:13" hidden="1" x14ac:dyDescent="0.25">
      <c r="A128" s="16"/>
      <c r="B128" s="64"/>
      <c r="C128" s="67"/>
      <c r="D128" s="67"/>
      <c r="E128" s="64"/>
      <c r="F128" s="27"/>
      <c r="G128" s="27"/>
      <c r="H128" s="68"/>
      <c r="I128" s="69"/>
      <c r="J128" s="68"/>
      <c r="K128" s="68"/>
      <c r="L128" s="70">
        <f t="shared" si="5"/>
        <v>0</v>
      </c>
      <c r="M128" s="66"/>
    </row>
    <row r="129" spans="1:13" hidden="1" x14ac:dyDescent="0.25">
      <c r="A129" s="16"/>
      <c r="B129" s="64"/>
      <c r="C129" s="67"/>
      <c r="D129" s="67"/>
      <c r="E129" s="64"/>
      <c r="F129" s="27"/>
      <c r="G129" s="27"/>
      <c r="H129" s="68"/>
      <c r="I129" s="69"/>
      <c r="J129" s="68"/>
      <c r="K129" s="68"/>
      <c r="L129" s="70">
        <f t="shared" si="5"/>
        <v>0</v>
      </c>
      <c r="M129" s="66"/>
    </row>
    <row r="130" spans="1:13" hidden="1" x14ac:dyDescent="0.25">
      <c r="A130" s="16"/>
      <c r="B130" s="64"/>
      <c r="C130" s="67"/>
      <c r="D130" s="67"/>
      <c r="E130" s="64"/>
      <c r="F130" s="27"/>
      <c r="G130" s="27"/>
      <c r="H130" s="68"/>
      <c r="I130" s="69"/>
      <c r="J130" s="68"/>
      <c r="K130" s="68"/>
      <c r="L130" s="70">
        <f t="shared" si="5"/>
        <v>0</v>
      </c>
      <c r="M130" s="66"/>
    </row>
    <row r="131" spans="1:13" hidden="1" x14ac:dyDescent="0.25">
      <c r="A131" s="16"/>
      <c r="B131" s="64"/>
      <c r="C131" s="67"/>
      <c r="D131" s="67"/>
      <c r="E131" s="64"/>
      <c r="F131" s="27"/>
      <c r="G131" s="27"/>
      <c r="H131" s="68"/>
      <c r="I131" s="69"/>
      <c r="J131" s="68"/>
      <c r="K131" s="68"/>
      <c r="L131" s="70">
        <f t="shared" si="5"/>
        <v>0</v>
      </c>
      <c r="M131" s="66"/>
    </row>
    <row r="132" spans="1:13" hidden="1" x14ac:dyDescent="0.25">
      <c r="A132" s="16"/>
      <c r="B132" s="64"/>
      <c r="C132" s="67"/>
      <c r="D132" s="67"/>
      <c r="E132" s="64"/>
      <c r="F132" s="27"/>
      <c r="G132" s="27"/>
      <c r="H132" s="68"/>
      <c r="I132" s="69"/>
      <c r="J132" s="68"/>
      <c r="K132" s="68"/>
      <c r="L132" s="70">
        <f>H132+J132</f>
        <v>0</v>
      </c>
      <c r="M132" s="66"/>
    </row>
    <row r="133" spans="1:13" x14ac:dyDescent="0.25">
      <c r="A133" s="191" t="s">
        <v>30</v>
      </c>
      <c r="B133" s="191"/>
      <c r="C133" s="191"/>
      <c r="D133" s="191"/>
      <c r="E133" s="191"/>
      <c r="F133" s="191"/>
      <c r="G133" s="191"/>
      <c r="H133" s="72">
        <f>SUM(H112:H132)</f>
        <v>4100000</v>
      </c>
      <c r="I133" s="72"/>
      <c r="J133" s="72">
        <f>SUM(J112:J132)</f>
        <v>0</v>
      </c>
      <c r="K133" s="72"/>
      <c r="L133" s="72">
        <f>SUM(L112:L132)</f>
        <v>4100000</v>
      </c>
      <c r="M133" s="27"/>
    </row>
    <row r="134" spans="1:13" x14ac:dyDescent="0.25">
      <c r="A134" s="192" t="s">
        <v>18</v>
      </c>
      <c r="B134" s="192"/>
      <c r="C134" s="192"/>
      <c r="D134" s="80" t="e">
        <f ca="1">[2]!vnd(L133)</f>
        <v>#NAME?</v>
      </c>
      <c r="E134" s="17"/>
      <c r="F134" s="11"/>
      <c r="G134" s="85"/>
      <c r="H134" s="12"/>
      <c r="I134" s="12"/>
      <c r="J134" s="12"/>
      <c r="K134" s="12"/>
      <c r="L134" s="12"/>
      <c r="M134" s="13"/>
    </row>
    <row r="135" spans="1:13" x14ac:dyDescent="0.25">
      <c r="A135" s="13"/>
      <c r="B135" s="13"/>
      <c r="C135" s="13"/>
      <c r="D135" s="13"/>
      <c r="E135" s="11"/>
      <c r="F135" s="11"/>
      <c r="G135" s="11"/>
      <c r="H135" s="12"/>
      <c r="I135" s="12"/>
      <c r="J135" s="12"/>
      <c r="K135" s="12"/>
      <c r="L135" s="12"/>
      <c r="M135" s="13"/>
    </row>
    <row r="136" spans="1:13" x14ac:dyDescent="0.25">
      <c r="A136" s="86"/>
      <c r="B136" s="175" t="s">
        <v>34</v>
      </c>
      <c r="C136" s="175"/>
      <c r="D136" s="175"/>
      <c r="E136" s="175"/>
      <c r="F136" s="74"/>
      <c r="G136" s="74"/>
      <c r="H136" s="14"/>
      <c r="I136" s="14"/>
      <c r="J136" s="175" t="s">
        <v>4</v>
      </c>
      <c r="K136" s="175"/>
      <c r="L136" s="175"/>
      <c r="M136" s="175"/>
    </row>
    <row r="137" spans="1:13" x14ac:dyDescent="0.25">
      <c r="A137" s="13"/>
      <c r="B137" s="13"/>
      <c r="C137" s="13"/>
      <c r="D137" s="13"/>
      <c r="E137" s="11"/>
      <c r="F137" s="11"/>
      <c r="G137" s="11"/>
      <c r="H137" s="12"/>
      <c r="I137" s="12"/>
      <c r="J137" s="12"/>
      <c r="K137" s="12"/>
      <c r="L137" s="12"/>
      <c r="M137" s="13"/>
    </row>
    <row r="138" spans="1:13" x14ac:dyDescent="0.25">
      <c r="A138" s="13"/>
      <c r="B138" s="13"/>
      <c r="C138" s="13"/>
      <c r="D138" s="13"/>
      <c r="E138" s="11"/>
      <c r="F138" s="11"/>
      <c r="G138" s="11"/>
      <c r="H138" s="12"/>
      <c r="I138" s="12"/>
      <c r="J138" s="12"/>
      <c r="K138" s="12"/>
      <c r="L138" s="12"/>
      <c r="M138" s="13"/>
    </row>
    <row r="139" spans="1:13" x14ac:dyDescent="0.25">
      <c r="A139" s="13"/>
      <c r="B139" s="13"/>
      <c r="C139" s="13"/>
      <c r="D139" s="13"/>
      <c r="E139" s="11"/>
      <c r="F139" s="11"/>
      <c r="G139" s="11"/>
      <c r="H139" s="12"/>
      <c r="I139" s="12"/>
      <c r="J139" s="12"/>
      <c r="K139" s="12"/>
      <c r="L139" s="12"/>
      <c r="M139" s="13"/>
    </row>
    <row r="140" spans="1:13" x14ac:dyDescent="0.25">
      <c r="A140" s="13"/>
      <c r="B140" s="176" t="s">
        <v>64</v>
      </c>
      <c r="C140" s="176"/>
      <c r="D140" s="176"/>
      <c r="E140" s="176"/>
      <c r="F140" s="11"/>
      <c r="G140" s="15"/>
      <c r="H140" s="12"/>
      <c r="I140" s="12"/>
      <c r="J140" s="176" t="s">
        <v>197</v>
      </c>
      <c r="K140" s="176"/>
      <c r="L140" s="176"/>
      <c r="M140" s="176"/>
    </row>
    <row r="145" spans="1:13" x14ac:dyDescent="0.25">
      <c r="E145" s="30" t="s">
        <v>5</v>
      </c>
      <c r="F145" s="87"/>
      <c r="G145" s="187" t="s">
        <v>1</v>
      </c>
      <c r="H145" s="187"/>
      <c r="I145" s="187"/>
      <c r="J145" s="187"/>
      <c r="K145" s="187"/>
      <c r="L145" s="187"/>
      <c r="M145" s="187"/>
    </row>
    <row r="146" spans="1:13" x14ac:dyDescent="0.25">
      <c r="E146" s="30" t="s">
        <v>6</v>
      </c>
      <c r="F146" s="87"/>
      <c r="G146" s="188" t="s">
        <v>2</v>
      </c>
      <c r="H146" s="188"/>
      <c r="I146" s="188"/>
      <c r="J146" s="188"/>
      <c r="K146" s="188"/>
      <c r="L146" s="188"/>
      <c r="M146" s="188"/>
    </row>
    <row r="147" spans="1:13" x14ac:dyDescent="0.25">
      <c r="A147" s="4"/>
      <c r="B147" s="4"/>
      <c r="C147" s="4"/>
      <c r="D147" s="4"/>
      <c r="E147" s="4"/>
      <c r="F147" s="6"/>
      <c r="G147" s="6"/>
      <c r="H147" s="189" t="s">
        <v>601</v>
      </c>
      <c r="I147" s="189"/>
      <c r="J147" s="189"/>
      <c r="K147" s="189"/>
      <c r="L147" s="189"/>
      <c r="M147" s="189"/>
    </row>
    <row r="148" spans="1:13" ht="18.75" x14ac:dyDescent="0.25">
      <c r="A148" s="190" t="s">
        <v>522</v>
      </c>
      <c r="B148" s="190"/>
      <c r="C148" s="190"/>
      <c r="D148" s="190"/>
      <c r="E148" s="190"/>
      <c r="F148" s="190"/>
      <c r="G148" s="190"/>
      <c r="H148" s="190"/>
      <c r="I148" s="190"/>
      <c r="J148" s="190"/>
      <c r="K148" s="190"/>
      <c r="L148" s="190"/>
      <c r="M148" s="190"/>
    </row>
    <row r="149" spans="1:13" ht="31.5" x14ac:dyDescent="0.25">
      <c r="A149" s="77" t="s">
        <v>7</v>
      </c>
      <c r="B149" s="77" t="s">
        <v>8</v>
      </c>
      <c r="C149" s="77" t="s">
        <v>9</v>
      </c>
      <c r="D149" s="77" t="s">
        <v>31</v>
      </c>
      <c r="E149" s="77" t="s">
        <v>10</v>
      </c>
      <c r="F149" s="77" t="s">
        <v>11</v>
      </c>
      <c r="G149" s="77" t="s">
        <v>12</v>
      </c>
      <c r="H149" s="78" t="s">
        <v>13</v>
      </c>
      <c r="I149" s="77" t="s">
        <v>14</v>
      </c>
      <c r="J149" s="78" t="s">
        <v>15</v>
      </c>
      <c r="K149" s="117" t="s">
        <v>90</v>
      </c>
      <c r="L149" s="79" t="s">
        <v>16</v>
      </c>
      <c r="M149" s="9" t="s">
        <v>20</v>
      </c>
    </row>
    <row r="150" spans="1:13" ht="94.5" x14ac:dyDescent="0.25">
      <c r="A150" s="16">
        <v>1</v>
      </c>
      <c r="B150" s="64">
        <v>492</v>
      </c>
      <c r="C150" s="65">
        <v>45819</v>
      </c>
      <c r="D150" s="67" t="s">
        <v>524</v>
      </c>
      <c r="E150" s="64" t="s">
        <v>523</v>
      </c>
      <c r="F150" s="64" t="s">
        <v>525</v>
      </c>
      <c r="G150" s="27" t="s">
        <v>526</v>
      </c>
      <c r="H150" s="61"/>
      <c r="I150" s="62"/>
      <c r="J150" s="61"/>
      <c r="K150" s="61">
        <v>6</v>
      </c>
      <c r="L150" s="63">
        <f t="shared" ref="L150:L169" si="6">H150+J150</f>
        <v>0</v>
      </c>
      <c r="M150" s="27"/>
    </row>
    <row r="151" spans="1:13" ht="94.5" x14ac:dyDescent="0.25">
      <c r="A151" s="16">
        <v>2</v>
      </c>
      <c r="B151" s="64">
        <v>493</v>
      </c>
      <c r="C151" s="65">
        <v>45819</v>
      </c>
      <c r="D151" s="67" t="s">
        <v>528</v>
      </c>
      <c r="E151" s="64" t="s">
        <v>527</v>
      </c>
      <c r="F151" s="64" t="s">
        <v>529</v>
      </c>
      <c r="G151" s="27" t="s">
        <v>526</v>
      </c>
      <c r="H151" s="61"/>
      <c r="I151" s="62"/>
      <c r="J151" s="61"/>
      <c r="K151" s="61">
        <v>6</v>
      </c>
      <c r="L151" s="63">
        <f t="shared" si="6"/>
        <v>0</v>
      </c>
      <c r="M151" s="27"/>
    </row>
    <row r="152" spans="1:13" ht="94.5" x14ac:dyDescent="0.25">
      <c r="A152" s="16">
        <v>3</v>
      </c>
      <c r="B152" s="64">
        <v>494</v>
      </c>
      <c r="C152" s="65">
        <v>45819</v>
      </c>
      <c r="D152" s="67" t="s">
        <v>531</v>
      </c>
      <c r="E152" s="64" t="s">
        <v>530</v>
      </c>
      <c r="F152" s="64" t="s">
        <v>532</v>
      </c>
      <c r="G152" s="27" t="s">
        <v>526</v>
      </c>
      <c r="H152" s="61"/>
      <c r="I152" s="62"/>
      <c r="J152" s="61"/>
      <c r="K152" s="61">
        <v>6</v>
      </c>
      <c r="L152" s="63">
        <f t="shared" si="6"/>
        <v>0</v>
      </c>
      <c r="M152" s="27"/>
    </row>
    <row r="153" spans="1:13" ht="94.5" x14ac:dyDescent="0.25">
      <c r="A153" s="16">
        <v>4</v>
      </c>
      <c r="B153" s="64">
        <v>495</v>
      </c>
      <c r="C153" s="65">
        <v>45819</v>
      </c>
      <c r="D153" s="67" t="s">
        <v>534</v>
      </c>
      <c r="E153" s="64" t="s">
        <v>533</v>
      </c>
      <c r="F153" s="64" t="s">
        <v>535</v>
      </c>
      <c r="G153" s="27" t="s">
        <v>526</v>
      </c>
      <c r="H153" s="61"/>
      <c r="I153" s="62"/>
      <c r="J153" s="61"/>
      <c r="K153" s="118">
        <v>10</v>
      </c>
      <c r="L153" s="63">
        <f t="shared" si="6"/>
        <v>0</v>
      </c>
      <c r="M153" s="66"/>
    </row>
    <row r="154" spans="1:13" ht="63" x14ac:dyDescent="0.25">
      <c r="A154" s="16">
        <v>5</v>
      </c>
      <c r="B154" s="64">
        <v>512</v>
      </c>
      <c r="C154" s="67">
        <v>45826</v>
      </c>
      <c r="D154" s="67"/>
      <c r="E154" s="64" t="s">
        <v>536</v>
      </c>
      <c r="F154" s="27" t="s">
        <v>537</v>
      </c>
      <c r="G154" s="27" t="s">
        <v>538</v>
      </c>
      <c r="H154" s="68"/>
      <c r="I154" s="69"/>
      <c r="J154" s="68"/>
      <c r="K154" s="68">
        <v>10</v>
      </c>
      <c r="L154" s="70">
        <f t="shared" si="6"/>
        <v>0</v>
      </c>
      <c r="M154" s="66"/>
    </row>
    <row r="155" spans="1:13" ht="47.25" x14ac:dyDescent="0.25">
      <c r="A155" s="16">
        <v>6</v>
      </c>
      <c r="B155" s="64">
        <v>555</v>
      </c>
      <c r="C155" s="67">
        <v>45838</v>
      </c>
      <c r="D155" s="67" t="s">
        <v>540</v>
      </c>
      <c r="E155" s="64" t="s">
        <v>539</v>
      </c>
      <c r="F155" s="27" t="s">
        <v>541</v>
      </c>
      <c r="G155" s="27" t="s">
        <v>542</v>
      </c>
      <c r="H155" s="68">
        <v>500000</v>
      </c>
      <c r="I155" s="69"/>
      <c r="J155" s="68"/>
      <c r="K155" s="68">
        <v>20</v>
      </c>
      <c r="L155" s="70">
        <f t="shared" si="6"/>
        <v>500000</v>
      </c>
      <c r="M155" s="66"/>
    </row>
    <row r="156" spans="1:13" ht="47.25" x14ac:dyDescent="0.25">
      <c r="A156" s="16">
        <v>7</v>
      </c>
      <c r="B156" s="64">
        <v>556</v>
      </c>
      <c r="C156" s="67">
        <v>45838</v>
      </c>
      <c r="D156" s="67" t="s">
        <v>453</v>
      </c>
      <c r="E156" s="64" t="s">
        <v>454</v>
      </c>
      <c r="F156" s="27" t="s">
        <v>543</v>
      </c>
      <c r="G156" s="27" t="s">
        <v>544</v>
      </c>
      <c r="H156" s="68"/>
      <c r="I156" s="69"/>
      <c r="J156" s="68"/>
      <c r="K156" s="68">
        <v>5</v>
      </c>
      <c r="L156" s="70">
        <f t="shared" si="6"/>
        <v>0</v>
      </c>
      <c r="M156" s="66"/>
    </row>
    <row r="157" spans="1:13" ht="47.45" customHeight="1" x14ac:dyDescent="0.25">
      <c r="A157" s="16">
        <v>8</v>
      </c>
      <c r="B157" s="64">
        <v>557</v>
      </c>
      <c r="C157" s="67">
        <v>45838</v>
      </c>
      <c r="D157" s="67" t="s">
        <v>546</v>
      </c>
      <c r="E157" s="64" t="s">
        <v>545</v>
      </c>
      <c r="F157" s="27" t="s">
        <v>547</v>
      </c>
      <c r="G157" s="27" t="s">
        <v>548</v>
      </c>
      <c r="H157" s="68">
        <v>500000</v>
      </c>
      <c r="I157" s="69"/>
      <c r="J157" s="68"/>
      <c r="K157" s="68">
        <v>14</v>
      </c>
      <c r="L157" s="70">
        <f t="shared" si="6"/>
        <v>500000</v>
      </c>
      <c r="M157" s="66"/>
    </row>
    <row r="158" spans="1:13" hidden="1" x14ac:dyDescent="0.25">
      <c r="A158" s="16">
        <v>10</v>
      </c>
      <c r="B158" s="64"/>
      <c r="C158" s="67"/>
      <c r="D158" s="67"/>
      <c r="E158" s="64"/>
      <c r="F158" s="27"/>
      <c r="G158" s="27"/>
      <c r="H158" s="68"/>
      <c r="I158" s="69"/>
      <c r="J158" s="68"/>
      <c r="K158" s="68"/>
      <c r="L158" s="70">
        <f t="shared" si="6"/>
        <v>0</v>
      </c>
      <c r="M158" s="66"/>
    </row>
    <row r="159" spans="1:13" hidden="1" x14ac:dyDescent="0.25">
      <c r="A159" s="16">
        <v>11</v>
      </c>
      <c r="B159" s="64"/>
      <c r="C159" s="67"/>
      <c r="D159" s="67"/>
      <c r="E159" s="64"/>
      <c r="F159" s="27"/>
      <c r="G159" s="27"/>
      <c r="H159" s="68"/>
      <c r="I159" s="69"/>
      <c r="J159" s="68"/>
      <c r="K159" s="68"/>
      <c r="L159" s="70">
        <f t="shared" si="6"/>
        <v>0</v>
      </c>
      <c r="M159" s="66"/>
    </row>
    <row r="160" spans="1:13" hidden="1" x14ac:dyDescent="0.25">
      <c r="A160" s="16"/>
      <c r="B160" s="64"/>
      <c r="C160" s="67"/>
      <c r="D160" s="67"/>
      <c r="E160" s="64"/>
      <c r="F160" s="27"/>
      <c r="G160" s="27"/>
      <c r="H160" s="68"/>
      <c r="I160" s="69"/>
      <c r="J160" s="68"/>
      <c r="K160" s="68"/>
      <c r="L160" s="70">
        <f t="shared" si="6"/>
        <v>0</v>
      </c>
      <c r="M160" s="66"/>
    </row>
    <row r="161" spans="1:13" hidden="1" x14ac:dyDescent="0.25">
      <c r="A161" s="16"/>
      <c r="B161" s="64"/>
      <c r="C161" s="67"/>
      <c r="D161" s="67"/>
      <c r="E161" s="64"/>
      <c r="F161" s="27"/>
      <c r="G161" s="27"/>
      <c r="H161" s="68"/>
      <c r="I161" s="69"/>
      <c r="J161" s="68"/>
      <c r="K161" s="68"/>
      <c r="L161" s="70">
        <f t="shared" si="6"/>
        <v>0</v>
      </c>
      <c r="M161" s="66"/>
    </row>
    <row r="162" spans="1:13" hidden="1" x14ac:dyDescent="0.25">
      <c r="A162" s="16"/>
      <c r="B162" s="64"/>
      <c r="C162" s="67"/>
      <c r="D162" s="67"/>
      <c r="E162" s="64"/>
      <c r="F162" s="27"/>
      <c r="G162" s="27"/>
      <c r="H162" s="68"/>
      <c r="I162" s="69"/>
      <c r="J162" s="68"/>
      <c r="K162" s="68"/>
      <c r="L162" s="70">
        <f t="shared" si="6"/>
        <v>0</v>
      </c>
      <c r="M162" s="66"/>
    </row>
    <row r="163" spans="1:13" hidden="1" x14ac:dyDescent="0.25">
      <c r="A163" s="16"/>
      <c r="B163" s="64"/>
      <c r="C163" s="67"/>
      <c r="D163" s="67"/>
      <c r="E163" s="64"/>
      <c r="F163" s="27"/>
      <c r="G163" s="27"/>
      <c r="H163" s="68"/>
      <c r="I163" s="69"/>
      <c r="J163" s="68"/>
      <c r="K163" s="68"/>
      <c r="L163" s="70">
        <f t="shared" si="6"/>
        <v>0</v>
      </c>
      <c r="M163" s="66"/>
    </row>
    <row r="164" spans="1:13" hidden="1" x14ac:dyDescent="0.25">
      <c r="A164" s="16"/>
      <c r="B164" s="64"/>
      <c r="C164" s="67"/>
      <c r="D164" s="67"/>
      <c r="E164" s="64"/>
      <c r="F164" s="27"/>
      <c r="G164" s="27"/>
      <c r="H164" s="68"/>
      <c r="I164" s="69"/>
      <c r="J164" s="68"/>
      <c r="K164" s="68"/>
      <c r="L164" s="70">
        <f t="shared" si="6"/>
        <v>0</v>
      </c>
      <c r="M164" s="66"/>
    </row>
    <row r="165" spans="1:13" hidden="1" x14ac:dyDescent="0.25">
      <c r="A165" s="16"/>
      <c r="B165" s="64"/>
      <c r="C165" s="67"/>
      <c r="D165" s="67"/>
      <c r="E165" s="64"/>
      <c r="F165" s="27"/>
      <c r="G165" s="27"/>
      <c r="H165" s="68"/>
      <c r="I165" s="69"/>
      <c r="J165" s="68"/>
      <c r="K165" s="68"/>
      <c r="L165" s="70">
        <f t="shared" si="6"/>
        <v>0</v>
      </c>
      <c r="M165" s="66"/>
    </row>
    <row r="166" spans="1:13" hidden="1" x14ac:dyDescent="0.25">
      <c r="A166" s="16"/>
      <c r="B166" s="64"/>
      <c r="C166" s="67"/>
      <c r="D166" s="67"/>
      <c r="E166" s="64"/>
      <c r="F166" s="27"/>
      <c r="G166" s="27"/>
      <c r="H166" s="68"/>
      <c r="I166" s="69"/>
      <c r="J166" s="68"/>
      <c r="K166" s="68"/>
      <c r="L166" s="70">
        <f t="shared" si="6"/>
        <v>0</v>
      </c>
      <c r="M166" s="66"/>
    </row>
    <row r="167" spans="1:13" hidden="1" x14ac:dyDescent="0.25">
      <c r="A167" s="16"/>
      <c r="B167" s="64"/>
      <c r="C167" s="67"/>
      <c r="D167" s="67"/>
      <c r="E167" s="64"/>
      <c r="F167" s="27"/>
      <c r="G167" s="27"/>
      <c r="H167" s="68"/>
      <c r="I167" s="69"/>
      <c r="J167" s="68"/>
      <c r="K167" s="68"/>
      <c r="L167" s="70">
        <f t="shared" si="6"/>
        <v>0</v>
      </c>
      <c r="M167" s="66"/>
    </row>
    <row r="168" spans="1:13" hidden="1" x14ac:dyDescent="0.25">
      <c r="A168" s="16"/>
      <c r="B168" s="64"/>
      <c r="C168" s="67"/>
      <c r="D168" s="67"/>
      <c r="E168" s="64"/>
      <c r="F168" s="27"/>
      <c r="G168" s="27"/>
      <c r="H168" s="68"/>
      <c r="I168" s="69"/>
      <c r="J168" s="68"/>
      <c r="K168" s="68"/>
      <c r="L168" s="70">
        <f t="shared" si="6"/>
        <v>0</v>
      </c>
      <c r="M168" s="66"/>
    </row>
    <row r="169" spans="1:13" hidden="1" x14ac:dyDescent="0.25">
      <c r="A169" s="16"/>
      <c r="B169" s="64"/>
      <c r="C169" s="67"/>
      <c r="D169" s="67"/>
      <c r="E169" s="64"/>
      <c r="F169" s="27"/>
      <c r="G169" s="27"/>
      <c r="H169" s="68"/>
      <c r="I169" s="69"/>
      <c r="J169" s="68"/>
      <c r="K169" s="68"/>
      <c r="L169" s="70">
        <f t="shared" si="6"/>
        <v>0</v>
      </c>
      <c r="M169" s="66"/>
    </row>
    <row r="170" spans="1:13" hidden="1" x14ac:dyDescent="0.25">
      <c r="A170" s="16"/>
      <c r="B170" s="64"/>
      <c r="C170" s="67"/>
      <c r="D170" s="67"/>
      <c r="E170" s="64"/>
      <c r="F170" s="27"/>
      <c r="G170" s="27"/>
      <c r="H170" s="68"/>
      <c r="I170" s="69"/>
      <c r="J170" s="68"/>
      <c r="K170" s="68"/>
      <c r="L170" s="70">
        <f>H170+J170</f>
        <v>0</v>
      </c>
      <c r="M170" s="66"/>
    </row>
    <row r="171" spans="1:13" x14ac:dyDescent="0.25">
      <c r="A171" s="191" t="s">
        <v>30</v>
      </c>
      <c r="B171" s="191"/>
      <c r="C171" s="191"/>
      <c r="D171" s="191"/>
      <c r="E171" s="191"/>
      <c r="F171" s="191"/>
      <c r="G171" s="191"/>
      <c r="H171" s="72">
        <f>SUM(H150:H170)</f>
        <v>1000000</v>
      </c>
      <c r="I171" s="72"/>
      <c r="J171" s="72">
        <f>SUM(J150:J170)</f>
        <v>0</v>
      </c>
      <c r="K171" s="72">
        <f>SUM(K150:K170)</f>
        <v>77</v>
      </c>
      <c r="L171" s="72">
        <f>SUM(L150:L170)</f>
        <v>1000000</v>
      </c>
      <c r="M171" s="27"/>
    </row>
    <row r="172" spans="1:13" x14ac:dyDescent="0.25">
      <c r="A172" s="192" t="s">
        <v>18</v>
      </c>
      <c r="B172" s="192"/>
      <c r="C172" s="192"/>
      <c r="D172" s="80" t="e">
        <f ca="1">[2]!vnd(L171)</f>
        <v>#NAME?</v>
      </c>
      <c r="E172" s="17"/>
      <c r="F172" s="11"/>
      <c r="G172" s="85"/>
      <c r="H172" s="12"/>
      <c r="I172" s="12"/>
      <c r="J172" s="12"/>
      <c r="K172" s="12"/>
      <c r="L172" s="12"/>
      <c r="M172" s="13"/>
    </row>
    <row r="173" spans="1:13" ht="9" customHeight="1" x14ac:dyDescent="0.25">
      <c r="A173" s="13"/>
      <c r="B173" s="13"/>
      <c r="C173" s="13"/>
      <c r="D173" s="13"/>
      <c r="E173" s="11"/>
      <c r="F173" s="11"/>
      <c r="G173" s="11"/>
      <c r="H173" s="12"/>
      <c r="I173" s="12"/>
      <c r="J173" s="12"/>
      <c r="K173" s="12"/>
      <c r="L173" s="12"/>
      <c r="M173" s="13"/>
    </row>
    <row r="174" spans="1:13" x14ac:dyDescent="0.25">
      <c r="A174" s="86"/>
      <c r="B174" s="175" t="s">
        <v>34</v>
      </c>
      <c r="C174" s="175"/>
      <c r="D174" s="175"/>
      <c r="E174" s="175"/>
      <c r="F174" s="74"/>
      <c r="G174" s="74"/>
      <c r="H174" s="14"/>
      <c r="I174" s="14"/>
      <c r="J174" s="175" t="s">
        <v>4</v>
      </c>
      <c r="K174" s="175"/>
      <c r="L174" s="175"/>
      <c r="M174" s="175"/>
    </row>
    <row r="175" spans="1:13" x14ac:dyDescent="0.25">
      <c r="A175" s="13"/>
      <c r="B175" s="13"/>
      <c r="C175" s="13"/>
      <c r="D175" s="13"/>
      <c r="E175" s="11"/>
      <c r="F175" s="11"/>
      <c r="G175" s="11"/>
      <c r="H175" s="12"/>
      <c r="I175" s="12"/>
      <c r="J175" s="12"/>
      <c r="K175" s="12"/>
      <c r="L175" s="12"/>
      <c r="M175" s="13"/>
    </row>
    <row r="176" spans="1:13" x14ac:dyDescent="0.25">
      <c r="A176" s="13"/>
      <c r="B176" s="13"/>
      <c r="C176" s="13"/>
      <c r="D176" s="13"/>
      <c r="E176" s="11"/>
      <c r="F176" s="11"/>
      <c r="G176" s="11"/>
      <c r="H176" s="12"/>
      <c r="I176" s="12"/>
      <c r="J176" s="12"/>
      <c r="K176" s="12"/>
      <c r="L176" s="12"/>
      <c r="M176" s="13"/>
    </row>
    <row r="177" spans="1:13" x14ac:dyDescent="0.25">
      <c r="A177" s="13"/>
      <c r="B177" s="176" t="s">
        <v>64</v>
      </c>
      <c r="C177" s="176"/>
      <c r="D177" s="176"/>
      <c r="E177" s="176"/>
      <c r="F177" s="11"/>
      <c r="G177" s="15"/>
      <c r="H177" s="12"/>
      <c r="I177" s="12"/>
      <c r="J177" s="176" t="s">
        <v>197</v>
      </c>
      <c r="K177" s="176"/>
      <c r="L177" s="176"/>
      <c r="M177" s="176"/>
    </row>
    <row r="182" spans="1:13" x14ac:dyDescent="0.25">
      <c r="E182" s="30" t="s">
        <v>5</v>
      </c>
      <c r="F182" s="87"/>
      <c r="G182" s="187" t="s">
        <v>1</v>
      </c>
      <c r="H182" s="187"/>
      <c r="I182" s="187"/>
      <c r="J182" s="187"/>
      <c r="K182" s="187"/>
      <c r="L182" s="187"/>
      <c r="M182" s="187"/>
    </row>
    <row r="183" spans="1:13" x14ac:dyDescent="0.25">
      <c r="E183" s="30" t="s">
        <v>6</v>
      </c>
      <c r="F183" s="87"/>
      <c r="G183" s="188" t="s">
        <v>2</v>
      </c>
      <c r="H183" s="188"/>
      <c r="I183" s="188"/>
      <c r="J183" s="188"/>
      <c r="K183" s="188"/>
      <c r="L183" s="188"/>
      <c r="M183" s="188"/>
    </row>
    <row r="184" spans="1:13" x14ac:dyDescent="0.25">
      <c r="A184" s="4"/>
      <c r="B184" s="4"/>
      <c r="C184" s="4"/>
      <c r="D184" s="4"/>
      <c r="E184" s="4"/>
      <c r="F184" s="6"/>
      <c r="G184" s="6"/>
      <c r="H184" s="189" t="s">
        <v>626</v>
      </c>
      <c r="I184" s="189"/>
      <c r="J184" s="189"/>
      <c r="K184" s="189"/>
      <c r="L184" s="189"/>
      <c r="M184" s="189"/>
    </row>
    <row r="185" spans="1:13" ht="18.75" x14ac:dyDescent="0.25">
      <c r="A185" s="190" t="s">
        <v>653</v>
      </c>
      <c r="B185" s="190"/>
      <c r="C185" s="190"/>
      <c r="D185" s="190"/>
      <c r="E185" s="190"/>
      <c r="F185" s="190"/>
      <c r="G185" s="190"/>
      <c r="H185" s="190"/>
      <c r="I185" s="190"/>
      <c r="J185" s="190"/>
      <c r="K185" s="190"/>
      <c r="L185" s="190"/>
      <c r="M185" s="190"/>
    </row>
    <row r="186" spans="1:13" ht="31.5" x14ac:dyDescent="0.25">
      <c r="A186" s="77" t="s">
        <v>7</v>
      </c>
      <c r="B186" s="77" t="s">
        <v>8</v>
      </c>
      <c r="C186" s="77" t="s">
        <v>9</v>
      </c>
      <c r="D186" s="77" t="s">
        <v>31</v>
      </c>
      <c r="E186" s="77" t="s">
        <v>10</v>
      </c>
      <c r="F186" s="77" t="s">
        <v>11</v>
      </c>
      <c r="G186" s="77" t="s">
        <v>12</v>
      </c>
      <c r="H186" s="78" t="s">
        <v>13</v>
      </c>
      <c r="I186" s="77" t="s">
        <v>14</v>
      </c>
      <c r="J186" s="78" t="s">
        <v>15</v>
      </c>
      <c r="K186" s="117" t="s">
        <v>90</v>
      </c>
      <c r="L186" s="79" t="s">
        <v>16</v>
      </c>
      <c r="M186" s="9" t="s">
        <v>20</v>
      </c>
    </row>
    <row r="187" spans="1:13" ht="76.150000000000006" customHeight="1" x14ac:dyDescent="0.25">
      <c r="A187" s="16">
        <v>1</v>
      </c>
      <c r="B187" s="64">
        <v>583</v>
      </c>
      <c r="C187" s="65">
        <v>45850</v>
      </c>
      <c r="D187" s="67" t="s">
        <v>654</v>
      </c>
      <c r="E187" s="64" t="s">
        <v>655</v>
      </c>
      <c r="F187" s="64" t="s">
        <v>656</v>
      </c>
      <c r="G187" s="27" t="s">
        <v>657</v>
      </c>
      <c r="H187" s="61">
        <v>1000000</v>
      </c>
      <c r="I187" s="62"/>
      <c r="J187" s="61"/>
      <c r="K187" s="61">
        <v>15</v>
      </c>
      <c r="L187" s="63">
        <f t="shared" ref="L187:L206" si="7">H187+J187</f>
        <v>1000000</v>
      </c>
      <c r="M187" s="27"/>
    </row>
    <row r="188" spans="1:13" ht="46.15" customHeight="1" x14ac:dyDescent="0.25">
      <c r="A188" s="16">
        <v>2</v>
      </c>
      <c r="B188" s="64">
        <v>629</v>
      </c>
      <c r="C188" s="65">
        <v>45854</v>
      </c>
      <c r="D188" s="67" t="s">
        <v>658</v>
      </c>
      <c r="E188" s="64" t="s">
        <v>659</v>
      </c>
      <c r="F188" s="64" t="s">
        <v>660</v>
      </c>
      <c r="G188" s="27" t="s">
        <v>661</v>
      </c>
      <c r="H188" s="61">
        <v>500000</v>
      </c>
      <c r="I188" s="62"/>
      <c r="J188" s="61"/>
      <c r="K188" s="61">
        <v>6</v>
      </c>
      <c r="L188" s="63">
        <f t="shared" si="7"/>
        <v>500000</v>
      </c>
      <c r="M188" s="27"/>
    </row>
    <row r="189" spans="1:13" ht="46.15" customHeight="1" x14ac:dyDescent="0.25">
      <c r="A189" s="16">
        <v>3</v>
      </c>
      <c r="B189" s="64">
        <v>628</v>
      </c>
      <c r="C189" s="65">
        <v>45854</v>
      </c>
      <c r="D189" s="67" t="s">
        <v>662</v>
      </c>
      <c r="E189" s="64" t="s">
        <v>663</v>
      </c>
      <c r="F189" s="64" t="s">
        <v>664</v>
      </c>
      <c r="G189" s="27" t="s">
        <v>665</v>
      </c>
      <c r="H189" s="61">
        <v>500000</v>
      </c>
      <c r="I189" s="62"/>
      <c r="J189" s="61"/>
      <c r="K189" s="61">
        <v>6</v>
      </c>
      <c r="L189" s="63">
        <f t="shared" si="7"/>
        <v>500000</v>
      </c>
      <c r="M189" s="27"/>
    </row>
    <row r="190" spans="1:13" ht="46.15" customHeight="1" x14ac:dyDescent="0.25">
      <c r="A190" s="16">
        <v>4</v>
      </c>
      <c r="B190" s="64">
        <v>627</v>
      </c>
      <c r="C190" s="65">
        <v>45854</v>
      </c>
      <c r="D190" s="67" t="s">
        <v>666</v>
      </c>
      <c r="E190" s="64" t="s">
        <v>667</v>
      </c>
      <c r="F190" s="64" t="s">
        <v>664</v>
      </c>
      <c r="G190" s="27" t="s">
        <v>665</v>
      </c>
      <c r="H190" s="61">
        <v>500000</v>
      </c>
      <c r="I190" s="62"/>
      <c r="J190" s="61"/>
      <c r="K190" s="61">
        <v>6</v>
      </c>
      <c r="L190" s="63">
        <f t="shared" si="7"/>
        <v>500000</v>
      </c>
      <c r="M190" s="66"/>
    </row>
    <row r="191" spans="1:13" ht="60" customHeight="1" x14ac:dyDescent="0.25">
      <c r="A191" s="16">
        <v>5</v>
      </c>
      <c r="B191" s="64">
        <v>622</v>
      </c>
      <c r="C191" s="67">
        <v>45854</v>
      </c>
      <c r="D191" s="67" t="s">
        <v>668</v>
      </c>
      <c r="E191" s="64" t="s">
        <v>669</v>
      </c>
      <c r="F191" s="27" t="s">
        <v>670</v>
      </c>
      <c r="G191" s="27" t="s">
        <v>671</v>
      </c>
      <c r="H191" s="68">
        <v>500000</v>
      </c>
      <c r="I191" s="69"/>
      <c r="J191" s="68"/>
      <c r="K191" s="68">
        <v>13</v>
      </c>
      <c r="L191" s="70">
        <f t="shared" si="7"/>
        <v>500000</v>
      </c>
      <c r="M191" s="66"/>
    </row>
    <row r="192" spans="1:13" ht="60" customHeight="1" x14ac:dyDescent="0.25">
      <c r="A192" s="16">
        <v>6</v>
      </c>
      <c r="B192" s="64">
        <v>621</v>
      </c>
      <c r="C192" s="67">
        <v>45854</v>
      </c>
      <c r="D192" s="67" t="s">
        <v>672</v>
      </c>
      <c r="E192" s="64" t="s">
        <v>673</v>
      </c>
      <c r="F192" s="27" t="s">
        <v>674</v>
      </c>
      <c r="G192" s="27" t="s">
        <v>675</v>
      </c>
      <c r="H192" s="68">
        <v>1000000</v>
      </c>
      <c r="I192" s="69"/>
      <c r="J192" s="68"/>
      <c r="K192" s="68">
        <v>15</v>
      </c>
      <c r="L192" s="70">
        <f t="shared" si="7"/>
        <v>1000000</v>
      </c>
      <c r="M192" s="66"/>
    </row>
    <row r="193" spans="1:13" ht="60" customHeight="1" x14ac:dyDescent="0.25">
      <c r="A193" s="16">
        <v>7</v>
      </c>
      <c r="B193" s="64">
        <v>620</v>
      </c>
      <c r="C193" s="67">
        <v>45854</v>
      </c>
      <c r="D193" s="67" t="s">
        <v>676</v>
      </c>
      <c r="E193" s="64" t="s">
        <v>677</v>
      </c>
      <c r="F193" s="27" t="s">
        <v>678</v>
      </c>
      <c r="G193" s="27" t="s">
        <v>679</v>
      </c>
      <c r="H193" s="68">
        <v>500000</v>
      </c>
      <c r="I193" s="69"/>
      <c r="J193" s="68"/>
      <c r="K193" s="68">
        <v>10</v>
      </c>
      <c r="L193" s="70">
        <f t="shared" si="7"/>
        <v>500000</v>
      </c>
      <c r="M193" s="66"/>
    </row>
    <row r="194" spans="1:13" ht="55.15" customHeight="1" x14ac:dyDescent="0.25">
      <c r="A194" s="16">
        <v>8</v>
      </c>
      <c r="B194" s="64">
        <v>619</v>
      </c>
      <c r="C194" s="67">
        <v>45854</v>
      </c>
      <c r="D194" s="67" t="s">
        <v>431</v>
      </c>
      <c r="E194" s="64" t="s">
        <v>432</v>
      </c>
      <c r="F194" s="27" t="s">
        <v>674</v>
      </c>
      <c r="G194" s="27" t="s">
        <v>680</v>
      </c>
      <c r="H194" s="68">
        <v>1000000</v>
      </c>
      <c r="I194" s="69"/>
      <c r="J194" s="68"/>
      <c r="K194" s="68">
        <v>18</v>
      </c>
      <c r="L194" s="70">
        <f t="shared" si="7"/>
        <v>1000000</v>
      </c>
      <c r="M194" s="66"/>
    </row>
    <row r="195" spans="1:13" ht="55.15" customHeight="1" x14ac:dyDescent="0.25">
      <c r="A195" s="16">
        <v>9</v>
      </c>
      <c r="B195" s="64">
        <v>617</v>
      </c>
      <c r="C195" s="67">
        <v>45854</v>
      </c>
      <c r="D195" s="67" t="s">
        <v>681</v>
      </c>
      <c r="E195" s="64" t="s">
        <v>682</v>
      </c>
      <c r="F195" s="27" t="s">
        <v>683</v>
      </c>
      <c r="G195" s="27" t="s">
        <v>684</v>
      </c>
      <c r="H195" s="68"/>
      <c r="I195" s="69"/>
      <c r="J195" s="68"/>
      <c r="K195" s="68">
        <v>3</v>
      </c>
      <c r="L195" s="70">
        <f t="shared" si="7"/>
        <v>0</v>
      </c>
      <c r="M195" s="66"/>
    </row>
    <row r="196" spans="1:13" ht="55.15" customHeight="1" x14ac:dyDescent="0.25">
      <c r="A196" s="16">
        <v>10</v>
      </c>
      <c r="B196" s="64">
        <v>616</v>
      </c>
      <c r="C196" s="67">
        <v>45854</v>
      </c>
      <c r="D196" s="67" t="s">
        <v>685</v>
      </c>
      <c r="E196" s="64" t="s">
        <v>686</v>
      </c>
      <c r="F196" s="27" t="s">
        <v>683</v>
      </c>
      <c r="G196" s="27" t="s">
        <v>687</v>
      </c>
      <c r="H196" s="68"/>
      <c r="I196" s="69"/>
      <c r="J196" s="68"/>
      <c r="K196" s="68">
        <v>3</v>
      </c>
      <c r="L196" s="70">
        <f t="shared" si="7"/>
        <v>0</v>
      </c>
      <c r="M196" s="66"/>
    </row>
    <row r="197" spans="1:13" ht="55.15" customHeight="1" x14ac:dyDescent="0.25">
      <c r="A197" s="16">
        <v>11</v>
      </c>
      <c r="B197" s="64">
        <v>605</v>
      </c>
      <c r="C197" s="67">
        <v>45854</v>
      </c>
      <c r="D197" s="67" t="s">
        <v>446</v>
      </c>
      <c r="E197" s="64" t="s">
        <v>447</v>
      </c>
      <c r="F197" s="27" t="s">
        <v>688</v>
      </c>
      <c r="G197" s="27" t="s">
        <v>689</v>
      </c>
      <c r="H197" s="68"/>
      <c r="I197" s="69"/>
      <c r="J197" s="68"/>
      <c r="K197" s="68">
        <v>3</v>
      </c>
      <c r="L197" s="70">
        <f t="shared" si="7"/>
        <v>0</v>
      </c>
      <c r="M197" s="66"/>
    </row>
    <row r="198" spans="1:13" ht="63" x14ac:dyDescent="0.25">
      <c r="A198" s="16">
        <v>12</v>
      </c>
      <c r="B198" s="64">
        <v>643</v>
      </c>
      <c r="C198" s="67">
        <v>45867</v>
      </c>
      <c r="D198" s="67" t="s">
        <v>546</v>
      </c>
      <c r="E198" s="64" t="s">
        <v>545</v>
      </c>
      <c r="F198" s="27" t="s">
        <v>690</v>
      </c>
      <c r="G198" s="27" t="s">
        <v>692</v>
      </c>
      <c r="H198" s="68">
        <v>500000</v>
      </c>
      <c r="I198" s="69"/>
      <c r="J198" s="68"/>
      <c r="K198" s="68">
        <v>11</v>
      </c>
      <c r="L198" s="70">
        <f t="shared" si="7"/>
        <v>500000</v>
      </c>
      <c r="M198" s="66"/>
    </row>
    <row r="199" spans="1:13" ht="63" x14ac:dyDescent="0.25">
      <c r="A199" s="16">
        <v>13</v>
      </c>
      <c r="B199" s="64">
        <v>642</v>
      </c>
      <c r="C199" s="67">
        <v>45867</v>
      </c>
      <c r="D199" s="67" t="s">
        <v>331</v>
      </c>
      <c r="E199" s="64" t="s">
        <v>330</v>
      </c>
      <c r="F199" s="27" t="s">
        <v>691</v>
      </c>
      <c r="G199" s="27" t="s">
        <v>692</v>
      </c>
      <c r="H199" s="68">
        <v>500000</v>
      </c>
      <c r="I199" s="69"/>
      <c r="J199" s="68"/>
      <c r="K199" s="68">
        <v>11</v>
      </c>
      <c r="L199" s="70">
        <f t="shared" si="7"/>
        <v>500000</v>
      </c>
      <c r="M199" s="66"/>
    </row>
    <row r="200" spans="1:13" hidden="1" x14ac:dyDescent="0.25">
      <c r="A200" s="16"/>
      <c r="B200" s="64"/>
      <c r="C200" s="67"/>
      <c r="D200" s="67"/>
      <c r="E200" s="64"/>
      <c r="F200" s="27"/>
      <c r="G200" s="27"/>
      <c r="H200" s="68"/>
      <c r="I200" s="69"/>
      <c r="J200" s="68"/>
      <c r="K200" s="68"/>
      <c r="L200" s="70">
        <f t="shared" si="7"/>
        <v>0</v>
      </c>
      <c r="M200" s="66"/>
    </row>
    <row r="201" spans="1:13" hidden="1" x14ac:dyDescent="0.25">
      <c r="A201" s="16"/>
      <c r="B201" s="64"/>
      <c r="C201" s="67"/>
      <c r="D201" s="67"/>
      <c r="E201" s="64"/>
      <c r="F201" s="27"/>
      <c r="G201" s="27"/>
      <c r="H201" s="68"/>
      <c r="I201" s="69"/>
      <c r="J201" s="68"/>
      <c r="K201" s="68"/>
      <c r="L201" s="70">
        <f t="shared" si="7"/>
        <v>0</v>
      </c>
      <c r="M201" s="66"/>
    </row>
    <row r="202" spans="1:13" hidden="1" x14ac:dyDescent="0.25">
      <c r="A202" s="16"/>
      <c r="B202" s="64"/>
      <c r="C202" s="67"/>
      <c r="D202" s="67"/>
      <c r="E202" s="64"/>
      <c r="F202" s="27"/>
      <c r="G202" s="27"/>
      <c r="H202" s="68"/>
      <c r="I202" s="69"/>
      <c r="J202" s="68"/>
      <c r="K202" s="68"/>
      <c r="L202" s="70">
        <f t="shared" si="7"/>
        <v>0</v>
      </c>
      <c r="M202" s="66"/>
    </row>
    <row r="203" spans="1:13" hidden="1" x14ac:dyDescent="0.25">
      <c r="A203" s="16"/>
      <c r="B203" s="64"/>
      <c r="C203" s="67"/>
      <c r="D203" s="67"/>
      <c r="E203" s="64"/>
      <c r="F203" s="27"/>
      <c r="G203" s="27"/>
      <c r="H203" s="68"/>
      <c r="I203" s="69"/>
      <c r="J203" s="68"/>
      <c r="K203" s="68"/>
      <c r="L203" s="70">
        <f t="shared" si="7"/>
        <v>0</v>
      </c>
      <c r="M203" s="66"/>
    </row>
    <row r="204" spans="1:13" hidden="1" x14ac:dyDescent="0.25">
      <c r="A204" s="16"/>
      <c r="B204" s="64"/>
      <c r="C204" s="67"/>
      <c r="D204" s="67"/>
      <c r="E204" s="64"/>
      <c r="F204" s="27"/>
      <c r="G204" s="27"/>
      <c r="H204" s="68"/>
      <c r="I204" s="69"/>
      <c r="J204" s="68"/>
      <c r="K204" s="68"/>
      <c r="L204" s="70">
        <f t="shared" si="7"/>
        <v>0</v>
      </c>
      <c r="M204" s="66"/>
    </row>
    <row r="205" spans="1:13" hidden="1" x14ac:dyDescent="0.25">
      <c r="A205" s="16"/>
      <c r="B205" s="64"/>
      <c r="C205" s="67"/>
      <c r="D205" s="67"/>
      <c r="E205" s="64"/>
      <c r="F205" s="27"/>
      <c r="G205" s="27"/>
      <c r="H205" s="68"/>
      <c r="I205" s="69"/>
      <c r="J205" s="68"/>
      <c r="K205" s="68"/>
      <c r="L205" s="70">
        <f t="shared" si="7"/>
        <v>0</v>
      </c>
      <c r="M205" s="66"/>
    </row>
    <row r="206" spans="1:13" hidden="1" x14ac:dyDescent="0.25">
      <c r="A206" s="16"/>
      <c r="B206" s="64"/>
      <c r="C206" s="67"/>
      <c r="D206" s="67"/>
      <c r="E206" s="64"/>
      <c r="F206" s="27"/>
      <c r="G206" s="27"/>
      <c r="H206" s="68"/>
      <c r="I206" s="69"/>
      <c r="J206" s="68"/>
      <c r="K206" s="68"/>
      <c r="L206" s="70">
        <f t="shared" si="7"/>
        <v>0</v>
      </c>
      <c r="M206" s="66"/>
    </row>
    <row r="207" spans="1:13" hidden="1" x14ac:dyDescent="0.25">
      <c r="A207" s="16"/>
      <c r="B207" s="64"/>
      <c r="C207" s="67"/>
      <c r="D207" s="67"/>
      <c r="E207" s="64"/>
      <c r="F207" s="27"/>
      <c r="G207" s="27"/>
      <c r="H207" s="68"/>
      <c r="I207" s="69"/>
      <c r="J207" s="68"/>
      <c r="K207" s="68"/>
      <c r="L207" s="70">
        <f>H207+J207</f>
        <v>0</v>
      </c>
      <c r="M207" s="66"/>
    </row>
    <row r="208" spans="1:13" x14ac:dyDescent="0.25">
      <c r="A208" s="191" t="s">
        <v>30</v>
      </c>
      <c r="B208" s="191"/>
      <c r="C208" s="191"/>
      <c r="D208" s="191"/>
      <c r="E208" s="191"/>
      <c r="F208" s="191"/>
      <c r="G208" s="191"/>
      <c r="H208" s="72">
        <f>SUM(H187:H207)</f>
        <v>6500000</v>
      </c>
      <c r="I208" s="72"/>
      <c r="J208" s="72">
        <f>SUM(J187:J207)</f>
        <v>0</v>
      </c>
      <c r="K208" s="72">
        <f>SUM(K187:K207)</f>
        <v>120</v>
      </c>
      <c r="L208" s="72">
        <f>SUM(L187:L207)</f>
        <v>6500000</v>
      </c>
      <c r="M208" s="27"/>
    </row>
    <row r="209" spans="1:13" x14ac:dyDescent="0.25">
      <c r="A209" s="192" t="s">
        <v>18</v>
      </c>
      <c r="B209" s="192"/>
      <c r="C209" s="192"/>
      <c r="D209" s="80" t="e">
        <f ca="1">[2]!vnd(L208)</f>
        <v>#NAME?</v>
      </c>
      <c r="E209" s="17"/>
      <c r="F209" s="11"/>
      <c r="G209" s="85"/>
      <c r="H209" s="12"/>
      <c r="I209" s="12"/>
      <c r="J209" s="12"/>
      <c r="K209" s="12"/>
      <c r="L209" s="12"/>
      <c r="M209" s="13"/>
    </row>
    <row r="210" spans="1:13" x14ac:dyDescent="0.25">
      <c r="A210" s="13"/>
      <c r="B210" s="13"/>
      <c r="C210" s="13"/>
      <c r="D210" s="13"/>
      <c r="E210" s="11"/>
      <c r="F210" s="11"/>
      <c r="G210" s="11"/>
      <c r="H210" s="12"/>
      <c r="I210" s="12"/>
      <c r="J210" s="12"/>
      <c r="K210" s="12"/>
      <c r="L210" s="12"/>
      <c r="M210" s="13"/>
    </row>
    <row r="211" spans="1:13" x14ac:dyDescent="0.25">
      <c r="A211" s="86"/>
      <c r="B211" s="175" t="s">
        <v>34</v>
      </c>
      <c r="C211" s="175"/>
      <c r="D211" s="175"/>
      <c r="E211" s="175"/>
      <c r="F211" s="74"/>
      <c r="G211" s="74"/>
      <c r="H211" s="14"/>
      <c r="I211" s="14"/>
      <c r="J211" s="175" t="s">
        <v>4</v>
      </c>
      <c r="K211" s="175"/>
      <c r="L211" s="175"/>
      <c r="M211" s="175"/>
    </row>
    <row r="212" spans="1:13" x14ac:dyDescent="0.25">
      <c r="A212" s="13"/>
      <c r="B212" s="13"/>
      <c r="C212" s="13"/>
      <c r="D212" s="13"/>
      <c r="E212" s="11"/>
      <c r="F212" s="11"/>
      <c r="G212" s="11"/>
      <c r="H212" s="12"/>
      <c r="I212" s="12"/>
      <c r="J212" s="12"/>
      <c r="K212" s="12"/>
      <c r="L212" s="12"/>
      <c r="M212" s="13"/>
    </row>
    <row r="213" spans="1:13" x14ac:dyDescent="0.25">
      <c r="A213" s="13"/>
      <c r="B213" s="13"/>
      <c r="C213" s="13"/>
      <c r="D213" s="13"/>
      <c r="E213" s="11"/>
      <c r="F213" s="11"/>
      <c r="G213" s="11"/>
      <c r="H213" s="12"/>
      <c r="I213" s="12"/>
      <c r="J213" s="12"/>
      <c r="K213" s="12"/>
      <c r="L213" s="12"/>
      <c r="M213" s="13"/>
    </row>
    <row r="214" spans="1:13" x14ac:dyDescent="0.25">
      <c r="A214" s="13"/>
      <c r="B214" s="176" t="s">
        <v>64</v>
      </c>
      <c r="C214" s="176"/>
      <c r="D214" s="176"/>
      <c r="E214" s="176"/>
      <c r="F214" s="11"/>
      <c r="G214" s="15"/>
      <c r="H214" s="12"/>
      <c r="I214" s="12"/>
      <c r="J214" s="176" t="s">
        <v>197</v>
      </c>
      <c r="K214" s="176"/>
      <c r="L214" s="176"/>
      <c r="M214" s="176"/>
    </row>
    <row r="216" spans="1:13" x14ac:dyDescent="0.25">
      <c r="E216" s="30" t="s">
        <v>5</v>
      </c>
      <c r="F216" s="87"/>
      <c r="G216" s="187" t="s">
        <v>1</v>
      </c>
      <c r="H216" s="187"/>
      <c r="I216" s="187"/>
      <c r="J216" s="187"/>
      <c r="K216" s="187"/>
      <c r="L216" s="187"/>
      <c r="M216" s="187"/>
    </row>
    <row r="217" spans="1:13" x14ac:dyDescent="0.25">
      <c r="E217" s="30" t="s">
        <v>6</v>
      </c>
      <c r="F217" s="87"/>
      <c r="G217" s="188" t="s">
        <v>2</v>
      </c>
      <c r="H217" s="188"/>
      <c r="I217" s="188"/>
      <c r="J217" s="188"/>
      <c r="K217" s="188"/>
      <c r="L217" s="188"/>
      <c r="M217" s="188"/>
    </row>
    <row r="218" spans="1:13" x14ac:dyDescent="0.25">
      <c r="A218" s="4"/>
      <c r="B218" s="4"/>
      <c r="C218" s="4"/>
      <c r="D218" s="4"/>
      <c r="E218" s="4"/>
      <c r="F218" s="6"/>
      <c r="G218" s="6"/>
      <c r="H218" s="189" t="s">
        <v>863</v>
      </c>
      <c r="I218" s="189"/>
      <c r="J218" s="189"/>
      <c r="K218" s="189"/>
      <c r="L218" s="189"/>
      <c r="M218" s="189"/>
    </row>
    <row r="219" spans="1:13" ht="18.75" x14ac:dyDescent="0.25">
      <c r="A219" s="190" t="s">
        <v>865</v>
      </c>
      <c r="B219" s="190"/>
      <c r="C219" s="190"/>
      <c r="D219" s="190"/>
      <c r="E219" s="190"/>
      <c r="F219" s="190"/>
      <c r="G219" s="190"/>
      <c r="H219" s="190"/>
      <c r="I219" s="190"/>
      <c r="J219" s="190"/>
      <c r="K219" s="190"/>
      <c r="L219" s="190"/>
      <c r="M219" s="190"/>
    </row>
    <row r="220" spans="1:13" ht="31.5" x14ac:dyDescent="0.25">
      <c r="A220" s="77" t="s">
        <v>7</v>
      </c>
      <c r="B220" s="77" t="s">
        <v>8</v>
      </c>
      <c r="C220" s="77" t="s">
        <v>9</v>
      </c>
      <c r="D220" s="77" t="s">
        <v>31</v>
      </c>
      <c r="E220" s="77" t="s">
        <v>10</v>
      </c>
      <c r="F220" s="77" t="s">
        <v>11</v>
      </c>
      <c r="G220" s="77" t="s">
        <v>12</v>
      </c>
      <c r="H220" s="78" t="s">
        <v>13</v>
      </c>
      <c r="I220" s="77" t="s">
        <v>14</v>
      </c>
      <c r="J220" s="78" t="s">
        <v>15</v>
      </c>
      <c r="K220" s="117" t="s">
        <v>90</v>
      </c>
      <c r="L220" s="79" t="s">
        <v>16</v>
      </c>
      <c r="M220" s="9" t="s">
        <v>20</v>
      </c>
    </row>
    <row r="221" spans="1:13" ht="63" x14ac:dyDescent="0.25">
      <c r="A221" s="16">
        <v>1</v>
      </c>
      <c r="B221" s="64">
        <v>788</v>
      </c>
      <c r="C221" s="65">
        <v>45911</v>
      </c>
      <c r="D221" s="67" t="s">
        <v>866</v>
      </c>
      <c r="E221" s="64" t="s">
        <v>867</v>
      </c>
      <c r="F221" s="64" t="s">
        <v>868</v>
      </c>
      <c r="G221" s="27" t="s">
        <v>872</v>
      </c>
      <c r="H221" s="61"/>
      <c r="I221" s="62"/>
      <c r="J221" s="61"/>
      <c r="K221" s="61">
        <v>5</v>
      </c>
      <c r="L221" s="63"/>
      <c r="M221" s="27"/>
    </row>
    <row r="222" spans="1:13" ht="47.25" x14ac:dyDescent="0.25">
      <c r="A222" s="16">
        <v>2</v>
      </c>
      <c r="B222" s="64">
        <v>789</v>
      </c>
      <c r="C222" s="65">
        <v>45911</v>
      </c>
      <c r="D222" s="67" t="s">
        <v>870</v>
      </c>
      <c r="E222" s="64" t="s">
        <v>869</v>
      </c>
      <c r="F222" s="64" t="s">
        <v>871</v>
      </c>
      <c r="G222" s="27" t="s">
        <v>873</v>
      </c>
      <c r="H222" s="61">
        <v>300000</v>
      </c>
      <c r="I222" s="62"/>
      <c r="J222" s="61"/>
      <c r="K222" s="61">
        <v>5</v>
      </c>
      <c r="L222" s="63">
        <v>300000</v>
      </c>
      <c r="M222" s="27"/>
    </row>
    <row r="223" spans="1:13" ht="63" x14ac:dyDescent="0.25">
      <c r="A223" s="16">
        <v>3</v>
      </c>
      <c r="B223" s="64">
        <v>790</v>
      </c>
      <c r="C223" s="65">
        <v>45911</v>
      </c>
      <c r="D223" s="67" t="s">
        <v>874</v>
      </c>
      <c r="E223" s="64" t="s">
        <v>875</v>
      </c>
      <c r="F223" s="64" t="s">
        <v>876</v>
      </c>
      <c r="G223" s="27" t="s">
        <v>877</v>
      </c>
      <c r="H223" s="61">
        <v>300000</v>
      </c>
      <c r="I223" s="62"/>
      <c r="J223" s="61"/>
      <c r="K223" s="61">
        <v>10</v>
      </c>
      <c r="L223" s="63">
        <v>300000</v>
      </c>
      <c r="M223" s="27"/>
    </row>
    <row r="224" spans="1:13" ht="78.75" x14ac:dyDescent="0.25">
      <c r="A224" s="16">
        <v>4</v>
      </c>
      <c r="B224" s="64">
        <v>800</v>
      </c>
      <c r="C224" s="65">
        <v>45917</v>
      </c>
      <c r="D224" s="67" t="s">
        <v>462</v>
      </c>
      <c r="E224" s="64" t="s">
        <v>463</v>
      </c>
      <c r="F224" s="64" t="s">
        <v>912</v>
      </c>
      <c r="G224" s="136" t="s">
        <v>913</v>
      </c>
      <c r="H224" s="61">
        <v>500000</v>
      </c>
      <c r="I224" s="62"/>
      <c r="J224" s="61"/>
      <c r="K224" s="61">
        <v>11</v>
      </c>
      <c r="L224" s="63">
        <v>500000</v>
      </c>
      <c r="M224" s="66"/>
    </row>
    <row r="225" spans="1:13" ht="78.75" x14ac:dyDescent="0.25">
      <c r="A225" s="16">
        <v>5</v>
      </c>
      <c r="B225" s="64">
        <v>799</v>
      </c>
      <c r="C225" s="67">
        <v>45917</v>
      </c>
      <c r="D225" s="67" t="s">
        <v>914</v>
      </c>
      <c r="E225" s="64" t="s">
        <v>452</v>
      </c>
      <c r="F225" s="27" t="s">
        <v>915</v>
      </c>
      <c r="G225" s="136" t="s">
        <v>916</v>
      </c>
      <c r="H225" s="68"/>
      <c r="I225" s="69"/>
      <c r="J225" s="68"/>
      <c r="K225" s="68">
        <v>6</v>
      </c>
      <c r="L225" s="70"/>
      <c r="M225" s="66"/>
    </row>
    <row r="226" spans="1:13" ht="63" x14ac:dyDescent="0.25">
      <c r="A226" s="16">
        <v>6</v>
      </c>
      <c r="B226" s="64">
        <v>831</v>
      </c>
      <c r="C226" s="65">
        <v>45927</v>
      </c>
      <c r="D226" s="67" t="s">
        <v>922</v>
      </c>
      <c r="E226" s="64" t="s">
        <v>923</v>
      </c>
      <c r="F226" s="64" t="s">
        <v>924</v>
      </c>
      <c r="G226" s="136" t="s">
        <v>925</v>
      </c>
      <c r="H226" s="68">
        <v>300000</v>
      </c>
      <c r="I226" s="69"/>
      <c r="J226" s="68"/>
      <c r="K226" s="68">
        <v>5</v>
      </c>
      <c r="L226" s="70">
        <v>300000</v>
      </c>
      <c r="M226" s="66"/>
    </row>
    <row r="227" spans="1:13" x14ac:dyDescent="0.25">
      <c r="A227" s="16">
        <v>7</v>
      </c>
      <c r="B227" s="64"/>
      <c r="C227" s="67"/>
      <c r="D227" s="67"/>
      <c r="E227" s="64"/>
      <c r="F227" s="27"/>
      <c r="G227" s="27"/>
      <c r="H227" s="68"/>
      <c r="I227" s="69"/>
      <c r="J227" s="68"/>
      <c r="K227" s="68"/>
      <c r="L227" s="70"/>
      <c r="M227" s="66"/>
    </row>
    <row r="228" spans="1:13" x14ac:dyDescent="0.25">
      <c r="A228" s="16">
        <v>8</v>
      </c>
      <c r="B228" s="64"/>
      <c r="C228" s="67"/>
      <c r="D228" s="67"/>
      <c r="E228" s="64"/>
      <c r="F228" s="27"/>
      <c r="G228" s="27"/>
      <c r="H228" s="68"/>
      <c r="I228" s="69"/>
      <c r="J228" s="68"/>
      <c r="K228" s="68"/>
      <c r="L228" s="70"/>
      <c r="M228" s="66"/>
    </row>
    <row r="229" spans="1:13" x14ac:dyDescent="0.25">
      <c r="A229" s="16"/>
      <c r="B229" s="64"/>
      <c r="C229" s="67"/>
      <c r="D229" s="67"/>
      <c r="E229" s="64"/>
      <c r="F229" s="27"/>
      <c r="G229" s="27"/>
      <c r="H229" s="68"/>
      <c r="I229" s="69"/>
      <c r="J229" s="68"/>
      <c r="K229" s="68"/>
      <c r="L229" s="70">
        <f>H229+J229</f>
        <v>0</v>
      </c>
      <c r="M229" s="66"/>
    </row>
    <row r="230" spans="1:13" x14ac:dyDescent="0.25">
      <c r="A230" s="191" t="s">
        <v>30</v>
      </c>
      <c r="B230" s="191"/>
      <c r="C230" s="191"/>
      <c r="D230" s="191"/>
      <c r="E230" s="191"/>
      <c r="F230" s="191"/>
      <c r="G230" s="191"/>
      <c r="H230" s="72">
        <f>SUM(H221:H229)</f>
        <v>1400000</v>
      </c>
      <c r="I230" s="72"/>
      <c r="J230" s="72">
        <f>SUM(J221:J229)</f>
        <v>0</v>
      </c>
      <c r="K230" s="72">
        <f>SUM(K221:K229)</f>
        <v>42</v>
      </c>
      <c r="L230" s="72">
        <f>SUM(L221:L229)</f>
        <v>1400000</v>
      </c>
      <c r="M230" s="27"/>
    </row>
    <row r="231" spans="1:13" x14ac:dyDescent="0.25">
      <c r="A231" s="192" t="s">
        <v>18</v>
      </c>
      <c r="B231" s="192"/>
      <c r="C231" s="192"/>
      <c r="D231" s="184" t="s">
        <v>932</v>
      </c>
      <c r="E231" s="184"/>
      <c r="F231" s="184"/>
      <c r="G231" s="184"/>
      <c r="H231" s="12"/>
      <c r="I231" s="12"/>
      <c r="J231" s="12"/>
      <c r="K231" s="12"/>
      <c r="L231" s="12"/>
      <c r="M231" s="13"/>
    </row>
    <row r="232" spans="1:13" x14ac:dyDescent="0.25">
      <c r="A232" s="13"/>
      <c r="B232" s="13"/>
      <c r="C232" s="13"/>
      <c r="D232" s="13"/>
      <c r="E232" s="11"/>
      <c r="F232" s="11"/>
      <c r="G232" s="11"/>
      <c r="H232" s="12"/>
      <c r="I232" s="12"/>
      <c r="J232" s="12"/>
      <c r="K232" s="12"/>
      <c r="L232" s="12"/>
      <c r="M232" s="13"/>
    </row>
    <row r="233" spans="1:13" x14ac:dyDescent="0.25">
      <c r="A233" s="86"/>
      <c r="B233" s="175" t="s">
        <v>34</v>
      </c>
      <c r="C233" s="175"/>
      <c r="D233" s="175"/>
      <c r="E233" s="175"/>
      <c r="F233" s="74"/>
      <c r="G233" s="74"/>
      <c r="H233" s="14"/>
      <c r="I233" s="14"/>
      <c r="J233" s="175" t="s">
        <v>4</v>
      </c>
      <c r="K233" s="175"/>
      <c r="L233" s="175"/>
      <c r="M233" s="175"/>
    </row>
    <row r="234" spans="1:13" x14ac:dyDescent="0.25">
      <c r="A234" s="86"/>
      <c r="B234" s="86"/>
      <c r="C234" s="86"/>
      <c r="D234" s="86"/>
      <c r="E234" s="86"/>
      <c r="F234" s="74"/>
      <c r="G234" s="74"/>
      <c r="H234" s="14"/>
      <c r="I234" s="14"/>
      <c r="J234" s="86"/>
      <c r="K234" s="86"/>
      <c r="L234" s="86"/>
      <c r="M234" s="86"/>
    </row>
    <row r="235" spans="1:13" x14ac:dyDescent="0.25">
      <c r="A235" s="86"/>
      <c r="B235" s="86"/>
      <c r="C235" s="86"/>
      <c r="D235" s="86"/>
      <c r="E235" s="86"/>
      <c r="F235" s="74"/>
      <c r="G235" s="74"/>
      <c r="H235" s="14"/>
      <c r="I235" s="14"/>
      <c r="J235" s="86"/>
      <c r="K235" s="86"/>
      <c r="L235" s="86"/>
      <c r="M235" s="86"/>
    </row>
    <row r="236" spans="1:13" x14ac:dyDescent="0.25">
      <c r="A236" s="13"/>
      <c r="B236" s="13"/>
      <c r="C236" s="13"/>
      <c r="D236" s="13"/>
      <c r="E236" s="11"/>
      <c r="F236" s="11"/>
      <c r="G236" s="11"/>
      <c r="H236" s="12"/>
      <c r="I236" s="12"/>
      <c r="J236" s="12"/>
      <c r="K236" s="12"/>
      <c r="L236" s="12"/>
      <c r="M236" s="13"/>
    </row>
    <row r="237" spans="1:13" x14ac:dyDescent="0.25">
      <c r="A237" s="13"/>
      <c r="B237" s="176" t="s">
        <v>829</v>
      </c>
      <c r="C237" s="176"/>
      <c r="D237" s="176"/>
      <c r="E237" s="176"/>
      <c r="F237" s="11"/>
      <c r="G237" s="15"/>
      <c r="H237" s="12"/>
      <c r="I237" s="12"/>
      <c r="J237" s="176" t="s">
        <v>936</v>
      </c>
      <c r="K237" s="176"/>
      <c r="L237" s="176"/>
      <c r="M237" s="176"/>
    </row>
    <row r="240" spans="1:13" x14ac:dyDescent="0.25">
      <c r="E240" s="30" t="s">
        <v>5</v>
      </c>
      <c r="F240" s="87"/>
      <c r="G240" s="187" t="s">
        <v>1</v>
      </c>
      <c r="H240" s="187"/>
      <c r="I240" s="187"/>
      <c r="J240" s="187"/>
      <c r="K240" s="187"/>
      <c r="L240" s="187"/>
      <c r="M240" s="187"/>
    </row>
    <row r="241" spans="1:13" x14ac:dyDescent="0.25">
      <c r="E241" s="30" t="s">
        <v>6</v>
      </c>
      <c r="F241" s="87"/>
      <c r="G241" s="188" t="s">
        <v>2</v>
      </c>
      <c r="H241" s="188"/>
      <c r="I241" s="188"/>
      <c r="J241" s="188"/>
      <c r="K241" s="188"/>
      <c r="L241" s="188"/>
      <c r="M241" s="188"/>
    </row>
    <row r="242" spans="1:13" x14ac:dyDescent="0.25">
      <c r="A242" s="4"/>
      <c r="B242" s="4"/>
      <c r="C242" s="4"/>
      <c r="D242" s="4"/>
      <c r="E242" s="4"/>
      <c r="F242" s="6"/>
      <c r="G242" s="6"/>
      <c r="H242" s="189" t="s">
        <v>939</v>
      </c>
      <c r="I242" s="189"/>
      <c r="J242" s="189"/>
      <c r="K242" s="189"/>
      <c r="L242" s="189"/>
      <c r="M242" s="189"/>
    </row>
    <row r="243" spans="1:13" ht="18.75" x14ac:dyDescent="0.25">
      <c r="A243" s="190" t="s">
        <v>940</v>
      </c>
      <c r="B243" s="190"/>
      <c r="C243" s="190"/>
      <c r="D243" s="190"/>
      <c r="E243" s="190"/>
      <c r="F243" s="190"/>
      <c r="G243" s="190"/>
      <c r="H243" s="190"/>
      <c r="I243" s="190"/>
      <c r="J243" s="190"/>
      <c r="K243" s="190"/>
      <c r="L243" s="190"/>
      <c r="M243" s="190"/>
    </row>
    <row r="244" spans="1:13" ht="31.5" x14ac:dyDescent="0.25">
      <c r="A244" s="77" t="s">
        <v>7</v>
      </c>
      <c r="B244" s="77" t="s">
        <v>8</v>
      </c>
      <c r="C244" s="77" t="s">
        <v>9</v>
      </c>
      <c r="D244" s="77" t="s">
        <v>31</v>
      </c>
      <c r="E244" s="77" t="s">
        <v>10</v>
      </c>
      <c r="F244" s="77" t="s">
        <v>11</v>
      </c>
      <c r="G244" s="77" t="s">
        <v>12</v>
      </c>
      <c r="H244" s="78" t="s">
        <v>13</v>
      </c>
      <c r="I244" s="77" t="s">
        <v>14</v>
      </c>
      <c r="J244" s="78" t="s">
        <v>15</v>
      </c>
      <c r="K244" s="117" t="s">
        <v>90</v>
      </c>
      <c r="L244" s="79" t="s">
        <v>16</v>
      </c>
      <c r="M244" s="9" t="s">
        <v>20</v>
      </c>
    </row>
    <row r="245" spans="1:13" ht="78.75" customHeight="1" x14ac:dyDescent="0.25">
      <c r="A245" s="16">
        <v>1</v>
      </c>
      <c r="B245" s="64">
        <v>896</v>
      </c>
      <c r="C245" s="65">
        <v>45950</v>
      </c>
      <c r="D245" s="67" t="s">
        <v>431</v>
      </c>
      <c r="E245" s="64" t="s">
        <v>432</v>
      </c>
      <c r="F245" s="64" t="s">
        <v>1012</v>
      </c>
      <c r="G245" s="149" t="s">
        <v>1013</v>
      </c>
      <c r="H245" s="61"/>
      <c r="I245" s="62"/>
      <c r="J245" s="61">
        <v>2000000</v>
      </c>
      <c r="K245" s="61"/>
      <c r="L245" s="63">
        <v>2000000</v>
      </c>
      <c r="M245" s="27" t="s">
        <v>1014</v>
      </c>
    </row>
    <row r="246" spans="1:13" ht="63" x14ac:dyDescent="0.25">
      <c r="A246" s="16">
        <v>2</v>
      </c>
      <c r="B246" s="64">
        <v>912</v>
      </c>
      <c r="C246" s="65">
        <v>45959</v>
      </c>
      <c r="D246" s="67" t="s">
        <v>281</v>
      </c>
      <c r="E246" s="64" t="s">
        <v>282</v>
      </c>
      <c r="F246" s="64" t="s">
        <v>1024</v>
      </c>
      <c r="G246" s="148" t="s">
        <v>1025</v>
      </c>
      <c r="H246" s="61">
        <v>200000</v>
      </c>
      <c r="I246" s="62"/>
      <c r="J246" s="61"/>
      <c r="K246" s="61">
        <v>10</v>
      </c>
      <c r="L246" s="63">
        <v>200000</v>
      </c>
      <c r="M246" s="27"/>
    </row>
    <row r="247" spans="1:13" ht="63" x14ac:dyDescent="0.25">
      <c r="A247" s="16">
        <v>3</v>
      </c>
      <c r="B247" s="64">
        <v>913</v>
      </c>
      <c r="C247" s="65">
        <v>45959</v>
      </c>
      <c r="D247" s="67" t="s">
        <v>288</v>
      </c>
      <c r="E247" s="64" t="s">
        <v>286</v>
      </c>
      <c r="F247" s="64" t="s">
        <v>1024</v>
      </c>
      <c r="G247" s="148" t="s">
        <v>1025</v>
      </c>
      <c r="H247" s="61">
        <v>200000</v>
      </c>
      <c r="I247" s="62"/>
      <c r="J247" s="61"/>
      <c r="K247" s="61">
        <v>10</v>
      </c>
      <c r="L247" s="63">
        <v>200000</v>
      </c>
      <c r="M247" s="27"/>
    </row>
    <row r="248" spans="1:13" ht="63" x14ac:dyDescent="0.25">
      <c r="A248" s="16">
        <v>4</v>
      </c>
      <c r="B248" s="64">
        <v>914</v>
      </c>
      <c r="C248" s="65">
        <v>45959</v>
      </c>
      <c r="D248" s="67" t="s">
        <v>279</v>
      </c>
      <c r="E248" s="64" t="s">
        <v>280</v>
      </c>
      <c r="F248" s="64" t="s">
        <v>1024</v>
      </c>
      <c r="G248" s="148" t="s">
        <v>1025</v>
      </c>
      <c r="H248" s="61">
        <v>200000</v>
      </c>
      <c r="I248" s="62"/>
      <c r="J248" s="61"/>
      <c r="K248" s="61">
        <v>10</v>
      </c>
      <c r="L248" s="63">
        <v>200000</v>
      </c>
      <c r="M248" s="66"/>
    </row>
    <row r="249" spans="1:13" ht="50.25" customHeight="1" x14ac:dyDescent="0.25">
      <c r="A249" s="16">
        <v>5</v>
      </c>
      <c r="B249" s="64">
        <v>917</v>
      </c>
      <c r="C249" s="67">
        <v>45959</v>
      </c>
      <c r="D249" s="67" t="s">
        <v>672</v>
      </c>
      <c r="E249" s="64" t="s">
        <v>673</v>
      </c>
      <c r="F249" s="27" t="s">
        <v>1026</v>
      </c>
      <c r="G249" s="148" t="s">
        <v>1027</v>
      </c>
      <c r="H249" s="68">
        <v>200000</v>
      </c>
      <c r="I249" s="69"/>
      <c r="J249" s="68"/>
      <c r="K249" s="68">
        <v>4</v>
      </c>
      <c r="L249" s="70">
        <v>200000</v>
      </c>
      <c r="M249" s="66"/>
    </row>
    <row r="250" spans="1:13" ht="47.25" x14ac:dyDescent="0.25">
      <c r="A250" s="16">
        <v>6</v>
      </c>
      <c r="B250" s="64">
        <v>918</v>
      </c>
      <c r="C250" s="67">
        <v>45959</v>
      </c>
      <c r="D250" s="67" t="s">
        <v>1030</v>
      </c>
      <c r="E250" s="64" t="s">
        <v>1028</v>
      </c>
      <c r="F250" s="27" t="s">
        <v>1029</v>
      </c>
      <c r="G250" s="148" t="s">
        <v>1031</v>
      </c>
      <c r="H250" s="68">
        <v>300000</v>
      </c>
      <c r="I250" s="69"/>
      <c r="J250" s="68"/>
      <c r="K250" s="68">
        <v>5</v>
      </c>
      <c r="L250" s="70">
        <v>300000</v>
      </c>
      <c r="M250" s="66"/>
    </row>
    <row r="251" spans="1:13" ht="63" x14ac:dyDescent="0.25">
      <c r="A251" s="16">
        <v>7</v>
      </c>
      <c r="B251" s="64">
        <v>921</v>
      </c>
      <c r="C251" s="67">
        <v>45959</v>
      </c>
      <c r="D251" s="67" t="s">
        <v>1034</v>
      </c>
      <c r="E251" s="64" t="s">
        <v>1032</v>
      </c>
      <c r="F251" s="27" t="s">
        <v>1033</v>
      </c>
      <c r="G251" s="148" t="s">
        <v>1035</v>
      </c>
      <c r="H251" s="68">
        <v>300000</v>
      </c>
      <c r="I251" s="69"/>
      <c r="J251" s="68"/>
      <c r="K251" s="68">
        <v>5</v>
      </c>
      <c r="L251" s="70">
        <v>300000</v>
      </c>
      <c r="M251" s="66"/>
    </row>
    <row r="252" spans="1:13" ht="63" x14ac:dyDescent="0.25">
      <c r="A252" s="16">
        <v>8</v>
      </c>
      <c r="B252" s="64">
        <v>920</v>
      </c>
      <c r="C252" s="67">
        <v>45959</v>
      </c>
      <c r="D252" s="67" t="s">
        <v>1045</v>
      </c>
      <c r="E252" s="64" t="s">
        <v>1042</v>
      </c>
      <c r="F252" s="27" t="s">
        <v>1043</v>
      </c>
      <c r="G252" s="148" t="s">
        <v>1044</v>
      </c>
      <c r="H252" s="68">
        <v>300000</v>
      </c>
      <c r="I252" s="69"/>
      <c r="J252" s="68"/>
      <c r="K252" s="68">
        <v>2</v>
      </c>
      <c r="L252" s="70">
        <v>300000</v>
      </c>
      <c r="M252" s="66"/>
    </row>
    <row r="253" spans="1:13" ht="63" x14ac:dyDescent="0.25">
      <c r="A253" s="16">
        <v>9</v>
      </c>
      <c r="B253" s="64">
        <v>930</v>
      </c>
      <c r="C253" s="65">
        <v>45959</v>
      </c>
      <c r="D253" s="67" t="s">
        <v>1047</v>
      </c>
      <c r="E253" s="64" t="s">
        <v>1046</v>
      </c>
      <c r="F253" s="27" t="s">
        <v>1043</v>
      </c>
      <c r="G253" s="148" t="s">
        <v>1044</v>
      </c>
      <c r="H253" s="68">
        <v>300000</v>
      </c>
      <c r="I253" s="69"/>
      <c r="J253" s="68"/>
      <c r="K253" s="68">
        <v>2</v>
      </c>
      <c r="L253" s="70">
        <v>300000</v>
      </c>
      <c r="M253" s="66"/>
    </row>
    <row r="254" spans="1:13" x14ac:dyDescent="0.25">
      <c r="A254" s="191" t="s">
        <v>30</v>
      </c>
      <c r="B254" s="191"/>
      <c r="C254" s="191"/>
      <c r="D254" s="191"/>
      <c r="E254" s="191"/>
      <c r="F254" s="191"/>
      <c r="G254" s="191"/>
      <c r="H254" s="72">
        <f>SUM(H245:H253)</f>
        <v>2000000</v>
      </c>
      <c r="I254" s="72"/>
      <c r="J254" s="72">
        <f>SUM(J245:J253)</f>
        <v>2000000</v>
      </c>
      <c r="K254" s="72">
        <f>SUM(K245:K253)</f>
        <v>48</v>
      </c>
      <c r="L254" s="72">
        <f>SUM(L245:L253)</f>
        <v>4000000</v>
      </c>
      <c r="M254" s="27"/>
    </row>
    <row r="255" spans="1:13" x14ac:dyDescent="0.25">
      <c r="A255" s="192" t="s">
        <v>18</v>
      </c>
      <c r="B255" s="192"/>
      <c r="C255" s="192"/>
      <c r="D255" s="184" t="s">
        <v>1049</v>
      </c>
      <c r="E255" s="184"/>
      <c r="F255" s="184"/>
      <c r="G255" s="184"/>
      <c r="H255" s="12"/>
      <c r="I255" s="12"/>
      <c r="J255" s="12"/>
      <c r="K255" s="12"/>
      <c r="L255" s="12"/>
      <c r="M255" s="13"/>
    </row>
    <row r="256" spans="1:13" x14ac:dyDescent="0.25">
      <c r="A256" s="13"/>
      <c r="B256" s="13"/>
      <c r="C256" s="13"/>
      <c r="D256" s="13"/>
      <c r="E256" s="11"/>
      <c r="F256" s="11"/>
      <c r="G256" s="11"/>
      <c r="H256" s="12"/>
      <c r="I256" s="12"/>
      <c r="J256" s="12"/>
      <c r="K256" s="12"/>
      <c r="L256" s="12"/>
      <c r="M256" s="13"/>
    </row>
    <row r="257" spans="1:13" x14ac:dyDescent="0.25">
      <c r="A257" s="86"/>
      <c r="B257" s="175" t="s">
        <v>34</v>
      </c>
      <c r="C257" s="175"/>
      <c r="D257" s="175"/>
      <c r="E257" s="175"/>
      <c r="F257" s="74"/>
      <c r="G257" s="74"/>
      <c r="H257" s="14"/>
      <c r="I257" s="14"/>
      <c r="J257" s="175" t="s">
        <v>4</v>
      </c>
      <c r="K257" s="175"/>
      <c r="L257" s="175"/>
      <c r="M257" s="175"/>
    </row>
    <row r="258" spans="1:13" x14ac:dyDescent="0.25">
      <c r="A258" s="86"/>
      <c r="B258" s="86"/>
      <c r="C258" s="86"/>
      <c r="D258" s="86"/>
      <c r="E258" s="86"/>
      <c r="F258" s="74"/>
      <c r="G258" s="74"/>
      <c r="H258" s="14"/>
      <c r="I258" s="14"/>
      <c r="J258" s="86"/>
      <c r="K258" s="86"/>
      <c r="L258" s="86"/>
      <c r="M258" s="86"/>
    </row>
    <row r="259" spans="1:13" x14ac:dyDescent="0.25">
      <c r="A259" s="86"/>
      <c r="B259" s="86"/>
      <c r="C259" s="86"/>
      <c r="D259" s="86"/>
      <c r="E259" s="86"/>
      <c r="F259" s="74"/>
      <c r="G259" s="74"/>
      <c r="H259" s="14"/>
      <c r="I259" s="14"/>
      <c r="J259" s="86"/>
      <c r="K259" s="86"/>
      <c r="L259" s="86"/>
      <c r="M259" s="86"/>
    </row>
    <row r="260" spans="1:13" x14ac:dyDescent="0.25">
      <c r="A260" s="13"/>
      <c r="B260" s="13"/>
      <c r="C260" s="13"/>
      <c r="D260" s="13"/>
      <c r="E260" s="11"/>
      <c r="F260" s="11"/>
      <c r="G260" s="11"/>
      <c r="H260" s="12"/>
      <c r="I260" s="12"/>
      <c r="J260" s="12"/>
      <c r="K260" s="12"/>
      <c r="L260" s="12"/>
      <c r="M260" s="13"/>
    </row>
    <row r="261" spans="1:13" x14ac:dyDescent="0.25">
      <c r="A261" s="13"/>
      <c r="B261" s="176" t="s">
        <v>829</v>
      </c>
      <c r="C261" s="176"/>
      <c r="D261" s="176"/>
      <c r="E261" s="176"/>
      <c r="F261" s="11"/>
      <c r="G261" s="15"/>
      <c r="H261" s="12"/>
      <c r="I261" s="12"/>
      <c r="J261" s="176" t="s">
        <v>936</v>
      </c>
      <c r="K261" s="176"/>
      <c r="L261" s="176"/>
      <c r="M261" s="176"/>
    </row>
    <row r="263" spans="1:13" x14ac:dyDescent="0.25">
      <c r="E263" s="30" t="s">
        <v>5</v>
      </c>
      <c r="F263" s="87"/>
      <c r="G263" s="187" t="s">
        <v>1</v>
      </c>
      <c r="H263" s="187"/>
      <c r="I263" s="187"/>
      <c r="J263" s="187"/>
      <c r="K263" s="187"/>
      <c r="L263" s="187"/>
      <c r="M263" s="187"/>
    </row>
    <row r="264" spans="1:13" x14ac:dyDescent="0.25">
      <c r="E264" s="30" t="s">
        <v>6</v>
      </c>
      <c r="F264" s="87"/>
      <c r="G264" s="188" t="s">
        <v>2</v>
      </c>
      <c r="H264" s="188"/>
      <c r="I264" s="188"/>
      <c r="J264" s="188"/>
      <c r="K264" s="188"/>
      <c r="L264" s="188"/>
      <c r="M264" s="188"/>
    </row>
    <row r="265" spans="1:13" x14ac:dyDescent="0.25">
      <c r="A265" s="4"/>
      <c r="B265" s="4"/>
      <c r="C265" s="4"/>
      <c r="D265" s="4"/>
      <c r="E265" s="4"/>
      <c r="F265" s="6"/>
      <c r="G265" s="6"/>
      <c r="H265" s="189" t="s">
        <v>1056</v>
      </c>
      <c r="I265" s="189"/>
      <c r="J265" s="189"/>
      <c r="K265" s="189"/>
      <c r="L265" s="189"/>
      <c r="M265" s="189"/>
    </row>
    <row r="266" spans="1:13" ht="18.75" x14ac:dyDescent="0.25">
      <c r="A266" s="190" t="s">
        <v>1057</v>
      </c>
      <c r="B266" s="190"/>
      <c r="C266" s="190"/>
      <c r="D266" s="190"/>
      <c r="E266" s="190"/>
      <c r="F266" s="190"/>
      <c r="G266" s="190"/>
      <c r="H266" s="190"/>
      <c r="I266" s="190"/>
      <c r="J266" s="190"/>
      <c r="K266" s="190"/>
      <c r="L266" s="190"/>
      <c r="M266" s="190"/>
    </row>
    <row r="267" spans="1:13" ht="31.5" x14ac:dyDescent="0.25">
      <c r="A267" s="77" t="s">
        <v>7</v>
      </c>
      <c r="B267" s="77" t="s">
        <v>8</v>
      </c>
      <c r="C267" s="77" t="s">
        <v>9</v>
      </c>
      <c r="D267" s="77" t="s">
        <v>31</v>
      </c>
      <c r="E267" s="77" t="s">
        <v>10</v>
      </c>
      <c r="F267" s="77" t="s">
        <v>11</v>
      </c>
      <c r="G267" s="77" t="s">
        <v>12</v>
      </c>
      <c r="H267" s="78" t="s">
        <v>13</v>
      </c>
      <c r="I267" s="77" t="s">
        <v>14</v>
      </c>
      <c r="J267" s="78" t="s">
        <v>15</v>
      </c>
      <c r="K267" s="117" t="s">
        <v>90</v>
      </c>
      <c r="L267" s="79" t="s">
        <v>16</v>
      </c>
      <c r="M267" s="9" t="s">
        <v>20</v>
      </c>
    </row>
    <row r="268" spans="1:13" ht="84" customHeight="1" x14ac:dyDescent="0.25">
      <c r="A268" s="16">
        <v>1</v>
      </c>
      <c r="B268" s="64">
        <v>896</v>
      </c>
      <c r="C268" s="65">
        <v>45950</v>
      </c>
      <c r="D268" s="67" t="s">
        <v>431</v>
      </c>
      <c r="E268" s="64" t="s">
        <v>432</v>
      </c>
      <c r="F268" s="64" t="s">
        <v>1012</v>
      </c>
      <c r="G268" s="148" t="s">
        <v>1013</v>
      </c>
      <c r="H268" s="61"/>
      <c r="I268" s="62"/>
      <c r="J268" s="61">
        <v>1000000</v>
      </c>
      <c r="K268" s="61"/>
      <c r="L268" s="63">
        <v>2000000</v>
      </c>
      <c r="M268" s="27" t="s">
        <v>1014</v>
      </c>
    </row>
    <row r="269" spans="1:13" ht="94.5" customHeight="1" x14ac:dyDescent="0.25">
      <c r="A269" s="16">
        <v>2</v>
      </c>
      <c r="B269" s="64">
        <v>956</v>
      </c>
      <c r="C269" s="65">
        <v>45968</v>
      </c>
      <c r="D269" s="67" t="s">
        <v>1060</v>
      </c>
      <c r="E269" s="64" t="s">
        <v>1064</v>
      </c>
      <c r="F269" s="64" t="s">
        <v>1061</v>
      </c>
      <c r="G269" s="27" t="s">
        <v>1062</v>
      </c>
      <c r="H269" s="61"/>
      <c r="I269" s="62"/>
      <c r="J269" s="61">
        <v>15000000</v>
      </c>
      <c r="K269" s="61">
        <v>18</v>
      </c>
      <c r="L269" s="63">
        <v>15000000</v>
      </c>
      <c r="M269" s="27" t="s">
        <v>1063</v>
      </c>
    </row>
    <row r="270" spans="1:13" ht="111.75" customHeight="1" x14ac:dyDescent="0.25">
      <c r="A270" s="16">
        <v>3</v>
      </c>
      <c r="B270" s="64">
        <v>955</v>
      </c>
      <c r="C270" s="65">
        <v>45968</v>
      </c>
      <c r="D270" s="67" t="s">
        <v>1065</v>
      </c>
      <c r="E270" s="64" t="s">
        <v>1068</v>
      </c>
      <c r="F270" s="64" t="s">
        <v>1066</v>
      </c>
      <c r="G270" s="27" t="s">
        <v>1062</v>
      </c>
      <c r="H270" s="61"/>
      <c r="I270" s="62"/>
      <c r="J270" s="61">
        <v>15000000</v>
      </c>
      <c r="K270" s="61">
        <v>18</v>
      </c>
      <c r="L270" s="63">
        <v>15000000</v>
      </c>
      <c r="M270" s="27" t="s">
        <v>1063</v>
      </c>
    </row>
    <row r="271" spans="1:13" ht="84.75" customHeight="1" x14ac:dyDescent="0.25">
      <c r="A271" s="16">
        <v>4</v>
      </c>
      <c r="B271" s="64">
        <v>952</v>
      </c>
      <c r="C271" s="65">
        <v>45968</v>
      </c>
      <c r="D271" s="67" t="s">
        <v>1067</v>
      </c>
      <c r="E271" s="64" t="s">
        <v>1069</v>
      </c>
      <c r="F271" s="64" t="s">
        <v>1070</v>
      </c>
      <c r="G271" s="148" t="s">
        <v>1071</v>
      </c>
      <c r="H271" s="61">
        <v>4500000</v>
      </c>
      <c r="I271" s="62"/>
      <c r="J271" s="61"/>
      <c r="K271" s="61">
        <v>10</v>
      </c>
      <c r="L271" s="63">
        <v>4500000</v>
      </c>
      <c r="M271" s="66" t="s">
        <v>1072</v>
      </c>
    </row>
    <row r="272" spans="1:13" ht="78.75" x14ac:dyDescent="0.25">
      <c r="A272" s="16">
        <v>5</v>
      </c>
      <c r="B272" s="64">
        <v>951</v>
      </c>
      <c r="C272" s="65">
        <v>45968</v>
      </c>
      <c r="D272" s="67" t="s">
        <v>1073</v>
      </c>
      <c r="E272" s="64" t="s">
        <v>1074</v>
      </c>
      <c r="F272" s="64" t="s">
        <v>1075</v>
      </c>
      <c r="G272" s="148" t="s">
        <v>1071</v>
      </c>
      <c r="H272" s="61">
        <v>4500000</v>
      </c>
      <c r="I272" s="62"/>
      <c r="J272" s="61"/>
      <c r="K272" s="61">
        <v>10</v>
      </c>
      <c r="L272" s="63">
        <v>4500000</v>
      </c>
      <c r="M272" s="66" t="s">
        <v>1072</v>
      </c>
    </row>
    <row r="273" spans="1:13" ht="63" x14ac:dyDescent="0.25">
      <c r="A273" s="16">
        <v>6</v>
      </c>
      <c r="B273" s="64">
        <v>950</v>
      </c>
      <c r="C273" s="65">
        <v>45968</v>
      </c>
      <c r="D273" s="67" t="s">
        <v>305</v>
      </c>
      <c r="E273" s="64" t="s">
        <v>306</v>
      </c>
      <c r="F273" s="64" t="s">
        <v>1076</v>
      </c>
      <c r="G273" s="148" t="s">
        <v>1071</v>
      </c>
      <c r="H273" s="61">
        <v>3000000</v>
      </c>
      <c r="I273" s="62"/>
      <c r="J273" s="61"/>
      <c r="K273" s="61">
        <v>5</v>
      </c>
      <c r="L273" s="63">
        <v>3000000</v>
      </c>
      <c r="M273" s="66"/>
    </row>
    <row r="274" spans="1:13" ht="47.25" x14ac:dyDescent="0.25">
      <c r="A274" s="16">
        <v>7</v>
      </c>
      <c r="B274" s="64">
        <v>969</v>
      </c>
      <c r="C274" s="67">
        <v>45975</v>
      </c>
      <c r="D274" s="67" t="s">
        <v>1108</v>
      </c>
      <c r="E274" s="64" t="s">
        <v>1159</v>
      </c>
      <c r="F274" s="27" t="s">
        <v>1109</v>
      </c>
      <c r="G274" s="148" t="s">
        <v>1110</v>
      </c>
      <c r="H274" s="68">
        <v>200000</v>
      </c>
      <c r="I274" s="69"/>
      <c r="J274" s="68"/>
      <c r="K274" s="68">
        <v>5</v>
      </c>
      <c r="L274" s="70">
        <v>200000</v>
      </c>
      <c r="M274" s="66"/>
    </row>
    <row r="275" spans="1:13" ht="63" x14ac:dyDescent="0.25">
      <c r="A275" s="16">
        <v>8</v>
      </c>
      <c r="B275" s="64">
        <v>999</v>
      </c>
      <c r="C275" s="67">
        <v>45988</v>
      </c>
      <c r="D275" s="67" t="s">
        <v>1158</v>
      </c>
      <c r="E275" s="64" t="s">
        <v>1160</v>
      </c>
      <c r="F275" s="27" t="s">
        <v>1161</v>
      </c>
      <c r="G275" s="149" t="s">
        <v>1162</v>
      </c>
      <c r="H275" s="68">
        <v>200000</v>
      </c>
      <c r="I275" s="69"/>
      <c r="J275" s="68"/>
      <c r="K275" s="68">
        <v>4</v>
      </c>
      <c r="L275" s="70">
        <v>200000</v>
      </c>
      <c r="M275" s="66"/>
    </row>
    <row r="276" spans="1:13" ht="63" x14ac:dyDescent="0.25">
      <c r="A276" s="16">
        <v>9</v>
      </c>
      <c r="B276" s="64">
        <v>1000</v>
      </c>
      <c r="C276" s="67">
        <v>45988</v>
      </c>
      <c r="D276" s="67" t="s">
        <v>528</v>
      </c>
      <c r="E276" s="64" t="s">
        <v>527</v>
      </c>
      <c r="F276" s="27" t="s">
        <v>1163</v>
      </c>
      <c r="G276" s="148" t="s">
        <v>1164</v>
      </c>
      <c r="H276" s="68"/>
      <c r="I276" s="69">
        <v>0.95</v>
      </c>
      <c r="J276" s="68"/>
      <c r="K276" s="68">
        <v>15</v>
      </c>
      <c r="L276" s="70">
        <v>900000</v>
      </c>
      <c r="M276" s="89" t="s">
        <v>1143</v>
      </c>
    </row>
    <row r="277" spans="1:13" ht="47.25" x14ac:dyDescent="0.25">
      <c r="A277" s="16">
        <v>10</v>
      </c>
      <c r="B277" s="64">
        <v>1001</v>
      </c>
      <c r="C277" s="67">
        <v>45988</v>
      </c>
      <c r="D277" s="67" t="s">
        <v>1165</v>
      </c>
      <c r="E277" s="64" t="s">
        <v>1166</v>
      </c>
      <c r="F277" s="27" t="s">
        <v>1167</v>
      </c>
      <c r="G277" s="148" t="s">
        <v>1168</v>
      </c>
      <c r="H277" s="68"/>
      <c r="I277" s="69">
        <v>0.85</v>
      </c>
      <c r="J277" s="68"/>
      <c r="K277" s="68">
        <v>20</v>
      </c>
      <c r="L277" s="70">
        <v>2322000</v>
      </c>
      <c r="M277" s="89" t="s">
        <v>1143</v>
      </c>
    </row>
    <row r="278" spans="1:13" ht="47.25" x14ac:dyDescent="0.25">
      <c r="A278" s="16">
        <v>11</v>
      </c>
      <c r="B278" s="64">
        <v>1002</v>
      </c>
      <c r="C278" s="67">
        <v>45988</v>
      </c>
      <c r="D278" s="67" t="s">
        <v>1169</v>
      </c>
      <c r="E278" s="64" t="s">
        <v>1170</v>
      </c>
      <c r="F278" s="27" t="s">
        <v>1167</v>
      </c>
      <c r="G278" s="148" t="s">
        <v>1168</v>
      </c>
      <c r="H278" s="68"/>
      <c r="I278" s="69">
        <v>0.95</v>
      </c>
      <c r="J278" s="68"/>
      <c r="K278" s="68">
        <v>15</v>
      </c>
      <c r="L278" s="70">
        <v>738000</v>
      </c>
      <c r="M278" s="89" t="s">
        <v>1143</v>
      </c>
    </row>
    <row r="279" spans="1:13" ht="47.25" x14ac:dyDescent="0.25">
      <c r="A279" s="16">
        <v>12</v>
      </c>
      <c r="B279" s="64">
        <v>1003</v>
      </c>
      <c r="C279" s="67">
        <v>45988</v>
      </c>
      <c r="D279" s="67" t="s">
        <v>1171</v>
      </c>
      <c r="E279" s="64" t="s">
        <v>1172</v>
      </c>
      <c r="F279" s="27" t="s">
        <v>1167</v>
      </c>
      <c r="G279" s="148" t="s">
        <v>1168</v>
      </c>
      <c r="H279" s="68"/>
      <c r="I279" s="69">
        <v>0.95</v>
      </c>
      <c r="J279" s="68"/>
      <c r="K279" s="68">
        <v>15</v>
      </c>
      <c r="L279" s="70">
        <v>774000</v>
      </c>
      <c r="M279" s="89" t="s">
        <v>1143</v>
      </c>
    </row>
    <row r="280" spans="1:13" ht="47.25" x14ac:dyDescent="0.25">
      <c r="A280" s="16">
        <v>13</v>
      </c>
      <c r="B280" s="64">
        <v>1004</v>
      </c>
      <c r="C280" s="67">
        <v>45988</v>
      </c>
      <c r="D280" s="67" t="s">
        <v>1173</v>
      </c>
      <c r="E280" s="64" t="s">
        <v>1182</v>
      </c>
      <c r="F280" s="27" t="s">
        <v>1174</v>
      </c>
      <c r="G280" s="148" t="s">
        <v>1175</v>
      </c>
      <c r="H280" s="68">
        <v>200000</v>
      </c>
      <c r="I280" s="69"/>
      <c r="J280" s="68"/>
      <c r="K280" s="68">
        <v>7</v>
      </c>
      <c r="L280" s="70">
        <v>200000</v>
      </c>
      <c r="M280" s="66"/>
    </row>
    <row r="281" spans="1:13" ht="63" x14ac:dyDescent="0.25">
      <c r="A281" s="16">
        <v>14</v>
      </c>
      <c r="B281" s="64">
        <v>1007</v>
      </c>
      <c r="C281" s="67">
        <v>45988</v>
      </c>
      <c r="D281" s="67" t="s">
        <v>1176</v>
      </c>
      <c r="E281" s="64" t="s">
        <v>1177</v>
      </c>
      <c r="F281" s="27" t="s">
        <v>1178</v>
      </c>
      <c r="G281" s="148" t="s">
        <v>1179</v>
      </c>
      <c r="H281" s="68"/>
      <c r="I281" s="69">
        <v>0.85</v>
      </c>
      <c r="J281" s="68"/>
      <c r="K281" s="68">
        <v>21</v>
      </c>
      <c r="L281" s="70">
        <v>684000</v>
      </c>
      <c r="M281" s="89" t="s">
        <v>1143</v>
      </c>
    </row>
    <row r="282" spans="1:13" ht="94.5" x14ac:dyDescent="0.25">
      <c r="A282" s="16">
        <v>15</v>
      </c>
      <c r="B282" s="64">
        <v>1006</v>
      </c>
      <c r="C282" s="67">
        <v>45988</v>
      </c>
      <c r="D282" s="67" t="s">
        <v>279</v>
      </c>
      <c r="E282" s="64" t="s">
        <v>280</v>
      </c>
      <c r="F282" s="27" t="s">
        <v>1180</v>
      </c>
      <c r="G282" s="148" t="s">
        <v>1181</v>
      </c>
      <c r="H282" s="68"/>
      <c r="I282" s="69">
        <v>0.85</v>
      </c>
      <c r="J282" s="68"/>
      <c r="K282" s="68">
        <v>20</v>
      </c>
      <c r="L282" s="70">
        <v>1476000</v>
      </c>
      <c r="M282" s="89" t="s">
        <v>1143</v>
      </c>
    </row>
    <row r="283" spans="1:13" ht="47.25" x14ac:dyDescent="0.25">
      <c r="A283" s="16">
        <v>16</v>
      </c>
      <c r="B283" s="64">
        <v>1009</v>
      </c>
      <c r="C283" s="67">
        <v>45989</v>
      </c>
      <c r="D283" s="67" t="s">
        <v>1183</v>
      </c>
      <c r="E283" s="64" t="s">
        <v>1184</v>
      </c>
      <c r="F283" s="27" t="s">
        <v>1185</v>
      </c>
      <c r="G283" s="148" t="s">
        <v>1186</v>
      </c>
      <c r="H283" s="68"/>
      <c r="I283" s="69">
        <v>0.8</v>
      </c>
      <c r="J283" s="68"/>
      <c r="K283" s="68">
        <v>20</v>
      </c>
      <c r="L283" s="70">
        <v>2592000</v>
      </c>
      <c r="M283" s="89" t="s">
        <v>1143</v>
      </c>
    </row>
    <row r="284" spans="1:13" x14ac:dyDescent="0.25">
      <c r="A284" s="191" t="s">
        <v>30</v>
      </c>
      <c r="B284" s="191"/>
      <c r="C284" s="191"/>
      <c r="D284" s="191"/>
      <c r="E284" s="191"/>
      <c r="F284" s="191"/>
      <c r="G284" s="191"/>
      <c r="H284" s="72">
        <f>SUM(H268:H283)</f>
        <v>12600000</v>
      </c>
      <c r="I284" s="72"/>
      <c r="J284" s="72">
        <f>SUM(J268:J283)</f>
        <v>31000000</v>
      </c>
      <c r="K284" s="72">
        <f>SUM(K268:K283)</f>
        <v>203</v>
      </c>
      <c r="L284" s="72">
        <f>SUM(L268:L283)</f>
        <v>54086000</v>
      </c>
      <c r="M284" s="27"/>
    </row>
    <row r="285" spans="1:13" x14ac:dyDescent="0.25">
      <c r="A285" s="192" t="s">
        <v>18</v>
      </c>
      <c r="B285" s="192"/>
      <c r="C285" s="192"/>
      <c r="D285" s="184" t="s">
        <v>1244</v>
      </c>
      <c r="E285" s="184"/>
      <c r="F285" s="184"/>
      <c r="G285" s="184"/>
      <c r="H285" s="12"/>
      <c r="I285" s="12"/>
      <c r="J285" s="12"/>
      <c r="K285" s="12"/>
      <c r="L285" s="12"/>
      <c r="M285" s="13"/>
    </row>
    <row r="286" spans="1:13" x14ac:dyDescent="0.25">
      <c r="A286" s="13"/>
      <c r="B286" s="13"/>
      <c r="C286" s="13"/>
      <c r="D286" s="13"/>
      <c r="E286" s="11"/>
      <c r="F286" s="11"/>
      <c r="G286" s="11"/>
      <c r="H286" s="12"/>
      <c r="I286" s="12"/>
      <c r="J286" s="12"/>
      <c r="K286" s="12"/>
      <c r="L286" s="12"/>
      <c r="M286" s="13"/>
    </row>
    <row r="287" spans="1:13" x14ac:dyDescent="0.25">
      <c r="A287" s="86"/>
      <c r="B287" s="175" t="s">
        <v>34</v>
      </c>
      <c r="C287" s="175"/>
      <c r="D287" s="175"/>
      <c r="E287" s="175"/>
      <c r="F287" s="74"/>
      <c r="G287" s="74"/>
      <c r="H287" s="14"/>
      <c r="I287" s="14"/>
      <c r="J287" s="175" t="s">
        <v>4</v>
      </c>
      <c r="K287" s="175"/>
      <c r="L287" s="175"/>
      <c r="M287" s="175"/>
    </row>
    <row r="288" spans="1:13" x14ac:dyDescent="0.25">
      <c r="A288" s="86"/>
      <c r="B288" s="86"/>
      <c r="C288" s="86"/>
      <c r="D288" s="86"/>
      <c r="E288" s="86"/>
      <c r="F288" s="74"/>
      <c r="G288" s="74"/>
      <c r="H288" s="14"/>
      <c r="I288" s="14"/>
      <c r="J288" s="86"/>
      <c r="K288" s="86"/>
      <c r="L288" s="86"/>
      <c r="M288" s="86"/>
    </row>
    <row r="289" spans="1:13" x14ac:dyDescent="0.25">
      <c r="A289" s="86"/>
      <c r="B289" s="86"/>
      <c r="C289" s="86"/>
      <c r="D289" s="86"/>
      <c r="E289" s="86"/>
      <c r="F289" s="74"/>
      <c r="G289" s="74"/>
      <c r="H289" s="14"/>
      <c r="I289" s="14"/>
      <c r="J289" s="86"/>
      <c r="K289" s="86"/>
      <c r="L289" s="86"/>
      <c r="M289" s="86"/>
    </row>
    <row r="290" spans="1:13" x14ac:dyDescent="0.25">
      <c r="A290" s="13"/>
      <c r="B290" s="13"/>
      <c r="C290" s="13"/>
      <c r="D290" s="13"/>
      <c r="E290" s="11"/>
      <c r="F290" s="11"/>
      <c r="G290" s="11"/>
      <c r="H290" s="12"/>
      <c r="I290" s="12"/>
      <c r="J290" s="12"/>
      <c r="K290" s="12"/>
      <c r="L290" s="12"/>
      <c r="M290" s="13"/>
    </row>
    <row r="291" spans="1:13" x14ac:dyDescent="0.25">
      <c r="A291" s="13"/>
      <c r="B291" s="176" t="s">
        <v>829</v>
      </c>
      <c r="C291" s="176"/>
      <c r="D291" s="176"/>
      <c r="E291" s="176"/>
      <c r="F291" s="11"/>
      <c r="G291" s="15"/>
      <c r="H291" s="12"/>
      <c r="I291" s="12"/>
      <c r="J291" s="176" t="s">
        <v>936</v>
      </c>
      <c r="K291" s="176"/>
      <c r="L291" s="176"/>
      <c r="M291" s="176"/>
    </row>
  </sheetData>
  <mergeCells count="105">
    <mergeCell ref="B261:E261"/>
    <mergeCell ref="J261:M261"/>
    <mergeCell ref="G240:M240"/>
    <mergeCell ref="G241:M241"/>
    <mergeCell ref="H242:M242"/>
    <mergeCell ref="A243:M243"/>
    <mergeCell ref="A254:G254"/>
    <mergeCell ref="A255:C255"/>
    <mergeCell ref="D255:G255"/>
    <mergeCell ref="B257:E257"/>
    <mergeCell ref="J257:M257"/>
    <mergeCell ref="G216:M216"/>
    <mergeCell ref="G217:M217"/>
    <mergeCell ref="H218:M218"/>
    <mergeCell ref="A219:M219"/>
    <mergeCell ref="A230:G230"/>
    <mergeCell ref="A231:C231"/>
    <mergeCell ref="B233:E233"/>
    <mergeCell ref="J233:M233"/>
    <mergeCell ref="B237:E237"/>
    <mergeCell ref="J237:M237"/>
    <mergeCell ref="D231:G231"/>
    <mergeCell ref="A68:G68"/>
    <mergeCell ref="A69:C69"/>
    <mergeCell ref="B71:E71"/>
    <mergeCell ref="J71:M71"/>
    <mergeCell ref="B75:E75"/>
    <mergeCell ref="J75:M75"/>
    <mergeCell ref="B100:E100"/>
    <mergeCell ref="J100:M100"/>
    <mergeCell ref="B104:E104"/>
    <mergeCell ref="J104:M104"/>
    <mergeCell ref="G80:M80"/>
    <mergeCell ref="H81:M81"/>
    <mergeCell ref="A82:M82"/>
    <mergeCell ref="A97:G97"/>
    <mergeCell ref="A98:C98"/>
    <mergeCell ref="G30:M30"/>
    <mergeCell ref="G31:M31"/>
    <mergeCell ref="H32:M32"/>
    <mergeCell ref="A33:M33"/>
    <mergeCell ref="M36:M38"/>
    <mergeCell ref="G59:M59"/>
    <mergeCell ref="G60:M60"/>
    <mergeCell ref="H61:M61"/>
    <mergeCell ref="A62:M62"/>
    <mergeCell ref="A47:G47"/>
    <mergeCell ref="A48:C48"/>
    <mergeCell ref="B50:E50"/>
    <mergeCell ref="J50:M50"/>
    <mergeCell ref="B54:E54"/>
    <mergeCell ref="J54:M54"/>
    <mergeCell ref="A18:G18"/>
    <mergeCell ref="A19:C19"/>
    <mergeCell ref="B21:E21"/>
    <mergeCell ref="J21:M21"/>
    <mergeCell ref="B25:E25"/>
    <mergeCell ref="J25:M25"/>
    <mergeCell ref="G1:M1"/>
    <mergeCell ref="G2:M2"/>
    <mergeCell ref="H3:M3"/>
    <mergeCell ref="A4:M4"/>
    <mergeCell ref="M7:M9"/>
    <mergeCell ref="B177:E177"/>
    <mergeCell ref="J177:M177"/>
    <mergeCell ref="A148:M148"/>
    <mergeCell ref="A171:G171"/>
    <mergeCell ref="A172:C172"/>
    <mergeCell ref="B174:E174"/>
    <mergeCell ref="J174:M174"/>
    <mergeCell ref="G79:M79"/>
    <mergeCell ref="G107:M107"/>
    <mergeCell ref="G145:M145"/>
    <mergeCell ref="G146:M146"/>
    <mergeCell ref="H147:M147"/>
    <mergeCell ref="B136:E136"/>
    <mergeCell ref="J136:M136"/>
    <mergeCell ref="B140:E140"/>
    <mergeCell ref="J140:M140"/>
    <mergeCell ref="G108:M108"/>
    <mergeCell ref="H109:M109"/>
    <mergeCell ref="A110:M110"/>
    <mergeCell ref="A133:G133"/>
    <mergeCell ref="A134:C134"/>
    <mergeCell ref="A209:C209"/>
    <mergeCell ref="B211:E211"/>
    <mergeCell ref="J211:M211"/>
    <mergeCell ref="B214:E214"/>
    <mergeCell ref="J214:M214"/>
    <mergeCell ref="G182:M182"/>
    <mergeCell ref="G183:M183"/>
    <mergeCell ref="H184:M184"/>
    <mergeCell ref="A185:M185"/>
    <mergeCell ref="A208:G208"/>
    <mergeCell ref="A285:C285"/>
    <mergeCell ref="D285:G285"/>
    <mergeCell ref="B287:E287"/>
    <mergeCell ref="J287:M287"/>
    <mergeCell ref="B291:E291"/>
    <mergeCell ref="J291:M291"/>
    <mergeCell ref="G263:M263"/>
    <mergeCell ref="G264:M264"/>
    <mergeCell ref="H265:M265"/>
    <mergeCell ref="A266:M266"/>
    <mergeCell ref="A284:G284"/>
  </mergeCells>
  <pageMargins left="0.47244094488188998" right="0.196850393700787" top="0.196850393700787" bottom="0.196850393700787" header="0.15748031496063" footer="0.196850393700787"/>
  <pageSetup paperSize="9" scale="68" fitToHeight="0" orientation="landscape"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45"/>
  <sheetViews>
    <sheetView topLeftCell="A329" workbookViewId="0">
      <selection activeCell="A319" sqref="A319:A335"/>
    </sheetView>
  </sheetViews>
  <sheetFormatPr defaultColWidth="10.28515625" defaultRowHeight="15.75" x14ac:dyDescent="0.25"/>
  <cols>
    <col min="1" max="1" width="4.140625" style="13" customWidth="1"/>
    <col min="2" max="2" width="7.5703125" style="13" customWidth="1"/>
    <col min="3" max="3" width="11.28515625" style="115" bestFit="1" customWidth="1"/>
    <col min="4" max="4" width="11.28515625" style="11" customWidth="1"/>
    <col min="5" max="5" width="21.42578125" style="11" customWidth="1"/>
    <col min="6" max="6" width="17" style="11" customWidth="1"/>
    <col min="7" max="7" width="38.5703125" style="11" customWidth="1"/>
    <col min="8" max="8" width="13.42578125" style="12" customWidth="1"/>
    <col min="9" max="11" width="10.28515625" style="12"/>
    <col min="12" max="12" width="11.85546875" style="12" customWidth="1"/>
    <col min="13" max="13" width="13.7109375" style="13" customWidth="1"/>
    <col min="14" max="16" width="10.28515625" style="13"/>
    <col min="17" max="17" width="11.28515625" style="13" bestFit="1" customWidth="1"/>
    <col min="18" max="16384" width="10.28515625" style="13"/>
  </cols>
  <sheetData>
    <row r="1" spans="1:13" x14ac:dyDescent="0.25">
      <c r="A1" s="177" t="s">
        <v>0</v>
      </c>
      <c r="B1" s="177"/>
      <c r="C1" s="177"/>
      <c r="D1" s="177"/>
      <c r="E1" s="177"/>
      <c r="F1" s="177"/>
      <c r="G1" s="178" t="s">
        <v>1</v>
      </c>
      <c r="H1" s="178"/>
      <c r="I1" s="178"/>
      <c r="J1" s="178"/>
      <c r="K1" s="178"/>
      <c r="L1" s="178"/>
      <c r="M1" s="178"/>
    </row>
    <row r="2" spans="1:13" x14ac:dyDescent="0.25">
      <c r="A2" s="177" t="s">
        <v>22</v>
      </c>
      <c r="B2" s="177"/>
      <c r="C2" s="177"/>
      <c r="D2" s="177"/>
      <c r="E2" s="177"/>
      <c r="F2" s="177"/>
      <c r="G2" s="178" t="s">
        <v>2</v>
      </c>
      <c r="H2" s="178"/>
      <c r="I2" s="178"/>
      <c r="J2" s="178"/>
      <c r="K2" s="178"/>
      <c r="L2" s="178"/>
      <c r="M2" s="178"/>
    </row>
    <row r="3" spans="1:13" ht="24" customHeight="1" x14ac:dyDescent="0.25">
      <c r="A3" s="25"/>
      <c r="B3" s="26"/>
      <c r="C3" s="113"/>
      <c r="D3" s="26"/>
      <c r="E3" s="26"/>
      <c r="F3" s="26"/>
      <c r="G3" s="179" t="s">
        <v>62</v>
      </c>
      <c r="H3" s="179"/>
      <c r="I3" s="179"/>
      <c r="J3" s="179"/>
      <c r="K3" s="179"/>
      <c r="L3" s="179"/>
      <c r="M3" s="179"/>
    </row>
    <row r="4" spans="1:13" ht="18.75" x14ac:dyDescent="0.25">
      <c r="A4" s="180" t="s">
        <v>61</v>
      </c>
      <c r="B4" s="180"/>
      <c r="C4" s="180"/>
      <c r="D4" s="180"/>
      <c r="E4" s="180"/>
      <c r="F4" s="180"/>
      <c r="G4" s="180"/>
      <c r="H4" s="180"/>
      <c r="I4" s="180"/>
      <c r="J4" s="180"/>
      <c r="K4" s="180"/>
      <c r="L4" s="180"/>
      <c r="M4" s="180"/>
    </row>
    <row r="5" spans="1:13" ht="31.5" x14ac:dyDescent="0.25">
      <c r="A5" s="2" t="s">
        <v>7</v>
      </c>
      <c r="B5" s="2" t="s">
        <v>8</v>
      </c>
      <c r="C5" s="114" t="s">
        <v>9</v>
      </c>
      <c r="D5" s="9" t="s">
        <v>31</v>
      </c>
      <c r="E5" s="2" t="s">
        <v>10</v>
      </c>
      <c r="F5" s="2" t="s">
        <v>11</v>
      </c>
      <c r="G5" s="2" t="s">
        <v>12</v>
      </c>
      <c r="H5" s="22" t="s">
        <v>13</v>
      </c>
      <c r="I5" s="23" t="s">
        <v>14</v>
      </c>
      <c r="J5" s="22" t="s">
        <v>15</v>
      </c>
      <c r="K5" s="22"/>
      <c r="L5" s="23" t="s">
        <v>16</v>
      </c>
      <c r="M5" s="9" t="s">
        <v>20</v>
      </c>
    </row>
    <row r="6" spans="1:13" ht="27" customHeight="1" x14ac:dyDescent="0.25">
      <c r="A6" s="3">
        <v>1</v>
      </c>
      <c r="B6" s="64"/>
      <c r="C6" s="109"/>
      <c r="D6" s="109"/>
      <c r="E6" s="64"/>
      <c r="F6" s="27"/>
      <c r="G6" s="27"/>
      <c r="H6" s="68"/>
      <c r="I6" s="69"/>
      <c r="J6" s="68"/>
      <c r="K6" s="68"/>
      <c r="L6" s="70">
        <f>H6+J6</f>
        <v>0</v>
      </c>
      <c r="M6" s="89"/>
    </row>
    <row r="7" spans="1:13" ht="27" customHeight="1" x14ac:dyDescent="0.25">
      <c r="A7" s="3">
        <v>2</v>
      </c>
      <c r="B7" s="64"/>
      <c r="C7" s="109"/>
      <c r="D7" s="109"/>
      <c r="E7" s="64"/>
      <c r="F7" s="27"/>
      <c r="G7" s="27"/>
      <c r="H7" s="68"/>
      <c r="I7" s="69"/>
      <c r="J7" s="68"/>
      <c r="K7" s="68"/>
      <c r="L7" s="70">
        <f t="shared" ref="L7:L13" si="0">H7+J7</f>
        <v>0</v>
      </c>
      <c r="M7" s="89"/>
    </row>
    <row r="8" spans="1:13" ht="27" hidden="1" customHeight="1" x14ac:dyDescent="0.25">
      <c r="A8" s="3">
        <v>3</v>
      </c>
      <c r="B8" s="64"/>
      <c r="C8" s="109"/>
      <c r="D8" s="109"/>
      <c r="E8" s="64"/>
      <c r="F8" s="27"/>
      <c r="G8" s="27"/>
      <c r="H8" s="68"/>
      <c r="I8" s="69"/>
      <c r="J8" s="68"/>
      <c r="K8" s="68"/>
      <c r="L8" s="70">
        <f t="shared" si="0"/>
        <v>0</v>
      </c>
      <c r="M8" s="89"/>
    </row>
    <row r="9" spans="1:13" ht="27" hidden="1" customHeight="1" x14ac:dyDescent="0.25">
      <c r="A9" s="3">
        <v>4</v>
      </c>
      <c r="B9" s="64"/>
      <c r="C9" s="109"/>
      <c r="D9" s="109"/>
      <c r="E9" s="64"/>
      <c r="F9" s="27"/>
      <c r="G9" s="27"/>
      <c r="H9" s="68"/>
      <c r="I9" s="69"/>
      <c r="J9" s="68"/>
      <c r="K9" s="68"/>
      <c r="L9" s="70">
        <f t="shared" si="0"/>
        <v>0</v>
      </c>
      <c r="M9" s="89"/>
    </row>
    <row r="10" spans="1:13" ht="27" hidden="1" customHeight="1" x14ac:dyDescent="0.25">
      <c r="A10" s="3">
        <v>5</v>
      </c>
      <c r="B10" s="64"/>
      <c r="C10" s="109"/>
      <c r="D10" s="109"/>
      <c r="E10" s="64"/>
      <c r="F10" s="27"/>
      <c r="G10" s="27"/>
      <c r="H10" s="68"/>
      <c r="I10" s="69"/>
      <c r="J10" s="68"/>
      <c r="K10" s="68"/>
      <c r="L10" s="70">
        <f t="shared" si="0"/>
        <v>0</v>
      </c>
      <c r="M10" s="89"/>
    </row>
    <row r="11" spans="1:13" ht="27" hidden="1" customHeight="1" x14ac:dyDescent="0.25">
      <c r="A11" s="3">
        <v>6</v>
      </c>
      <c r="B11" s="64"/>
      <c r="C11" s="109"/>
      <c r="D11" s="109"/>
      <c r="E11" s="64"/>
      <c r="F11" s="27"/>
      <c r="G11" s="27"/>
      <c r="H11" s="68"/>
      <c r="I11" s="69"/>
      <c r="J11" s="68"/>
      <c r="K11" s="68"/>
      <c r="L11" s="70">
        <f t="shared" si="0"/>
        <v>0</v>
      </c>
      <c r="M11" s="89"/>
    </row>
    <row r="12" spans="1:13" ht="27" hidden="1" customHeight="1" x14ac:dyDescent="0.25">
      <c r="A12" s="3">
        <v>7</v>
      </c>
      <c r="B12" s="64"/>
      <c r="C12" s="109"/>
      <c r="D12" s="109"/>
      <c r="E12" s="64"/>
      <c r="F12" s="27"/>
      <c r="G12" s="27"/>
      <c r="H12" s="68"/>
      <c r="I12" s="69"/>
      <c r="J12" s="68"/>
      <c r="K12" s="68"/>
      <c r="L12" s="70">
        <f t="shared" si="0"/>
        <v>0</v>
      </c>
      <c r="M12" s="89"/>
    </row>
    <row r="13" spans="1:13" ht="27" hidden="1" customHeight="1" x14ac:dyDescent="0.25">
      <c r="A13" s="3">
        <v>8</v>
      </c>
      <c r="B13" s="64"/>
      <c r="C13" s="109"/>
      <c r="D13" s="109"/>
      <c r="E13" s="64"/>
      <c r="F13" s="27"/>
      <c r="G13" s="27"/>
      <c r="H13" s="68"/>
      <c r="I13" s="69"/>
      <c r="J13" s="68"/>
      <c r="K13" s="68"/>
      <c r="L13" s="70">
        <f t="shared" si="0"/>
        <v>0</v>
      </c>
      <c r="M13" s="89"/>
    </row>
    <row r="14" spans="1:13" ht="25.15" customHeight="1" x14ac:dyDescent="0.25">
      <c r="A14" s="181" t="s">
        <v>30</v>
      </c>
      <c r="B14" s="182"/>
      <c r="C14" s="182"/>
      <c r="D14" s="182"/>
      <c r="E14" s="182"/>
      <c r="F14" s="182"/>
      <c r="G14" s="183"/>
      <c r="H14" s="24">
        <f>SUM(H6:H13)</f>
        <v>0</v>
      </c>
      <c r="I14" s="24"/>
      <c r="J14" s="24">
        <f>SUM(J6:J13)</f>
        <v>0</v>
      </c>
      <c r="K14" s="24"/>
      <c r="L14" s="24">
        <f>SUM(L6:L13)</f>
        <v>0</v>
      </c>
      <c r="M14" s="75"/>
    </row>
    <row r="15" spans="1:13" x14ac:dyDescent="0.25">
      <c r="A15" s="184" t="s">
        <v>18</v>
      </c>
      <c r="B15" s="184"/>
      <c r="C15" s="184"/>
      <c r="D15" s="110"/>
      <c r="E15" s="111" t="e">
        <f ca="1">[2]!vnd(L14)</f>
        <v>#NAME?</v>
      </c>
      <c r="G15" s="110"/>
    </row>
    <row r="17" spans="1:13" x14ac:dyDescent="0.25">
      <c r="A17" s="86"/>
      <c r="B17" s="175" t="s">
        <v>34</v>
      </c>
      <c r="C17" s="175"/>
      <c r="D17" s="175"/>
      <c r="E17" s="175"/>
      <c r="F17" s="74"/>
      <c r="G17" s="74"/>
      <c r="H17" s="14"/>
      <c r="I17" s="14"/>
      <c r="J17" s="175" t="s">
        <v>4</v>
      </c>
      <c r="K17" s="175"/>
      <c r="L17" s="175"/>
      <c r="M17" s="175"/>
    </row>
    <row r="21" spans="1:13" x14ac:dyDescent="0.25">
      <c r="B21" s="176" t="s">
        <v>64</v>
      </c>
      <c r="C21" s="176"/>
      <c r="D21" s="176"/>
      <c r="E21" s="176"/>
      <c r="G21" s="15"/>
      <c r="J21" s="176" t="s">
        <v>3</v>
      </c>
      <c r="K21" s="176"/>
      <c r="L21" s="176"/>
      <c r="M21" s="176"/>
    </row>
    <row r="29" spans="1:13" x14ac:dyDescent="0.25">
      <c r="A29" s="177" t="s">
        <v>0</v>
      </c>
      <c r="B29" s="177"/>
      <c r="C29" s="177"/>
      <c r="D29" s="177"/>
      <c r="E29" s="177"/>
      <c r="F29" s="177"/>
      <c r="G29" s="178" t="s">
        <v>1</v>
      </c>
      <c r="H29" s="178"/>
      <c r="I29" s="178"/>
      <c r="J29" s="178"/>
      <c r="K29" s="178"/>
      <c r="L29" s="178"/>
      <c r="M29" s="178"/>
    </row>
    <row r="30" spans="1:13" x14ac:dyDescent="0.25">
      <c r="A30" s="177" t="s">
        <v>22</v>
      </c>
      <c r="B30" s="177"/>
      <c r="C30" s="177"/>
      <c r="D30" s="177"/>
      <c r="E30" s="177"/>
      <c r="F30" s="177"/>
      <c r="G30" s="178" t="s">
        <v>2</v>
      </c>
      <c r="H30" s="178"/>
      <c r="I30" s="178"/>
      <c r="J30" s="178"/>
      <c r="K30" s="178"/>
      <c r="L30" s="178"/>
      <c r="M30" s="178"/>
    </row>
    <row r="31" spans="1:13" ht="24" customHeight="1" x14ac:dyDescent="0.25">
      <c r="A31" s="25"/>
      <c r="B31" s="26"/>
      <c r="C31" s="113"/>
      <c r="D31" s="26"/>
      <c r="E31" s="26"/>
      <c r="F31" s="26"/>
      <c r="G31" s="179" t="s">
        <v>83</v>
      </c>
      <c r="H31" s="179"/>
      <c r="I31" s="179"/>
      <c r="J31" s="179"/>
      <c r="K31" s="179"/>
      <c r="L31" s="179"/>
      <c r="M31" s="179"/>
    </row>
    <row r="32" spans="1:13" ht="18.75" x14ac:dyDescent="0.25">
      <c r="A32" s="180" t="s">
        <v>109</v>
      </c>
      <c r="B32" s="180"/>
      <c r="C32" s="180"/>
      <c r="D32" s="180"/>
      <c r="E32" s="180"/>
      <c r="F32" s="180"/>
      <c r="G32" s="180"/>
      <c r="H32" s="180"/>
      <c r="I32" s="180"/>
      <c r="J32" s="180"/>
      <c r="K32" s="180"/>
      <c r="L32" s="180"/>
      <c r="M32" s="180"/>
    </row>
    <row r="33" spans="1:13" ht="31.5" x14ac:dyDescent="0.25">
      <c r="A33" s="2" t="s">
        <v>7</v>
      </c>
      <c r="B33" s="2" t="s">
        <v>8</v>
      </c>
      <c r="C33" s="114" t="s">
        <v>9</v>
      </c>
      <c r="D33" s="9" t="s">
        <v>31</v>
      </c>
      <c r="E33" s="2" t="s">
        <v>10</v>
      </c>
      <c r="F33" s="2" t="s">
        <v>11</v>
      </c>
      <c r="G33" s="2" t="s">
        <v>12</v>
      </c>
      <c r="H33" s="22" t="s">
        <v>13</v>
      </c>
      <c r="I33" s="23" t="s">
        <v>14</v>
      </c>
      <c r="J33" s="22" t="s">
        <v>15</v>
      </c>
      <c r="K33" s="22" t="s">
        <v>90</v>
      </c>
      <c r="L33" s="23" t="s">
        <v>16</v>
      </c>
      <c r="M33" s="9" t="s">
        <v>20</v>
      </c>
    </row>
    <row r="34" spans="1:13" ht="132" customHeight="1" x14ac:dyDescent="0.25">
      <c r="A34" s="3">
        <v>1</v>
      </c>
      <c r="B34" s="64">
        <v>77</v>
      </c>
      <c r="C34" s="109">
        <v>45699</v>
      </c>
      <c r="D34" s="109" t="s">
        <v>120</v>
      </c>
      <c r="E34" s="64" t="s">
        <v>121</v>
      </c>
      <c r="F34" s="27" t="s">
        <v>122</v>
      </c>
      <c r="G34" s="27" t="s">
        <v>123</v>
      </c>
      <c r="H34" s="68"/>
      <c r="I34" s="69"/>
      <c r="J34" s="68">
        <f>3138000/2</f>
        <v>1569000</v>
      </c>
      <c r="K34" s="68"/>
      <c r="L34" s="70">
        <f>H34+J34</f>
        <v>1569000</v>
      </c>
      <c r="M34" s="27" t="s">
        <v>124</v>
      </c>
    </row>
    <row r="35" spans="1:13" ht="27" hidden="1" customHeight="1" x14ac:dyDescent="0.25">
      <c r="A35" s="3">
        <v>2</v>
      </c>
      <c r="B35" s="64"/>
      <c r="C35" s="109"/>
      <c r="D35" s="109"/>
      <c r="E35" s="64"/>
      <c r="F35" s="27"/>
      <c r="G35" s="27"/>
      <c r="H35" s="68"/>
      <c r="I35" s="69"/>
      <c r="J35" s="68"/>
      <c r="K35" s="68"/>
      <c r="L35" s="70">
        <f t="shared" ref="L35:L41" si="1">H35+J35</f>
        <v>0</v>
      </c>
      <c r="M35" s="89"/>
    </row>
    <row r="36" spans="1:13" ht="27" hidden="1" customHeight="1" x14ac:dyDescent="0.25">
      <c r="A36" s="3">
        <v>3</v>
      </c>
      <c r="B36" s="64"/>
      <c r="C36" s="109"/>
      <c r="D36" s="109"/>
      <c r="E36" s="64"/>
      <c r="F36" s="27"/>
      <c r="G36" s="27"/>
      <c r="H36" s="68"/>
      <c r="I36" s="69"/>
      <c r="J36" s="68"/>
      <c r="K36" s="68"/>
      <c r="L36" s="70">
        <f t="shared" si="1"/>
        <v>0</v>
      </c>
      <c r="M36" s="89"/>
    </row>
    <row r="37" spans="1:13" ht="27" hidden="1" customHeight="1" x14ac:dyDescent="0.25">
      <c r="A37" s="3">
        <v>4</v>
      </c>
      <c r="B37" s="64"/>
      <c r="C37" s="109"/>
      <c r="D37" s="109"/>
      <c r="E37" s="64"/>
      <c r="F37" s="27"/>
      <c r="G37" s="27"/>
      <c r="H37" s="68"/>
      <c r="I37" s="69"/>
      <c r="J37" s="68"/>
      <c r="K37" s="68"/>
      <c r="L37" s="70">
        <f t="shared" si="1"/>
        <v>0</v>
      </c>
      <c r="M37" s="89"/>
    </row>
    <row r="38" spans="1:13" ht="27" hidden="1" customHeight="1" x14ac:dyDescent="0.25">
      <c r="A38" s="3">
        <v>5</v>
      </c>
      <c r="B38" s="64"/>
      <c r="C38" s="109"/>
      <c r="D38" s="109"/>
      <c r="E38" s="64"/>
      <c r="F38" s="27"/>
      <c r="G38" s="27"/>
      <c r="H38" s="68"/>
      <c r="I38" s="69"/>
      <c r="J38" s="68"/>
      <c r="K38" s="68"/>
      <c r="L38" s="70">
        <f t="shared" si="1"/>
        <v>0</v>
      </c>
      <c r="M38" s="89"/>
    </row>
    <row r="39" spans="1:13" ht="27" hidden="1" customHeight="1" x14ac:dyDescent="0.25">
      <c r="A39" s="3">
        <v>6</v>
      </c>
      <c r="B39" s="64"/>
      <c r="C39" s="109"/>
      <c r="D39" s="109"/>
      <c r="E39" s="64"/>
      <c r="F39" s="27"/>
      <c r="G39" s="27"/>
      <c r="H39" s="68"/>
      <c r="I39" s="69"/>
      <c r="J39" s="68"/>
      <c r="K39" s="68"/>
      <c r="L39" s="70">
        <f t="shared" si="1"/>
        <v>0</v>
      </c>
      <c r="M39" s="89"/>
    </row>
    <row r="40" spans="1:13" ht="27" hidden="1" customHeight="1" x14ac:dyDescent="0.25">
      <c r="A40" s="3">
        <v>7</v>
      </c>
      <c r="B40" s="64"/>
      <c r="C40" s="109"/>
      <c r="D40" s="109"/>
      <c r="E40" s="64"/>
      <c r="F40" s="27"/>
      <c r="G40" s="27"/>
      <c r="H40" s="68"/>
      <c r="I40" s="69"/>
      <c r="J40" s="68"/>
      <c r="K40" s="68"/>
      <c r="L40" s="70">
        <f t="shared" si="1"/>
        <v>0</v>
      </c>
      <c r="M40" s="89"/>
    </row>
    <row r="41" spans="1:13" ht="27" hidden="1" customHeight="1" x14ac:dyDescent="0.25">
      <c r="A41" s="3">
        <v>8</v>
      </c>
      <c r="B41" s="64"/>
      <c r="C41" s="109"/>
      <c r="D41" s="109"/>
      <c r="E41" s="64"/>
      <c r="F41" s="27"/>
      <c r="G41" s="27"/>
      <c r="H41" s="68"/>
      <c r="I41" s="69"/>
      <c r="J41" s="68"/>
      <c r="K41" s="68"/>
      <c r="L41" s="70">
        <f t="shared" si="1"/>
        <v>0</v>
      </c>
      <c r="M41" s="89"/>
    </row>
    <row r="42" spans="1:13" ht="25.15" customHeight="1" x14ac:dyDescent="0.25">
      <c r="A42" s="181" t="s">
        <v>30</v>
      </c>
      <c r="B42" s="182"/>
      <c r="C42" s="182"/>
      <c r="D42" s="182"/>
      <c r="E42" s="182"/>
      <c r="F42" s="182"/>
      <c r="G42" s="183"/>
      <c r="H42" s="24">
        <f>SUM(H34:H41)</f>
        <v>0</v>
      </c>
      <c r="I42" s="24"/>
      <c r="J42" s="24">
        <f>SUM(J34:J41)</f>
        <v>1569000</v>
      </c>
      <c r="K42" s="24"/>
      <c r="L42" s="24">
        <f>SUM(L34:L41)</f>
        <v>1569000</v>
      </c>
      <c r="M42" s="75"/>
    </row>
    <row r="43" spans="1:13" x14ac:dyDescent="0.25">
      <c r="A43" s="184" t="s">
        <v>18</v>
      </c>
      <c r="B43" s="184"/>
      <c r="C43" s="184"/>
      <c r="D43" s="110"/>
      <c r="E43" s="111" t="e">
        <f ca="1">[2]!vnd(L42)</f>
        <v>#NAME?</v>
      </c>
      <c r="G43" s="110"/>
    </row>
    <row r="45" spans="1:13" x14ac:dyDescent="0.25">
      <c r="A45" s="86"/>
      <c r="B45" s="175" t="s">
        <v>34</v>
      </c>
      <c r="C45" s="175"/>
      <c r="D45" s="175"/>
      <c r="E45" s="175"/>
      <c r="F45" s="74"/>
      <c r="G45" s="74"/>
      <c r="H45" s="14"/>
      <c r="I45" s="14"/>
      <c r="J45" s="175" t="s">
        <v>4</v>
      </c>
      <c r="K45" s="175"/>
      <c r="L45" s="175"/>
      <c r="M45" s="175"/>
    </row>
    <row r="49" spans="1:13" x14ac:dyDescent="0.25">
      <c r="B49" s="176" t="s">
        <v>64</v>
      </c>
      <c r="C49" s="176"/>
      <c r="D49" s="176"/>
      <c r="E49" s="176"/>
      <c r="G49" s="15"/>
      <c r="J49" s="176" t="s">
        <v>3</v>
      </c>
      <c r="K49" s="176"/>
      <c r="L49" s="176"/>
      <c r="M49" s="176"/>
    </row>
    <row r="51" spans="1:13" ht="21" customHeight="1" x14ac:dyDescent="0.25"/>
    <row r="54" spans="1:13" x14ac:dyDescent="0.25">
      <c r="A54" s="177" t="s">
        <v>0</v>
      </c>
      <c r="B54" s="177"/>
      <c r="C54" s="177"/>
      <c r="D54" s="177"/>
      <c r="E54" s="177"/>
      <c r="F54" s="177"/>
      <c r="G54" s="178" t="s">
        <v>1</v>
      </c>
      <c r="H54" s="178"/>
      <c r="I54" s="178"/>
      <c r="J54" s="178"/>
      <c r="K54" s="178"/>
      <c r="L54" s="178"/>
      <c r="M54" s="178"/>
    </row>
    <row r="55" spans="1:13" x14ac:dyDescent="0.25">
      <c r="A55" s="177" t="s">
        <v>22</v>
      </c>
      <c r="B55" s="177"/>
      <c r="C55" s="177"/>
      <c r="D55" s="177"/>
      <c r="E55" s="177"/>
      <c r="F55" s="177"/>
      <c r="G55" s="178" t="s">
        <v>2</v>
      </c>
      <c r="H55" s="178"/>
      <c r="I55" s="178"/>
      <c r="J55" s="178"/>
      <c r="K55" s="178"/>
      <c r="L55" s="178"/>
      <c r="M55" s="178"/>
    </row>
    <row r="56" spans="1:13" ht="24" customHeight="1" x14ac:dyDescent="0.25">
      <c r="A56" s="25"/>
      <c r="B56" s="26"/>
      <c r="C56" s="113"/>
      <c r="D56" s="26"/>
      <c r="E56" s="26"/>
      <c r="F56" s="26"/>
      <c r="G56" s="179" t="s">
        <v>95</v>
      </c>
      <c r="H56" s="179"/>
      <c r="I56" s="179"/>
      <c r="J56" s="179"/>
      <c r="K56" s="179"/>
      <c r="L56" s="179"/>
      <c r="M56" s="179"/>
    </row>
    <row r="57" spans="1:13" ht="18.75" x14ac:dyDescent="0.25">
      <c r="A57" s="180" t="s">
        <v>115</v>
      </c>
      <c r="B57" s="180"/>
      <c r="C57" s="180"/>
      <c r="D57" s="180"/>
      <c r="E57" s="180"/>
      <c r="F57" s="180"/>
      <c r="G57" s="180"/>
      <c r="H57" s="180"/>
      <c r="I57" s="180"/>
      <c r="J57" s="180"/>
      <c r="K57" s="180"/>
      <c r="L57" s="180"/>
      <c r="M57" s="180"/>
    </row>
    <row r="58" spans="1:13" ht="31.5" x14ac:dyDescent="0.25">
      <c r="A58" s="2" t="s">
        <v>7</v>
      </c>
      <c r="B58" s="2" t="s">
        <v>8</v>
      </c>
      <c r="C58" s="114" t="s">
        <v>9</v>
      </c>
      <c r="D58" s="9" t="s">
        <v>31</v>
      </c>
      <c r="E58" s="2" t="s">
        <v>10</v>
      </c>
      <c r="F58" s="2" t="s">
        <v>11</v>
      </c>
      <c r="G58" s="2" t="s">
        <v>12</v>
      </c>
      <c r="H58" s="22" t="s">
        <v>13</v>
      </c>
      <c r="I58" s="23" t="s">
        <v>14</v>
      </c>
      <c r="J58" s="22" t="s">
        <v>15</v>
      </c>
      <c r="K58" s="22" t="s">
        <v>90</v>
      </c>
      <c r="L58" s="23" t="s">
        <v>16</v>
      </c>
      <c r="M58" s="9" t="s">
        <v>20</v>
      </c>
    </row>
    <row r="59" spans="1:13" ht="115.15" customHeight="1" x14ac:dyDescent="0.25">
      <c r="A59" s="3">
        <v>1</v>
      </c>
      <c r="B59" s="64">
        <v>132</v>
      </c>
      <c r="C59" s="109">
        <v>45714</v>
      </c>
      <c r="D59" s="109" t="s">
        <v>116</v>
      </c>
      <c r="E59" s="64" t="s">
        <v>117</v>
      </c>
      <c r="F59" s="27" t="s">
        <v>118</v>
      </c>
      <c r="G59" s="27" t="s">
        <v>119</v>
      </c>
      <c r="H59" s="68"/>
      <c r="I59" s="69"/>
      <c r="J59" s="68">
        <v>817000</v>
      </c>
      <c r="K59" s="68">
        <v>30</v>
      </c>
      <c r="L59" s="70">
        <f>H59+J59</f>
        <v>817000</v>
      </c>
      <c r="M59" s="89"/>
    </row>
    <row r="60" spans="1:13" ht="130.9" customHeight="1" x14ac:dyDescent="0.25">
      <c r="A60" s="3">
        <v>2</v>
      </c>
      <c r="B60" s="64">
        <v>77</v>
      </c>
      <c r="C60" s="109">
        <v>45699</v>
      </c>
      <c r="D60" s="109" t="s">
        <v>120</v>
      </c>
      <c r="E60" s="64" t="s">
        <v>121</v>
      </c>
      <c r="F60" s="27" t="s">
        <v>122</v>
      </c>
      <c r="G60" s="27" t="s">
        <v>123</v>
      </c>
      <c r="H60" s="68"/>
      <c r="I60" s="69"/>
      <c r="J60" s="68">
        <f>3138000/2</f>
        <v>1569000</v>
      </c>
      <c r="K60" s="68"/>
      <c r="L60" s="70">
        <f>H60+J60</f>
        <v>1569000</v>
      </c>
      <c r="M60" s="27" t="s">
        <v>124</v>
      </c>
    </row>
    <row r="61" spans="1:13" ht="130.9" customHeight="1" x14ac:dyDescent="0.25">
      <c r="A61" s="3">
        <v>3</v>
      </c>
      <c r="B61" s="64">
        <v>178</v>
      </c>
      <c r="C61" s="109">
        <v>45721</v>
      </c>
      <c r="D61" s="109" t="s">
        <v>224</v>
      </c>
      <c r="E61" s="64" t="s">
        <v>158</v>
      </c>
      <c r="F61" s="27" t="s">
        <v>159</v>
      </c>
      <c r="G61" s="27" t="s">
        <v>160</v>
      </c>
      <c r="H61" s="68"/>
      <c r="I61" s="69"/>
      <c r="J61" s="68"/>
      <c r="K61" s="68">
        <v>15</v>
      </c>
      <c r="L61" s="70">
        <f>H61+J61</f>
        <v>0</v>
      </c>
      <c r="M61" s="112"/>
    </row>
    <row r="62" spans="1:13" ht="118.5" customHeight="1" x14ac:dyDescent="0.25">
      <c r="A62" s="3">
        <v>4</v>
      </c>
      <c r="B62" s="101">
        <v>188</v>
      </c>
      <c r="C62" s="116">
        <v>45722</v>
      </c>
      <c r="D62" s="109" t="s">
        <v>140</v>
      </c>
      <c r="E62" s="101" t="s">
        <v>141</v>
      </c>
      <c r="F62" s="101" t="s">
        <v>142</v>
      </c>
      <c r="G62" s="101" t="s">
        <v>143</v>
      </c>
      <c r="H62" s="68">
        <v>200000</v>
      </c>
      <c r="I62" s="69"/>
      <c r="J62" s="68"/>
      <c r="K62" s="68">
        <v>2</v>
      </c>
      <c r="L62" s="70">
        <f>H62+J62</f>
        <v>200000</v>
      </c>
      <c r="M62" s="89"/>
    </row>
    <row r="63" spans="1:13" ht="88.5" customHeight="1" x14ac:dyDescent="0.25">
      <c r="A63" s="3">
        <v>5</v>
      </c>
      <c r="B63" s="64">
        <v>187</v>
      </c>
      <c r="C63" s="109">
        <v>45722</v>
      </c>
      <c r="D63" s="109" t="s">
        <v>144</v>
      </c>
      <c r="E63" s="64" t="s">
        <v>145</v>
      </c>
      <c r="F63" s="27" t="s">
        <v>146</v>
      </c>
      <c r="G63" s="101" t="s">
        <v>143</v>
      </c>
      <c r="H63" s="68">
        <v>200000</v>
      </c>
      <c r="I63" s="69"/>
      <c r="J63" s="68"/>
      <c r="K63" s="68">
        <v>2</v>
      </c>
      <c r="L63" s="70">
        <f t="shared" ref="L63:L67" si="2">H63+J63</f>
        <v>200000</v>
      </c>
      <c r="M63" s="89"/>
    </row>
    <row r="64" spans="1:13" ht="48" customHeight="1" x14ac:dyDescent="0.25">
      <c r="A64" s="3">
        <v>6</v>
      </c>
      <c r="B64" s="64">
        <v>189</v>
      </c>
      <c r="C64" s="109">
        <v>45722</v>
      </c>
      <c r="D64" s="109" t="s">
        <v>166</v>
      </c>
      <c r="E64" s="64" t="s">
        <v>167</v>
      </c>
      <c r="F64" s="27" t="s">
        <v>168</v>
      </c>
      <c r="G64" s="27" t="s">
        <v>143</v>
      </c>
      <c r="H64" s="68"/>
      <c r="I64" s="69"/>
      <c r="J64" s="68"/>
      <c r="K64" s="68"/>
      <c r="L64" s="70">
        <f t="shared" si="2"/>
        <v>0</v>
      </c>
      <c r="M64" s="89" t="s">
        <v>225</v>
      </c>
    </row>
    <row r="65" spans="1:13" ht="69.75" customHeight="1" x14ac:dyDescent="0.25">
      <c r="A65" s="3">
        <v>7</v>
      </c>
      <c r="B65" s="64">
        <v>235</v>
      </c>
      <c r="C65" s="109">
        <v>45742</v>
      </c>
      <c r="D65" s="109" t="s">
        <v>226</v>
      </c>
      <c r="E65" s="64" t="s">
        <v>180</v>
      </c>
      <c r="F65" s="27" t="s">
        <v>181</v>
      </c>
      <c r="G65" s="27" t="s">
        <v>182</v>
      </c>
      <c r="H65" s="68">
        <v>300000</v>
      </c>
      <c r="I65" s="69"/>
      <c r="J65" s="68"/>
      <c r="K65" s="68">
        <v>5</v>
      </c>
      <c r="L65" s="70">
        <f t="shared" si="2"/>
        <v>300000</v>
      </c>
      <c r="M65" s="89"/>
    </row>
    <row r="66" spans="1:13" ht="68.25" customHeight="1" x14ac:dyDescent="0.25">
      <c r="A66" s="3">
        <v>8</v>
      </c>
      <c r="B66" s="64">
        <v>248</v>
      </c>
      <c r="C66" s="109">
        <v>45743</v>
      </c>
      <c r="D66" s="109" t="s">
        <v>227</v>
      </c>
      <c r="E66" s="64" t="s">
        <v>186</v>
      </c>
      <c r="F66" s="27" t="s">
        <v>187</v>
      </c>
      <c r="G66" s="27" t="s">
        <v>188</v>
      </c>
      <c r="H66" s="68"/>
      <c r="I66" s="69"/>
      <c r="J66" s="68"/>
      <c r="K66" s="68">
        <v>3</v>
      </c>
      <c r="L66" s="70">
        <f t="shared" si="2"/>
        <v>0</v>
      </c>
      <c r="M66" s="89"/>
    </row>
    <row r="67" spans="1:13" ht="68.25" customHeight="1" x14ac:dyDescent="0.25">
      <c r="A67" s="3">
        <v>9</v>
      </c>
      <c r="B67" s="64">
        <v>247</v>
      </c>
      <c r="C67" s="109">
        <v>45743</v>
      </c>
      <c r="D67" s="109" t="s">
        <v>228</v>
      </c>
      <c r="E67" s="64" t="s">
        <v>189</v>
      </c>
      <c r="F67" s="27" t="s">
        <v>190</v>
      </c>
      <c r="G67" s="27" t="s">
        <v>188</v>
      </c>
      <c r="H67" s="68"/>
      <c r="I67" s="69"/>
      <c r="J67" s="68"/>
      <c r="K67" s="68">
        <v>6</v>
      </c>
      <c r="L67" s="70">
        <f t="shared" si="2"/>
        <v>0</v>
      </c>
      <c r="M67" s="89"/>
    </row>
    <row r="68" spans="1:13" ht="68.25" customHeight="1" x14ac:dyDescent="0.25">
      <c r="A68" s="3">
        <v>10</v>
      </c>
      <c r="B68" s="64">
        <v>246</v>
      </c>
      <c r="C68" s="109">
        <v>45743</v>
      </c>
      <c r="D68" s="109" t="s">
        <v>229</v>
      </c>
      <c r="E68" s="64" t="s">
        <v>191</v>
      </c>
      <c r="F68" s="27" t="s">
        <v>192</v>
      </c>
      <c r="G68" s="27" t="s">
        <v>193</v>
      </c>
      <c r="H68" s="68"/>
      <c r="I68" s="69"/>
      <c r="J68" s="68">
        <v>5104000</v>
      </c>
      <c r="K68" s="68">
        <v>20</v>
      </c>
      <c r="L68" s="70">
        <f t="shared" ref="L68:L71" si="3">H68+J68</f>
        <v>5104000</v>
      </c>
      <c r="M68" s="89" t="s">
        <v>230</v>
      </c>
    </row>
    <row r="69" spans="1:13" ht="79.900000000000006" customHeight="1" x14ac:dyDescent="0.25">
      <c r="A69" s="3">
        <v>11</v>
      </c>
      <c r="B69" s="64">
        <v>280</v>
      </c>
      <c r="C69" s="119" t="s">
        <v>237</v>
      </c>
      <c r="D69" s="109" t="s">
        <v>245</v>
      </c>
      <c r="E69" s="64" t="s">
        <v>238</v>
      </c>
      <c r="F69" s="27" t="s">
        <v>239</v>
      </c>
      <c r="G69" s="27" t="s">
        <v>243</v>
      </c>
      <c r="H69" s="68">
        <v>1500000</v>
      </c>
      <c r="I69" s="69"/>
      <c r="J69" s="68"/>
      <c r="K69" s="68">
        <v>20</v>
      </c>
      <c r="L69" s="70">
        <f t="shared" si="3"/>
        <v>1500000</v>
      </c>
      <c r="M69" s="89"/>
    </row>
    <row r="70" spans="1:13" ht="79.900000000000006" customHeight="1" x14ac:dyDescent="0.25">
      <c r="A70" s="3">
        <v>12</v>
      </c>
      <c r="B70" s="64">
        <v>281</v>
      </c>
      <c r="C70" s="119" t="s">
        <v>237</v>
      </c>
      <c r="D70" s="109" t="s">
        <v>246</v>
      </c>
      <c r="E70" s="64" t="s">
        <v>241</v>
      </c>
      <c r="F70" s="27" t="s">
        <v>239</v>
      </c>
      <c r="G70" s="27" t="s">
        <v>243</v>
      </c>
      <c r="H70" s="68">
        <v>500000</v>
      </c>
      <c r="I70" s="69"/>
      <c r="J70" s="68"/>
      <c r="K70" s="68">
        <v>7</v>
      </c>
      <c r="L70" s="70">
        <f t="shared" si="3"/>
        <v>500000</v>
      </c>
      <c r="M70" s="89"/>
    </row>
    <row r="71" spans="1:13" ht="114.75" customHeight="1" x14ac:dyDescent="0.25">
      <c r="A71" s="3">
        <v>13</v>
      </c>
      <c r="B71" s="64">
        <v>282</v>
      </c>
      <c r="C71" s="119" t="s">
        <v>237</v>
      </c>
      <c r="D71" s="109" t="s">
        <v>247</v>
      </c>
      <c r="E71" s="64" t="s">
        <v>242</v>
      </c>
      <c r="F71" s="27" t="s">
        <v>240</v>
      </c>
      <c r="G71" s="27" t="s">
        <v>244</v>
      </c>
      <c r="H71" s="68">
        <v>200000</v>
      </c>
      <c r="I71" s="69"/>
      <c r="J71" s="68"/>
      <c r="K71" s="68">
        <v>3</v>
      </c>
      <c r="L71" s="70">
        <f t="shared" si="3"/>
        <v>200000</v>
      </c>
      <c r="M71" s="89"/>
    </row>
    <row r="72" spans="1:13" ht="25.15" customHeight="1" x14ac:dyDescent="0.25">
      <c r="A72" s="181" t="s">
        <v>30</v>
      </c>
      <c r="B72" s="182"/>
      <c r="C72" s="182"/>
      <c r="D72" s="182"/>
      <c r="E72" s="182"/>
      <c r="F72" s="182"/>
      <c r="G72" s="183"/>
      <c r="H72" s="24">
        <f>SUM(H59:H71)</f>
        <v>2900000</v>
      </c>
      <c r="I72" s="24"/>
      <c r="J72" s="24">
        <f>SUM(J59:J71)</f>
        <v>7490000</v>
      </c>
      <c r="K72" s="24"/>
      <c r="L72" s="24">
        <f>SUM(L59:L71)</f>
        <v>10390000</v>
      </c>
      <c r="M72" s="75"/>
    </row>
    <row r="73" spans="1:13" ht="21.75" customHeight="1" x14ac:dyDescent="0.25">
      <c r="A73" s="184" t="s">
        <v>18</v>
      </c>
      <c r="B73" s="184"/>
      <c r="C73" s="184"/>
      <c r="D73" s="198" t="e">
        <f ca="1">[2]!vnd(L72)</f>
        <v>#NAME?</v>
      </c>
      <c r="E73" s="198"/>
      <c r="F73" s="198"/>
      <c r="G73" s="198"/>
    </row>
    <row r="75" spans="1:13" x14ac:dyDescent="0.25">
      <c r="A75" s="86"/>
      <c r="B75" s="175" t="s">
        <v>34</v>
      </c>
      <c r="C75" s="175"/>
      <c r="D75" s="175"/>
      <c r="E75" s="175"/>
      <c r="F75" s="74"/>
      <c r="G75" s="74"/>
      <c r="H75" s="14"/>
      <c r="I75" s="14"/>
      <c r="J75" s="175" t="s">
        <v>4</v>
      </c>
      <c r="K75" s="175"/>
      <c r="L75" s="175"/>
      <c r="M75" s="175"/>
    </row>
    <row r="79" spans="1:13" x14ac:dyDescent="0.25">
      <c r="B79" s="176" t="s">
        <v>64</v>
      </c>
      <c r="C79" s="176"/>
      <c r="D79" s="176"/>
      <c r="E79" s="176"/>
      <c r="G79" s="15"/>
      <c r="J79" s="176" t="s">
        <v>197</v>
      </c>
      <c r="K79" s="176"/>
      <c r="L79" s="176"/>
      <c r="M79" s="176"/>
    </row>
    <row r="86" spans="1:13" x14ac:dyDescent="0.25">
      <c r="A86" s="177" t="s">
        <v>0</v>
      </c>
      <c r="B86" s="177"/>
      <c r="C86" s="177"/>
      <c r="D86" s="177"/>
      <c r="E86" s="177"/>
      <c r="F86" s="177"/>
      <c r="G86" s="178" t="s">
        <v>1</v>
      </c>
      <c r="H86" s="178"/>
      <c r="I86" s="178"/>
      <c r="J86" s="178"/>
      <c r="K86" s="178"/>
      <c r="L86" s="178"/>
      <c r="M86" s="178"/>
    </row>
    <row r="87" spans="1:13" x14ac:dyDescent="0.25">
      <c r="A87" s="177" t="s">
        <v>22</v>
      </c>
      <c r="B87" s="177"/>
      <c r="C87" s="177"/>
      <c r="D87" s="177"/>
      <c r="E87" s="177"/>
      <c r="F87" s="177"/>
      <c r="G87" s="178" t="s">
        <v>2</v>
      </c>
      <c r="H87" s="178"/>
      <c r="I87" s="178"/>
      <c r="J87" s="178"/>
      <c r="K87" s="178"/>
      <c r="L87" s="178"/>
      <c r="M87" s="178"/>
    </row>
    <row r="88" spans="1:13" x14ac:dyDescent="0.25">
      <c r="A88" s="25"/>
      <c r="B88" s="26"/>
      <c r="C88" s="113"/>
      <c r="D88" s="26"/>
      <c r="E88" s="26"/>
      <c r="F88" s="26"/>
      <c r="G88" s="179" t="s">
        <v>194</v>
      </c>
      <c r="H88" s="179"/>
      <c r="I88" s="179"/>
      <c r="J88" s="179"/>
      <c r="K88" s="179"/>
      <c r="L88" s="179"/>
      <c r="M88" s="179"/>
    </row>
    <row r="89" spans="1:13" ht="18.75" x14ac:dyDescent="0.25">
      <c r="A89" s="180" t="s">
        <v>195</v>
      </c>
      <c r="B89" s="180"/>
      <c r="C89" s="180"/>
      <c r="D89" s="180"/>
      <c r="E89" s="180"/>
      <c r="F89" s="180"/>
      <c r="G89" s="180"/>
      <c r="H89" s="180"/>
      <c r="I89" s="180"/>
      <c r="J89" s="180"/>
      <c r="K89" s="180"/>
      <c r="L89" s="180"/>
      <c r="M89" s="180"/>
    </row>
    <row r="90" spans="1:13" ht="33.75" customHeight="1" x14ac:dyDescent="0.25">
      <c r="A90" s="2" t="s">
        <v>7</v>
      </c>
      <c r="B90" s="2" t="s">
        <v>8</v>
      </c>
      <c r="C90" s="114" t="s">
        <v>9</v>
      </c>
      <c r="D90" s="9" t="s">
        <v>31</v>
      </c>
      <c r="E90" s="2" t="s">
        <v>10</v>
      </c>
      <c r="F90" s="2" t="s">
        <v>11</v>
      </c>
      <c r="G90" s="2" t="s">
        <v>12</v>
      </c>
      <c r="H90" s="22" t="s">
        <v>13</v>
      </c>
      <c r="I90" s="23" t="s">
        <v>14</v>
      </c>
      <c r="J90" s="22" t="s">
        <v>15</v>
      </c>
      <c r="K90" s="22" t="s">
        <v>90</v>
      </c>
      <c r="L90" s="23" t="s">
        <v>16</v>
      </c>
      <c r="M90" s="9" t="s">
        <v>20</v>
      </c>
    </row>
    <row r="91" spans="1:13" ht="91.9" customHeight="1" x14ac:dyDescent="0.25">
      <c r="A91" s="3">
        <v>1</v>
      </c>
      <c r="B91" s="64">
        <v>343</v>
      </c>
      <c r="C91" s="109">
        <v>45769</v>
      </c>
      <c r="D91" s="109" t="s">
        <v>343</v>
      </c>
      <c r="E91" s="64" t="s">
        <v>344</v>
      </c>
      <c r="F91" s="27" t="s">
        <v>345</v>
      </c>
      <c r="G91" s="27" t="s">
        <v>346</v>
      </c>
      <c r="H91" s="68">
        <v>300000</v>
      </c>
      <c r="I91" s="69"/>
      <c r="J91" s="68"/>
      <c r="K91" s="68">
        <v>5</v>
      </c>
      <c r="L91" s="70">
        <f>H91+J91</f>
        <v>300000</v>
      </c>
      <c r="M91" s="89"/>
    </row>
    <row r="92" spans="1:13" ht="91.9" customHeight="1" x14ac:dyDescent="0.25">
      <c r="A92" s="3">
        <v>2</v>
      </c>
      <c r="B92" s="64">
        <v>342</v>
      </c>
      <c r="C92" s="109">
        <v>45769</v>
      </c>
      <c r="D92" s="109" t="s">
        <v>347</v>
      </c>
      <c r="E92" s="64" t="s">
        <v>348</v>
      </c>
      <c r="F92" s="27" t="s">
        <v>349</v>
      </c>
      <c r="G92" s="27" t="s">
        <v>346</v>
      </c>
      <c r="H92" s="68">
        <v>300000</v>
      </c>
      <c r="I92" s="69"/>
      <c r="J92" s="68"/>
      <c r="K92" s="68">
        <v>5</v>
      </c>
      <c r="L92" s="70">
        <f>H92+J92</f>
        <v>300000</v>
      </c>
      <c r="M92" s="89"/>
    </row>
    <row r="93" spans="1:13" ht="82.9" customHeight="1" x14ac:dyDescent="0.25">
      <c r="A93" s="3">
        <v>3</v>
      </c>
      <c r="B93" s="64">
        <v>344</v>
      </c>
      <c r="C93" s="109">
        <v>45765</v>
      </c>
      <c r="D93" s="109" t="s">
        <v>350</v>
      </c>
      <c r="E93" s="64" t="s">
        <v>351</v>
      </c>
      <c r="F93" s="27" t="s">
        <v>352</v>
      </c>
      <c r="G93" s="27" t="s">
        <v>353</v>
      </c>
      <c r="H93" s="68"/>
      <c r="I93" s="69"/>
      <c r="J93" s="68"/>
      <c r="K93" s="68"/>
      <c r="L93" s="70">
        <f>H93+J93</f>
        <v>0</v>
      </c>
      <c r="M93" s="27" t="s">
        <v>354</v>
      </c>
    </row>
    <row r="94" spans="1:13" ht="84.6" customHeight="1" x14ac:dyDescent="0.25">
      <c r="A94" s="3">
        <v>4</v>
      </c>
      <c r="B94" s="64">
        <v>345</v>
      </c>
      <c r="C94" s="109">
        <v>45765</v>
      </c>
      <c r="D94" s="109" t="s">
        <v>355</v>
      </c>
      <c r="E94" s="64" t="s">
        <v>356</v>
      </c>
      <c r="F94" s="27" t="s">
        <v>357</v>
      </c>
      <c r="G94" s="27" t="s">
        <v>358</v>
      </c>
      <c r="H94" s="68">
        <v>200000</v>
      </c>
      <c r="I94" s="69"/>
      <c r="J94" s="68"/>
      <c r="K94" s="68">
        <v>2</v>
      </c>
      <c r="L94" s="70">
        <f>H94+J94</f>
        <v>200000</v>
      </c>
      <c r="M94" s="112"/>
    </row>
    <row r="95" spans="1:13" ht="33.75" customHeight="1" x14ac:dyDescent="0.25">
      <c r="A95" s="181" t="s">
        <v>30</v>
      </c>
      <c r="B95" s="182"/>
      <c r="C95" s="182"/>
      <c r="D95" s="182"/>
      <c r="E95" s="182"/>
      <c r="F95" s="182"/>
      <c r="G95" s="183"/>
      <c r="H95" s="24">
        <f>SUM(H83:H94)</f>
        <v>800000</v>
      </c>
      <c r="I95" s="24"/>
      <c r="J95" s="24">
        <f>SUM(J83:J94)</f>
        <v>0</v>
      </c>
      <c r="K95" s="24"/>
      <c r="L95" s="24">
        <f>SUM(L83:L94)</f>
        <v>800000</v>
      </c>
      <c r="M95" s="75"/>
    </row>
    <row r="96" spans="1:13" ht="33.75" customHeight="1" x14ac:dyDescent="0.25">
      <c r="A96" s="184" t="s">
        <v>18</v>
      </c>
      <c r="B96" s="184"/>
      <c r="C96" s="184"/>
      <c r="D96" s="110"/>
      <c r="E96" s="198" t="e">
        <f ca="1">[2]!vnd(L95)</f>
        <v>#NAME?</v>
      </c>
      <c r="F96" s="198"/>
      <c r="G96" s="198"/>
      <c r="H96" s="198"/>
    </row>
    <row r="98" spans="1:13" x14ac:dyDescent="0.25">
      <c r="A98" s="86"/>
      <c r="B98" s="175" t="s">
        <v>34</v>
      </c>
      <c r="C98" s="175"/>
      <c r="D98" s="175"/>
      <c r="E98" s="175"/>
      <c r="F98" s="74"/>
      <c r="G98" s="74"/>
      <c r="H98" s="14"/>
      <c r="I98" s="14"/>
      <c r="J98" s="175" t="s">
        <v>4</v>
      </c>
      <c r="K98" s="175"/>
      <c r="L98" s="175"/>
      <c r="M98" s="175"/>
    </row>
    <row r="102" spans="1:13" x14ac:dyDescent="0.25">
      <c r="B102" s="176" t="s">
        <v>64</v>
      </c>
      <c r="C102" s="176"/>
      <c r="D102" s="176"/>
      <c r="E102" s="176"/>
      <c r="G102" s="15"/>
      <c r="J102" s="176" t="s">
        <v>197</v>
      </c>
      <c r="K102" s="176"/>
      <c r="L102" s="176"/>
      <c r="M102" s="176"/>
    </row>
    <row r="108" spans="1:13" x14ac:dyDescent="0.25">
      <c r="A108" s="177" t="s">
        <v>0</v>
      </c>
      <c r="B108" s="177"/>
      <c r="C108" s="177"/>
      <c r="D108" s="177"/>
      <c r="E108" s="177"/>
      <c r="F108" s="177"/>
      <c r="G108" s="178" t="s">
        <v>1</v>
      </c>
      <c r="H108" s="178"/>
      <c r="I108" s="178"/>
      <c r="J108" s="178"/>
      <c r="K108" s="178"/>
      <c r="L108" s="178"/>
      <c r="M108" s="178"/>
    </row>
    <row r="109" spans="1:13" x14ac:dyDescent="0.25">
      <c r="A109" s="177" t="s">
        <v>22</v>
      </c>
      <c r="B109" s="177"/>
      <c r="C109" s="177"/>
      <c r="D109" s="177"/>
      <c r="E109" s="177"/>
      <c r="F109" s="177"/>
      <c r="G109" s="178" t="s">
        <v>2</v>
      </c>
      <c r="H109" s="178"/>
      <c r="I109" s="178"/>
      <c r="J109" s="178"/>
      <c r="K109" s="178"/>
      <c r="L109" s="178"/>
      <c r="M109" s="178"/>
    </row>
    <row r="110" spans="1:13" x14ac:dyDescent="0.25">
      <c r="A110" s="25"/>
      <c r="B110" s="26"/>
      <c r="C110" s="113"/>
      <c r="D110" s="26"/>
      <c r="E110" s="26"/>
      <c r="F110" s="26"/>
      <c r="G110" s="186" t="s">
        <v>479</v>
      </c>
      <c r="H110" s="186"/>
      <c r="I110" s="186"/>
      <c r="J110" s="186"/>
      <c r="K110" s="186"/>
      <c r="L110" s="186"/>
      <c r="M110" s="186"/>
    </row>
    <row r="111" spans="1:13" ht="18.75" x14ac:dyDescent="0.25">
      <c r="A111" s="180" t="s">
        <v>402</v>
      </c>
      <c r="B111" s="180"/>
      <c r="C111" s="180"/>
      <c r="D111" s="180"/>
      <c r="E111" s="180"/>
      <c r="F111" s="180"/>
      <c r="G111" s="180"/>
      <c r="H111" s="180"/>
      <c r="I111" s="180"/>
      <c r="J111" s="180"/>
      <c r="K111" s="180"/>
      <c r="L111" s="180"/>
      <c r="M111" s="180"/>
    </row>
    <row r="112" spans="1:13" ht="31.5" x14ac:dyDescent="0.25">
      <c r="A112" s="2" t="s">
        <v>7</v>
      </c>
      <c r="B112" s="2" t="s">
        <v>8</v>
      </c>
      <c r="C112" s="114" t="s">
        <v>9</v>
      </c>
      <c r="D112" s="9" t="s">
        <v>31</v>
      </c>
      <c r="E112" s="2" t="s">
        <v>10</v>
      </c>
      <c r="F112" s="2" t="s">
        <v>11</v>
      </c>
      <c r="G112" s="2" t="s">
        <v>12</v>
      </c>
      <c r="H112" s="22" t="s">
        <v>13</v>
      </c>
      <c r="I112" s="23" t="s">
        <v>14</v>
      </c>
      <c r="J112" s="22" t="s">
        <v>15</v>
      </c>
      <c r="K112" s="22" t="s">
        <v>90</v>
      </c>
      <c r="L112" s="23" t="s">
        <v>16</v>
      </c>
      <c r="M112" s="9" t="s">
        <v>20</v>
      </c>
    </row>
    <row r="113" spans="1:13" ht="63" x14ac:dyDescent="0.25">
      <c r="A113" s="3">
        <v>1</v>
      </c>
      <c r="B113" s="64">
        <v>403</v>
      </c>
      <c r="C113" s="109">
        <v>45806</v>
      </c>
      <c r="D113" s="109" t="s">
        <v>404</v>
      </c>
      <c r="E113" s="64" t="s">
        <v>403</v>
      </c>
      <c r="F113" s="27" t="s">
        <v>420</v>
      </c>
      <c r="G113" s="27" t="s">
        <v>405</v>
      </c>
      <c r="H113" s="68">
        <v>300000</v>
      </c>
      <c r="I113" s="69"/>
      <c r="J113" s="68"/>
      <c r="K113" s="68">
        <v>5</v>
      </c>
      <c r="L113" s="70">
        <f>H113+J113</f>
        <v>300000</v>
      </c>
      <c r="M113" s="89"/>
    </row>
    <row r="114" spans="1:13" ht="78.75" x14ac:dyDescent="0.25">
      <c r="A114" s="3">
        <v>2</v>
      </c>
      <c r="B114" s="64">
        <v>404</v>
      </c>
      <c r="C114" s="109">
        <v>45806</v>
      </c>
      <c r="D114" s="109" t="s">
        <v>407</v>
      </c>
      <c r="E114" s="64" t="s">
        <v>406</v>
      </c>
      <c r="F114" s="27" t="s">
        <v>421</v>
      </c>
      <c r="G114" s="27" t="s">
        <v>408</v>
      </c>
      <c r="H114" s="68">
        <v>300000</v>
      </c>
      <c r="I114" s="69"/>
      <c r="J114" s="68"/>
      <c r="K114" s="68">
        <v>5</v>
      </c>
      <c r="L114" s="70">
        <f t="shared" ref="L114:L130" si="4">H114+J114</f>
        <v>300000</v>
      </c>
      <c r="M114" s="89"/>
    </row>
    <row r="115" spans="1:13" ht="78.75" x14ac:dyDescent="0.25">
      <c r="A115" s="3">
        <v>3</v>
      </c>
      <c r="B115" s="64">
        <v>405</v>
      </c>
      <c r="C115" s="109">
        <v>45806</v>
      </c>
      <c r="D115" s="109" t="s">
        <v>410</v>
      </c>
      <c r="E115" s="64" t="s">
        <v>409</v>
      </c>
      <c r="F115" s="27" t="s">
        <v>421</v>
      </c>
      <c r="G115" s="27" t="s">
        <v>408</v>
      </c>
      <c r="H115" s="68">
        <v>300000</v>
      </c>
      <c r="I115" s="69"/>
      <c r="J115" s="68"/>
      <c r="K115" s="68">
        <v>5</v>
      </c>
      <c r="L115" s="70">
        <f t="shared" si="4"/>
        <v>300000</v>
      </c>
      <c r="M115" s="89"/>
    </row>
    <row r="116" spans="1:13" ht="78.75" x14ac:dyDescent="0.25">
      <c r="A116" s="3">
        <v>4</v>
      </c>
      <c r="B116" s="64">
        <v>406</v>
      </c>
      <c r="C116" s="109">
        <v>45806</v>
      </c>
      <c r="D116" s="109" t="s">
        <v>411</v>
      </c>
      <c r="E116" s="64" t="s">
        <v>412</v>
      </c>
      <c r="F116" s="27" t="s">
        <v>421</v>
      </c>
      <c r="G116" s="27" t="s">
        <v>408</v>
      </c>
      <c r="H116" s="68">
        <v>300000</v>
      </c>
      <c r="I116" s="69"/>
      <c r="J116" s="68"/>
      <c r="K116" s="68">
        <v>5</v>
      </c>
      <c r="L116" s="70">
        <f t="shared" si="4"/>
        <v>300000</v>
      </c>
      <c r="M116" s="89"/>
    </row>
    <row r="117" spans="1:13" ht="78.75" x14ac:dyDescent="0.25">
      <c r="A117" s="3">
        <v>5</v>
      </c>
      <c r="B117" s="64">
        <v>407</v>
      </c>
      <c r="C117" s="109">
        <v>45806</v>
      </c>
      <c r="D117" s="109" t="s">
        <v>413</v>
      </c>
      <c r="E117" s="64" t="s">
        <v>414</v>
      </c>
      <c r="F117" s="27" t="s">
        <v>421</v>
      </c>
      <c r="G117" s="27" t="s">
        <v>408</v>
      </c>
      <c r="H117" s="68">
        <v>300000</v>
      </c>
      <c r="I117" s="69"/>
      <c r="J117" s="68"/>
      <c r="K117" s="68">
        <v>5</v>
      </c>
      <c r="L117" s="70">
        <f t="shared" si="4"/>
        <v>300000</v>
      </c>
      <c r="M117" s="89"/>
    </row>
    <row r="118" spans="1:13" ht="78.75" x14ac:dyDescent="0.25">
      <c r="A118" s="3">
        <v>6</v>
      </c>
      <c r="B118" s="64">
        <v>408</v>
      </c>
      <c r="C118" s="109">
        <v>45806</v>
      </c>
      <c r="D118" s="109" t="s">
        <v>415</v>
      </c>
      <c r="E118" s="64" t="s">
        <v>416</v>
      </c>
      <c r="F118" s="27" t="s">
        <v>421</v>
      </c>
      <c r="G118" s="27" t="s">
        <v>408</v>
      </c>
      <c r="H118" s="68">
        <v>300000</v>
      </c>
      <c r="I118" s="69"/>
      <c r="J118" s="68"/>
      <c r="K118" s="68">
        <v>5</v>
      </c>
      <c r="L118" s="70">
        <f t="shared" si="4"/>
        <v>300000</v>
      </c>
      <c r="M118" s="89"/>
    </row>
    <row r="119" spans="1:13" ht="78.75" x14ac:dyDescent="0.25">
      <c r="A119" s="3">
        <v>7</v>
      </c>
      <c r="B119" s="64">
        <v>409</v>
      </c>
      <c r="C119" s="109">
        <v>45806</v>
      </c>
      <c r="D119" s="109" t="s">
        <v>417</v>
      </c>
      <c r="E119" s="64" t="s">
        <v>418</v>
      </c>
      <c r="F119" s="27" t="s">
        <v>419</v>
      </c>
      <c r="G119" s="27" t="s">
        <v>408</v>
      </c>
      <c r="H119" s="68">
        <v>1000000</v>
      </c>
      <c r="I119" s="69"/>
      <c r="J119" s="68"/>
      <c r="K119" s="68">
        <v>18</v>
      </c>
      <c r="L119" s="70">
        <f t="shared" si="4"/>
        <v>1000000</v>
      </c>
      <c r="M119" s="89"/>
    </row>
    <row r="120" spans="1:13" ht="78.75" x14ac:dyDescent="0.25">
      <c r="A120" s="3">
        <v>8</v>
      </c>
      <c r="B120" s="64">
        <v>410</v>
      </c>
      <c r="C120" s="109">
        <v>45806</v>
      </c>
      <c r="D120" s="109" t="s">
        <v>422</v>
      </c>
      <c r="E120" s="64" t="s">
        <v>423</v>
      </c>
      <c r="F120" s="27" t="s">
        <v>424</v>
      </c>
      <c r="G120" s="27" t="s">
        <v>425</v>
      </c>
      <c r="H120" s="68"/>
      <c r="I120" s="69"/>
      <c r="J120" s="68"/>
      <c r="K120" s="68">
        <v>2</v>
      </c>
      <c r="L120" s="70">
        <f t="shared" si="4"/>
        <v>0</v>
      </c>
      <c r="M120" s="89"/>
    </row>
    <row r="121" spans="1:13" ht="78.75" x14ac:dyDescent="0.25">
      <c r="A121" s="3">
        <v>9</v>
      </c>
      <c r="B121" s="64">
        <v>411</v>
      </c>
      <c r="C121" s="109">
        <v>45806</v>
      </c>
      <c r="D121" s="109" t="s">
        <v>227</v>
      </c>
      <c r="E121" s="64" t="s">
        <v>186</v>
      </c>
      <c r="F121" s="27" t="s">
        <v>426</v>
      </c>
      <c r="G121" s="27" t="s">
        <v>425</v>
      </c>
      <c r="H121" s="68"/>
      <c r="I121" s="69"/>
      <c r="J121" s="68"/>
      <c r="K121" s="68">
        <v>2</v>
      </c>
      <c r="L121" s="70">
        <f t="shared" si="4"/>
        <v>0</v>
      </c>
      <c r="M121" s="89"/>
    </row>
    <row r="122" spans="1:13" ht="78.75" x14ac:dyDescent="0.25">
      <c r="A122" s="3">
        <v>10</v>
      </c>
      <c r="B122" s="64">
        <v>412</v>
      </c>
      <c r="C122" s="109">
        <v>45806</v>
      </c>
      <c r="D122" s="109" t="s">
        <v>427</v>
      </c>
      <c r="E122" s="64" t="s">
        <v>428</v>
      </c>
      <c r="F122" s="27" t="s">
        <v>429</v>
      </c>
      <c r="G122" s="27" t="s">
        <v>430</v>
      </c>
      <c r="H122" s="68">
        <v>500000</v>
      </c>
      <c r="I122" s="69"/>
      <c r="J122" s="68"/>
      <c r="K122" s="68">
        <v>5</v>
      </c>
      <c r="L122" s="70">
        <f t="shared" si="4"/>
        <v>500000</v>
      </c>
      <c r="M122" s="89"/>
    </row>
    <row r="123" spans="1:13" ht="78.75" x14ac:dyDescent="0.25">
      <c r="A123" s="3">
        <v>11</v>
      </c>
      <c r="B123" s="64">
        <v>428</v>
      </c>
      <c r="C123" s="109">
        <v>45808</v>
      </c>
      <c r="D123" s="109" t="s">
        <v>246</v>
      </c>
      <c r="E123" s="64" t="s">
        <v>241</v>
      </c>
      <c r="F123" s="27" t="s">
        <v>469</v>
      </c>
      <c r="G123" s="27" t="s">
        <v>470</v>
      </c>
      <c r="H123" s="68">
        <v>500000</v>
      </c>
      <c r="I123" s="69"/>
      <c r="J123" s="68"/>
      <c r="K123" s="68">
        <v>11</v>
      </c>
      <c r="L123" s="70">
        <f t="shared" si="4"/>
        <v>500000</v>
      </c>
      <c r="M123" s="89"/>
    </row>
    <row r="124" spans="1:13" ht="94.5" x14ac:dyDescent="0.25">
      <c r="A124" s="3">
        <v>12</v>
      </c>
      <c r="B124" s="64">
        <v>429</v>
      </c>
      <c r="C124" s="109">
        <v>45808</v>
      </c>
      <c r="D124" s="109" t="s">
        <v>471</v>
      </c>
      <c r="E124" s="64" t="s">
        <v>472</v>
      </c>
      <c r="F124" s="27" t="s">
        <v>473</v>
      </c>
      <c r="G124" s="27" t="s">
        <v>474</v>
      </c>
      <c r="H124" s="68"/>
      <c r="I124" s="69"/>
      <c r="J124" s="68"/>
      <c r="K124" s="68">
        <v>3</v>
      </c>
      <c r="L124" s="70">
        <f t="shared" si="4"/>
        <v>0</v>
      </c>
      <c r="M124" s="89"/>
    </row>
    <row r="125" spans="1:13" ht="94.5" x14ac:dyDescent="0.25">
      <c r="A125" s="3">
        <v>13</v>
      </c>
      <c r="B125" s="64">
        <v>430</v>
      </c>
      <c r="C125" s="109">
        <v>45808</v>
      </c>
      <c r="D125" s="109" t="s">
        <v>247</v>
      </c>
      <c r="E125" s="64" t="s">
        <v>242</v>
      </c>
      <c r="F125" s="27" t="s">
        <v>475</v>
      </c>
      <c r="G125" s="27" t="s">
        <v>474</v>
      </c>
      <c r="H125" s="68"/>
      <c r="I125" s="69"/>
      <c r="J125" s="68"/>
      <c r="K125" s="68">
        <v>5</v>
      </c>
      <c r="L125" s="70">
        <f t="shared" si="4"/>
        <v>0</v>
      </c>
      <c r="M125" s="89"/>
    </row>
    <row r="126" spans="1:13" hidden="1" x14ac:dyDescent="0.25">
      <c r="A126" s="3"/>
      <c r="B126" s="64"/>
      <c r="C126" s="109"/>
      <c r="D126" s="109"/>
      <c r="E126" s="64"/>
      <c r="F126" s="27"/>
      <c r="G126" s="27"/>
      <c r="H126" s="68"/>
      <c r="I126" s="69"/>
      <c r="J126" s="68"/>
      <c r="K126" s="68"/>
      <c r="L126" s="70">
        <f t="shared" si="4"/>
        <v>0</v>
      </c>
      <c r="M126" s="89"/>
    </row>
    <row r="127" spans="1:13" hidden="1" x14ac:dyDescent="0.25">
      <c r="A127" s="3"/>
      <c r="B127" s="64"/>
      <c r="C127" s="109"/>
      <c r="D127" s="109"/>
      <c r="E127" s="64"/>
      <c r="F127" s="27"/>
      <c r="G127" s="27"/>
      <c r="H127" s="68"/>
      <c r="I127" s="69"/>
      <c r="J127" s="68"/>
      <c r="K127" s="68"/>
      <c r="L127" s="70">
        <f t="shared" si="4"/>
        <v>0</v>
      </c>
      <c r="M127" s="89"/>
    </row>
    <row r="128" spans="1:13" hidden="1" x14ac:dyDescent="0.25">
      <c r="A128" s="3"/>
      <c r="B128" s="64"/>
      <c r="C128" s="109"/>
      <c r="D128" s="109"/>
      <c r="E128" s="64"/>
      <c r="F128" s="27"/>
      <c r="G128" s="27"/>
      <c r="H128" s="68"/>
      <c r="I128" s="69"/>
      <c r="J128" s="68"/>
      <c r="K128" s="68"/>
      <c r="L128" s="70">
        <f t="shared" si="4"/>
        <v>0</v>
      </c>
      <c r="M128" s="89"/>
    </row>
    <row r="129" spans="1:13" hidden="1" x14ac:dyDescent="0.25">
      <c r="A129" s="3"/>
      <c r="B129" s="64"/>
      <c r="C129" s="109"/>
      <c r="D129" s="109"/>
      <c r="E129" s="64"/>
      <c r="F129" s="27"/>
      <c r="G129" s="27"/>
      <c r="H129" s="68"/>
      <c r="I129" s="69"/>
      <c r="J129" s="68"/>
      <c r="K129" s="68"/>
      <c r="L129" s="70">
        <f t="shared" si="4"/>
        <v>0</v>
      </c>
      <c r="M129" s="89"/>
    </row>
    <row r="130" spans="1:13" hidden="1" x14ac:dyDescent="0.25">
      <c r="A130" s="3"/>
      <c r="B130" s="64"/>
      <c r="C130" s="109"/>
      <c r="D130" s="109"/>
      <c r="E130" s="64"/>
      <c r="F130" s="27"/>
      <c r="G130" s="27"/>
      <c r="H130" s="68"/>
      <c r="I130" s="69"/>
      <c r="J130" s="68"/>
      <c r="K130" s="68"/>
      <c r="L130" s="70">
        <f t="shared" si="4"/>
        <v>0</v>
      </c>
      <c r="M130" s="89"/>
    </row>
    <row r="131" spans="1:13" hidden="1" x14ac:dyDescent="0.25">
      <c r="A131" s="3"/>
      <c r="B131" s="64"/>
      <c r="C131" s="109"/>
      <c r="D131" s="109"/>
      <c r="E131" s="64"/>
      <c r="F131" s="27"/>
      <c r="G131" s="27"/>
      <c r="H131" s="68"/>
      <c r="I131" s="69"/>
      <c r="J131" s="68"/>
      <c r="K131" s="68"/>
      <c r="L131" s="70">
        <f>H131+J131</f>
        <v>0</v>
      </c>
      <c r="M131" s="89"/>
    </row>
    <row r="132" spans="1:13" hidden="1" x14ac:dyDescent="0.25">
      <c r="A132" s="3"/>
      <c r="B132" s="64"/>
      <c r="C132" s="109"/>
      <c r="D132" s="109"/>
      <c r="E132" s="64"/>
      <c r="F132" s="27"/>
      <c r="G132" s="27"/>
      <c r="H132" s="68"/>
      <c r="I132" s="69"/>
      <c r="J132" s="68"/>
      <c r="K132" s="68"/>
      <c r="L132" s="70">
        <f>H132+J132</f>
        <v>0</v>
      </c>
      <c r="M132" s="27"/>
    </row>
    <row r="133" spans="1:13" hidden="1" x14ac:dyDescent="0.25">
      <c r="A133" s="3"/>
      <c r="B133" s="64"/>
      <c r="C133" s="109"/>
      <c r="D133" s="109"/>
      <c r="E133" s="64"/>
      <c r="F133" s="27"/>
      <c r="G133" s="27"/>
      <c r="H133" s="68"/>
      <c r="I133" s="69"/>
      <c r="J133" s="68"/>
      <c r="K133" s="68"/>
      <c r="L133" s="70">
        <f>H133+J133</f>
        <v>0</v>
      </c>
      <c r="M133" s="112"/>
    </row>
    <row r="134" spans="1:13" x14ac:dyDescent="0.25">
      <c r="A134" s="181" t="s">
        <v>30</v>
      </c>
      <c r="B134" s="182"/>
      <c r="C134" s="182"/>
      <c r="D134" s="182"/>
      <c r="E134" s="182"/>
      <c r="F134" s="182"/>
      <c r="G134" s="183"/>
      <c r="H134" s="24">
        <f>SUM(H113:H133)</f>
        <v>3800000</v>
      </c>
      <c r="I134" s="24"/>
      <c r="J134" s="24">
        <f>SUM(J113:J133)</f>
        <v>0</v>
      </c>
      <c r="K134" s="24"/>
      <c r="L134" s="24">
        <f>SUM(L113:L133)</f>
        <v>3800000</v>
      </c>
      <c r="M134" s="75"/>
    </row>
    <row r="135" spans="1:13" x14ac:dyDescent="0.25">
      <c r="A135" s="184" t="s">
        <v>18</v>
      </c>
      <c r="B135" s="184"/>
      <c r="C135" s="184"/>
      <c r="D135" s="110"/>
      <c r="E135" s="198" t="e">
        <f ca="1">[2]!vnd(L134)</f>
        <v>#NAME?</v>
      </c>
      <c r="F135" s="198"/>
      <c r="G135" s="198"/>
      <c r="H135" s="198"/>
    </row>
    <row r="137" spans="1:13" x14ac:dyDescent="0.25">
      <c r="A137" s="86"/>
      <c r="B137" s="175" t="s">
        <v>34</v>
      </c>
      <c r="C137" s="175"/>
      <c r="D137" s="175"/>
      <c r="E137" s="175"/>
      <c r="F137" s="74"/>
      <c r="G137" s="74"/>
      <c r="H137" s="14"/>
      <c r="I137" s="14"/>
      <c r="J137" s="175" t="s">
        <v>4</v>
      </c>
      <c r="K137" s="175"/>
      <c r="L137" s="175"/>
      <c r="M137" s="175"/>
    </row>
    <row r="141" spans="1:13" x14ac:dyDescent="0.25">
      <c r="B141" s="176" t="s">
        <v>64</v>
      </c>
      <c r="C141" s="176"/>
      <c r="D141" s="176"/>
      <c r="E141" s="176"/>
      <c r="G141" s="15"/>
      <c r="J141" s="176" t="s">
        <v>197</v>
      </c>
      <c r="K141" s="176"/>
      <c r="L141" s="176"/>
      <c r="M141" s="176"/>
    </row>
    <row r="145" spans="1:13" x14ac:dyDescent="0.25">
      <c r="A145" s="177" t="s">
        <v>0</v>
      </c>
      <c r="B145" s="177"/>
      <c r="C145" s="177"/>
      <c r="D145" s="177"/>
      <c r="E145" s="177"/>
      <c r="F145" s="177"/>
      <c r="G145" s="178" t="s">
        <v>1</v>
      </c>
      <c r="H145" s="178"/>
      <c r="I145" s="178"/>
      <c r="J145" s="178"/>
      <c r="K145" s="178"/>
      <c r="L145" s="178"/>
      <c r="M145" s="178"/>
    </row>
    <row r="146" spans="1:13" x14ac:dyDescent="0.25">
      <c r="A146" s="177" t="s">
        <v>22</v>
      </c>
      <c r="B146" s="177"/>
      <c r="C146" s="177"/>
      <c r="D146" s="177"/>
      <c r="E146" s="177"/>
      <c r="F146" s="177"/>
      <c r="G146" s="178" t="s">
        <v>2</v>
      </c>
      <c r="H146" s="178"/>
      <c r="I146" s="178"/>
      <c r="J146" s="178"/>
      <c r="K146" s="178"/>
      <c r="L146" s="178"/>
      <c r="M146" s="178"/>
    </row>
    <row r="147" spans="1:13" x14ac:dyDescent="0.25">
      <c r="A147" s="25"/>
      <c r="B147" s="26"/>
      <c r="C147" s="113"/>
      <c r="D147" s="26"/>
      <c r="E147" s="26"/>
      <c r="F147" s="26"/>
      <c r="G147" s="186" t="s">
        <v>600</v>
      </c>
      <c r="H147" s="186"/>
      <c r="I147" s="186"/>
      <c r="J147" s="186"/>
      <c r="K147" s="186"/>
      <c r="L147" s="186"/>
      <c r="M147" s="186"/>
    </row>
    <row r="148" spans="1:13" ht="18.75" x14ac:dyDescent="0.25">
      <c r="A148" s="180" t="s">
        <v>549</v>
      </c>
      <c r="B148" s="180"/>
      <c r="C148" s="180"/>
      <c r="D148" s="180"/>
      <c r="E148" s="180"/>
      <c r="F148" s="180"/>
      <c r="G148" s="180"/>
      <c r="H148" s="180"/>
      <c r="I148" s="180"/>
      <c r="J148" s="180"/>
      <c r="K148" s="180"/>
      <c r="L148" s="180"/>
      <c r="M148" s="180"/>
    </row>
    <row r="149" spans="1:13" ht="31.5" x14ac:dyDescent="0.25">
      <c r="A149" s="2" t="s">
        <v>7</v>
      </c>
      <c r="B149" s="2" t="s">
        <v>8</v>
      </c>
      <c r="C149" s="114" t="s">
        <v>9</v>
      </c>
      <c r="D149" s="9" t="s">
        <v>31</v>
      </c>
      <c r="E149" s="2" t="s">
        <v>10</v>
      </c>
      <c r="F149" s="2" t="s">
        <v>11</v>
      </c>
      <c r="G149" s="2" t="s">
        <v>12</v>
      </c>
      <c r="H149" s="22" t="s">
        <v>13</v>
      </c>
      <c r="I149" s="23" t="s">
        <v>14</v>
      </c>
      <c r="J149" s="22" t="s">
        <v>15</v>
      </c>
      <c r="K149" s="22" t="s">
        <v>90</v>
      </c>
      <c r="L149" s="23" t="s">
        <v>16</v>
      </c>
      <c r="M149" s="9" t="s">
        <v>20</v>
      </c>
    </row>
    <row r="150" spans="1:13" ht="63" x14ac:dyDescent="0.25">
      <c r="A150" s="3">
        <v>1</v>
      </c>
      <c r="B150" s="64">
        <v>500</v>
      </c>
      <c r="C150" s="109">
        <v>45821</v>
      </c>
      <c r="D150" s="109" t="s">
        <v>551</v>
      </c>
      <c r="E150" s="64" t="s">
        <v>550</v>
      </c>
      <c r="F150" s="27" t="s">
        <v>552</v>
      </c>
      <c r="G150" s="27" t="s">
        <v>553</v>
      </c>
      <c r="H150" s="68">
        <v>200000</v>
      </c>
      <c r="I150" s="69"/>
      <c r="J150" s="68"/>
      <c r="K150" s="68">
        <v>5</v>
      </c>
      <c r="L150" s="70">
        <f>H150+J150</f>
        <v>200000</v>
      </c>
      <c r="M150" s="89"/>
    </row>
    <row r="151" spans="1:13" ht="78.75" x14ac:dyDescent="0.25">
      <c r="A151" s="3">
        <v>2</v>
      </c>
      <c r="B151" s="64">
        <v>501</v>
      </c>
      <c r="C151" s="109">
        <v>45821</v>
      </c>
      <c r="D151" s="109" t="s">
        <v>555</v>
      </c>
      <c r="E151" s="64" t="s">
        <v>554</v>
      </c>
      <c r="F151" s="27" t="s">
        <v>556</v>
      </c>
      <c r="G151" s="27" t="s">
        <v>557</v>
      </c>
      <c r="H151" s="68">
        <v>200000</v>
      </c>
      <c r="I151" s="69"/>
      <c r="J151" s="68"/>
      <c r="K151" s="68">
        <v>10</v>
      </c>
      <c r="L151" s="70">
        <f t="shared" ref="L151:L167" si="5">H151+J151</f>
        <v>200000</v>
      </c>
      <c r="M151" s="89"/>
    </row>
    <row r="152" spans="1:13" ht="78.75" x14ac:dyDescent="0.25">
      <c r="A152" s="3">
        <v>3</v>
      </c>
      <c r="B152" s="64">
        <v>502</v>
      </c>
      <c r="C152" s="109">
        <v>45821</v>
      </c>
      <c r="D152" s="109" t="s">
        <v>559</v>
      </c>
      <c r="E152" s="64" t="s">
        <v>558</v>
      </c>
      <c r="F152" s="27" t="s">
        <v>560</v>
      </c>
      <c r="G152" s="27" t="s">
        <v>557</v>
      </c>
      <c r="H152" s="68">
        <v>200000</v>
      </c>
      <c r="I152" s="69"/>
      <c r="J152" s="68"/>
      <c r="K152" s="68">
        <v>10</v>
      </c>
      <c r="L152" s="70">
        <f t="shared" si="5"/>
        <v>200000</v>
      </c>
      <c r="M152" s="89"/>
    </row>
    <row r="153" spans="1:13" ht="63" x14ac:dyDescent="0.25">
      <c r="A153" s="3">
        <v>4</v>
      </c>
      <c r="B153" s="64">
        <v>503</v>
      </c>
      <c r="C153" s="109">
        <v>45821</v>
      </c>
      <c r="D153" s="109" t="s">
        <v>562</v>
      </c>
      <c r="E153" s="64" t="s">
        <v>561</v>
      </c>
      <c r="F153" s="27" t="s">
        <v>563</v>
      </c>
      <c r="G153" s="27" t="s">
        <v>564</v>
      </c>
      <c r="H153" s="68"/>
      <c r="I153" s="69"/>
      <c r="J153" s="68"/>
      <c r="K153" s="68">
        <v>2</v>
      </c>
      <c r="L153" s="70">
        <f t="shared" si="5"/>
        <v>0</v>
      </c>
      <c r="M153" s="89"/>
    </row>
    <row r="154" spans="1:13" ht="78.75" x14ac:dyDescent="0.25">
      <c r="A154" s="3">
        <v>5</v>
      </c>
      <c r="B154" s="64">
        <v>545</v>
      </c>
      <c r="C154" s="109">
        <v>45838</v>
      </c>
      <c r="D154" s="109" t="s">
        <v>566</v>
      </c>
      <c r="E154" s="64" t="s">
        <v>565</v>
      </c>
      <c r="F154" s="27" t="s">
        <v>567</v>
      </c>
      <c r="G154" s="27" t="s">
        <v>568</v>
      </c>
      <c r="H154" s="68">
        <v>200000</v>
      </c>
      <c r="I154" s="69"/>
      <c r="J154" s="68"/>
      <c r="K154" s="68">
        <v>10</v>
      </c>
      <c r="L154" s="70">
        <f t="shared" si="5"/>
        <v>200000</v>
      </c>
      <c r="M154" s="89"/>
    </row>
    <row r="155" spans="1:13" ht="94.5" x14ac:dyDescent="0.25">
      <c r="A155" s="3">
        <v>6</v>
      </c>
      <c r="B155" s="64">
        <v>546</v>
      </c>
      <c r="C155" s="109">
        <v>45838</v>
      </c>
      <c r="D155" s="109" t="s">
        <v>570</v>
      </c>
      <c r="E155" s="64" t="s">
        <v>569</v>
      </c>
      <c r="F155" s="27" t="s">
        <v>571</v>
      </c>
      <c r="G155" s="27" t="s">
        <v>572</v>
      </c>
      <c r="H155" s="68"/>
      <c r="I155" s="69"/>
      <c r="J155" s="68"/>
      <c r="K155" s="68">
        <v>2</v>
      </c>
      <c r="L155" s="70">
        <f t="shared" si="5"/>
        <v>0</v>
      </c>
      <c r="M155" s="89"/>
    </row>
    <row r="156" spans="1:13" ht="94.5" x14ac:dyDescent="0.25">
      <c r="A156" s="3">
        <v>7</v>
      </c>
      <c r="B156" s="64">
        <v>547</v>
      </c>
      <c r="C156" s="109">
        <v>45838</v>
      </c>
      <c r="D156" s="109" t="s">
        <v>574</v>
      </c>
      <c r="E156" s="64" t="s">
        <v>573</v>
      </c>
      <c r="F156" s="27" t="s">
        <v>575</v>
      </c>
      <c r="G156" s="27" t="s">
        <v>572</v>
      </c>
      <c r="H156" s="68"/>
      <c r="I156" s="69"/>
      <c r="J156" s="68"/>
      <c r="K156" s="68">
        <v>3</v>
      </c>
      <c r="L156" s="70">
        <f t="shared" si="5"/>
        <v>0</v>
      </c>
      <c r="M156" s="89"/>
    </row>
    <row r="157" spans="1:13" ht="94.5" x14ac:dyDescent="0.25">
      <c r="A157" s="3">
        <v>8</v>
      </c>
      <c r="B157" s="64">
        <v>548</v>
      </c>
      <c r="C157" s="109">
        <v>45838</v>
      </c>
      <c r="D157" s="109" t="s">
        <v>577</v>
      </c>
      <c r="E157" s="64" t="s">
        <v>576</v>
      </c>
      <c r="F157" s="27" t="s">
        <v>578</v>
      </c>
      <c r="G157" s="27" t="s">
        <v>579</v>
      </c>
      <c r="H157" s="68">
        <v>300000</v>
      </c>
      <c r="I157" s="69"/>
      <c r="J157" s="68"/>
      <c r="K157" s="68">
        <v>10</v>
      </c>
      <c r="L157" s="70">
        <f t="shared" si="5"/>
        <v>300000</v>
      </c>
      <c r="M157" s="89"/>
    </row>
    <row r="158" spans="1:13" ht="47.25" x14ac:dyDescent="0.25">
      <c r="A158" s="3">
        <v>9</v>
      </c>
      <c r="B158" s="64">
        <v>549</v>
      </c>
      <c r="C158" s="109">
        <v>45838</v>
      </c>
      <c r="D158" s="109" t="s">
        <v>581</v>
      </c>
      <c r="E158" s="64" t="s">
        <v>580</v>
      </c>
      <c r="F158" s="27" t="s">
        <v>582</v>
      </c>
      <c r="G158" s="27" t="s">
        <v>583</v>
      </c>
      <c r="H158" s="68"/>
      <c r="I158" s="69"/>
      <c r="J158" s="68"/>
      <c r="K158" s="68">
        <v>5</v>
      </c>
      <c r="L158" s="70">
        <f t="shared" si="5"/>
        <v>0</v>
      </c>
      <c r="M158" s="89"/>
    </row>
    <row r="159" spans="1:13" ht="47.25" x14ac:dyDescent="0.25">
      <c r="A159" s="3">
        <v>10</v>
      </c>
      <c r="B159" s="64">
        <v>551</v>
      </c>
      <c r="C159" s="109">
        <v>45838</v>
      </c>
      <c r="D159" s="109" t="s">
        <v>585</v>
      </c>
      <c r="E159" s="64" t="s">
        <v>584</v>
      </c>
      <c r="F159" s="27" t="s">
        <v>586</v>
      </c>
      <c r="G159" s="27" t="s">
        <v>587</v>
      </c>
      <c r="H159" s="68"/>
      <c r="I159" s="69"/>
      <c r="J159" s="68"/>
      <c r="K159" s="68">
        <v>6</v>
      </c>
      <c r="L159" s="70">
        <f t="shared" si="5"/>
        <v>0</v>
      </c>
      <c r="M159" s="89"/>
    </row>
    <row r="160" spans="1:13" ht="78.75" x14ac:dyDescent="0.25">
      <c r="A160" s="3">
        <v>11</v>
      </c>
      <c r="B160" s="64">
        <v>552</v>
      </c>
      <c r="C160" s="109">
        <v>45838</v>
      </c>
      <c r="D160" s="109" t="s">
        <v>589</v>
      </c>
      <c r="E160" s="64" t="s">
        <v>588</v>
      </c>
      <c r="F160" s="27" t="s">
        <v>590</v>
      </c>
      <c r="G160" s="27" t="s">
        <v>591</v>
      </c>
      <c r="H160" s="68">
        <v>300000</v>
      </c>
      <c r="I160" s="69"/>
      <c r="J160" s="68"/>
      <c r="K160" s="68">
        <v>11</v>
      </c>
      <c r="L160" s="70">
        <f t="shared" si="5"/>
        <v>300000</v>
      </c>
      <c r="M160" s="89"/>
    </row>
    <row r="161" spans="1:13" hidden="1" x14ac:dyDescent="0.25">
      <c r="A161" s="3">
        <v>12</v>
      </c>
      <c r="B161" s="64"/>
      <c r="C161" s="109"/>
      <c r="D161" s="109"/>
      <c r="E161" s="64"/>
      <c r="F161" s="27"/>
      <c r="G161" s="27"/>
      <c r="H161" s="68"/>
      <c r="I161" s="69"/>
      <c r="J161" s="68"/>
      <c r="K161" s="68"/>
      <c r="L161" s="70">
        <f t="shared" si="5"/>
        <v>0</v>
      </c>
      <c r="M161" s="89"/>
    </row>
    <row r="162" spans="1:13" hidden="1" x14ac:dyDescent="0.25">
      <c r="A162" s="3">
        <v>13</v>
      </c>
      <c r="B162" s="64"/>
      <c r="C162" s="109"/>
      <c r="D162" s="109"/>
      <c r="E162" s="64"/>
      <c r="F162" s="27"/>
      <c r="G162" s="27"/>
      <c r="H162" s="68"/>
      <c r="I162" s="69"/>
      <c r="J162" s="68"/>
      <c r="K162" s="68"/>
      <c r="L162" s="70">
        <f t="shared" si="5"/>
        <v>0</v>
      </c>
      <c r="M162" s="89"/>
    </row>
    <row r="163" spans="1:13" hidden="1" x14ac:dyDescent="0.25">
      <c r="A163" s="3"/>
      <c r="B163" s="64"/>
      <c r="C163" s="109"/>
      <c r="D163" s="109"/>
      <c r="E163" s="64"/>
      <c r="F163" s="27"/>
      <c r="G163" s="27"/>
      <c r="H163" s="68"/>
      <c r="I163" s="69"/>
      <c r="J163" s="68"/>
      <c r="K163" s="68"/>
      <c r="L163" s="70">
        <f t="shared" si="5"/>
        <v>0</v>
      </c>
      <c r="M163" s="89"/>
    </row>
    <row r="164" spans="1:13" hidden="1" x14ac:dyDescent="0.25">
      <c r="A164" s="3"/>
      <c r="B164" s="64"/>
      <c r="C164" s="109"/>
      <c r="D164" s="109"/>
      <c r="E164" s="64"/>
      <c r="F164" s="27"/>
      <c r="G164" s="27"/>
      <c r="H164" s="68"/>
      <c r="I164" s="69"/>
      <c r="J164" s="68"/>
      <c r="K164" s="68"/>
      <c r="L164" s="70">
        <f t="shared" si="5"/>
        <v>0</v>
      </c>
      <c r="M164" s="89"/>
    </row>
    <row r="165" spans="1:13" hidden="1" x14ac:dyDescent="0.25">
      <c r="A165" s="3"/>
      <c r="B165" s="64"/>
      <c r="C165" s="109"/>
      <c r="D165" s="109"/>
      <c r="E165" s="64"/>
      <c r="F165" s="27"/>
      <c r="G165" s="27"/>
      <c r="H165" s="68"/>
      <c r="I165" s="69"/>
      <c r="J165" s="68"/>
      <c r="K165" s="68"/>
      <c r="L165" s="70">
        <f t="shared" si="5"/>
        <v>0</v>
      </c>
      <c r="M165" s="89"/>
    </row>
    <row r="166" spans="1:13" hidden="1" x14ac:dyDescent="0.25">
      <c r="A166" s="3"/>
      <c r="B166" s="64"/>
      <c r="C166" s="109"/>
      <c r="D166" s="109"/>
      <c r="E166" s="64"/>
      <c r="F166" s="27"/>
      <c r="G166" s="27"/>
      <c r="H166" s="68"/>
      <c r="I166" s="69"/>
      <c r="J166" s="68"/>
      <c r="K166" s="68"/>
      <c r="L166" s="70">
        <f t="shared" si="5"/>
        <v>0</v>
      </c>
      <c r="M166" s="89"/>
    </row>
    <row r="167" spans="1:13" hidden="1" x14ac:dyDescent="0.25">
      <c r="A167" s="3"/>
      <c r="B167" s="64"/>
      <c r="C167" s="109"/>
      <c r="D167" s="109"/>
      <c r="E167" s="64"/>
      <c r="F167" s="27"/>
      <c r="G167" s="27"/>
      <c r="H167" s="68"/>
      <c r="I167" s="69"/>
      <c r="J167" s="68"/>
      <c r="K167" s="68"/>
      <c r="L167" s="70">
        <f t="shared" si="5"/>
        <v>0</v>
      </c>
      <c r="M167" s="89"/>
    </row>
    <row r="168" spans="1:13" hidden="1" x14ac:dyDescent="0.25">
      <c r="A168" s="3"/>
      <c r="B168" s="64"/>
      <c r="C168" s="109"/>
      <c r="D168" s="109"/>
      <c r="E168" s="64"/>
      <c r="F168" s="27"/>
      <c r="G168" s="27"/>
      <c r="H168" s="68"/>
      <c r="I168" s="69"/>
      <c r="J168" s="68"/>
      <c r="K168" s="68"/>
      <c r="L168" s="70">
        <f>H168+J168</f>
        <v>0</v>
      </c>
      <c r="M168" s="89"/>
    </row>
    <row r="169" spans="1:13" hidden="1" x14ac:dyDescent="0.25">
      <c r="A169" s="3"/>
      <c r="B169" s="64"/>
      <c r="C169" s="109"/>
      <c r="D169" s="109"/>
      <c r="E169" s="64"/>
      <c r="F169" s="27"/>
      <c r="G169" s="27"/>
      <c r="H169" s="68"/>
      <c r="I169" s="69"/>
      <c r="J169" s="68"/>
      <c r="K169" s="68"/>
      <c r="L169" s="70">
        <f>H169+J169</f>
        <v>0</v>
      </c>
      <c r="M169" s="27"/>
    </row>
    <row r="170" spans="1:13" hidden="1" x14ac:dyDescent="0.25">
      <c r="A170" s="3"/>
      <c r="B170" s="64"/>
      <c r="C170" s="109"/>
      <c r="D170" s="109"/>
      <c r="E170" s="64"/>
      <c r="F170" s="27"/>
      <c r="G170" s="27"/>
      <c r="H170" s="68"/>
      <c r="I170" s="69"/>
      <c r="J170" s="68"/>
      <c r="K170" s="68"/>
      <c r="L170" s="70">
        <f>H170+J170</f>
        <v>0</v>
      </c>
      <c r="M170" s="112"/>
    </row>
    <row r="171" spans="1:13" x14ac:dyDescent="0.25">
      <c r="A171" s="181" t="s">
        <v>30</v>
      </c>
      <c r="B171" s="182"/>
      <c r="C171" s="182"/>
      <c r="D171" s="182"/>
      <c r="E171" s="182"/>
      <c r="F171" s="182"/>
      <c r="G171" s="183"/>
      <c r="H171" s="24">
        <f>SUM(H150:H170)</f>
        <v>1400000</v>
      </c>
      <c r="I171" s="24"/>
      <c r="J171" s="24">
        <f>SUM(J150:J170)</f>
        <v>0</v>
      </c>
      <c r="K171" s="24">
        <f>SUM(K150:K170)</f>
        <v>74</v>
      </c>
      <c r="L171" s="24">
        <f>SUM(L150:L170)</f>
        <v>1400000</v>
      </c>
      <c r="M171" s="75"/>
    </row>
    <row r="172" spans="1:13" x14ac:dyDescent="0.25">
      <c r="A172" s="184" t="s">
        <v>18</v>
      </c>
      <c r="B172" s="184"/>
      <c r="C172" s="184"/>
      <c r="D172" s="110"/>
      <c r="E172" s="198" t="e">
        <f ca="1">[2]!vnd(L171)</f>
        <v>#NAME?</v>
      </c>
      <c r="F172" s="198"/>
      <c r="G172" s="198"/>
      <c r="H172" s="198"/>
    </row>
    <row r="174" spans="1:13" x14ac:dyDescent="0.25">
      <c r="A174" s="86"/>
      <c r="B174" s="175" t="s">
        <v>34</v>
      </c>
      <c r="C174" s="175"/>
      <c r="D174" s="175"/>
      <c r="E174" s="175"/>
      <c r="F174" s="74"/>
      <c r="G174" s="74"/>
      <c r="H174" s="14"/>
      <c r="I174" s="14"/>
      <c r="J174" s="175" t="s">
        <v>4</v>
      </c>
      <c r="K174" s="175"/>
      <c r="L174" s="175"/>
      <c r="M174" s="175"/>
    </row>
    <row r="178" spans="1:13" x14ac:dyDescent="0.25">
      <c r="B178" s="176" t="s">
        <v>64</v>
      </c>
      <c r="C178" s="176"/>
      <c r="D178" s="176"/>
      <c r="E178" s="176"/>
      <c r="G178" s="15"/>
      <c r="J178" s="176" t="s">
        <v>197</v>
      </c>
      <c r="K178" s="176"/>
      <c r="L178" s="176"/>
      <c r="M178" s="176"/>
    </row>
    <row r="182" spans="1:13" x14ac:dyDescent="0.25">
      <c r="A182" s="177" t="s">
        <v>0</v>
      </c>
      <c r="B182" s="177"/>
      <c r="C182" s="177"/>
      <c r="D182" s="177"/>
      <c r="E182" s="177"/>
      <c r="F182" s="177"/>
      <c r="G182" s="178" t="s">
        <v>1</v>
      </c>
      <c r="H182" s="178"/>
      <c r="I182" s="178"/>
      <c r="J182" s="178"/>
      <c r="K182" s="178"/>
      <c r="L182" s="178"/>
      <c r="M182" s="178"/>
    </row>
    <row r="183" spans="1:13" x14ac:dyDescent="0.25">
      <c r="A183" s="177" t="s">
        <v>22</v>
      </c>
      <c r="B183" s="177"/>
      <c r="C183" s="177"/>
      <c r="D183" s="177"/>
      <c r="E183" s="177"/>
      <c r="F183" s="177"/>
      <c r="G183" s="178" t="s">
        <v>2</v>
      </c>
      <c r="H183" s="178"/>
      <c r="I183" s="178"/>
      <c r="J183" s="178"/>
      <c r="K183" s="178"/>
      <c r="L183" s="178"/>
      <c r="M183" s="178"/>
    </row>
    <row r="184" spans="1:13" x14ac:dyDescent="0.25">
      <c r="A184" s="25"/>
      <c r="B184" s="26"/>
      <c r="C184" s="113"/>
      <c r="D184" s="26"/>
      <c r="E184" s="26"/>
      <c r="F184" s="26"/>
      <c r="G184" s="186" t="s">
        <v>652</v>
      </c>
      <c r="H184" s="186"/>
      <c r="I184" s="186"/>
      <c r="J184" s="186"/>
      <c r="K184" s="186"/>
      <c r="L184" s="186"/>
      <c r="M184" s="186"/>
    </row>
    <row r="185" spans="1:13" ht="18.75" x14ac:dyDescent="0.25">
      <c r="A185" s="180" t="s">
        <v>693</v>
      </c>
      <c r="B185" s="180"/>
      <c r="C185" s="180"/>
      <c r="D185" s="180"/>
      <c r="E185" s="180"/>
      <c r="F185" s="180"/>
      <c r="G185" s="180"/>
      <c r="H185" s="180"/>
      <c r="I185" s="180"/>
      <c r="J185" s="180"/>
      <c r="K185" s="180"/>
      <c r="L185" s="180"/>
      <c r="M185" s="180"/>
    </row>
    <row r="186" spans="1:13" ht="31.5" x14ac:dyDescent="0.25">
      <c r="A186" s="2" t="s">
        <v>7</v>
      </c>
      <c r="B186" s="2" t="s">
        <v>8</v>
      </c>
      <c r="C186" s="114" t="s">
        <v>9</v>
      </c>
      <c r="D186" s="9" t="s">
        <v>31</v>
      </c>
      <c r="E186" s="2" t="s">
        <v>10</v>
      </c>
      <c r="F186" s="2" t="s">
        <v>11</v>
      </c>
      <c r="G186" s="2" t="s">
        <v>12</v>
      </c>
      <c r="H186" s="22" t="s">
        <v>13</v>
      </c>
      <c r="I186" s="23" t="s">
        <v>14</v>
      </c>
      <c r="J186" s="22" t="s">
        <v>15</v>
      </c>
      <c r="K186" s="22" t="s">
        <v>90</v>
      </c>
      <c r="L186" s="23" t="s">
        <v>16</v>
      </c>
      <c r="M186" s="9" t="s">
        <v>20</v>
      </c>
    </row>
    <row r="187" spans="1:13" ht="63" x14ac:dyDescent="0.25">
      <c r="A187" s="3">
        <v>1</v>
      </c>
      <c r="B187" s="64">
        <v>564</v>
      </c>
      <c r="C187" s="65">
        <v>45839</v>
      </c>
      <c r="D187" s="109" t="s">
        <v>694</v>
      </c>
      <c r="E187" s="64" t="s">
        <v>695</v>
      </c>
      <c r="F187" s="27" t="s">
        <v>696</v>
      </c>
      <c r="G187" s="27" t="s">
        <v>697</v>
      </c>
      <c r="H187" s="68"/>
      <c r="I187" s="69"/>
      <c r="J187" s="68"/>
      <c r="K187" s="68">
        <v>5</v>
      </c>
      <c r="L187" s="70">
        <f>H187+J187</f>
        <v>0</v>
      </c>
      <c r="M187" s="89"/>
    </row>
    <row r="188" spans="1:13" ht="63" x14ac:dyDescent="0.25">
      <c r="A188" s="3">
        <v>2</v>
      </c>
      <c r="B188" s="64">
        <v>563</v>
      </c>
      <c r="C188" s="65">
        <v>45839</v>
      </c>
      <c r="D188" s="109" t="s">
        <v>698</v>
      </c>
      <c r="E188" s="64" t="s">
        <v>699</v>
      </c>
      <c r="F188" s="27" t="s">
        <v>696</v>
      </c>
      <c r="G188" s="27" t="s">
        <v>697</v>
      </c>
      <c r="H188" s="68"/>
      <c r="I188" s="69"/>
      <c r="J188" s="68"/>
      <c r="K188" s="68">
        <v>5</v>
      </c>
      <c r="L188" s="70">
        <f t="shared" ref="L188:L214" si="6">H188+J188</f>
        <v>0</v>
      </c>
      <c r="M188" s="89"/>
    </row>
    <row r="189" spans="1:13" ht="94.5" x14ac:dyDescent="0.25">
      <c r="A189" s="3">
        <v>3</v>
      </c>
      <c r="B189" s="64">
        <v>562</v>
      </c>
      <c r="C189" s="65">
        <v>45839</v>
      </c>
      <c r="D189" s="109" t="s">
        <v>700</v>
      </c>
      <c r="E189" s="64" t="s">
        <v>701</v>
      </c>
      <c r="F189" s="27" t="s">
        <v>702</v>
      </c>
      <c r="G189" s="27" t="s">
        <v>703</v>
      </c>
      <c r="H189" s="68"/>
      <c r="I189" s="69"/>
      <c r="J189" s="68"/>
      <c r="K189" s="68">
        <v>3</v>
      </c>
      <c r="L189" s="70">
        <f t="shared" si="6"/>
        <v>0</v>
      </c>
      <c r="M189" s="89"/>
    </row>
    <row r="190" spans="1:13" ht="94.5" x14ac:dyDescent="0.25">
      <c r="A190" s="3">
        <v>4</v>
      </c>
      <c r="B190" s="64">
        <v>561</v>
      </c>
      <c r="C190" s="65">
        <v>45839</v>
      </c>
      <c r="D190" s="109" t="s">
        <v>704</v>
      </c>
      <c r="E190" s="64" t="s">
        <v>705</v>
      </c>
      <c r="F190" s="27" t="s">
        <v>706</v>
      </c>
      <c r="G190" s="27" t="s">
        <v>703</v>
      </c>
      <c r="H190" s="68"/>
      <c r="I190" s="69"/>
      <c r="J190" s="68"/>
      <c r="K190" s="68">
        <v>5</v>
      </c>
      <c r="L190" s="70">
        <f t="shared" si="6"/>
        <v>0</v>
      </c>
      <c r="M190" s="89"/>
    </row>
    <row r="191" spans="1:13" ht="78.75" x14ac:dyDescent="0.25">
      <c r="A191" s="3">
        <v>5</v>
      </c>
      <c r="B191" s="64">
        <v>569</v>
      </c>
      <c r="C191" s="65">
        <v>45844</v>
      </c>
      <c r="D191" s="109" t="s">
        <v>707</v>
      </c>
      <c r="E191" s="64" t="s">
        <v>708</v>
      </c>
      <c r="F191" s="27" t="s">
        <v>709</v>
      </c>
      <c r="G191" s="27" t="s">
        <v>710</v>
      </c>
      <c r="H191" s="68">
        <v>500000</v>
      </c>
      <c r="I191" s="69"/>
      <c r="J191" s="68"/>
      <c r="K191" s="68">
        <v>15</v>
      </c>
      <c r="L191" s="70">
        <f t="shared" si="6"/>
        <v>500000</v>
      </c>
      <c r="M191" s="89"/>
    </row>
    <row r="192" spans="1:13" ht="63" x14ac:dyDescent="0.25">
      <c r="A192" s="3">
        <v>6</v>
      </c>
      <c r="B192" s="64">
        <v>658</v>
      </c>
      <c r="C192" s="65">
        <v>45844</v>
      </c>
      <c r="D192" s="109" t="s">
        <v>698</v>
      </c>
      <c r="E192" s="64" t="s">
        <v>699</v>
      </c>
      <c r="F192" s="27" t="s">
        <v>696</v>
      </c>
      <c r="G192" s="27" t="s">
        <v>711</v>
      </c>
      <c r="H192" s="68">
        <v>500000</v>
      </c>
      <c r="I192" s="69"/>
      <c r="J192" s="68"/>
      <c r="K192" s="68">
        <v>15</v>
      </c>
      <c r="L192" s="70">
        <f t="shared" si="6"/>
        <v>500000</v>
      </c>
      <c r="M192" s="89"/>
    </row>
    <row r="193" spans="1:13" ht="110.25" x14ac:dyDescent="0.25">
      <c r="A193" s="3">
        <v>7</v>
      </c>
      <c r="B193" s="64">
        <v>571</v>
      </c>
      <c r="C193" s="65">
        <v>45845</v>
      </c>
      <c r="D193" s="109" t="s">
        <v>712</v>
      </c>
      <c r="E193" s="64" t="s">
        <v>713</v>
      </c>
      <c r="F193" s="27" t="s">
        <v>714</v>
      </c>
      <c r="G193" s="27" t="s">
        <v>715</v>
      </c>
      <c r="H193" s="68">
        <v>500000</v>
      </c>
      <c r="I193" s="69"/>
      <c r="J193" s="68"/>
      <c r="K193" s="68">
        <v>6</v>
      </c>
      <c r="L193" s="70">
        <f t="shared" si="6"/>
        <v>500000</v>
      </c>
      <c r="M193" s="89"/>
    </row>
    <row r="194" spans="1:13" ht="78.75" x14ac:dyDescent="0.25">
      <c r="A194" s="3">
        <v>8</v>
      </c>
      <c r="B194" s="64">
        <v>588</v>
      </c>
      <c r="C194" s="65">
        <v>45850</v>
      </c>
      <c r="D194" s="109" t="s">
        <v>716</v>
      </c>
      <c r="E194" s="64" t="s">
        <v>717</v>
      </c>
      <c r="F194" s="27" t="s">
        <v>718</v>
      </c>
      <c r="G194" s="27" t="s">
        <v>719</v>
      </c>
      <c r="H194" s="68">
        <v>500000</v>
      </c>
      <c r="I194" s="69"/>
      <c r="J194" s="68"/>
      <c r="K194" s="68">
        <v>14</v>
      </c>
      <c r="L194" s="70">
        <f t="shared" si="6"/>
        <v>500000</v>
      </c>
      <c r="M194" s="89"/>
    </row>
    <row r="195" spans="1:13" ht="78.75" x14ac:dyDescent="0.25">
      <c r="A195" s="3">
        <v>9</v>
      </c>
      <c r="B195" s="64">
        <v>587</v>
      </c>
      <c r="C195" s="65">
        <v>45850</v>
      </c>
      <c r="D195" s="109" t="s">
        <v>720</v>
      </c>
      <c r="E195" s="64" t="s">
        <v>721</v>
      </c>
      <c r="F195" s="27" t="s">
        <v>718</v>
      </c>
      <c r="G195" s="27" t="s">
        <v>719</v>
      </c>
      <c r="H195" s="68">
        <v>500000</v>
      </c>
      <c r="I195" s="69"/>
      <c r="J195" s="68"/>
      <c r="K195" s="68">
        <v>14</v>
      </c>
      <c r="L195" s="70">
        <f t="shared" si="6"/>
        <v>500000</v>
      </c>
      <c r="M195" s="89"/>
    </row>
    <row r="196" spans="1:13" ht="63" x14ac:dyDescent="0.25">
      <c r="A196" s="3">
        <v>10</v>
      </c>
      <c r="B196" s="64">
        <v>586</v>
      </c>
      <c r="C196" s="65">
        <v>45850</v>
      </c>
      <c r="D196" s="109" t="s">
        <v>722</v>
      </c>
      <c r="E196" s="64" t="s">
        <v>723</v>
      </c>
      <c r="F196" s="27" t="s">
        <v>691</v>
      </c>
      <c r="G196" s="27" t="s">
        <v>724</v>
      </c>
      <c r="H196" s="68"/>
      <c r="I196" s="69"/>
      <c r="J196" s="68"/>
      <c r="K196" s="68">
        <v>5</v>
      </c>
      <c r="L196" s="70">
        <f t="shared" si="6"/>
        <v>0</v>
      </c>
      <c r="M196" s="89"/>
    </row>
    <row r="197" spans="1:13" ht="78.75" x14ac:dyDescent="0.25">
      <c r="A197" s="3">
        <v>11</v>
      </c>
      <c r="B197" s="64">
        <v>582</v>
      </c>
      <c r="C197" s="65">
        <v>45850</v>
      </c>
      <c r="D197" s="109" t="s">
        <v>725</v>
      </c>
      <c r="E197" s="64" t="s">
        <v>726</v>
      </c>
      <c r="F197" s="27" t="s">
        <v>727</v>
      </c>
      <c r="G197" s="27" t="s">
        <v>728</v>
      </c>
      <c r="H197" s="68">
        <v>500000</v>
      </c>
      <c r="I197" s="69"/>
      <c r="J197" s="68"/>
      <c r="K197" s="68">
        <v>5</v>
      </c>
      <c r="L197" s="70">
        <f t="shared" si="6"/>
        <v>500000</v>
      </c>
      <c r="M197" s="89"/>
    </row>
    <row r="198" spans="1:13" ht="47.25" x14ac:dyDescent="0.25">
      <c r="A198" s="3">
        <v>12</v>
      </c>
      <c r="B198" s="64">
        <v>581</v>
      </c>
      <c r="C198" s="65">
        <v>45850</v>
      </c>
      <c r="D198" s="109" t="s">
        <v>355</v>
      </c>
      <c r="E198" s="64" t="s">
        <v>356</v>
      </c>
      <c r="F198" s="27" t="s">
        <v>678</v>
      </c>
      <c r="G198" s="27" t="s">
        <v>729</v>
      </c>
      <c r="H198" s="68"/>
      <c r="I198" s="69"/>
      <c r="J198" s="68"/>
      <c r="K198" s="68">
        <v>5</v>
      </c>
      <c r="L198" s="70">
        <f t="shared" si="6"/>
        <v>0</v>
      </c>
      <c r="M198" s="89"/>
    </row>
    <row r="199" spans="1:13" ht="63" x14ac:dyDescent="0.25">
      <c r="A199" s="3">
        <v>13</v>
      </c>
      <c r="B199" s="64">
        <v>625</v>
      </c>
      <c r="C199" s="65">
        <v>45854</v>
      </c>
      <c r="D199" s="109" t="s">
        <v>730</v>
      </c>
      <c r="E199" s="64" t="s">
        <v>731</v>
      </c>
      <c r="F199" s="27" t="s">
        <v>732</v>
      </c>
      <c r="G199" s="27" t="s">
        <v>733</v>
      </c>
      <c r="H199" s="68">
        <v>500000</v>
      </c>
      <c r="I199" s="69"/>
      <c r="J199" s="68"/>
      <c r="K199" s="68">
        <v>23</v>
      </c>
      <c r="L199" s="70">
        <f t="shared" si="6"/>
        <v>500000</v>
      </c>
      <c r="M199" s="89"/>
    </row>
    <row r="200" spans="1:13" ht="63" x14ac:dyDescent="0.25">
      <c r="A200" s="3">
        <v>14</v>
      </c>
      <c r="B200" s="64">
        <v>624</v>
      </c>
      <c r="C200" s="65">
        <v>45854</v>
      </c>
      <c r="D200" s="109" t="s">
        <v>347</v>
      </c>
      <c r="E200" s="64" t="s">
        <v>348</v>
      </c>
      <c r="F200" s="27" t="s">
        <v>734</v>
      </c>
      <c r="G200" s="27" t="s">
        <v>735</v>
      </c>
      <c r="H200" s="68">
        <v>500000</v>
      </c>
      <c r="I200" s="69"/>
      <c r="J200" s="68"/>
      <c r="K200" s="68">
        <v>11</v>
      </c>
      <c r="L200" s="70">
        <f t="shared" si="6"/>
        <v>500000</v>
      </c>
      <c r="M200" s="89"/>
    </row>
    <row r="201" spans="1:13" ht="110.25" x14ac:dyDescent="0.25">
      <c r="A201" s="3">
        <v>15</v>
      </c>
      <c r="B201" s="64">
        <v>626</v>
      </c>
      <c r="C201" s="65">
        <v>45854</v>
      </c>
      <c r="D201" s="109" t="s">
        <v>398</v>
      </c>
      <c r="E201" s="64" t="s">
        <v>378</v>
      </c>
      <c r="F201" s="27" t="s">
        <v>736</v>
      </c>
      <c r="G201" s="27" t="s">
        <v>737</v>
      </c>
      <c r="H201" s="68"/>
      <c r="I201" s="69"/>
      <c r="J201" s="68"/>
      <c r="K201" s="68">
        <v>5</v>
      </c>
      <c r="L201" s="70">
        <f t="shared" si="6"/>
        <v>0</v>
      </c>
      <c r="M201" s="89"/>
    </row>
    <row r="202" spans="1:13" ht="78.75" x14ac:dyDescent="0.25">
      <c r="A202" s="3">
        <v>16</v>
      </c>
      <c r="B202" s="64">
        <v>658</v>
      </c>
      <c r="C202" s="65">
        <v>45867</v>
      </c>
      <c r="D202" s="109" t="s">
        <v>738</v>
      </c>
      <c r="E202" s="64" t="s">
        <v>739</v>
      </c>
      <c r="F202" s="27" t="s">
        <v>740</v>
      </c>
      <c r="G202" s="27" t="s">
        <v>741</v>
      </c>
      <c r="H202" s="68">
        <v>1000000</v>
      </c>
      <c r="I202" s="69"/>
      <c r="J202" s="68"/>
      <c r="K202" s="68">
        <v>20</v>
      </c>
      <c r="L202" s="70">
        <f t="shared" si="6"/>
        <v>1000000</v>
      </c>
      <c r="M202" s="89"/>
    </row>
    <row r="203" spans="1:13" ht="63" x14ac:dyDescent="0.25">
      <c r="A203" s="3">
        <v>17</v>
      </c>
      <c r="B203" s="64">
        <v>657</v>
      </c>
      <c r="C203" s="65">
        <v>45867</v>
      </c>
      <c r="D203" s="109" t="s">
        <v>247</v>
      </c>
      <c r="E203" s="64" t="s">
        <v>242</v>
      </c>
      <c r="F203" s="27" t="s">
        <v>742</v>
      </c>
      <c r="G203" s="27" t="s">
        <v>743</v>
      </c>
      <c r="H203" s="68"/>
      <c r="I203" s="69"/>
      <c r="J203" s="68"/>
      <c r="K203" s="68">
        <v>5</v>
      </c>
      <c r="L203" s="70">
        <f t="shared" si="6"/>
        <v>0</v>
      </c>
      <c r="M203" s="89"/>
    </row>
    <row r="204" spans="1:13" ht="63" x14ac:dyDescent="0.25">
      <c r="A204" s="3">
        <v>18</v>
      </c>
      <c r="B204" s="64">
        <v>656</v>
      </c>
      <c r="C204" s="65">
        <v>45867</v>
      </c>
      <c r="D204" s="109" t="s">
        <v>574</v>
      </c>
      <c r="E204" s="64" t="s">
        <v>573</v>
      </c>
      <c r="F204" s="27" t="s">
        <v>744</v>
      </c>
      <c r="G204" s="27" t="s">
        <v>745</v>
      </c>
      <c r="H204" s="68">
        <v>500000</v>
      </c>
      <c r="I204" s="69"/>
      <c r="J204" s="68"/>
      <c r="K204" s="68">
        <v>5</v>
      </c>
      <c r="L204" s="70">
        <f t="shared" si="6"/>
        <v>500000</v>
      </c>
      <c r="M204" s="89"/>
    </row>
    <row r="205" spans="1:13" ht="94.5" x14ac:dyDescent="0.25">
      <c r="A205" s="3">
        <v>19</v>
      </c>
      <c r="B205" s="64">
        <v>655</v>
      </c>
      <c r="C205" s="65">
        <v>45867</v>
      </c>
      <c r="D205" s="109" t="s">
        <v>746</v>
      </c>
      <c r="E205" s="64" t="s">
        <v>747</v>
      </c>
      <c r="F205" s="27" t="s">
        <v>748</v>
      </c>
      <c r="G205" s="27" t="s">
        <v>749</v>
      </c>
      <c r="H205" s="68">
        <v>1000000</v>
      </c>
      <c r="I205" s="69"/>
      <c r="J205" s="68"/>
      <c r="K205" s="68">
        <v>10</v>
      </c>
      <c r="L205" s="70">
        <f t="shared" si="6"/>
        <v>1000000</v>
      </c>
      <c r="M205" s="89"/>
    </row>
    <row r="206" spans="1:13" ht="63" x14ac:dyDescent="0.25">
      <c r="A206" s="3">
        <v>20</v>
      </c>
      <c r="B206" s="64">
        <v>654</v>
      </c>
      <c r="C206" s="65">
        <v>45867</v>
      </c>
      <c r="D206" s="109" t="s">
        <v>570</v>
      </c>
      <c r="E206" s="64" t="s">
        <v>569</v>
      </c>
      <c r="F206" s="27" t="s">
        <v>750</v>
      </c>
      <c r="G206" s="27" t="s">
        <v>751</v>
      </c>
      <c r="H206" s="68"/>
      <c r="I206" s="69"/>
      <c r="J206" s="68"/>
      <c r="K206" s="68">
        <v>5</v>
      </c>
      <c r="L206" s="70">
        <f t="shared" si="6"/>
        <v>0</v>
      </c>
      <c r="M206" s="89"/>
    </row>
    <row r="207" spans="1:13" ht="63" x14ac:dyDescent="0.25">
      <c r="A207" s="3">
        <v>21</v>
      </c>
      <c r="B207" s="64">
        <v>653</v>
      </c>
      <c r="C207" s="65">
        <v>45867</v>
      </c>
      <c r="D207" s="109" t="s">
        <v>752</v>
      </c>
      <c r="E207" s="64" t="s">
        <v>753</v>
      </c>
      <c r="F207" s="27" t="s">
        <v>754</v>
      </c>
      <c r="G207" s="27" t="s">
        <v>751</v>
      </c>
      <c r="H207" s="68">
        <v>500000</v>
      </c>
      <c r="I207" s="69"/>
      <c r="J207" s="68"/>
      <c r="K207" s="68">
        <v>5</v>
      </c>
      <c r="L207" s="70">
        <f t="shared" si="6"/>
        <v>500000</v>
      </c>
      <c r="M207" s="89"/>
    </row>
    <row r="208" spans="1:13" ht="110.25" x14ac:dyDescent="0.25">
      <c r="A208" s="3">
        <v>22</v>
      </c>
      <c r="B208" s="64">
        <v>652</v>
      </c>
      <c r="C208" s="65">
        <v>45867</v>
      </c>
      <c r="D208" s="109" t="s">
        <v>755</v>
      </c>
      <c r="E208" s="64" t="s">
        <v>756</v>
      </c>
      <c r="F208" s="27" t="s">
        <v>757</v>
      </c>
      <c r="G208" s="27" t="s">
        <v>758</v>
      </c>
      <c r="H208" s="68">
        <v>1000000</v>
      </c>
      <c r="I208" s="69"/>
      <c r="J208" s="68"/>
      <c r="K208" s="68">
        <v>10</v>
      </c>
      <c r="L208" s="70">
        <f t="shared" si="6"/>
        <v>1000000</v>
      </c>
      <c r="M208" s="89"/>
    </row>
    <row r="209" spans="1:13" ht="78.75" x14ac:dyDescent="0.25">
      <c r="A209" s="3">
        <v>23</v>
      </c>
      <c r="B209" s="64">
        <v>651</v>
      </c>
      <c r="C209" s="65">
        <v>45867</v>
      </c>
      <c r="D209" s="109" t="s">
        <v>759</v>
      </c>
      <c r="E209" s="64" t="s">
        <v>760</v>
      </c>
      <c r="F209" s="27" t="s">
        <v>761</v>
      </c>
      <c r="G209" s="27" t="s">
        <v>762</v>
      </c>
      <c r="H209" s="68">
        <v>200000</v>
      </c>
      <c r="I209" s="69"/>
      <c r="J209" s="68"/>
      <c r="K209" s="68">
        <v>5</v>
      </c>
      <c r="L209" s="70">
        <f t="shared" si="6"/>
        <v>200000</v>
      </c>
      <c r="M209" s="89"/>
    </row>
    <row r="210" spans="1:13" ht="78.75" x14ac:dyDescent="0.25">
      <c r="A210" s="3">
        <v>24</v>
      </c>
      <c r="B210" s="64">
        <v>650</v>
      </c>
      <c r="C210" s="65">
        <v>45867</v>
      </c>
      <c r="D210" s="109" t="s">
        <v>763</v>
      </c>
      <c r="E210" s="64" t="s">
        <v>764</v>
      </c>
      <c r="F210" s="27" t="s">
        <v>761</v>
      </c>
      <c r="G210" s="27" t="s">
        <v>762</v>
      </c>
      <c r="H210" s="68">
        <v>200000</v>
      </c>
      <c r="I210" s="69"/>
      <c r="J210" s="68"/>
      <c r="K210" s="68">
        <v>5</v>
      </c>
      <c r="L210" s="70">
        <f t="shared" si="6"/>
        <v>200000</v>
      </c>
      <c r="M210" s="89"/>
    </row>
    <row r="211" spans="1:13" ht="78.75" x14ac:dyDescent="0.25">
      <c r="A211" s="3">
        <v>25</v>
      </c>
      <c r="B211" s="64">
        <v>649</v>
      </c>
      <c r="C211" s="65">
        <v>45867</v>
      </c>
      <c r="D211" s="109" t="s">
        <v>765</v>
      </c>
      <c r="E211" s="64" t="s">
        <v>766</v>
      </c>
      <c r="F211" s="27" t="s">
        <v>768</v>
      </c>
      <c r="G211" s="27" t="s">
        <v>767</v>
      </c>
      <c r="H211" s="68">
        <v>200000</v>
      </c>
      <c r="I211" s="69"/>
      <c r="J211" s="68"/>
      <c r="K211" s="68">
        <v>5</v>
      </c>
      <c r="L211" s="70">
        <f t="shared" si="6"/>
        <v>200000</v>
      </c>
      <c r="M211" s="89"/>
    </row>
    <row r="212" spans="1:13" ht="47.25" x14ac:dyDescent="0.25">
      <c r="A212" s="3">
        <v>26</v>
      </c>
      <c r="B212" s="64">
        <v>647</v>
      </c>
      <c r="C212" s="65">
        <v>45867</v>
      </c>
      <c r="D212" s="109" t="s">
        <v>116</v>
      </c>
      <c r="E212" s="64" t="s">
        <v>117</v>
      </c>
      <c r="F212" s="27" t="s">
        <v>660</v>
      </c>
      <c r="G212" s="27" t="s">
        <v>769</v>
      </c>
      <c r="H212" s="68">
        <v>200000</v>
      </c>
      <c r="I212" s="69"/>
      <c r="J212" s="68"/>
      <c r="K212" s="68">
        <v>5</v>
      </c>
      <c r="L212" s="70">
        <f t="shared" si="6"/>
        <v>200000</v>
      </c>
      <c r="M212" s="89"/>
    </row>
    <row r="213" spans="1:13" ht="47.25" x14ac:dyDescent="0.25">
      <c r="A213" s="3">
        <v>27</v>
      </c>
      <c r="B213" s="64">
        <v>646</v>
      </c>
      <c r="C213" s="65">
        <v>45867</v>
      </c>
      <c r="D213" s="109" t="s">
        <v>770</v>
      </c>
      <c r="E213" s="64" t="s">
        <v>771</v>
      </c>
      <c r="F213" s="27" t="s">
        <v>772</v>
      </c>
      <c r="G213" s="27" t="s">
        <v>769</v>
      </c>
      <c r="H213" s="68">
        <v>200000</v>
      </c>
      <c r="I213" s="69"/>
      <c r="J213" s="68"/>
      <c r="K213" s="68">
        <v>5</v>
      </c>
      <c r="L213" s="70">
        <f t="shared" si="6"/>
        <v>200000</v>
      </c>
      <c r="M213" s="89"/>
    </row>
    <row r="214" spans="1:13" ht="47.25" x14ac:dyDescent="0.25">
      <c r="A214" s="3">
        <v>28</v>
      </c>
      <c r="B214" s="64">
        <v>645</v>
      </c>
      <c r="C214" s="65">
        <v>45867</v>
      </c>
      <c r="D214" s="109" t="s">
        <v>773</v>
      </c>
      <c r="E214" s="64" t="s">
        <v>774</v>
      </c>
      <c r="F214" s="27" t="s">
        <v>761</v>
      </c>
      <c r="G214" s="27" t="s">
        <v>775</v>
      </c>
      <c r="H214" s="68">
        <v>200000</v>
      </c>
      <c r="I214" s="69"/>
      <c r="J214" s="68"/>
      <c r="K214" s="68">
        <v>5</v>
      </c>
      <c r="L214" s="70">
        <f t="shared" si="6"/>
        <v>200000</v>
      </c>
      <c r="M214" s="89"/>
    </row>
    <row r="215" spans="1:13" ht="47.25" x14ac:dyDescent="0.25">
      <c r="A215" s="3">
        <v>29</v>
      </c>
      <c r="B215" s="64">
        <v>644</v>
      </c>
      <c r="C215" s="65">
        <v>45867</v>
      </c>
      <c r="D215" s="109" t="s">
        <v>776</v>
      </c>
      <c r="E215" s="64" t="s">
        <v>777</v>
      </c>
      <c r="F215" s="27" t="s">
        <v>761</v>
      </c>
      <c r="G215" s="27" t="s">
        <v>775</v>
      </c>
      <c r="H215" s="68">
        <v>200000</v>
      </c>
      <c r="I215" s="69"/>
      <c r="J215" s="68"/>
      <c r="K215" s="68">
        <v>5</v>
      </c>
      <c r="L215" s="70">
        <f>H215+J215</f>
        <v>200000</v>
      </c>
      <c r="M215" s="27"/>
    </row>
    <row r="216" spans="1:13" ht="47.25" x14ac:dyDescent="0.25">
      <c r="A216" s="3">
        <v>30</v>
      </c>
      <c r="B216" s="64">
        <v>677</v>
      </c>
      <c r="C216" s="109">
        <v>45869</v>
      </c>
      <c r="D216" s="109" t="s">
        <v>778</v>
      </c>
      <c r="E216" s="64" t="s">
        <v>779</v>
      </c>
      <c r="F216" s="27" t="s">
        <v>761</v>
      </c>
      <c r="G216" s="27" t="s">
        <v>775</v>
      </c>
      <c r="H216" s="68">
        <v>200000</v>
      </c>
      <c r="I216" s="69"/>
      <c r="J216" s="68"/>
      <c r="K216" s="68">
        <v>5</v>
      </c>
      <c r="L216" s="70">
        <f>H216+J216</f>
        <v>200000</v>
      </c>
      <c r="M216" s="112"/>
    </row>
    <row r="217" spans="1:13" x14ac:dyDescent="0.25">
      <c r="A217" s="181" t="s">
        <v>30</v>
      </c>
      <c r="B217" s="182"/>
      <c r="C217" s="182"/>
      <c r="D217" s="182"/>
      <c r="E217" s="182"/>
      <c r="F217" s="182"/>
      <c r="G217" s="183"/>
      <c r="H217" s="24">
        <f>SUM(H187:H216)</f>
        <v>9600000</v>
      </c>
      <c r="I217" s="24"/>
      <c r="J217" s="24">
        <f>SUM(J187:J216)</f>
        <v>0</v>
      </c>
      <c r="K217" s="24">
        <f>SUM(K187:K216)</f>
        <v>236</v>
      </c>
      <c r="L217" s="24">
        <f>SUM(L187:L216)</f>
        <v>9600000</v>
      </c>
      <c r="M217" s="75"/>
    </row>
    <row r="218" spans="1:13" x14ac:dyDescent="0.25">
      <c r="A218" s="184" t="s">
        <v>18</v>
      </c>
      <c r="B218" s="184"/>
      <c r="C218" s="184"/>
      <c r="D218" s="110"/>
      <c r="E218" s="198" t="e">
        <f ca="1">[2]!vnd(L217)</f>
        <v>#NAME?</v>
      </c>
      <c r="F218" s="198"/>
      <c r="G218" s="198"/>
      <c r="H218" s="198"/>
    </row>
    <row r="220" spans="1:13" x14ac:dyDescent="0.25">
      <c r="A220" s="86"/>
      <c r="B220" s="175" t="s">
        <v>34</v>
      </c>
      <c r="C220" s="175"/>
      <c r="D220" s="175"/>
      <c r="E220" s="175"/>
      <c r="F220" s="74"/>
      <c r="G220" s="74"/>
      <c r="H220" s="14"/>
      <c r="I220" s="14"/>
      <c r="J220" s="175" t="s">
        <v>4</v>
      </c>
      <c r="K220" s="175"/>
      <c r="L220" s="175"/>
      <c r="M220" s="175"/>
    </row>
    <row r="224" spans="1:13" x14ac:dyDescent="0.25">
      <c r="B224" s="176" t="s">
        <v>64</v>
      </c>
      <c r="C224" s="176"/>
      <c r="D224" s="176"/>
      <c r="E224" s="176"/>
      <c r="G224" s="15"/>
      <c r="J224" s="176" t="s">
        <v>197</v>
      </c>
      <c r="K224" s="176"/>
      <c r="L224" s="176"/>
      <c r="M224" s="176"/>
    </row>
    <row r="225" spans="1:13" x14ac:dyDescent="0.25">
      <c r="B225" s="139"/>
      <c r="C225" s="139"/>
      <c r="D225" s="139"/>
      <c r="E225" s="139"/>
      <c r="G225" s="15"/>
      <c r="J225" s="139"/>
      <c r="K225" s="139"/>
      <c r="L225" s="139"/>
      <c r="M225" s="139"/>
    </row>
    <row r="227" spans="1:13" x14ac:dyDescent="0.25">
      <c r="A227" s="177" t="s">
        <v>0</v>
      </c>
      <c r="B227" s="177"/>
      <c r="C227" s="177"/>
      <c r="D227" s="177"/>
      <c r="E227" s="177"/>
      <c r="F227" s="177"/>
      <c r="G227" s="178" t="s">
        <v>1</v>
      </c>
      <c r="H227" s="178"/>
      <c r="I227" s="178"/>
      <c r="J227" s="178"/>
      <c r="K227" s="178"/>
      <c r="L227" s="178"/>
      <c r="M227" s="178"/>
    </row>
    <row r="228" spans="1:13" x14ac:dyDescent="0.25">
      <c r="A228" s="177" t="s">
        <v>22</v>
      </c>
      <c r="B228" s="177"/>
      <c r="C228" s="177"/>
      <c r="D228" s="177"/>
      <c r="E228" s="177"/>
      <c r="F228" s="177"/>
      <c r="G228" s="178" t="s">
        <v>2</v>
      </c>
      <c r="H228" s="178"/>
      <c r="I228" s="178"/>
      <c r="J228" s="178"/>
      <c r="K228" s="178"/>
      <c r="L228" s="178"/>
      <c r="M228" s="178"/>
    </row>
    <row r="229" spans="1:13" x14ac:dyDescent="0.25">
      <c r="A229" s="25"/>
      <c r="B229" s="26"/>
      <c r="C229" s="113"/>
      <c r="D229" s="26"/>
      <c r="E229" s="26"/>
      <c r="F229" s="26"/>
      <c r="G229" s="186" t="s">
        <v>853</v>
      </c>
      <c r="H229" s="186"/>
      <c r="I229" s="186"/>
      <c r="J229" s="186"/>
      <c r="K229" s="186"/>
      <c r="L229" s="186"/>
      <c r="M229" s="186"/>
    </row>
    <row r="230" spans="1:13" ht="18.75" x14ac:dyDescent="0.25">
      <c r="A230" s="180" t="s">
        <v>781</v>
      </c>
      <c r="B230" s="180"/>
      <c r="C230" s="180"/>
      <c r="D230" s="180"/>
      <c r="E230" s="180"/>
      <c r="F230" s="180"/>
      <c r="G230" s="180"/>
      <c r="H230" s="180"/>
      <c r="I230" s="180"/>
      <c r="J230" s="180"/>
      <c r="K230" s="180"/>
      <c r="L230" s="180"/>
      <c r="M230" s="180"/>
    </row>
    <row r="231" spans="1:13" ht="31.5" x14ac:dyDescent="0.25">
      <c r="A231" s="2" t="s">
        <v>7</v>
      </c>
      <c r="B231" s="2" t="s">
        <v>8</v>
      </c>
      <c r="C231" s="114" t="s">
        <v>9</v>
      </c>
      <c r="D231" s="9" t="s">
        <v>31</v>
      </c>
      <c r="E231" s="2" t="s">
        <v>10</v>
      </c>
      <c r="F231" s="2" t="s">
        <v>11</v>
      </c>
      <c r="G231" s="2" t="s">
        <v>12</v>
      </c>
      <c r="H231" s="22" t="s">
        <v>13</v>
      </c>
      <c r="I231" s="23" t="s">
        <v>14</v>
      </c>
      <c r="J231" s="22" t="s">
        <v>15</v>
      </c>
      <c r="K231" s="22" t="s">
        <v>90</v>
      </c>
      <c r="L231" s="23" t="s">
        <v>16</v>
      </c>
      <c r="M231" s="9" t="s">
        <v>20</v>
      </c>
    </row>
    <row r="232" spans="1:13" ht="77.25" customHeight="1" x14ac:dyDescent="0.25">
      <c r="A232" s="3">
        <v>1</v>
      </c>
      <c r="B232" s="64">
        <v>720</v>
      </c>
      <c r="C232" s="65">
        <v>45881</v>
      </c>
      <c r="D232" s="109" t="s">
        <v>782</v>
      </c>
      <c r="E232" s="64" t="s">
        <v>783</v>
      </c>
      <c r="F232" s="146" t="s">
        <v>787</v>
      </c>
      <c r="G232" s="148" t="s">
        <v>784</v>
      </c>
      <c r="H232" s="68">
        <v>500000</v>
      </c>
      <c r="I232" s="69"/>
      <c r="J232" s="68"/>
      <c r="K232" s="68">
        <v>15</v>
      </c>
      <c r="L232" s="70">
        <v>500000</v>
      </c>
      <c r="M232" s="89"/>
    </row>
    <row r="233" spans="1:13" ht="75" customHeight="1" x14ac:dyDescent="0.25">
      <c r="A233" s="3">
        <v>2</v>
      </c>
      <c r="B233" s="64">
        <v>721</v>
      </c>
      <c r="C233" s="65">
        <v>45881</v>
      </c>
      <c r="D233" s="109" t="s">
        <v>785</v>
      </c>
      <c r="E233" s="64" t="s">
        <v>786</v>
      </c>
      <c r="F233" s="146" t="s">
        <v>787</v>
      </c>
      <c r="G233" s="148" t="s">
        <v>784</v>
      </c>
      <c r="H233" s="68">
        <v>500000</v>
      </c>
      <c r="I233" s="69"/>
      <c r="J233" s="68"/>
      <c r="K233" s="68">
        <v>15</v>
      </c>
      <c r="L233" s="70">
        <v>500000</v>
      </c>
      <c r="M233" s="89"/>
    </row>
    <row r="234" spans="1:13" ht="95.25" customHeight="1" x14ac:dyDescent="0.25">
      <c r="A234" s="3">
        <v>3</v>
      </c>
      <c r="B234" s="64">
        <v>722</v>
      </c>
      <c r="C234" s="65">
        <v>45881</v>
      </c>
      <c r="D234" s="109" t="s">
        <v>144</v>
      </c>
      <c r="E234" s="64" t="s">
        <v>145</v>
      </c>
      <c r="F234" s="146" t="s">
        <v>788</v>
      </c>
      <c r="G234" s="147" t="s">
        <v>789</v>
      </c>
      <c r="H234" s="68">
        <v>300000</v>
      </c>
      <c r="I234" s="69"/>
      <c r="J234" s="68"/>
      <c r="K234" s="68">
        <v>10</v>
      </c>
      <c r="L234" s="70">
        <v>300000</v>
      </c>
      <c r="M234" s="89"/>
    </row>
    <row r="235" spans="1:13" ht="47.25" x14ac:dyDescent="0.25">
      <c r="A235" s="3">
        <v>4</v>
      </c>
      <c r="B235" s="64">
        <v>723</v>
      </c>
      <c r="C235" s="65">
        <v>45881</v>
      </c>
      <c r="D235" s="109" t="s">
        <v>791</v>
      </c>
      <c r="E235" s="64" t="s">
        <v>790</v>
      </c>
      <c r="F235" s="71" t="s">
        <v>792</v>
      </c>
      <c r="G235" s="147" t="s">
        <v>793</v>
      </c>
      <c r="H235" s="68"/>
      <c r="I235" s="69"/>
      <c r="J235" s="68"/>
      <c r="K235" s="68">
        <v>5</v>
      </c>
      <c r="L235" s="70"/>
      <c r="M235" s="89"/>
    </row>
    <row r="236" spans="1:13" ht="69.75" customHeight="1" x14ac:dyDescent="0.25">
      <c r="A236" s="3">
        <v>5</v>
      </c>
      <c r="B236" s="64">
        <v>724</v>
      </c>
      <c r="C236" s="65">
        <v>45881</v>
      </c>
      <c r="D236" s="109" t="s">
        <v>166</v>
      </c>
      <c r="E236" s="64" t="s">
        <v>167</v>
      </c>
      <c r="F236" s="137" t="s">
        <v>794</v>
      </c>
      <c r="G236" s="140" t="s">
        <v>795</v>
      </c>
      <c r="H236" s="68"/>
      <c r="I236" s="69"/>
      <c r="J236" s="68"/>
      <c r="K236" s="68">
        <v>5</v>
      </c>
      <c r="L236" s="70"/>
      <c r="M236" s="89"/>
    </row>
    <row r="237" spans="1:13" ht="77.25" customHeight="1" x14ac:dyDescent="0.25">
      <c r="A237" s="3">
        <v>6</v>
      </c>
      <c r="B237" s="64">
        <v>710</v>
      </c>
      <c r="C237" s="65">
        <v>45881</v>
      </c>
      <c r="D237" s="109" t="s">
        <v>722</v>
      </c>
      <c r="E237" s="64" t="s">
        <v>723</v>
      </c>
      <c r="F237" s="146" t="s">
        <v>798</v>
      </c>
      <c r="G237" s="71" t="s">
        <v>799</v>
      </c>
      <c r="H237" s="68"/>
      <c r="I237" s="69"/>
      <c r="J237" s="68"/>
      <c r="K237" s="68">
        <v>5</v>
      </c>
      <c r="L237" s="70"/>
      <c r="M237" s="89"/>
    </row>
    <row r="238" spans="1:13" ht="57" customHeight="1" x14ac:dyDescent="0.25">
      <c r="A238" s="3">
        <v>7</v>
      </c>
      <c r="B238" s="64">
        <v>711</v>
      </c>
      <c r="C238" s="65">
        <v>45881</v>
      </c>
      <c r="D238" s="109" t="s">
        <v>800</v>
      </c>
      <c r="E238" s="64" t="s">
        <v>801</v>
      </c>
      <c r="F238" s="146" t="s">
        <v>798</v>
      </c>
      <c r="G238" s="147" t="s">
        <v>802</v>
      </c>
      <c r="H238" s="68"/>
      <c r="I238" s="69"/>
      <c r="J238" s="68"/>
      <c r="K238" s="68">
        <v>5</v>
      </c>
      <c r="L238" s="70"/>
      <c r="M238" s="89"/>
    </row>
    <row r="239" spans="1:13" ht="63" x14ac:dyDescent="0.25">
      <c r="A239" s="3">
        <v>8</v>
      </c>
      <c r="B239" s="64">
        <v>712</v>
      </c>
      <c r="C239" s="65">
        <v>45881</v>
      </c>
      <c r="D239" s="109" t="s">
        <v>803</v>
      </c>
      <c r="E239" s="64" t="s">
        <v>804</v>
      </c>
      <c r="F239" s="137" t="s">
        <v>805</v>
      </c>
      <c r="G239" s="71" t="s">
        <v>806</v>
      </c>
      <c r="H239" s="68"/>
      <c r="I239" s="69"/>
      <c r="J239" s="68"/>
      <c r="K239" s="68">
        <v>5</v>
      </c>
      <c r="L239" s="70"/>
      <c r="M239" s="89"/>
    </row>
    <row r="240" spans="1:13" ht="90" customHeight="1" x14ac:dyDescent="0.25">
      <c r="A240" s="3">
        <v>9</v>
      </c>
      <c r="B240" s="64">
        <v>763</v>
      </c>
      <c r="C240" s="65">
        <v>45899</v>
      </c>
      <c r="D240" s="109" t="s">
        <v>815</v>
      </c>
      <c r="E240" s="64" t="s">
        <v>816</v>
      </c>
      <c r="F240" s="146" t="s">
        <v>817</v>
      </c>
      <c r="G240" s="140" t="s">
        <v>818</v>
      </c>
      <c r="H240" s="68">
        <v>200000</v>
      </c>
      <c r="I240" s="69"/>
      <c r="J240" s="68"/>
      <c r="K240" s="68">
        <v>9</v>
      </c>
      <c r="L240" s="70">
        <v>200000</v>
      </c>
      <c r="M240" s="89"/>
    </row>
    <row r="241" spans="1:13" ht="63" x14ac:dyDescent="0.25">
      <c r="A241" s="3">
        <v>10</v>
      </c>
      <c r="B241" s="64">
        <v>762</v>
      </c>
      <c r="C241" s="65">
        <v>45899</v>
      </c>
      <c r="D241" s="109" t="s">
        <v>822</v>
      </c>
      <c r="E241" s="64" t="s">
        <v>819</v>
      </c>
      <c r="F241" s="146" t="s">
        <v>820</v>
      </c>
      <c r="G241" s="71" t="s">
        <v>821</v>
      </c>
      <c r="H241" s="68"/>
      <c r="I241" s="69"/>
      <c r="J241" s="68"/>
      <c r="K241" s="68">
        <v>5</v>
      </c>
      <c r="L241" s="70"/>
      <c r="M241" s="89"/>
    </row>
    <row r="242" spans="1:13" ht="63" x14ac:dyDescent="0.25">
      <c r="A242" s="3">
        <v>11</v>
      </c>
      <c r="B242" s="64">
        <v>761</v>
      </c>
      <c r="C242" s="65">
        <v>45899</v>
      </c>
      <c r="D242" s="109" t="s">
        <v>825</v>
      </c>
      <c r="E242" s="64" t="s">
        <v>823</v>
      </c>
      <c r="F242" s="146" t="s">
        <v>824</v>
      </c>
      <c r="G242" s="71" t="s">
        <v>821</v>
      </c>
      <c r="H242" s="68"/>
      <c r="I242" s="69"/>
      <c r="J242" s="68"/>
      <c r="K242" s="68">
        <v>2</v>
      </c>
      <c r="L242" s="70"/>
      <c r="M242" s="89"/>
    </row>
    <row r="243" spans="1:13" x14ac:dyDescent="0.25">
      <c r="A243" s="181" t="s">
        <v>30</v>
      </c>
      <c r="B243" s="182"/>
      <c r="C243" s="182"/>
      <c r="D243" s="182"/>
      <c r="E243" s="182"/>
      <c r="F243" s="182"/>
      <c r="G243" s="183"/>
      <c r="H243" s="24">
        <f>SUM(H232:H242)</f>
        <v>1500000</v>
      </c>
      <c r="I243" s="24"/>
      <c r="J243" s="24">
        <f>SUM(J232:J242)</f>
        <v>0</v>
      </c>
      <c r="K243" s="24">
        <f>SUM(K232:K242)</f>
        <v>81</v>
      </c>
      <c r="L243" s="24">
        <f>SUM(L232:L242)</f>
        <v>1500000</v>
      </c>
      <c r="M243" s="75"/>
    </row>
    <row r="244" spans="1:13" x14ac:dyDescent="0.25">
      <c r="A244" s="184" t="s">
        <v>18</v>
      </c>
      <c r="B244" s="184"/>
      <c r="C244" s="184"/>
      <c r="D244" s="198" t="s">
        <v>854</v>
      </c>
      <c r="E244" s="198"/>
      <c r="F244" s="198"/>
      <c r="G244" s="198"/>
      <c r="H244" s="198"/>
    </row>
    <row r="246" spans="1:13" x14ac:dyDescent="0.25">
      <c r="A246" s="86"/>
      <c r="B246" s="175" t="s">
        <v>34</v>
      </c>
      <c r="C246" s="175"/>
      <c r="D246" s="175"/>
      <c r="E246" s="175"/>
      <c r="F246" s="74"/>
      <c r="G246" s="74"/>
      <c r="H246" s="14"/>
      <c r="I246" s="14"/>
      <c r="J246" s="175" t="s">
        <v>4</v>
      </c>
      <c r="K246" s="175"/>
      <c r="L246" s="175"/>
      <c r="M246" s="175"/>
    </row>
    <row r="247" spans="1:13" ht="24.75" customHeight="1" x14ac:dyDescent="0.25"/>
    <row r="248" spans="1:13" ht="29.25" customHeight="1" x14ac:dyDescent="0.25"/>
    <row r="250" spans="1:13" x14ac:dyDescent="0.25">
      <c r="B250" s="176" t="s">
        <v>364</v>
      </c>
      <c r="C250" s="176"/>
      <c r="D250" s="176"/>
      <c r="E250" s="176"/>
      <c r="G250" s="15"/>
      <c r="J250" s="176" t="s">
        <v>830</v>
      </c>
      <c r="K250" s="176"/>
      <c r="L250" s="176"/>
      <c r="M250" s="176"/>
    </row>
    <row r="254" spans="1:13" x14ac:dyDescent="0.25">
      <c r="A254" s="177" t="s">
        <v>0</v>
      </c>
      <c r="B254" s="177"/>
      <c r="C254" s="177"/>
      <c r="D254" s="177"/>
      <c r="E254" s="177"/>
      <c r="F254" s="177"/>
      <c r="G254" s="178" t="s">
        <v>1</v>
      </c>
      <c r="H254" s="178"/>
      <c r="I254" s="178"/>
      <c r="J254" s="178"/>
      <c r="K254" s="178"/>
      <c r="L254" s="178"/>
      <c r="M254" s="178"/>
    </row>
    <row r="255" spans="1:13" x14ac:dyDescent="0.25">
      <c r="A255" s="177" t="s">
        <v>22</v>
      </c>
      <c r="B255" s="177"/>
      <c r="C255" s="177"/>
      <c r="D255" s="177"/>
      <c r="E255" s="177"/>
      <c r="F255" s="177"/>
      <c r="G255" s="178" t="s">
        <v>2</v>
      </c>
      <c r="H255" s="178"/>
      <c r="I255" s="178"/>
      <c r="J255" s="178"/>
      <c r="K255" s="178"/>
      <c r="L255" s="178"/>
      <c r="M255" s="178"/>
    </row>
    <row r="256" spans="1:13" x14ac:dyDescent="0.25">
      <c r="A256" s="25"/>
      <c r="B256" s="26"/>
      <c r="C256" s="113"/>
      <c r="D256" s="26"/>
      <c r="E256" s="26"/>
      <c r="F256" s="26"/>
      <c r="G256" s="186" t="s">
        <v>878</v>
      </c>
      <c r="H256" s="186"/>
      <c r="I256" s="186"/>
      <c r="J256" s="186"/>
      <c r="K256" s="186"/>
      <c r="L256" s="186"/>
      <c r="M256" s="186"/>
    </row>
    <row r="257" spans="1:13" ht="18.75" x14ac:dyDescent="0.25">
      <c r="A257" s="180" t="s">
        <v>879</v>
      </c>
      <c r="B257" s="180"/>
      <c r="C257" s="180"/>
      <c r="D257" s="180"/>
      <c r="E257" s="180"/>
      <c r="F257" s="180"/>
      <c r="G257" s="180"/>
      <c r="H257" s="180"/>
      <c r="I257" s="180"/>
      <c r="J257" s="180"/>
      <c r="K257" s="180"/>
      <c r="L257" s="180"/>
      <c r="M257" s="180"/>
    </row>
    <row r="258" spans="1:13" ht="31.5" x14ac:dyDescent="0.25">
      <c r="A258" s="2" t="s">
        <v>7</v>
      </c>
      <c r="B258" s="2" t="s">
        <v>8</v>
      </c>
      <c r="C258" s="114" t="s">
        <v>9</v>
      </c>
      <c r="D258" s="9" t="s">
        <v>31</v>
      </c>
      <c r="E258" s="2" t="s">
        <v>10</v>
      </c>
      <c r="F258" s="2" t="s">
        <v>11</v>
      </c>
      <c r="G258" s="2" t="s">
        <v>12</v>
      </c>
      <c r="H258" s="22" t="s">
        <v>13</v>
      </c>
      <c r="I258" s="23" t="s">
        <v>14</v>
      </c>
      <c r="J258" s="22" t="s">
        <v>15</v>
      </c>
      <c r="K258" s="22" t="s">
        <v>90</v>
      </c>
      <c r="L258" s="23" t="s">
        <v>16</v>
      </c>
      <c r="M258" s="9" t="s">
        <v>20</v>
      </c>
    </row>
    <row r="259" spans="1:13" ht="94.5" x14ac:dyDescent="0.25">
      <c r="A259" s="3">
        <v>1</v>
      </c>
      <c r="B259" s="64">
        <v>776</v>
      </c>
      <c r="C259" s="65">
        <v>45908</v>
      </c>
      <c r="D259" s="109" t="s">
        <v>800</v>
      </c>
      <c r="E259" s="64" t="s">
        <v>801</v>
      </c>
      <c r="F259" s="146" t="s">
        <v>798</v>
      </c>
      <c r="G259" s="140" t="s">
        <v>880</v>
      </c>
      <c r="H259" s="68"/>
      <c r="I259" s="69"/>
      <c r="J259" s="68"/>
      <c r="K259" s="68">
        <v>5</v>
      </c>
      <c r="L259" s="70"/>
      <c r="M259" s="89"/>
    </row>
    <row r="260" spans="1:13" ht="78.75" x14ac:dyDescent="0.25">
      <c r="A260" s="3">
        <v>2</v>
      </c>
      <c r="B260" s="64">
        <v>777</v>
      </c>
      <c r="C260" s="65">
        <v>45908</v>
      </c>
      <c r="D260" s="109" t="s">
        <v>881</v>
      </c>
      <c r="E260" s="64" t="s">
        <v>882</v>
      </c>
      <c r="F260" s="146" t="s">
        <v>883</v>
      </c>
      <c r="G260" s="140" t="s">
        <v>884</v>
      </c>
      <c r="H260" s="68"/>
      <c r="I260" s="69"/>
      <c r="J260" s="68"/>
      <c r="K260" s="68">
        <v>6</v>
      </c>
      <c r="L260" s="70"/>
      <c r="M260" s="89"/>
    </row>
    <row r="261" spans="1:13" ht="94.5" x14ac:dyDescent="0.25">
      <c r="A261" s="3">
        <v>3</v>
      </c>
      <c r="B261" s="64">
        <v>778</v>
      </c>
      <c r="C261" s="65">
        <v>45908</v>
      </c>
      <c r="D261" s="109" t="s">
        <v>886</v>
      </c>
      <c r="E261" s="64" t="s">
        <v>885</v>
      </c>
      <c r="F261" s="146" t="s">
        <v>887</v>
      </c>
      <c r="G261" s="147" t="s">
        <v>888</v>
      </c>
      <c r="H261" s="68">
        <v>500000</v>
      </c>
      <c r="I261" s="69"/>
      <c r="J261" s="68"/>
      <c r="K261" s="68">
        <v>10</v>
      </c>
      <c r="L261" s="70">
        <v>500000</v>
      </c>
      <c r="M261" s="89"/>
    </row>
    <row r="262" spans="1:13" ht="94.5" x14ac:dyDescent="0.25">
      <c r="A262" s="3">
        <v>4</v>
      </c>
      <c r="B262" s="64">
        <v>779</v>
      </c>
      <c r="C262" s="65">
        <v>45908</v>
      </c>
      <c r="D262" s="109" t="s">
        <v>427</v>
      </c>
      <c r="E262" s="64" t="s">
        <v>428</v>
      </c>
      <c r="F262" s="150" t="s">
        <v>889</v>
      </c>
      <c r="G262" s="147" t="s">
        <v>890</v>
      </c>
      <c r="H262" s="68"/>
      <c r="I262" s="69"/>
      <c r="J262" s="68"/>
      <c r="K262" s="68">
        <v>5</v>
      </c>
      <c r="L262" s="70"/>
      <c r="M262" s="89"/>
    </row>
    <row r="263" spans="1:13" ht="78.75" x14ac:dyDescent="0.25">
      <c r="A263" s="3">
        <v>5</v>
      </c>
      <c r="B263" s="64">
        <v>780</v>
      </c>
      <c r="C263" s="65">
        <v>45908</v>
      </c>
      <c r="D263" s="109" t="s">
        <v>892</v>
      </c>
      <c r="E263" s="64" t="s">
        <v>891</v>
      </c>
      <c r="F263" s="137" t="s">
        <v>883</v>
      </c>
      <c r="G263" s="140" t="s">
        <v>893</v>
      </c>
      <c r="H263" s="68">
        <v>200000</v>
      </c>
      <c r="I263" s="69"/>
      <c r="J263" s="68"/>
      <c r="K263" s="68">
        <v>4</v>
      </c>
      <c r="L263" s="70">
        <v>200000</v>
      </c>
      <c r="M263" s="89"/>
    </row>
    <row r="264" spans="1:13" ht="78.75" x14ac:dyDescent="0.25">
      <c r="A264" s="3">
        <v>6</v>
      </c>
      <c r="B264" s="64">
        <v>781</v>
      </c>
      <c r="C264" s="65">
        <v>45908</v>
      </c>
      <c r="D264" s="109" t="s">
        <v>895</v>
      </c>
      <c r="E264" s="64" t="s">
        <v>894</v>
      </c>
      <c r="F264" s="146" t="s">
        <v>883</v>
      </c>
      <c r="G264" s="147" t="s">
        <v>896</v>
      </c>
      <c r="H264" s="68">
        <v>200000</v>
      </c>
      <c r="I264" s="69"/>
      <c r="J264" s="68"/>
      <c r="K264" s="68">
        <v>4</v>
      </c>
      <c r="L264" s="70">
        <v>200000</v>
      </c>
      <c r="M264" s="89"/>
    </row>
    <row r="265" spans="1:13" ht="94.5" x14ac:dyDescent="0.25">
      <c r="A265" s="3">
        <v>7</v>
      </c>
      <c r="B265" s="64">
        <v>782</v>
      </c>
      <c r="C265" s="65">
        <v>45908</v>
      </c>
      <c r="D265" s="109" t="s">
        <v>898</v>
      </c>
      <c r="E265" s="64" t="s">
        <v>897</v>
      </c>
      <c r="F265" s="146" t="s">
        <v>899</v>
      </c>
      <c r="G265" s="140" t="s">
        <v>900</v>
      </c>
      <c r="H265" s="68"/>
      <c r="I265" s="69"/>
      <c r="J265" s="68"/>
      <c r="K265" s="68">
        <v>10</v>
      </c>
      <c r="L265" s="70"/>
      <c r="M265" s="89"/>
    </row>
    <row r="266" spans="1:13" ht="78.75" x14ac:dyDescent="0.25">
      <c r="A266" s="3">
        <v>8</v>
      </c>
      <c r="B266" s="64">
        <v>802</v>
      </c>
      <c r="C266" s="65">
        <v>45917</v>
      </c>
      <c r="D266" s="109" t="s">
        <v>905</v>
      </c>
      <c r="E266" s="64" t="s">
        <v>906</v>
      </c>
      <c r="F266" s="150" t="s">
        <v>883</v>
      </c>
      <c r="G266" s="140" t="s">
        <v>907</v>
      </c>
      <c r="H266" s="68">
        <v>200000</v>
      </c>
      <c r="I266" s="69"/>
      <c r="J266" s="68"/>
      <c r="K266" s="68">
        <v>4</v>
      </c>
      <c r="L266" s="70">
        <v>200000</v>
      </c>
      <c r="M266" s="89"/>
    </row>
    <row r="267" spans="1:13" ht="78.75" x14ac:dyDescent="0.25">
      <c r="A267" s="3">
        <v>9</v>
      </c>
      <c r="B267" s="64">
        <v>801</v>
      </c>
      <c r="C267" s="65">
        <v>45917</v>
      </c>
      <c r="D267" s="109" t="s">
        <v>908</v>
      </c>
      <c r="E267" s="64" t="s">
        <v>909</v>
      </c>
      <c r="F267" s="150" t="s">
        <v>910</v>
      </c>
      <c r="G267" s="140" t="s">
        <v>911</v>
      </c>
      <c r="H267" s="68">
        <v>200000</v>
      </c>
      <c r="I267" s="69"/>
      <c r="J267" s="68"/>
      <c r="K267" s="68">
        <v>4</v>
      </c>
      <c r="L267" s="70">
        <v>200000</v>
      </c>
      <c r="M267" s="89"/>
    </row>
    <row r="268" spans="1:13" ht="78.75" x14ac:dyDescent="0.25">
      <c r="A268" s="3">
        <v>10</v>
      </c>
      <c r="B268" s="64">
        <v>830</v>
      </c>
      <c r="C268" s="65">
        <v>45927</v>
      </c>
      <c r="D268" s="109" t="s">
        <v>778</v>
      </c>
      <c r="E268" s="64" t="s">
        <v>779</v>
      </c>
      <c r="F268" s="27" t="s">
        <v>761</v>
      </c>
      <c r="G268" s="136" t="s">
        <v>927</v>
      </c>
      <c r="H268" s="68">
        <v>200000</v>
      </c>
      <c r="I268" s="69"/>
      <c r="J268" s="68"/>
      <c r="K268" s="68">
        <v>4</v>
      </c>
      <c r="L268" s="70">
        <v>200000</v>
      </c>
      <c r="M268" s="89"/>
    </row>
    <row r="269" spans="1:13" ht="94.5" x14ac:dyDescent="0.25">
      <c r="A269" s="3">
        <v>11</v>
      </c>
      <c r="B269" s="64">
        <v>829</v>
      </c>
      <c r="C269" s="65">
        <v>45927</v>
      </c>
      <c r="D269" s="109" t="s">
        <v>926</v>
      </c>
      <c r="E269" s="64" t="s">
        <v>550</v>
      </c>
      <c r="F269" s="146" t="s">
        <v>928</v>
      </c>
      <c r="G269" s="147" t="s">
        <v>929</v>
      </c>
      <c r="H269" s="68">
        <v>500000</v>
      </c>
      <c r="I269" s="69"/>
      <c r="J269" s="68"/>
      <c r="K269" s="68">
        <v>10</v>
      </c>
      <c r="L269" s="70">
        <v>500000</v>
      </c>
      <c r="M269" s="89"/>
    </row>
    <row r="270" spans="1:13" x14ac:dyDescent="0.25">
      <c r="A270" s="3">
        <v>12</v>
      </c>
      <c r="B270" s="64"/>
      <c r="C270" s="65"/>
      <c r="D270" s="109"/>
      <c r="E270" s="64"/>
      <c r="F270" s="146"/>
      <c r="G270" s="71"/>
      <c r="H270" s="68"/>
      <c r="I270" s="69"/>
      <c r="J270" s="68"/>
      <c r="K270" s="68"/>
      <c r="L270" s="70"/>
      <c r="M270" s="89"/>
    </row>
    <row r="271" spans="1:13" x14ac:dyDescent="0.25">
      <c r="A271" s="3">
        <v>13</v>
      </c>
      <c r="B271" s="64"/>
      <c r="C271" s="65"/>
      <c r="D271" s="109"/>
      <c r="E271" s="64"/>
      <c r="F271" s="146"/>
      <c r="G271" s="71"/>
      <c r="H271" s="68"/>
      <c r="I271" s="69"/>
      <c r="J271" s="68"/>
      <c r="K271" s="68"/>
      <c r="L271" s="70"/>
      <c r="M271" s="89"/>
    </row>
    <row r="272" spans="1:13" x14ac:dyDescent="0.25">
      <c r="A272" s="181" t="s">
        <v>30</v>
      </c>
      <c r="B272" s="182"/>
      <c r="C272" s="182"/>
      <c r="D272" s="182"/>
      <c r="E272" s="182"/>
      <c r="F272" s="182"/>
      <c r="G272" s="183"/>
      <c r="H272" s="24">
        <f>SUM(H259:H271)</f>
        <v>2000000</v>
      </c>
      <c r="I272" s="24"/>
      <c r="J272" s="24">
        <f>SUM(J259:J271)</f>
        <v>0</v>
      </c>
      <c r="K272" s="24">
        <f>SUM(K259:K271)</f>
        <v>66</v>
      </c>
      <c r="L272" s="24">
        <f>SUM(L259:L271)</f>
        <v>2000000</v>
      </c>
      <c r="M272" s="75"/>
    </row>
    <row r="273" spans="1:13" x14ac:dyDescent="0.25">
      <c r="A273" s="184" t="s">
        <v>18</v>
      </c>
      <c r="B273" s="184"/>
      <c r="C273" s="184"/>
      <c r="D273" s="198" t="s">
        <v>930</v>
      </c>
      <c r="E273" s="198"/>
      <c r="F273" s="198"/>
      <c r="G273" s="198"/>
      <c r="H273" s="198"/>
    </row>
    <row r="275" spans="1:13" x14ac:dyDescent="0.25">
      <c r="A275" s="86"/>
      <c r="B275" s="175" t="s">
        <v>34</v>
      </c>
      <c r="C275" s="175"/>
      <c r="D275" s="175"/>
      <c r="E275" s="175"/>
      <c r="F275" s="74"/>
      <c r="G275" s="74"/>
      <c r="H275" s="14"/>
      <c r="I275" s="14"/>
      <c r="J275" s="175" t="s">
        <v>4</v>
      </c>
      <c r="K275" s="175"/>
      <c r="L275" s="175"/>
      <c r="M275" s="175"/>
    </row>
    <row r="279" spans="1:13" x14ac:dyDescent="0.25">
      <c r="B279" s="176" t="s">
        <v>829</v>
      </c>
      <c r="C279" s="176"/>
      <c r="D279" s="176"/>
      <c r="E279" s="176"/>
      <c r="G279" s="15"/>
      <c r="J279" s="176" t="s">
        <v>830</v>
      </c>
      <c r="K279" s="176"/>
      <c r="L279" s="176"/>
      <c r="M279" s="176"/>
    </row>
    <row r="283" spans="1:13" x14ac:dyDescent="0.25">
      <c r="A283" s="177" t="s">
        <v>0</v>
      </c>
      <c r="B283" s="177"/>
      <c r="C283" s="177"/>
      <c r="D283" s="177"/>
      <c r="E283" s="177"/>
      <c r="F283" s="177"/>
      <c r="G283" s="178" t="s">
        <v>1</v>
      </c>
      <c r="H283" s="178"/>
      <c r="I283" s="178"/>
      <c r="J283" s="178"/>
      <c r="K283" s="178"/>
      <c r="L283" s="178"/>
      <c r="M283" s="178"/>
    </row>
    <row r="284" spans="1:13" x14ac:dyDescent="0.25">
      <c r="A284" s="177" t="s">
        <v>22</v>
      </c>
      <c r="B284" s="177"/>
      <c r="C284" s="177"/>
      <c r="D284" s="177"/>
      <c r="E284" s="177"/>
      <c r="F284" s="177"/>
      <c r="G284" s="178" t="s">
        <v>2</v>
      </c>
      <c r="H284" s="178"/>
      <c r="I284" s="178"/>
      <c r="J284" s="178"/>
      <c r="K284" s="178"/>
      <c r="L284" s="178"/>
      <c r="M284" s="178"/>
    </row>
    <row r="285" spans="1:13" x14ac:dyDescent="0.25">
      <c r="A285" s="25"/>
      <c r="B285" s="26"/>
      <c r="C285" s="113"/>
      <c r="D285" s="26"/>
      <c r="E285" s="26"/>
      <c r="F285" s="26"/>
      <c r="G285" s="186" t="s">
        <v>941</v>
      </c>
      <c r="H285" s="186"/>
      <c r="I285" s="186"/>
      <c r="J285" s="186"/>
      <c r="K285" s="186"/>
      <c r="L285" s="186"/>
      <c r="M285" s="186"/>
    </row>
    <row r="286" spans="1:13" ht="18.75" x14ac:dyDescent="0.25">
      <c r="A286" s="180" t="s">
        <v>942</v>
      </c>
      <c r="B286" s="180"/>
      <c r="C286" s="180"/>
      <c r="D286" s="180"/>
      <c r="E286" s="180"/>
      <c r="F286" s="180"/>
      <c r="G286" s="180"/>
      <c r="H286" s="180"/>
      <c r="I286" s="180"/>
      <c r="J286" s="180"/>
      <c r="K286" s="180"/>
      <c r="L286" s="180"/>
      <c r="M286" s="180"/>
    </row>
    <row r="287" spans="1:13" ht="31.5" x14ac:dyDescent="0.25">
      <c r="A287" s="2" t="s">
        <v>7</v>
      </c>
      <c r="B287" s="2" t="s">
        <v>8</v>
      </c>
      <c r="C287" s="114" t="s">
        <v>9</v>
      </c>
      <c r="D287" s="9" t="s">
        <v>31</v>
      </c>
      <c r="E287" s="2" t="s">
        <v>10</v>
      </c>
      <c r="F287" s="2" t="s">
        <v>11</v>
      </c>
      <c r="G287" s="2" t="s">
        <v>12</v>
      </c>
      <c r="H287" s="22" t="s">
        <v>13</v>
      </c>
      <c r="I287" s="23" t="s">
        <v>14</v>
      </c>
      <c r="J287" s="22" t="s">
        <v>15</v>
      </c>
      <c r="K287" s="22" t="s">
        <v>90</v>
      </c>
      <c r="L287" s="23" t="s">
        <v>16</v>
      </c>
      <c r="M287" s="9" t="s">
        <v>20</v>
      </c>
    </row>
    <row r="288" spans="1:13" ht="110.25" customHeight="1" x14ac:dyDescent="0.25">
      <c r="A288" s="3">
        <v>1</v>
      </c>
      <c r="B288" s="64">
        <v>846</v>
      </c>
      <c r="C288" s="65">
        <v>45938</v>
      </c>
      <c r="D288" s="109" t="s">
        <v>559</v>
      </c>
      <c r="E288" s="64" t="s">
        <v>558</v>
      </c>
      <c r="F288" s="146" t="s">
        <v>969</v>
      </c>
      <c r="G288" s="148" t="s">
        <v>970</v>
      </c>
      <c r="H288" s="68"/>
      <c r="I288" s="69"/>
      <c r="J288" s="68">
        <v>1660000</v>
      </c>
      <c r="K288" s="68"/>
      <c r="L288" s="70">
        <v>1660000</v>
      </c>
      <c r="M288" s="89"/>
    </row>
    <row r="289" spans="1:13" ht="104.25" customHeight="1" x14ac:dyDescent="0.25">
      <c r="A289" s="3">
        <v>2</v>
      </c>
      <c r="B289" s="64">
        <v>848</v>
      </c>
      <c r="C289" s="65">
        <v>45938</v>
      </c>
      <c r="D289" s="109" t="s">
        <v>973</v>
      </c>
      <c r="E289" s="64" t="s">
        <v>974</v>
      </c>
      <c r="F289" s="146" t="s">
        <v>975</v>
      </c>
      <c r="G289" s="147" t="s">
        <v>976</v>
      </c>
      <c r="H289" s="68">
        <v>200000</v>
      </c>
      <c r="I289" s="69"/>
      <c r="J289" s="68"/>
      <c r="K289" s="68">
        <v>5</v>
      </c>
      <c r="L289" s="70">
        <v>200000</v>
      </c>
      <c r="M289" s="89"/>
    </row>
    <row r="290" spans="1:13" ht="96" customHeight="1" x14ac:dyDescent="0.25">
      <c r="A290" s="3">
        <v>3</v>
      </c>
      <c r="B290" s="64">
        <v>849</v>
      </c>
      <c r="C290" s="65">
        <v>45938</v>
      </c>
      <c r="D290" s="109" t="s">
        <v>895</v>
      </c>
      <c r="E290" s="64" t="s">
        <v>894</v>
      </c>
      <c r="F290" s="146" t="s">
        <v>977</v>
      </c>
      <c r="G290" s="148" t="s">
        <v>978</v>
      </c>
      <c r="H290" s="68">
        <v>200000</v>
      </c>
      <c r="I290" s="69"/>
      <c r="J290" s="68"/>
      <c r="K290" s="68">
        <v>4</v>
      </c>
      <c r="L290" s="70">
        <v>200000</v>
      </c>
      <c r="M290" s="89"/>
    </row>
    <row r="291" spans="1:13" ht="93" customHeight="1" x14ac:dyDescent="0.25">
      <c r="A291" s="3">
        <v>4</v>
      </c>
      <c r="B291" s="64">
        <v>850</v>
      </c>
      <c r="C291" s="65">
        <v>45938</v>
      </c>
      <c r="D291" s="109" t="s">
        <v>415</v>
      </c>
      <c r="E291" s="64" t="s">
        <v>416</v>
      </c>
      <c r="F291" s="150" t="s">
        <v>979</v>
      </c>
      <c r="G291" s="156" t="s">
        <v>980</v>
      </c>
      <c r="H291" s="68">
        <v>200000</v>
      </c>
      <c r="I291" s="69"/>
      <c r="J291" s="68"/>
      <c r="K291" s="68">
        <v>4</v>
      </c>
      <c r="L291" s="70">
        <v>200000</v>
      </c>
      <c r="M291" s="89"/>
    </row>
    <row r="292" spans="1:13" ht="94.5" x14ac:dyDescent="0.25">
      <c r="A292" s="3">
        <v>5</v>
      </c>
      <c r="B292" s="64">
        <v>851</v>
      </c>
      <c r="C292" s="65">
        <v>45938</v>
      </c>
      <c r="D292" s="109" t="s">
        <v>694</v>
      </c>
      <c r="E292" s="64" t="s">
        <v>695</v>
      </c>
      <c r="F292" s="137" t="s">
        <v>981</v>
      </c>
      <c r="G292" s="156" t="s">
        <v>982</v>
      </c>
      <c r="H292" s="68"/>
      <c r="I292" s="69"/>
      <c r="J292" s="68"/>
      <c r="K292" s="68">
        <v>5</v>
      </c>
      <c r="L292" s="70"/>
      <c r="M292" s="89"/>
    </row>
    <row r="293" spans="1:13" ht="90" customHeight="1" x14ac:dyDescent="0.25">
      <c r="A293" s="3">
        <v>6</v>
      </c>
      <c r="B293" s="64">
        <v>852</v>
      </c>
      <c r="C293" s="65">
        <v>45938</v>
      </c>
      <c r="D293" s="109" t="s">
        <v>983</v>
      </c>
      <c r="E293" s="64" t="s">
        <v>984</v>
      </c>
      <c r="F293" s="146" t="s">
        <v>969</v>
      </c>
      <c r="G293" s="156" t="s">
        <v>985</v>
      </c>
      <c r="H293" s="68">
        <v>200000</v>
      </c>
      <c r="I293" s="69"/>
      <c r="J293" s="68"/>
      <c r="K293" s="68">
        <v>4</v>
      </c>
      <c r="L293" s="70">
        <v>200000</v>
      </c>
      <c r="M293" s="89"/>
    </row>
    <row r="294" spans="1:13" ht="93" customHeight="1" x14ac:dyDescent="0.25">
      <c r="A294" s="3">
        <v>7</v>
      </c>
      <c r="B294" s="64">
        <v>853</v>
      </c>
      <c r="C294" s="65">
        <v>45938</v>
      </c>
      <c r="D294" s="109" t="s">
        <v>986</v>
      </c>
      <c r="E294" s="64" t="s">
        <v>988</v>
      </c>
      <c r="F294" s="146" t="s">
        <v>989</v>
      </c>
      <c r="G294" s="156" t="s">
        <v>987</v>
      </c>
      <c r="H294" s="68">
        <v>200000</v>
      </c>
      <c r="I294" s="69"/>
      <c r="J294" s="68"/>
      <c r="K294" s="68">
        <v>4</v>
      </c>
      <c r="L294" s="70">
        <v>200000</v>
      </c>
      <c r="M294" s="89"/>
    </row>
    <row r="295" spans="1:13" ht="91.5" customHeight="1" x14ac:dyDescent="0.25">
      <c r="A295" s="3">
        <v>8</v>
      </c>
      <c r="B295" s="64">
        <v>854</v>
      </c>
      <c r="C295" s="65">
        <v>45938</v>
      </c>
      <c r="D295" s="109" t="s">
        <v>990</v>
      </c>
      <c r="E295" s="64" t="s">
        <v>992</v>
      </c>
      <c r="F295" s="146" t="s">
        <v>989</v>
      </c>
      <c r="G295" s="156" t="s">
        <v>987</v>
      </c>
      <c r="H295" s="68">
        <v>200000</v>
      </c>
      <c r="I295" s="69"/>
      <c r="J295" s="68"/>
      <c r="K295" s="68">
        <v>4</v>
      </c>
      <c r="L295" s="70">
        <v>200000</v>
      </c>
      <c r="M295" s="89"/>
    </row>
    <row r="296" spans="1:13" ht="78.75" x14ac:dyDescent="0.25">
      <c r="A296" s="3">
        <v>9</v>
      </c>
      <c r="B296" s="64">
        <v>855</v>
      </c>
      <c r="C296" s="65">
        <v>45938</v>
      </c>
      <c r="D296" s="109" t="s">
        <v>991</v>
      </c>
      <c r="E296" s="64" t="s">
        <v>993</v>
      </c>
      <c r="F296" s="146" t="s">
        <v>994</v>
      </c>
      <c r="G296" s="156" t="s">
        <v>987</v>
      </c>
      <c r="H296" s="68">
        <v>200000</v>
      </c>
      <c r="I296" s="69"/>
      <c r="J296" s="68"/>
      <c r="K296" s="68">
        <v>4</v>
      </c>
      <c r="L296" s="70">
        <v>200000</v>
      </c>
      <c r="M296" s="89"/>
    </row>
    <row r="297" spans="1:13" ht="143.25" customHeight="1" x14ac:dyDescent="0.25">
      <c r="A297" s="3">
        <v>10</v>
      </c>
      <c r="B297" s="64">
        <v>856</v>
      </c>
      <c r="C297" s="65">
        <v>45938</v>
      </c>
      <c r="D297" s="109" t="s">
        <v>746</v>
      </c>
      <c r="E297" s="64" t="s">
        <v>747</v>
      </c>
      <c r="F297" s="146" t="s">
        <v>748</v>
      </c>
      <c r="G297" s="156" t="s">
        <v>995</v>
      </c>
      <c r="H297" s="68">
        <v>200000</v>
      </c>
      <c r="I297" s="69"/>
      <c r="J297" s="68"/>
      <c r="K297" s="68">
        <v>5</v>
      </c>
      <c r="L297" s="70">
        <v>200000</v>
      </c>
      <c r="M297" s="89"/>
    </row>
    <row r="298" spans="1:13" ht="89.25" customHeight="1" x14ac:dyDescent="0.25">
      <c r="A298" s="3">
        <v>11</v>
      </c>
      <c r="B298" s="64">
        <v>875</v>
      </c>
      <c r="C298" s="65">
        <v>45946</v>
      </c>
      <c r="D298" s="109" t="s">
        <v>996</v>
      </c>
      <c r="E298" s="64" t="s">
        <v>997</v>
      </c>
      <c r="F298" s="146" t="s">
        <v>998</v>
      </c>
      <c r="G298" s="140" t="s">
        <v>999</v>
      </c>
      <c r="H298" s="68">
        <v>200000</v>
      </c>
      <c r="I298" s="69"/>
      <c r="J298" s="68"/>
      <c r="K298" s="68">
        <v>4</v>
      </c>
      <c r="L298" s="70">
        <v>200000</v>
      </c>
      <c r="M298" s="89"/>
    </row>
    <row r="299" spans="1:13" ht="78.75" x14ac:dyDescent="0.25">
      <c r="A299" s="3">
        <v>12</v>
      </c>
      <c r="B299" s="64">
        <v>876</v>
      </c>
      <c r="C299" s="65">
        <v>45946</v>
      </c>
      <c r="D299" s="109" t="s">
        <v>892</v>
      </c>
      <c r="E299" s="64" t="s">
        <v>891</v>
      </c>
      <c r="F299" s="146" t="s">
        <v>1000</v>
      </c>
      <c r="G299" s="140" t="s">
        <v>1001</v>
      </c>
      <c r="H299" s="68">
        <v>200000</v>
      </c>
      <c r="I299" s="69"/>
      <c r="J299" s="68"/>
      <c r="K299" s="68">
        <v>4</v>
      </c>
      <c r="L299" s="70">
        <v>200000</v>
      </c>
      <c r="M299" s="89"/>
    </row>
    <row r="300" spans="1:13" ht="97.5" x14ac:dyDescent="0.25">
      <c r="A300" s="3">
        <v>13</v>
      </c>
      <c r="B300" s="64">
        <v>877</v>
      </c>
      <c r="C300" s="65">
        <v>45946</v>
      </c>
      <c r="D300" s="109" t="s">
        <v>1002</v>
      </c>
      <c r="E300" s="64" t="s">
        <v>1003</v>
      </c>
      <c r="F300" s="146" t="s">
        <v>1004</v>
      </c>
      <c r="G300" s="148" t="s">
        <v>1005</v>
      </c>
      <c r="H300" s="68">
        <v>500000</v>
      </c>
      <c r="I300" s="69"/>
      <c r="J300" s="68"/>
      <c r="K300" s="68">
        <v>10</v>
      </c>
      <c r="L300" s="70">
        <v>500000</v>
      </c>
      <c r="M300" s="89"/>
    </row>
    <row r="301" spans="1:13" ht="110.25" customHeight="1" x14ac:dyDescent="0.25">
      <c r="A301" s="3">
        <v>14</v>
      </c>
      <c r="B301" s="64">
        <v>878</v>
      </c>
      <c r="C301" s="65">
        <v>45946</v>
      </c>
      <c r="D301" s="109" t="s">
        <v>559</v>
      </c>
      <c r="E301" s="64" t="s">
        <v>558</v>
      </c>
      <c r="F301" s="146" t="s">
        <v>969</v>
      </c>
      <c r="G301" s="148" t="s">
        <v>1006</v>
      </c>
      <c r="H301" s="68"/>
      <c r="I301" s="69"/>
      <c r="J301" s="68">
        <v>495000</v>
      </c>
      <c r="K301" s="68"/>
      <c r="L301" s="70">
        <v>495000</v>
      </c>
      <c r="M301" s="89" t="s">
        <v>1011</v>
      </c>
    </row>
    <row r="302" spans="1:13" ht="105.75" customHeight="1" x14ac:dyDescent="0.25">
      <c r="A302" s="3">
        <v>15</v>
      </c>
      <c r="B302" s="64">
        <v>915</v>
      </c>
      <c r="C302" s="65">
        <v>45959</v>
      </c>
      <c r="D302" s="109" t="s">
        <v>1038</v>
      </c>
      <c r="E302" s="64" t="s">
        <v>1036</v>
      </c>
      <c r="F302" s="146" t="s">
        <v>1037</v>
      </c>
      <c r="G302" s="148" t="s">
        <v>1039</v>
      </c>
      <c r="H302" s="68">
        <v>500000</v>
      </c>
      <c r="I302" s="69"/>
      <c r="J302" s="68"/>
      <c r="K302" s="68">
        <v>10</v>
      </c>
      <c r="L302" s="70">
        <v>500000</v>
      </c>
      <c r="M302" s="89"/>
    </row>
    <row r="303" spans="1:13" ht="93.75" customHeight="1" x14ac:dyDescent="0.25">
      <c r="A303" s="3">
        <v>16</v>
      </c>
      <c r="B303" s="64">
        <v>916</v>
      </c>
      <c r="C303" s="65">
        <v>45959</v>
      </c>
      <c r="D303" s="109" t="s">
        <v>996</v>
      </c>
      <c r="E303" s="64" t="s">
        <v>997</v>
      </c>
      <c r="F303" s="146" t="s">
        <v>1040</v>
      </c>
      <c r="G303" s="149" t="s">
        <v>1041</v>
      </c>
      <c r="H303" s="68">
        <v>300000</v>
      </c>
      <c r="I303" s="69"/>
      <c r="J303" s="68"/>
      <c r="K303" s="68">
        <v>5</v>
      </c>
      <c r="L303" s="70">
        <v>300000</v>
      </c>
      <c r="M303" s="89"/>
    </row>
    <row r="304" spans="1:13" x14ac:dyDescent="0.25">
      <c r="A304" s="181" t="s">
        <v>30</v>
      </c>
      <c r="B304" s="182"/>
      <c r="C304" s="182"/>
      <c r="D304" s="182"/>
      <c r="E304" s="182"/>
      <c r="F304" s="182"/>
      <c r="G304" s="183"/>
      <c r="H304" s="24">
        <f>SUM(H288:H303)</f>
        <v>3300000</v>
      </c>
      <c r="I304" s="24"/>
      <c r="J304" s="24">
        <f>SUM(J288:J303)</f>
        <v>2155000</v>
      </c>
      <c r="K304" s="24">
        <f>SUM(K288:K303)</f>
        <v>72</v>
      </c>
      <c r="L304" s="24">
        <f>SUM(L288:L303)</f>
        <v>5455000</v>
      </c>
      <c r="M304" s="75"/>
    </row>
    <row r="305" spans="1:13" x14ac:dyDescent="0.25">
      <c r="A305" s="184" t="s">
        <v>18</v>
      </c>
      <c r="B305" s="184"/>
      <c r="C305" s="184"/>
      <c r="D305" s="198" t="s">
        <v>1050</v>
      </c>
      <c r="E305" s="198"/>
      <c r="F305" s="198"/>
      <c r="G305" s="198"/>
      <c r="H305" s="198"/>
    </row>
    <row r="307" spans="1:13" x14ac:dyDescent="0.25">
      <c r="A307" s="86"/>
      <c r="B307" s="175" t="s">
        <v>34</v>
      </c>
      <c r="C307" s="175"/>
      <c r="D307" s="175"/>
      <c r="E307" s="175"/>
      <c r="F307" s="74"/>
      <c r="G307" s="74"/>
      <c r="H307" s="14"/>
      <c r="I307" s="14"/>
      <c r="J307" s="175" t="s">
        <v>4</v>
      </c>
      <c r="K307" s="175"/>
      <c r="L307" s="175"/>
      <c r="M307" s="175"/>
    </row>
    <row r="311" spans="1:13" x14ac:dyDescent="0.25">
      <c r="B311" s="176" t="s">
        <v>829</v>
      </c>
      <c r="C311" s="176"/>
      <c r="D311" s="176"/>
      <c r="E311" s="176"/>
      <c r="G311" s="15"/>
      <c r="J311" s="176" t="s">
        <v>830</v>
      </c>
      <c r="K311" s="176"/>
      <c r="L311" s="176"/>
      <c r="M311" s="176"/>
    </row>
    <row r="314" spans="1:13" x14ac:dyDescent="0.25">
      <c r="A314" s="177" t="s">
        <v>0</v>
      </c>
      <c r="B314" s="177"/>
      <c r="C314" s="177"/>
      <c r="D314" s="177"/>
      <c r="E314" s="177"/>
      <c r="F314" s="177"/>
      <c r="G314" s="178" t="s">
        <v>1</v>
      </c>
      <c r="H314" s="178"/>
      <c r="I314" s="178"/>
      <c r="J314" s="178"/>
      <c r="K314" s="178"/>
      <c r="L314" s="178"/>
      <c r="M314" s="178"/>
    </row>
    <row r="315" spans="1:13" x14ac:dyDescent="0.25">
      <c r="A315" s="177" t="s">
        <v>22</v>
      </c>
      <c r="B315" s="177"/>
      <c r="C315" s="177"/>
      <c r="D315" s="177"/>
      <c r="E315" s="177"/>
      <c r="F315" s="177"/>
      <c r="G315" s="178" t="s">
        <v>2</v>
      </c>
      <c r="H315" s="178"/>
      <c r="I315" s="178"/>
      <c r="J315" s="178"/>
      <c r="K315" s="178"/>
      <c r="L315" s="178"/>
      <c r="M315" s="178"/>
    </row>
    <row r="316" spans="1:13" x14ac:dyDescent="0.25">
      <c r="A316" s="25"/>
      <c r="B316" s="26"/>
      <c r="C316" s="113"/>
      <c r="D316" s="26"/>
      <c r="E316" s="26"/>
      <c r="F316" s="26"/>
      <c r="G316" s="186" t="s">
        <v>1058</v>
      </c>
      <c r="H316" s="186"/>
      <c r="I316" s="186"/>
      <c r="J316" s="186"/>
      <c r="K316" s="186"/>
      <c r="L316" s="186"/>
      <c r="M316" s="186"/>
    </row>
    <row r="317" spans="1:13" ht="18.75" x14ac:dyDescent="0.25">
      <c r="A317" s="180" t="s">
        <v>1059</v>
      </c>
      <c r="B317" s="180"/>
      <c r="C317" s="180"/>
      <c r="D317" s="180"/>
      <c r="E317" s="180"/>
      <c r="F317" s="180"/>
      <c r="G317" s="180"/>
      <c r="H317" s="180"/>
      <c r="I317" s="180"/>
      <c r="J317" s="180"/>
      <c r="K317" s="180"/>
      <c r="L317" s="180"/>
      <c r="M317" s="180"/>
    </row>
    <row r="318" spans="1:13" ht="31.5" x14ac:dyDescent="0.25">
      <c r="A318" s="2" t="s">
        <v>7</v>
      </c>
      <c r="B318" s="2" t="s">
        <v>8</v>
      </c>
      <c r="C318" s="114" t="s">
        <v>9</v>
      </c>
      <c r="D318" s="9" t="s">
        <v>31</v>
      </c>
      <c r="E318" s="2" t="s">
        <v>10</v>
      </c>
      <c r="F318" s="2" t="s">
        <v>11</v>
      </c>
      <c r="G318" s="2" t="s">
        <v>12</v>
      </c>
      <c r="H318" s="22" t="s">
        <v>13</v>
      </c>
      <c r="I318" s="23" t="s">
        <v>14</v>
      </c>
      <c r="J318" s="22" t="s">
        <v>15</v>
      </c>
      <c r="K318" s="22" t="s">
        <v>90</v>
      </c>
      <c r="L318" s="23" t="s">
        <v>16</v>
      </c>
      <c r="M318" s="9" t="s">
        <v>20</v>
      </c>
    </row>
    <row r="319" spans="1:13" ht="97.5" x14ac:dyDescent="0.25">
      <c r="A319" s="3">
        <v>1</v>
      </c>
      <c r="B319" s="64">
        <v>878</v>
      </c>
      <c r="C319" s="65">
        <v>45946</v>
      </c>
      <c r="D319" s="109" t="s">
        <v>559</v>
      </c>
      <c r="E319" s="64" t="s">
        <v>558</v>
      </c>
      <c r="F319" s="146" t="s">
        <v>969</v>
      </c>
      <c r="G319" s="148" t="s">
        <v>1006</v>
      </c>
      <c r="H319" s="68"/>
      <c r="I319" s="69"/>
      <c r="J319" s="68">
        <v>495000</v>
      </c>
      <c r="K319" s="68"/>
      <c r="L319" s="70">
        <v>495000</v>
      </c>
      <c r="M319" s="89" t="s">
        <v>1011</v>
      </c>
    </row>
    <row r="320" spans="1:13" ht="78.75" x14ac:dyDescent="0.25">
      <c r="A320" s="3">
        <v>2</v>
      </c>
      <c r="B320" s="64">
        <v>977</v>
      </c>
      <c r="C320" s="65">
        <v>45988</v>
      </c>
      <c r="D320" s="109" t="s">
        <v>555</v>
      </c>
      <c r="E320" s="64" t="s">
        <v>554</v>
      </c>
      <c r="F320" s="146" t="s">
        <v>1117</v>
      </c>
      <c r="G320" s="148" t="s">
        <v>1118</v>
      </c>
      <c r="H320" s="68">
        <v>200000</v>
      </c>
      <c r="I320" s="69"/>
      <c r="J320" s="68"/>
      <c r="K320" s="68">
        <v>5</v>
      </c>
      <c r="L320" s="70">
        <v>200000</v>
      </c>
      <c r="M320" s="89"/>
    </row>
    <row r="321" spans="1:13" ht="94.5" x14ac:dyDescent="0.25">
      <c r="A321" s="3">
        <v>3</v>
      </c>
      <c r="B321" s="64">
        <v>978</v>
      </c>
      <c r="C321" s="65">
        <v>45988</v>
      </c>
      <c r="D321" s="109" t="s">
        <v>577</v>
      </c>
      <c r="E321" s="64" t="s">
        <v>576</v>
      </c>
      <c r="F321" s="146" t="s">
        <v>1119</v>
      </c>
      <c r="G321" s="154" t="s">
        <v>1120</v>
      </c>
      <c r="H321" s="68">
        <v>500000</v>
      </c>
      <c r="I321" s="69"/>
      <c r="J321" s="68"/>
      <c r="K321" s="68">
        <v>10</v>
      </c>
      <c r="L321" s="70">
        <v>500000</v>
      </c>
      <c r="M321" s="89"/>
    </row>
    <row r="322" spans="1:13" ht="110.25" x14ac:dyDescent="0.25">
      <c r="A322" s="3">
        <v>4</v>
      </c>
      <c r="B322" s="64">
        <v>979</v>
      </c>
      <c r="C322" s="65">
        <v>45988</v>
      </c>
      <c r="D322" s="109" t="s">
        <v>355</v>
      </c>
      <c r="E322" s="64" t="s">
        <v>356</v>
      </c>
      <c r="F322" s="150" t="s">
        <v>1121</v>
      </c>
      <c r="G322" s="148" t="s">
        <v>1122</v>
      </c>
      <c r="H322" s="68">
        <v>200000</v>
      </c>
      <c r="I322" s="69"/>
      <c r="J322" s="68"/>
      <c r="K322" s="68">
        <v>5</v>
      </c>
      <c r="L322" s="70">
        <v>200000</v>
      </c>
      <c r="M322" s="89"/>
    </row>
    <row r="323" spans="1:13" ht="129" x14ac:dyDescent="0.25">
      <c r="A323" s="3">
        <v>5</v>
      </c>
      <c r="B323" s="64">
        <v>980</v>
      </c>
      <c r="C323" s="65">
        <v>45988</v>
      </c>
      <c r="D323" s="109" t="s">
        <v>166</v>
      </c>
      <c r="E323" s="64" t="s">
        <v>167</v>
      </c>
      <c r="F323" s="137" t="s">
        <v>1123</v>
      </c>
      <c r="G323" s="148" t="s">
        <v>1124</v>
      </c>
      <c r="H323" s="68">
        <v>200000</v>
      </c>
      <c r="I323" s="69"/>
      <c r="J323" s="68"/>
      <c r="K323" s="68">
        <v>3</v>
      </c>
      <c r="L323" s="70">
        <v>200000</v>
      </c>
      <c r="M323" s="89"/>
    </row>
    <row r="324" spans="1:13" ht="113.25" x14ac:dyDescent="0.25">
      <c r="A324" s="3">
        <v>6</v>
      </c>
      <c r="B324" s="64">
        <v>981</v>
      </c>
      <c r="C324" s="65">
        <v>45988</v>
      </c>
      <c r="D324" s="109" t="s">
        <v>1125</v>
      </c>
      <c r="E324" s="64" t="s">
        <v>1126</v>
      </c>
      <c r="F324" s="146" t="s">
        <v>1127</v>
      </c>
      <c r="G324" s="147" t="s">
        <v>1128</v>
      </c>
      <c r="H324" s="68">
        <v>500000</v>
      </c>
      <c r="I324" s="69"/>
      <c r="J324" s="68"/>
      <c r="K324" s="68">
        <v>5</v>
      </c>
      <c r="L324" s="70">
        <v>500000</v>
      </c>
      <c r="M324" s="89"/>
    </row>
    <row r="325" spans="1:13" ht="110.25" x14ac:dyDescent="0.25">
      <c r="A325" s="3">
        <v>7</v>
      </c>
      <c r="B325" s="64">
        <v>982</v>
      </c>
      <c r="C325" s="65">
        <v>45988</v>
      </c>
      <c r="D325" s="109" t="s">
        <v>698</v>
      </c>
      <c r="E325" s="64" t="s">
        <v>699</v>
      </c>
      <c r="F325" s="146" t="s">
        <v>1129</v>
      </c>
      <c r="G325" s="147" t="s">
        <v>1130</v>
      </c>
      <c r="H325" s="68">
        <v>500000</v>
      </c>
      <c r="I325" s="69"/>
      <c r="J325" s="68"/>
      <c r="K325" s="68">
        <v>5</v>
      </c>
      <c r="L325" s="70">
        <v>500000</v>
      </c>
      <c r="M325" s="89"/>
    </row>
    <row r="326" spans="1:13" ht="94.5" x14ac:dyDescent="0.25">
      <c r="A326" s="3">
        <v>8</v>
      </c>
      <c r="B326" s="64">
        <v>986</v>
      </c>
      <c r="C326" s="65">
        <v>45988</v>
      </c>
      <c r="D326" s="109" t="s">
        <v>996</v>
      </c>
      <c r="E326" s="64" t="s">
        <v>997</v>
      </c>
      <c r="F326" s="146" t="s">
        <v>1040</v>
      </c>
      <c r="G326" s="148" t="s">
        <v>1131</v>
      </c>
      <c r="H326" s="68">
        <v>200000</v>
      </c>
      <c r="I326" s="69"/>
      <c r="J326" s="68"/>
      <c r="K326" s="68">
        <v>3</v>
      </c>
      <c r="L326" s="70">
        <v>200000</v>
      </c>
      <c r="M326" s="89"/>
    </row>
    <row r="327" spans="1:13" ht="94.5" x14ac:dyDescent="0.25">
      <c r="A327" s="3">
        <v>9</v>
      </c>
      <c r="B327" s="64">
        <v>987</v>
      </c>
      <c r="C327" s="65">
        <v>45988</v>
      </c>
      <c r="D327" s="109" t="s">
        <v>1135</v>
      </c>
      <c r="E327" s="64" t="s">
        <v>1136</v>
      </c>
      <c r="F327" s="146" t="s">
        <v>1040</v>
      </c>
      <c r="G327" s="148" t="s">
        <v>1132</v>
      </c>
      <c r="H327" s="68">
        <v>200000</v>
      </c>
      <c r="I327" s="69"/>
      <c r="J327" s="68"/>
      <c r="K327" s="68">
        <v>3</v>
      </c>
      <c r="L327" s="70">
        <v>200000</v>
      </c>
      <c r="M327" s="89"/>
    </row>
    <row r="328" spans="1:13" ht="94.5" x14ac:dyDescent="0.25">
      <c r="A328" s="3">
        <v>10</v>
      </c>
      <c r="B328" s="64">
        <v>988</v>
      </c>
      <c r="C328" s="65">
        <v>45988</v>
      </c>
      <c r="D328" s="109" t="s">
        <v>716</v>
      </c>
      <c r="E328" s="64" t="s">
        <v>717</v>
      </c>
      <c r="F328" s="146" t="s">
        <v>1040</v>
      </c>
      <c r="G328" s="148" t="s">
        <v>1133</v>
      </c>
      <c r="H328" s="68">
        <v>200000</v>
      </c>
      <c r="I328" s="69"/>
      <c r="J328" s="68"/>
      <c r="K328" s="68">
        <v>3</v>
      </c>
      <c r="L328" s="70">
        <v>200000</v>
      </c>
      <c r="M328" s="89"/>
    </row>
    <row r="329" spans="1:13" ht="94.5" x14ac:dyDescent="0.25">
      <c r="A329" s="3">
        <v>11</v>
      </c>
      <c r="B329" s="64">
        <v>989</v>
      </c>
      <c r="C329" s="65">
        <v>45988</v>
      </c>
      <c r="D329" s="109" t="s">
        <v>770</v>
      </c>
      <c r="E329" s="64" t="s">
        <v>771</v>
      </c>
      <c r="F329" s="146" t="s">
        <v>1040</v>
      </c>
      <c r="G329" s="148" t="s">
        <v>1134</v>
      </c>
      <c r="H329" s="68">
        <v>200000</v>
      </c>
      <c r="I329" s="69"/>
      <c r="J329" s="68"/>
      <c r="K329" s="68">
        <v>3</v>
      </c>
      <c r="L329" s="70">
        <v>200000</v>
      </c>
      <c r="M329" s="89"/>
    </row>
    <row r="330" spans="1:13" ht="126" x14ac:dyDescent="0.25">
      <c r="A330" s="3">
        <v>12</v>
      </c>
      <c r="B330" s="64">
        <v>990</v>
      </c>
      <c r="C330" s="65">
        <v>45988</v>
      </c>
      <c r="D330" s="109" t="s">
        <v>722</v>
      </c>
      <c r="E330" s="64" t="s">
        <v>723</v>
      </c>
      <c r="F330" s="146" t="s">
        <v>1137</v>
      </c>
      <c r="G330" s="148" t="s">
        <v>1138</v>
      </c>
      <c r="H330" s="68">
        <v>500000</v>
      </c>
      <c r="I330" s="69"/>
      <c r="J330" s="68"/>
      <c r="K330" s="68">
        <v>5</v>
      </c>
      <c r="L330" s="70">
        <v>500000</v>
      </c>
      <c r="M330" s="89"/>
    </row>
    <row r="331" spans="1:13" ht="78.75" x14ac:dyDescent="0.25">
      <c r="A331" s="3">
        <v>13</v>
      </c>
      <c r="B331" s="64">
        <v>994</v>
      </c>
      <c r="C331" s="65">
        <v>45988</v>
      </c>
      <c r="D331" s="109" t="s">
        <v>1144</v>
      </c>
      <c r="E331" s="64" t="s">
        <v>1145</v>
      </c>
      <c r="F331" s="146" t="s">
        <v>1146</v>
      </c>
      <c r="G331" s="148" t="s">
        <v>1147</v>
      </c>
      <c r="H331" s="68"/>
      <c r="I331" s="69">
        <v>0.95</v>
      </c>
      <c r="J331" s="68"/>
      <c r="K331" s="68">
        <v>5</v>
      </c>
      <c r="L331" s="70">
        <v>600000</v>
      </c>
      <c r="M331" s="89" t="s">
        <v>1143</v>
      </c>
    </row>
    <row r="332" spans="1:13" ht="78.75" x14ac:dyDescent="0.25">
      <c r="A332" s="3">
        <v>14</v>
      </c>
      <c r="B332" s="64">
        <v>995</v>
      </c>
      <c r="C332" s="65">
        <v>45988</v>
      </c>
      <c r="D332" s="109" t="s">
        <v>1148</v>
      </c>
      <c r="E332" s="64" t="s">
        <v>1149</v>
      </c>
      <c r="F332" s="146" t="s">
        <v>1150</v>
      </c>
      <c r="G332" s="148" t="s">
        <v>1147</v>
      </c>
      <c r="H332" s="68"/>
      <c r="I332" s="69">
        <v>0.95</v>
      </c>
      <c r="J332" s="68"/>
      <c r="K332" s="68">
        <v>5</v>
      </c>
      <c r="L332" s="70">
        <v>444000</v>
      </c>
      <c r="M332" s="89" t="s">
        <v>1143</v>
      </c>
    </row>
    <row r="333" spans="1:13" ht="78.75" x14ac:dyDescent="0.25">
      <c r="A333" s="3">
        <v>15</v>
      </c>
      <c r="B333" s="64">
        <v>996</v>
      </c>
      <c r="C333" s="65">
        <v>45988</v>
      </c>
      <c r="D333" s="109" t="s">
        <v>1151</v>
      </c>
      <c r="E333" s="64" t="s">
        <v>1152</v>
      </c>
      <c r="F333" s="146" t="s">
        <v>1040</v>
      </c>
      <c r="G333" s="148" t="s">
        <v>1153</v>
      </c>
      <c r="H333" s="68"/>
      <c r="I333" s="69">
        <v>0.98</v>
      </c>
      <c r="J333" s="68"/>
      <c r="K333" s="68">
        <v>4</v>
      </c>
      <c r="L333" s="70">
        <v>252000</v>
      </c>
      <c r="M333" s="89" t="s">
        <v>1143</v>
      </c>
    </row>
    <row r="334" spans="1:13" ht="78.75" x14ac:dyDescent="0.25">
      <c r="A334" s="3">
        <v>16</v>
      </c>
      <c r="B334" s="64">
        <v>997</v>
      </c>
      <c r="C334" s="65">
        <v>45988</v>
      </c>
      <c r="D334" s="109" t="s">
        <v>892</v>
      </c>
      <c r="E334" s="64" t="s">
        <v>891</v>
      </c>
      <c r="F334" s="146" t="s">
        <v>1040</v>
      </c>
      <c r="G334" s="148" t="s">
        <v>1153</v>
      </c>
      <c r="H334" s="68"/>
      <c r="I334" s="69">
        <v>0.98</v>
      </c>
      <c r="J334" s="68"/>
      <c r="K334" s="68">
        <v>4</v>
      </c>
      <c r="L334" s="70">
        <v>259000</v>
      </c>
      <c r="M334" s="89" t="s">
        <v>1143</v>
      </c>
    </row>
    <row r="335" spans="1:13" ht="78.75" x14ac:dyDescent="0.25">
      <c r="A335" s="3">
        <v>17</v>
      </c>
      <c r="B335" s="64">
        <v>998</v>
      </c>
      <c r="C335" s="65">
        <v>45988</v>
      </c>
      <c r="D335" s="109" t="s">
        <v>1154</v>
      </c>
      <c r="E335" s="64" t="s">
        <v>1155</v>
      </c>
      <c r="F335" s="146" t="s">
        <v>1156</v>
      </c>
      <c r="G335" s="148" t="s">
        <v>1157</v>
      </c>
      <c r="H335" s="68"/>
      <c r="I335" s="69">
        <v>0.98</v>
      </c>
      <c r="J335" s="68"/>
      <c r="K335" s="68">
        <v>5</v>
      </c>
      <c r="L335" s="70">
        <v>259000</v>
      </c>
      <c r="M335" s="89" t="s">
        <v>1143</v>
      </c>
    </row>
    <row r="336" spans="1:13" x14ac:dyDescent="0.25">
      <c r="A336" s="3">
        <v>27</v>
      </c>
      <c r="B336" s="64"/>
      <c r="C336" s="65"/>
      <c r="D336" s="109"/>
      <c r="E336" s="64"/>
      <c r="F336" s="146"/>
      <c r="G336" s="148"/>
      <c r="H336" s="68"/>
      <c r="I336" s="69"/>
      <c r="J336" s="68"/>
      <c r="K336" s="68"/>
      <c r="L336" s="70"/>
      <c r="M336" s="89"/>
    </row>
    <row r="337" spans="1:13" x14ac:dyDescent="0.25">
      <c r="A337" s="3">
        <v>28</v>
      </c>
      <c r="B337" s="64"/>
      <c r="C337" s="65"/>
      <c r="D337" s="109"/>
      <c r="E337" s="64"/>
      <c r="F337" s="146"/>
      <c r="G337" s="149"/>
      <c r="H337" s="68"/>
      <c r="I337" s="69"/>
      <c r="J337" s="68"/>
      <c r="K337" s="68"/>
      <c r="L337" s="70"/>
      <c r="M337" s="89"/>
    </row>
    <row r="338" spans="1:13" x14ac:dyDescent="0.25">
      <c r="A338" s="181" t="s">
        <v>30</v>
      </c>
      <c r="B338" s="182"/>
      <c r="C338" s="182"/>
      <c r="D338" s="182"/>
      <c r="E338" s="182"/>
      <c r="F338" s="182"/>
      <c r="G338" s="183"/>
      <c r="H338" s="24">
        <f>SUM(H319:H337)</f>
        <v>3400000</v>
      </c>
      <c r="I338" s="24"/>
      <c r="J338" s="24">
        <f>SUM(J319:J337)</f>
        <v>495000</v>
      </c>
      <c r="K338" s="24">
        <f>SUM(K319:K337)</f>
        <v>73</v>
      </c>
      <c r="L338" s="24">
        <f>SUM(L319:L337)</f>
        <v>5709000</v>
      </c>
      <c r="M338" s="75"/>
    </row>
    <row r="339" spans="1:13" x14ac:dyDescent="0.25">
      <c r="A339" s="184" t="s">
        <v>18</v>
      </c>
      <c r="B339" s="184"/>
      <c r="C339" s="184"/>
      <c r="D339" s="198" t="s">
        <v>1245</v>
      </c>
      <c r="E339" s="198"/>
      <c r="F339" s="198"/>
      <c r="G339" s="198"/>
      <c r="H339" s="198"/>
    </row>
    <row r="341" spans="1:13" x14ac:dyDescent="0.25">
      <c r="A341" s="86"/>
      <c r="B341" s="175" t="s">
        <v>34</v>
      </c>
      <c r="C341" s="175"/>
      <c r="D341" s="175"/>
      <c r="E341" s="175"/>
      <c r="F341" s="74"/>
      <c r="G341" s="74"/>
      <c r="H341" s="14"/>
      <c r="I341" s="14"/>
      <c r="J341" s="175" t="s">
        <v>4</v>
      </c>
      <c r="K341" s="175"/>
      <c r="L341" s="175"/>
      <c r="M341" s="175"/>
    </row>
    <row r="345" spans="1:13" x14ac:dyDescent="0.25">
      <c r="B345" s="176" t="s">
        <v>829</v>
      </c>
      <c r="C345" s="176"/>
      <c r="D345" s="176"/>
      <c r="E345" s="176"/>
      <c r="G345" s="15"/>
      <c r="J345" s="176" t="s">
        <v>830</v>
      </c>
      <c r="K345" s="176"/>
      <c r="L345" s="176"/>
      <c r="M345" s="176"/>
    </row>
  </sheetData>
  <mergeCells count="141">
    <mergeCell ref="B307:E307"/>
    <mergeCell ref="J307:M307"/>
    <mergeCell ref="B311:E311"/>
    <mergeCell ref="J311:M311"/>
    <mergeCell ref="A283:F283"/>
    <mergeCell ref="G283:M283"/>
    <mergeCell ref="A284:F284"/>
    <mergeCell ref="G284:M284"/>
    <mergeCell ref="G285:M285"/>
    <mergeCell ref="A286:M286"/>
    <mergeCell ref="A304:G304"/>
    <mergeCell ref="A305:C305"/>
    <mergeCell ref="D305:H305"/>
    <mergeCell ref="A73:C73"/>
    <mergeCell ref="B75:E75"/>
    <mergeCell ref="J75:M75"/>
    <mergeCell ref="B102:E102"/>
    <mergeCell ref="J102:M102"/>
    <mergeCell ref="D73:G73"/>
    <mergeCell ref="A89:M89"/>
    <mergeCell ref="A95:G95"/>
    <mergeCell ref="A96:C96"/>
    <mergeCell ref="B98:E98"/>
    <mergeCell ref="J98:M98"/>
    <mergeCell ref="A86:F86"/>
    <mergeCell ref="G86:M86"/>
    <mergeCell ref="A87:F87"/>
    <mergeCell ref="G87:M87"/>
    <mergeCell ref="G88:M88"/>
    <mergeCell ref="B79:E79"/>
    <mergeCell ref="J79:M79"/>
    <mergeCell ref="E96:H96"/>
    <mergeCell ref="B49:E49"/>
    <mergeCell ref="J49:M49"/>
    <mergeCell ref="A54:F54"/>
    <mergeCell ref="G54:M54"/>
    <mergeCell ref="A55:F55"/>
    <mergeCell ref="G55:M55"/>
    <mergeCell ref="G56:M56"/>
    <mergeCell ref="A57:M57"/>
    <mergeCell ref="A72:G72"/>
    <mergeCell ref="A29:F29"/>
    <mergeCell ref="G29:M29"/>
    <mergeCell ref="A30:F30"/>
    <mergeCell ref="G30:M30"/>
    <mergeCell ref="G31:M31"/>
    <mergeCell ref="A32:M32"/>
    <mergeCell ref="A42:G42"/>
    <mergeCell ref="A43:C43"/>
    <mergeCell ref="B45:E45"/>
    <mergeCell ref="J45:M45"/>
    <mergeCell ref="A15:C15"/>
    <mergeCell ref="B17:E17"/>
    <mergeCell ref="J17:M17"/>
    <mergeCell ref="B21:E21"/>
    <mergeCell ref="J21:M21"/>
    <mergeCell ref="A4:M4"/>
    <mergeCell ref="A14:G14"/>
    <mergeCell ref="A1:F1"/>
    <mergeCell ref="G1:M1"/>
    <mergeCell ref="A2:F2"/>
    <mergeCell ref="G2:M2"/>
    <mergeCell ref="G3:M3"/>
    <mergeCell ref="B141:E141"/>
    <mergeCell ref="J141:M141"/>
    <mergeCell ref="A111:M111"/>
    <mergeCell ref="A134:G134"/>
    <mergeCell ref="A135:C135"/>
    <mergeCell ref="E135:H135"/>
    <mergeCell ref="B137:E137"/>
    <mergeCell ref="J137:M137"/>
    <mergeCell ref="A108:F108"/>
    <mergeCell ref="G108:M108"/>
    <mergeCell ref="A109:F109"/>
    <mergeCell ref="G109:M109"/>
    <mergeCell ref="G110:M110"/>
    <mergeCell ref="B178:E178"/>
    <mergeCell ref="J178:M178"/>
    <mergeCell ref="A148:M148"/>
    <mergeCell ref="A171:G171"/>
    <mergeCell ref="A172:C172"/>
    <mergeCell ref="E172:H172"/>
    <mergeCell ref="B174:E174"/>
    <mergeCell ref="J174:M174"/>
    <mergeCell ref="A145:F145"/>
    <mergeCell ref="G145:M145"/>
    <mergeCell ref="A146:F146"/>
    <mergeCell ref="G146:M146"/>
    <mergeCell ref="G147:M147"/>
    <mergeCell ref="B224:E224"/>
    <mergeCell ref="J224:M224"/>
    <mergeCell ref="A185:M185"/>
    <mergeCell ref="A217:G217"/>
    <mergeCell ref="A218:C218"/>
    <mergeCell ref="E218:H218"/>
    <mergeCell ref="B220:E220"/>
    <mergeCell ref="J220:M220"/>
    <mergeCell ref="A182:F182"/>
    <mergeCell ref="G182:M182"/>
    <mergeCell ref="A183:F183"/>
    <mergeCell ref="G183:M183"/>
    <mergeCell ref="G184:M184"/>
    <mergeCell ref="B250:E250"/>
    <mergeCell ref="J250:M250"/>
    <mergeCell ref="A230:M230"/>
    <mergeCell ref="A243:G243"/>
    <mergeCell ref="A244:C244"/>
    <mergeCell ref="B246:E246"/>
    <mergeCell ref="J246:M246"/>
    <mergeCell ref="A227:F227"/>
    <mergeCell ref="G227:M227"/>
    <mergeCell ref="A228:F228"/>
    <mergeCell ref="G228:M228"/>
    <mergeCell ref="G229:M229"/>
    <mergeCell ref="D244:H244"/>
    <mergeCell ref="B275:E275"/>
    <mergeCell ref="J275:M275"/>
    <mergeCell ref="B279:E279"/>
    <mergeCell ref="J279:M279"/>
    <mergeCell ref="A254:F254"/>
    <mergeCell ref="G254:M254"/>
    <mergeCell ref="A255:F255"/>
    <mergeCell ref="G255:M255"/>
    <mergeCell ref="G256:M256"/>
    <mergeCell ref="A257:M257"/>
    <mergeCell ref="A272:G272"/>
    <mergeCell ref="A273:C273"/>
    <mergeCell ref="D273:H273"/>
    <mergeCell ref="B341:E341"/>
    <mergeCell ref="J341:M341"/>
    <mergeCell ref="B345:E345"/>
    <mergeCell ref="J345:M345"/>
    <mergeCell ref="A314:F314"/>
    <mergeCell ref="G314:M314"/>
    <mergeCell ref="A315:F315"/>
    <mergeCell ref="G315:M315"/>
    <mergeCell ref="G316:M316"/>
    <mergeCell ref="A317:M317"/>
    <mergeCell ref="A338:G338"/>
    <mergeCell ref="A339:C339"/>
    <mergeCell ref="D339:H339"/>
  </mergeCells>
  <phoneticPr fontId="20" type="noConversion"/>
  <pageMargins left="0.55118110236220497" right="0.196850393700787" top="0.196850393700787" bottom="0.196850393700787" header="0.196850393700787" footer="0.196850393700787"/>
  <pageSetup paperSize="9" scale="75"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111"/>
  <sheetViews>
    <sheetView topLeftCell="A94" workbookViewId="0">
      <selection activeCell="B110" sqref="B110"/>
    </sheetView>
  </sheetViews>
  <sheetFormatPr defaultColWidth="10.28515625" defaultRowHeight="15.75" x14ac:dyDescent="0.25"/>
  <cols>
    <col min="1" max="1" width="3.85546875" style="13" customWidth="1"/>
    <col min="2" max="2" width="5.5703125" style="13" customWidth="1"/>
    <col min="3" max="3" width="12.85546875" style="13" customWidth="1"/>
    <col min="4" max="4" width="9.5703125" style="13" customWidth="1"/>
    <col min="5" max="5" width="17.140625" style="11" customWidth="1"/>
    <col min="6" max="6" width="13.5703125" style="11" customWidth="1"/>
    <col min="7" max="7" width="38.5703125" style="11" customWidth="1"/>
    <col min="8" max="8" width="10.7109375" style="12" customWidth="1"/>
    <col min="9" max="9" width="9.7109375" style="12" customWidth="1"/>
    <col min="10" max="11" width="10.28515625" style="12"/>
    <col min="12" max="12" width="11.85546875" style="12" customWidth="1"/>
    <col min="13" max="13" width="13.7109375" style="13" customWidth="1"/>
    <col min="14" max="14" width="16" style="13" bestFit="1" customWidth="1"/>
    <col min="15" max="16" width="10.28515625" style="13"/>
    <col min="17" max="17" width="11.28515625" style="13" bestFit="1" customWidth="1"/>
    <col min="18" max="16384" width="10.28515625" style="13"/>
  </cols>
  <sheetData>
    <row r="1" spans="1:14" ht="19.149999999999999" hidden="1" customHeight="1" x14ac:dyDescent="0.25">
      <c r="A1" s="177" t="s">
        <v>66</v>
      </c>
      <c r="B1" s="177"/>
      <c r="C1" s="177"/>
      <c r="D1" s="177"/>
      <c r="E1" s="177"/>
      <c r="F1" s="177"/>
      <c r="G1" s="178" t="s">
        <v>1</v>
      </c>
      <c r="H1" s="178"/>
      <c r="I1" s="178"/>
      <c r="J1" s="178"/>
      <c r="K1" s="178"/>
      <c r="L1" s="178"/>
      <c r="M1" s="178"/>
    </row>
    <row r="2" spans="1:14" ht="19.149999999999999" hidden="1" customHeight="1" x14ac:dyDescent="0.25">
      <c r="A2" s="177" t="s">
        <v>67</v>
      </c>
      <c r="B2" s="177"/>
      <c r="C2" s="177"/>
      <c r="D2" s="177"/>
      <c r="E2" s="177"/>
      <c r="F2" s="177"/>
      <c r="G2" s="178" t="s">
        <v>2</v>
      </c>
      <c r="H2" s="178"/>
      <c r="I2" s="178"/>
      <c r="J2" s="178"/>
      <c r="K2" s="178"/>
      <c r="L2" s="178"/>
      <c r="M2" s="178"/>
    </row>
    <row r="3" spans="1:14" ht="30.6" hidden="1" customHeight="1" x14ac:dyDescent="0.25">
      <c r="A3" s="25"/>
      <c r="B3" s="26"/>
      <c r="C3" s="25"/>
      <c r="D3" s="25"/>
      <c r="E3" s="26"/>
      <c r="F3" s="26"/>
      <c r="G3" s="179" t="s">
        <v>62</v>
      </c>
      <c r="H3" s="179"/>
      <c r="I3" s="179"/>
      <c r="J3" s="179"/>
      <c r="K3" s="179"/>
      <c r="L3" s="179"/>
      <c r="M3" s="179"/>
    </row>
    <row r="4" spans="1:14" ht="25.15" hidden="1" customHeight="1" x14ac:dyDescent="0.25">
      <c r="A4" s="180" t="s">
        <v>72</v>
      </c>
      <c r="B4" s="180"/>
      <c r="C4" s="180"/>
      <c r="D4" s="180"/>
      <c r="E4" s="180"/>
      <c r="F4" s="180"/>
      <c r="G4" s="180"/>
      <c r="H4" s="180"/>
      <c r="I4" s="180"/>
      <c r="J4" s="180"/>
      <c r="K4" s="180"/>
      <c r="L4" s="180"/>
      <c r="M4" s="180"/>
    </row>
    <row r="5" spans="1:14" hidden="1" x14ac:dyDescent="0.25">
      <c r="A5" s="1"/>
      <c r="B5" s="1"/>
      <c r="C5" s="1"/>
      <c r="D5" s="1"/>
      <c r="E5" s="19"/>
      <c r="F5" s="19"/>
      <c r="G5" s="19"/>
      <c r="H5" s="20"/>
      <c r="I5" s="21"/>
      <c r="J5" s="21"/>
      <c r="K5" s="21"/>
      <c r="L5" s="21"/>
      <c r="M5" s="1"/>
    </row>
    <row r="6" spans="1:14" ht="37.9" hidden="1" customHeight="1" x14ac:dyDescent="0.25">
      <c r="A6" s="2" t="s">
        <v>7</v>
      </c>
      <c r="B6" s="2" t="s">
        <v>8</v>
      </c>
      <c r="C6" s="2" t="s">
        <v>9</v>
      </c>
      <c r="D6" s="9" t="s">
        <v>31</v>
      </c>
      <c r="E6" s="2" t="s">
        <v>10</v>
      </c>
      <c r="F6" s="2" t="s">
        <v>11</v>
      </c>
      <c r="G6" s="2" t="s">
        <v>12</v>
      </c>
      <c r="H6" s="22" t="s">
        <v>13</v>
      </c>
      <c r="I6" s="23" t="s">
        <v>14</v>
      </c>
      <c r="J6" s="22" t="s">
        <v>15</v>
      </c>
      <c r="K6" s="22" t="s">
        <v>90</v>
      </c>
      <c r="L6" s="23" t="s">
        <v>16</v>
      </c>
      <c r="M6" s="9" t="s">
        <v>20</v>
      </c>
    </row>
    <row r="7" spans="1:14" ht="150.6" hidden="1" customHeight="1" x14ac:dyDescent="0.25">
      <c r="A7" s="3">
        <v>1</v>
      </c>
      <c r="B7" s="64">
        <v>36</v>
      </c>
      <c r="C7" s="65">
        <v>45680</v>
      </c>
      <c r="D7" s="67" t="s">
        <v>68</v>
      </c>
      <c r="E7" s="64" t="s">
        <v>69</v>
      </c>
      <c r="F7" s="64" t="s">
        <v>70</v>
      </c>
      <c r="G7" s="27" t="s">
        <v>71</v>
      </c>
      <c r="H7" s="61">
        <v>0</v>
      </c>
      <c r="I7" s="62">
        <v>0</v>
      </c>
      <c r="J7" s="61">
        <v>2380000</v>
      </c>
      <c r="K7" s="61">
        <v>20</v>
      </c>
      <c r="L7" s="63">
        <f>H7+J7</f>
        <v>2380000</v>
      </c>
      <c r="M7" s="27"/>
      <c r="N7" s="12"/>
    </row>
    <row r="8" spans="1:14" ht="24" hidden="1" customHeight="1" x14ac:dyDescent="0.25">
      <c r="A8" s="181" t="s">
        <v>30</v>
      </c>
      <c r="B8" s="182"/>
      <c r="C8" s="182"/>
      <c r="D8" s="182"/>
      <c r="E8" s="182"/>
      <c r="F8" s="182"/>
      <c r="G8" s="183"/>
      <c r="H8" s="24">
        <f>SUM(H7:H7)</f>
        <v>0</v>
      </c>
      <c r="I8" s="24"/>
      <c r="J8" s="24">
        <f>SUM(J7:J7)</f>
        <v>2380000</v>
      </c>
      <c r="K8" s="24"/>
      <c r="L8" s="24">
        <f>SUM(L7:L7)</f>
        <v>2380000</v>
      </c>
      <c r="M8" s="75"/>
    </row>
    <row r="9" spans="1:14" hidden="1" x14ac:dyDescent="0.25">
      <c r="A9" s="184" t="s">
        <v>18</v>
      </c>
      <c r="B9" s="184"/>
      <c r="C9" s="184"/>
      <c r="D9" s="90"/>
      <c r="E9" s="10" t="e">
        <f ca="1">[1]!vnd(L8)</f>
        <v>#NAME?</v>
      </c>
      <c r="G9" s="90"/>
    </row>
    <row r="10" spans="1:14" hidden="1" x14ac:dyDescent="0.25"/>
    <row r="11" spans="1:14" hidden="1" x14ac:dyDescent="0.25">
      <c r="A11" s="86"/>
      <c r="B11" s="175" t="s">
        <v>34</v>
      </c>
      <c r="C11" s="175"/>
      <c r="D11" s="175"/>
      <c r="E11" s="175"/>
      <c r="F11" s="74"/>
      <c r="G11" s="74"/>
      <c r="H11" s="14"/>
      <c r="I11" s="14"/>
      <c r="J11" s="175" t="s">
        <v>4</v>
      </c>
      <c r="K11" s="175"/>
      <c r="L11" s="175"/>
      <c r="M11" s="175"/>
    </row>
    <row r="12" spans="1:14" hidden="1" x14ac:dyDescent="0.25"/>
    <row r="13" spans="1:14" hidden="1" x14ac:dyDescent="0.25"/>
    <row r="14" spans="1:14" hidden="1" x14ac:dyDescent="0.25"/>
    <row r="15" spans="1:14" hidden="1" x14ac:dyDescent="0.25">
      <c r="B15" s="176" t="s">
        <v>64</v>
      </c>
      <c r="C15" s="176"/>
      <c r="D15" s="176"/>
      <c r="E15" s="176"/>
      <c r="G15" s="15"/>
      <c r="J15" s="176" t="s">
        <v>3</v>
      </c>
      <c r="K15" s="176"/>
      <c r="L15" s="176"/>
      <c r="M15" s="176"/>
    </row>
    <row r="16" spans="1:14" hidden="1" x14ac:dyDescent="0.25"/>
    <row r="17" spans="1:14" hidden="1" x14ac:dyDescent="0.25"/>
    <row r="18" spans="1:14" hidden="1" x14ac:dyDescent="0.25"/>
    <row r="19" spans="1:14" hidden="1" x14ac:dyDescent="0.25"/>
    <row r="20" spans="1:14" hidden="1" x14ac:dyDescent="0.25"/>
    <row r="21" spans="1:14" hidden="1" x14ac:dyDescent="0.25"/>
    <row r="22" spans="1:14" hidden="1" x14ac:dyDescent="0.25"/>
    <row r="23" spans="1:14" hidden="1" x14ac:dyDescent="0.25"/>
    <row r="24" spans="1:14" ht="19.149999999999999" customHeight="1" x14ac:dyDescent="0.25">
      <c r="A24" s="177" t="s">
        <v>66</v>
      </c>
      <c r="B24" s="177"/>
      <c r="C24" s="177"/>
      <c r="D24" s="177"/>
      <c r="E24" s="177"/>
      <c r="F24" s="177"/>
      <c r="G24" s="178" t="s">
        <v>1</v>
      </c>
      <c r="H24" s="178"/>
      <c r="I24" s="178"/>
      <c r="J24" s="178"/>
      <c r="K24" s="178"/>
      <c r="L24" s="178"/>
      <c r="M24" s="178"/>
    </row>
    <row r="25" spans="1:14" ht="19.149999999999999" customHeight="1" x14ac:dyDescent="0.25">
      <c r="A25" s="177" t="s">
        <v>67</v>
      </c>
      <c r="B25" s="177"/>
      <c r="C25" s="177"/>
      <c r="D25" s="177"/>
      <c r="E25" s="177"/>
      <c r="F25" s="177"/>
      <c r="G25" s="178" t="s">
        <v>2</v>
      </c>
      <c r="H25" s="178"/>
      <c r="I25" s="178"/>
      <c r="J25" s="178"/>
      <c r="K25" s="178"/>
      <c r="L25" s="178"/>
      <c r="M25" s="178"/>
    </row>
    <row r="26" spans="1:14" ht="30.6" customHeight="1" x14ac:dyDescent="0.25">
      <c r="A26" s="25"/>
      <c r="B26" s="26"/>
      <c r="C26" s="25"/>
      <c r="D26" s="25"/>
      <c r="E26" s="26"/>
      <c r="F26" s="26"/>
      <c r="G26" s="179" t="s">
        <v>83</v>
      </c>
      <c r="H26" s="179"/>
      <c r="I26" s="179"/>
      <c r="J26" s="179"/>
      <c r="K26" s="179"/>
      <c r="L26" s="179"/>
      <c r="M26" s="179"/>
    </row>
    <row r="27" spans="1:14" ht="25.15" customHeight="1" x14ac:dyDescent="0.25">
      <c r="A27" s="180" t="s">
        <v>85</v>
      </c>
      <c r="B27" s="180"/>
      <c r="C27" s="180"/>
      <c r="D27" s="180"/>
      <c r="E27" s="180"/>
      <c r="F27" s="180"/>
      <c r="G27" s="180"/>
      <c r="H27" s="180"/>
      <c r="I27" s="180"/>
      <c r="J27" s="180"/>
      <c r="K27" s="180"/>
      <c r="L27" s="180"/>
      <c r="M27" s="180"/>
    </row>
    <row r="28" spans="1:14" x14ac:dyDescent="0.25">
      <c r="A28" s="1"/>
      <c r="B28" s="1"/>
      <c r="C28" s="1"/>
      <c r="D28" s="1"/>
      <c r="E28" s="19"/>
      <c r="F28" s="19"/>
      <c r="G28" s="19"/>
      <c r="H28" s="20"/>
      <c r="I28" s="21"/>
      <c r="J28" s="21"/>
      <c r="K28" s="21"/>
      <c r="L28" s="21"/>
      <c r="M28" s="1"/>
    </row>
    <row r="29" spans="1:14" ht="37.9" customHeight="1" x14ac:dyDescent="0.25">
      <c r="A29" s="2" t="s">
        <v>7</v>
      </c>
      <c r="B29" s="2" t="s">
        <v>8</v>
      </c>
      <c r="C29" s="2" t="s">
        <v>9</v>
      </c>
      <c r="D29" s="9" t="s">
        <v>31</v>
      </c>
      <c r="E29" s="2" t="s">
        <v>10</v>
      </c>
      <c r="F29" s="2" t="s">
        <v>11</v>
      </c>
      <c r="G29" s="2" t="s">
        <v>12</v>
      </c>
      <c r="H29" s="22" t="s">
        <v>13</v>
      </c>
      <c r="I29" s="23" t="s">
        <v>14</v>
      </c>
      <c r="J29" s="22" t="s">
        <v>15</v>
      </c>
      <c r="K29" s="22" t="s">
        <v>90</v>
      </c>
      <c r="L29" s="23" t="s">
        <v>16</v>
      </c>
      <c r="M29" s="9" t="s">
        <v>20</v>
      </c>
    </row>
    <row r="30" spans="1:14" ht="150.6" customHeight="1" x14ac:dyDescent="0.25">
      <c r="A30" s="3">
        <v>1</v>
      </c>
      <c r="B30" s="64">
        <v>114</v>
      </c>
      <c r="C30" s="65">
        <v>45709</v>
      </c>
      <c r="D30" s="67" t="s">
        <v>125</v>
      </c>
      <c r="E30" s="64" t="s">
        <v>126</v>
      </c>
      <c r="F30" s="64" t="s">
        <v>127</v>
      </c>
      <c r="G30" s="27" t="s">
        <v>128</v>
      </c>
      <c r="H30" s="61">
        <v>0</v>
      </c>
      <c r="I30" s="62">
        <v>0</v>
      </c>
      <c r="J30" s="61"/>
      <c r="K30" s="61">
        <v>5</v>
      </c>
      <c r="L30" s="63">
        <f>H30+J30</f>
        <v>0</v>
      </c>
      <c r="M30" s="27" t="s">
        <v>129</v>
      </c>
      <c r="N30" s="12"/>
    </row>
    <row r="31" spans="1:14" ht="24" customHeight="1" x14ac:dyDescent="0.25">
      <c r="A31" s="181" t="s">
        <v>30</v>
      </c>
      <c r="B31" s="182"/>
      <c r="C31" s="182"/>
      <c r="D31" s="182"/>
      <c r="E31" s="182"/>
      <c r="F31" s="182"/>
      <c r="G31" s="183"/>
      <c r="H31" s="24">
        <f>SUM(H30:H30)</f>
        <v>0</v>
      </c>
      <c r="I31" s="24"/>
      <c r="J31" s="24">
        <f>SUM(J30:J30)</f>
        <v>0</v>
      </c>
      <c r="K31" s="24"/>
      <c r="L31" s="24">
        <f>SUM(L30:L30)</f>
        <v>0</v>
      </c>
      <c r="M31" s="75"/>
    </row>
    <row r="32" spans="1:14" x14ac:dyDescent="0.25">
      <c r="A32" s="184" t="s">
        <v>18</v>
      </c>
      <c r="B32" s="184"/>
      <c r="C32" s="184"/>
      <c r="D32" s="90"/>
      <c r="E32" s="10" t="e">
        <f ca="1">[1]!vnd(L31)</f>
        <v>#NAME?</v>
      </c>
      <c r="G32" s="90"/>
    </row>
    <row r="34" spans="1:13" x14ac:dyDescent="0.25">
      <c r="A34" s="86"/>
      <c r="B34" s="175" t="s">
        <v>34</v>
      </c>
      <c r="C34" s="175"/>
      <c r="D34" s="175"/>
      <c r="E34" s="175"/>
      <c r="F34" s="74"/>
      <c r="G34" s="74"/>
      <c r="H34" s="14"/>
      <c r="I34" s="14"/>
      <c r="J34" s="175" t="s">
        <v>4</v>
      </c>
      <c r="K34" s="175"/>
      <c r="L34" s="175"/>
      <c r="M34" s="175"/>
    </row>
    <row r="38" spans="1:13" x14ac:dyDescent="0.25">
      <c r="B38" s="176" t="s">
        <v>64</v>
      </c>
      <c r="C38" s="176"/>
      <c r="D38" s="176"/>
      <c r="E38" s="176"/>
      <c r="G38" s="15"/>
      <c r="J38" s="176" t="s">
        <v>3</v>
      </c>
      <c r="K38" s="176"/>
      <c r="L38" s="176"/>
      <c r="M38" s="176"/>
    </row>
    <row r="43" spans="1:13" ht="19.149999999999999" customHeight="1" x14ac:dyDescent="0.25">
      <c r="A43" s="177" t="s">
        <v>66</v>
      </c>
      <c r="B43" s="177"/>
      <c r="C43" s="177"/>
      <c r="D43" s="177"/>
      <c r="E43" s="177"/>
      <c r="F43" s="177"/>
      <c r="G43" s="178" t="s">
        <v>1</v>
      </c>
      <c r="H43" s="178"/>
      <c r="I43" s="178"/>
      <c r="J43" s="178"/>
      <c r="K43" s="178"/>
      <c r="L43" s="178"/>
      <c r="M43" s="178"/>
    </row>
    <row r="44" spans="1:13" ht="19.149999999999999" customHeight="1" x14ac:dyDescent="0.25">
      <c r="A44" s="177" t="s">
        <v>67</v>
      </c>
      <c r="B44" s="177"/>
      <c r="C44" s="177"/>
      <c r="D44" s="177"/>
      <c r="E44" s="177"/>
      <c r="F44" s="177"/>
      <c r="G44" s="178" t="s">
        <v>2</v>
      </c>
      <c r="H44" s="178"/>
      <c r="I44" s="178"/>
      <c r="J44" s="178"/>
      <c r="K44" s="178"/>
      <c r="L44" s="178"/>
      <c r="M44" s="178"/>
    </row>
    <row r="45" spans="1:13" ht="30.6" customHeight="1" x14ac:dyDescent="0.25">
      <c r="A45" s="25"/>
      <c r="B45" s="26"/>
      <c r="C45" s="25"/>
      <c r="D45" s="25"/>
      <c r="E45" s="26"/>
      <c r="F45" s="26"/>
      <c r="G45" s="179" t="s">
        <v>95</v>
      </c>
      <c r="H45" s="179"/>
      <c r="I45" s="179"/>
      <c r="J45" s="179"/>
      <c r="K45" s="179"/>
      <c r="L45" s="179"/>
      <c r="M45" s="179"/>
    </row>
    <row r="46" spans="1:13" ht="25.15" customHeight="1" x14ac:dyDescent="0.25">
      <c r="A46" s="180" t="s">
        <v>103</v>
      </c>
      <c r="B46" s="180"/>
      <c r="C46" s="180"/>
      <c r="D46" s="180"/>
      <c r="E46" s="180"/>
      <c r="F46" s="180"/>
      <c r="G46" s="180"/>
      <c r="H46" s="180"/>
      <c r="I46" s="180"/>
      <c r="J46" s="180"/>
      <c r="K46" s="180"/>
      <c r="L46" s="180"/>
      <c r="M46" s="180"/>
    </row>
    <row r="47" spans="1:13" x14ac:dyDescent="0.25">
      <c r="A47" s="1"/>
      <c r="B47" s="1"/>
      <c r="C47" s="1"/>
      <c r="D47" s="1"/>
      <c r="E47" s="19"/>
      <c r="F47" s="19"/>
      <c r="G47" s="19"/>
      <c r="H47" s="20"/>
      <c r="I47" s="21"/>
      <c r="J47" s="21"/>
      <c r="K47" s="21"/>
      <c r="L47" s="21"/>
      <c r="M47" s="1"/>
    </row>
    <row r="48" spans="1:13" ht="37.9" customHeight="1" x14ac:dyDescent="0.25">
      <c r="A48" s="2" t="s">
        <v>7</v>
      </c>
      <c r="B48" s="2" t="s">
        <v>8</v>
      </c>
      <c r="C48" s="2" t="s">
        <v>9</v>
      </c>
      <c r="D48" s="9" t="s">
        <v>31</v>
      </c>
      <c r="E48" s="2" t="s">
        <v>10</v>
      </c>
      <c r="F48" s="2" t="s">
        <v>11</v>
      </c>
      <c r="G48" s="2" t="s">
        <v>12</v>
      </c>
      <c r="H48" s="22" t="s">
        <v>13</v>
      </c>
      <c r="I48" s="23" t="s">
        <v>14</v>
      </c>
      <c r="J48" s="22" t="s">
        <v>15</v>
      </c>
      <c r="K48" s="22" t="s">
        <v>90</v>
      </c>
      <c r="L48" s="23" t="s">
        <v>16</v>
      </c>
      <c r="M48" s="9" t="s">
        <v>20</v>
      </c>
    </row>
    <row r="49" spans="1:14" ht="150.6" customHeight="1" x14ac:dyDescent="0.25">
      <c r="A49" s="3">
        <v>1</v>
      </c>
      <c r="B49" s="64">
        <v>105</v>
      </c>
      <c r="C49" s="65">
        <v>45708</v>
      </c>
      <c r="D49" s="67" t="s">
        <v>104</v>
      </c>
      <c r="E49" s="64" t="s">
        <v>105</v>
      </c>
      <c r="F49" s="64" t="s">
        <v>106</v>
      </c>
      <c r="G49" s="27" t="s">
        <v>107</v>
      </c>
      <c r="H49" s="61">
        <v>500000</v>
      </c>
      <c r="I49" s="62">
        <v>0</v>
      </c>
      <c r="J49" s="61"/>
      <c r="K49" s="61">
        <v>20</v>
      </c>
      <c r="L49" s="63">
        <f>H49+J49</f>
        <v>500000</v>
      </c>
      <c r="M49" s="27"/>
      <c r="N49" s="12"/>
    </row>
    <row r="50" spans="1:14" ht="24" customHeight="1" x14ac:dyDescent="0.25">
      <c r="A50" s="181" t="s">
        <v>30</v>
      </c>
      <c r="B50" s="182"/>
      <c r="C50" s="182"/>
      <c r="D50" s="182"/>
      <c r="E50" s="182"/>
      <c r="F50" s="182"/>
      <c r="G50" s="183"/>
      <c r="H50" s="24">
        <f>SUM(H49:H49)</f>
        <v>500000</v>
      </c>
      <c r="I50" s="24"/>
      <c r="J50" s="24">
        <f>SUM(J49:J49)</f>
        <v>0</v>
      </c>
      <c r="K50" s="24"/>
      <c r="L50" s="24">
        <f>SUM(L49:L49)</f>
        <v>500000</v>
      </c>
      <c r="M50" s="75"/>
    </row>
    <row r="51" spans="1:14" x14ac:dyDescent="0.25">
      <c r="A51" s="184" t="s">
        <v>18</v>
      </c>
      <c r="B51" s="184"/>
      <c r="C51" s="184"/>
      <c r="D51" s="90"/>
      <c r="E51" s="10" t="e">
        <f ca="1">[1]!vnd(L50)</f>
        <v>#NAME?</v>
      </c>
      <c r="G51" s="90"/>
    </row>
    <row r="53" spans="1:14" x14ac:dyDescent="0.25">
      <c r="A53" s="86"/>
      <c r="B53" s="175" t="s">
        <v>34</v>
      </c>
      <c r="C53" s="175"/>
      <c r="D53" s="175"/>
      <c r="E53" s="175"/>
      <c r="F53" s="74"/>
      <c r="G53" s="74"/>
      <c r="H53" s="14"/>
      <c r="I53" s="14"/>
      <c r="J53" s="175" t="s">
        <v>4</v>
      </c>
      <c r="K53" s="175"/>
      <c r="L53" s="175"/>
      <c r="M53" s="175"/>
    </row>
    <row r="57" spans="1:14" x14ac:dyDescent="0.25">
      <c r="B57" s="176" t="s">
        <v>64</v>
      </c>
      <c r="C57" s="176"/>
      <c r="D57" s="176"/>
      <c r="E57" s="176"/>
      <c r="G57" s="15"/>
      <c r="J57" s="176" t="s">
        <v>3</v>
      </c>
      <c r="K57" s="176"/>
      <c r="L57" s="176"/>
      <c r="M57" s="176"/>
    </row>
    <row r="59" spans="1:14" x14ac:dyDescent="0.25">
      <c r="A59" s="177" t="s">
        <v>66</v>
      </c>
      <c r="B59" s="177"/>
      <c r="C59" s="177"/>
      <c r="D59" s="177"/>
      <c r="E59" s="177"/>
      <c r="F59" s="177"/>
      <c r="G59" s="178" t="s">
        <v>1</v>
      </c>
      <c r="H59" s="178"/>
      <c r="I59" s="178"/>
      <c r="J59" s="178"/>
      <c r="K59" s="178"/>
      <c r="L59" s="178"/>
      <c r="M59" s="178"/>
    </row>
    <row r="60" spans="1:14" x14ac:dyDescent="0.25">
      <c r="A60" s="177" t="s">
        <v>67</v>
      </c>
      <c r="B60" s="177"/>
      <c r="C60" s="177"/>
      <c r="D60" s="177"/>
      <c r="E60" s="177"/>
      <c r="F60" s="177"/>
      <c r="G60" s="178" t="s">
        <v>2</v>
      </c>
      <c r="H60" s="178"/>
      <c r="I60" s="178"/>
      <c r="J60" s="178"/>
      <c r="K60" s="178"/>
      <c r="L60" s="178"/>
      <c r="M60" s="178"/>
    </row>
    <row r="61" spans="1:14" x14ac:dyDescent="0.25">
      <c r="A61" s="25"/>
      <c r="B61" s="26"/>
      <c r="C61" s="25"/>
      <c r="D61" s="25"/>
      <c r="E61" s="26"/>
      <c r="F61" s="26"/>
      <c r="G61" s="179" t="s">
        <v>95</v>
      </c>
      <c r="H61" s="179"/>
      <c r="I61" s="179"/>
      <c r="J61" s="179"/>
      <c r="K61" s="179"/>
      <c r="L61" s="179"/>
      <c r="M61" s="179"/>
    </row>
    <row r="62" spans="1:14" ht="18.75" x14ac:dyDescent="0.25">
      <c r="A62" s="180" t="s">
        <v>103</v>
      </c>
      <c r="B62" s="180"/>
      <c r="C62" s="180"/>
      <c r="D62" s="180"/>
      <c r="E62" s="180"/>
      <c r="F62" s="180"/>
      <c r="G62" s="180"/>
      <c r="H62" s="180"/>
      <c r="I62" s="180"/>
      <c r="J62" s="180"/>
      <c r="K62" s="180"/>
      <c r="L62" s="180"/>
      <c r="M62" s="180"/>
    </row>
    <row r="63" spans="1:14" x14ac:dyDescent="0.25">
      <c r="A63" s="1"/>
      <c r="B63" s="1"/>
      <c r="C63" s="1"/>
      <c r="D63" s="1"/>
      <c r="E63" s="19"/>
      <c r="F63" s="19"/>
      <c r="G63" s="19"/>
      <c r="H63" s="20"/>
      <c r="I63" s="21"/>
      <c r="J63" s="21"/>
      <c r="K63" s="21"/>
      <c r="L63" s="21"/>
      <c r="M63" s="1"/>
    </row>
    <row r="64" spans="1:14" ht="31.5" x14ac:dyDescent="0.25">
      <c r="A64" s="2" t="s">
        <v>7</v>
      </c>
      <c r="B64" s="2" t="s">
        <v>8</v>
      </c>
      <c r="C64" s="2" t="s">
        <v>9</v>
      </c>
      <c r="D64" s="9" t="s">
        <v>31</v>
      </c>
      <c r="E64" s="2" t="s">
        <v>10</v>
      </c>
      <c r="F64" s="2" t="s">
        <v>11</v>
      </c>
      <c r="G64" s="2" t="s">
        <v>12</v>
      </c>
      <c r="H64" s="22" t="s">
        <v>13</v>
      </c>
      <c r="I64" s="23" t="s">
        <v>14</v>
      </c>
      <c r="J64" s="22" t="s">
        <v>15</v>
      </c>
      <c r="K64" s="22" t="s">
        <v>90</v>
      </c>
      <c r="L64" s="23" t="s">
        <v>16</v>
      </c>
      <c r="M64" s="9" t="s">
        <v>20</v>
      </c>
    </row>
    <row r="65" spans="1:13" ht="110.25" x14ac:dyDescent="0.25">
      <c r="A65" s="3">
        <v>1</v>
      </c>
      <c r="B65" s="64">
        <v>105</v>
      </c>
      <c r="C65" s="65">
        <v>45708</v>
      </c>
      <c r="D65" s="67" t="s">
        <v>104</v>
      </c>
      <c r="E65" s="64" t="s">
        <v>105</v>
      </c>
      <c r="F65" s="64" t="s">
        <v>106</v>
      </c>
      <c r="G65" s="27" t="s">
        <v>107</v>
      </c>
      <c r="H65" s="61">
        <v>500000</v>
      </c>
      <c r="I65" s="62">
        <v>0</v>
      </c>
      <c r="J65" s="61"/>
      <c r="K65" s="61">
        <v>20</v>
      </c>
      <c r="L65" s="63">
        <f>H65+J65</f>
        <v>500000</v>
      </c>
      <c r="M65" s="27"/>
    </row>
    <row r="66" spans="1:13" x14ac:dyDescent="0.25">
      <c r="A66" s="181" t="s">
        <v>30</v>
      </c>
      <c r="B66" s="182"/>
      <c r="C66" s="182"/>
      <c r="D66" s="182"/>
      <c r="E66" s="182"/>
      <c r="F66" s="182"/>
      <c r="G66" s="183"/>
      <c r="H66" s="24">
        <f>SUM(H65:H65)</f>
        <v>500000</v>
      </c>
      <c r="I66" s="24"/>
      <c r="J66" s="24">
        <f>SUM(J65:J65)</f>
        <v>0</v>
      </c>
      <c r="K66" s="24"/>
      <c r="L66" s="24">
        <f>SUM(L65:L65)</f>
        <v>500000</v>
      </c>
      <c r="M66" s="75"/>
    </row>
    <row r="67" spans="1:13" x14ac:dyDescent="0.25">
      <c r="A67" s="184" t="s">
        <v>18</v>
      </c>
      <c r="B67" s="184"/>
      <c r="C67" s="184"/>
      <c r="D67" s="90"/>
      <c r="E67" s="10" t="e">
        <f ca="1">[1]!vnd(L66)</f>
        <v>#NAME?</v>
      </c>
      <c r="G67" s="90"/>
    </row>
    <row r="69" spans="1:13" x14ac:dyDescent="0.25">
      <c r="A69" s="86"/>
      <c r="B69" s="175" t="s">
        <v>34</v>
      </c>
      <c r="C69" s="175"/>
      <c r="D69" s="175"/>
      <c r="E69" s="175"/>
      <c r="F69" s="74"/>
      <c r="G69" s="74"/>
      <c r="H69" s="14"/>
      <c r="I69" s="14"/>
      <c r="J69" s="175" t="s">
        <v>4</v>
      </c>
      <c r="K69" s="175"/>
      <c r="L69" s="175"/>
      <c r="M69" s="175"/>
    </row>
    <row r="73" spans="1:13" x14ac:dyDescent="0.25">
      <c r="B73" s="176" t="s">
        <v>64</v>
      </c>
      <c r="C73" s="176"/>
      <c r="D73" s="176"/>
      <c r="E73" s="176"/>
      <c r="G73" s="15"/>
      <c r="J73" s="176" t="s">
        <v>3</v>
      </c>
      <c r="K73" s="176"/>
      <c r="L73" s="176"/>
      <c r="M73" s="176"/>
    </row>
    <row r="74" spans="1:13" x14ac:dyDescent="0.25">
      <c r="B74" s="139"/>
      <c r="C74" s="139"/>
      <c r="D74" s="139"/>
      <c r="E74" s="139"/>
      <c r="G74" s="15"/>
      <c r="J74" s="139"/>
      <c r="K74" s="139"/>
      <c r="L74" s="139"/>
      <c r="M74" s="139"/>
    </row>
    <row r="75" spans="1:13" x14ac:dyDescent="0.25">
      <c r="B75" s="139"/>
      <c r="C75" s="139"/>
      <c r="D75" s="139"/>
      <c r="E75" s="139"/>
      <c r="G75" s="15"/>
      <c r="J75" s="139"/>
      <c r="K75" s="139"/>
      <c r="L75" s="139"/>
      <c r="M75" s="139"/>
    </row>
    <row r="76" spans="1:13" x14ac:dyDescent="0.25">
      <c r="A76" s="177" t="s">
        <v>66</v>
      </c>
      <c r="B76" s="177"/>
      <c r="C76" s="177"/>
      <c r="D76" s="177"/>
      <c r="E76" s="177"/>
      <c r="F76" s="177"/>
      <c r="G76" s="178" t="s">
        <v>1</v>
      </c>
      <c r="H76" s="178"/>
      <c r="I76" s="178"/>
      <c r="J76" s="178"/>
      <c r="K76" s="178"/>
      <c r="L76" s="178"/>
      <c r="M76" s="178"/>
    </row>
    <row r="77" spans="1:13" x14ac:dyDescent="0.25">
      <c r="A77" s="177" t="s">
        <v>67</v>
      </c>
      <c r="B77" s="177"/>
      <c r="C77" s="177"/>
      <c r="D77" s="177"/>
      <c r="E77" s="177"/>
      <c r="F77" s="177"/>
      <c r="G77" s="178" t="s">
        <v>2</v>
      </c>
      <c r="H77" s="178"/>
      <c r="I77" s="178"/>
      <c r="J77" s="178"/>
      <c r="K77" s="178"/>
      <c r="L77" s="178"/>
      <c r="M77" s="178"/>
    </row>
    <row r="78" spans="1:13" x14ac:dyDescent="0.25">
      <c r="A78" s="25"/>
      <c r="B78" s="26"/>
      <c r="C78" s="25"/>
      <c r="D78" s="25"/>
      <c r="E78" s="26"/>
      <c r="F78" s="26"/>
      <c r="G78" s="179" t="s">
        <v>853</v>
      </c>
      <c r="H78" s="179"/>
      <c r="I78" s="179"/>
      <c r="J78" s="179"/>
      <c r="K78" s="179"/>
      <c r="L78" s="179"/>
      <c r="M78" s="179"/>
    </row>
    <row r="79" spans="1:13" ht="18.75" x14ac:dyDescent="0.25">
      <c r="A79" s="180" t="s">
        <v>917</v>
      </c>
      <c r="B79" s="180"/>
      <c r="C79" s="180"/>
      <c r="D79" s="180"/>
      <c r="E79" s="180"/>
      <c r="F79" s="180"/>
      <c r="G79" s="180"/>
      <c r="H79" s="180"/>
      <c r="I79" s="180"/>
      <c r="J79" s="180"/>
      <c r="K79" s="180"/>
      <c r="L79" s="180"/>
      <c r="M79" s="180"/>
    </row>
    <row r="80" spans="1:13" x14ac:dyDescent="0.25">
      <c r="A80" s="1"/>
      <c r="B80" s="1"/>
      <c r="C80" s="1"/>
      <c r="D80" s="1"/>
      <c r="E80" s="19"/>
      <c r="F80" s="19"/>
      <c r="G80" s="19"/>
      <c r="H80" s="20"/>
      <c r="I80" s="21"/>
      <c r="J80" s="21"/>
      <c r="K80" s="21"/>
      <c r="L80" s="21"/>
      <c r="M80" s="1"/>
    </row>
    <row r="81" spans="1:13" ht="31.5" x14ac:dyDescent="0.25">
      <c r="A81" s="2" t="s">
        <v>7</v>
      </c>
      <c r="B81" s="2" t="s">
        <v>8</v>
      </c>
      <c r="C81" s="2" t="s">
        <v>9</v>
      </c>
      <c r="D81" s="9" t="s">
        <v>31</v>
      </c>
      <c r="E81" s="2" t="s">
        <v>10</v>
      </c>
      <c r="F81" s="2" t="s">
        <v>11</v>
      </c>
      <c r="G81" s="2" t="s">
        <v>12</v>
      </c>
      <c r="H81" s="22" t="s">
        <v>13</v>
      </c>
      <c r="I81" s="23" t="s">
        <v>14</v>
      </c>
      <c r="J81" s="22" t="s">
        <v>15</v>
      </c>
      <c r="K81" s="22" t="s">
        <v>90</v>
      </c>
      <c r="L81" s="23" t="s">
        <v>16</v>
      </c>
      <c r="M81" s="9" t="s">
        <v>20</v>
      </c>
    </row>
    <row r="82" spans="1:13" ht="78.75" x14ac:dyDescent="0.25">
      <c r="A82" s="3">
        <v>1</v>
      </c>
      <c r="B82" s="64">
        <v>793</v>
      </c>
      <c r="C82" s="65">
        <v>45915</v>
      </c>
      <c r="D82" s="109" t="s">
        <v>901</v>
      </c>
      <c r="E82" s="64" t="s">
        <v>902</v>
      </c>
      <c r="F82" s="137" t="s">
        <v>903</v>
      </c>
      <c r="G82" s="147" t="s">
        <v>904</v>
      </c>
      <c r="H82" s="68">
        <v>500000</v>
      </c>
      <c r="I82" s="69"/>
      <c r="J82" s="68"/>
      <c r="K82" s="68">
        <v>13</v>
      </c>
      <c r="L82" s="70">
        <v>500000</v>
      </c>
      <c r="M82" s="27"/>
    </row>
    <row r="83" spans="1:13" x14ac:dyDescent="0.25">
      <c r="A83" s="181" t="s">
        <v>30</v>
      </c>
      <c r="B83" s="182"/>
      <c r="C83" s="182"/>
      <c r="D83" s="182"/>
      <c r="E83" s="182"/>
      <c r="F83" s="182"/>
      <c r="G83" s="183"/>
      <c r="H83" s="24">
        <f>SUM(H82:H82)</f>
        <v>500000</v>
      </c>
      <c r="I83" s="24"/>
      <c r="J83" s="24">
        <f>SUM(J82:J82)</f>
        <v>0</v>
      </c>
      <c r="K83" s="24"/>
      <c r="L83" s="24">
        <f>SUM(L82:L82)</f>
        <v>500000</v>
      </c>
      <c r="M83" s="75"/>
    </row>
    <row r="84" spans="1:13" x14ac:dyDescent="0.25">
      <c r="A84" s="184" t="s">
        <v>18</v>
      </c>
      <c r="B84" s="184"/>
      <c r="C84" s="184"/>
      <c r="D84" s="184" t="s">
        <v>935</v>
      </c>
      <c r="E84" s="184"/>
      <c r="F84" s="184"/>
      <c r="G84" s="184"/>
    </row>
    <row r="86" spans="1:13" x14ac:dyDescent="0.25">
      <c r="A86" s="86"/>
      <c r="B86" s="175" t="s">
        <v>34</v>
      </c>
      <c r="C86" s="175"/>
      <c r="D86" s="175"/>
      <c r="E86" s="175"/>
      <c r="F86" s="74"/>
      <c r="G86" s="74"/>
      <c r="H86" s="14"/>
      <c r="I86" s="14"/>
      <c r="J86" s="175" t="s">
        <v>4</v>
      </c>
      <c r="K86" s="175"/>
      <c r="L86" s="175"/>
      <c r="M86" s="175"/>
    </row>
    <row r="90" spans="1:13" x14ac:dyDescent="0.25">
      <c r="B90" s="176" t="s">
        <v>829</v>
      </c>
      <c r="C90" s="176"/>
      <c r="D90" s="176"/>
      <c r="E90" s="176"/>
      <c r="G90" s="15"/>
      <c r="J90" s="176" t="s">
        <v>830</v>
      </c>
      <c r="K90" s="176"/>
      <c r="L90" s="176"/>
      <c r="M90" s="176"/>
    </row>
    <row r="92" spans="1:13" x14ac:dyDescent="0.25">
      <c r="B92" s="139"/>
      <c r="C92" s="139"/>
      <c r="D92" s="139"/>
      <c r="E92" s="139"/>
      <c r="G92" s="15"/>
      <c r="J92" s="139"/>
      <c r="K92" s="139"/>
      <c r="L92" s="139"/>
      <c r="M92" s="139"/>
    </row>
    <row r="93" spans="1:13" x14ac:dyDescent="0.25">
      <c r="A93" s="177" t="s">
        <v>66</v>
      </c>
      <c r="B93" s="177"/>
      <c r="C93" s="177"/>
      <c r="D93" s="177"/>
      <c r="E93" s="177"/>
      <c r="F93" s="177"/>
      <c r="G93" s="178" t="s">
        <v>1</v>
      </c>
      <c r="H93" s="178"/>
      <c r="I93" s="178"/>
      <c r="J93" s="178"/>
      <c r="K93" s="178"/>
      <c r="L93" s="178"/>
      <c r="M93" s="178"/>
    </row>
    <row r="94" spans="1:13" x14ac:dyDescent="0.25">
      <c r="A94" s="177" t="s">
        <v>67</v>
      </c>
      <c r="B94" s="177"/>
      <c r="C94" s="177"/>
      <c r="D94" s="177"/>
      <c r="E94" s="177"/>
      <c r="F94" s="177"/>
      <c r="G94" s="178" t="s">
        <v>2</v>
      </c>
      <c r="H94" s="178"/>
      <c r="I94" s="178"/>
      <c r="J94" s="178"/>
      <c r="K94" s="178"/>
      <c r="L94" s="178"/>
      <c r="M94" s="178"/>
    </row>
    <row r="95" spans="1:13" x14ac:dyDescent="0.25">
      <c r="A95" s="25"/>
      <c r="B95" s="26"/>
      <c r="C95" s="25"/>
      <c r="D95" s="25"/>
      <c r="E95" s="26"/>
      <c r="F95" s="26"/>
      <c r="G95" s="179" t="s">
        <v>1058</v>
      </c>
      <c r="H95" s="179"/>
      <c r="I95" s="179"/>
      <c r="J95" s="179"/>
      <c r="K95" s="179"/>
      <c r="L95" s="179"/>
      <c r="M95" s="179"/>
    </row>
    <row r="96" spans="1:13" ht="18.75" x14ac:dyDescent="0.25">
      <c r="A96" s="180" t="s">
        <v>1079</v>
      </c>
      <c r="B96" s="180"/>
      <c r="C96" s="180"/>
      <c r="D96" s="180"/>
      <c r="E96" s="180"/>
      <c r="F96" s="180"/>
      <c r="G96" s="180"/>
      <c r="H96" s="180"/>
      <c r="I96" s="180"/>
      <c r="J96" s="180"/>
      <c r="K96" s="180"/>
      <c r="L96" s="180"/>
      <c r="M96" s="180"/>
    </row>
    <row r="97" spans="1:13" x14ac:dyDescent="0.25">
      <c r="A97" s="1"/>
      <c r="B97" s="1"/>
      <c r="C97" s="1"/>
      <c r="D97" s="1"/>
      <c r="E97" s="19"/>
      <c r="F97" s="19"/>
      <c r="G97" s="19"/>
      <c r="H97" s="20"/>
      <c r="I97" s="21"/>
      <c r="J97" s="21"/>
      <c r="K97" s="21"/>
      <c r="L97" s="21"/>
      <c r="M97" s="1"/>
    </row>
    <row r="98" spans="1:13" ht="31.5" x14ac:dyDescent="0.25">
      <c r="A98" s="2" t="s">
        <v>7</v>
      </c>
      <c r="B98" s="2" t="s">
        <v>8</v>
      </c>
      <c r="C98" s="2" t="s">
        <v>9</v>
      </c>
      <c r="D98" s="9" t="s">
        <v>31</v>
      </c>
      <c r="E98" s="2" t="s">
        <v>10</v>
      </c>
      <c r="F98" s="2" t="s">
        <v>11</v>
      </c>
      <c r="G98" s="2" t="s">
        <v>12</v>
      </c>
      <c r="H98" s="22" t="s">
        <v>13</v>
      </c>
      <c r="I98" s="23" t="s">
        <v>14</v>
      </c>
      <c r="J98" s="22" t="s">
        <v>15</v>
      </c>
      <c r="K98" s="22" t="s">
        <v>90</v>
      </c>
      <c r="L98" s="23" t="s">
        <v>16</v>
      </c>
      <c r="M98" s="9" t="s">
        <v>20</v>
      </c>
    </row>
    <row r="99" spans="1:13" ht="94.5" x14ac:dyDescent="0.25">
      <c r="A99" s="3">
        <v>1</v>
      </c>
      <c r="B99" s="3">
        <v>964</v>
      </c>
      <c r="C99" s="159">
        <v>45972</v>
      </c>
      <c r="D99" s="101" t="s">
        <v>1080</v>
      </c>
      <c r="E99" s="3" t="s">
        <v>1081</v>
      </c>
      <c r="F99" s="160" t="s">
        <v>1082</v>
      </c>
      <c r="G99" s="161" t="s">
        <v>1083</v>
      </c>
      <c r="H99" s="118">
        <v>500000</v>
      </c>
      <c r="I99" s="70"/>
      <c r="J99" s="118"/>
      <c r="K99" s="118">
        <v>10</v>
      </c>
      <c r="L99" s="70">
        <v>500000</v>
      </c>
      <c r="M99" s="101"/>
    </row>
    <row r="100" spans="1:13" ht="63" x14ac:dyDescent="0.25">
      <c r="A100" s="3">
        <v>2</v>
      </c>
      <c r="B100" s="3">
        <v>1008</v>
      </c>
      <c r="C100" s="159">
        <v>45989</v>
      </c>
      <c r="D100" s="101" t="s">
        <v>1239</v>
      </c>
      <c r="E100" s="3" t="s">
        <v>1238</v>
      </c>
      <c r="F100" s="160" t="s">
        <v>1240</v>
      </c>
      <c r="G100" s="161" t="s">
        <v>1241</v>
      </c>
      <c r="H100" s="118"/>
      <c r="I100" s="70" t="s">
        <v>1242</v>
      </c>
      <c r="J100" s="118"/>
      <c r="K100" s="118">
        <v>11</v>
      </c>
      <c r="L100" s="70">
        <v>198000</v>
      </c>
      <c r="M100" s="89" t="s">
        <v>1143</v>
      </c>
    </row>
    <row r="101" spans="1:13" x14ac:dyDescent="0.25">
      <c r="A101" s="3">
        <v>3</v>
      </c>
      <c r="B101" s="3"/>
      <c r="C101" s="3"/>
      <c r="D101" s="101"/>
      <c r="E101" s="3"/>
      <c r="F101" s="160"/>
      <c r="G101" s="161"/>
      <c r="H101" s="118"/>
      <c r="I101" s="70"/>
      <c r="J101" s="118"/>
      <c r="K101" s="118"/>
      <c r="L101" s="70"/>
      <c r="M101" s="101"/>
    </row>
    <row r="102" spans="1:13" x14ac:dyDescent="0.25">
      <c r="A102" s="3">
        <v>4</v>
      </c>
      <c r="B102" s="3"/>
      <c r="C102" s="3"/>
      <c r="D102" s="101"/>
      <c r="E102" s="3"/>
      <c r="F102" s="160"/>
      <c r="G102" s="161"/>
      <c r="H102" s="118"/>
      <c r="I102" s="70"/>
      <c r="J102" s="118"/>
      <c r="K102" s="118"/>
      <c r="L102" s="70"/>
      <c r="M102" s="101"/>
    </row>
    <row r="103" spans="1:13" x14ac:dyDescent="0.25">
      <c r="A103" s="3">
        <v>5</v>
      </c>
      <c r="B103" s="64"/>
      <c r="C103" s="65"/>
      <c r="D103" s="109"/>
      <c r="E103" s="64"/>
      <c r="F103" s="158"/>
      <c r="G103" s="162"/>
      <c r="H103" s="68"/>
      <c r="I103" s="69"/>
      <c r="J103" s="68"/>
      <c r="K103" s="68"/>
      <c r="L103" s="70"/>
      <c r="M103" s="27"/>
    </row>
    <row r="104" spans="1:13" x14ac:dyDescent="0.25">
      <c r="A104" s="181" t="s">
        <v>30</v>
      </c>
      <c r="B104" s="182"/>
      <c r="C104" s="182"/>
      <c r="D104" s="182"/>
      <c r="E104" s="182"/>
      <c r="F104" s="182"/>
      <c r="G104" s="183"/>
      <c r="H104" s="24">
        <f>SUM(H103:H103)</f>
        <v>0</v>
      </c>
      <c r="I104" s="24"/>
      <c r="J104" s="24">
        <f>SUM(J103:J103)</f>
        <v>0</v>
      </c>
      <c r="K104" s="24"/>
      <c r="L104" s="24">
        <f>SUM(L99:L103)</f>
        <v>698000</v>
      </c>
      <c r="M104" s="75"/>
    </row>
    <row r="105" spans="1:13" x14ac:dyDescent="0.25">
      <c r="A105" s="184" t="s">
        <v>18</v>
      </c>
      <c r="B105" s="184"/>
      <c r="C105" s="184"/>
      <c r="D105" s="184" t="s">
        <v>1246</v>
      </c>
      <c r="E105" s="184"/>
      <c r="F105" s="184"/>
      <c r="G105" s="184"/>
    </row>
    <row r="107" spans="1:13" x14ac:dyDescent="0.25">
      <c r="A107" s="86"/>
      <c r="B107" s="175" t="s">
        <v>34</v>
      </c>
      <c r="C107" s="175"/>
      <c r="D107" s="175"/>
      <c r="E107" s="175"/>
      <c r="F107" s="74"/>
      <c r="G107" s="74"/>
      <c r="H107" s="14"/>
      <c r="I107" s="14"/>
      <c r="J107" s="175" t="s">
        <v>4</v>
      </c>
      <c r="K107" s="175"/>
      <c r="L107" s="175"/>
      <c r="M107" s="175"/>
    </row>
    <row r="111" spans="1:13" x14ac:dyDescent="0.25">
      <c r="B111" s="176" t="s">
        <v>829</v>
      </c>
      <c r="C111" s="176"/>
      <c r="D111" s="176"/>
      <c r="E111" s="176"/>
      <c r="G111" s="15"/>
      <c r="J111" s="176" t="s">
        <v>830</v>
      </c>
      <c r="K111" s="176"/>
      <c r="L111" s="176"/>
      <c r="M111" s="176"/>
    </row>
  </sheetData>
  <mergeCells count="74">
    <mergeCell ref="B57:E57"/>
    <mergeCell ref="J57:M57"/>
    <mergeCell ref="G45:M45"/>
    <mergeCell ref="A46:M46"/>
    <mergeCell ref="A50:G50"/>
    <mergeCell ref="A51:C51"/>
    <mergeCell ref="B53:E53"/>
    <mergeCell ref="J53:M53"/>
    <mergeCell ref="B38:E38"/>
    <mergeCell ref="J38:M38"/>
    <mergeCell ref="A43:F43"/>
    <mergeCell ref="G43:M43"/>
    <mergeCell ref="A44:F44"/>
    <mergeCell ref="G44:M44"/>
    <mergeCell ref="A27:M27"/>
    <mergeCell ref="A31:G31"/>
    <mergeCell ref="A32:C32"/>
    <mergeCell ref="B34:E34"/>
    <mergeCell ref="J34:M34"/>
    <mergeCell ref="A24:F24"/>
    <mergeCell ref="G24:M24"/>
    <mergeCell ref="A25:F25"/>
    <mergeCell ref="G25:M25"/>
    <mergeCell ref="G26:M26"/>
    <mergeCell ref="A4:M4"/>
    <mergeCell ref="A1:F1"/>
    <mergeCell ref="G1:M1"/>
    <mergeCell ref="A2:F2"/>
    <mergeCell ref="G2:M2"/>
    <mergeCell ref="G3:M3"/>
    <mergeCell ref="A8:G8"/>
    <mergeCell ref="A9:C9"/>
    <mergeCell ref="B11:E11"/>
    <mergeCell ref="J11:M11"/>
    <mergeCell ref="B15:E15"/>
    <mergeCell ref="J15:M15"/>
    <mergeCell ref="A59:F59"/>
    <mergeCell ref="G59:M59"/>
    <mergeCell ref="A60:F60"/>
    <mergeCell ref="G60:M60"/>
    <mergeCell ref="G61:M61"/>
    <mergeCell ref="A62:M62"/>
    <mergeCell ref="A66:G66"/>
    <mergeCell ref="A67:C67"/>
    <mergeCell ref="B69:E69"/>
    <mergeCell ref="J69:M69"/>
    <mergeCell ref="B73:E73"/>
    <mergeCell ref="J73:M73"/>
    <mergeCell ref="A76:F76"/>
    <mergeCell ref="G76:M76"/>
    <mergeCell ref="A77:F77"/>
    <mergeCell ref="G77:M77"/>
    <mergeCell ref="B90:E90"/>
    <mergeCell ref="J90:M90"/>
    <mergeCell ref="G78:M78"/>
    <mergeCell ref="A79:M79"/>
    <mergeCell ref="A83:G83"/>
    <mergeCell ref="A84:C84"/>
    <mergeCell ref="B86:E86"/>
    <mergeCell ref="J86:M86"/>
    <mergeCell ref="D84:G84"/>
    <mergeCell ref="A93:F93"/>
    <mergeCell ref="G93:M93"/>
    <mergeCell ref="A94:F94"/>
    <mergeCell ref="G94:M94"/>
    <mergeCell ref="G95:M95"/>
    <mergeCell ref="B111:E111"/>
    <mergeCell ref="J111:M111"/>
    <mergeCell ref="A96:M96"/>
    <mergeCell ref="A104:G104"/>
    <mergeCell ref="A105:C105"/>
    <mergeCell ref="D105:G105"/>
    <mergeCell ref="B107:E107"/>
    <mergeCell ref="J107:M107"/>
  </mergeCells>
  <pageMargins left="0.39370078740157483" right="0.19685039370078741" top="0.39370078740157483" bottom="0.74803149606299213" header="0.31496062992125984" footer="0.31496062992125984"/>
  <pageSetup paperSize="9" scale="24" orientation="landscape"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T31"/>
  <sheetViews>
    <sheetView topLeftCell="A10" workbookViewId="0">
      <selection activeCell="Q22" sqref="Q22"/>
    </sheetView>
  </sheetViews>
  <sheetFormatPr defaultColWidth="9.42578125" defaultRowHeight="15.75" x14ac:dyDescent="0.25"/>
  <cols>
    <col min="1" max="1" width="13.85546875" style="34" customWidth="1"/>
    <col min="2" max="3" width="15.28515625" style="35" customWidth="1"/>
    <col min="4" max="7" width="15.28515625" style="5" customWidth="1"/>
    <col min="8" max="8" width="15.28515625" style="35" customWidth="1"/>
    <col min="9" max="18" width="15.28515625" style="5" customWidth="1"/>
    <col min="19" max="16384" width="9.42578125" style="5"/>
  </cols>
  <sheetData>
    <row r="2" spans="1:20" x14ac:dyDescent="0.25">
      <c r="A2" s="207" t="s">
        <v>0</v>
      </c>
      <c r="B2" s="207"/>
      <c r="C2" s="207"/>
      <c r="D2" s="8"/>
      <c r="E2" s="8"/>
      <c r="F2" s="8"/>
      <c r="G2" s="8"/>
      <c r="H2" s="28"/>
      <c r="I2" s="8"/>
      <c r="J2" s="8"/>
      <c r="K2" s="29" t="s">
        <v>1</v>
      </c>
      <c r="L2" s="29"/>
      <c r="M2" s="29"/>
      <c r="N2" s="29"/>
      <c r="O2" s="29"/>
      <c r="P2" s="29"/>
      <c r="Q2" s="29"/>
      <c r="R2" s="29"/>
      <c r="S2" s="29"/>
      <c r="T2" s="29"/>
    </row>
    <row r="3" spans="1:20" x14ac:dyDescent="0.25">
      <c r="A3" s="207" t="s">
        <v>22</v>
      </c>
      <c r="B3" s="207"/>
      <c r="C3" s="207"/>
      <c r="D3" s="8"/>
      <c r="E3" s="8"/>
      <c r="F3" s="8"/>
      <c r="G3" s="8"/>
      <c r="H3" s="28"/>
      <c r="I3" s="8"/>
      <c r="J3" s="8"/>
      <c r="K3" s="29" t="s">
        <v>2</v>
      </c>
      <c r="L3" s="29"/>
      <c r="M3" s="29"/>
      <c r="N3" s="29"/>
      <c r="O3" s="29"/>
      <c r="P3" s="29"/>
      <c r="Q3" s="29"/>
      <c r="R3" s="29"/>
      <c r="S3" s="29"/>
      <c r="T3" s="29"/>
    </row>
    <row r="4" spans="1:20" x14ac:dyDescent="0.25">
      <c r="A4" s="206" t="s">
        <v>5</v>
      </c>
      <c r="B4" s="206"/>
      <c r="C4" s="206"/>
      <c r="D4" s="30"/>
      <c r="E4" s="30"/>
      <c r="F4" s="30"/>
      <c r="G4" s="30"/>
      <c r="H4" s="31"/>
      <c r="I4" s="30"/>
      <c r="J4" s="30"/>
      <c r="K4" s="32"/>
      <c r="L4" s="32" t="s">
        <v>210</v>
      </c>
      <c r="M4" s="32"/>
      <c r="N4" s="32"/>
      <c r="O4" s="32"/>
      <c r="P4" s="32"/>
      <c r="Q4" s="32"/>
      <c r="R4" s="8"/>
      <c r="S4" s="32"/>
      <c r="T4" s="33"/>
    </row>
    <row r="5" spans="1:20" x14ac:dyDescent="0.25">
      <c r="A5" s="206" t="s">
        <v>6</v>
      </c>
      <c r="B5" s="206"/>
      <c r="C5" s="206"/>
      <c r="D5" s="30"/>
      <c r="E5" s="30"/>
      <c r="F5" s="30"/>
      <c r="G5" s="30"/>
      <c r="H5" s="31"/>
      <c r="I5" s="30"/>
      <c r="J5" s="30"/>
      <c r="K5" s="32"/>
      <c r="L5" s="32"/>
      <c r="M5" s="32"/>
      <c r="N5" s="32"/>
      <c r="O5" s="32"/>
      <c r="P5" s="32"/>
      <c r="Q5" s="32"/>
      <c r="R5" s="8"/>
      <c r="S5" s="32"/>
      <c r="T5" s="33"/>
    </row>
    <row r="6" spans="1:20" x14ac:dyDescent="0.25">
      <c r="S6" s="32"/>
      <c r="T6" s="33"/>
    </row>
    <row r="8" spans="1:20" ht="18.75" x14ac:dyDescent="0.25">
      <c r="A8" s="199" t="s">
        <v>211</v>
      </c>
      <c r="B8" s="199"/>
      <c r="C8" s="199"/>
      <c r="D8" s="199"/>
      <c r="E8" s="199"/>
      <c r="F8" s="199"/>
      <c r="G8" s="199"/>
      <c r="H8" s="199"/>
      <c r="I8" s="199"/>
      <c r="J8" s="199"/>
      <c r="K8" s="199"/>
      <c r="L8" s="199"/>
      <c r="M8" s="199"/>
      <c r="N8" s="36"/>
      <c r="O8" s="36"/>
      <c r="P8" s="36"/>
      <c r="Q8" s="36"/>
      <c r="R8" s="29"/>
    </row>
    <row r="9" spans="1:20" x14ac:dyDescent="0.25">
      <c r="A9" s="200" t="s">
        <v>23</v>
      </c>
      <c r="B9" s="201" t="s">
        <v>24</v>
      </c>
      <c r="C9" s="202"/>
      <c r="D9" s="203"/>
      <c r="E9" s="201" t="s">
        <v>25</v>
      </c>
      <c r="F9" s="202"/>
      <c r="G9" s="203"/>
      <c r="H9" s="201" t="s">
        <v>26</v>
      </c>
      <c r="I9" s="202"/>
      <c r="J9" s="203"/>
      <c r="K9" s="201" t="s">
        <v>27</v>
      </c>
      <c r="L9" s="202"/>
      <c r="M9" s="203"/>
      <c r="N9" s="201" t="s">
        <v>65</v>
      </c>
      <c r="O9" s="202"/>
      <c r="P9" s="203"/>
      <c r="Q9" s="204" t="s">
        <v>28</v>
      </c>
    </row>
    <row r="10" spans="1:20" ht="31.5" x14ac:dyDescent="0.25">
      <c r="A10" s="200"/>
      <c r="B10" s="37" t="s">
        <v>13</v>
      </c>
      <c r="C10" s="38" t="s">
        <v>15</v>
      </c>
      <c r="D10" s="38" t="s">
        <v>17</v>
      </c>
      <c r="E10" s="37" t="s">
        <v>13</v>
      </c>
      <c r="F10" s="38" t="s">
        <v>15</v>
      </c>
      <c r="G10" s="38" t="s">
        <v>17</v>
      </c>
      <c r="H10" s="37" t="s">
        <v>13</v>
      </c>
      <c r="I10" s="38" t="s">
        <v>15</v>
      </c>
      <c r="J10" s="38" t="s">
        <v>17</v>
      </c>
      <c r="K10" s="39" t="s">
        <v>13</v>
      </c>
      <c r="L10" s="40" t="s">
        <v>15</v>
      </c>
      <c r="M10" s="38" t="s">
        <v>17</v>
      </c>
      <c r="N10" s="39" t="s">
        <v>13</v>
      </c>
      <c r="O10" s="40" t="s">
        <v>15</v>
      </c>
      <c r="P10" s="38" t="s">
        <v>17</v>
      </c>
      <c r="Q10" s="205"/>
    </row>
    <row r="11" spans="1:20" x14ac:dyDescent="0.25">
      <c r="A11" s="41" t="s">
        <v>212</v>
      </c>
      <c r="B11" s="42">
        <f>TCT!H12</f>
        <v>1300000</v>
      </c>
      <c r="C11" s="42">
        <v>0</v>
      </c>
      <c r="D11" s="43">
        <f>B11+C11</f>
        <v>1300000</v>
      </c>
      <c r="E11" s="42">
        <f>CT!H7</f>
        <v>100000</v>
      </c>
      <c r="F11" s="42">
        <v>0</v>
      </c>
      <c r="G11" s="43">
        <f>E11+F11</f>
        <v>100000</v>
      </c>
      <c r="H11" s="42">
        <v>0</v>
      </c>
      <c r="I11" s="44">
        <v>0</v>
      </c>
      <c r="J11" s="43">
        <f>H11+I11</f>
        <v>0</v>
      </c>
      <c r="K11" s="44">
        <v>0</v>
      </c>
      <c r="L11" s="45">
        <v>0</v>
      </c>
      <c r="M11" s="46">
        <f>K11+L11</f>
        <v>0</v>
      </c>
      <c r="N11" s="91">
        <v>0</v>
      </c>
      <c r="O11" s="91">
        <f>'VIỆT NHẬT'!J8</f>
        <v>2380000</v>
      </c>
      <c r="P11" s="46">
        <f>N11+O11</f>
        <v>2380000</v>
      </c>
      <c r="Q11" s="47">
        <f>D11+G11+J11+M11+P11</f>
        <v>3780000</v>
      </c>
    </row>
    <row r="12" spans="1:20" x14ac:dyDescent="0.25">
      <c r="A12" s="41" t="s">
        <v>213</v>
      </c>
      <c r="B12" s="48"/>
      <c r="C12" s="48"/>
      <c r="D12" s="43">
        <f>B12+C12</f>
        <v>0</v>
      </c>
      <c r="E12" s="48"/>
      <c r="F12" s="48"/>
      <c r="G12" s="43">
        <f>E12+F12</f>
        <v>0</v>
      </c>
      <c r="H12" s="42"/>
      <c r="I12" s="49"/>
      <c r="J12" s="43">
        <f>H12+I12</f>
        <v>0</v>
      </c>
      <c r="K12" s="49"/>
      <c r="L12" s="49"/>
      <c r="M12" s="46">
        <f t="shared" ref="M12:M22" si="0">K12+L12</f>
        <v>0</v>
      </c>
      <c r="N12" s="91"/>
      <c r="O12" s="91"/>
      <c r="P12" s="46">
        <f t="shared" ref="P12:P22" si="1">N12+O12</f>
        <v>0</v>
      </c>
      <c r="Q12" s="47">
        <f t="shared" ref="Q12:Q22" si="2">D12+G12+J12+M12+P12</f>
        <v>0</v>
      </c>
      <c r="R12" s="50"/>
    </row>
    <row r="13" spans="1:20" x14ac:dyDescent="0.25">
      <c r="A13" s="41" t="s">
        <v>214</v>
      </c>
      <c r="B13" s="48">
        <v>2800000</v>
      </c>
      <c r="C13" s="48">
        <v>2810000</v>
      </c>
      <c r="D13" s="43">
        <f t="shared" ref="D13:D22" si="3">B13+C13</f>
        <v>5610000</v>
      </c>
      <c r="E13" s="48">
        <v>600000</v>
      </c>
      <c r="F13" s="48"/>
      <c r="G13" s="43">
        <f t="shared" ref="G13:G22" si="4">E13+F13</f>
        <v>600000</v>
      </c>
      <c r="H13" s="72">
        <v>1800000</v>
      </c>
      <c r="I13" s="49"/>
      <c r="J13" s="43">
        <f t="shared" ref="J13:J22" si="5">H13+I13</f>
        <v>1800000</v>
      </c>
      <c r="K13" s="49">
        <v>2900000</v>
      </c>
      <c r="L13" s="49">
        <v>7490000</v>
      </c>
      <c r="M13" s="46">
        <f t="shared" si="0"/>
        <v>10390000</v>
      </c>
      <c r="N13" s="91">
        <v>500000</v>
      </c>
      <c r="O13" s="91"/>
      <c r="P13" s="46">
        <f t="shared" si="1"/>
        <v>500000</v>
      </c>
      <c r="Q13" s="47">
        <f>D13+G13+J13+M13+P13</f>
        <v>18900000</v>
      </c>
      <c r="R13" s="50"/>
    </row>
    <row r="14" spans="1:20" x14ac:dyDescent="0.25">
      <c r="A14" s="41" t="s">
        <v>215</v>
      </c>
      <c r="B14" s="48">
        <f>+TCT!H114</f>
        <v>12800000</v>
      </c>
      <c r="C14" s="48">
        <f>+TCT!J114</f>
        <v>1200000</v>
      </c>
      <c r="D14" s="43">
        <f t="shared" si="3"/>
        <v>14000000</v>
      </c>
      <c r="E14" s="48">
        <f>+CT!L85</f>
        <v>100000</v>
      </c>
      <c r="F14" s="48"/>
      <c r="G14" s="43">
        <f t="shared" si="4"/>
        <v>100000</v>
      </c>
      <c r="H14" s="48">
        <f>+PXSX1!L97</f>
        <v>1200000</v>
      </c>
      <c r="I14" s="49"/>
      <c r="J14" s="43">
        <f t="shared" si="5"/>
        <v>1200000</v>
      </c>
      <c r="K14" s="49">
        <f>+PXSX2!L95</f>
        <v>800000</v>
      </c>
      <c r="L14" s="49"/>
      <c r="M14" s="46">
        <f t="shared" si="0"/>
        <v>800000</v>
      </c>
      <c r="N14" s="91"/>
      <c r="O14" s="91"/>
      <c r="P14" s="46">
        <f t="shared" si="1"/>
        <v>0</v>
      </c>
      <c r="Q14" s="47">
        <f t="shared" si="2"/>
        <v>16100000</v>
      </c>
      <c r="R14" s="50"/>
    </row>
    <row r="15" spans="1:20" x14ac:dyDescent="0.25">
      <c r="A15" s="41" t="s">
        <v>216</v>
      </c>
      <c r="B15" s="48">
        <f>+TCT!H144</f>
        <v>4466666.666666667</v>
      </c>
      <c r="C15" s="48">
        <f>+TCT!J144</f>
        <v>1200000</v>
      </c>
      <c r="D15" s="43">
        <f>B15+C15</f>
        <v>5666666.666666667</v>
      </c>
      <c r="E15" s="48">
        <f>+CT!H111</f>
        <v>1100000</v>
      </c>
      <c r="F15" s="48">
        <f>+CT!J111</f>
        <v>0</v>
      </c>
      <c r="G15" s="43">
        <f t="shared" si="4"/>
        <v>1100000</v>
      </c>
      <c r="H15" s="48">
        <f>+PXSX1!H133</f>
        <v>4100000</v>
      </c>
      <c r="I15" s="49">
        <f>+PXSX1!J133</f>
        <v>0</v>
      </c>
      <c r="J15" s="43">
        <f t="shared" si="5"/>
        <v>4100000</v>
      </c>
      <c r="K15" s="49">
        <f>+PXSX2!H134</f>
        <v>3800000</v>
      </c>
      <c r="L15" s="49">
        <f>+PXSX2!J134</f>
        <v>0</v>
      </c>
      <c r="M15" s="46">
        <f t="shared" si="0"/>
        <v>3800000</v>
      </c>
      <c r="N15" s="91"/>
      <c r="O15" s="91"/>
      <c r="P15" s="46">
        <f t="shared" si="1"/>
        <v>0</v>
      </c>
      <c r="Q15" s="47">
        <f t="shared" si="2"/>
        <v>14666666.666666668</v>
      </c>
      <c r="R15" s="50"/>
    </row>
    <row r="16" spans="1:20" x14ac:dyDescent="0.25">
      <c r="A16" s="41" t="s">
        <v>217</v>
      </c>
      <c r="B16" s="48">
        <f>+TCT!H178</f>
        <v>4316666.666666667</v>
      </c>
      <c r="C16" s="48">
        <f>+TCT!J178</f>
        <v>0</v>
      </c>
      <c r="D16" s="43">
        <f t="shared" si="3"/>
        <v>4316666.666666667</v>
      </c>
      <c r="E16" s="48">
        <f>+CT!H137</f>
        <v>600000</v>
      </c>
      <c r="F16" s="48">
        <f>+CT!J137</f>
        <v>0</v>
      </c>
      <c r="G16" s="43">
        <f t="shared" si="4"/>
        <v>600000</v>
      </c>
      <c r="H16" s="48">
        <f>+PXSX1!H171</f>
        <v>1000000</v>
      </c>
      <c r="I16" s="49">
        <f>+PXSX1!J171</f>
        <v>0</v>
      </c>
      <c r="J16" s="43">
        <f t="shared" si="5"/>
        <v>1000000</v>
      </c>
      <c r="K16" s="51">
        <f>+PXSX2!H171</f>
        <v>1400000</v>
      </c>
      <c r="L16" s="49">
        <f>+PXSX2!J171</f>
        <v>0</v>
      </c>
      <c r="M16" s="46">
        <f t="shared" si="0"/>
        <v>1400000</v>
      </c>
      <c r="N16" s="91"/>
      <c r="O16" s="91"/>
      <c r="P16" s="46">
        <f t="shared" si="1"/>
        <v>0</v>
      </c>
      <c r="Q16" s="47">
        <f t="shared" si="2"/>
        <v>7316666.666666667</v>
      </c>
      <c r="R16" s="50"/>
    </row>
    <row r="17" spans="1:18" x14ac:dyDescent="0.25">
      <c r="A17" s="41" t="s">
        <v>218</v>
      </c>
      <c r="B17" s="48">
        <v>4716667</v>
      </c>
      <c r="C17" s="48">
        <v>453000</v>
      </c>
      <c r="D17" s="43">
        <f t="shared" si="3"/>
        <v>5169667</v>
      </c>
      <c r="E17" s="48">
        <v>1600000</v>
      </c>
      <c r="F17" s="48">
        <v>3768500</v>
      </c>
      <c r="G17" s="43">
        <f t="shared" si="4"/>
        <v>5368500</v>
      </c>
      <c r="H17" s="48">
        <v>6500000</v>
      </c>
      <c r="I17" s="49"/>
      <c r="J17" s="43">
        <f t="shared" si="5"/>
        <v>6500000</v>
      </c>
      <c r="K17" s="49">
        <v>9600000</v>
      </c>
      <c r="L17" s="49"/>
      <c r="M17" s="46">
        <f t="shared" si="0"/>
        <v>9600000</v>
      </c>
      <c r="N17" s="91"/>
      <c r="O17" s="91"/>
      <c r="P17" s="46">
        <f t="shared" si="1"/>
        <v>0</v>
      </c>
      <c r="Q17" s="47">
        <f t="shared" si="2"/>
        <v>26638167</v>
      </c>
      <c r="R17" s="50"/>
    </row>
    <row r="18" spans="1:18" x14ac:dyDescent="0.25">
      <c r="A18" s="41" t="s">
        <v>219</v>
      </c>
      <c r="B18" s="48">
        <v>800000</v>
      </c>
      <c r="C18" s="48"/>
      <c r="D18" s="43">
        <f t="shared" si="3"/>
        <v>800000</v>
      </c>
      <c r="E18" s="48">
        <v>100000</v>
      </c>
      <c r="F18" s="48">
        <v>825000</v>
      </c>
      <c r="G18" s="43">
        <f t="shared" si="4"/>
        <v>925000</v>
      </c>
      <c r="H18" s="48"/>
      <c r="I18" s="49"/>
      <c r="J18" s="43">
        <f t="shared" si="5"/>
        <v>0</v>
      </c>
      <c r="K18" s="49">
        <v>1500000</v>
      </c>
      <c r="L18" s="49"/>
      <c r="M18" s="46">
        <f t="shared" si="0"/>
        <v>1500000</v>
      </c>
      <c r="N18" s="91"/>
      <c r="O18" s="91"/>
      <c r="P18" s="46">
        <f t="shared" si="1"/>
        <v>0</v>
      </c>
      <c r="Q18" s="47">
        <f t="shared" si="2"/>
        <v>3225000</v>
      </c>
      <c r="R18" s="50"/>
    </row>
    <row r="19" spans="1:18" x14ac:dyDescent="0.25">
      <c r="A19" s="41" t="s">
        <v>220</v>
      </c>
      <c r="B19" s="48">
        <v>800000</v>
      </c>
      <c r="C19" s="48">
        <v>3250000</v>
      </c>
      <c r="D19" s="43">
        <f t="shared" si="3"/>
        <v>4050000</v>
      </c>
      <c r="E19" s="48">
        <v>100000</v>
      </c>
      <c r="F19" s="48">
        <v>10684000</v>
      </c>
      <c r="G19" s="43">
        <f t="shared" si="4"/>
        <v>10784000</v>
      </c>
      <c r="H19" s="48">
        <v>1400000</v>
      </c>
      <c r="I19" s="49"/>
      <c r="J19" s="43">
        <f t="shared" si="5"/>
        <v>1400000</v>
      </c>
      <c r="K19" s="49">
        <v>2000000</v>
      </c>
      <c r="L19" s="49"/>
      <c r="M19" s="46">
        <f t="shared" si="0"/>
        <v>2000000</v>
      </c>
      <c r="N19" s="91">
        <v>500000</v>
      </c>
      <c r="O19" s="91"/>
      <c r="P19" s="46">
        <f t="shared" si="1"/>
        <v>500000</v>
      </c>
      <c r="Q19" s="47">
        <f t="shared" si="2"/>
        <v>18734000</v>
      </c>
      <c r="R19" s="50"/>
    </row>
    <row r="20" spans="1:18" x14ac:dyDescent="0.25">
      <c r="A20" s="41" t="s">
        <v>221</v>
      </c>
      <c r="B20" s="48">
        <v>2300000</v>
      </c>
      <c r="C20" s="48">
        <v>720000</v>
      </c>
      <c r="D20" s="43">
        <f t="shared" si="3"/>
        <v>3020000</v>
      </c>
      <c r="E20" s="48">
        <v>1500000</v>
      </c>
      <c r="F20" s="48"/>
      <c r="G20" s="43">
        <f t="shared" si="4"/>
        <v>1500000</v>
      </c>
      <c r="H20" s="48">
        <v>2000000</v>
      </c>
      <c r="I20" s="49">
        <v>2000000</v>
      </c>
      <c r="J20" s="43">
        <f t="shared" si="5"/>
        <v>4000000</v>
      </c>
      <c r="K20" s="49">
        <v>3300000</v>
      </c>
      <c r="L20" s="49">
        <v>2155000</v>
      </c>
      <c r="M20" s="46">
        <f t="shared" si="0"/>
        <v>5455000</v>
      </c>
      <c r="N20" s="91"/>
      <c r="O20" s="91"/>
      <c r="P20" s="46">
        <f t="shared" si="1"/>
        <v>0</v>
      </c>
      <c r="Q20" s="47">
        <f t="shared" si="2"/>
        <v>13975000</v>
      </c>
      <c r="R20" s="50"/>
    </row>
    <row r="21" spans="1:18" x14ac:dyDescent="0.25">
      <c r="A21" s="41" t="s">
        <v>222</v>
      </c>
      <c r="B21" s="48">
        <v>924000</v>
      </c>
      <c r="C21" s="48">
        <v>633000</v>
      </c>
      <c r="D21" s="43">
        <f>B21+C21</f>
        <v>1557000</v>
      </c>
      <c r="E21" s="48"/>
      <c r="F21" s="48"/>
      <c r="G21" s="43">
        <f>E21+F21</f>
        <v>0</v>
      </c>
      <c r="H21" s="48">
        <v>23086000</v>
      </c>
      <c r="I21" s="49">
        <v>30000000</v>
      </c>
      <c r="J21" s="43">
        <f>H21+I21</f>
        <v>53086000</v>
      </c>
      <c r="K21" s="49"/>
      <c r="L21" s="49">
        <v>5214000</v>
      </c>
      <c r="M21" s="46">
        <f t="shared" si="0"/>
        <v>5214000</v>
      </c>
      <c r="N21" s="91">
        <v>698000</v>
      </c>
      <c r="O21" s="91"/>
      <c r="P21" s="46">
        <f t="shared" si="1"/>
        <v>698000</v>
      </c>
      <c r="Q21" s="47">
        <f>D21+G21+J21+M21+P21</f>
        <v>60555000</v>
      </c>
      <c r="R21" s="50"/>
    </row>
    <row r="22" spans="1:18" x14ac:dyDescent="0.25">
      <c r="A22" s="41" t="s">
        <v>223</v>
      </c>
      <c r="B22" s="48"/>
      <c r="C22" s="48"/>
      <c r="D22" s="43">
        <f t="shared" si="3"/>
        <v>0</v>
      </c>
      <c r="E22" s="48"/>
      <c r="F22" s="48"/>
      <c r="G22" s="43">
        <f t="shared" si="4"/>
        <v>0</v>
      </c>
      <c r="H22" s="48"/>
      <c r="I22" s="49"/>
      <c r="J22" s="43">
        <f t="shared" si="5"/>
        <v>0</v>
      </c>
      <c r="K22" s="49"/>
      <c r="L22" s="49"/>
      <c r="M22" s="46">
        <f t="shared" si="0"/>
        <v>0</v>
      </c>
      <c r="N22" s="91"/>
      <c r="O22" s="91"/>
      <c r="P22" s="46">
        <f t="shared" si="1"/>
        <v>0</v>
      </c>
      <c r="Q22" s="47">
        <f t="shared" si="2"/>
        <v>0</v>
      </c>
      <c r="R22" s="50"/>
    </row>
    <row r="23" spans="1:18" x14ac:dyDescent="0.25">
      <c r="A23" s="52" t="s">
        <v>21</v>
      </c>
      <c r="B23" s="53">
        <f>SUM(B11:B22)</f>
        <v>35224000.333333336</v>
      </c>
      <c r="C23" s="53">
        <f t="shared" ref="C23:O23" si="6">SUM(C11:C22)</f>
        <v>10266000</v>
      </c>
      <c r="D23" s="54">
        <f>SUM(D11:D22)</f>
        <v>45490000.333333336</v>
      </c>
      <c r="E23" s="53">
        <f>SUM(E11:E22)</f>
        <v>5800000</v>
      </c>
      <c r="F23" s="53">
        <f t="shared" si="6"/>
        <v>15277500</v>
      </c>
      <c r="G23" s="54">
        <f>SUM(G11:G22)</f>
        <v>21077500</v>
      </c>
      <c r="H23" s="53">
        <f t="shared" si="6"/>
        <v>41086000</v>
      </c>
      <c r="I23" s="46">
        <f t="shared" si="6"/>
        <v>32000000</v>
      </c>
      <c r="J23" s="54">
        <f>SUM(J11:J22)</f>
        <v>73086000</v>
      </c>
      <c r="K23" s="46">
        <f t="shared" si="6"/>
        <v>25300000</v>
      </c>
      <c r="L23" s="46">
        <f t="shared" si="6"/>
        <v>14859000</v>
      </c>
      <c r="M23" s="54">
        <f>SUM(M11:M22)</f>
        <v>40159000</v>
      </c>
      <c r="N23" s="46">
        <f t="shared" si="6"/>
        <v>1698000</v>
      </c>
      <c r="O23" s="46">
        <f t="shared" si="6"/>
        <v>2380000</v>
      </c>
      <c r="P23" s="54">
        <f>SUM(P11:P22)</f>
        <v>4078000</v>
      </c>
      <c r="Q23" s="55">
        <f>SUM(Q11:Q22)</f>
        <v>183890500.33333334</v>
      </c>
    </row>
    <row r="24" spans="1:18" ht="18.75" x14ac:dyDescent="0.25">
      <c r="A24" s="56"/>
      <c r="B24" s="56"/>
      <c r="C24" s="56"/>
      <c r="D24" s="56"/>
      <c r="E24" s="56"/>
      <c r="F24" s="56"/>
      <c r="G24" s="56"/>
      <c r="H24" s="56"/>
      <c r="I24" s="56"/>
      <c r="J24" s="56"/>
      <c r="K24" s="56"/>
      <c r="L24" s="56"/>
      <c r="M24" s="57"/>
      <c r="N24" s="57"/>
      <c r="O24" s="57"/>
      <c r="P24" s="57"/>
      <c r="Q24" s="57"/>
    </row>
    <row r="25" spans="1:18" x14ac:dyDescent="0.25">
      <c r="A25" s="208" t="s">
        <v>19</v>
      </c>
      <c r="B25" s="208"/>
      <c r="C25" s="208"/>
      <c r="D25" s="58"/>
      <c r="E25" s="58"/>
      <c r="F25" s="58"/>
      <c r="G25" s="58"/>
      <c r="H25" s="177" t="s">
        <v>29</v>
      </c>
      <c r="I25" s="177"/>
      <c r="J25" s="177"/>
      <c r="K25" s="177"/>
      <c r="L25" s="177" t="s">
        <v>4</v>
      </c>
      <c r="M25" s="177"/>
      <c r="N25" s="177"/>
      <c r="O25" s="177"/>
      <c r="P25" s="177"/>
      <c r="Q25" s="177"/>
      <c r="R25" s="177"/>
    </row>
    <row r="28" spans="1:18" x14ac:dyDescent="0.25">
      <c r="H28" s="59"/>
      <c r="J28" s="60"/>
    </row>
    <row r="30" spans="1:18" x14ac:dyDescent="0.25">
      <c r="K30" s="60"/>
    </row>
    <row r="31" spans="1:18" x14ac:dyDescent="0.25">
      <c r="O31" s="81"/>
    </row>
  </sheetData>
  <mergeCells count="15">
    <mergeCell ref="A5:C5"/>
    <mergeCell ref="A2:C2"/>
    <mergeCell ref="A3:C3"/>
    <mergeCell ref="A4:C4"/>
    <mergeCell ref="A25:C25"/>
    <mergeCell ref="H25:K25"/>
    <mergeCell ref="L25:R25"/>
    <mergeCell ref="A8:M8"/>
    <mergeCell ref="A9:A10"/>
    <mergeCell ref="B9:D9"/>
    <mergeCell ref="E9:G9"/>
    <mergeCell ref="H9:J9"/>
    <mergeCell ref="K9:M9"/>
    <mergeCell ref="Q9:Q10"/>
    <mergeCell ref="N9:P9"/>
  </mergeCells>
  <pageMargins left="0.35" right="0.27" top="0.34" bottom="0.32" header="0.3" footer="0.3"/>
  <pageSetup scale="59" orientation="landscape"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J187"/>
  <sheetViews>
    <sheetView topLeftCell="C55" workbookViewId="0">
      <selection activeCell="F69" sqref="F69:F121"/>
    </sheetView>
  </sheetViews>
  <sheetFormatPr defaultColWidth="9.140625" defaultRowHeight="15" x14ac:dyDescent="0.25"/>
  <cols>
    <col min="1" max="1" width="9.140625" style="4"/>
    <col min="2" max="2" width="8" style="4" customWidth="1"/>
    <col min="3" max="3" width="13.42578125" style="4" customWidth="1"/>
    <col min="4" max="4" width="38.5703125" style="4" customWidth="1"/>
    <col min="5" max="5" width="30.42578125" style="4" customWidth="1"/>
    <col min="6" max="6" width="53.5703125" style="4" customWidth="1"/>
    <col min="7" max="8" width="15.85546875" style="4" customWidth="1"/>
    <col min="9" max="16384" width="9.140625" style="4"/>
  </cols>
  <sheetData>
    <row r="2" spans="1:10" x14ac:dyDescent="0.25">
      <c r="G2" s="92"/>
      <c r="H2" s="92"/>
    </row>
    <row r="3" spans="1:10" ht="15.75" x14ac:dyDescent="0.25">
      <c r="A3" s="188" t="s">
        <v>0</v>
      </c>
      <c r="B3" s="188"/>
      <c r="C3" s="188"/>
      <c r="D3" s="188"/>
      <c r="E3" s="188"/>
      <c r="F3" s="228" t="s">
        <v>1</v>
      </c>
      <c r="G3" s="228"/>
      <c r="H3" s="93"/>
      <c r="I3" s="8"/>
    </row>
    <row r="4" spans="1:10" ht="15.75" x14ac:dyDescent="0.25">
      <c r="A4" s="188" t="s">
        <v>22</v>
      </c>
      <c r="B4" s="188"/>
      <c r="C4" s="188"/>
      <c r="D4" s="188"/>
      <c r="E4" s="188"/>
      <c r="F4" s="188" t="s">
        <v>2</v>
      </c>
      <c r="G4" s="188"/>
      <c r="H4" s="87"/>
      <c r="I4" s="8"/>
    </row>
    <row r="5" spans="1:10" ht="15.75" x14ac:dyDescent="0.25">
      <c r="A5" s="188"/>
      <c r="B5" s="188"/>
      <c r="C5" s="188"/>
      <c r="D5" s="188"/>
      <c r="E5" s="188"/>
      <c r="F5" s="87"/>
      <c r="G5" s="93"/>
      <c r="H5" s="93"/>
      <c r="I5" s="87"/>
    </row>
    <row r="6" spans="1:10" ht="15.75" hidden="1" x14ac:dyDescent="0.25">
      <c r="A6" s="94"/>
      <c r="B6" s="94"/>
      <c r="C6" s="94"/>
      <c r="D6" s="8"/>
      <c r="E6" s="8"/>
      <c r="F6" s="8"/>
      <c r="G6" s="95"/>
      <c r="H6" s="95"/>
      <c r="I6" s="8"/>
    </row>
    <row r="7" spans="1:10" ht="15.75" x14ac:dyDescent="0.25">
      <c r="A7" s="188" t="s">
        <v>80</v>
      </c>
      <c r="B7" s="188"/>
      <c r="C7" s="188"/>
      <c r="D7" s="188"/>
      <c r="E7" s="188"/>
      <c r="F7" s="188"/>
      <c r="G7" s="188"/>
      <c r="H7" s="87"/>
      <c r="I7" s="87"/>
    </row>
    <row r="8" spans="1:10" x14ac:dyDescent="0.25">
      <c r="G8" s="92"/>
      <c r="H8" s="92"/>
    </row>
    <row r="9" spans="1:10" ht="25.5" x14ac:dyDescent="0.25">
      <c r="A9" s="96" t="s">
        <v>73</v>
      </c>
      <c r="B9" s="96" t="s">
        <v>8</v>
      </c>
      <c r="C9" s="96" t="s">
        <v>74</v>
      </c>
      <c r="D9" s="96" t="s">
        <v>75</v>
      </c>
      <c r="E9" s="96" t="s">
        <v>76</v>
      </c>
      <c r="F9" s="96" t="s">
        <v>77</v>
      </c>
      <c r="G9" s="97" t="s">
        <v>78</v>
      </c>
      <c r="H9" s="97" t="s">
        <v>81</v>
      </c>
      <c r="I9" s="96" t="s">
        <v>79</v>
      </c>
    </row>
    <row r="10" spans="1:10" ht="132" customHeight="1" x14ac:dyDescent="0.25">
      <c r="A10" s="16">
        <v>1</v>
      </c>
      <c r="B10" s="27">
        <v>116</v>
      </c>
      <c r="C10" s="98">
        <v>45709</v>
      </c>
      <c r="D10" s="27" t="s">
        <v>134</v>
      </c>
      <c r="E10" s="16" t="s">
        <v>135</v>
      </c>
      <c r="F10" s="27" t="s">
        <v>136</v>
      </c>
      <c r="G10" s="99">
        <v>300000</v>
      </c>
      <c r="H10" s="99">
        <v>5</v>
      </c>
      <c r="I10" s="16"/>
    </row>
    <row r="11" spans="1:10" ht="46.15" customHeight="1" x14ac:dyDescent="0.25">
      <c r="A11" s="226">
        <v>2</v>
      </c>
      <c r="B11" s="88">
        <v>232</v>
      </c>
      <c r="C11" s="135">
        <v>45741</v>
      </c>
      <c r="D11" s="27" t="s">
        <v>603</v>
      </c>
      <c r="E11" s="27" t="s">
        <v>603</v>
      </c>
      <c r="F11" s="224"/>
      <c r="G11" s="99">
        <v>14000000</v>
      </c>
      <c r="H11" s="99"/>
      <c r="I11" s="16"/>
    </row>
    <row r="12" spans="1:10" ht="42" customHeight="1" x14ac:dyDescent="0.25">
      <c r="A12" s="227"/>
      <c r="B12" s="88">
        <v>232</v>
      </c>
      <c r="C12" s="135">
        <v>45741</v>
      </c>
      <c r="D12" s="27" t="s">
        <v>604</v>
      </c>
      <c r="E12" s="27" t="s">
        <v>604</v>
      </c>
      <c r="F12" s="225"/>
      <c r="G12" s="99">
        <v>15000000</v>
      </c>
      <c r="H12" s="99"/>
      <c r="I12" s="16"/>
    </row>
    <row r="13" spans="1:10" ht="16.899999999999999" customHeight="1" x14ac:dyDescent="0.25">
      <c r="A13" s="209">
        <v>3</v>
      </c>
      <c r="B13" s="212">
        <v>171</v>
      </c>
      <c r="C13" s="221">
        <v>45720</v>
      </c>
      <c r="D13" s="100" t="s">
        <v>231</v>
      </c>
      <c r="E13" s="212" t="s">
        <v>234</v>
      </c>
      <c r="F13" s="212" t="s">
        <v>235</v>
      </c>
      <c r="G13" s="102">
        <v>2000000</v>
      </c>
      <c r="H13" s="102"/>
      <c r="I13" s="100"/>
      <c r="J13" s="4" t="s">
        <v>605</v>
      </c>
    </row>
    <row r="14" spans="1:10" ht="16.899999999999999" customHeight="1" x14ac:dyDescent="0.25">
      <c r="A14" s="210"/>
      <c r="B14" s="213"/>
      <c r="C14" s="222"/>
      <c r="D14" s="100" t="s">
        <v>232</v>
      </c>
      <c r="E14" s="213"/>
      <c r="F14" s="213"/>
      <c r="G14" s="102">
        <v>3000000</v>
      </c>
      <c r="H14" s="102"/>
      <c r="I14" s="100"/>
      <c r="J14" s="4" t="s">
        <v>605</v>
      </c>
    </row>
    <row r="15" spans="1:10" ht="16.899999999999999" customHeight="1" x14ac:dyDescent="0.25">
      <c r="A15" s="211"/>
      <c r="B15" s="214"/>
      <c r="C15" s="223"/>
      <c r="D15" s="101" t="s">
        <v>233</v>
      </c>
      <c r="E15" s="214"/>
      <c r="F15" s="214"/>
      <c r="G15" s="102">
        <v>500000</v>
      </c>
      <c r="H15" s="102"/>
      <c r="I15" s="100"/>
      <c r="J15" s="4" t="s">
        <v>605</v>
      </c>
    </row>
    <row r="16" spans="1:10" ht="16.899999999999999" customHeight="1" x14ac:dyDescent="0.25">
      <c r="A16" s="209">
        <v>4</v>
      </c>
      <c r="B16" s="212">
        <v>172</v>
      </c>
      <c r="C16" s="221">
        <v>45720</v>
      </c>
      <c r="D16" s="100" t="s">
        <v>231</v>
      </c>
      <c r="E16" s="212" t="s">
        <v>236</v>
      </c>
      <c r="F16" s="212" t="s">
        <v>235</v>
      </c>
      <c r="G16" s="102">
        <v>2000000</v>
      </c>
      <c r="H16" s="102"/>
      <c r="I16" s="100"/>
      <c r="J16" s="4" t="s">
        <v>605</v>
      </c>
    </row>
    <row r="17" spans="1:10" ht="16.899999999999999" customHeight="1" x14ac:dyDescent="0.25">
      <c r="A17" s="210"/>
      <c r="B17" s="213"/>
      <c r="C17" s="222"/>
      <c r="D17" s="100" t="s">
        <v>232</v>
      </c>
      <c r="E17" s="213"/>
      <c r="F17" s="213"/>
      <c r="G17" s="102">
        <v>3000000</v>
      </c>
      <c r="H17" s="102"/>
      <c r="I17" s="100"/>
      <c r="J17" s="4" t="s">
        <v>605</v>
      </c>
    </row>
    <row r="18" spans="1:10" ht="16.899999999999999" customHeight="1" x14ac:dyDescent="0.25">
      <c r="A18" s="211"/>
      <c r="B18" s="214"/>
      <c r="C18" s="223"/>
      <c r="D18" s="101" t="s">
        <v>233</v>
      </c>
      <c r="E18" s="214"/>
      <c r="F18" s="214"/>
      <c r="G18" s="102">
        <v>500000</v>
      </c>
      <c r="H18" s="102"/>
      <c r="I18" s="100"/>
      <c r="J18" s="4" t="s">
        <v>605</v>
      </c>
    </row>
    <row r="19" spans="1:10" ht="25.9" customHeight="1" x14ac:dyDescent="0.25">
      <c r="A19" s="209"/>
      <c r="B19" s="209">
        <v>373</v>
      </c>
      <c r="C19" s="215">
        <v>45791</v>
      </c>
      <c r="D19" s="100" t="s">
        <v>373</v>
      </c>
      <c r="E19" s="100" t="s">
        <v>374</v>
      </c>
      <c r="F19" s="212" t="s">
        <v>375</v>
      </c>
      <c r="G19" s="102">
        <v>10000000</v>
      </c>
      <c r="H19" s="102"/>
      <c r="I19" s="100"/>
    </row>
    <row r="20" spans="1:10" ht="25.9" customHeight="1" x14ac:dyDescent="0.25">
      <c r="A20" s="210"/>
      <c r="B20" s="210"/>
      <c r="C20" s="216"/>
      <c r="D20" s="100" t="s">
        <v>361</v>
      </c>
      <c r="E20" s="64" t="s">
        <v>362</v>
      </c>
      <c r="F20" s="213"/>
      <c r="G20" s="102"/>
      <c r="H20" s="102">
        <v>3</v>
      </c>
      <c r="I20" s="100"/>
    </row>
    <row r="21" spans="1:10" ht="25.9" customHeight="1" x14ac:dyDescent="0.25">
      <c r="A21" s="211"/>
      <c r="B21" s="211"/>
      <c r="C21" s="217"/>
      <c r="D21" s="100" t="s">
        <v>376</v>
      </c>
      <c r="E21" s="100" t="s">
        <v>377</v>
      </c>
      <c r="F21" s="214"/>
      <c r="G21" s="102">
        <v>5000000</v>
      </c>
      <c r="H21" s="102"/>
      <c r="I21" s="100"/>
    </row>
    <row r="22" spans="1:10" ht="31.15" customHeight="1" x14ac:dyDescent="0.25">
      <c r="A22" s="100">
        <v>1</v>
      </c>
      <c r="B22" s="209">
        <v>448</v>
      </c>
      <c r="C22" s="215">
        <v>45815</v>
      </c>
      <c r="D22" s="100" t="s">
        <v>592</v>
      </c>
      <c r="E22" s="100" t="s">
        <v>592</v>
      </c>
      <c r="F22" s="212" t="s">
        <v>593</v>
      </c>
      <c r="G22" s="102">
        <v>1000000</v>
      </c>
      <c r="H22" s="102"/>
      <c r="I22" s="100"/>
    </row>
    <row r="23" spans="1:10" ht="31.15" customHeight="1" x14ac:dyDescent="0.25">
      <c r="A23" s="16">
        <v>2</v>
      </c>
      <c r="B23" s="211"/>
      <c r="C23" s="217"/>
      <c r="D23" s="100" t="s">
        <v>378</v>
      </c>
      <c r="E23" s="100" t="s">
        <v>459</v>
      </c>
      <c r="F23" s="214"/>
      <c r="G23" s="102">
        <v>500000</v>
      </c>
      <c r="H23" s="102">
        <v>5</v>
      </c>
      <c r="I23" s="100"/>
    </row>
    <row r="24" spans="1:10" ht="16.899999999999999" customHeight="1" x14ac:dyDescent="0.25">
      <c r="A24" s="16">
        <v>3</v>
      </c>
      <c r="B24" s="209">
        <v>537</v>
      </c>
      <c r="C24" s="215">
        <v>45831</v>
      </c>
      <c r="D24" s="100" t="s">
        <v>594</v>
      </c>
      <c r="E24" s="100" t="s">
        <v>594</v>
      </c>
      <c r="F24" s="212" t="s">
        <v>599</v>
      </c>
      <c r="G24" s="102">
        <v>1000000</v>
      </c>
      <c r="H24" s="102"/>
      <c r="I24" s="100"/>
    </row>
    <row r="25" spans="1:10" ht="16.899999999999999" customHeight="1" x14ac:dyDescent="0.25">
      <c r="A25" s="100">
        <v>4</v>
      </c>
      <c r="B25" s="210"/>
      <c r="C25" s="216"/>
      <c r="D25" s="100" t="s">
        <v>33</v>
      </c>
      <c r="E25" s="100" t="s">
        <v>598</v>
      </c>
      <c r="F25" s="213"/>
      <c r="G25" s="102">
        <v>300000</v>
      </c>
      <c r="H25" s="102">
        <v>3</v>
      </c>
      <c r="I25" s="100"/>
    </row>
    <row r="26" spans="1:10" ht="16.899999999999999" customHeight="1" x14ac:dyDescent="0.25">
      <c r="A26" s="16">
        <v>5</v>
      </c>
      <c r="B26" s="210"/>
      <c r="C26" s="216"/>
      <c r="D26" s="101" t="s">
        <v>595</v>
      </c>
      <c r="E26" s="100" t="s">
        <v>597</v>
      </c>
      <c r="F26" s="213"/>
      <c r="G26" s="102">
        <v>300000</v>
      </c>
      <c r="H26" s="102">
        <v>3</v>
      </c>
      <c r="I26" s="100"/>
    </row>
    <row r="27" spans="1:10" ht="16.899999999999999" customHeight="1" x14ac:dyDescent="0.25">
      <c r="A27" s="16">
        <v>6</v>
      </c>
      <c r="B27" s="211"/>
      <c r="C27" s="217"/>
      <c r="D27" s="100" t="s">
        <v>596</v>
      </c>
      <c r="E27" s="100" t="s">
        <v>597</v>
      </c>
      <c r="F27" s="214"/>
      <c r="G27" s="102">
        <v>300000</v>
      </c>
      <c r="H27" s="102">
        <v>3</v>
      </c>
      <c r="I27" s="100"/>
    </row>
    <row r="28" spans="1:10" ht="63" customHeight="1" x14ac:dyDescent="0.25">
      <c r="A28" s="100">
        <v>17</v>
      </c>
      <c r="B28" s="100">
        <v>755</v>
      </c>
      <c r="C28" s="103">
        <v>45896</v>
      </c>
      <c r="D28" s="100" t="s">
        <v>826</v>
      </c>
      <c r="E28" s="100" t="s">
        <v>827</v>
      </c>
      <c r="F28" s="101" t="s">
        <v>828</v>
      </c>
      <c r="G28" s="102">
        <v>5000000</v>
      </c>
      <c r="H28" s="102"/>
      <c r="I28" s="100"/>
    </row>
    <row r="29" spans="1:10" ht="16.899999999999999" customHeight="1" x14ac:dyDescent="0.25">
      <c r="A29" s="16">
        <v>18</v>
      </c>
      <c r="B29" s="100">
        <v>756</v>
      </c>
      <c r="C29" s="103">
        <v>45896</v>
      </c>
      <c r="D29" s="101" t="s">
        <v>829</v>
      </c>
      <c r="E29" s="100" t="s">
        <v>831</v>
      </c>
      <c r="F29" s="212" t="s">
        <v>848</v>
      </c>
      <c r="G29" s="102">
        <v>300000</v>
      </c>
      <c r="H29" s="102">
        <v>5</v>
      </c>
      <c r="I29" s="100"/>
    </row>
    <row r="30" spans="1:10" ht="16.899999999999999" customHeight="1" x14ac:dyDescent="0.25">
      <c r="A30" s="16">
        <v>19</v>
      </c>
      <c r="B30" s="100"/>
      <c r="C30" s="103"/>
      <c r="D30" s="100" t="s">
        <v>830</v>
      </c>
      <c r="E30" s="100" t="s">
        <v>832</v>
      </c>
      <c r="F30" s="213"/>
      <c r="G30" s="102">
        <v>300000</v>
      </c>
      <c r="H30" s="102">
        <v>5</v>
      </c>
      <c r="I30" s="100"/>
    </row>
    <row r="31" spans="1:10" ht="16.899999999999999" customHeight="1" x14ac:dyDescent="0.25">
      <c r="A31" s="100">
        <v>20</v>
      </c>
      <c r="B31" s="100"/>
      <c r="C31" s="103"/>
      <c r="D31" s="100" t="s">
        <v>833</v>
      </c>
      <c r="E31" s="100" t="s">
        <v>834</v>
      </c>
      <c r="F31" s="213"/>
      <c r="G31" s="102">
        <v>300000</v>
      </c>
      <c r="H31" s="102">
        <v>5</v>
      </c>
      <c r="I31" s="100"/>
    </row>
    <row r="32" spans="1:10" ht="16.899999999999999" customHeight="1" x14ac:dyDescent="0.25">
      <c r="A32" s="100">
        <v>21</v>
      </c>
      <c r="B32" s="100"/>
      <c r="C32" s="103"/>
      <c r="D32" s="100" t="s">
        <v>486</v>
      </c>
      <c r="E32" s="100" t="s">
        <v>843</v>
      </c>
      <c r="F32" s="213"/>
      <c r="G32" s="102">
        <v>300000</v>
      </c>
      <c r="H32" s="102">
        <v>5</v>
      </c>
      <c r="I32" s="100"/>
    </row>
    <row r="33" spans="1:9" ht="16.899999999999999" customHeight="1" x14ac:dyDescent="0.25">
      <c r="A33" s="100">
        <v>22</v>
      </c>
      <c r="B33" s="100"/>
      <c r="C33" s="103"/>
      <c r="D33" s="100" t="s">
        <v>835</v>
      </c>
      <c r="E33" s="100" t="s">
        <v>844</v>
      </c>
      <c r="F33" s="213"/>
      <c r="G33" s="102">
        <v>300000</v>
      </c>
      <c r="H33" s="102">
        <v>5</v>
      </c>
      <c r="I33" s="100"/>
    </row>
    <row r="34" spans="1:9" ht="16.899999999999999" customHeight="1" x14ac:dyDescent="0.25">
      <c r="A34" s="100">
        <v>23</v>
      </c>
      <c r="B34" s="100"/>
      <c r="C34" s="103"/>
      <c r="D34" s="100" t="s">
        <v>836</v>
      </c>
      <c r="E34" s="100" t="s">
        <v>845</v>
      </c>
      <c r="F34" s="213"/>
      <c r="G34" s="102">
        <v>300000</v>
      </c>
      <c r="H34" s="102">
        <v>5</v>
      </c>
      <c r="I34" s="100"/>
    </row>
    <row r="35" spans="1:9" ht="16.899999999999999" customHeight="1" x14ac:dyDescent="0.25">
      <c r="A35" s="100">
        <v>24</v>
      </c>
      <c r="B35" s="100"/>
      <c r="C35" s="103"/>
      <c r="D35" s="100" t="s">
        <v>837</v>
      </c>
      <c r="E35" s="100" t="s">
        <v>845</v>
      </c>
      <c r="F35" s="213"/>
      <c r="G35" s="102">
        <v>300000</v>
      </c>
      <c r="H35" s="102">
        <v>5</v>
      </c>
      <c r="I35" s="100"/>
    </row>
    <row r="36" spans="1:9" ht="16.899999999999999" customHeight="1" x14ac:dyDescent="0.25">
      <c r="A36" s="100">
        <v>25</v>
      </c>
      <c r="B36" s="100"/>
      <c r="C36" s="103"/>
      <c r="D36" s="100" t="s">
        <v>838</v>
      </c>
      <c r="E36" s="100" t="s">
        <v>846</v>
      </c>
      <c r="F36" s="213"/>
      <c r="G36" s="102">
        <v>300000</v>
      </c>
      <c r="H36" s="102">
        <v>5</v>
      </c>
      <c r="I36" s="100"/>
    </row>
    <row r="37" spans="1:9" ht="16.899999999999999" customHeight="1" x14ac:dyDescent="0.25">
      <c r="A37" s="100">
        <v>26</v>
      </c>
      <c r="B37" s="100"/>
      <c r="C37" s="103"/>
      <c r="D37" s="100" t="s">
        <v>839</v>
      </c>
      <c r="E37" s="100" t="s">
        <v>847</v>
      </c>
      <c r="F37" s="213"/>
      <c r="G37" s="102">
        <v>300000</v>
      </c>
      <c r="H37" s="102">
        <v>5</v>
      </c>
      <c r="I37" s="100"/>
    </row>
    <row r="38" spans="1:9" ht="16.899999999999999" customHeight="1" x14ac:dyDescent="0.25">
      <c r="A38" s="100">
        <v>27</v>
      </c>
      <c r="B38" s="100"/>
      <c r="C38" s="103"/>
      <c r="D38" s="100" t="s">
        <v>840</v>
      </c>
      <c r="E38" s="100" t="s">
        <v>847</v>
      </c>
      <c r="F38" s="213"/>
      <c r="G38" s="102">
        <v>300000</v>
      </c>
      <c r="H38" s="102">
        <v>5</v>
      </c>
      <c r="I38" s="100"/>
    </row>
    <row r="39" spans="1:9" ht="16.899999999999999" customHeight="1" x14ac:dyDescent="0.25">
      <c r="A39" s="100">
        <v>28</v>
      </c>
      <c r="B39" s="100"/>
      <c r="C39" s="103"/>
      <c r="D39" s="100" t="s">
        <v>841</v>
      </c>
      <c r="E39" s="100" t="s">
        <v>847</v>
      </c>
      <c r="F39" s="213"/>
      <c r="G39" s="102">
        <v>300000</v>
      </c>
      <c r="H39" s="102">
        <v>5</v>
      </c>
      <c r="I39" s="100"/>
    </row>
    <row r="40" spans="1:9" ht="16.899999999999999" customHeight="1" x14ac:dyDescent="0.25">
      <c r="A40" s="100">
        <v>29</v>
      </c>
      <c r="B40" s="100"/>
      <c r="C40" s="103"/>
      <c r="D40" s="100" t="s">
        <v>842</v>
      </c>
      <c r="E40" s="100" t="s">
        <v>847</v>
      </c>
      <c r="F40" s="214"/>
      <c r="G40" s="102">
        <v>300000</v>
      </c>
      <c r="H40" s="102">
        <v>5</v>
      </c>
      <c r="I40" s="100"/>
    </row>
    <row r="41" spans="1:9" ht="49.5" customHeight="1" x14ac:dyDescent="0.25">
      <c r="A41" s="100">
        <v>30</v>
      </c>
      <c r="B41" s="100"/>
      <c r="C41" s="103">
        <v>45922</v>
      </c>
      <c r="D41" s="100" t="s">
        <v>918</v>
      </c>
      <c r="E41" s="100" t="s">
        <v>919</v>
      </c>
      <c r="F41" s="101" t="s">
        <v>920</v>
      </c>
      <c r="G41" s="102">
        <v>2000000</v>
      </c>
      <c r="H41" s="102"/>
      <c r="I41" s="100"/>
    </row>
    <row r="42" spans="1:9" ht="61.5" customHeight="1" x14ac:dyDescent="0.25">
      <c r="A42" s="100">
        <v>31</v>
      </c>
      <c r="B42" s="100"/>
      <c r="C42" s="103">
        <v>45939</v>
      </c>
      <c r="D42" s="100"/>
      <c r="E42" s="100" t="s">
        <v>919</v>
      </c>
      <c r="F42" s="107" t="s">
        <v>946</v>
      </c>
      <c r="G42" s="102">
        <v>30000000</v>
      </c>
      <c r="H42" s="102"/>
      <c r="I42" s="100"/>
    </row>
    <row r="43" spans="1:9" ht="59.25" customHeight="1" x14ac:dyDescent="0.25">
      <c r="A43" s="100">
        <v>32</v>
      </c>
      <c r="B43" s="100"/>
      <c r="C43" s="103">
        <v>45939</v>
      </c>
      <c r="D43" s="100"/>
      <c r="E43" s="100" t="s">
        <v>943</v>
      </c>
      <c r="F43" s="152" t="s">
        <v>944</v>
      </c>
      <c r="G43" s="102">
        <v>30000000</v>
      </c>
      <c r="H43" s="102"/>
      <c r="I43" s="100"/>
    </row>
    <row r="44" spans="1:9" ht="85.5" customHeight="1" x14ac:dyDescent="0.25">
      <c r="A44" s="100">
        <v>33</v>
      </c>
      <c r="B44" s="100"/>
      <c r="C44" s="103">
        <v>45939</v>
      </c>
      <c r="D44" s="100" t="s">
        <v>918</v>
      </c>
      <c r="E44" s="100" t="s">
        <v>943</v>
      </c>
      <c r="F44" s="27" t="s">
        <v>945</v>
      </c>
      <c r="G44" s="102">
        <v>15000000</v>
      </c>
      <c r="H44" s="102"/>
      <c r="I44" s="100"/>
    </row>
    <row r="45" spans="1:9" ht="69" customHeight="1" x14ac:dyDescent="0.25">
      <c r="A45" s="100">
        <v>34</v>
      </c>
      <c r="B45" s="100"/>
      <c r="C45" s="103">
        <v>45939</v>
      </c>
      <c r="D45" s="100" t="s">
        <v>947</v>
      </c>
      <c r="E45" s="100" t="s">
        <v>948</v>
      </c>
      <c r="F45" s="153" t="s">
        <v>949</v>
      </c>
      <c r="G45" s="102">
        <v>5000000</v>
      </c>
      <c r="H45" s="102"/>
      <c r="I45" s="100"/>
    </row>
    <row r="46" spans="1:9" ht="91.5" customHeight="1" x14ac:dyDescent="0.25">
      <c r="A46" s="100">
        <v>35</v>
      </c>
      <c r="B46" s="100"/>
      <c r="C46" s="103">
        <v>45939</v>
      </c>
      <c r="D46" s="100" t="s">
        <v>950</v>
      </c>
      <c r="E46" s="100" t="s">
        <v>951</v>
      </c>
      <c r="F46" s="154" t="s">
        <v>944</v>
      </c>
      <c r="G46" s="102">
        <v>5000000</v>
      </c>
      <c r="H46" s="102"/>
      <c r="I46" s="100"/>
    </row>
    <row r="47" spans="1:9" ht="57" customHeight="1" x14ac:dyDescent="0.25">
      <c r="A47" s="100">
        <v>36</v>
      </c>
      <c r="B47" s="100"/>
      <c r="C47" s="103">
        <v>45939</v>
      </c>
      <c r="D47" s="100" t="s">
        <v>952</v>
      </c>
      <c r="E47" s="100" t="s">
        <v>953</v>
      </c>
      <c r="F47" s="148" t="s">
        <v>954</v>
      </c>
      <c r="G47" s="102">
        <v>5000000</v>
      </c>
      <c r="H47" s="102"/>
      <c r="I47" s="100"/>
    </row>
    <row r="48" spans="1:9" ht="49.5" customHeight="1" x14ac:dyDescent="0.25">
      <c r="A48" s="100">
        <v>37</v>
      </c>
      <c r="B48" s="100"/>
      <c r="C48" s="103">
        <v>45939</v>
      </c>
      <c r="D48" s="100" t="s">
        <v>955</v>
      </c>
      <c r="E48" s="100" t="s">
        <v>956</v>
      </c>
      <c r="F48" s="154" t="s">
        <v>957</v>
      </c>
      <c r="G48" s="102">
        <v>5000000</v>
      </c>
      <c r="H48" s="102"/>
      <c r="I48" s="100"/>
    </row>
    <row r="49" spans="1:9" ht="66" customHeight="1" x14ac:dyDescent="0.25">
      <c r="A49" s="100">
        <v>38</v>
      </c>
      <c r="B49" s="100"/>
      <c r="C49" s="103">
        <v>45940</v>
      </c>
      <c r="D49" s="100" t="s">
        <v>958</v>
      </c>
      <c r="E49" s="100" t="s">
        <v>959</v>
      </c>
      <c r="F49" s="155" t="s">
        <v>960</v>
      </c>
      <c r="G49" s="102">
        <v>15000000</v>
      </c>
      <c r="H49" s="102"/>
      <c r="I49" s="100"/>
    </row>
    <row r="50" spans="1:9" ht="51" customHeight="1" x14ac:dyDescent="0.25">
      <c r="A50" s="100">
        <v>39</v>
      </c>
      <c r="B50" s="100"/>
      <c r="C50" s="103">
        <v>45940</v>
      </c>
      <c r="D50" s="100" t="s">
        <v>961</v>
      </c>
      <c r="E50" s="100" t="s">
        <v>959</v>
      </c>
      <c r="F50" s="155" t="s">
        <v>962</v>
      </c>
      <c r="G50" s="102">
        <v>10000000</v>
      </c>
      <c r="H50" s="102"/>
      <c r="I50" s="100"/>
    </row>
    <row r="51" spans="1:9" ht="33" customHeight="1" x14ac:dyDescent="0.25">
      <c r="A51" s="100"/>
      <c r="B51" s="100"/>
      <c r="C51" s="103">
        <v>45940</v>
      </c>
      <c r="D51" s="100" t="s">
        <v>150</v>
      </c>
      <c r="E51" s="100" t="s">
        <v>959</v>
      </c>
      <c r="F51" s="155" t="s">
        <v>963</v>
      </c>
      <c r="G51" s="102">
        <v>10000000</v>
      </c>
      <c r="H51" s="102"/>
      <c r="I51" s="100"/>
    </row>
    <row r="52" spans="1:9" ht="34.5" customHeight="1" x14ac:dyDescent="0.25">
      <c r="A52" s="100"/>
      <c r="B52" s="100"/>
      <c r="C52" s="103">
        <v>45940</v>
      </c>
      <c r="D52" s="100" t="s">
        <v>964</v>
      </c>
      <c r="E52" s="100" t="s">
        <v>965</v>
      </c>
      <c r="F52" s="155" t="s">
        <v>966</v>
      </c>
      <c r="G52" s="102">
        <v>5000000</v>
      </c>
      <c r="H52" s="102"/>
      <c r="I52" s="100"/>
    </row>
    <row r="53" spans="1:9" ht="33.75" customHeight="1" x14ac:dyDescent="0.25">
      <c r="A53" s="100"/>
      <c r="B53" s="100"/>
      <c r="C53" s="103">
        <v>45940</v>
      </c>
      <c r="D53" s="100" t="s">
        <v>967</v>
      </c>
      <c r="E53" s="100" t="s">
        <v>968</v>
      </c>
      <c r="F53" s="155" t="s">
        <v>966</v>
      </c>
      <c r="G53" s="102">
        <v>5000000</v>
      </c>
      <c r="H53" s="102"/>
      <c r="I53" s="100"/>
    </row>
    <row r="54" spans="1:9" ht="16.899999999999999" customHeight="1" x14ac:dyDescent="0.25">
      <c r="A54" s="100"/>
      <c r="B54" s="100"/>
      <c r="C54" s="103">
        <v>45966</v>
      </c>
      <c r="D54" s="100"/>
      <c r="E54" s="100" t="s">
        <v>1085</v>
      </c>
      <c r="F54" s="212" t="s">
        <v>1084</v>
      </c>
      <c r="G54" s="102">
        <v>5000000</v>
      </c>
      <c r="H54" s="102"/>
      <c r="I54" s="100"/>
    </row>
    <row r="55" spans="1:9" ht="16.899999999999999" customHeight="1" x14ac:dyDescent="0.25">
      <c r="A55" s="100"/>
      <c r="B55" s="100"/>
      <c r="C55" s="103"/>
      <c r="D55" s="100" t="s">
        <v>1019</v>
      </c>
      <c r="E55" s="100" t="s">
        <v>1086</v>
      </c>
      <c r="F55" s="213"/>
      <c r="G55" s="102">
        <v>10000000</v>
      </c>
      <c r="H55" s="102"/>
      <c r="I55" s="100"/>
    </row>
    <row r="56" spans="1:9" ht="16.899999999999999" customHeight="1" x14ac:dyDescent="0.25">
      <c r="A56" s="100"/>
      <c r="B56" s="100"/>
      <c r="C56" s="103"/>
      <c r="D56" s="100" t="s">
        <v>1087</v>
      </c>
      <c r="E56" s="100" t="s">
        <v>1088</v>
      </c>
      <c r="F56" s="213"/>
      <c r="G56" s="102">
        <v>10000000</v>
      </c>
      <c r="H56" s="102"/>
      <c r="I56" s="100"/>
    </row>
    <row r="57" spans="1:9" ht="16.899999999999999" customHeight="1" x14ac:dyDescent="0.25">
      <c r="A57" s="100"/>
      <c r="B57" s="100"/>
      <c r="C57" s="103"/>
      <c r="D57" s="100" t="s">
        <v>364</v>
      </c>
      <c r="E57" s="100" t="s">
        <v>1089</v>
      </c>
      <c r="F57" s="213"/>
      <c r="G57" s="102">
        <v>3000000</v>
      </c>
      <c r="H57" s="102"/>
      <c r="I57" s="100"/>
    </row>
    <row r="58" spans="1:9" ht="16.899999999999999" customHeight="1" x14ac:dyDescent="0.25">
      <c r="A58" s="100"/>
      <c r="B58" s="100"/>
      <c r="C58" s="103"/>
      <c r="D58" s="100" t="s">
        <v>947</v>
      </c>
      <c r="E58" s="100" t="s">
        <v>1090</v>
      </c>
      <c r="F58" s="213"/>
      <c r="G58" s="102">
        <v>3000000</v>
      </c>
      <c r="H58" s="102"/>
      <c r="I58" s="100"/>
    </row>
    <row r="59" spans="1:9" ht="16.899999999999999" customHeight="1" x14ac:dyDescent="0.25">
      <c r="A59" s="100"/>
      <c r="B59" s="100"/>
      <c r="C59" s="103"/>
      <c r="D59" s="100" t="s">
        <v>1091</v>
      </c>
      <c r="E59" s="100" t="s">
        <v>1092</v>
      </c>
      <c r="F59" s="213"/>
      <c r="G59" s="102">
        <v>3000000</v>
      </c>
      <c r="H59" s="102"/>
      <c r="I59" s="100"/>
    </row>
    <row r="60" spans="1:9" ht="16.899999999999999" customHeight="1" x14ac:dyDescent="0.25">
      <c r="A60" s="100"/>
      <c r="B60" s="100"/>
      <c r="C60" s="103"/>
      <c r="D60" s="100" t="s">
        <v>950</v>
      </c>
      <c r="E60" s="100" t="s">
        <v>1092</v>
      </c>
      <c r="F60" s="213"/>
      <c r="G60" s="102">
        <v>4000000</v>
      </c>
      <c r="H60" s="102"/>
      <c r="I60" s="100"/>
    </row>
    <row r="61" spans="1:9" ht="16.899999999999999" customHeight="1" x14ac:dyDescent="0.25">
      <c r="A61" s="100"/>
      <c r="B61" s="100"/>
      <c r="C61" s="103"/>
      <c r="D61" s="100" t="s">
        <v>1093</v>
      </c>
      <c r="E61" s="100" t="s">
        <v>1094</v>
      </c>
      <c r="F61" s="213"/>
      <c r="G61" s="102">
        <v>8000000</v>
      </c>
      <c r="H61" s="102"/>
      <c r="I61" s="100"/>
    </row>
    <row r="62" spans="1:9" ht="16.899999999999999" customHeight="1" x14ac:dyDescent="0.25">
      <c r="A62" s="100"/>
      <c r="B62" s="100"/>
      <c r="C62" s="103"/>
      <c r="D62" s="100" t="s">
        <v>1095</v>
      </c>
      <c r="E62" s="100" t="s">
        <v>1096</v>
      </c>
      <c r="F62" s="213"/>
      <c r="G62" s="102">
        <v>3000000</v>
      </c>
      <c r="H62" s="102"/>
      <c r="I62" s="100"/>
    </row>
    <row r="63" spans="1:9" ht="16.899999999999999" customHeight="1" x14ac:dyDescent="0.25">
      <c r="A63" s="100"/>
      <c r="B63" s="100"/>
      <c r="C63" s="103"/>
      <c r="D63" s="100" t="s">
        <v>1097</v>
      </c>
      <c r="E63" s="100" t="s">
        <v>1098</v>
      </c>
      <c r="F63" s="213"/>
      <c r="G63" s="102">
        <v>2000000</v>
      </c>
      <c r="H63" s="102"/>
      <c r="I63" s="100"/>
    </row>
    <row r="64" spans="1:9" ht="16.899999999999999" customHeight="1" x14ac:dyDescent="0.25">
      <c r="A64" s="100"/>
      <c r="B64" s="100"/>
      <c r="C64" s="103"/>
      <c r="D64" s="100" t="s">
        <v>64</v>
      </c>
      <c r="E64" s="100" t="s">
        <v>1099</v>
      </c>
      <c r="F64" s="213"/>
      <c r="G64" s="102">
        <v>3000000</v>
      </c>
      <c r="H64" s="102"/>
      <c r="I64" s="100"/>
    </row>
    <row r="65" spans="1:9" ht="16.899999999999999" customHeight="1" x14ac:dyDescent="0.25">
      <c r="A65" s="100"/>
      <c r="B65" s="100"/>
      <c r="C65" s="103"/>
      <c r="D65" s="100" t="s">
        <v>1100</v>
      </c>
      <c r="E65" s="100" t="s">
        <v>1101</v>
      </c>
      <c r="F65" s="213"/>
      <c r="G65" s="102">
        <v>1500000</v>
      </c>
      <c r="H65" s="102"/>
      <c r="I65" s="100"/>
    </row>
    <row r="66" spans="1:9" ht="16.899999999999999" customHeight="1" x14ac:dyDescent="0.25">
      <c r="A66" s="100"/>
      <c r="B66" s="100"/>
      <c r="C66" s="103">
        <v>45967</v>
      </c>
      <c r="D66" s="100" t="s">
        <v>306</v>
      </c>
      <c r="E66" s="100" t="s">
        <v>1102</v>
      </c>
      <c r="F66" s="213"/>
      <c r="G66" s="102">
        <v>2000000</v>
      </c>
      <c r="H66" s="102"/>
      <c r="I66" s="100"/>
    </row>
    <row r="67" spans="1:9" ht="16.899999999999999" customHeight="1" x14ac:dyDescent="0.25">
      <c r="A67" s="100"/>
      <c r="B67" s="100"/>
      <c r="C67" s="103"/>
      <c r="D67" s="100" t="s">
        <v>1103</v>
      </c>
      <c r="E67" s="100" t="s">
        <v>1104</v>
      </c>
      <c r="F67" s="214"/>
      <c r="G67" s="102">
        <v>2000000</v>
      </c>
      <c r="H67" s="102"/>
      <c r="I67" s="100"/>
    </row>
    <row r="68" spans="1:9" ht="62.25" customHeight="1" x14ac:dyDescent="0.25">
      <c r="A68" s="100"/>
      <c r="B68" s="100"/>
      <c r="C68" s="103">
        <v>45992</v>
      </c>
      <c r="D68" s="100" t="s">
        <v>1305</v>
      </c>
      <c r="E68" s="100" t="s">
        <v>1306</v>
      </c>
      <c r="F68" s="163" t="s">
        <v>1307</v>
      </c>
      <c r="G68" s="102">
        <v>500000</v>
      </c>
      <c r="H68" s="102"/>
      <c r="I68" s="100"/>
    </row>
    <row r="69" spans="1:9" ht="16.899999999999999" customHeight="1" x14ac:dyDescent="0.25">
      <c r="A69" s="100"/>
      <c r="B69" s="100"/>
      <c r="C69" s="103">
        <v>45995</v>
      </c>
      <c r="D69" s="100" t="s">
        <v>836</v>
      </c>
      <c r="E69" s="100" t="s">
        <v>1273</v>
      </c>
      <c r="F69" s="212" t="s">
        <v>1304</v>
      </c>
      <c r="G69" s="102">
        <v>500000</v>
      </c>
      <c r="H69" s="102"/>
      <c r="I69" s="100"/>
    </row>
    <row r="70" spans="1:9" ht="16.899999999999999" customHeight="1" x14ac:dyDescent="0.25">
      <c r="A70" s="100"/>
      <c r="B70" s="100"/>
      <c r="C70" s="103"/>
      <c r="D70" s="100" t="s">
        <v>1247</v>
      </c>
      <c r="E70" s="100" t="s">
        <v>1274</v>
      </c>
      <c r="F70" s="213"/>
      <c r="G70" s="102">
        <v>500000</v>
      </c>
      <c r="H70" s="102"/>
      <c r="I70" s="100"/>
    </row>
    <row r="71" spans="1:9" ht="16.899999999999999" customHeight="1" x14ac:dyDescent="0.25">
      <c r="A71" s="100"/>
      <c r="B71" s="100"/>
      <c r="C71" s="103"/>
      <c r="D71" s="100" t="s">
        <v>533</v>
      </c>
      <c r="E71" s="100" t="s">
        <v>1275</v>
      </c>
      <c r="F71" s="213"/>
      <c r="G71" s="102">
        <v>500000</v>
      </c>
      <c r="H71" s="102"/>
      <c r="I71" s="100"/>
    </row>
    <row r="72" spans="1:9" ht="16.899999999999999" customHeight="1" x14ac:dyDescent="0.25">
      <c r="A72" s="100"/>
      <c r="B72" s="100"/>
      <c r="C72" s="103"/>
      <c r="D72" s="100" t="s">
        <v>1248</v>
      </c>
      <c r="E72" s="100" t="s">
        <v>1284</v>
      </c>
      <c r="F72" s="213"/>
      <c r="G72" s="102">
        <v>500000</v>
      </c>
      <c r="H72" s="102"/>
      <c r="I72" s="100"/>
    </row>
    <row r="73" spans="1:9" ht="16.899999999999999" customHeight="1" x14ac:dyDescent="0.25">
      <c r="A73" s="100"/>
      <c r="B73" s="100"/>
      <c r="C73" s="103"/>
      <c r="D73" s="100" t="s">
        <v>1277</v>
      </c>
      <c r="E73" s="100" t="s">
        <v>1278</v>
      </c>
      <c r="F73" s="213"/>
      <c r="G73" s="102">
        <v>300000</v>
      </c>
      <c r="H73" s="102"/>
      <c r="I73" s="100"/>
    </row>
    <row r="74" spans="1:9" ht="16.899999999999999" customHeight="1" x14ac:dyDescent="0.25">
      <c r="A74" s="100"/>
      <c r="B74" s="100"/>
      <c r="C74" s="103"/>
      <c r="D74" s="100" t="s">
        <v>1249</v>
      </c>
      <c r="E74" s="100" t="s">
        <v>1276</v>
      </c>
      <c r="F74" s="213"/>
      <c r="G74" s="102">
        <v>300000</v>
      </c>
      <c r="H74" s="102"/>
      <c r="I74" s="100"/>
    </row>
    <row r="75" spans="1:9" ht="16.899999999999999" customHeight="1" x14ac:dyDescent="0.25">
      <c r="A75" s="100"/>
      <c r="B75" s="100"/>
      <c r="C75" s="103"/>
      <c r="D75" s="100" t="s">
        <v>1250</v>
      </c>
      <c r="E75" s="100" t="s">
        <v>1278</v>
      </c>
      <c r="F75" s="213"/>
      <c r="G75" s="102">
        <v>300000</v>
      </c>
      <c r="H75" s="102"/>
      <c r="I75" s="100"/>
    </row>
    <row r="76" spans="1:9" ht="16.899999999999999" customHeight="1" x14ac:dyDescent="0.25">
      <c r="A76" s="100"/>
      <c r="B76" s="100"/>
      <c r="C76" s="103"/>
      <c r="D76" s="100" t="s">
        <v>1251</v>
      </c>
      <c r="E76" s="100" t="s">
        <v>1279</v>
      </c>
      <c r="F76" s="213"/>
      <c r="G76" s="102">
        <v>300000</v>
      </c>
      <c r="H76" s="102"/>
      <c r="I76" s="100"/>
    </row>
    <row r="77" spans="1:9" ht="16.899999999999999" customHeight="1" x14ac:dyDescent="0.25">
      <c r="A77" s="100"/>
      <c r="B77" s="100"/>
      <c r="C77" s="103"/>
      <c r="D77" s="100" t="s">
        <v>1252</v>
      </c>
      <c r="E77" s="100" t="s">
        <v>1280</v>
      </c>
      <c r="F77" s="213"/>
      <c r="G77" s="102">
        <v>300000</v>
      </c>
      <c r="H77" s="102"/>
      <c r="I77" s="100"/>
    </row>
    <row r="78" spans="1:9" ht="16.899999999999999" customHeight="1" x14ac:dyDescent="0.25">
      <c r="A78" s="100"/>
      <c r="B78" s="100"/>
      <c r="C78" s="103"/>
      <c r="D78" s="100" t="s">
        <v>282</v>
      </c>
      <c r="E78" s="100" t="s">
        <v>1281</v>
      </c>
      <c r="F78" s="213"/>
      <c r="G78" s="102">
        <v>300000</v>
      </c>
      <c r="H78" s="102"/>
      <c r="I78" s="100"/>
    </row>
    <row r="79" spans="1:9" ht="16.899999999999999" customHeight="1" x14ac:dyDescent="0.25">
      <c r="A79" s="100"/>
      <c r="B79" s="100"/>
      <c r="C79" s="103"/>
      <c r="D79" s="100" t="s">
        <v>33</v>
      </c>
      <c r="E79" s="100" t="s">
        <v>1282</v>
      </c>
      <c r="F79" s="213"/>
      <c r="G79" s="102">
        <v>300000</v>
      </c>
      <c r="H79" s="102"/>
      <c r="I79" s="100"/>
    </row>
    <row r="80" spans="1:9" ht="16.899999999999999" customHeight="1" x14ac:dyDescent="0.25">
      <c r="A80" s="100"/>
      <c r="B80" s="100"/>
      <c r="C80" s="103"/>
      <c r="D80" s="100" t="s">
        <v>376</v>
      </c>
      <c r="E80" s="100" t="s">
        <v>1283</v>
      </c>
      <c r="F80" s="213"/>
      <c r="G80" s="102">
        <v>300000</v>
      </c>
      <c r="H80" s="102"/>
      <c r="I80" s="100"/>
    </row>
    <row r="81" spans="1:9" ht="16.899999999999999" customHeight="1" x14ac:dyDescent="0.25">
      <c r="A81" s="100"/>
      <c r="B81" s="100"/>
      <c r="C81" s="103"/>
      <c r="D81" s="100" t="s">
        <v>1253</v>
      </c>
      <c r="E81" s="100" t="s">
        <v>1284</v>
      </c>
      <c r="F81" s="213"/>
      <c r="G81" s="102">
        <v>300000</v>
      </c>
      <c r="H81" s="102"/>
      <c r="I81" s="100"/>
    </row>
    <row r="82" spans="1:9" ht="16.899999999999999" customHeight="1" x14ac:dyDescent="0.25">
      <c r="A82" s="100"/>
      <c r="B82" s="100"/>
      <c r="C82" s="103"/>
      <c r="D82" s="100" t="s">
        <v>505</v>
      </c>
      <c r="E82" s="100" t="s">
        <v>1285</v>
      </c>
      <c r="F82" s="213"/>
      <c r="G82" s="102">
        <v>300000</v>
      </c>
      <c r="H82" s="102"/>
      <c r="I82" s="100"/>
    </row>
    <row r="83" spans="1:9" ht="16.899999999999999" customHeight="1" x14ac:dyDescent="0.25">
      <c r="A83" s="100"/>
      <c r="B83" s="100"/>
      <c r="C83" s="103"/>
      <c r="D83" s="100" t="s">
        <v>318</v>
      </c>
      <c r="E83" s="100" t="s">
        <v>1286</v>
      </c>
      <c r="F83" s="213"/>
      <c r="G83" s="102">
        <v>300000</v>
      </c>
      <c r="H83" s="102"/>
      <c r="I83" s="100"/>
    </row>
    <row r="84" spans="1:9" ht="16.899999999999999" customHeight="1" x14ac:dyDescent="0.25">
      <c r="A84" s="100"/>
      <c r="B84" s="100"/>
      <c r="C84" s="103"/>
      <c r="D84" s="100" t="s">
        <v>177</v>
      </c>
      <c r="E84" s="100" t="s">
        <v>1287</v>
      </c>
      <c r="F84" s="213"/>
      <c r="G84" s="102">
        <v>300000</v>
      </c>
      <c r="H84" s="102"/>
      <c r="I84" s="100"/>
    </row>
    <row r="85" spans="1:9" ht="16.899999999999999" customHeight="1" x14ac:dyDescent="0.25">
      <c r="A85" s="100"/>
      <c r="B85" s="100"/>
      <c r="C85" s="103"/>
      <c r="D85" s="100" t="s">
        <v>830</v>
      </c>
      <c r="E85" s="100" t="s">
        <v>1279</v>
      </c>
      <c r="F85" s="213"/>
      <c r="G85" s="102">
        <v>300000</v>
      </c>
      <c r="H85" s="102"/>
      <c r="I85" s="100"/>
    </row>
    <row r="86" spans="1:9" ht="16.899999999999999" customHeight="1" x14ac:dyDescent="0.25">
      <c r="A86" s="100"/>
      <c r="B86" s="100"/>
      <c r="C86" s="103"/>
      <c r="D86" s="100" t="s">
        <v>1254</v>
      </c>
      <c r="E86" s="100" t="s">
        <v>1288</v>
      </c>
      <c r="F86" s="213"/>
      <c r="G86" s="102">
        <v>300000</v>
      </c>
      <c r="H86" s="102"/>
      <c r="I86" s="100"/>
    </row>
    <row r="87" spans="1:9" ht="16.899999999999999" customHeight="1" x14ac:dyDescent="0.25">
      <c r="A87" s="100"/>
      <c r="B87" s="100"/>
      <c r="C87" s="103"/>
      <c r="D87" s="100" t="s">
        <v>1255</v>
      </c>
      <c r="E87" s="100" t="s">
        <v>1289</v>
      </c>
      <c r="F87" s="213"/>
      <c r="G87" s="102">
        <v>300000</v>
      </c>
      <c r="H87" s="102"/>
      <c r="I87" s="100"/>
    </row>
    <row r="88" spans="1:9" ht="16.899999999999999" customHeight="1" x14ac:dyDescent="0.25">
      <c r="A88" s="100"/>
      <c r="B88" s="100"/>
      <c r="C88" s="103"/>
      <c r="D88" s="100" t="s">
        <v>701</v>
      </c>
      <c r="E88" s="100" t="s">
        <v>1289</v>
      </c>
      <c r="F88" s="213"/>
      <c r="G88" s="102">
        <v>300000</v>
      </c>
      <c r="H88" s="102"/>
      <c r="I88" s="100"/>
    </row>
    <row r="89" spans="1:9" ht="16.899999999999999" customHeight="1" x14ac:dyDescent="0.25">
      <c r="A89" s="100"/>
      <c r="B89" s="100"/>
      <c r="C89" s="103"/>
      <c r="D89" s="100" t="s">
        <v>1256</v>
      </c>
      <c r="E89" s="100" t="s">
        <v>1289</v>
      </c>
      <c r="F89" s="213"/>
      <c r="G89" s="102">
        <v>300000</v>
      </c>
      <c r="H89" s="102"/>
      <c r="I89" s="100"/>
    </row>
    <row r="90" spans="1:9" ht="16.899999999999999" customHeight="1" x14ac:dyDescent="0.25">
      <c r="A90" s="100"/>
      <c r="B90" s="100"/>
      <c r="C90" s="103"/>
      <c r="D90" s="100" t="s">
        <v>1257</v>
      </c>
      <c r="E90" s="100" t="s">
        <v>1280</v>
      </c>
      <c r="F90" s="213"/>
      <c r="G90" s="102">
        <v>300000</v>
      </c>
      <c r="H90" s="102"/>
      <c r="I90" s="100"/>
    </row>
    <row r="91" spans="1:9" ht="16.899999999999999" customHeight="1" x14ac:dyDescent="0.25">
      <c r="A91" s="100"/>
      <c r="B91" s="100"/>
      <c r="C91" s="103"/>
      <c r="D91" s="100" t="s">
        <v>1258</v>
      </c>
      <c r="E91" s="100" t="s">
        <v>847</v>
      </c>
      <c r="F91" s="213"/>
      <c r="G91" s="102">
        <v>300000</v>
      </c>
      <c r="H91" s="102"/>
      <c r="I91" s="100"/>
    </row>
    <row r="92" spans="1:9" ht="16.899999999999999" customHeight="1" x14ac:dyDescent="0.25">
      <c r="A92" s="100"/>
      <c r="B92" s="100"/>
      <c r="C92" s="103"/>
      <c r="D92" s="100" t="s">
        <v>361</v>
      </c>
      <c r="E92" s="100" t="s">
        <v>1217</v>
      </c>
      <c r="F92" s="213"/>
      <c r="G92" s="102">
        <v>1000000</v>
      </c>
      <c r="H92" s="102"/>
      <c r="I92" s="100"/>
    </row>
    <row r="93" spans="1:9" ht="16.899999999999999" customHeight="1" x14ac:dyDescent="0.25">
      <c r="A93" s="100"/>
      <c r="B93" s="100"/>
      <c r="C93" s="103"/>
      <c r="D93" s="100" t="s">
        <v>1259</v>
      </c>
      <c r="E93" s="100" t="s">
        <v>1290</v>
      </c>
      <c r="F93" s="213"/>
      <c r="G93" s="102">
        <v>1000000</v>
      </c>
      <c r="H93" s="102"/>
      <c r="I93" s="100"/>
    </row>
    <row r="94" spans="1:9" ht="16.899999999999999" customHeight="1" x14ac:dyDescent="0.25">
      <c r="A94" s="100"/>
      <c r="B94" s="100"/>
      <c r="C94" s="103"/>
      <c r="D94" s="100" t="s">
        <v>1019</v>
      </c>
      <c r="E94" s="100" t="s">
        <v>1290</v>
      </c>
      <c r="F94" s="213"/>
      <c r="G94" s="102">
        <v>1000000</v>
      </c>
      <c r="H94" s="102"/>
      <c r="I94" s="100"/>
    </row>
    <row r="95" spans="1:9" ht="16.899999999999999" customHeight="1" x14ac:dyDescent="0.25">
      <c r="A95" s="100"/>
      <c r="B95" s="100"/>
      <c r="C95" s="103"/>
      <c r="D95" s="100" t="s">
        <v>1103</v>
      </c>
      <c r="E95" s="100" t="s">
        <v>1291</v>
      </c>
      <c r="F95" s="213"/>
      <c r="G95" s="102">
        <v>1000000</v>
      </c>
      <c r="H95" s="102"/>
      <c r="I95" s="100"/>
    </row>
    <row r="96" spans="1:9" ht="16.899999999999999" customHeight="1" x14ac:dyDescent="0.25">
      <c r="A96" s="100"/>
      <c r="B96" s="100"/>
      <c r="C96" s="103"/>
      <c r="D96" s="100" t="s">
        <v>829</v>
      </c>
      <c r="E96" s="100" t="s">
        <v>1292</v>
      </c>
      <c r="F96" s="213"/>
      <c r="G96" s="102">
        <v>1000000</v>
      </c>
      <c r="H96" s="102"/>
      <c r="I96" s="100"/>
    </row>
    <row r="97" spans="1:9" ht="16.899999999999999" customHeight="1" x14ac:dyDescent="0.25">
      <c r="A97" s="100"/>
      <c r="B97" s="100"/>
      <c r="C97" s="103"/>
      <c r="D97" s="100" t="s">
        <v>486</v>
      </c>
      <c r="E97" s="100" t="s">
        <v>1293</v>
      </c>
      <c r="F97" s="213"/>
      <c r="G97" s="102">
        <v>1000000</v>
      </c>
      <c r="H97" s="102"/>
      <c r="I97" s="100"/>
    </row>
    <row r="98" spans="1:9" ht="16.899999999999999" customHeight="1" x14ac:dyDescent="0.25">
      <c r="A98" s="100"/>
      <c r="B98" s="100"/>
      <c r="C98" s="103"/>
      <c r="D98" s="100" t="s">
        <v>1074</v>
      </c>
      <c r="E98" s="100" t="s">
        <v>1075</v>
      </c>
      <c r="F98" s="213"/>
      <c r="G98" s="102">
        <v>1000000</v>
      </c>
      <c r="H98" s="102"/>
      <c r="I98" s="100"/>
    </row>
    <row r="99" spans="1:9" ht="16.899999999999999" customHeight="1" x14ac:dyDescent="0.25">
      <c r="A99" s="100"/>
      <c r="B99" s="100"/>
      <c r="C99" s="103"/>
      <c r="D99" s="100" t="s">
        <v>906</v>
      </c>
      <c r="E99" s="100" t="s">
        <v>1141</v>
      </c>
      <c r="F99" s="213"/>
      <c r="G99" s="102">
        <v>1000000</v>
      </c>
      <c r="H99" s="102"/>
      <c r="I99" s="100"/>
    </row>
    <row r="100" spans="1:9" ht="16.899999999999999" customHeight="1" x14ac:dyDescent="0.25">
      <c r="A100" s="100"/>
      <c r="B100" s="100"/>
      <c r="C100" s="103"/>
      <c r="D100" s="100" t="s">
        <v>171</v>
      </c>
      <c r="E100" s="100" t="s">
        <v>176</v>
      </c>
      <c r="F100" s="213"/>
      <c r="G100" s="102">
        <v>1000000</v>
      </c>
      <c r="H100" s="102"/>
      <c r="I100" s="100"/>
    </row>
    <row r="101" spans="1:9" ht="16.899999999999999" customHeight="1" x14ac:dyDescent="0.25">
      <c r="A101" s="100"/>
      <c r="B101" s="100"/>
      <c r="C101" s="103"/>
      <c r="D101" s="100" t="s">
        <v>1260</v>
      </c>
      <c r="E101" s="100" t="s">
        <v>1294</v>
      </c>
      <c r="F101" s="213"/>
      <c r="G101" s="102">
        <v>1000000</v>
      </c>
      <c r="H101" s="102"/>
      <c r="I101" s="100"/>
    </row>
    <row r="102" spans="1:9" ht="16.899999999999999" customHeight="1" x14ac:dyDescent="0.25">
      <c r="A102" s="100"/>
      <c r="B102" s="100"/>
      <c r="C102" s="103"/>
      <c r="D102" s="100" t="s">
        <v>516</v>
      </c>
      <c r="E102" s="100" t="s">
        <v>847</v>
      </c>
      <c r="F102" s="213"/>
      <c r="G102" s="102">
        <v>1000000</v>
      </c>
      <c r="H102" s="102"/>
      <c r="I102" s="100"/>
    </row>
    <row r="103" spans="1:9" ht="16.899999999999999" customHeight="1" x14ac:dyDescent="0.25">
      <c r="A103" s="100"/>
      <c r="B103" s="100"/>
      <c r="C103" s="103"/>
      <c r="D103" s="100" t="s">
        <v>1261</v>
      </c>
      <c r="E103" s="100" t="s">
        <v>847</v>
      </c>
      <c r="F103" s="213"/>
      <c r="G103" s="102">
        <v>1000000</v>
      </c>
      <c r="H103" s="102"/>
      <c r="I103" s="100"/>
    </row>
    <row r="104" spans="1:9" ht="16.899999999999999" customHeight="1" x14ac:dyDescent="0.25">
      <c r="A104" s="100"/>
      <c r="B104" s="100"/>
      <c r="C104" s="103"/>
      <c r="D104" s="100" t="s">
        <v>1262</v>
      </c>
      <c r="E104" s="100" t="s">
        <v>847</v>
      </c>
      <c r="F104" s="213"/>
      <c r="G104" s="102">
        <v>1000000</v>
      </c>
      <c r="H104" s="102"/>
      <c r="I104" s="100"/>
    </row>
    <row r="105" spans="1:9" ht="16.899999999999999" customHeight="1" x14ac:dyDescent="0.25">
      <c r="A105" s="100"/>
      <c r="B105" s="100"/>
      <c r="C105" s="103"/>
      <c r="D105" s="100" t="s">
        <v>318</v>
      </c>
      <c r="E105" s="100" t="s">
        <v>1295</v>
      </c>
      <c r="F105" s="213"/>
      <c r="G105" s="102">
        <v>1000000</v>
      </c>
      <c r="H105" s="102"/>
      <c r="I105" s="100"/>
    </row>
    <row r="106" spans="1:9" ht="16.899999999999999" customHeight="1" x14ac:dyDescent="0.25">
      <c r="A106" s="100"/>
      <c r="B106" s="100"/>
      <c r="C106" s="103"/>
      <c r="D106" s="100" t="s">
        <v>595</v>
      </c>
      <c r="E106" s="100" t="s">
        <v>1296</v>
      </c>
      <c r="F106" s="213"/>
      <c r="G106" s="102">
        <v>1000000</v>
      </c>
      <c r="H106" s="102"/>
      <c r="I106" s="100"/>
    </row>
    <row r="107" spans="1:9" ht="16.899999999999999" customHeight="1" x14ac:dyDescent="0.25">
      <c r="A107" s="100"/>
      <c r="B107" s="100"/>
      <c r="C107" s="103"/>
      <c r="D107" s="100" t="s">
        <v>1263</v>
      </c>
      <c r="E107" s="100" t="s">
        <v>1296</v>
      </c>
      <c r="F107" s="213"/>
      <c r="G107" s="102">
        <v>1000000</v>
      </c>
      <c r="H107" s="102"/>
      <c r="I107" s="100"/>
    </row>
    <row r="108" spans="1:9" ht="16.899999999999999" customHeight="1" x14ac:dyDescent="0.25">
      <c r="A108" s="100"/>
      <c r="B108" s="100"/>
      <c r="C108" s="103"/>
      <c r="D108" s="100" t="s">
        <v>1264</v>
      </c>
      <c r="E108" s="100" t="s">
        <v>1296</v>
      </c>
      <c r="F108" s="213"/>
      <c r="G108" s="102">
        <v>1000000</v>
      </c>
      <c r="H108" s="102"/>
      <c r="I108" s="100"/>
    </row>
    <row r="109" spans="1:9" ht="16.899999999999999" customHeight="1" x14ac:dyDescent="0.25">
      <c r="A109" s="100"/>
      <c r="B109" s="100"/>
      <c r="C109" s="103"/>
      <c r="D109" s="100" t="s">
        <v>1265</v>
      </c>
      <c r="E109" s="100" t="s">
        <v>1296</v>
      </c>
      <c r="F109" s="213"/>
      <c r="G109" s="102">
        <v>1000000</v>
      </c>
      <c r="H109" s="102"/>
      <c r="I109" s="100"/>
    </row>
    <row r="110" spans="1:9" ht="16.899999999999999" customHeight="1" x14ac:dyDescent="0.25">
      <c r="A110" s="100"/>
      <c r="B110" s="100"/>
      <c r="C110" s="103"/>
      <c r="D110" s="100" t="s">
        <v>1266</v>
      </c>
      <c r="E110" s="100" t="s">
        <v>1296</v>
      </c>
      <c r="F110" s="213"/>
      <c r="G110" s="102">
        <v>1000000</v>
      </c>
      <c r="H110" s="102"/>
      <c r="I110" s="100"/>
    </row>
    <row r="111" spans="1:9" ht="16.899999999999999" customHeight="1" x14ac:dyDescent="0.25">
      <c r="A111" s="100"/>
      <c r="B111" s="100"/>
      <c r="C111" s="103"/>
      <c r="D111" s="100" t="s">
        <v>1093</v>
      </c>
      <c r="E111" s="100" t="s">
        <v>1094</v>
      </c>
      <c r="F111" s="213"/>
      <c r="G111" s="102">
        <v>1000000</v>
      </c>
      <c r="H111" s="102"/>
      <c r="I111" s="100"/>
    </row>
    <row r="112" spans="1:9" ht="16.899999999999999" customHeight="1" x14ac:dyDescent="0.25">
      <c r="A112" s="100"/>
      <c r="B112" s="100"/>
      <c r="C112" s="103"/>
      <c r="D112" s="100" t="s">
        <v>1228</v>
      </c>
      <c r="E112" s="100" t="s">
        <v>847</v>
      </c>
      <c r="F112" s="213"/>
      <c r="G112" s="102">
        <v>1000000</v>
      </c>
      <c r="H112" s="102"/>
      <c r="I112" s="100"/>
    </row>
    <row r="113" spans="1:9" ht="16.899999999999999" customHeight="1" x14ac:dyDescent="0.25">
      <c r="A113" s="100"/>
      <c r="B113" s="100"/>
      <c r="C113" s="103"/>
      <c r="D113" s="100" t="s">
        <v>1267</v>
      </c>
      <c r="E113" s="100" t="s">
        <v>847</v>
      </c>
      <c r="F113" s="213"/>
      <c r="G113" s="102">
        <v>1000000</v>
      </c>
      <c r="H113" s="102"/>
      <c r="I113" s="100"/>
    </row>
    <row r="114" spans="1:9" ht="16.899999999999999" customHeight="1" x14ac:dyDescent="0.25">
      <c r="A114" s="100"/>
      <c r="B114" s="100"/>
      <c r="C114" s="103">
        <v>45996</v>
      </c>
      <c r="D114" s="100" t="s">
        <v>955</v>
      </c>
      <c r="E114" s="100" t="s">
        <v>1297</v>
      </c>
      <c r="F114" s="213"/>
      <c r="G114" s="102">
        <v>500000</v>
      </c>
      <c r="H114" s="102"/>
      <c r="I114" s="100"/>
    </row>
    <row r="115" spans="1:9" ht="16.899999999999999" customHeight="1" x14ac:dyDescent="0.25">
      <c r="A115" s="100"/>
      <c r="B115" s="100"/>
      <c r="C115" s="103"/>
      <c r="D115" s="100" t="s">
        <v>1268</v>
      </c>
      <c r="E115" s="100" t="s">
        <v>1298</v>
      </c>
      <c r="F115" s="213"/>
      <c r="G115" s="102">
        <v>500000</v>
      </c>
      <c r="H115" s="102"/>
      <c r="I115" s="100"/>
    </row>
    <row r="116" spans="1:9" ht="16.899999999999999" customHeight="1" x14ac:dyDescent="0.25">
      <c r="A116" s="100"/>
      <c r="B116" s="100"/>
      <c r="C116" s="103"/>
      <c r="D116" s="100" t="s">
        <v>378</v>
      </c>
      <c r="E116" s="100" t="s">
        <v>1299</v>
      </c>
      <c r="F116" s="213"/>
      <c r="G116" s="102">
        <v>500000</v>
      </c>
      <c r="H116" s="102"/>
      <c r="I116" s="100"/>
    </row>
    <row r="117" spans="1:9" ht="16.899999999999999" customHeight="1" x14ac:dyDescent="0.25">
      <c r="A117" s="100"/>
      <c r="B117" s="100"/>
      <c r="C117" s="103"/>
      <c r="D117" s="100" t="s">
        <v>1269</v>
      </c>
      <c r="E117" s="100" t="s">
        <v>1300</v>
      </c>
      <c r="F117" s="213"/>
      <c r="G117" s="102">
        <v>300000</v>
      </c>
      <c r="H117" s="102"/>
      <c r="I117" s="100"/>
    </row>
    <row r="118" spans="1:9" ht="16.899999999999999" customHeight="1" x14ac:dyDescent="0.25">
      <c r="A118" s="100"/>
      <c r="B118" s="100"/>
      <c r="C118" s="103"/>
      <c r="D118" s="100" t="s">
        <v>523</v>
      </c>
      <c r="E118" s="100" t="s">
        <v>1301</v>
      </c>
      <c r="F118" s="213"/>
      <c r="G118" s="102">
        <v>300000</v>
      </c>
      <c r="H118" s="102"/>
      <c r="I118" s="100"/>
    </row>
    <row r="119" spans="1:9" ht="16.899999999999999" customHeight="1" x14ac:dyDescent="0.25">
      <c r="A119" s="100"/>
      <c r="B119" s="100"/>
      <c r="C119" s="103"/>
      <c r="D119" s="100" t="s">
        <v>1270</v>
      </c>
      <c r="E119" s="100" t="s">
        <v>1302</v>
      </c>
      <c r="F119" s="213"/>
      <c r="G119" s="102">
        <v>300000</v>
      </c>
      <c r="H119" s="102"/>
      <c r="I119" s="100"/>
    </row>
    <row r="120" spans="1:9" ht="16.899999999999999" customHeight="1" x14ac:dyDescent="0.25">
      <c r="A120" s="100"/>
      <c r="B120" s="100"/>
      <c r="C120" s="103"/>
      <c r="D120" s="100" t="s">
        <v>1271</v>
      </c>
      <c r="E120" s="100" t="s">
        <v>1303</v>
      </c>
      <c r="F120" s="213"/>
      <c r="G120" s="102">
        <v>300000</v>
      </c>
      <c r="H120" s="102"/>
      <c r="I120" s="100"/>
    </row>
    <row r="121" spans="1:9" ht="16.899999999999999" customHeight="1" x14ac:dyDescent="0.25">
      <c r="A121" s="100"/>
      <c r="B121" s="100"/>
      <c r="C121" s="103"/>
      <c r="D121" s="100" t="s">
        <v>1272</v>
      </c>
      <c r="E121" s="100" t="s">
        <v>847</v>
      </c>
      <c r="F121" s="214"/>
      <c r="G121" s="102">
        <v>300000</v>
      </c>
      <c r="H121" s="102"/>
      <c r="I121" s="100"/>
    </row>
    <row r="122" spans="1:9" ht="16.899999999999999" customHeight="1" x14ac:dyDescent="0.25">
      <c r="A122" s="100"/>
      <c r="B122" s="100"/>
      <c r="C122" s="103"/>
      <c r="D122" s="100"/>
      <c r="E122" s="100"/>
      <c r="F122" s="164"/>
      <c r="G122" s="102"/>
      <c r="H122" s="102"/>
      <c r="I122" s="100"/>
    </row>
    <row r="123" spans="1:9" ht="16.899999999999999" customHeight="1" x14ac:dyDescent="0.25">
      <c r="A123" s="100"/>
      <c r="B123" s="100"/>
      <c r="C123" s="103"/>
      <c r="D123" s="100"/>
      <c r="E123" s="100"/>
      <c r="F123" s="164"/>
      <c r="G123" s="102"/>
      <c r="H123" s="102"/>
      <c r="I123" s="100"/>
    </row>
    <row r="124" spans="1:9" ht="16.899999999999999" customHeight="1" x14ac:dyDescent="0.25">
      <c r="A124" s="100"/>
      <c r="B124" s="100"/>
      <c r="C124" s="103"/>
      <c r="D124" s="100"/>
      <c r="E124" s="100"/>
      <c r="F124" s="164"/>
      <c r="G124" s="102"/>
      <c r="H124" s="102"/>
      <c r="I124" s="100"/>
    </row>
    <row r="125" spans="1:9" ht="16.899999999999999" customHeight="1" x14ac:dyDescent="0.25">
      <c r="A125" s="100"/>
      <c r="B125" s="100"/>
      <c r="C125" s="103"/>
      <c r="D125" s="100"/>
      <c r="E125" s="100"/>
      <c r="F125" s="164"/>
      <c r="G125" s="102"/>
      <c r="H125" s="102"/>
      <c r="I125" s="100"/>
    </row>
    <row r="126" spans="1:9" ht="16.899999999999999" customHeight="1" x14ac:dyDescent="0.25">
      <c r="A126" s="100"/>
      <c r="B126" s="100"/>
      <c r="C126" s="103"/>
      <c r="D126" s="100"/>
      <c r="E126" s="100"/>
      <c r="F126" s="164"/>
      <c r="G126" s="102"/>
      <c r="H126" s="102"/>
      <c r="I126" s="100"/>
    </row>
    <row r="127" spans="1:9" ht="16.899999999999999" customHeight="1" x14ac:dyDescent="0.25">
      <c r="A127" s="100"/>
      <c r="B127" s="100"/>
      <c r="C127" s="103"/>
      <c r="D127" s="100"/>
      <c r="E127" s="100"/>
      <c r="F127" s="164"/>
      <c r="G127" s="102"/>
      <c r="H127" s="102"/>
      <c r="I127" s="100"/>
    </row>
    <row r="128" spans="1:9" ht="16.899999999999999" customHeight="1" x14ac:dyDescent="0.25">
      <c r="A128" s="100"/>
      <c r="B128" s="100"/>
      <c r="C128" s="103"/>
      <c r="D128" s="100"/>
      <c r="E128" s="100"/>
      <c r="F128" s="164"/>
      <c r="G128" s="102"/>
      <c r="H128" s="102"/>
      <c r="I128" s="100"/>
    </row>
    <row r="129" spans="1:9" ht="16.899999999999999" customHeight="1" x14ac:dyDescent="0.25">
      <c r="A129" s="100"/>
      <c r="B129" s="100"/>
      <c r="C129" s="103"/>
      <c r="D129" s="100"/>
      <c r="E129" s="100"/>
      <c r="F129" s="164"/>
      <c r="G129" s="102"/>
      <c r="H129" s="102"/>
      <c r="I129" s="100"/>
    </row>
    <row r="130" spans="1:9" ht="16.899999999999999" customHeight="1" x14ac:dyDescent="0.25">
      <c r="A130" s="100"/>
      <c r="B130" s="100"/>
      <c r="C130" s="103"/>
      <c r="D130" s="100"/>
      <c r="E130" s="100"/>
      <c r="F130" s="164"/>
      <c r="G130" s="102"/>
      <c r="H130" s="102"/>
      <c r="I130" s="100"/>
    </row>
    <row r="131" spans="1:9" ht="16.899999999999999" customHeight="1" x14ac:dyDescent="0.25">
      <c r="A131" s="100"/>
      <c r="B131" s="100"/>
      <c r="C131" s="103"/>
      <c r="D131" s="100"/>
      <c r="E131" s="100"/>
      <c r="F131" s="155"/>
      <c r="G131" s="102"/>
      <c r="H131" s="102"/>
      <c r="I131" s="100"/>
    </row>
    <row r="132" spans="1:9" ht="16.899999999999999" customHeight="1" x14ac:dyDescent="0.25">
      <c r="A132" s="100"/>
      <c r="B132" s="100"/>
      <c r="C132" s="103"/>
      <c r="D132" s="100"/>
      <c r="E132" s="100"/>
      <c r="F132" s="155"/>
      <c r="G132" s="102"/>
      <c r="H132" s="102"/>
      <c r="I132" s="100"/>
    </row>
    <row r="133" spans="1:9" ht="16.899999999999999" customHeight="1" x14ac:dyDescent="0.25">
      <c r="A133" s="100"/>
      <c r="B133" s="100"/>
      <c r="C133" s="103"/>
      <c r="D133" s="100"/>
      <c r="E133" s="100"/>
      <c r="F133" s="155"/>
      <c r="G133" s="102"/>
      <c r="H133" s="102"/>
      <c r="I133" s="100"/>
    </row>
    <row r="134" spans="1:9" ht="16.899999999999999" customHeight="1" x14ac:dyDescent="0.25">
      <c r="A134" s="100"/>
      <c r="B134" s="100"/>
      <c r="C134" s="103"/>
      <c r="D134" s="100"/>
      <c r="E134" s="100"/>
      <c r="F134" s="155"/>
      <c r="G134" s="102"/>
      <c r="H134" s="102"/>
      <c r="I134" s="100"/>
    </row>
    <row r="135" spans="1:9" ht="16.899999999999999" customHeight="1" x14ac:dyDescent="0.25">
      <c r="A135" s="100">
        <v>40</v>
      </c>
      <c r="B135" s="100"/>
      <c r="C135" s="103"/>
      <c r="D135" s="100"/>
      <c r="E135" s="100"/>
      <c r="F135" s="155"/>
      <c r="G135" s="102"/>
      <c r="H135" s="102"/>
      <c r="I135" s="100"/>
    </row>
    <row r="136" spans="1:9" ht="16.899999999999999" customHeight="1" x14ac:dyDescent="0.25">
      <c r="A136" s="100">
        <v>41</v>
      </c>
      <c r="B136" s="100"/>
      <c r="C136" s="103"/>
      <c r="D136" s="100"/>
      <c r="E136" s="100"/>
      <c r="F136" s="155"/>
      <c r="G136" s="102"/>
      <c r="H136" s="102"/>
      <c r="I136" s="100"/>
    </row>
    <row r="137" spans="1:9" ht="16.899999999999999" customHeight="1" x14ac:dyDescent="0.25">
      <c r="A137" s="100">
        <v>42</v>
      </c>
      <c r="B137" s="100"/>
      <c r="C137" s="103"/>
      <c r="D137" s="100"/>
      <c r="E137" s="100"/>
      <c r="F137" s="155"/>
      <c r="G137" s="102"/>
      <c r="H137" s="102"/>
      <c r="I137" s="100"/>
    </row>
    <row r="138" spans="1:9" ht="16.899999999999999" customHeight="1" x14ac:dyDescent="0.25">
      <c r="A138" s="100">
        <v>43</v>
      </c>
      <c r="B138" s="100"/>
      <c r="C138" s="103"/>
      <c r="D138" s="100"/>
      <c r="E138" s="100"/>
      <c r="F138" s="155"/>
      <c r="G138" s="102"/>
      <c r="H138" s="102"/>
      <c r="I138" s="100"/>
    </row>
    <row r="139" spans="1:9" ht="16.899999999999999" customHeight="1" x14ac:dyDescent="0.25">
      <c r="A139" s="100">
        <v>44</v>
      </c>
      <c r="B139" s="100"/>
      <c r="C139" s="103"/>
      <c r="D139" s="100"/>
      <c r="E139" s="100"/>
      <c r="F139" s="155"/>
      <c r="G139" s="102"/>
      <c r="H139" s="102"/>
      <c r="I139" s="100"/>
    </row>
    <row r="140" spans="1:9" ht="16.899999999999999" customHeight="1" x14ac:dyDescent="0.25">
      <c r="A140" s="100">
        <v>45</v>
      </c>
      <c r="B140" s="100"/>
      <c r="C140" s="103"/>
      <c r="D140" s="101"/>
      <c r="E140" s="100"/>
      <c r="F140" s="155"/>
      <c r="G140" s="102"/>
      <c r="H140" s="102"/>
      <c r="I140" s="100"/>
    </row>
    <row r="141" spans="1:9" ht="16.899999999999999" hidden="1" customHeight="1" x14ac:dyDescent="0.25">
      <c r="A141" s="100">
        <v>23</v>
      </c>
      <c r="B141" s="100"/>
      <c r="C141" s="103"/>
      <c r="D141" s="100"/>
      <c r="E141" s="100"/>
      <c r="F141" s="155"/>
      <c r="G141" s="102"/>
      <c r="H141" s="102"/>
      <c r="I141" s="100"/>
    </row>
    <row r="142" spans="1:9" ht="16.899999999999999" hidden="1" customHeight="1" x14ac:dyDescent="0.25">
      <c r="A142" s="16">
        <v>24</v>
      </c>
      <c r="B142" s="100"/>
      <c r="C142" s="103"/>
      <c r="D142" s="101"/>
      <c r="E142" s="100"/>
      <c r="F142" s="155"/>
      <c r="G142" s="102"/>
      <c r="H142" s="102"/>
      <c r="I142" s="100"/>
    </row>
    <row r="143" spans="1:9" ht="16.899999999999999" hidden="1" customHeight="1" x14ac:dyDescent="0.25">
      <c r="A143" s="16">
        <v>25</v>
      </c>
      <c r="B143" s="100"/>
      <c r="C143" s="103"/>
      <c r="D143" s="100"/>
      <c r="E143" s="100"/>
      <c r="F143" s="155"/>
      <c r="G143" s="102"/>
      <c r="H143" s="102"/>
      <c r="I143" s="100"/>
    </row>
    <row r="144" spans="1:9" ht="16.899999999999999" hidden="1" customHeight="1" x14ac:dyDescent="0.25">
      <c r="A144" s="100">
        <v>26</v>
      </c>
      <c r="B144" s="100"/>
      <c r="C144" s="103"/>
      <c r="D144" s="100"/>
      <c r="E144" s="100"/>
      <c r="F144" s="155"/>
      <c r="G144" s="102"/>
      <c r="H144" s="102"/>
      <c r="I144" s="100"/>
    </row>
    <row r="145" spans="1:9" ht="16.899999999999999" hidden="1" customHeight="1" x14ac:dyDescent="0.25">
      <c r="A145" s="16">
        <v>27</v>
      </c>
      <c r="B145" s="100"/>
      <c r="C145" s="103"/>
      <c r="D145" s="100"/>
      <c r="E145" s="100"/>
      <c r="F145" s="155"/>
      <c r="G145" s="102"/>
      <c r="H145" s="102"/>
      <c r="I145" s="100"/>
    </row>
    <row r="146" spans="1:9" ht="16.899999999999999" hidden="1" customHeight="1" x14ac:dyDescent="0.25">
      <c r="A146" s="16">
        <v>28</v>
      </c>
      <c r="B146" s="100"/>
      <c r="C146" s="103"/>
      <c r="D146" s="100"/>
      <c r="E146" s="100"/>
      <c r="F146" s="155"/>
      <c r="G146" s="102"/>
      <c r="H146" s="102"/>
      <c r="I146" s="100"/>
    </row>
    <row r="147" spans="1:9" ht="16.899999999999999" hidden="1" customHeight="1" x14ac:dyDescent="0.25">
      <c r="A147" s="100">
        <v>29</v>
      </c>
      <c r="B147" s="100"/>
      <c r="C147" s="103"/>
      <c r="D147" s="100"/>
      <c r="E147" s="100"/>
      <c r="F147" s="155"/>
      <c r="G147" s="102"/>
      <c r="H147" s="102"/>
      <c r="I147" s="100"/>
    </row>
    <row r="148" spans="1:9" ht="16.899999999999999" hidden="1" customHeight="1" x14ac:dyDescent="0.25">
      <c r="A148" s="16">
        <v>30</v>
      </c>
      <c r="B148" s="100"/>
      <c r="C148" s="103"/>
      <c r="D148" s="101"/>
      <c r="E148" s="100"/>
      <c r="F148" s="155"/>
      <c r="G148" s="102"/>
      <c r="H148" s="102"/>
      <c r="I148" s="100"/>
    </row>
    <row r="149" spans="1:9" ht="16.899999999999999" hidden="1" customHeight="1" x14ac:dyDescent="0.25">
      <c r="A149" s="16">
        <v>31</v>
      </c>
      <c r="B149" s="100"/>
      <c r="C149" s="103"/>
      <c r="D149" s="100"/>
      <c r="E149" s="100"/>
      <c r="F149" s="155"/>
      <c r="G149" s="102"/>
      <c r="H149" s="102"/>
      <c r="I149" s="100"/>
    </row>
    <row r="150" spans="1:9" ht="16.899999999999999" hidden="1" customHeight="1" x14ac:dyDescent="0.25">
      <c r="A150" s="100">
        <v>32</v>
      </c>
      <c r="B150" s="100"/>
      <c r="C150" s="103"/>
      <c r="D150" s="100"/>
      <c r="E150" s="100"/>
      <c r="F150" s="155"/>
      <c r="G150" s="102"/>
      <c r="H150" s="102"/>
      <c r="I150" s="100"/>
    </row>
    <row r="151" spans="1:9" ht="16.899999999999999" hidden="1" customHeight="1" x14ac:dyDescent="0.25">
      <c r="A151" s="16">
        <v>33</v>
      </c>
      <c r="B151" s="100"/>
      <c r="C151" s="103"/>
      <c r="D151" s="101"/>
      <c r="E151" s="100"/>
      <c r="F151" s="155"/>
      <c r="G151" s="102"/>
      <c r="H151" s="102"/>
      <c r="I151" s="100"/>
    </row>
    <row r="152" spans="1:9" ht="16.899999999999999" hidden="1" customHeight="1" x14ac:dyDescent="0.25">
      <c r="A152" s="16">
        <v>34</v>
      </c>
      <c r="B152" s="100"/>
      <c r="C152" s="103"/>
      <c r="D152" s="100"/>
      <c r="E152" s="100"/>
      <c r="F152" s="155"/>
      <c r="G152" s="102"/>
      <c r="H152" s="102"/>
      <c r="I152" s="100"/>
    </row>
    <row r="153" spans="1:9" ht="16.899999999999999" hidden="1" customHeight="1" x14ac:dyDescent="0.25">
      <c r="A153" s="100">
        <v>35</v>
      </c>
      <c r="B153" s="100"/>
      <c r="C153" s="103"/>
      <c r="D153" s="101"/>
      <c r="E153" s="100"/>
      <c r="F153" s="155"/>
      <c r="G153" s="102"/>
      <c r="H153" s="102"/>
      <c r="I153" s="100"/>
    </row>
    <row r="154" spans="1:9" ht="16.899999999999999" hidden="1" customHeight="1" x14ac:dyDescent="0.25">
      <c r="A154" s="16">
        <v>36</v>
      </c>
      <c r="B154" s="100"/>
      <c r="C154" s="103"/>
      <c r="D154" s="100"/>
      <c r="E154" s="100"/>
      <c r="F154" s="155"/>
      <c r="G154" s="102"/>
      <c r="H154" s="102"/>
      <c r="I154" s="100"/>
    </row>
    <row r="155" spans="1:9" ht="16.899999999999999" hidden="1" customHeight="1" x14ac:dyDescent="0.25">
      <c r="A155" s="16">
        <v>37</v>
      </c>
      <c r="B155" s="100"/>
      <c r="C155" s="103"/>
      <c r="D155" s="100"/>
      <c r="E155" s="100"/>
      <c r="F155" s="155"/>
      <c r="G155" s="102"/>
      <c r="H155" s="102"/>
      <c r="I155" s="100"/>
    </row>
    <row r="156" spans="1:9" ht="16.899999999999999" hidden="1" customHeight="1" x14ac:dyDescent="0.25">
      <c r="A156" s="100">
        <v>38</v>
      </c>
      <c r="B156" s="100"/>
      <c r="C156" s="103"/>
      <c r="D156" s="100"/>
      <c r="E156" s="100"/>
      <c r="F156" s="155"/>
      <c r="G156" s="102"/>
      <c r="H156" s="102"/>
      <c r="I156" s="100"/>
    </row>
    <row r="157" spans="1:9" ht="16.899999999999999" hidden="1" customHeight="1" x14ac:dyDescent="0.25">
      <c r="A157" s="16">
        <v>39</v>
      </c>
      <c r="B157" s="100"/>
      <c r="C157" s="103"/>
      <c r="D157" s="101"/>
      <c r="E157" s="100"/>
      <c r="F157" s="155"/>
      <c r="G157" s="102"/>
      <c r="H157" s="102"/>
      <c r="I157" s="100"/>
    </row>
    <row r="158" spans="1:9" ht="16.899999999999999" hidden="1" customHeight="1" x14ac:dyDescent="0.25">
      <c r="A158" s="16">
        <v>40</v>
      </c>
      <c r="B158" s="100"/>
      <c r="C158" s="103"/>
      <c r="D158" s="101"/>
      <c r="E158" s="100"/>
      <c r="F158" s="155"/>
      <c r="G158" s="102"/>
      <c r="H158" s="102"/>
      <c r="I158" s="100"/>
    </row>
    <row r="159" spans="1:9" ht="16.899999999999999" hidden="1" customHeight="1" x14ac:dyDescent="0.25">
      <c r="A159" s="100">
        <v>41</v>
      </c>
      <c r="B159" s="100"/>
      <c r="C159" s="103"/>
      <c r="D159" s="101"/>
      <c r="E159" s="100"/>
      <c r="F159" s="155"/>
      <c r="G159" s="102"/>
      <c r="H159" s="102"/>
      <c r="I159" s="100"/>
    </row>
    <row r="160" spans="1:9" ht="16.899999999999999" hidden="1" customHeight="1" x14ac:dyDescent="0.25">
      <c r="A160" s="16">
        <v>42</v>
      </c>
      <c r="B160" s="100"/>
      <c r="C160" s="103"/>
      <c r="D160" s="101"/>
      <c r="E160" s="100"/>
      <c r="F160" s="155"/>
      <c r="G160" s="102"/>
      <c r="H160" s="102"/>
      <c r="I160" s="100"/>
    </row>
    <row r="161" spans="1:9" ht="16.899999999999999" hidden="1" customHeight="1" x14ac:dyDescent="0.25">
      <c r="A161" s="16">
        <v>43</v>
      </c>
      <c r="B161" s="100"/>
      <c r="C161" s="103"/>
      <c r="D161" s="101"/>
      <c r="E161" s="100"/>
      <c r="F161" s="155"/>
      <c r="G161" s="102"/>
      <c r="H161" s="102"/>
      <c r="I161" s="100"/>
    </row>
    <row r="162" spans="1:9" ht="16.899999999999999" hidden="1" customHeight="1" x14ac:dyDescent="0.25">
      <c r="A162" s="100">
        <v>44</v>
      </c>
      <c r="B162" s="100"/>
      <c r="C162" s="103"/>
      <c r="D162" s="101"/>
      <c r="E162" s="100"/>
      <c r="F162" s="155"/>
      <c r="G162" s="102"/>
      <c r="H162" s="102"/>
      <c r="I162" s="100"/>
    </row>
    <row r="163" spans="1:9" ht="16.899999999999999" hidden="1" customHeight="1" x14ac:dyDescent="0.25">
      <c r="A163" s="16">
        <v>45</v>
      </c>
      <c r="B163" s="100"/>
      <c r="C163" s="103"/>
      <c r="D163" s="101"/>
      <c r="E163" s="100"/>
      <c r="F163" s="155"/>
      <c r="G163" s="102"/>
      <c r="H163" s="102"/>
      <c r="I163" s="100"/>
    </row>
    <row r="164" spans="1:9" ht="16.899999999999999" hidden="1" customHeight="1" x14ac:dyDescent="0.25">
      <c r="A164" s="16">
        <v>46</v>
      </c>
      <c r="B164" s="100"/>
      <c r="C164" s="103"/>
      <c r="D164" s="101"/>
      <c r="E164" s="100"/>
      <c r="F164" s="155"/>
      <c r="G164" s="102"/>
      <c r="H164" s="102"/>
      <c r="I164" s="100"/>
    </row>
    <row r="165" spans="1:9" ht="16.899999999999999" hidden="1" customHeight="1" x14ac:dyDescent="0.25">
      <c r="A165" s="100">
        <v>47</v>
      </c>
      <c r="B165" s="100"/>
      <c r="C165" s="103"/>
      <c r="D165" s="101"/>
      <c r="E165" s="100"/>
      <c r="F165" s="155"/>
      <c r="G165" s="102"/>
      <c r="H165" s="102"/>
      <c r="I165" s="100"/>
    </row>
    <row r="166" spans="1:9" ht="16.899999999999999" hidden="1" customHeight="1" x14ac:dyDescent="0.25">
      <c r="A166" s="16">
        <v>48</v>
      </c>
      <c r="B166" s="100"/>
      <c r="C166" s="103"/>
      <c r="D166" s="101"/>
      <c r="E166" s="100"/>
      <c r="F166" s="155"/>
      <c r="G166" s="102"/>
      <c r="H166" s="102"/>
      <c r="I166" s="100"/>
    </row>
    <row r="167" spans="1:9" ht="16.899999999999999" hidden="1" customHeight="1" x14ac:dyDescent="0.25">
      <c r="A167" s="16">
        <v>49</v>
      </c>
      <c r="B167" s="100"/>
      <c r="C167" s="103"/>
      <c r="D167" s="100"/>
      <c r="E167" s="100"/>
      <c r="F167" s="155"/>
      <c r="G167" s="102"/>
      <c r="H167" s="102"/>
      <c r="I167" s="100"/>
    </row>
    <row r="168" spans="1:9" ht="16.899999999999999" hidden="1" customHeight="1" x14ac:dyDescent="0.25">
      <c r="A168" s="100">
        <v>50</v>
      </c>
      <c r="B168" s="100"/>
      <c r="C168" s="103"/>
      <c r="D168" s="100"/>
      <c r="E168" s="100"/>
      <c r="F168" s="155"/>
      <c r="G168" s="102"/>
      <c r="H168" s="102"/>
      <c r="I168" s="100"/>
    </row>
    <row r="169" spans="1:9" ht="16.899999999999999" hidden="1" customHeight="1" x14ac:dyDescent="0.25">
      <c r="A169" s="16">
        <v>51</v>
      </c>
      <c r="B169" s="100"/>
      <c r="C169" s="103"/>
      <c r="D169" s="101"/>
      <c r="E169" s="100"/>
      <c r="F169" s="155"/>
      <c r="G169" s="102"/>
      <c r="H169" s="102"/>
      <c r="I169" s="100"/>
    </row>
    <row r="170" spans="1:9" ht="16.899999999999999" hidden="1" customHeight="1" x14ac:dyDescent="0.25">
      <c r="A170" s="16">
        <v>52</v>
      </c>
      <c r="B170" s="100"/>
      <c r="C170" s="103"/>
      <c r="D170" s="100"/>
      <c r="E170" s="100"/>
      <c r="F170" s="155"/>
      <c r="G170" s="102"/>
      <c r="H170" s="102"/>
      <c r="I170" s="100"/>
    </row>
    <row r="171" spans="1:9" ht="16.899999999999999" hidden="1" customHeight="1" x14ac:dyDescent="0.25">
      <c r="A171" s="100">
        <v>53</v>
      </c>
      <c r="B171" s="100"/>
      <c r="C171" s="103"/>
      <c r="D171" s="101"/>
      <c r="E171" s="100"/>
      <c r="F171" s="155"/>
      <c r="G171" s="102"/>
      <c r="H171" s="102"/>
      <c r="I171" s="100"/>
    </row>
    <row r="172" spans="1:9" ht="16.899999999999999" hidden="1" customHeight="1" x14ac:dyDescent="0.25">
      <c r="A172" s="16">
        <v>54</v>
      </c>
      <c r="B172" s="100"/>
      <c r="C172" s="103"/>
      <c r="D172" s="101"/>
      <c r="E172" s="100"/>
      <c r="F172" s="155"/>
      <c r="G172" s="102"/>
      <c r="H172" s="102"/>
      <c r="I172" s="100"/>
    </row>
    <row r="173" spans="1:9" ht="16.899999999999999" hidden="1" customHeight="1" x14ac:dyDescent="0.25">
      <c r="A173" s="16">
        <v>55</v>
      </c>
      <c r="B173" s="100"/>
      <c r="C173" s="103"/>
      <c r="D173" s="101"/>
      <c r="E173" s="100"/>
      <c r="F173" s="155"/>
      <c r="G173" s="102"/>
      <c r="H173" s="102"/>
      <c r="I173" s="100"/>
    </row>
    <row r="174" spans="1:9" ht="16.899999999999999" hidden="1" customHeight="1" x14ac:dyDescent="0.25">
      <c r="A174" s="100">
        <v>56</v>
      </c>
      <c r="B174" s="100"/>
      <c r="C174" s="103"/>
      <c r="D174" s="101"/>
      <c r="E174" s="100"/>
      <c r="F174" s="155"/>
      <c r="G174" s="102"/>
      <c r="H174" s="102"/>
      <c r="I174" s="100"/>
    </row>
    <row r="175" spans="1:9" ht="16.899999999999999" hidden="1" customHeight="1" x14ac:dyDescent="0.25">
      <c r="A175" s="16">
        <v>57</v>
      </c>
      <c r="B175" s="100"/>
      <c r="C175" s="103"/>
      <c r="D175" s="101"/>
      <c r="E175" s="100"/>
      <c r="F175" s="155"/>
      <c r="G175" s="102"/>
      <c r="H175" s="102"/>
      <c r="I175" s="100"/>
    </row>
    <row r="176" spans="1:9" ht="16.899999999999999" hidden="1" customHeight="1" x14ac:dyDescent="0.25">
      <c r="A176" s="16">
        <v>58</v>
      </c>
      <c r="B176" s="100"/>
      <c r="C176" s="103"/>
      <c r="D176" s="101"/>
      <c r="E176" s="100"/>
      <c r="F176" s="155"/>
      <c r="G176" s="102"/>
      <c r="H176" s="102"/>
      <c r="I176" s="100"/>
    </row>
    <row r="177" spans="1:9" ht="16.899999999999999" hidden="1" customHeight="1" x14ac:dyDescent="0.25">
      <c r="A177" s="100">
        <v>59</v>
      </c>
      <c r="B177" s="100"/>
      <c r="C177" s="103"/>
      <c r="D177" s="101"/>
      <c r="E177" s="16"/>
      <c r="F177" s="155"/>
      <c r="G177" s="102"/>
      <c r="H177" s="102"/>
      <c r="I177" s="100"/>
    </row>
    <row r="178" spans="1:9" ht="16.899999999999999" hidden="1" customHeight="1" x14ac:dyDescent="0.25">
      <c r="A178" s="16">
        <v>60</v>
      </c>
      <c r="B178" s="100"/>
      <c r="C178" s="103"/>
      <c r="D178" s="101"/>
      <c r="E178" s="100"/>
      <c r="F178" s="155"/>
      <c r="G178" s="102"/>
      <c r="H178" s="102"/>
      <c r="I178" s="100"/>
    </row>
    <row r="179" spans="1:9" ht="16.899999999999999" hidden="1" customHeight="1" x14ac:dyDescent="0.25">
      <c r="A179" s="16">
        <v>61</v>
      </c>
      <c r="B179" s="100"/>
      <c r="C179" s="103"/>
      <c r="D179" s="101"/>
      <c r="E179" s="100"/>
      <c r="F179" s="155"/>
      <c r="G179" s="102"/>
      <c r="H179" s="102"/>
      <c r="I179" s="100"/>
    </row>
    <row r="180" spans="1:9" ht="16.899999999999999" hidden="1" customHeight="1" x14ac:dyDescent="0.25">
      <c r="A180" s="100">
        <v>62</v>
      </c>
      <c r="B180" s="100"/>
      <c r="C180" s="103"/>
      <c r="D180" s="101"/>
      <c r="E180" s="100"/>
      <c r="F180" s="155"/>
      <c r="G180" s="102"/>
      <c r="H180" s="102"/>
      <c r="I180" s="100"/>
    </row>
    <row r="181" spans="1:9" ht="16.899999999999999" hidden="1" customHeight="1" x14ac:dyDescent="0.25">
      <c r="A181" s="16">
        <v>63</v>
      </c>
      <c r="B181" s="100"/>
      <c r="C181" s="103"/>
      <c r="D181" s="101"/>
      <c r="E181" s="100"/>
      <c r="F181" s="155"/>
      <c r="G181" s="102"/>
      <c r="H181" s="102"/>
      <c r="I181" s="100"/>
    </row>
    <row r="182" spans="1:9" ht="16.899999999999999" hidden="1" customHeight="1" x14ac:dyDescent="0.25">
      <c r="A182" s="16">
        <v>64</v>
      </c>
      <c r="B182" s="105"/>
      <c r="C182" s="106"/>
      <c r="D182" s="101"/>
      <c r="E182" s="105"/>
      <c r="F182" s="155"/>
      <c r="G182" s="102"/>
      <c r="H182" s="102"/>
      <c r="I182" s="100"/>
    </row>
    <row r="183" spans="1:9" ht="16.899999999999999" hidden="1" customHeight="1" x14ac:dyDescent="0.25">
      <c r="A183" s="100">
        <v>65</v>
      </c>
      <c r="B183" s="105"/>
      <c r="C183" s="106"/>
      <c r="D183" s="101"/>
      <c r="E183" s="105"/>
      <c r="F183" s="155"/>
      <c r="G183" s="102"/>
      <c r="H183" s="102"/>
      <c r="I183" s="100"/>
    </row>
    <row r="184" spans="1:9" ht="16.899999999999999" hidden="1" customHeight="1" x14ac:dyDescent="0.25">
      <c r="A184" s="16">
        <v>66</v>
      </c>
      <c r="B184" s="105"/>
      <c r="C184" s="106"/>
      <c r="D184" s="101"/>
      <c r="E184" s="105"/>
      <c r="F184" s="155"/>
      <c r="G184" s="102"/>
      <c r="H184" s="102"/>
      <c r="I184" s="100"/>
    </row>
    <row r="185" spans="1:9" ht="16.899999999999999" customHeight="1" x14ac:dyDescent="0.25">
      <c r="A185" s="218" t="s">
        <v>17</v>
      </c>
      <c r="B185" s="219"/>
      <c r="C185" s="219"/>
      <c r="D185" s="220"/>
      <c r="E185" s="100"/>
      <c r="F185" s="155"/>
      <c r="G185" s="104">
        <f>SUM(G10:G184)</f>
        <v>302000000</v>
      </c>
      <c r="H185" s="104"/>
      <c r="I185" s="100"/>
    </row>
    <row r="187" spans="1:9" ht="15.75" x14ac:dyDescent="0.25">
      <c r="B187" s="192" t="s">
        <v>18</v>
      </c>
      <c r="C187" s="192"/>
      <c r="D187" s="192"/>
      <c r="E187" s="85"/>
      <c r="F187" s="17" t="e">
        <f ca="1">[2]!vnd(G185)</f>
        <v>#NAME?</v>
      </c>
      <c r="G187" s="11"/>
    </row>
  </sheetData>
  <mergeCells count="33">
    <mergeCell ref="A19:A21"/>
    <mergeCell ref="F24:F27"/>
    <mergeCell ref="F54:F67"/>
    <mergeCell ref="F29:F40"/>
    <mergeCell ref="A3:E3"/>
    <mergeCell ref="F3:G3"/>
    <mergeCell ref="A4:E4"/>
    <mergeCell ref="F4:G4"/>
    <mergeCell ref="A5:E5"/>
    <mergeCell ref="F11:F12"/>
    <mergeCell ref="A7:G7"/>
    <mergeCell ref="E13:E15"/>
    <mergeCell ref="B13:B15"/>
    <mergeCell ref="C13:C15"/>
    <mergeCell ref="F13:F15"/>
    <mergeCell ref="A11:A12"/>
    <mergeCell ref="A13:A15"/>
    <mergeCell ref="B187:D187"/>
    <mergeCell ref="A16:A18"/>
    <mergeCell ref="F19:F21"/>
    <mergeCell ref="B19:B21"/>
    <mergeCell ref="C19:C21"/>
    <mergeCell ref="A185:D185"/>
    <mergeCell ref="B16:B18"/>
    <mergeCell ref="C16:C18"/>
    <mergeCell ref="E16:E18"/>
    <mergeCell ref="F16:F18"/>
    <mergeCell ref="F22:F23"/>
    <mergeCell ref="B22:B23"/>
    <mergeCell ref="C22:C23"/>
    <mergeCell ref="F69:F121"/>
    <mergeCell ref="C24:C27"/>
    <mergeCell ref="B24:B27"/>
  </mergeCells>
  <phoneticPr fontId="20"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0"/>
  <sheetViews>
    <sheetView topLeftCell="A37" workbookViewId="0">
      <selection activeCell="B48" sqref="B48:E48"/>
    </sheetView>
  </sheetViews>
  <sheetFormatPr defaultColWidth="8.85546875" defaultRowHeight="15.75" x14ac:dyDescent="0.25"/>
  <cols>
    <col min="1" max="1" width="8.85546875" style="8"/>
    <col min="2" max="2" width="14.7109375" style="8" customWidth="1"/>
    <col min="3" max="3" width="25.28515625" style="120" customWidth="1"/>
    <col min="4" max="4" width="15.7109375" style="8" customWidth="1"/>
    <col min="5" max="5" width="22.7109375" style="5" customWidth="1"/>
    <col min="6" max="16384" width="8.85546875" style="5"/>
  </cols>
  <sheetData>
    <row r="1" spans="1:5" hidden="1" x14ac:dyDescent="0.25"/>
    <row r="2" spans="1:5" ht="18.75" hidden="1" x14ac:dyDescent="0.25">
      <c r="A2" s="199" t="s">
        <v>277</v>
      </c>
      <c r="B2" s="199"/>
      <c r="C2" s="199"/>
      <c r="D2" s="199"/>
      <c r="E2" s="199"/>
    </row>
    <row r="3" spans="1:5" hidden="1" x14ac:dyDescent="0.25"/>
    <row r="4" spans="1:5" ht="26.45" hidden="1" customHeight="1" x14ac:dyDescent="0.25">
      <c r="A4" s="122" t="s">
        <v>73</v>
      </c>
      <c r="B4" s="122" t="s">
        <v>273</v>
      </c>
      <c r="C4" s="122" t="s">
        <v>276</v>
      </c>
      <c r="D4" s="122" t="s">
        <v>274</v>
      </c>
      <c r="E4" s="122" t="s">
        <v>275</v>
      </c>
    </row>
    <row r="5" spans="1:5" ht="21" hidden="1" customHeight="1" x14ac:dyDescent="0.25">
      <c r="A5" s="16">
        <v>1</v>
      </c>
      <c r="B5" s="16" t="s">
        <v>202</v>
      </c>
      <c r="C5" s="124" t="s">
        <v>147</v>
      </c>
      <c r="D5" s="121">
        <v>30529</v>
      </c>
      <c r="E5" s="123" t="s">
        <v>271</v>
      </c>
    </row>
    <row r="6" spans="1:5" ht="21" hidden="1" customHeight="1" x14ac:dyDescent="0.25">
      <c r="A6" s="16">
        <v>2</v>
      </c>
      <c r="B6" s="16" t="s">
        <v>249</v>
      </c>
      <c r="C6" s="124" t="s">
        <v>250</v>
      </c>
      <c r="D6" s="121">
        <v>27218</v>
      </c>
      <c r="E6" s="123" t="s">
        <v>272</v>
      </c>
    </row>
    <row r="7" spans="1:5" ht="21" hidden="1" customHeight="1" x14ac:dyDescent="0.25">
      <c r="A7" s="16">
        <v>3</v>
      </c>
      <c r="B7" s="16" t="s">
        <v>251</v>
      </c>
      <c r="C7" s="124" t="s">
        <v>252</v>
      </c>
      <c r="D7" s="121">
        <v>31568</v>
      </c>
      <c r="E7" s="123" t="s">
        <v>272</v>
      </c>
    </row>
    <row r="8" spans="1:5" ht="21" hidden="1" customHeight="1" x14ac:dyDescent="0.25">
      <c r="A8" s="16">
        <v>4</v>
      </c>
      <c r="B8" s="16" t="s">
        <v>97</v>
      </c>
      <c r="C8" s="124" t="s">
        <v>98</v>
      </c>
      <c r="D8" s="121">
        <v>35098</v>
      </c>
      <c r="E8" s="123" t="s">
        <v>272</v>
      </c>
    </row>
    <row r="9" spans="1:5" ht="21" hidden="1" customHeight="1" x14ac:dyDescent="0.25">
      <c r="A9" s="16">
        <v>5</v>
      </c>
      <c r="B9" s="16" t="s">
        <v>253</v>
      </c>
      <c r="C9" s="124" t="s">
        <v>254</v>
      </c>
      <c r="D9" s="121">
        <v>29421</v>
      </c>
      <c r="E9" s="123" t="s">
        <v>272</v>
      </c>
    </row>
    <row r="10" spans="1:5" ht="21" hidden="1" customHeight="1" x14ac:dyDescent="0.25">
      <c r="A10" s="16">
        <v>6</v>
      </c>
      <c r="B10" s="16" t="s">
        <v>255</v>
      </c>
      <c r="C10" s="124" t="s">
        <v>256</v>
      </c>
      <c r="D10" s="121">
        <v>30994</v>
      </c>
      <c r="E10" s="123" t="s">
        <v>272</v>
      </c>
    </row>
    <row r="11" spans="1:5" ht="21" hidden="1" customHeight="1" x14ac:dyDescent="0.25">
      <c r="A11" s="16">
        <v>7</v>
      </c>
      <c r="B11" s="16" t="s">
        <v>257</v>
      </c>
      <c r="C11" s="124" t="s">
        <v>258</v>
      </c>
      <c r="D11" s="121">
        <v>30127</v>
      </c>
      <c r="E11" s="123" t="s">
        <v>272</v>
      </c>
    </row>
    <row r="12" spans="1:5" ht="21" hidden="1" customHeight="1" x14ac:dyDescent="0.25">
      <c r="A12" s="16">
        <v>8</v>
      </c>
      <c r="B12" s="16" t="s">
        <v>206</v>
      </c>
      <c r="C12" s="124" t="s">
        <v>156</v>
      </c>
      <c r="D12" s="121">
        <v>29514</v>
      </c>
      <c r="E12" s="123" t="s">
        <v>272</v>
      </c>
    </row>
    <row r="13" spans="1:5" ht="21" hidden="1" customHeight="1" x14ac:dyDescent="0.25">
      <c r="A13" s="16">
        <v>9</v>
      </c>
      <c r="B13" s="16" t="s">
        <v>259</v>
      </c>
      <c r="C13" s="124" t="s">
        <v>260</v>
      </c>
      <c r="D13" s="121">
        <v>33888</v>
      </c>
      <c r="E13" s="123" t="s">
        <v>272</v>
      </c>
    </row>
    <row r="14" spans="1:5" ht="21" hidden="1" customHeight="1" x14ac:dyDescent="0.25">
      <c r="A14" s="16">
        <v>10</v>
      </c>
      <c r="B14" s="16" t="s">
        <v>261</v>
      </c>
      <c r="C14" s="124" t="s">
        <v>262</v>
      </c>
      <c r="D14" s="121">
        <v>30446</v>
      </c>
      <c r="E14" s="123" t="s">
        <v>272</v>
      </c>
    </row>
    <row r="15" spans="1:5" ht="21" hidden="1" customHeight="1" x14ac:dyDescent="0.25">
      <c r="A15" s="16">
        <v>11</v>
      </c>
      <c r="B15" s="16" t="s">
        <v>263</v>
      </c>
      <c r="C15" s="124" t="s">
        <v>264</v>
      </c>
      <c r="D15" s="121">
        <v>33374</v>
      </c>
      <c r="E15" s="123" t="s">
        <v>272</v>
      </c>
    </row>
    <row r="16" spans="1:5" ht="21" hidden="1" customHeight="1" x14ac:dyDescent="0.25">
      <c r="A16" s="16">
        <v>12</v>
      </c>
      <c r="B16" s="16" t="s">
        <v>265</v>
      </c>
      <c r="C16" s="124" t="s">
        <v>266</v>
      </c>
      <c r="D16" s="121">
        <v>34820</v>
      </c>
      <c r="E16" s="123" t="s">
        <v>272</v>
      </c>
    </row>
    <row r="17" spans="1:5" ht="21" hidden="1" customHeight="1" x14ac:dyDescent="0.25">
      <c r="A17" s="16">
        <v>13</v>
      </c>
      <c r="B17" s="16" t="s">
        <v>267</v>
      </c>
      <c r="C17" s="124" t="s">
        <v>268</v>
      </c>
      <c r="D17" s="121">
        <v>31472</v>
      </c>
      <c r="E17" s="123" t="s">
        <v>272</v>
      </c>
    </row>
    <row r="18" spans="1:5" ht="21" hidden="1" customHeight="1" x14ac:dyDescent="0.25">
      <c r="A18" s="16">
        <v>14</v>
      </c>
      <c r="B18" s="16" t="s">
        <v>204</v>
      </c>
      <c r="C18" s="124" t="s">
        <v>161</v>
      </c>
      <c r="D18" s="121">
        <v>29861</v>
      </c>
      <c r="E18" s="123" t="s">
        <v>272</v>
      </c>
    </row>
    <row r="19" spans="1:5" ht="21" hidden="1" customHeight="1" x14ac:dyDescent="0.25">
      <c r="A19" s="16">
        <v>15</v>
      </c>
      <c r="B19" s="16" t="s">
        <v>269</v>
      </c>
      <c r="C19" s="124" t="s">
        <v>270</v>
      </c>
      <c r="D19" s="121">
        <v>29143</v>
      </c>
      <c r="E19" s="123" t="s">
        <v>272</v>
      </c>
    </row>
    <row r="20" spans="1:5" hidden="1" x14ac:dyDescent="0.25"/>
    <row r="21" spans="1:5" hidden="1" x14ac:dyDescent="0.25"/>
    <row r="22" spans="1:5" ht="18.75" hidden="1" x14ac:dyDescent="0.25">
      <c r="A22" s="199" t="s">
        <v>278</v>
      </c>
      <c r="B22" s="199"/>
      <c r="C22" s="199"/>
      <c r="D22" s="199"/>
      <c r="E22" s="199"/>
    </row>
    <row r="23" spans="1:5" hidden="1" x14ac:dyDescent="0.25"/>
    <row r="24" spans="1:5" ht="21.6" hidden="1" customHeight="1" x14ac:dyDescent="0.25">
      <c r="A24" s="122" t="s">
        <v>73</v>
      </c>
      <c r="B24" s="122" t="s">
        <v>273</v>
      </c>
      <c r="C24" s="122" t="s">
        <v>276</v>
      </c>
      <c r="D24" s="122" t="s">
        <v>274</v>
      </c>
      <c r="E24" s="122" t="s">
        <v>275</v>
      </c>
    </row>
    <row r="25" spans="1:5" ht="21.6" hidden="1" customHeight="1" x14ac:dyDescent="0.25">
      <c r="A25" s="16">
        <v>1</v>
      </c>
      <c r="B25" s="16" t="s">
        <v>279</v>
      </c>
      <c r="C25" s="124" t="s">
        <v>280</v>
      </c>
      <c r="D25" s="125">
        <v>31253</v>
      </c>
      <c r="E25" s="126" t="s">
        <v>283</v>
      </c>
    </row>
    <row r="26" spans="1:5" ht="21.6" hidden="1" customHeight="1" x14ac:dyDescent="0.25">
      <c r="A26" s="16">
        <v>2</v>
      </c>
      <c r="B26" s="16" t="s">
        <v>281</v>
      </c>
      <c r="C26" s="124" t="s">
        <v>282</v>
      </c>
      <c r="D26" s="125">
        <v>32572</v>
      </c>
      <c r="E26" s="126" t="s">
        <v>284</v>
      </c>
    </row>
    <row r="27" spans="1:5" hidden="1" x14ac:dyDescent="0.25">
      <c r="A27" s="16">
        <v>3</v>
      </c>
      <c r="B27" s="16" t="s">
        <v>287</v>
      </c>
      <c r="C27" s="124" t="s">
        <v>285</v>
      </c>
      <c r="D27" s="125">
        <v>33851</v>
      </c>
      <c r="E27" s="126" t="s">
        <v>284</v>
      </c>
    </row>
    <row r="28" spans="1:5" hidden="1" x14ac:dyDescent="0.25">
      <c r="A28" s="16">
        <v>4</v>
      </c>
      <c r="B28" s="16" t="s">
        <v>288</v>
      </c>
      <c r="C28" s="124" t="s">
        <v>286</v>
      </c>
      <c r="D28" s="125">
        <v>34495</v>
      </c>
      <c r="E28" s="126" t="s">
        <v>284</v>
      </c>
    </row>
    <row r="29" spans="1:5" hidden="1" x14ac:dyDescent="0.25"/>
    <row r="30" spans="1:5" hidden="1" x14ac:dyDescent="0.25"/>
    <row r="32" spans="1:5" ht="25.15" customHeight="1" x14ac:dyDescent="0.25">
      <c r="A32" s="199" t="s">
        <v>277</v>
      </c>
      <c r="B32" s="199"/>
      <c r="C32" s="199"/>
      <c r="D32" s="199"/>
      <c r="E32" s="199"/>
    </row>
    <row r="33" spans="1:5" ht="25.15" customHeight="1" x14ac:dyDescent="0.25"/>
    <row r="34" spans="1:5" ht="25.15" customHeight="1" x14ac:dyDescent="0.25">
      <c r="A34" s="122" t="s">
        <v>73</v>
      </c>
      <c r="B34" s="122" t="s">
        <v>273</v>
      </c>
      <c r="C34" s="122" t="s">
        <v>276</v>
      </c>
      <c r="D34" s="122" t="s">
        <v>274</v>
      </c>
      <c r="E34" s="122" t="s">
        <v>275</v>
      </c>
    </row>
    <row r="35" spans="1:5" ht="25.15" customHeight="1" x14ac:dyDescent="0.25">
      <c r="A35" s="16">
        <v>1</v>
      </c>
      <c r="B35" s="16" t="s">
        <v>249</v>
      </c>
      <c r="C35" s="124" t="s">
        <v>250</v>
      </c>
      <c r="D35" s="121">
        <v>27218</v>
      </c>
      <c r="E35" s="123" t="s">
        <v>272</v>
      </c>
    </row>
    <row r="36" spans="1:5" ht="25.15" customHeight="1" x14ac:dyDescent="0.25">
      <c r="A36" s="16">
        <v>2</v>
      </c>
      <c r="B36" s="16" t="s">
        <v>251</v>
      </c>
      <c r="C36" s="124" t="s">
        <v>252</v>
      </c>
      <c r="D36" s="121">
        <v>31568</v>
      </c>
      <c r="E36" s="123" t="s">
        <v>272</v>
      </c>
    </row>
    <row r="37" spans="1:5" ht="25.15" customHeight="1" x14ac:dyDescent="0.25">
      <c r="A37" s="16">
        <v>3</v>
      </c>
      <c r="B37" s="16" t="s">
        <v>97</v>
      </c>
      <c r="C37" s="124" t="s">
        <v>98</v>
      </c>
      <c r="D37" s="121">
        <v>35098</v>
      </c>
      <c r="E37" s="123" t="s">
        <v>272</v>
      </c>
    </row>
    <row r="38" spans="1:5" ht="25.15" customHeight="1" x14ac:dyDescent="0.25">
      <c r="A38" s="16">
        <v>4</v>
      </c>
      <c r="B38" s="16" t="s">
        <v>253</v>
      </c>
      <c r="C38" s="124" t="s">
        <v>254</v>
      </c>
      <c r="D38" s="121">
        <v>29421</v>
      </c>
      <c r="E38" s="123" t="s">
        <v>272</v>
      </c>
    </row>
    <row r="39" spans="1:5" ht="25.15" customHeight="1" x14ac:dyDescent="0.25">
      <c r="A39" s="16">
        <v>5</v>
      </c>
      <c r="B39" s="16" t="s">
        <v>255</v>
      </c>
      <c r="C39" s="124" t="s">
        <v>256</v>
      </c>
      <c r="D39" s="121">
        <v>30994</v>
      </c>
      <c r="E39" s="123" t="s">
        <v>272</v>
      </c>
    </row>
    <row r="40" spans="1:5" ht="25.15" customHeight="1" x14ac:dyDescent="0.25">
      <c r="A40" s="16">
        <v>6</v>
      </c>
      <c r="B40" s="16" t="s">
        <v>257</v>
      </c>
      <c r="C40" s="124" t="s">
        <v>258</v>
      </c>
      <c r="D40" s="121">
        <v>30127</v>
      </c>
      <c r="E40" s="123" t="s">
        <v>272</v>
      </c>
    </row>
    <row r="41" spans="1:5" ht="25.15" customHeight="1" x14ac:dyDescent="0.25">
      <c r="A41" s="16">
        <v>7</v>
      </c>
      <c r="B41" s="16" t="s">
        <v>206</v>
      </c>
      <c r="C41" s="124" t="s">
        <v>156</v>
      </c>
      <c r="D41" s="121">
        <v>29514</v>
      </c>
      <c r="E41" s="123" t="s">
        <v>272</v>
      </c>
    </row>
    <row r="42" spans="1:5" ht="25.15" customHeight="1" x14ac:dyDescent="0.25">
      <c r="A42" s="16">
        <v>8</v>
      </c>
      <c r="B42" s="16" t="s">
        <v>261</v>
      </c>
      <c r="C42" s="124" t="s">
        <v>262</v>
      </c>
      <c r="D42" s="121">
        <v>30446</v>
      </c>
      <c r="E42" s="123" t="s">
        <v>272</v>
      </c>
    </row>
    <row r="43" spans="1:5" ht="25.15" customHeight="1" x14ac:dyDescent="0.25">
      <c r="A43" s="16">
        <v>9</v>
      </c>
      <c r="B43" s="16" t="s">
        <v>263</v>
      </c>
      <c r="C43" s="124" t="s">
        <v>264</v>
      </c>
      <c r="D43" s="121">
        <v>33374</v>
      </c>
      <c r="E43" s="123" t="s">
        <v>272</v>
      </c>
    </row>
    <row r="44" spans="1:5" ht="25.15" customHeight="1" x14ac:dyDescent="0.25">
      <c r="A44" s="16">
        <v>10</v>
      </c>
      <c r="B44" s="16" t="s">
        <v>267</v>
      </c>
      <c r="C44" s="124" t="s">
        <v>268</v>
      </c>
      <c r="D44" s="121">
        <v>31472</v>
      </c>
      <c r="E44" s="123" t="s">
        <v>272</v>
      </c>
    </row>
    <row r="45" spans="1:5" ht="25.15" customHeight="1" x14ac:dyDescent="0.25">
      <c r="A45" s="16">
        <v>11</v>
      </c>
      <c r="B45" s="16" t="s">
        <v>269</v>
      </c>
      <c r="C45" s="124" t="s">
        <v>270</v>
      </c>
      <c r="D45" s="121">
        <v>29143</v>
      </c>
      <c r="E45" s="123" t="s">
        <v>272</v>
      </c>
    </row>
    <row r="46" spans="1:5" ht="25.15" customHeight="1" x14ac:dyDescent="0.25">
      <c r="A46" s="16">
        <v>12</v>
      </c>
      <c r="B46" s="16" t="s">
        <v>630</v>
      </c>
      <c r="C46" s="124" t="s">
        <v>631</v>
      </c>
      <c r="D46" s="121">
        <v>34279</v>
      </c>
      <c r="E46" s="123" t="s">
        <v>272</v>
      </c>
    </row>
    <row r="47" spans="1:5" ht="25.15" customHeight="1" x14ac:dyDescent="0.25">
      <c r="A47" s="16">
        <v>13</v>
      </c>
      <c r="B47" s="16" t="s">
        <v>627</v>
      </c>
      <c r="C47" s="124" t="s">
        <v>628</v>
      </c>
      <c r="D47" s="121">
        <v>33810</v>
      </c>
      <c r="E47" s="123" t="s">
        <v>272</v>
      </c>
    </row>
    <row r="48" spans="1:5" ht="25.15" customHeight="1" x14ac:dyDescent="0.25">
      <c r="A48" s="16">
        <v>14</v>
      </c>
      <c r="B48" s="16"/>
      <c r="C48" s="124"/>
      <c r="D48" s="121"/>
      <c r="E48" s="123"/>
    </row>
    <row r="49" ht="25.15" customHeight="1" x14ac:dyDescent="0.25"/>
    <row r="50" ht="25.15" customHeight="1" x14ac:dyDescent="0.25"/>
  </sheetData>
  <mergeCells count="3">
    <mergeCell ref="A2:E2"/>
    <mergeCell ref="A22:E22"/>
    <mergeCell ref="A32:E32"/>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974AA-BFE3-411A-875D-15F047432EFD}">
  <dimension ref="A1:Q291"/>
  <sheetViews>
    <sheetView tabSelected="1" topLeftCell="A40" zoomScale="90" zoomScaleNormal="90" workbookViewId="0">
      <selection activeCell="E1" sqref="E1:P1048576"/>
    </sheetView>
  </sheetViews>
  <sheetFormatPr defaultRowHeight="15" x14ac:dyDescent="0.25"/>
  <cols>
    <col min="1" max="1" width="6.28515625" customWidth="1"/>
    <col min="2" max="2" width="19.85546875" customWidth="1"/>
    <col min="3" max="3" width="14.42578125" customWidth="1"/>
    <col min="4" max="4" width="28.28515625" customWidth="1"/>
    <col min="5" max="5" width="10.85546875" hidden="1" customWidth="1"/>
    <col min="6" max="6" width="9.85546875" hidden="1" customWidth="1"/>
    <col min="7" max="7" width="10.42578125" hidden="1" customWidth="1"/>
    <col min="8" max="16" width="0" hidden="1" customWidth="1"/>
    <col min="17" max="17" width="11.28515625" bestFit="1" customWidth="1"/>
  </cols>
  <sheetData>
    <row r="1" spans="1:17" s="13" customFormat="1" ht="15.75" x14ac:dyDescent="0.25">
      <c r="F1" s="11"/>
      <c r="G1" s="11"/>
      <c r="H1" s="11"/>
      <c r="I1" s="12"/>
      <c r="J1" s="12"/>
      <c r="K1" s="12"/>
      <c r="L1" s="12"/>
      <c r="M1" s="12"/>
    </row>
    <row r="2" spans="1:17" s="13" customFormat="1" ht="15.75" x14ac:dyDescent="0.25">
      <c r="A2" s="177" t="s">
        <v>0</v>
      </c>
      <c r="B2" s="177"/>
      <c r="C2" s="177"/>
      <c r="D2" s="177"/>
      <c r="E2" s="177"/>
      <c r="F2" s="177"/>
      <c r="G2" s="177"/>
      <c r="H2" s="178" t="s">
        <v>1</v>
      </c>
      <c r="I2" s="178"/>
      <c r="J2" s="178"/>
      <c r="K2" s="178"/>
      <c r="L2" s="178"/>
      <c r="M2" s="178"/>
      <c r="N2" s="178"/>
    </row>
    <row r="3" spans="1:17" s="13" customFormat="1" ht="15.75" x14ac:dyDescent="0.25">
      <c r="A3" s="177" t="s">
        <v>22</v>
      </c>
      <c r="B3" s="177"/>
      <c r="C3" s="177"/>
      <c r="D3" s="177"/>
      <c r="E3" s="177"/>
      <c r="F3" s="177"/>
      <c r="G3" s="177"/>
      <c r="H3" s="178" t="s">
        <v>2</v>
      </c>
      <c r="I3" s="178"/>
      <c r="J3" s="178"/>
      <c r="K3" s="178"/>
      <c r="L3" s="178"/>
      <c r="M3" s="178"/>
      <c r="N3" s="178"/>
    </row>
    <row r="4" spans="1:17" s="13" customFormat="1" ht="15.75" x14ac:dyDescent="0.25">
      <c r="A4" s="25"/>
      <c r="B4" s="26"/>
      <c r="C4" s="25"/>
      <c r="D4" s="25"/>
      <c r="E4" s="25"/>
      <c r="F4" s="26"/>
      <c r="G4" s="26"/>
      <c r="H4" s="179" t="s">
        <v>1054</v>
      </c>
      <c r="I4" s="179"/>
      <c r="J4" s="179"/>
      <c r="K4" s="179"/>
      <c r="L4" s="179"/>
      <c r="M4" s="179"/>
      <c r="N4" s="179"/>
    </row>
    <row r="5" spans="1:17" s="13" customFormat="1" ht="18.75" x14ac:dyDescent="0.25">
      <c r="A5" s="180" t="s">
        <v>1208</v>
      </c>
      <c r="B5" s="180"/>
      <c r="C5" s="180"/>
      <c r="D5" s="180"/>
      <c r="E5" s="180"/>
      <c r="F5" s="180"/>
      <c r="G5" s="180"/>
      <c r="H5" s="180"/>
      <c r="I5" s="180"/>
      <c r="J5" s="180"/>
      <c r="K5" s="180"/>
      <c r="L5" s="180"/>
      <c r="M5" s="180"/>
      <c r="N5" s="180"/>
    </row>
    <row r="6" spans="1:17" s="13" customFormat="1" ht="15.75" x14ac:dyDescent="0.25">
      <c r="A6" s="1"/>
      <c r="B6" s="1"/>
      <c r="C6" s="1"/>
      <c r="D6" s="1"/>
      <c r="E6" s="1"/>
      <c r="F6" s="19"/>
      <c r="G6" s="19"/>
      <c r="H6" s="19"/>
      <c r="I6" s="20"/>
      <c r="J6" s="21"/>
      <c r="K6" s="21"/>
      <c r="L6" s="21"/>
      <c r="M6" s="21"/>
      <c r="N6" s="1"/>
    </row>
    <row r="7" spans="1:17" s="13" customFormat="1" ht="28.5" x14ac:dyDescent="0.25">
      <c r="A7" s="141" t="s">
        <v>7</v>
      </c>
      <c r="B7" s="141" t="s">
        <v>10</v>
      </c>
      <c r="C7" s="142" t="s">
        <v>31</v>
      </c>
      <c r="D7" s="142" t="s">
        <v>1199</v>
      </c>
      <c r="E7" s="142" t="s">
        <v>1187</v>
      </c>
      <c r="F7" s="142" t="s">
        <v>1188</v>
      </c>
      <c r="G7" s="142" t="s">
        <v>1189</v>
      </c>
      <c r="H7" s="142" t="s">
        <v>1190</v>
      </c>
      <c r="I7" s="142" t="s">
        <v>1191</v>
      </c>
      <c r="J7" s="142" t="s">
        <v>1192</v>
      </c>
      <c r="K7" s="142" t="s">
        <v>1193</v>
      </c>
      <c r="L7" s="142" t="s">
        <v>1194</v>
      </c>
      <c r="M7" s="142" t="s">
        <v>1195</v>
      </c>
      <c r="N7" s="142" t="s">
        <v>1196</v>
      </c>
      <c r="O7" s="142" t="s">
        <v>1197</v>
      </c>
      <c r="P7" s="142" t="s">
        <v>1198</v>
      </c>
      <c r="Q7" s="75" t="s">
        <v>17</v>
      </c>
    </row>
    <row r="8" spans="1:17" s="13" customFormat="1" ht="15.75" x14ac:dyDescent="0.25">
      <c r="A8" s="3">
        <v>1</v>
      </c>
      <c r="B8" s="64" t="s">
        <v>87</v>
      </c>
      <c r="C8" s="65" t="s">
        <v>86</v>
      </c>
      <c r="D8" s="167" t="s">
        <v>1201</v>
      </c>
      <c r="E8" s="67"/>
      <c r="F8" s="157">
        <v>15</v>
      </c>
      <c r="G8" s="157"/>
      <c r="H8" s="27"/>
      <c r="I8" s="61"/>
      <c r="J8" s="62"/>
      <c r="K8" s="61"/>
      <c r="L8" s="61"/>
      <c r="M8" s="63">
        <v>5</v>
      </c>
      <c r="N8" s="27"/>
      <c r="O8" s="165"/>
      <c r="P8" s="165"/>
      <c r="Q8" s="174">
        <f>SUM(E8,F8:P8)</f>
        <v>20</v>
      </c>
    </row>
    <row r="9" spans="1:17" s="13" customFormat="1" ht="15.75" x14ac:dyDescent="0.25">
      <c r="A9" s="3">
        <v>2</v>
      </c>
      <c r="B9" s="64" t="s">
        <v>92</v>
      </c>
      <c r="C9" s="65" t="s">
        <v>91</v>
      </c>
      <c r="D9" s="167" t="s">
        <v>1202</v>
      </c>
      <c r="E9" s="67"/>
      <c r="F9" s="157">
        <v>20</v>
      </c>
      <c r="G9" s="157"/>
      <c r="H9" s="27"/>
      <c r="I9" s="61"/>
      <c r="J9" s="62"/>
      <c r="K9" s="61"/>
      <c r="L9" s="61"/>
      <c r="M9" s="63"/>
      <c r="N9" s="27"/>
      <c r="O9" s="165"/>
      <c r="P9" s="165"/>
      <c r="Q9" s="174">
        <f t="shared" ref="Q9:Q72" si="0">SUM(E9,F9:P9)</f>
        <v>20</v>
      </c>
    </row>
    <row r="10" spans="1:17" s="13" customFormat="1" ht="15.75" x14ac:dyDescent="0.25">
      <c r="A10" s="3">
        <v>3</v>
      </c>
      <c r="B10" s="64" t="s">
        <v>131</v>
      </c>
      <c r="C10" s="65" t="s">
        <v>130</v>
      </c>
      <c r="D10" s="167" t="s">
        <v>1203</v>
      </c>
      <c r="E10" s="67"/>
      <c r="F10" s="157">
        <v>10</v>
      </c>
      <c r="G10" s="157"/>
      <c r="H10" s="27"/>
      <c r="I10" s="61"/>
      <c r="J10" s="62"/>
      <c r="K10" s="61"/>
      <c r="L10" s="61"/>
      <c r="M10" s="63"/>
      <c r="N10" s="27"/>
      <c r="O10" s="165"/>
      <c r="P10" s="165"/>
      <c r="Q10" s="174">
        <f t="shared" si="0"/>
        <v>10</v>
      </c>
    </row>
    <row r="11" spans="1:17" s="13" customFormat="1" ht="15.75" x14ac:dyDescent="0.25">
      <c r="A11" s="3">
        <v>4</v>
      </c>
      <c r="B11" s="64" t="s">
        <v>98</v>
      </c>
      <c r="C11" s="65" t="s">
        <v>97</v>
      </c>
      <c r="D11" s="167" t="s">
        <v>1204</v>
      </c>
      <c r="E11" s="67"/>
      <c r="F11" s="157">
        <v>18</v>
      </c>
      <c r="G11" s="157"/>
      <c r="H11" s="27"/>
      <c r="I11" s="61"/>
      <c r="J11" s="62"/>
      <c r="K11" s="61"/>
      <c r="L11" s="61"/>
      <c r="M11" s="63"/>
      <c r="N11" s="27"/>
      <c r="O11" s="165"/>
      <c r="P11" s="165"/>
      <c r="Q11" s="174">
        <f t="shared" si="0"/>
        <v>18</v>
      </c>
    </row>
    <row r="12" spans="1:17" s="13" customFormat="1" ht="30" customHeight="1" x14ac:dyDescent="0.25">
      <c r="A12" s="3">
        <v>5</v>
      </c>
      <c r="B12" s="64" t="s">
        <v>1205</v>
      </c>
      <c r="C12" s="65" t="s">
        <v>104</v>
      </c>
      <c r="D12" s="167" t="s">
        <v>1206</v>
      </c>
      <c r="E12" s="67"/>
      <c r="F12" s="64">
        <v>20</v>
      </c>
      <c r="G12" s="157"/>
      <c r="H12" s="27"/>
      <c r="I12" s="61"/>
      <c r="J12" s="62"/>
      <c r="K12" s="61"/>
      <c r="L12" s="61"/>
      <c r="M12" s="63"/>
      <c r="N12" s="27"/>
      <c r="O12" s="165"/>
      <c r="P12" s="165"/>
      <c r="Q12" s="174">
        <f t="shared" si="0"/>
        <v>20</v>
      </c>
    </row>
    <row r="13" spans="1:17" s="13" customFormat="1" ht="27" customHeight="1" x14ac:dyDescent="0.25">
      <c r="A13" s="3">
        <v>6</v>
      </c>
      <c r="B13" s="168" t="s">
        <v>1207</v>
      </c>
      <c r="C13" s="65" t="s">
        <v>125</v>
      </c>
      <c r="D13" s="167" t="s">
        <v>1206</v>
      </c>
      <c r="E13" s="67"/>
      <c r="F13" s="64">
        <v>5</v>
      </c>
      <c r="G13" s="157"/>
      <c r="H13" s="27"/>
      <c r="I13" s="61"/>
      <c r="J13" s="62"/>
      <c r="K13" s="61"/>
      <c r="L13" s="61"/>
      <c r="M13" s="63"/>
      <c r="N13" s="27"/>
      <c r="O13" s="165"/>
      <c r="P13" s="165"/>
      <c r="Q13" s="174">
        <f t="shared" si="0"/>
        <v>5</v>
      </c>
    </row>
    <row r="14" spans="1:17" s="13" customFormat="1" ht="47.25" x14ac:dyDescent="0.25">
      <c r="A14" s="3">
        <v>7</v>
      </c>
      <c r="B14" s="64" t="s">
        <v>1209</v>
      </c>
      <c r="C14" s="67" t="s">
        <v>111</v>
      </c>
      <c r="D14" s="27" t="s">
        <v>113</v>
      </c>
      <c r="E14" s="67"/>
      <c r="F14" s="64">
        <v>20</v>
      </c>
      <c r="G14" s="157"/>
      <c r="H14" s="27"/>
      <c r="I14" s="61"/>
      <c r="J14" s="62"/>
      <c r="K14" s="61"/>
      <c r="L14" s="61"/>
      <c r="M14" s="63"/>
      <c r="N14" s="27"/>
      <c r="O14" s="165"/>
      <c r="P14" s="165"/>
      <c r="Q14" s="174">
        <f t="shared" si="0"/>
        <v>20</v>
      </c>
    </row>
    <row r="15" spans="1:17" s="13" customFormat="1" ht="31.5" x14ac:dyDescent="0.25">
      <c r="A15" s="3">
        <v>8</v>
      </c>
      <c r="B15" s="168" t="s">
        <v>117</v>
      </c>
      <c r="C15" s="109" t="s">
        <v>116</v>
      </c>
      <c r="D15" s="27" t="s">
        <v>118</v>
      </c>
      <c r="E15" s="67"/>
      <c r="F15" s="64">
        <v>30</v>
      </c>
      <c r="G15" s="157"/>
      <c r="H15" s="27"/>
      <c r="I15" s="61"/>
      <c r="J15" s="62"/>
      <c r="K15" s="61"/>
      <c r="L15" s="61"/>
      <c r="M15" s="63"/>
      <c r="N15" s="27"/>
      <c r="O15" s="165"/>
      <c r="P15" s="165"/>
      <c r="Q15" s="174">
        <f t="shared" si="0"/>
        <v>30</v>
      </c>
    </row>
    <row r="16" spans="1:17" s="13" customFormat="1" ht="15.75" x14ac:dyDescent="0.25">
      <c r="A16" s="3">
        <v>9</v>
      </c>
      <c r="B16" s="64" t="s">
        <v>171</v>
      </c>
      <c r="C16" s="65" t="s">
        <v>201</v>
      </c>
      <c r="D16" s="167" t="s">
        <v>1202</v>
      </c>
      <c r="E16" s="67"/>
      <c r="F16" s="64"/>
      <c r="G16" s="157">
        <v>8</v>
      </c>
      <c r="H16" s="27"/>
      <c r="I16" s="61"/>
      <c r="J16" s="62"/>
      <c r="K16" s="61"/>
      <c r="L16" s="61"/>
      <c r="M16" s="63"/>
      <c r="N16" s="27"/>
      <c r="O16" s="165"/>
      <c r="P16" s="165"/>
      <c r="Q16" s="174">
        <f t="shared" si="0"/>
        <v>8</v>
      </c>
    </row>
    <row r="17" spans="1:17" s="13" customFormat="1" ht="15.75" x14ac:dyDescent="0.25">
      <c r="A17" s="3">
        <v>10</v>
      </c>
      <c r="B17" s="64" t="s">
        <v>156</v>
      </c>
      <c r="C17" s="65" t="s">
        <v>1111</v>
      </c>
      <c r="D17" s="167" t="s">
        <v>1201</v>
      </c>
      <c r="E17" s="67"/>
      <c r="F17" s="64"/>
      <c r="G17" s="157">
        <v>5</v>
      </c>
      <c r="H17" s="27"/>
      <c r="I17" s="61"/>
      <c r="J17" s="62"/>
      <c r="K17" s="61"/>
      <c r="L17" s="61"/>
      <c r="M17" s="63">
        <v>13</v>
      </c>
      <c r="N17" s="27"/>
      <c r="O17" s="165"/>
      <c r="P17" s="165"/>
      <c r="Q17" s="174">
        <f t="shared" si="0"/>
        <v>18</v>
      </c>
    </row>
    <row r="18" spans="1:17" s="13" customFormat="1" ht="31.5" x14ac:dyDescent="0.25">
      <c r="A18" s="3">
        <v>11</v>
      </c>
      <c r="B18" s="64" t="s">
        <v>150</v>
      </c>
      <c r="C18" s="65" t="s">
        <v>198</v>
      </c>
      <c r="D18" s="167" t="s">
        <v>1210</v>
      </c>
      <c r="E18" s="67"/>
      <c r="F18" s="64"/>
      <c r="G18" s="157">
        <v>2</v>
      </c>
      <c r="H18" s="27">
        <v>3</v>
      </c>
      <c r="I18" s="61"/>
      <c r="J18" s="62"/>
      <c r="K18" s="61"/>
      <c r="L18" s="61"/>
      <c r="M18" s="63"/>
      <c r="N18" s="27"/>
      <c r="O18" s="165"/>
      <c r="P18" s="165"/>
      <c r="Q18" s="174">
        <f t="shared" si="0"/>
        <v>5</v>
      </c>
    </row>
    <row r="19" spans="1:17" s="13" customFormat="1" ht="31.5" x14ac:dyDescent="0.25">
      <c r="A19" s="3">
        <v>12</v>
      </c>
      <c r="B19" s="64" t="s">
        <v>137</v>
      </c>
      <c r="C19" s="65" t="s">
        <v>199</v>
      </c>
      <c r="D19" s="64" t="s">
        <v>138</v>
      </c>
      <c r="E19" s="67"/>
      <c r="F19" s="64"/>
      <c r="G19" s="157">
        <v>5</v>
      </c>
      <c r="H19" s="27"/>
      <c r="I19" s="61"/>
      <c r="J19" s="62"/>
      <c r="K19" s="61"/>
      <c r="L19" s="61"/>
      <c r="M19" s="63"/>
      <c r="N19" s="27"/>
      <c r="O19" s="165"/>
      <c r="P19" s="165"/>
      <c r="Q19" s="174">
        <f t="shared" si="0"/>
        <v>5</v>
      </c>
    </row>
    <row r="20" spans="1:17" s="13" customFormat="1" ht="31.5" x14ac:dyDescent="0.25">
      <c r="A20" s="3">
        <v>13</v>
      </c>
      <c r="B20" s="64" t="s">
        <v>69</v>
      </c>
      <c r="C20" s="67" t="s">
        <v>68</v>
      </c>
      <c r="D20" s="167" t="s">
        <v>1206</v>
      </c>
      <c r="E20" s="67"/>
      <c r="F20" s="64"/>
      <c r="G20" s="157">
        <v>15</v>
      </c>
      <c r="H20" s="27">
        <v>5</v>
      </c>
      <c r="I20" s="61"/>
      <c r="J20" s="62"/>
      <c r="K20" s="61"/>
      <c r="L20" s="61"/>
      <c r="M20" s="63"/>
      <c r="N20" s="27"/>
      <c r="O20" s="165"/>
      <c r="P20" s="165"/>
      <c r="Q20" s="174">
        <f t="shared" si="0"/>
        <v>20</v>
      </c>
    </row>
    <row r="21" spans="1:17" s="13" customFormat="1" ht="15.75" x14ac:dyDescent="0.25">
      <c r="A21" s="3">
        <v>14</v>
      </c>
      <c r="B21" s="64" t="s">
        <v>147</v>
      </c>
      <c r="C21" s="67" t="s">
        <v>202</v>
      </c>
      <c r="D21" s="167" t="s">
        <v>1204</v>
      </c>
      <c r="E21" s="67"/>
      <c r="F21" s="64"/>
      <c r="G21" s="157">
        <v>15</v>
      </c>
      <c r="H21" s="27"/>
      <c r="I21" s="61"/>
      <c r="J21" s="62"/>
      <c r="K21" s="61"/>
      <c r="L21" s="61"/>
      <c r="M21" s="63"/>
      <c r="N21" s="27"/>
      <c r="O21" s="165"/>
      <c r="P21" s="165"/>
      <c r="Q21" s="174">
        <f t="shared" si="0"/>
        <v>15</v>
      </c>
    </row>
    <row r="22" spans="1:17" s="13" customFormat="1" ht="31.5" x14ac:dyDescent="0.25">
      <c r="A22" s="3">
        <v>15</v>
      </c>
      <c r="B22" s="64" t="s">
        <v>177</v>
      </c>
      <c r="C22" s="67" t="s">
        <v>203</v>
      </c>
      <c r="D22" s="64" t="s">
        <v>1211</v>
      </c>
      <c r="E22" s="67"/>
      <c r="F22" s="64"/>
      <c r="G22" s="157">
        <v>5</v>
      </c>
      <c r="H22" s="27"/>
      <c r="I22" s="61"/>
      <c r="J22" s="62"/>
      <c r="K22" s="61"/>
      <c r="L22" s="61"/>
      <c r="M22" s="63"/>
      <c r="N22" s="27"/>
      <c r="O22" s="165"/>
      <c r="P22" s="165"/>
      <c r="Q22" s="174">
        <f t="shared" si="0"/>
        <v>5</v>
      </c>
    </row>
    <row r="23" spans="1:17" s="13" customFormat="1" ht="15.75" x14ac:dyDescent="0.25">
      <c r="A23" s="3">
        <v>16</v>
      </c>
      <c r="B23" s="64" t="s">
        <v>280</v>
      </c>
      <c r="C23" s="67" t="s">
        <v>279</v>
      </c>
      <c r="D23" s="27" t="s">
        <v>1180</v>
      </c>
      <c r="E23" s="67"/>
      <c r="F23" s="64"/>
      <c r="G23" s="157">
        <v>5</v>
      </c>
      <c r="H23" s="27">
        <v>3</v>
      </c>
      <c r="I23" s="61"/>
      <c r="J23" s="62"/>
      <c r="K23" s="61"/>
      <c r="L23" s="61"/>
      <c r="M23" s="63">
        <v>10</v>
      </c>
      <c r="N23" s="27">
        <v>20</v>
      </c>
      <c r="O23" s="165"/>
      <c r="P23" s="165"/>
      <c r="Q23" s="174">
        <f t="shared" si="0"/>
        <v>38</v>
      </c>
    </row>
    <row r="24" spans="1:17" s="13" customFormat="1" ht="15.75" x14ac:dyDescent="0.25">
      <c r="A24" s="3">
        <v>17</v>
      </c>
      <c r="B24" s="64" t="s">
        <v>282</v>
      </c>
      <c r="C24" s="67" t="s">
        <v>281</v>
      </c>
      <c r="D24" s="27" t="s">
        <v>1180</v>
      </c>
      <c r="E24" s="67"/>
      <c r="F24" s="64"/>
      <c r="G24" s="157">
        <v>5</v>
      </c>
      <c r="H24" s="27"/>
      <c r="I24" s="61"/>
      <c r="J24" s="62"/>
      <c r="K24" s="61"/>
      <c r="L24" s="61"/>
      <c r="M24" s="63">
        <v>10</v>
      </c>
      <c r="N24" s="27"/>
      <c r="O24" s="165"/>
      <c r="P24" s="165"/>
      <c r="Q24" s="174">
        <f t="shared" si="0"/>
        <v>15</v>
      </c>
    </row>
    <row r="25" spans="1:17" s="13" customFormat="1" ht="15.75" x14ac:dyDescent="0.25">
      <c r="A25" s="3">
        <v>18</v>
      </c>
      <c r="B25" s="64" t="s">
        <v>286</v>
      </c>
      <c r="C25" s="67" t="s">
        <v>288</v>
      </c>
      <c r="D25" s="27" t="s">
        <v>1180</v>
      </c>
      <c r="E25" s="67"/>
      <c r="F25" s="64"/>
      <c r="G25" s="157">
        <v>5</v>
      </c>
      <c r="H25" s="27"/>
      <c r="I25" s="61"/>
      <c r="J25" s="62"/>
      <c r="K25" s="61"/>
      <c r="L25" s="61"/>
      <c r="M25" s="63">
        <v>10</v>
      </c>
      <c r="N25" s="27"/>
      <c r="O25" s="165"/>
      <c r="P25" s="165"/>
      <c r="Q25" s="174">
        <f t="shared" si="0"/>
        <v>15</v>
      </c>
    </row>
    <row r="26" spans="1:17" s="13" customFormat="1" ht="47.25" x14ac:dyDescent="0.25">
      <c r="A26" s="3">
        <v>19</v>
      </c>
      <c r="B26" s="64" t="s">
        <v>145</v>
      </c>
      <c r="C26" s="109" t="s">
        <v>144</v>
      </c>
      <c r="D26" s="27" t="s">
        <v>146</v>
      </c>
      <c r="E26" s="67"/>
      <c r="F26" s="64"/>
      <c r="G26" s="157">
        <v>2</v>
      </c>
      <c r="H26" s="27"/>
      <c r="I26" s="61"/>
      <c r="J26" s="62"/>
      <c r="K26" s="61"/>
      <c r="L26" s="61"/>
      <c r="M26" s="63"/>
      <c r="N26" s="27"/>
      <c r="O26" s="165"/>
      <c r="P26" s="165"/>
      <c r="Q26" s="174">
        <f t="shared" si="0"/>
        <v>2</v>
      </c>
    </row>
    <row r="27" spans="1:17" s="13" customFormat="1" ht="31.5" x14ac:dyDescent="0.25">
      <c r="A27" s="3">
        <v>20</v>
      </c>
      <c r="B27" s="64" t="s">
        <v>180</v>
      </c>
      <c r="C27" s="109" t="s">
        <v>226</v>
      </c>
      <c r="D27" s="27" t="s">
        <v>181</v>
      </c>
      <c r="E27" s="67"/>
      <c r="F27" s="64"/>
      <c r="G27" s="68">
        <v>5</v>
      </c>
      <c r="H27" s="27"/>
      <c r="I27" s="61"/>
      <c r="J27" s="62"/>
      <c r="K27" s="61"/>
      <c r="L27" s="61"/>
      <c r="M27" s="63"/>
      <c r="N27" s="27"/>
      <c r="O27" s="165"/>
      <c r="P27" s="165"/>
      <c r="Q27" s="174">
        <f t="shared" si="0"/>
        <v>5</v>
      </c>
    </row>
    <row r="28" spans="1:17" s="13" customFormat="1" ht="24" customHeight="1" x14ac:dyDescent="0.25">
      <c r="A28" s="3">
        <v>21</v>
      </c>
      <c r="B28" s="64" t="s">
        <v>186</v>
      </c>
      <c r="C28" s="109" t="s">
        <v>227</v>
      </c>
      <c r="D28" s="27" t="s">
        <v>187</v>
      </c>
      <c r="E28" s="67"/>
      <c r="F28" s="64"/>
      <c r="G28" s="68">
        <v>3</v>
      </c>
      <c r="H28" s="27"/>
      <c r="I28" s="61"/>
      <c r="J28" s="62"/>
      <c r="K28" s="61"/>
      <c r="L28" s="61"/>
      <c r="M28" s="63"/>
      <c r="N28" s="27"/>
      <c r="O28" s="165"/>
      <c r="P28" s="165"/>
      <c r="Q28" s="174">
        <f t="shared" si="0"/>
        <v>3</v>
      </c>
    </row>
    <row r="29" spans="1:17" s="13" customFormat="1" ht="15.75" x14ac:dyDescent="0.25">
      <c r="A29" s="3">
        <v>22</v>
      </c>
      <c r="B29" s="64" t="s">
        <v>189</v>
      </c>
      <c r="C29" s="109" t="s">
        <v>228</v>
      </c>
      <c r="D29" s="27" t="s">
        <v>190</v>
      </c>
      <c r="E29" s="67"/>
      <c r="F29" s="64"/>
      <c r="G29" s="68">
        <v>6</v>
      </c>
      <c r="H29" s="16"/>
      <c r="I29" s="61"/>
      <c r="J29" s="62"/>
      <c r="K29" s="61"/>
      <c r="L29" s="61"/>
      <c r="M29" s="63"/>
      <c r="N29" s="27"/>
      <c r="O29" s="165"/>
      <c r="P29" s="165"/>
      <c r="Q29" s="174">
        <f t="shared" si="0"/>
        <v>6</v>
      </c>
    </row>
    <row r="30" spans="1:17" s="13" customFormat="1" ht="31.5" x14ac:dyDescent="0.25">
      <c r="A30" s="3">
        <v>23</v>
      </c>
      <c r="B30" s="64" t="s">
        <v>191</v>
      </c>
      <c r="C30" s="109" t="s">
        <v>229</v>
      </c>
      <c r="D30" s="27" t="s">
        <v>192</v>
      </c>
      <c r="E30" s="109"/>
      <c r="F30" s="64"/>
      <c r="G30" s="68">
        <v>20</v>
      </c>
      <c r="H30" s="16"/>
      <c r="I30" s="68"/>
      <c r="J30" s="69"/>
      <c r="K30" s="68"/>
      <c r="L30" s="68"/>
      <c r="M30" s="70"/>
      <c r="N30" s="89"/>
      <c r="O30" s="165"/>
      <c r="P30" s="165"/>
      <c r="Q30" s="174">
        <f t="shared" si="0"/>
        <v>20</v>
      </c>
    </row>
    <row r="31" spans="1:17" s="13" customFormat="1" ht="31.5" x14ac:dyDescent="0.25">
      <c r="A31" s="3">
        <v>24</v>
      </c>
      <c r="B31" s="64" t="s">
        <v>238</v>
      </c>
      <c r="C31" s="109" t="s">
        <v>245</v>
      </c>
      <c r="D31" s="27" t="s">
        <v>239</v>
      </c>
      <c r="E31" s="67"/>
      <c r="F31" s="64"/>
      <c r="G31" s="68">
        <v>20</v>
      </c>
      <c r="H31" s="16"/>
      <c r="I31" s="61"/>
      <c r="J31" s="62"/>
      <c r="K31" s="61"/>
      <c r="L31" s="61"/>
      <c r="M31" s="63"/>
      <c r="N31" s="89"/>
      <c r="O31" s="165"/>
      <c r="P31" s="165"/>
      <c r="Q31" s="174">
        <f t="shared" si="0"/>
        <v>20</v>
      </c>
    </row>
    <row r="32" spans="1:17" s="13" customFormat="1" ht="31.5" x14ac:dyDescent="0.25">
      <c r="A32" s="3">
        <v>25</v>
      </c>
      <c r="B32" s="64" t="s">
        <v>241</v>
      </c>
      <c r="C32" s="109" t="s">
        <v>246</v>
      </c>
      <c r="D32" s="27" t="s">
        <v>239</v>
      </c>
      <c r="E32" s="67"/>
      <c r="F32" s="64"/>
      <c r="G32" s="68">
        <v>7</v>
      </c>
      <c r="H32" s="27"/>
      <c r="I32" s="61"/>
      <c r="J32" s="62"/>
      <c r="K32" s="61"/>
      <c r="L32" s="61"/>
      <c r="M32" s="63"/>
      <c r="N32" s="27"/>
      <c r="O32" s="165"/>
      <c r="P32" s="165"/>
      <c r="Q32" s="174">
        <f t="shared" si="0"/>
        <v>7</v>
      </c>
    </row>
    <row r="33" spans="1:17" s="13" customFormat="1" ht="31.5" x14ac:dyDescent="0.25">
      <c r="A33" s="3">
        <v>26</v>
      </c>
      <c r="B33" s="64" t="s">
        <v>242</v>
      </c>
      <c r="C33" s="109" t="s">
        <v>247</v>
      </c>
      <c r="D33" s="27" t="s">
        <v>240</v>
      </c>
      <c r="E33" s="67"/>
      <c r="F33" s="64"/>
      <c r="G33" s="68">
        <v>3</v>
      </c>
      <c r="H33" s="27">
        <v>3</v>
      </c>
      <c r="I33" s="61">
        <v>5</v>
      </c>
      <c r="J33" s="62"/>
      <c r="K33" s="61">
        <v>5</v>
      </c>
      <c r="L33" s="61">
        <v>5</v>
      </c>
      <c r="M33" s="63"/>
      <c r="N33" s="27"/>
      <c r="O33" s="165"/>
      <c r="P33" s="165"/>
      <c r="Q33" s="174">
        <f t="shared" si="0"/>
        <v>21</v>
      </c>
    </row>
    <row r="34" spans="1:17" s="13" customFormat="1" ht="15.75" x14ac:dyDescent="0.25">
      <c r="A34" s="3">
        <v>27</v>
      </c>
      <c r="B34" s="64" t="s">
        <v>64</v>
      </c>
      <c r="C34" s="109" t="s">
        <v>302</v>
      </c>
      <c r="D34" s="27" t="s">
        <v>1212</v>
      </c>
      <c r="E34" s="67"/>
      <c r="F34" s="64"/>
      <c r="G34" s="169"/>
      <c r="H34" s="27">
        <v>2</v>
      </c>
      <c r="I34" s="61"/>
      <c r="J34" s="62"/>
      <c r="K34" s="61"/>
      <c r="L34" s="61"/>
      <c r="M34" s="63"/>
      <c r="N34" s="27"/>
      <c r="O34" s="165"/>
      <c r="P34" s="165"/>
      <c r="Q34" s="174">
        <f t="shared" si="0"/>
        <v>2</v>
      </c>
    </row>
    <row r="35" spans="1:17" s="13" customFormat="1" ht="15.75" x14ac:dyDescent="0.25">
      <c r="A35" s="3">
        <v>28</v>
      </c>
      <c r="B35" s="64" t="s">
        <v>1213</v>
      </c>
      <c r="C35" s="67" t="s">
        <v>322</v>
      </c>
      <c r="D35" s="27" t="s">
        <v>1214</v>
      </c>
      <c r="E35" s="67"/>
      <c r="F35" s="64"/>
      <c r="G35" s="169"/>
      <c r="H35" s="27">
        <v>8</v>
      </c>
      <c r="I35" s="61"/>
      <c r="J35" s="62"/>
      <c r="K35" s="61"/>
      <c r="L35" s="61"/>
      <c r="M35" s="63"/>
      <c r="N35" s="27"/>
      <c r="O35" s="165"/>
      <c r="P35" s="165"/>
      <c r="Q35" s="174">
        <f t="shared" si="0"/>
        <v>8</v>
      </c>
    </row>
    <row r="36" spans="1:17" s="13" customFormat="1" ht="15.75" x14ac:dyDescent="0.25">
      <c r="A36" s="3">
        <v>29</v>
      </c>
      <c r="B36" s="64" t="s">
        <v>325</v>
      </c>
      <c r="C36" s="67" t="s">
        <v>324</v>
      </c>
      <c r="D36" s="64" t="s">
        <v>176</v>
      </c>
      <c r="E36" s="67"/>
      <c r="F36" s="64"/>
      <c r="G36" s="169"/>
      <c r="H36" s="27">
        <v>3</v>
      </c>
      <c r="I36" s="61"/>
      <c r="J36" s="62"/>
      <c r="K36" s="61"/>
      <c r="L36" s="61"/>
      <c r="M36" s="63"/>
      <c r="N36" s="27"/>
      <c r="O36" s="165"/>
      <c r="P36" s="165"/>
      <c r="Q36" s="174">
        <f t="shared" si="0"/>
        <v>3</v>
      </c>
    </row>
    <row r="37" spans="1:17" s="13" customFormat="1" ht="31.5" x14ac:dyDescent="0.25">
      <c r="A37" s="3">
        <v>30</v>
      </c>
      <c r="B37" s="64" t="s">
        <v>291</v>
      </c>
      <c r="C37" s="67" t="s">
        <v>290</v>
      </c>
      <c r="D37" s="64" t="s">
        <v>292</v>
      </c>
      <c r="E37" s="67"/>
      <c r="F37" s="64"/>
      <c r="G37" s="169"/>
      <c r="H37" s="27">
        <v>39</v>
      </c>
      <c r="I37" s="61"/>
      <c r="J37" s="62"/>
      <c r="K37" s="61"/>
      <c r="L37" s="61"/>
      <c r="M37" s="63"/>
      <c r="N37" s="27"/>
      <c r="O37" s="165"/>
      <c r="P37" s="165"/>
      <c r="Q37" s="174">
        <f t="shared" si="0"/>
        <v>39</v>
      </c>
    </row>
    <row r="38" spans="1:17" s="13" customFormat="1" ht="31.5" x14ac:dyDescent="0.25">
      <c r="A38" s="3">
        <v>31</v>
      </c>
      <c r="B38" s="64" t="s">
        <v>326</v>
      </c>
      <c r="C38" s="67" t="s">
        <v>327</v>
      </c>
      <c r="D38" s="64" t="s">
        <v>292</v>
      </c>
      <c r="E38" s="67"/>
      <c r="F38" s="64"/>
      <c r="G38" s="169"/>
      <c r="H38" s="27">
        <v>3</v>
      </c>
      <c r="I38" s="61"/>
      <c r="J38" s="62"/>
      <c r="K38" s="61"/>
      <c r="L38" s="61"/>
      <c r="M38" s="63"/>
      <c r="N38" s="27"/>
      <c r="O38" s="165"/>
      <c r="P38" s="165"/>
      <c r="Q38" s="174">
        <f t="shared" si="0"/>
        <v>3</v>
      </c>
    </row>
    <row r="39" spans="1:17" s="13" customFormat="1" ht="31.5" x14ac:dyDescent="0.25">
      <c r="A39" s="3">
        <v>32</v>
      </c>
      <c r="B39" s="64" t="s">
        <v>328</v>
      </c>
      <c r="C39" s="67" t="s">
        <v>329</v>
      </c>
      <c r="D39" s="64" t="s">
        <v>292</v>
      </c>
      <c r="E39" s="67"/>
      <c r="F39" s="64"/>
      <c r="G39" s="169"/>
      <c r="H39" s="27">
        <v>3</v>
      </c>
      <c r="I39" s="61"/>
      <c r="J39" s="62"/>
      <c r="K39" s="61"/>
      <c r="L39" s="61"/>
      <c r="M39" s="63"/>
      <c r="N39" s="27"/>
      <c r="O39" s="165"/>
      <c r="P39" s="165"/>
      <c r="Q39" s="174">
        <f t="shared" si="0"/>
        <v>3</v>
      </c>
    </row>
    <row r="40" spans="1:17" s="13" customFormat="1" ht="15.75" x14ac:dyDescent="0.25">
      <c r="A40" s="3">
        <v>33</v>
      </c>
      <c r="B40" s="64" t="s">
        <v>299</v>
      </c>
      <c r="C40" s="67" t="s">
        <v>298</v>
      </c>
      <c r="D40" s="27" t="s">
        <v>300</v>
      </c>
      <c r="E40" s="67"/>
      <c r="F40" s="64"/>
      <c r="G40" s="169"/>
      <c r="H40" s="68">
        <v>5</v>
      </c>
      <c r="I40" s="61"/>
      <c r="J40" s="62"/>
      <c r="K40" s="61"/>
      <c r="L40" s="61"/>
      <c r="M40" s="63"/>
      <c r="N40" s="27"/>
      <c r="O40" s="165"/>
      <c r="P40" s="165"/>
      <c r="Q40" s="174">
        <f t="shared" si="0"/>
        <v>5</v>
      </c>
    </row>
    <row r="41" spans="1:17" s="13" customFormat="1" ht="15.75" x14ac:dyDescent="0.25">
      <c r="A41" s="3">
        <v>34</v>
      </c>
      <c r="B41" s="64" t="s">
        <v>306</v>
      </c>
      <c r="C41" s="67" t="s">
        <v>305</v>
      </c>
      <c r="D41" s="27" t="s">
        <v>316</v>
      </c>
      <c r="E41" s="67"/>
      <c r="F41" s="64"/>
      <c r="G41" s="169"/>
      <c r="H41" s="118">
        <v>5</v>
      </c>
      <c r="I41" s="61"/>
      <c r="J41" s="62"/>
      <c r="K41" s="61"/>
      <c r="L41" s="61"/>
      <c r="M41" s="63"/>
      <c r="N41" s="27">
        <v>5</v>
      </c>
      <c r="O41" s="165"/>
      <c r="P41" s="165"/>
      <c r="Q41" s="174">
        <f t="shared" si="0"/>
        <v>10</v>
      </c>
    </row>
    <row r="42" spans="1:17" s="13" customFormat="1" ht="31.5" x14ac:dyDescent="0.25">
      <c r="A42" s="3">
        <v>35</v>
      </c>
      <c r="B42" s="64" t="s">
        <v>308</v>
      </c>
      <c r="C42" s="67" t="s">
        <v>307</v>
      </c>
      <c r="D42" s="27" t="s">
        <v>315</v>
      </c>
      <c r="E42" s="67"/>
      <c r="F42" s="64"/>
      <c r="G42" s="169"/>
      <c r="H42" s="118">
        <v>5</v>
      </c>
      <c r="I42" s="61"/>
      <c r="J42" s="62"/>
      <c r="K42" s="61"/>
      <c r="L42" s="61"/>
      <c r="M42" s="63"/>
      <c r="N42" s="27"/>
      <c r="O42" s="165"/>
      <c r="P42" s="165"/>
      <c r="Q42" s="174">
        <f t="shared" si="0"/>
        <v>5</v>
      </c>
    </row>
    <row r="43" spans="1:17" s="13" customFormat="1" ht="15.75" x14ac:dyDescent="0.25">
      <c r="A43" s="3">
        <v>36</v>
      </c>
      <c r="B43" s="64" t="s">
        <v>310</v>
      </c>
      <c r="C43" s="67" t="s">
        <v>309</v>
      </c>
      <c r="D43" s="64" t="s">
        <v>314</v>
      </c>
      <c r="E43" s="67"/>
      <c r="F43" s="64"/>
      <c r="G43" s="169"/>
      <c r="H43" s="118">
        <v>5</v>
      </c>
      <c r="I43" s="61"/>
      <c r="J43" s="62"/>
      <c r="K43" s="61"/>
      <c r="L43" s="61"/>
      <c r="M43" s="63"/>
      <c r="N43" s="27"/>
      <c r="O43" s="165"/>
      <c r="P43" s="165"/>
      <c r="Q43" s="174">
        <f t="shared" si="0"/>
        <v>5</v>
      </c>
    </row>
    <row r="44" spans="1:17" s="13" customFormat="1" ht="15.75" x14ac:dyDescent="0.25">
      <c r="A44" s="3">
        <v>37</v>
      </c>
      <c r="B44" s="64" t="s">
        <v>311</v>
      </c>
      <c r="C44" s="67" t="s">
        <v>312</v>
      </c>
      <c r="D44" s="27" t="s">
        <v>313</v>
      </c>
      <c r="E44" s="67"/>
      <c r="F44" s="64"/>
      <c r="G44" s="169"/>
      <c r="H44" s="68">
        <v>10</v>
      </c>
      <c r="I44" s="61"/>
      <c r="J44" s="62"/>
      <c r="K44" s="61"/>
      <c r="L44" s="61"/>
      <c r="M44" s="63"/>
      <c r="N44" s="27"/>
      <c r="O44" s="165"/>
      <c r="P44" s="165"/>
      <c r="Q44" s="174">
        <f t="shared" si="0"/>
        <v>10</v>
      </c>
    </row>
    <row r="45" spans="1:17" s="13" customFormat="1" ht="31.5" x14ac:dyDescent="0.25">
      <c r="A45" s="3">
        <v>38</v>
      </c>
      <c r="B45" s="64" t="s">
        <v>318</v>
      </c>
      <c r="C45" s="67" t="s">
        <v>319</v>
      </c>
      <c r="D45" s="27" t="s">
        <v>341</v>
      </c>
      <c r="E45" s="67"/>
      <c r="F45" s="64"/>
      <c r="G45" s="169"/>
      <c r="H45" s="68">
        <v>15</v>
      </c>
      <c r="I45" s="61"/>
      <c r="J45" s="62"/>
      <c r="K45" s="61"/>
      <c r="L45" s="61"/>
      <c r="M45" s="63"/>
      <c r="N45" s="27">
        <v>2</v>
      </c>
      <c r="O45" s="165"/>
      <c r="P45" s="165"/>
      <c r="Q45" s="174">
        <f t="shared" si="0"/>
        <v>17</v>
      </c>
    </row>
    <row r="46" spans="1:17" s="13" customFormat="1" ht="31.5" x14ac:dyDescent="0.25">
      <c r="A46" s="3">
        <v>39</v>
      </c>
      <c r="B46" s="64" t="s">
        <v>330</v>
      </c>
      <c r="C46" s="67" t="s">
        <v>331</v>
      </c>
      <c r="D46" s="27" t="s">
        <v>332</v>
      </c>
      <c r="E46" s="67"/>
      <c r="F46" s="64"/>
      <c r="G46" s="169"/>
      <c r="H46" s="68">
        <v>10</v>
      </c>
      <c r="I46" s="61"/>
      <c r="J46" s="62"/>
      <c r="K46" s="61"/>
      <c r="L46" s="61"/>
      <c r="M46" s="63"/>
      <c r="N46" s="27"/>
      <c r="O46" s="165"/>
      <c r="P46" s="165"/>
      <c r="Q46" s="174">
        <f t="shared" si="0"/>
        <v>10</v>
      </c>
    </row>
    <row r="47" spans="1:17" s="13" customFormat="1" ht="31.5" x14ac:dyDescent="0.25">
      <c r="A47" s="3">
        <v>40</v>
      </c>
      <c r="B47" s="64" t="s">
        <v>334</v>
      </c>
      <c r="C47" s="67" t="s">
        <v>335</v>
      </c>
      <c r="D47" s="27" t="s">
        <v>336</v>
      </c>
      <c r="E47" s="67"/>
      <c r="F47" s="64"/>
      <c r="G47" s="169"/>
      <c r="H47" s="68">
        <v>10</v>
      </c>
      <c r="I47" s="61"/>
      <c r="J47" s="62"/>
      <c r="K47" s="61"/>
      <c r="L47" s="61"/>
      <c r="M47" s="63"/>
      <c r="N47" s="27"/>
      <c r="O47" s="165"/>
      <c r="P47" s="165"/>
      <c r="Q47" s="174">
        <f t="shared" si="0"/>
        <v>10</v>
      </c>
    </row>
    <row r="48" spans="1:17" s="13" customFormat="1" ht="31.5" x14ac:dyDescent="0.25">
      <c r="A48" s="3">
        <v>41</v>
      </c>
      <c r="B48" s="64" t="s">
        <v>337</v>
      </c>
      <c r="C48" s="67" t="s">
        <v>338</v>
      </c>
      <c r="D48" s="27" t="s">
        <v>339</v>
      </c>
      <c r="E48" s="67"/>
      <c r="F48" s="64"/>
      <c r="G48" s="169"/>
      <c r="H48" s="68">
        <v>12</v>
      </c>
      <c r="I48" s="61"/>
      <c r="J48" s="62"/>
      <c r="K48" s="61"/>
      <c r="L48" s="61"/>
      <c r="M48" s="63"/>
      <c r="N48" s="27"/>
      <c r="O48" s="165"/>
      <c r="P48" s="165"/>
      <c r="Q48" s="174">
        <f t="shared" si="0"/>
        <v>12</v>
      </c>
    </row>
    <row r="49" spans="1:17" s="13" customFormat="1" ht="15.75" x14ac:dyDescent="0.25">
      <c r="A49" s="3">
        <v>42</v>
      </c>
      <c r="B49" s="170" t="s">
        <v>238</v>
      </c>
      <c r="C49" s="109" t="s">
        <v>245</v>
      </c>
      <c r="D49" s="171" t="s">
        <v>1215</v>
      </c>
      <c r="E49" s="67"/>
      <c r="F49" s="64"/>
      <c r="G49" s="169"/>
      <c r="H49" s="172">
        <v>20</v>
      </c>
      <c r="I49" s="61"/>
      <c r="J49" s="62"/>
      <c r="K49" s="61"/>
      <c r="L49" s="61"/>
      <c r="M49" s="63"/>
      <c r="N49" s="27"/>
      <c r="O49" s="165"/>
      <c r="P49" s="165"/>
      <c r="Q49" s="174">
        <f t="shared" si="0"/>
        <v>20</v>
      </c>
    </row>
    <row r="50" spans="1:17" s="13" customFormat="1" ht="15.75" x14ac:dyDescent="0.25">
      <c r="A50" s="3">
        <v>43</v>
      </c>
      <c r="B50" s="170" t="s">
        <v>241</v>
      </c>
      <c r="C50" s="109" t="s">
        <v>246</v>
      </c>
      <c r="D50" s="171" t="s">
        <v>1215</v>
      </c>
      <c r="E50" s="67"/>
      <c r="F50" s="64"/>
      <c r="G50" s="169"/>
      <c r="H50" s="172">
        <v>7</v>
      </c>
      <c r="I50" s="61">
        <v>11</v>
      </c>
      <c r="J50" s="62"/>
      <c r="K50" s="61"/>
      <c r="L50" s="61"/>
      <c r="M50" s="63"/>
      <c r="N50" s="27"/>
      <c r="O50" s="165"/>
      <c r="P50" s="165"/>
      <c r="Q50" s="174">
        <f t="shared" si="0"/>
        <v>18</v>
      </c>
    </row>
    <row r="51" spans="1:17" s="13" customFormat="1" ht="31.5" x14ac:dyDescent="0.25">
      <c r="A51" s="3">
        <v>44</v>
      </c>
      <c r="B51" s="170" t="s">
        <v>348</v>
      </c>
      <c r="C51" s="109" t="s">
        <v>343</v>
      </c>
      <c r="D51" s="171" t="s">
        <v>1216</v>
      </c>
      <c r="E51" s="67"/>
      <c r="F51" s="64"/>
      <c r="G51" s="169"/>
      <c r="H51" s="172">
        <v>5</v>
      </c>
      <c r="I51" s="61"/>
      <c r="J51" s="62"/>
      <c r="K51" s="61"/>
      <c r="L51" s="61"/>
      <c r="M51" s="63"/>
      <c r="N51" s="27"/>
      <c r="O51" s="165"/>
      <c r="P51" s="165"/>
      <c r="Q51" s="174">
        <f t="shared" si="0"/>
        <v>5</v>
      </c>
    </row>
    <row r="52" spans="1:17" s="13" customFormat="1" ht="31.5" x14ac:dyDescent="0.25">
      <c r="A52" s="3">
        <v>45</v>
      </c>
      <c r="B52" s="170" t="s">
        <v>344</v>
      </c>
      <c r="C52" s="109" t="s">
        <v>347</v>
      </c>
      <c r="D52" s="171" t="s">
        <v>1216</v>
      </c>
      <c r="E52" s="67"/>
      <c r="F52" s="64"/>
      <c r="G52" s="169"/>
      <c r="H52" s="172">
        <v>5</v>
      </c>
      <c r="I52" s="61"/>
      <c r="J52" s="62"/>
      <c r="K52" s="61"/>
      <c r="L52" s="61"/>
      <c r="M52" s="63"/>
      <c r="N52" s="27"/>
      <c r="O52" s="165"/>
      <c r="P52" s="165"/>
      <c r="Q52" s="174">
        <f t="shared" si="0"/>
        <v>5</v>
      </c>
    </row>
    <row r="53" spans="1:17" s="13" customFormat="1" ht="31.5" x14ac:dyDescent="0.25">
      <c r="A53" s="3">
        <v>46</v>
      </c>
      <c r="B53" s="170" t="s">
        <v>356</v>
      </c>
      <c r="C53" s="109" t="s">
        <v>355</v>
      </c>
      <c r="D53" s="171" t="s">
        <v>1216</v>
      </c>
      <c r="E53" s="67"/>
      <c r="F53" s="64"/>
      <c r="G53" s="169"/>
      <c r="H53" s="172">
        <v>2</v>
      </c>
      <c r="I53" s="61"/>
      <c r="J53" s="62"/>
      <c r="K53" s="61"/>
      <c r="L53" s="61"/>
      <c r="M53" s="63"/>
      <c r="N53" s="27"/>
      <c r="O53" s="165"/>
      <c r="P53" s="165"/>
      <c r="Q53" s="174">
        <f t="shared" si="0"/>
        <v>2</v>
      </c>
    </row>
    <row r="54" spans="1:17" s="13" customFormat="1" ht="31.5" x14ac:dyDescent="0.25">
      <c r="A54" s="3">
        <v>47</v>
      </c>
      <c r="B54" s="64" t="s">
        <v>397</v>
      </c>
      <c r="C54" s="67" t="s">
        <v>480</v>
      </c>
      <c r="D54" s="64" t="s">
        <v>371</v>
      </c>
      <c r="E54" s="67"/>
      <c r="F54" s="64"/>
      <c r="G54" s="169"/>
      <c r="H54" s="27"/>
      <c r="I54" s="61">
        <v>11</v>
      </c>
      <c r="J54" s="62"/>
      <c r="K54" s="61"/>
      <c r="L54" s="61"/>
      <c r="M54" s="63"/>
      <c r="N54" s="27"/>
      <c r="O54" s="165"/>
      <c r="P54" s="165"/>
      <c r="Q54" s="174">
        <f t="shared" si="0"/>
        <v>11</v>
      </c>
    </row>
    <row r="55" spans="1:17" s="13" customFormat="1" ht="31.5" x14ac:dyDescent="0.25">
      <c r="A55" s="3">
        <v>48</v>
      </c>
      <c r="B55" s="64" t="s">
        <v>381</v>
      </c>
      <c r="C55" s="67" t="s">
        <v>481</v>
      </c>
      <c r="D55" s="64" t="s">
        <v>371</v>
      </c>
      <c r="E55" s="67"/>
      <c r="F55" s="64"/>
      <c r="G55" s="169"/>
      <c r="H55" s="27"/>
      <c r="I55" s="61">
        <v>23</v>
      </c>
      <c r="J55" s="62"/>
      <c r="K55" s="61"/>
      <c r="L55" s="61"/>
      <c r="M55" s="63"/>
      <c r="N55" s="27"/>
      <c r="O55" s="165"/>
      <c r="P55" s="165"/>
      <c r="Q55" s="174">
        <f t="shared" si="0"/>
        <v>23</v>
      </c>
    </row>
    <row r="56" spans="1:17" s="13" customFormat="1" ht="31.5" x14ac:dyDescent="0.25">
      <c r="A56" s="3">
        <v>49</v>
      </c>
      <c r="B56" s="64" t="s">
        <v>466</v>
      </c>
      <c r="C56" s="67" t="s">
        <v>465</v>
      </c>
      <c r="D56" s="64" t="s">
        <v>467</v>
      </c>
      <c r="E56" s="67"/>
      <c r="F56" s="64"/>
      <c r="G56" s="169"/>
      <c r="H56" s="27"/>
      <c r="I56" s="108">
        <v>5</v>
      </c>
      <c r="J56" s="62"/>
      <c r="K56" s="61">
        <v>6</v>
      </c>
      <c r="L56" s="61"/>
      <c r="M56" s="63"/>
      <c r="N56" s="27"/>
      <c r="O56" s="165"/>
      <c r="P56" s="165"/>
      <c r="Q56" s="174">
        <f t="shared" si="0"/>
        <v>11</v>
      </c>
    </row>
    <row r="57" spans="1:17" s="13" customFormat="1" ht="15.75" x14ac:dyDescent="0.25">
      <c r="A57" s="3">
        <v>50</v>
      </c>
      <c r="B57" s="64" t="s">
        <v>361</v>
      </c>
      <c r="C57" s="67" t="s">
        <v>369</v>
      </c>
      <c r="D57" s="64" t="s">
        <v>1217</v>
      </c>
      <c r="E57" s="67"/>
      <c r="F57" s="64"/>
      <c r="G57" s="169"/>
      <c r="H57" s="27"/>
      <c r="I57" s="61">
        <v>3</v>
      </c>
      <c r="J57" s="62"/>
      <c r="K57" s="61"/>
      <c r="L57" s="61"/>
      <c r="M57" s="63"/>
      <c r="N57" s="27"/>
      <c r="O57" s="165"/>
      <c r="P57" s="165"/>
      <c r="Q57" s="174">
        <f t="shared" si="0"/>
        <v>3</v>
      </c>
    </row>
    <row r="58" spans="1:17" s="13" customFormat="1" ht="31.5" x14ac:dyDescent="0.25">
      <c r="A58" s="3">
        <v>51</v>
      </c>
      <c r="B58" s="64" t="s">
        <v>364</v>
      </c>
      <c r="C58" s="67" t="s">
        <v>368</v>
      </c>
      <c r="D58" s="64" t="s">
        <v>1218</v>
      </c>
      <c r="E58" s="67"/>
      <c r="F58" s="64"/>
      <c r="G58" s="169"/>
      <c r="H58" s="27"/>
      <c r="I58" s="61">
        <v>2</v>
      </c>
      <c r="J58" s="62"/>
      <c r="K58" s="61"/>
      <c r="L58" s="61"/>
      <c r="M58" s="63"/>
      <c r="N58" s="27"/>
      <c r="O58" s="165"/>
      <c r="P58" s="165"/>
      <c r="Q58" s="174">
        <f t="shared" si="0"/>
        <v>2</v>
      </c>
    </row>
    <row r="59" spans="1:17" s="13" customFormat="1" ht="15.75" x14ac:dyDescent="0.25">
      <c r="A59" s="3">
        <v>52</v>
      </c>
      <c r="B59" s="64" t="s">
        <v>366</v>
      </c>
      <c r="C59" s="67" t="s">
        <v>367</v>
      </c>
      <c r="D59" s="64" t="s">
        <v>1220</v>
      </c>
      <c r="E59" s="67"/>
      <c r="F59" s="64"/>
      <c r="G59" s="169"/>
      <c r="H59" s="27"/>
      <c r="I59" s="61">
        <v>16</v>
      </c>
      <c r="J59" s="62"/>
      <c r="K59" s="61"/>
      <c r="L59" s="61"/>
      <c r="M59" s="63"/>
      <c r="N59" s="27"/>
      <c r="O59" s="165"/>
      <c r="P59" s="165"/>
      <c r="Q59" s="174">
        <f t="shared" si="0"/>
        <v>16</v>
      </c>
    </row>
    <row r="60" spans="1:17" s="13" customFormat="1" ht="31.5" x14ac:dyDescent="0.25">
      <c r="A60" s="3">
        <v>53</v>
      </c>
      <c r="B60" s="64" t="s">
        <v>386</v>
      </c>
      <c r="C60" s="67" t="s">
        <v>476</v>
      </c>
      <c r="D60" s="64" t="s">
        <v>387</v>
      </c>
      <c r="E60" s="67"/>
      <c r="F60" s="64"/>
      <c r="G60" s="169"/>
      <c r="H60" s="27"/>
      <c r="I60" s="61">
        <v>5</v>
      </c>
      <c r="J60" s="62"/>
      <c r="K60" s="61"/>
      <c r="L60" s="61"/>
      <c r="M60" s="63"/>
      <c r="N60" s="27"/>
      <c r="O60" s="165"/>
      <c r="P60" s="165"/>
      <c r="Q60" s="174">
        <f t="shared" si="0"/>
        <v>5</v>
      </c>
    </row>
    <row r="61" spans="1:17" s="13" customFormat="1" ht="31.5" x14ac:dyDescent="0.25">
      <c r="A61" s="3">
        <v>54</v>
      </c>
      <c r="B61" s="64" t="s">
        <v>389</v>
      </c>
      <c r="C61" s="67" t="s">
        <v>477</v>
      </c>
      <c r="D61" s="64" t="s">
        <v>390</v>
      </c>
      <c r="E61" s="67"/>
      <c r="F61" s="64"/>
      <c r="G61" s="169"/>
      <c r="H61" s="27"/>
      <c r="I61" s="61">
        <v>3</v>
      </c>
      <c r="J61" s="62"/>
      <c r="K61" s="61"/>
      <c r="L61" s="61"/>
      <c r="M61" s="63"/>
      <c r="N61" s="27"/>
      <c r="O61" s="165"/>
      <c r="P61" s="165"/>
      <c r="Q61" s="174">
        <f t="shared" si="0"/>
        <v>3</v>
      </c>
    </row>
    <row r="62" spans="1:17" s="13" customFormat="1" ht="31.5" x14ac:dyDescent="0.25">
      <c r="A62" s="3">
        <v>55</v>
      </c>
      <c r="B62" s="64" t="s">
        <v>394</v>
      </c>
      <c r="C62" s="67" t="s">
        <v>478</v>
      </c>
      <c r="D62" s="64" t="s">
        <v>1219</v>
      </c>
      <c r="E62" s="67"/>
      <c r="F62" s="64"/>
      <c r="G62" s="169"/>
      <c r="H62" s="27"/>
      <c r="I62" s="61">
        <v>3</v>
      </c>
      <c r="J62" s="62"/>
      <c r="K62" s="61"/>
      <c r="L62" s="61"/>
      <c r="M62" s="63"/>
      <c r="N62" s="27"/>
      <c r="O62" s="165"/>
      <c r="P62" s="165"/>
      <c r="Q62" s="174">
        <f t="shared" si="0"/>
        <v>3</v>
      </c>
    </row>
    <row r="63" spans="1:17" s="13" customFormat="1" ht="31.5" x14ac:dyDescent="0.25">
      <c r="A63" s="3">
        <v>56</v>
      </c>
      <c r="B63" s="64" t="s">
        <v>486</v>
      </c>
      <c r="C63" s="67" t="s">
        <v>485</v>
      </c>
      <c r="D63" s="64" t="s">
        <v>1221</v>
      </c>
      <c r="E63" s="67"/>
      <c r="F63" s="64"/>
      <c r="G63" s="169"/>
      <c r="H63" s="27"/>
      <c r="I63" s="61">
        <v>22</v>
      </c>
      <c r="J63" s="62"/>
      <c r="K63" s="61"/>
      <c r="L63" s="61"/>
      <c r="M63" s="63"/>
      <c r="N63" s="27"/>
      <c r="O63" s="165"/>
      <c r="P63" s="165"/>
      <c r="Q63" s="174">
        <f t="shared" si="0"/>
        <v>22</v>
      </c>
    </row>
    <row r="64" spans="1:17" s="13" customFormat="1" ht="31.5" x14ac:dyDescent="0.25">
      <c r="A64" s="3">
        <v>57</v>
      </c>
      <c r="B64" s="64" t="s">
        <v>378</v>
      </c>
      <c r="C64" s="67" t="s">
        <v>398</v>
      </c>
      <c r="D64" s="64" t="s">
        <v>379</v>
      </c>
      <c r="E64" s="67"/>
      <c r="F64" s="64"/>
      <c r="G64" s="169"/>
      <c r="H64" s="27"/>
      <c r="I64" s="61">
        <v>8</v>
      </c>
      <c r="J64" s="62"/>
      <c r="K64" s="61">
        <v>5</v>
      </c>
      <c r="L64" s="61"/>
      <c r="M64" s="63"/>
      <c r="N64" s="27"/>
      <c r="O64" s="165"/>
      <c r="P64" s="165"/>
      <c r="Q64" s="174">
        <f t="shared" si="0"/>
        <v>13</v>
      </c>
    </row>
    <row r="65" spans="1:17" s="13" customFormat="1" ht="31.5" x14ac:dyDescent="0.25">
      <c r="A65" s="3">
        <v>58</v>
      </c>
      <c r="B65" s="64" t="s">
        <v>383</v>
      </c>
      <c r="C65" s="67" t="s">
        <v>400</v>
      </c>
      <c r="D65" s="64" t="s">
        <v>384</v>
      </c>
      <c r="E65" s="67"/>
      <c r="F65" s="64"/>
      <c r="G65" s="169"/>
      <c r="H65" s="27"/>
      <c r="I65" s="61">
        <v>19</v>
      </c>
      <c r="J65" s="62"/>
      <c r="K65" s="61"/>
      <c r="L65" s="61"/>
      <c r="M65" s="63"/>
      <c r="N65" s="27"/>
      <c r="O65" s="165"/>
      <c r="P65" s="165"/>
      <c r="Q65" s="174">
        <f t="shared" si="0"/>
        <v>19</v>
      </c>
    </row>
    <row r="66" spans="1:17" s="13" customFormat="1" ht="31.5" x14ac:dyDescent="0.25">
      <c r="A66" s="3">
        <v>59</v>
      </c>
      <c r="B66" s="64" t="s">
        <v>391</v>
      </c>
      <c r="C66" s="67" t="s">
        <v>401</v>
      </c>
      <c r="D66" s="64" t="s">
        <v>392</v>
      </c>
      <c r="E66" s="67"/>
      <c r="F66" s="64"/>
      <c r="G66" s="169"/>
      <c r="H66" s="27"/>
      <c r="I66" s="61">
        <v>14</v>
      </c>
      <c r="J66" s="62"/>
      <c r="K66" s="61"/>
      <c r="L66" s="61"/>
      <c r="M66" s="63"/>
      <c r="N66" s="27"/>
      <c r="O66" s="165"/>
      <c r="P66" s="165"/>
      <c r="Q66" s="174">
        <f t="shared" si="0"/>
        <v>14</v>
      </c>
    </row>
    <row r="67" spans="1:17" s="13" customFormat="1" ht="31.5" x14ac:dyDescent="0.25">
      <c r="A67" s="3">
        <v>60</v>
      </c>
      <c r="B67" s="64" t="s">
        <v>432</v>
      </c>
      <c r="C67" s="67" t="s">
        <v>431</v>
      </c>
      <c r="D67" s="64" t="s">
        <v>433</v>
      </c>
      <c r="E67" s="67"/>
      <c r="F67" s="64"/>
      <c r="G67" s="169"/>
      <c r="H67" s="27"/>
      <c r="I67" s="118">
        <v>3</v>
      </c>
      <c r="J67" s="62"/>
      <c r="K67" s="61">
        <v>18</v>
      </c>
      <c r="L67" s="61"/>
      <c r="M67" s="63"/>
      <c r="N67" s="27"/>
      <c r="O67" s="165"/>
      <c r="P67" s="165"/>
      <c r="Q67" s="174">
        <f t="shared" si="0"/>
        <v>21</v>
      </c>
    </row>
    <row r="68" spans="1:17" s="13" customFormat="1" ht="31.5" x14ac:dyDescent="0.25">
      <c r="A68" s="3">
        <v>61</v>
      </c>
      <c r="B68" s="64" t="s">
        <v>437</v>
      </c>
      <c r="C68" s="67" t="s">
        <v>435</v>
      </c>
      <c r="D68" s="27" t="s">
        <v>436</v>
      </c>
      <c r="E68" s="67"/>
      <c r="F68" s="64"/>
      <c r="G68" s="169"/>
      <c r="H68" s="27"/>
      <c r="I68" s="68">
        <v>2</v>
      </c>
      <c r="J68" s="62"/>
      <c r="K68" s="61"/>
      <c r="L68" s="61"/>
      <c r="M68" s="63"/>
      <c r="N68" s="27"/>
      <c r="O68" s="165"/>
      <c r="P68" s="165"/>
      <c r="Q68" s="174">
        <f t="shared" si="0"/>
        <v>2</v>
      </c>
    </row>
    <row r="69" spans="1:17" s="13" customFormat="1" ht="31.5" x14ac:dyDescent="0.25">
      <c r="A69" s="3">
        <v>62</v>
      </c>
      <c r="B69" s="64" t="s">
        <v>440</v>
      </c>
      <c r="C69" s="67" t="s">
        <v>439</v>
      </c>
      <c r="D69" s="27" t="s">
        <v>436</v>
      </c>
      <c r="E69" s="67"/>
      <c r="F69" s="64"/>
      <c r="G69" s="169"/>
      <c r="H69" s="27"/>
      <c r="I69" s="68">
        <v>2</v>
      </c>
      <c r="J69" s="62"/>
      <c r="K69" s="61"/>
      <c r="L69" s="61"/>
      <c r="M69" s="63"/>
      <c r="N69" s="27"/>
      <c r="O69" s="165"/>
      <c r="P69" s="165"/>
      <c r="Q69" s="174">
        <f t="shared" si="0"/>
        <v>2</v>
      </c>
    </row>
    <row r="70" spans="1:17" s="13" customFormat="1" ht="31.5" x14ac:dyDescent="0.25">
      <c r="A70" s="3">
        <v>63</v>
      </c>
      <c r="B70" s="64" t="s">
        <v>442</v>
      </c>
      <c r="C70" s="67" t="s">
        <v>441</v>
      </c>
      <c r="D70" s="27" t="s">
        <v>436</v>
      </c>
      <c r="E70" s="67"/>
      <c r="F70" s="64"/>
      <c r="G70" s="169"/>
      <c r="H70" s="27"/>
      <c r="I70" s="68">
        <v>2</v>
      </c>
      <c r="J70" s="62"/>
      <c r="K70" s="61"/>
      <c r="L70" s="61"/>
      <c r="M70" s="63"/>
      <c r="N70" s="27"/>
      <c r="O70" s="165"/>
      <c r="P70" s="165"/>
      <c r="Q70" s="174">
        <f t="shared" si="0"/>
        <v>2</v>
      </c>
    </row>
    <row r="71" spans="1:17" s="13" customFormat="1" ht="31.5" x14ac:dyDescent="0.25">
      <c r="A71" s="3">
        <v>64</v>
      </c>
      <c r="B71" s="64" t="s">
        <v>444</v>
      </c>
      <c r="C71" s="67" t="s">
        <v>443</v>
      </c>
      <c r="D71" s="27" t="s">
        <v>445</v>
      </c>
      <c r="E71" s="67"/>
      <c r="F71" s="64"/>
      <c r="G71" s="169"/>
      <c r="H71" s="27"/>
      <c r="I71" s="68">
        <v>3</v>
      </c>
      <c r="J71" s="62"/>
      <c r="K71" s="61"/>
      <c r="L71" s="61"/>
      <c r="M71" s="63"/>
      <c r="N71" s="27"/>
      <c r="O71" s="165"/>
      <c r="P71" s="165"/>
      <c r="Q71" s="174">
        <f t="shared" si="0"/>
        <v>3</v>
      </c>
    </row>
    <row r="72" spans="1:17" s="13" customFormat="1" ht="31.5" x14ac:dyDescent="0.25">
      <c r="A72" s="3">
        <v>65</v>
      </c>
      <c r="B72" s="64" t="s">
        <v>447</v>
      </c>
      <c r="C72" s="67" t="s">
        <v>446</v>
      </c>
      <c r="D72" s="27" t="s">
        <v>445</v>
      </c>
      <c r="E72" s="67"/>
      <c r="F72" s="64"/>
      <c r="G72" s="169"/>
      <c r="H72" s="27"/>
      <c r="I72" s="68">
        <v>3</v>
      </c>
      <c r="J72" s="62"/>
      <c r="K72" s="61"/>
      <c r="L72" s="61"/>
      <c r="M72" s="63"/>
      <c r="N72" s="27"/>
      <c r="O72" s="165"/>
      <c r="P72" s="165"/>
      <c r="Q72" s="174">
        <f t="shared" si="0"/>
        <v>3</v>
      </c>
    </row>
    <row r="73" spans="1:17" s="13" customFormat="1" ht="15.75" x14ac:dyDescent="0.25">
      <c r="A73" s="3">
        <v>66</v>
      </c>
      <c r="B73" s="64" t="s">
        <v>449</v>
      </c>
      <c r="C73" s="67" t="s">
        <v>448</v>
      </c>
      <c r="D73" s="27" t="s">
        <v>450</v>
      </c>
      <c r="E73" s="67"/>
      <c r="F73" s="64"/>
      <c r="G73" s="169"/>
      <c r="H73" s="27"/>
      <c r="I73" s="68">
        <v>2</v>
      </c>
      <c r="J73" s="62"/>
      <c r="K73" s="61"/>
      <c r="L73" s="61"/>
      <c r="M73" s="63"/>
      <c r="N73" s="27"/>
      <c r="O73" s="165"/>
      <c r="P73" s="165"/>
      <c r="Q73" s="174">
        <f t="shared" ref="Q73:Q136" si="1">SUM(E73,F73:P73)</f>
        <v>2</v>
      </c>
    </row>
    <row r="74" spans="1:17" s="13" customFormat="1" ht="15.75" x14ac:dyDescent="0.25">
      <c r="A74" s="3">
        <v>67</v>
      </c>
      <c r="B74" s="64" t="s">
        <v>452</v>
      </c>
      <c r="C74" s="67" t="s">
        <v>451</v>
      </c>
      <c r="D74" s="27" t="s">
        <v>450</v>
      </c>
      <c r="E74" s="67"/>
      <c r="F74" s="64"/>
      <c r="G74" s="169"/>
      <c r="H74" s="27"/>
      <c r="I74" s="68">
        <v>2</v>
      </c>
      <c r="J74" s="62"/>
      <c r="K74" s="61"/>
      <c r="L74" s="61"/>
      <c r="M74" s="63"/>
      <c r="N74" s="27"/>
      <c r="O74" s="165"/>
      <c r="P74" s="165"/>
      <c r="Q74" s="174">
        <f t="shared" si="1"/>
        <v>2</v>
      </c>
    </row>
    <row r="75" spans="1:17" s="13" customFormat="1" ht="31.5" x14ac:dyDescent="0.25">
      <c r="A75" s="3">
        <v>68</v>
      </c>
      <c r="B75" s="64" t="s">
        <v>454</v>
      </c>
      <c r="C75" s="67" t="s">
        <v>453</v>
      </c>
      <c r="D75" s="27" t="s">
        <v>455</v>
      </c>
      <c r="E75" s="67"/>
      <c r="F75" s="64"/>
      <c r="G75" s="169"/>
      <c r="H75" s="27"/>
      <c r="I75" s="68">
        <v>2</v>
      </c>
      <c r="J75" s="62">
        <v>5</v>
      </c>
      <c r="K75" s="61"/>
      <c r="L75" s="61"/>
      <c r="M75" s="63"/>
      <c r="N75" s="27"/>
      <c r="O75" s="165"/>
      <c r="P75" s="165"/>
      <c r="Q75" s="174">
        <f t="shared" si="1"/>
        <v>7</v>
      </c>
    </row>
    <row r="76" spans="1:17" s="13" customFormat="1" ht="31.5" x14ac:dyDescent="0.25">
      <c r="A76" s="3">
        <v>69</v>
      </c>
      <c r="B76" s="64" t="s">
        <v>458</v>
      </c>
      <c r="C76" s="67" t="s">
        <v>457</v>
      </c>
      <c r="D76" s="27" t="s">
        <v>455</v>
      </c>
      <c r="E76" s="67"/>
      <c r="F76" s="64"/>
      <c r="G76" s="169"/>
      <c r="H76" s="27"/>
      <c r="I76" s="68">
        <v>2</v>
      </c>
      <c r="J76" s="62"/>
      <c r="K76" s="61"/>
      <c r="L76" s="61"/>
      <c r="M76" s="63"/>
      <c r="N76" s="27"/>
      <c r="O76" s="165"/>
      <c r="P76" s="165"/>
      <c r="Q76" s="174">
        <f t="shared" si="1"/>
        <v>2</v>
      </c>
    </row>
    <row r="77" spans="1:17" s="13" customFormat="1" ht="31.5" x14ac:dyDescent="0.25">
      <c r="A77" s="3">
        <v>70</v>
      </c>
      <c r="B77" s="64" t="s">
        <v>463</v>
      </c>
      <c r="C77" s="67" t="s">
        <v>462</v>
      </c>
      <c r="D77" s="27" t="s">
        <v>464</v>
      </c>
      <c r="E77" s="67"/>
      <c r="F77" s="64"/>
      <c r="G77" s="169"/>
      <c r="H77" s="27"/>
      <c r="I77" s="68">
        <v>2</v>
      </c>
      <c r="J77" s="62"/>
      <c r="K77" s="61"/>
      <c r="L77" s="61"/>
      <c r="M77" s="63"/>
      <c r="N77" s="27"/>
      <c r="O77" s="165"/>
      <c r="P77" s="165"/>
      <c r="Q77" s="174">
        <f t="shared" si="1"/>
        <v>2</v>
      </c>
    </row>
    <row r="78" spans="1:17" s="13" customFormat="1" ht="31.5" x14ac:dyDescent="0.25">
      <c r="A78" s="3">
        <v>71</v>
      </c>
      <c r="B78" s="64" t="s">
        <v>403</v>
      </c>
      <c r="C78" s="109" t="s">
        <v>404</v>
      </c>
      <c r="D78" s="27" t="s">
        <v>420</v>
      </c>
      <c r="E78" s="67"/>
      <c r="F78" s="64"/>
      <c r="G78" s="169"/>
      <c r="H78" s="27"/>
      <c r="I78" s="68">
        <v>5</v>
      </c>
      <c r="J78" s="62"/>
      <c r="K78" s="61"/>
      <c r="L78" s="61"/>
      <c r="M78" s="63"/>
      <c r="N78" s="27"/>
      <c r="O78" s="165"/>
      <c r="P78" s="165"/>
      <c r="Q78" s="174">
        <f t="shared" si="1"/>
        <v>5</v>
      </c>
    </row>
    <row r="79" spans="1:17" s="13" customFormat="1" ht="31.5" x14ac:dyDescent="0.25">
      <c r="A79" s="3">
        <v>72</v>
      </c>
      <c r="B79" s="64" t="s">
        <v>406</v>
      </c>
      <c r="C79" s="109" t="s">
        <v>407</v>
      </c>
      <c r="D79" s="27" t="s">
        <v>421</v>
      </c>
      <c r="E79" s="67"/>
      <c r="F79" s="64"/>
      <c r="G79" s="169"/>
      <c r="H79" s="27"/>
      <c r="I79" s="68">
        <v>5</v>
      </c>
      <c r="J79" s="62"/>
      <c r="K79" s="61"/>
      <c r="L79" s="61"/>
      <c r="M79" s="63"/>
      <c r="N79" s="27"/>
      <c r="O79" s="165"/>
      <c r="P79" s="165"/>
      <c r="Q79" s="174">
        <f t="shared" si="1"/>
        <v>5</v>
      </c>
    </row>
    <row r="80" spans="1:17" s="13" customFormat="1" ht="31.5" x14ac:dyDescent="0.25">
      <c r="A80" s="3">
        <v>73</v>
      </c>
      <c r="B80" s="64" t="s">
        <v>409</v>
      </c>
      <c r="C80" s="109" t="s">
        <v>410</v>
      </c>
      <c r="D80" s="27" t="s">
        <v>421</v>
      </c>
      <c r="E80" s="67"/>
      <c r="F80" s="64"/>
      <c r="G80" s="169"/>
      <c r="H80" s="27"/>
      <c r="I80" s="68">
        <v>5</v>
      </c>
      <c r="J80" s="62"/>
      <c r="K80" s="61"/>
      <c r="L80" s="61"/>
      <c r="M80" s="63"/>
      <c r="N80" s="27"/>
      <c r="O80" s="165"/>
      <c r="P80" s="165"/>
      <c r="Q80" s="174">
        <f t="shared" si="1"/>
        <v>5</v>
      </c>
    </row>
    <row r="81" spans="1:17" s="13" customFormat="1" ht="31.5" x14ac:dyDescent="0.25">
      <c r="A81" s="3">
        <v>74</v>
      </c>
      <c r="B81" s="64" t="s">
        <v>412</v>
      </c>
      <c r="C81" s="109" t="s">
        <v>411</v>
      </c>
      <c r="D81" s="27" t="s">
        <v>421</v>
      </c>
      <c r="E81" s="67"/>
      <c r="F81" s="64"/>
      <c r="G81" s="169"/>
      <c r="H81" s="27"/>
      <c r="I81" s="68">
        <v>5</v>
      </c>
      <c r="J81" s="62"/>
      <c r="K81" s="61"/>
      <c r="L81" s="61"/>
      <c r="M81" s="63"/>
      <c r="N81" s="27"/>
      <c r="O81" s="165"/>
      <c r="P81" s="165"/>
      <c r="Q81" s="174">
        <f t="shared" si="1"/>
        <v>5</v>
      </c>
    </row>
    <row r="82" spans="1:17" s="13" customFormat="1" ht="31.5" x14ac:dyDescent="0.25">
      <c r="A82" s="3">
        <v>75</v>
      </c>
      <c r="B82" s="64" t="s">
        <v>414</v>
      </c>
      <c r="C82" s="109" t="s">
        <v>413</v>
      </c>
      <c r="D82" s="27" t="s">
        <v>421</v>
      </c>
      <c r="E82" s="67"/>
      <c r="F82" s="64"/>
      <c r="G82" s="169"/>
      <c r="H82" s="27"/>
      <c r="I82" s="68">
        <v>5</v>
      </c>
      <c r="J82" s="62"/>
      <c r="K82" s="61"/>
      <c r="L82" s="61"/>
      <c r="M82" s="63"/>
      <c r="N82" s="27"/>
      <c r="O82" s="165"/>
      <c r="P82" s="165"/>
      <c r="Q82" s="174">
        <f t="shared" si="1"/>
        <v>5</v>
      </c>
    </row>
    <row r="83" spans="1:17" s="13" customFormat="1" ht="31.5" x14ac:dyDescent="0.25">
      <c r="A83" s="3">
        <v>76</v>
      </c>
      <c r="B83" s="64" t="s">
        <v>416</v>
      </c>
      <c r="C83" s="109" t="s">
        <v>415</v>
      </c>
      <c r="D83" s="27" t="s">
        <v>421</v>
      </c>
      <c r="E83" s="67"/>
      <c r="F83" s="64"/>
      <c r="G83" s="169"/>
      <c r="H83" s="27"/>
      <c r="I83" s="68">
        <v>5</v>
      </c>
      <c r="J83" s="62"/>
      <c r="K83" s="61"/>
      <c r="L83" s="61"/>
      <c r="M83" s="63"/>
      <c r="N83" s="27"/>
      <c r="O83" s="165"/>
      <c r="P83" s="165"/>
      <c r="Q83" s="174">
        <f t="shared" si="1"/>
        <v>5</v>
      </c>
    </row>
    <row r="84" spans="1:17" s="13" customFormat="1" ht="31.5" x14ac:dyDescent="0.25">
      <c r="A84" s="3">
        <v>77</v>
      </c>
      <c r="B84" s="64" t="s">
        <v>418</v>
      </c>
      <c r="C84" s="109" t="s">
        <v>417</v>
      </c>
      <c r="D84" s="27" t="s">
        <v>419</v>
      </c>
      <c r="E84" s="67"/>
      <c r="F84" s="64"/>
      <c r="G84" s="169"/>
      <c r="H84" s="27"/>
      <c r="I84" s="68">
        <v>18</v>
      </c>
      <c r="J84" s="62"/>
      <c r="K84" s="61"/>
      <c r="L84" s="61"/>
      <c r="M84" s="63"/>
      <c r="N84" s="27"/>
      <c r="O84" s="165"/>
      <c r="P84" s="165"/>
      <c r="Q84" s="174">
        <f t="shared" si="1"/>
        <v>18</v>
      </c>
    </row>
    <row r="85" spans="1:17" s="13" customFormat="1" ht="31.5" x14ac:dyDescent="0.25">
      <c r="A85" s="3">
        <v>78</v>
      </c>
      <c r="B85" s="64" t="s">
        <v>423</v>
      </c>
      <c r="C85" s="109" t="s">
        <v>422</v>
      </c>
      <c r="D85" s="27" t="s">
        <v>424</v>
      </c>
      <c r="E85" s="67"/>
      <c r="F85" s="64"/>
      <c r="G85" s="169"/>
      <c r="H85" s="27"/>
      <c r="I85" s="68">
        <v>2</v>
      </c>
      <c r="J85" s="62"/>
      <c r="K85" s="61"/>
      <c r="L85" s="61"/>
      <c r="M85" s="63"/>
      <c r="N85" s="27"/>
      <c r="O85" s="165"/>
      <c r="P85" s="165"/>
      <c r="Q85" s="174">
        <f t="shared" si="1"/>
        <v>2</v>
      </c>
    </row>
    <row r="86" spans="1:17" s="13" customFormat="1" ht="15.75" x14ac:dyDescent="0.25">
      <c r="A86" s="3">
        <v>79</v>
      </c>
      <c r="B86" s="64" t="s">
        <v>186</v>
      </c>
      <c r="C86" s="109" t="s">
        <v>227</v>
      </c>
      <c r="D86" s="27" t="s">
        <v>426</v>
      </c>
      <c r="E86" s="67"/>
      <c r="F86" s="64"/>
      <c r="G86" s="169"/>
      <c r="H86" s="27"/>
      <c r="I86" s="68">
        <v>2</v>
      </c>
      <c r="J86" s="62"/>
      <c r="K86" s="61"/>
      <c r="L86" s="61"/>
      <c r="M86" s="63"/>
      <c r="N86" s="27"/>
      <c r="O86" s="165"/>
      <c r="P86" s="165"/>
      <c r="Q86" s="174">
        <f t="shared" si="1"/>
        <v>2</v>
      </c>
    </row>
    <row r="87" spans="1:17" s="13" customFormat="1" ht="15.75" x14ac:dyDescent="0.25">
      <c r="A87" s="3">
        <v>80</v>
      </c>
      <c r="B87" s="64" t="s">
        <v>428</v>
      </c>
      <c r="C87" s="109" t="s">
        <v>427</v>
      </c>
      <c r="D87" s="27" t="s">
        <v>429</v>
      </c>
      <c r="E87" s="67"/>
      <c r="F87" s="64"/>
      <c r="G87" s="169"/>
      <c r="H87" s="27"/>
      <c r="I87" s="68">
        <v>5</v>
      </c>
      <c r="J87" s="62"/>
      <c r="K87" s="61"/>
      <c r="L87" s="61">
        <v>5</v>
      </c>
      <c r="M87" s="63"/>
      <c r="N87" s="27"/>
      <c r="O87" s="165"/>
      <c r="P87" s="165"/>
      <c r="Q87" s="174">
        <f t="shared" si="1"/>
        <v>10</v>
      </c>
    </row>
    <row r="88" spans="1:17" s="13" customFormat="1" ht="15.75" x14ac:dyDescent="0.25">
      <c r="A88" s="3">
        <v>81</v>
      </c>
      <c r="B88" s="64" t="s">
        <v>472</v>
      </c>
      <c r="C88" s="109" t="s">
        <v>471</v>
      </c>
      <c r="D88" s="27" t="s">
        <v>473</v>
      </c>
      <c r="E88" s="67"/>
      <c r="F88" s="64"/>
      <c r="G88" s="169"/>
      <c r="H88" s="27"/>
      <c r="I88" s="68">
        <v>3</v>
      </c>
      <c r="J88" s="62"/>
      <c r="K88" s="61"/>
      <c r="L88" s="61"/>
      <c r="M88" s="63"/>
      <c r="N88" s="27"/>
      <c r="O88" s="165"/>
      <c r="P88" s="165"/>
      <c r="Q88" s="174">
        <f t="shared" si="1"/>
        <v>3</v>
      </c>
    </row>
    <row r="89" spans="1:17" s="13" customFormat="1" ht="31.5" x14ac:dyDescent="0.25">
      <c r="A89" s="3">
        <v>82</v>
      </c>
      <c r="B89" s="64" t="s">
        <v>494</v>
      </c>
      <c r="C89" s="67" t="s">
        <v>495</v>
      </c>
      <c r="D89" s="64" t="s">
        <v>496</v>
      </c>
      <c r="E89" s="67"/>
      <c r="F89" s="64"/>
      <c r="G89" s="169"/>
      <c r="H89" s="27"/>
      <c r="I89" s="61"/>
      <c r="J89" s="61">
        <v>10</v>
      </c>
      <c r="K89" s="61"/>
      <c r="L89" s="61"/>
      <c r="M89" s="63"/>
      <c r="N89" s="27"/>
      <c r="O89" s="165"/>
      <c r="P89" s="165"/>
      <c r="Q89" s="174">
        <f t="shared" si="1"/>
        <v>10</v>
      </c>
    </row>
    <row r="90" spans="1:17" s="13" customFormat="1" ht="31.5" x14ac:dyDescent="0.25">
      <c r="A90" s="3">
        <v>83</v>
      </c>
      <c r="B90" s="64" t="s">
        <v>69</v>
      </c>
      <c r="C90" s="67" t="s">
        <v>498</v>
      </c>
      <c r="D90" s="64" t="s">
        <v>496</v>
      </c>
      <c r="E90" s="67"/>
      <c r="F90" s="64"/>
      <c r="G90" s="169"/>
      <c r="H90" s="27"/>
      <c r="I90" s="61"/>
      <c r="J90" s="61">
        <v>5</v>
      </c>
      <c r="K90" s="61"/>
      <c r="L90" s="61"/>
      <c r="M90" s="63"/>
      <c r="N90" s="27"/>
      <c r="O90" s="165"/>
      <c r="P90" s="165"/>
      <c r="Q90" s="174">
        <f t="shared" si="1"/>
        <v>5</v>
      </c>
    </row>
    <row r="91" spans="1:17" s="13" customFormat="1" ht="15.75" x14ac:dyDescent="0.25">
      <c r="A91" s="3">
        <v>84</v>
      </c>
      <c r="B91" s="64" t="s">
        <v>501</v>
      </c>
      <c r="C91" s="67" t="s">
        <v>502</v>
      </c>
      <c r="D91" s="64" t="s">
        <v>503</v>
      </c>
      <c r="E91" s="67"/>
      <c r="F91" s="64"/>
      <c r="G91" s="169"/>
      <c r="H91" s="27"/>
      <c r="I91" s="61"/>
      <c r="J91" s="61">
        <v>2</v>
      </c>
      <c r="K91" s="61"/>
      <c r="L91" s="61"/>
      <c r="M91" s="63"/>
      <c r="N91" s="27"/>
      <c r="O91" s="165"/>
      <c r="P91" s="165"/>
      <c r="Q91" s="174">
        <f t="shared" si="1"/>
        <v>2</v>
      </c>
    </row>
    <row r="92" spans="1:17" s="13" customFormat="1" ht="31.5" x14ac:dyDescent="0.25">
      <c r="A92" s="3">
        <v>85</v>
      </c>
      <c r="B92" s="64" t="s">
        <v>505</v>
      </c>
      <c r="C92" s="67" t="s">
        <v>506</v>
      </c>
      <c r="D92" s="64" t="s">
        <v>507</v>
      </c>
      <c r="E92" s="67"/>
      <c r="F92" s="64"/>
      <c r="G92" s="169"/>
      <c r="H92" s="27"/>
      <c r="I92" s="61"/>
      <c r="J92" s="61">
        <v>12</v>
      </c>
      <c r="K92" s="61"/>
      <c r="L92" s="61"/>
      <c r="M92" s="63"/>
      <c r="N92" s="27"/>
      <c r="O92" s="165"/>
      <c r="P92" s="165"/>
      <c r="Q92" s="174">
        <f t="shared" si="1"/>
        <v>12</v>
      </c>
    </row>
    <row r="93" spans="1:17" s="13" customFormat="1" ht="31.5" x14ac:dyDescent="0.25">
      <c r="A93" s="3">
        <v>86</v>
      </c>
      <c r="B93" s="64" t="s">
        <v>270</v>
      </c>
      <c r="C93" s="67" t="s">
        <v>269</v>
      </c>
      <c r="D93" s="64" t="s">
        <v>509</v>
      </c>
      <c r="E93" s="67"/>
      <c r="F93" s="64"/>
      <c r="G93" s="169"/>
      <c r="H93" s="27"/>
      <c r="I93" s="61"/>
      <c r="J93" s="61">
        <v>12</v>
      </c>
      <c r="K93" s="61"/>
      <c r="L93" s="61"/>
      <c r="M93" s="63"/>
      <c r="N93" s="27"/>
      <c r="O93" s="165"/>
      <c r="P93" s="165"/>
      <c r="Q93" s="174">
        <f t="shared" si="1"/>
        <v>12</v>
      </c>
    </row>
    <row r="94" spans="1:17" s="13" customFormat="1" ht="31.5" x14ac:dyDescent="0.25">
      <c r="A94" s="3">
        <v>87</v>
      </c>
      <c r="B94" s="64" t="s">
        <v>513</v>
      </c>
      <c r="C94" s="67" t="s">
        <v>514</v>
      </c>
      <c r="D94" s="64" t="s">
        <v>507</v>
      </c>
      <c r="E94" s="67"/>
      <c r="F94" s="64"/>
      <c r="G94" s="169"/>
      <c r="H94" s="27"/>
      <c r="I94" s="61"/>
      <c r="J94" s="61">
        <v>6</v>
      </c>
      <c r="K94" s="61"/>
      <c r="L94" s="61"/>
      <c r="M94" s="63"/>
      <c r="N94" s="27"/>
      <c r="O94" s="165"/>
      <c r="P94" s="165"/>
      <c r="Q94" s="174">
        <f t="shared" si="1"/>
        <v>6</v>
      </c>
    </row>
    <row r="95" spans="1:17" s="13" customFormat="1" ht="31.5" x14ac:dyDescent="0.25">
      <c r="A95" s="3">
        <v>88</v>
      </c>
      <c r="B95" s="64" t="s">
        <v>516</v>
      </c>
      <c r="C95" s="67" t="s">
        <v>517</v>
      </c>
      <c r="D95" s="64" t="s">
        <v>518</v>
      </c>
      <c r="E95" s="67"/>
      <c r="F95" s="64"/>
      <c r="G95" s="169"/>
      <c r="H95" s="27"/>
      <c r="I95" s="61"/>
      <c r="J95" s="61">
        <v>25</v>
      </c>
      <c r="K95" s="61"/>
      <c r="L95" s="61"/>
      <c r="M95" s="63"/>
      <c r="N95" s="27"/>
      <c r="O95" s="165"/>
      <c r="P95" s="165"/>
      <c r="Q95" s="174">
        <f t="shared" si="1"/>
        <v>25</v>
      </c>
    </row>
    <row r="96" spans="1:17" s="13" customFormat="1" ht="31.5" x14ac:dyDescent="0.25">
      <c r="A96" s="3">
        <v>89</v>
      </c>
      <c r="B96" s="64" t="s">
        <v>490</v>
      </c>
      <c r="C96" s="67" t="s">
        <v>491</v>
      </c>
      <c r="D96" s="64" t="s">
        <v>492</v>
      </c>
      <c r="E96" s="67"/>
      <c r="F96" s="64"/>
      <c r="G96" s="169"/>
      <c r="H96" s="27"/>
      <c r="I96" s="68"/>
      <c r="J96" s="61">
        <v>11</v>
      </c>
      <c r="K96" s="61"/>
      <c r="L96" s="61"/>
      <c r="M96" s="63"/>
      <c r="N96" s="27"/>
      <c r="O96" s="165"/>
      <c r="P96" s="165"/>
      <c r="Q96" s="174">
        <f t="shared" si="1"/>
        <v>11</v>
      </c>
    </row>
    <row r="97" spans="1:17" s="13" customFormat="1" ht="31.5" x14ac:dyDescent="0.25">
      <c r="A97" s="3">
        <v>90</v>
      </c>
      <c r="B97" s="64" t="s">
        <v>126</v>
      </c>
      <c r="C97" s="67" t="s">
        <v>125</v>
      </c>
      <c r="D97" s="64" t="s">
        <v>499</v>
      </c>
      <c r="E97" s="67"/>
      <c r="F97" s="64"/>
      <c r="G97" s="169"/>
      <c r="H97" s="27"/>
      <c r="I97" s="68"/>
      <c r="J97" s="61">
        <v>6</v>
      </c>
      <c r="K97" s="61"/>
      <c r="L97" s="61"/>
      <c r="M97" s="63"/>
      <c r="N97" s="27"/>
      <c r="O97" s="165"/>
      <c r="P97" s="165"/>
      <c r="Q97" s="174">
        <f t="shared" si="1"/>
        <v>6</v>
      </c>
    </row>
    <row r="98" spans="1:17" s="13" customFormat="1" ht="31.5" x14ac:dyDescent="0.25">
      <c r="A98" s="3">
        <v>91</v>
      </c>
      <c r="B98" s="64" t="s">
        <v>510</v>
      </c>
      <c r="C98" s="67" t="s">
        <v>511</v>
      </c>
      <c r="D98" s="64" t="s">
        <v>509</v>
      </c>
      <c r="E98" s="67"/>
      <c r="F98" s="64"/>
      <c r="G98" s="169"/>
      <c r="H98" s="27"/>
      <c r="I98" s="68"/>
      <c r="J98" s="108">
        <v>15</v>
      </c>
      <c r="K98" s="61"/>
      <c r="L98" s="61"/>
      <c r="M98" s="63"/>
      <c r="N98" s="27"/>
      <c r="O98" s="165"/>
      <c r="P98" s="165"/>
      <c r="Q98" s="174">
        <f t="shared" si="1"/>
        <v>15</v>
      </c>
    </row>
    <row r="99" spans="1:17" s="13" customFormat="1" ht="15.75" x14ac:dyDescent="0.25">
      <c r="A99" s="3">
        <v>92</v>
      </c>
      <c r="B99" s="64" t="s">
        <v>55</v>
      </c>
      <c r="C99" s="67" t="s">
        <v>54</v>
      </c>
      <c r="D99" s="64" t="s">
        <v>1222</v>
      </c>
      <c r="E99" s="67"/>
      <c r="F99" s="64"/>
      <c r="G99" s="169"/>
      <c r="H99" s="27"/>
      <c r="I99" s="68"/>
      <c r="J99" s="108">
        <v>5</v>
      </c>
      <c r="K99" s="61"/>
      <c r="L99" s="61"/>
      <c r="M99" s="63"/>
      <c r="N99" s="27"/>
      <c r="O99" s="165"/>
      <c r="P99" s="165"/>
      <c r="Q99" s="174">
        <f t="shared" si="1"/>
        <v>5</v>
      </c>
    </row>
    <row r="100" spans="1:17" s="13" customFormat="1" ht="31.5" x14ac:dyDescent="0.25">
      <c r="A100" s="3">
        <v>93</v>
      </c>
      <c r="B100" s="64" t="s">
        <v>523</v>
      </c>
      <c r="C100" s="67" t="s">
        <v>524</v>
      </c>
      <c r="D100" s="64" t="s">
        <v>525</v>
      </c>
      <c r="E100" s="67"/>
      <c r="F100" s="64"/>
      <c r="G100" s="169"/>
      <c r="H100" s="27"/>
      <c r="I100" s="68"/>
      <c r="J100" s="61">
        <v>6</v>
      </c>
      <c r="K100" s="61"/>
      <c r="L100" s="61"/>
      <c r="M100" s="63"/>
      <c r="N100" s="27"/>
      <c r="O100" s="165"/>
      <c r="P100" s="165"/>
      <c r="Q100" s="174">
        <f t="shared" si="1"/>
        <v>6</v>
      </c>
    </row>
    <row r="101" spans="1:17" s="13" customFormat="1" ht="15.75" x14ac:dyDescent="0.25">
      <c r="A101" s="3">
        <v>94</v>
      </c>
      <c r="B101" s="64" t="s">
        <v>527</v>
      </c>
      <c r="C101" s="67" t="s">
        <v>528</v>
      </c>
      <c r="D101" s="64" t="s">
        <v>529</v>
      </c>
      <c r="E101" s="67"/>
      <c r="F101" s="64"/>
      <c r="G101" s="169"/>
      <c r="H101" s="27"/>
      <c r="I101" s="68"/>
      <c r="J101" s="61">
        <v>6</v>
      </c>
      <c r="K101" s="61"/>
      <c r="L101" s="61"/>
      <c r="M101" s="63"/>
      <c r="N101" s="27">
        <v>15</v>
      </c>
      <c r="O101" s="165"/>
      <c r="P101" s="165"/>
      <c r="Q101" s="174">
        <f t="shared" si="1"/>
        <v>21</v>
      </c>
    </row>
    <row r="102" spans="1:17" s="13" customFormat="1" ht="15.75" x14ac:dyDescent="0.25">
      <c r="A102" s="3">
        <v>95</v>
      </c>
      <c r="B102" s="64" t="s">
        <v>530</v>
      </c>
      <c r="C102" s="67" t="s">
        <v>531</v>
      </c>
      <c r="D102" s="64" t="s">
        <v>532</v>
      </c>
      <c r="E102" s="67"/>
      <c r="F102" s="64"/>
      <c r="G102" s="169"/>
      <c r="H102" s="27"/>
      <c r="I102" s="68"/>
      <c r="J102" s="61">
        <v>6</v>
      </c>
      <c r="K102" s="61"/>
      <c r="L102" s="61"/>
      <c r="M102" s="63"/>
      <c r="N102" s="27"/>
      <c r="O102" s="165"/>
      <c r="P102" s="165"/>
      <c r="Q102" s="174">
        <f t="shared" si="1"/>
        <v>6</v>
      </c>
    </row>
    <row r="103" spans="1:17" s="13" customFormat="1" ht="15.75" x14ac:dyDescent="0.25">
      <c r="A103" s="3">
        <v>96</v>
      </c>
      <c r="B103" s="64" t="s">
        <v>533</v>
      </c>
      <c r="C103" s="67" t="s">
        <v>534</v>
      </c>
      <c r="D103" s="64" t="s">
        <v>535</v>
      </c>
      <c r="E103" s="67"/>
      <c r="F103" s="64"/>
      <c r="G103" s="169"/>
      <c r="H103" s="27"/>
      <c r="I103" s="68"/>
      <c r="J103" s="118">
        <v>10</v>
      </c>
      <c r="K103" s="61"/>
      <c r="L103" s="61"/>
      <c r="M103" s="63"/>
      <c r="N103" s="27"/>
      <c r="O103" s="165"/>
      <c r="P103" s="165"/>
      <c r="Q103" s="174">
        <f t="shared" si="1"/>
        <v>10</v>
      </c>
    </row>
    <row r="104" spans="1:17" s="13" customFormat="1" ht="15.75" x14ac:dyDescent="0.25">
      <c r="A104" s="3">
        <v>97</v>
      </c>
      <c r="B104" s="64" t="s">
        <v>539</v>
      </c>
      <c r="C104" s="67" t="s">
        <v>540</v>
      </c>
      <c r="D104" s="27" t="s">
        <v>541</v>
      </c>
      <c r="E104" s="67"/>
      <c r="F104" s="64"/>
      <c r="G104" s="169"/>
      <c r="H104" s="27"/>
      <c r="I104" s="68"/>
      <c r="J104" s="68">
        <v>20</v>
      </c>
      <c r="K104" s="61"/>
      <c r="L104" s="61"/>
      <c r="M104" s="63"/>
      <c r="N104" s="27"/>
      <c r="O104" s="165"/>
      <c r="P104" s="165"/>
      <c r="Q104" s="174">
        <f t="shared" si="1"/>
        <v>20</v>
      </c>
    </row>
    <row r="105" spans="1:17" s="13" customFormat="1" ht="15.75" x14ac:dyDescent="0.25">
      <c r="A105" s="3">
        <v>98</v>
      </c>
      <c r="B105" s="64" t="s">
        <v>545</v>
      </c>
      <c r="C105" s="67" t="s">
        <v>546</v>
      </c>
      <c r="D105" s="27" t="s">
        <v>547</v>
      </c>
      <c r="E105" s="67"/>
      <c r="F105" s="64"/>
      <c r="G105" s="169"/>
      <c r="H105" s="27"/>
      <c r="I105" s="68"/>
      <c r="J105" s="68">
        <v>14</v>
      </c>
      <c r="K105" s="61">
        <v>11</v>
      </c>
      <c r="L105" s="61"/>
      <c r="M105" s="63"/>
      <c r="N105" s="27"/>
      <c r="O105" s="165"/>
      <c r="P105" s="165"/>
      <c r="Q105" s="174">
        <f t="shared" si="1"/>
        <v>25</v>
      </c>
    </row>
    <row r="106" spans="1:17" s="13" customFormat="1" ht="31.5" x14ac:dyDescent="0.25">
      <c r="A106" s="3">
        <v>99</v>
      </c>
      <c r="B106" s="64" t="s">
        <v>550</v>
      </c>
      <c r="C106" s="109" t="s">
        <v>551</v>
      </c>
      <c r="D106" s="27" t="s">
        <v>552</v>
      </c>
      <c r="E106" s="67"/>
      <c r="F106" s="64"/>
      <c r="G106" s="169"/>
      <c r="H106" s="27"/>
      <c r="I106" s="68"/>
      <c r="J106" s="68">
        <v>5</v>
      </c>
      <c r="K106" s="61"/>
      <c r="L106" s="61"/>
      <c r="M106" s="63"/>
      <c r="N106" s="27"/>
      <c r="O106" s="165"/>
      <c r="P106" s="165"/>
      <c r="Q106" s="174">
        <f t="shared" si="1"/>
        <v>5</v>
      </c>
    </row>
    <row r="107" spans="1:17" s="13" customFormat="1" ht="15.75" x14ac:dyDescent="0.25">
      <c r="A107" s="3">
        <v>100</v>
      </c>
      <c r="B107" s="64" t="s">
        <v>554</v>
      </c>
      <c r="C107" s="109" t="s">
        <v>555</v>
      </c>
      <c r="D107" s="27" t="s">
        <v>556</v>
      </c>
      <c r="E107" s="67"/>
      <c r="F107" s="64"/>
      <c r="G107" s="169"/>
      <c r="H107" s="27"/>
      <c r="I107" s="68"/>
      <c r="J107" s="68">
        <v>10</v>
      </c>
      <c r="K107" s="61"/>
      <c r="L107" s="61"/>
      <c r="M107" s="63"/>
      <c r="N107" s="27"/>
      <c r="O107" s="165"/>
      <c r="P107" s="165"/>
      <c r="Q107" s="174">
        <f t="shared" si="1"/>
        <v>10</v>
      </c>
    </row>
    <row r="108" spans="1:17" s="13" customFormat="1" ht="31.5" x14ac:dyDescent="0.25">
      <c r="A108" s="3">
        <v>101</v>
      </c>
      <c r="B108" s="64" t="s">
        <v>558</v>
      </c>
      <c r="C108" s="109" t="s">
        <v>559</v>
      </c>
      <c r="D108" s="27" t="s">
        <v>560</v>
      </c>
      <c r="E108" s="67"/>
      <c r="F108" s="64"/>
      <c r="G108" s="169"/>
      <c r="H108" s="27"/>
      <c r="I108" s="68"/>
      <c r="J108" s="68">
        <v>10</v>
      </c>
      <c r="K108" s="61"/>
      <c r="L108" s="61"/>
      <c r="M108" s="63"/>
      <c r="N108" s="27"/>
      <c r="O108" s="165"/>
      <c r="P108" s="165"/>
      <c r="Q108" s="174">
        <f t="shared" si="1"/>
        <v>10</v>
      </c>
    </row>
    <row r="109" spans="1:17" s="13" customFormat="1" ht="31.5" x14ac:dyDescent="0.25">
      <c r="A109" s="3">
        <v>102</v>
      </c>
      <c r="B109" s="64" t="s">
        <v>561</v>
      </c>
      <c r="C109" s="109" t="s">
        <v>562</v>
      </c>
      <c r="D109" s="27" t="s">
        <v>563</v>
      </c>
      <c r="E109" s="67"/>
      <c r="F109" s="64"/>
      <c r="G109" s="169"/>
      <c r="H109" s="27"/>
      <c r="I109" s="68"/>
      <c r="J109" s="68">
        <v>2</v>
      </c>
      <c r="K109" s="61"/>
      <c r="L109" s="61"/>
      <c r="M109" s="63"/>
      <c r="N109" s="27"/>
      <c r="O109" s="165"/>
      <c r="P109" s="165"/>
      <c r="Q109" s="174">
        <f t="shared" si="1"/>
        <v>2</v>
      </c>
    </row>
    <row r="110" spans="1:17" s="13" customFormat="1" ht="31.5" x14ac:dyDescent="0.25">
      <c r="A110" s="3">
        <v>103</v>
      </c>
      <c r="B110" s="64" t="s">
        <v>565</v>
      </c>
      <c r="C110" s="109" t="s">
        <v>566</v>
      </c>
      <c r="D110" s="27" t="s">
        <v>567</v>
      </c>
      <c r="E110" s="67"/>
      <c r="F110" s="64"/>
      <c r="G110" s="169"/>
      <c r="H110" s="27"/>
      <c r="I110" s="68"/>
      <c r="J110" s="68">
        <v>10</v>
      </c>
      <c r="K110" s="61"/>
      <c r="L110" s="61"/>
      <c r="M110" s="63"/>
      <c r="N110" s="27"/>
      <c r="O110" s="165"/>
      <c r="P110" s="165"/>
      <c r="Q110" s="174">
        <f t="shared" si="1"/>
        <v>10</v>
      </c>
    </row>
    <row r="111" spans="1:17" s="13" customFormat="1" ht="31.5" x14ac:dyDescent="0.25">
      <c r="A111" s="3">
        <v>104</v>
      </c>
      <c r="B111" s="64" t="s">
        <v>569</v>
      </c>
      <c r="C111" s="109" t="s">
        <v>570</v>
      </c>
      <c r="D111" s="27" t="s">
        <v>571</v>
      </c>
      <c r="E111" s="67"/>
      <c r="F111" s="64"/>
      <c r="G111" s="169"/>
      <c r="H111" s="27"/>
      <c r="I111" s="68"/>
      <c r="J111" s="68">
        <v>2</v>
      </c>
      <c r="K111" s="61"/>
      <c r="L111" s="61"/>
      <c r="M111" s="63"/>
      <c r="N111" s="27"/>
      <c r="O111" s="165"/>
      <c r="P111" s="165"/>
      <c r="Q111" s="174">
        <f t="shared" si="1"/>
        <v>2</v>
      </c>
    </row>
    <row r="112" spans="1:17" s="13" customFormat="1" ht="31.5" x14ac:dyDescent="0.25">
      <c r="A112" s="3">
        <v>105</v>
      </c>
      <c r="B112" s="64" t="s">
        <v>573</v>
      </c>
      <c r="C112" s="109" t="s">
        <v>574</v>
      </c>
      <c r="D112" s="27" t="s">
        <v>575</v>
      </c>
      <c r="E112" s="67"/>
      <c r="F112" s="64"/>
      <c r="G112" s="169"/>
      <c r="H112" s="27"/>
      <c r="I112" s="68"/>
      <c r="J112" s="68">
        <v>3</v>
      </c>
      <c r="K112" s="61"/>
      <c r="L112" s="61"/>
      <c r="M112" s="63"/>
      <c r="N112" s="27"/>
      <c r="O112" s="165"/>
      <c r="P112" s="165"/>
      <c r="Q112" s="174">
        <f t="shared" si="1"/>
        <v>3</v>
      </c>
    </row>
    <row r="113" spans="1:17" s="13" customFormat="1" ht="31.5" x14ac:dyDescent="0.25">
      <c r="A113" s="3">
        <v>106</v>
      </c>
      <c r="B113" s="64" t="s">
        <v>576</v>
      </c>
      <c r="C113" s="109" t="s">
        <v>577</v>
      </c>
      <c r="D113" s="27" t="s">
        <v>578</v>
      </c>
      <c r="E113" s="67"/>
      <c r="F113" s="64"/>
      <c r="G113" s="169"/>
      <c r="H113" s="27"/>
      <c r="I113" s="68"/>
      <c r="J113" s="68">
        <v>10</v>
      </c>
      <c r="K113" s="61"/>
      <c r="L113" s="61"/>
      <c r="M113" s="63"/>
      <c r="N113" s="27"/>
      <c r="O113" s="165"/>
      <c r="P113" s="165"/>
      <c r="Q113" s="174">
        <f t="shared" si="1"/>
        <v>10</v>
      </c>
    </row>
    <row r="114" spans="1:17" s="13" customFormat="1" ht="31.5" x14ac:dyDescent="0.25">
      <c r="A114" s="3">
        <v>107</v>
      </c>
      <c r="B114" s="64" t="s">
        <v>580</v>
      </c>
      <c r="C114" s="109" t="s">
        <v>581</v>
      </c>
      <c r="D114" s="27" t="s">
        <v>582</v>
      </c>
      <c r="E114" s="67"/>
      <c r="F114" s="64"/>
      <c r="G114" s="169"/>
      <c r="H114" s="27"/>
      <c r="I114" s="68"/>
      <c r="J114" s="68">
        <v>5</v>
      </c>
      <c r="K114" s="61"/>
      <c r="L114" s="61"/>
      <c r="M114" s="63"/>
      <c r="N114" s="27"/>
      <c r="O114" s="165"/>
      <c r="P114" s="165"/>
      <c r="Q114" s="174">
        <f t="shared" si="1"/>
        <v>5</v>
      </c>
    </row>
    <row r="115" spans="1:17" s="13" customFormat="1" ht="31.5" x14ac:dyDescent="0.25">
      <c r="A115" s="3">
        <v>108</v>
      </c>
      <c r="B115" s="64" t="s">
        <v>584</v>
      </c>
      <c r="C115" s="109" t="s">
        <v>585</v>
      </c>
      <c r="D115" s="27" t="s">
        <v>586</v>
      </c>
      <c r="E115" s="67"/>
      <c r="F115" s="64"/>
      <c r="G115" s="169"/>
      <c r="H115" s="27"/>
      <c r="I115" s="68"/>
      <c r="J115" s="68">
        <v>6</v>
      </c>
      <c r="K115" s="61"/>
      <c r="L115" s="61"/>
      <c r="M115" s="63"/>
      <c r="N115" s="27"/>
      <c r="O115" s="165"/>
      <c r="P115" s="165"/>
      <c r="Q115" s="174">
        <f t="shared" si="1"/>
        <v>6</v>
      </c>
    </row>
    <row r="116" spans="1:17" s="13" customFormat="1" ht="31.5" x14ac:dyDescent="0.25">
      <c r="A116" s="3">
        <v>109</v>
      </c>
      <c r="B116" s="64" t="s">
        <v>588</v>
      </c>
      <c r="C116" s="109" t="s">
        <v>589</v>
      </c>
      <c r="D116" s="27" t="s">
        <v>590</v>
      </c>
      <c r="E116" s="67"/>
      <c r="F116" s="64"/>
      <c r="G116" s="169"/>
      <c r="H116" s="27"/>
      <c r="I116" s="68"/>
      <c r="J116" s="68">
        <v>11</v>
      </c>
      <c r="K116" s="61"/>
      <c r="L116" s="61"/>
      <c r="M116" s="63"/>
      <c r="N116" s="27"/>
      <c r="O116" s="165"/>
      <c r="P116" s="165"/>
      <c r="Q116" s="174">
        <f t="shared" si="1"/>
        <v>11</v>
      </c>
    </row>
    <row r="117" spans="1:17" s="13" customFormat="1" ht="31.5" x14ac:dyDescent="0.25">
      <c r="A117" s="3">
        <v>110</v>
      </c>
      <c r="B117" s="64" t="s">
        <v>639</v>
      </c>
      <c r="C117" s="67" t="s">
        <v>638</v>
      </c>
      <c r="D117" s="64" t="s">
        <v>640</v>
      </c>
      <c r="E117" s="67"/>
      <c r="F117" s="64"/>
      <c r="G117" s="169"/>
      <c r="H117" s="27"/>
      <c r="I117" s="68"/>
      <c r="J117" s="61"/>
      <c r="K117" s="61">
        <v>15</v>
      </c>
      <c r="L117" s="61"/>
      <c r="M117" s="63"/>
      <c r="N117" s="27"/>
      <c r="O117" s="165"/>
      <c r="P117" s="165"/>
      <c r="Q117" s="174">
        <f t="shared" si="1"/>
        <v>15</v>
      </c>
    </row>
    <row r="118" spans="1:17" s="13" customFormat="1" ht="31.5" x14ac:dyDescent="0.25">
      <c r="A118" s="3">
        <v>111</v>
      </c>
      <c r="B118" s="64" t="s">
        <v>643</v>
      </c>
      <c r="C118" s="67" t="s">
        <v>642</v>
      </c>
      <c r="D118" s="64" t="s">
        <v>644</v>
      </c>
      <c r="E118" s="67"/>
      <c r="F118" s="64"/>
      <c r="G118" s="169"/>
      <c r="H118" s="27"/>
      <c r="I118" s="68"/>
      <c r="J118" s="61"/>
      <c r="K118" s="61">
        <v>2</v>
      </c>
      <c r="L118" s="61"/>
      <c r="M118" s="63"/>
      <c r="N118" s="27"/>
      <c r="O118" s="165">
        <v>8</v>
      </c>
      <c r="P118" s="165"/>
      <c r="Q118" s="174">
        <f t="shared" si="1"/>
        <v>10</v>
      </c>
    </row>
    <row r="119" spans="1:17" s="13" customFormat="1" ht="31.5" x14ac:dyDescent="0.25">
      <c r="A119" s="3">
        <v>112</v>
      </c>
      <c r="B119" s="64" t="s">
        <v>501</v>
      </c>
      <c r="C119" s="67" t="s">
        <v>502</v>
      </c>
      <c r="D119" s="64" t="s">
        <v>646</v>
      </c>
      <c r="E119" s="67"/>
      <c r="F119" s="64"/>
      <c r="G119" s="169"/>
      <c r="H119" s="27"/>
      <c r="I119" s="68"/>
      <c r="J119" s="61"/>
      <c r="K119" s="61">
        <v>3</v>
      </c>
      <c r="L119" s="61"/>
      <c r="M119" s="63"/>
      <c r="N119" s="27"/>
      <c r="O119" s="165"/>
      <c r="P119" s="165"/>
      <c r="Q119" s="174">
        <f t="shared" si="1"/>
        <v>3</v>
      </c>
    </row>
    <row r="120" spans="1:17" s="13" customFormat="1" ht="31.5" x14ac:dyDescent="0.25">
      <c r="A120" s="3">
        <v>113</v>
      </c>
      <c r="B120" s="64" t="s">
        <v>649</v>
      </c>
      <c r="C120" s="67" t="s">
        <v>648</v>
      </c>
      <c r="D120" s="64" t="s">
        <v>650</v>
      </c>
      <c r="E120" s="67"/>
      <c r="F120" s="64"/>
      <c r="G120" s="169"/>
      <c r="H120" s="27"/>
      <c r="I120" s="68"/>
      <c r="J120" s="61"/>
      <c r="K120" s="61">
        <v>5</v>
      </c>
      <c r="L120" s="61"/>
      <c r="M120" s="63"/>
      <c r="N120" s="27"/>
      <c r="O120" s="165"/>
      <c r="P120" s="165"/>
      <c r="Q120" s="174">
        <f t="shared" si="1"/>
        <v>5</v>
      </c>
    </row>
    <row r="121" spans="1:17" s="13" customFormat="1" ht="31.5" x14ac:dyDescent="0.25">
      <c r="A121" s="3">
        <v>114</v>
      </c>
      <c r="B121" s="64" t="s">
        <v>611</v>
      </c>
      <c r="C121" s="67" t="s">
        <v>610</v>
      </c>
      <c r="D121" s="64" t="s">
        <v>612</v>
      </c>
      <c r="E121" s="67"/>
      <c r="F121" s="64"/>
      <c r="G121" s="169"/>
      <c r="H121" s="27"/>
      <c r="I121" s="68"/>
      <c r="J121" s="62"/>
      <c r="K121" s="61">
        <v>15</v>
      </c>
      <c r="L121" s="61"/>
      <c r="M121" s="63"/>
      <c r="N121" s="27"/>
      <c r="O121" s="165"/>
      <c r="P121" s="165"/>
      <c r="Q121" s="174">
        <f t="shared" si="1"/>
        <v>15</v>
      </c>
    </row>
    <row r="122" spans="1:17" s="13" customFormat="1" ht="31.5" x14ac:dyDescent="0.25">
      <c r="A122" s="3">
        <v>115</v>
      </c>
      <c r="B122" s="64" t="s">
        <v>616</v>
      </c>
      <c r="C122" s="67" t="s">
        <v>615</v>
      </c>
      <c r="D122" s="64" t="s">
        <v>617</v>
      </c>
      <c r="E122" s="67"/>
      <c r="F122" s="64"/>
      <c r="G122" s="169"/>
      <c r="H122" s="27"/>
      <c r="I122" s="68"/>
      <c r="J122" s="62"/>
      <c r="K122" s="61">
        <v>13</v>
      </c>
      <c r="L122" s="61"/>
      <c r="M122" s="63"/>
      <c r="N122" s="27"/>
      <c r="O122" s="165"/>
      <c r="P122" s="165"/>
      <c r="Q122" s="174">
        <f t="shared" si="1"/>
        <v>13</v>
      </c>
    </row>
    <row r="123" spans="1:17" s="13" customFormat="1" ht="31.5" x14ac:dyDescent="0.25">
      <c r="A123" s="3">
        <v>116</v>
      </c>
      <c r="B123" s="64" t="s">
        <v>621</v>
      </c>
      <c r="C123" s="67" t="s">
        <v>620</v>
      </c>
      <c r="D123" s="64" t="s">
        <v>622</v>
      </c>
      <c r="E123" s="67"/>
      <c r="F123" s="64"/>
      <c r="G123" s="169"/>
      <c r="H123" s="27"/>
      <c r="I123" s="68"/>
      <c r="J123" s="62"/>
      <c r="K123" s="61">
        <v>5</v>
      </c>
      <c r="L123" s="61"/>
      <c r="M123" s="63"/>
      <c r="N123" s="27"/>
      <c r="O123" s="165"/>
      <c r="P123" s="165"/>
      <c r="Q123" s="174">
        <f t="shared" si="1"/>
        <v>5</v>
      </c>
    </row>
    <row r="124" spans="1:17" s="13" customFormat="1" ht="31.5" x14ac:dyDescent="0.25">
      <c r="A124" s="3">
        <v>117</v>
      </c>
      <c r="B124" s="64" t="s">
        <v>635</v>
      </c>
      <c r="C124" s="67" t="s">
        <v>634</v>
      </c>
      <c r="D124" s="64" t="s">
        <v>636</v>
      </c>
      <c r="E124" s="67"/>
      <c r="F124" s="64"/>
      <c r="G124" s="169"/>
      <c r="H124" s="27"/>
      <c r="I124" s="68"/>
      <c r="J124" s="62"/>
      <c r="K124" s="61">
        <v>5</v>
      </c>
      <c r="L124" s="61"/>
      <c r="M124" s="63"/>
      <c r="N124" s="27"/>
      <c r="O124" s="165"/>
      <c r="P124" s="165"/>
      <c r="Q124" s="174">
        <f t="shared" si="1"/>
        <v>5</v>
      </c>
    </row>
    <row r="125" spans="1:17" s="13" customFormat="1" ht="15.75" x14ac:dyDescent="0.25">
      <c r="A125" s="3">
        <v>118</v>
      </c>
      <c r="B125" s="64" t="s">
        <v>655</v>
      </c>
      <c r="C125" s="67" t="s">
        <v>654</v>
      </c>
      <c r="D125" s="64" t="s">
        <v>656</v>
      </c>
      <c r="E125" s="67"/>
      <c r="F125" s="64"/>
      <c r="G125" s="169"/>
      <c r="H125" s="27"/>
      <c r="I125" s="68"/>
      <c r="J125" s="62"/>
      <c r="K125" s="61">
        <v>15</v>
      </c>
      <c r="L125" s="61"/>
      <c r="M125" s="63"/>
      <c r="N125" s="27"/>
      <c r="O125" s="165"/>
      <c r="P125" s="165"/>
      <c r="Q125" s="174">
        <f t="shared" si="1"/>
        <v>15</v>
      </c>
    </row>
    <row r="126" spans="1:17" s="13" customFormat="1" ht="15.75" x14ac:dyDescent="0.25">
      <c r="A126" s="3">
        <v>119</v>
      </c>
      <c r="B126" s="64" t="s">
        <v>659</v>
      </c>
      <c r="C126" s="67" t="s">
        <v>658</v>
      </c>
      <c r="D126" s="64" t="s">
        <v>660</v>
      </c>
      <c r="E126" s="67"/>
      <c r="F126" s="64"/>
      <c r="G126" s="169"/>
      <c r="H126" s="27"/>
      <c r="I126" s="68"/>
      <c r="J126" s="62"/>
      <c r="K126" s="61">
        <v>6</v>
      </c>
      <c r="L126" s="61"/>
      <c r="M126" s="63"/>
      <c r="N126" s="27"/>
      <c r="O126" s="165"/>
      <c r="P126" s="165"/>
      <c r="Q126" s="174">
        <f t="shared" si="1"/>
        <v>6</v>
      </c>
    </row>
    <row r="127" spans="1:17" s="13" customFormat="1" ht="15.75" x14ac:dyDescent="0.25">
      <c r="A127" s="3">
        <v>120</v>
      </c>
      <c r="B127" s="64" t="s">
        <v>663</v>
      </c>
      <c r="C127" s="67" t="s">
        <v>662</v>
      </c>
      <c r="D127" s="64" t="s">
        <v>664</v>
      </c>
      <c r="E127" s="67"/>
      <c r="F127" s="64"/>
      <c r="G127" s="169"/>
      <c r="H127" s="27"/>
      <c r="I127" s="61"/>
      <c r="J127" s="62"/>
      <c r="K127" s="61">
        <v>6</v>
      </c>
      <c r="L127" s="61"/>
      <c r="M127" s="63"/>
      <c r="N127" s="27"/>
      <c r="O127" s="165"/>
      <c r="P127" s="165"/>
      <c r="Q127" s="174">
        <f t="shared" si="1"/>
        <v>6</v>
      </c>
    </row>
    <row r="128" spans="1:17" s="13" customFormat="1" ht="15.75" x14ac:dyDescent="0.25">
      <c r="A128" s="3">
        <v>121</v>
      </c>
      <c r="B128" s="64" t="s">
        <v>667</v>
      </c>
      <c r="C128" s="67" t="s">
        <v>666</v>
      </c>
      <c r="D128" s="64" t="s">
        <v>664</v>
      </c>
      <c r="E128" s="67"/>
      <c r="F128" s="64"/>
      <c r="G128" s="169"/>
      <c r="H128" s="27"/>
      <c r="I128" s="61"/>
      <c r="J128" s="62"/>
      <c r="K128" s="61">
        <v>6</v>
      </c>
      <c r="L128" s="61"/>
      <c r="M128" s="63"/>
      <c r="N128" s="27"/>
      <c r="O128" s="165"/>
      <c r="P128" s="165"/>
      <c r="Q128" s="174">
        <f t="shared" si="1"/>
        <v>6</v>
      </c>
    </row>
    <row r="129" spans="1:17" s="13" customFormat="1" ht="15.75" x14ac:dyDescent="0.25">
      <c r="A129" s="3">
        <v>122</v>
      </c>
      <c r="B129" s="64" t="s">
        <v>669</v>
      </c>
      <c r="C129" s="67" t="s">
        <v>668</v>
      </c>
      <c r="D129" s="27" t="s">
        <v>670</v>
      </c>
      <c r="E129" s="67"/>
      <c r="F129" s="64"/>
      <c r="G129" s="169"/>
      <c r="H129" s="27"/>
      <c r="I129" s="61"/>
      <c r="J129" s="62"/>
      <c r="K129" s="68">
        <v>13</v>
      </c>
      <c r="L129" s="61"/>
      <c r="M129" s="63"/>
      <c r="N129" s="27"/>
      <c r="O129" s="165"/>
      <c r="P129" s="165"/>
      <c r="Q129" s="174">
        <f t="shared" si="1"/>
        <v>13</v>
      </c>
    </row>
    <row r="130" spans="1:17" s="13" customFormat="1" ht="31.5" x14ac:dyDescent="0.25">
      <c r="A130" s="3">
        <v>123</v>
      </c>
      <c r="B130" s="64" t="s">
        <v>673</v>
      </c>
      <c r="C130" s="67" t="s">
        <v>672</v>
      </c>
      <c r="D130" s="27" t="s">
        <v>674</v>
      </c>
      <c r="E130" s="67"/>
      <c r="F130" s="64"/>
      <c r="G130" s="169"/>
      <c r="H130" s="27"/>
      <c r="I130" s="61"/>
      <c r="J130" s="62"/>
      <c r="K130" s="68">
        <v>15</v>
      </c>
      <c r="L130" s="61"/>
      <c r="M130" s="63"/>
      <c r="N130" s="27"/>
      <c r="O130" s="165"/>
      <c r="P130" s="165"/>
      <c r="Q130" s="174">
        <f t="shared" si="1"/>
        <v>15</v>
      </c>
    </row>
    <row r="131" spans="1:17" s="13" customFormat="1" ht="15.75" x14ac:dyDescent="0.25">
      <c r="A131" s="3">
        <v>124</v>
      </c>
      <c r="B131" s="64" t="s">
        <v>677</v>
      </c>
      <c r="C131" s="67" t="s">
        <v>676</v>
      </c>
      <c r="D131" s="27" t="s">
        <v>678</v>
      </c>
      <c r="E131" s="67"/>
      <c r="F131" s="64"/>
      <c r="G131" s="169"/>
      <c r="H131" s="27"/>
      <c r="I131" s="61"/>
      <c r="J131" s="62"/>
      <c r="K131" s="68">
        <v>10</v>
      </c>
      <c r="L131" s="61"/>
      <c r="M131" s="63"/>
      <c r="N131" s="27"/>
      <c r="O131" s="165"/>
      <c r="P131" s="165"/>
      <c r="Q131" s="174">
        <f t="shared" si="1"/>
        <v>10</v>
      </c>
    </row>
    <row r="132" spans="1:17" s="13" customFormat="1" ht="15.75" x14ac:dyDescent="0.25">
      <c r="A132" s="3">
        <v>126</v>
      </c>
      <c r="B132" s="64" t="s">
        <v>682</v>
      </c>
      <c r="C132" s="67" t="s">
        <v>681</v>
      </c>
      <c r="D132" s="27" t="s">
        <v>683</v>
      </c>
      <c r="E132" s="67"/>
      <c r="F132" s="64"/>
      <c r="G132" s="169"/>
      <c r="H132" s="27"/>
      <c r="I132" s="61"/>
      <c r="J132" s="62"/>
      <c r="K132" s="68">
        <v>3</v>
      </c>
      <c r="L132" s="61"/>
      <c r="M132" s="63"/>
      <c r="N132" s="27"/>
      <c r="O132" s="165"/>
      <c r="P132" s="165"/>
      <c r="Q132" s="174">
        <f t="shared" si="1"/>
        <v>3</v>
      </c>
    </row>
    <row r="133" spans="1:17" s="13" customFormat="1" ht="15.75" x14ac:dyDescent="0.25">
      <c r="A133" s="3">
        <v>127</v>
      </c>
      <c r="B133" s="64" t="s">
        <v>686</v>
      </c>
      <c r="C133" s="67" t="s">
        <v>685</v>
      </c>
      <c r="D133" s="27" t="s">
        <v>683</v>
      </c>
      <c r="E133" s="67"/>
      <c r="F133" s="64"/>
      <c r="G133" s="169"/>
      <c r="H133" s="27"/>
      <c r="I133" s="61"/>
      <c r="J133" s="62"/>
      <c r="K133" s="68">
        <v>3</v>
      </c>
      <c r="L133" s="61"/>
      <c r="M133" s="63"/>
      <c r="N133" s="27"/>
      <c r="O133" s="165"/>
      <c r="P133" s="165"/>
      <c r="Q133" s="174">
        <f t="shared" si="1"/>
        <v>3</v>
      </c>
    </row>
    <row r="134" spans="1:17" s="13" customFormat="1" ht="31.5" x14ac:dyDescent="0.25">
      <c r="A134" s="3">
        <v>128</v>
      </c>
      <c r="B134" s="64" t="s">
        <v>447</v>
      </c>
      <c r="C134" s="67" t="s">
        <v>446</v>
      </c>
      <c r="D134" s="27" t="s">
        <v>688</v>
      </c>
      <c r="E134" s="67"/>
      <c r="F134" s="64"/>
      <c r="G134" s="169"/>
      <c r="H134" s="27"/>
      <c r="I134" s="61"/>
      <c r="J134" s="62"/>
      <c r="K134" s="68">
        <v>3</v>
      </c>
      <c r="L134" s="61"/>
      <c r="M134" s="63"/>
      <c r="N134" s="27"/>
      <c r="O134" s="165"/>
      <c r="P134" s="165"/>
      <c r="Q134" s="174">
        <f t="shared" si="1"/>
        <v>3</v>
      </c>
    </row>
    <row r="135" spans="1:17" s="13" customFormat="1" ht="15.75" x14ac:dyDescent="0.25">
      <c r="A135" s="3">
        <v>129</v>
      </c>
      <c r="B135" s="64" t="s">
        <v>330</v>
      </c>
      <c r="C135" s="67" t="s">
        <v>331</v>
      </c>
      <c r="D135" s="27" t="s">
        <v>691</v>
      </c>
      <c r="E135" s="67"/>
      <c r="F135" s="64"/>
      <c r="G135" s="157"/>
      <c r="H135" s="27"/>
      <c r="I135" s="61"/>
      <c r="J135" s="62"/>
      <c r="K135" s="68">
        <v>11</v>
      </c>
      <c r="L135" s="61"/>
      <c r="M135" s="63"/>
      <c r="N135" s="27"/>
      <c r="O135" s="165"/>
      <c r="P135" s="165"/>
      <c r="Q135" s="174">
        <f t="shared" si="1"/>
        <v>11</v>
      </c>
    </row>
    <row r="136" spans="1:17" s="13" customFormat="1" ht="31.5" x14ac:dyDescent="0.25">
      <c r="A136" s="3">
        <v>130</v>
      </c>
      <c r="B136" s="64" t="s">
        <v>695</v>
      </c>
      <c r="C136" s="109" t="s">
        <v>694</v>
      </c>
      <c r="D136" s="27" t="s">
        <v>696</v>
      </c>
      <c r="E136" s="67"/>
      <c r="F136" s="64"/>
      <c r="G136" s="157"/>
      <c r="H136" s="27"/>
      <c r="I136" s="61"/>
      <c r="J136" s="62"/>
      <c r="K136" s="68">
        <v>5</v>
      </c>
      <c r="L136" s="61"/>
      <c r="M136" s="63"/>
      <c r="N136" s="27"/>
      <c r="O136" s="165"/>
      <c r="P136" s="165"/>
      <c r="Q136" s="174">
        <f t="shared" si="1"/>
        <v>5</v>
      </c>
    </row>
    <row r="137" spans="1:17" s="13" customFormat="1" ht="31.5" x14ac:dyDescent="0.25">
      <c r="A137" s="3">
        <v>131</v>
      </c>
      <c r="B137" s="64" t="s">
        <v>699</v>
      </c>
      <c r="C137" s="109" t="s">
        <v>698</v>
      </c>
      <c r="D137" s="27" t="s">
        <v>696</v>
      </c>
      <c r="E137" s="67"/>
      <c r="F137" s="64"/>
      <c r="G137" s="157"/>
      <c r="H137" s="27"/>
      <c r="I137" s="61"/>
      <c r="J137" s="62"/>
      <c r="K137" s="68">
        <v>5</v>
      </c>
      <c r="L137" s="61"/>
      <c r="M137" s="63"/>
      <c r="N137" s="27"/>
      <c r="O137" s="165"/>
      <c r="P137" s="165"/>
      <c r="Q137" s="174">
        <f t="shared" ref="Q137:Q200" si="2">SUM(E137,F137:P137)</f>
        <v>5</v>
      </c>
    </row>
    <row r="138" spans="1:17" s="13" customFormat="1" ht="31.5" x14ac:dyDescent="0.25">
      <c r="A138" s="3">
        <v>132</v>
      </c>
      <c r="B138" s="64" t="s">
        <v>701</v>
      </c>
      <c r="C138" s="109" t="s">
        <v>700</v>
      </c>
      <c r="D138" s="27" t="s">
        <v>702</v>
      </c>
      <c r="E138" s="67"/>
      <c r="F138" s="64"/>
      <c r="G138" s="157"/>
      <c r="H138" s="27"/>
      <c r="I138" s="61"/>
      <c r="J138" s="62"/>
      <c r="K138" s="68">
        <v>3</v>
      </c>
      <c r="L138" s="61"/>
      <c r="M138" s="63"/>
      <c r="N138" s="27"/>
      <c r="O138" s="165"/>
      <c r="P138" s="165"/>
      <c r="Q138" s="174">
        <f t="shared" si="2"/>
        <v>3</v>
      </c>
    </row>
    <row r="139" spans="1:17" s="13" customFormat="1" ht="31.5" x14ac:dyDescent="0.25">
      <c r="A139" s="3">
        <v>133</v>
      </c>
      <c r="B139" s="64" t="s">
        <v>705</v>
      </c>
      <c r="C139" s="109" t="s">
        <v>704</v>
      </c>
      <c r="D139" s="27" t="s">
        <v>706</v>
      </c>
      <c r="E139" s="67"/>
      <c r="F139" s="64"/>
      <c r="G139" s="157"/>
      <c r="H139" s="27"/>
      <c r="I139" s="61"/>
      <c r="J139" s="62"/>
      <c r="K139" s="68">
        <v>5</v>
      </c>
      <c r="L139" s="61"/>
      <c r="M139" s="63"/>
      <c r="N139" s="27"/>
      <c r="O139" s="165"/>
      <c r="P139" s="165"/>
      <c r="Q139" s="174">
        <f t="shared" si="2"/>
        <v>5</v>
      </c>
    </row>
    <row r="140" spans="1:17" s="13" customFormat="1" ht="47.25" x14ac:dyDescent="0.25">
      <c r="A140" s="3">
        <v>134</v>
      </c>
      <c r="B140" s="64" t="s">
        <v>708</v>
      </c>
      <c r="C140" s="109" t="s">
        <v>707</v>
      </c>
      <c r="D140" s="27" t="s">
        <v>709</v>
      </c>
      <c r="E140" s="67"/>
      <c r="F140" s="64"/>
      <c r="G140" s="157"/>
      <c r="H140" s="27"/>
      <c r="I140" s="61"/>
      <c r="J140" s="62"/>
      <c r="K140" s="68">
        <v>15</v>
      </c>
      <c r="L140" s="61"/>
      <c r="M140" s="63"/>
      <c r="N140" s="27"/>
      <c r="O140" s="165"/>
      <c r="P140" s="165"/>
      <c r="Q140" s="174">
        <f t="shared" si="2"/>
        <v>15</v>
      </c>
    </row>
    <row r="141" spans="1:17" s="13" customFormat="1" ht="31.5" x14ac:dyDescent="0.25">
      <c r="A141" s="3">
        <v>135</v>
      </c>
      <c r="B141" s="64" t="s">
        <v>699</v>
      </c>
      <c r="C141" s="109" t="s">
        <v>698</v>
      </c>
      <c r="D141" s="27" t="s">
        <v>696</v>
      </c>
      <c r="E141" s="67"/>
      <c r="F141" s="64"/>
      <c r="G141" s="157"/>
      <c r="H141" s="27"/>
      <c r="I141" s="61"/>
      <c r="J141" s="62"/>
      <c r="K141" s="68">
        <v>15</v>
      </c>
      <c r="L141" s="61"/>
      <c r="M141" s="63"/>
      <c r="N141" s="27"/>
      <c r="O141" s="165"/>
      <c r="P141" s="165"/>
      <c r="Q141" s="174">
        <f t="shared" si="2"/>
        <v>15</v>
      </c>
    </row>
    <row r="142" spans="1:17" s="13" customFormat="1" ht="31.5" x14ac:dyDescent="0.25">
      <c r="A142" s="3">
        <v>136</v>
      </c>
      <c r="B142" s="64" t="s">
        <v>713</v>
      </c>
      <c r="C142" s="109" t="s">
        <v>712</v>
      </c>
      <c r="D142" s="27" t="s">
        <v>714</v>
      </c>
      <c r="E142" s="67"/>
      <c r="F142" s="64"/>
      <c r="G142" s="157"/>
      <c r="H142" s="27"/>
      <c r="I142" s="61"/>
      <c r="J142" s="62"/>
      <c r="K142" s="68">
        <v>6</v>
      </c>
      <c r="L142" s="61"/>
      <c r="M142" s="63"/>
      <c r="N142" s="27"/>
      <c r="O142" s="165"/>
      <c r="P142" s="165"/>
      <c r="Q142" s="174">
        <f t="shared" si="2"/>
        <v>6</v>
      </c>
    </row>
    <row r="143" spans="1:17" s="13" customFormat="1" ht="15.75" x14ac:dyDescent="0.25">
      <c r="A143" s="3">
        <v>137</v>
      </c>
      <c r="B143" s="64" t="s">
        <v>717</v>
      </c>
      <c r="C143" s="109" t="s">
        <v>716</v>
      </c>
      <c r="D143" s="27" t="s">
        <v>718</v>
      </c>
      <c r="E143" s="67"/>
      <c r="F143" s="64"/>
      <c r="G143" s="157"/>
      <c r="H143" s="27"/>
      <c r="I143" s="61"/>
      <c r="J143" s="62"/>
      <c r="K143" s="68">
        <v>14</v>
      </c>
      <c r="L143" s="61"/>
      <c r="M143" s="63"/>
      <c r="N143" s="27"/>
      <c r="O143" s="165"/>
      <c r="P143" s="165"/>
      <c r="Q143" s="174">
        <f t="shared" si="2"/>
        <v>14</v>
      </c>
    </row>
    <row r="144" spans="1:17" s="13" customFormat="1" ht="15.75" x14ac:dyDescent="0.25">
      <c r="A144" s="3">
        <v>138</v>
      </c>
      <c r="B144" s="64" t="s">
        <v>721</v>
      </c>
      <c r="C144" s="109" t="s">
        <v>720</v>
      </c>
      <c r="D144" s="27" t="s">
        <v>718</v>
      </c>
      <c r="E144" s="67"/>
      <c r="F144" s="64"/>
      <c r="G144" s="157"/>
      <c r="H144" s="27"/>
      <c r="I144" s="61"/>
      <c r="J144" s="62"/>
      <c r="K144" s="68">
        <v>14</v>
      </c>
      <c r="L144" s="61"/>
      <c r="M144" s="63"/>
      <c r="N144" s="27"/>
      <c r="O144" s="165"/>
      <c r="P144" s="165"/>
      <c r="Q144" s="174">
        <f t="shared" si="2"/>
        <v>14</v>
      </c>
    </row>
    <row r="145" spans="1:17" s="13" customFormat="1" ht="15.75" x14ac:dyDescent="0.25">
      <c r="A145" s="3">
        <v>139</v>
      </c>
      <c r="B145" s="64" t="s">
        <v>723</v>
      </c>
      <c r="C145" s="109" t="s">
        <v>722</v>
      </c>
      <c r="D145" s="27" t="s">
        <v>691</v>
      </c>
      <c r="E145" s="67"/>
      <c r="F145" s="64"/>
      <c r="G145" s="157"/>
      <c r="H145" s="27"/>
      <c r="I145" s="61"/>
      <c r="J145" s="62"/>
      <c r="K145" s="68">
        <v>5</v>
      </c>
      <c r="L145" s="61"/>
      <c r="M145" s="63"/>
      <c r="N145" s="27"/>
      <c r="O145" s="165"/>
      <c r="P145" s="165"/>
      <c r="Q145" s="174">
        <f t="shared" si="2"/>
        <v>5</v>
      </c>
    </row>
    <row r="146" spans="1:17" s="13" customFormat="1" ht="31.5" x14ac:dyDescent="0.25">
      <c r="A146" s="3">
        <v>140</v>
      </c>
      <c r="B146" s="64" t="s">
        <v>726</v>
      </c>
      <c r="C146" s="109" t="s">
        <v>725</v>
      </c>
      <c r="D146" s="27" t="s">
        <v>727</v>
      </c>
      <c r="E146" s="67"/>
      <c r="F146" s="64"/>
      <c r="G146" s="157"/>
      <c r="H146" s="27"/>
      <c r="I146" s="61"/>
      <c r="J146" s="62"/>
      <c r="K146" s="68">
        <v>5</v>
      </c>
      <c r="L146" s="61"/>
      <c r="M146" s="63"/>
      <c r="N146" s="27"/>
      <c r="O146" s="165"/>
      <c r="P146" s="165"/>
      <c r="Q146" s="174">
        <f t="shared" si="2"/>
        <v>5</v>
      </c>
    </row>
    <row r="147" spans="1:17" s="13" customFormat="1" ht="15.75" x14ac:dyDescent="0.25">
      <c r="A147" s="3">
        <v>141</v>
      </c>
      <c r="B147" s="64" t="s">
        <v>356</v>
      </c>
      <c r="C147" s="109" t="s">
        <v>355</v>
      </c>
      <c r="D147" s="27" t="s">
        <v>678</v>
      </c>
      <c r="E147" s="67"/>
      <c r="F147" s="64"/>
      <c r="G147" s="157"/>
      <c r="H147" s="27"/>
      <c r="I147" s="61"/>
      <c r="J147" s="62"/>
      <c r="K147" s="68">
        <v>5</v>
      </c>
      <c r="L147" s="61"/>
      <c r="M147" s="63"/>
      <c r="N147" s="27"/>
      <c r="O147" s="165"/>
      <c r="P147" s="165"/>
      <c r="Q147" s="174">
        <f t="shared" si="2"/>
        <v>5</v>
      </c>
    </row>
    <row r="148" spans="1:17" s="13" customFormat="1" ht="15.75" x14ac:dyDescent="0.25">
      <c r="A148" s="3">
        <v>142</v>
      </c>
      <c r="B148" s="64" t="s">
        <v>731</v>
      </c>
      <c r="C148" s="109" t="s">
        <v>730</v>
      </c>
      <c r="D148" s="27" t="s">
        <v>732</v>
      </c>
      <c r="E148" s="67"/>
      <c r="F148" s="64"/>
      <c r="G148" s="157"/>
      <c r="H148" s="27"/>
      <c r="I148" s="61"/>
      <c r="J148" s="62"/>
      <c r="K148" s="68">
        <v>23</v>
      </c>
      <c r="L148" s="61"/>
      <c r="M148" s="63"/>
      <c r="N148" s="27"/>
      <c r="O148" s="165"/>
      <c r="P148" s="165"/>
      <c r="Q148" s="174">
        <f t="shared" si="2"/>
        <v>23</v>
      </c>
    </row>
    <row r="149" spans="1:17" s="13" customFormat="1" ht="31.5" x14ac:dyDescent="0.25">
      <c r="A149" s="3">
        <v>143</v>
      </c>
      <c r="B149" s="64" t="s">
        <v>348</v>
      </c>
      <c r="C149" s="109" t="s">
        <v>347</v>
      </c>
      <c r="D149" s="27" t="s">
        <v>734</v>
      </c>
      <c r="E149" s="67"/>
      <c r="F149" s="64"/>
      <c r="G149" s="157"/>
      <c r="H149" s="27"/>
      <c r="I149" s="61"/>
      <c r="J149" s="62"/>
      <c r="K149" s="68">
        <v>11</v>
      </c>
      <c r="L149" s="61"/>
      <c r="M149" s="63"/>
      <c r="N149" s="27"/>
      <c r="O149" s="165"/>
      <c r="P149" s="165"/>
      <c r="Q149" s="174">
        <f t="shared" si="2"/>
        <v>11</v>
      </c>
    </row>
    <row r="150" spans="1:17" s="13" customFormat="1" ht="15.75" x14ac:dyDescent="0.25">
      <c r="A150" s="3">
        <v>144</v>
      </c>
      <c r="B150" s="64" t="s">
        <v>739</v>
      </c>
      <c r="C150" s="109" t="s">
        <v>738</v>
      </c>
      <c r="D150" s="27" t="s">
        <v>740</v>
      </c>
      <c r="E150" s="67"/>
      <c r="F150" s="64"/>
      <c r="G150" s="157"/>
      <c r="H150" s="27"/>
      <c r="I150" s="61"/>
      <c r="J150" s="62"/>
      <c r="K150" s="68">
        <v>20</v>
      </c>
      <c r="L150" s="61"/>
      <c r="M150" s="63"/>
      <c r="N150" s="27"/>
      <c r="O150" s="165"/>
      <c r="P150" s="165"/>
      <c r="Q150" s="174">
        <f t="shared" si="2"/>
        <v>20</v>
      </c>
    </row>
    <row r="151" spans="1:17" s="13" customFormat="1" ht="31.5" x14ac:dyDescent="0.25">
      <c r="A151" s="3">
        <v>145</v>
      </c>
      <c r="B151" s="64" t="s">
        <v>573</v>
      </c>
      <c r="C151" s="109" t="s">
        <v>574</v>
      </c>
      <c r="D151" s="27" t="s">
        <v>744</v>
      </c>
      <c r="E151" s="67"/>
      <c r="F151" s="64"/>
      <c r="G151" s="157"/>
      <c r="H151" s="27"/>
      <c r="I151" s="61"/>
      <c r="J151" s="62"/>
      <c r="K151" s="68">
        <v>5</v>
      </c>
      <c r="L151" s="61"/>
      <c r="M151" s="63"/>
      <c r="N151" s="27"/>
      <c r="O151" s="165"/>
      <c r="P151" s="165"/>
      <c r="Q151" s="174">
        <f t="shared" si="2"/>
        <v>5</v>
      </c>
    </row>
    <row r="152" spans="1:17" s="13" customFormat="1" ht="31.5" x14ac:dyDescent="0.25">
      <c r="A152" s="3">
        <v>146</v>
      </c>
      <c r="B152" s="64" t="s">
        <v>747</v>
      </c>
      <c r="C152" s="109" t="s">
        <v>746</v>
      </c>
      <c r="D152" s="27" t="s">
        <v>748</v>
      </c>
      <c r="E152" s="67"/>
      <c r="F152" s="64"/>
      <c r="G152" s="157"/>
      <c r="H152" s="27"/>
      <c r="I152" s="61"/>
      <c r="J152" s="62"/>
      <c r="K152" s="68">
        <v>10</v>
      </c>
      <c r="L152" s="61"/>
      <c r="M152" s="63">
        <v>5</v>
      </c>
      <c r="N152" s="27"/>
      <c r="O152" s="165"/>
      <c r="P152" s="165"/>
      <c r="Q152" s="174">
        <f t="shared" si="2"/>
        <v>15</v>
      </c>
    </row>
    <row r="153" spans="1:17" s="13" customFormat="1" ht="31.5" x14ac:dyDescent="0.25">
      <c r="A153" s="3">
        <v>147</v>
      </c>
      <c r="B153" s="64" t="s">
        <v>569</v>
      </c>
      <c r="C153" s="109" t="s">
        <v>570</v>
      </c>
      <c r="D153" s="27" t="s">
        <v>750</v>
      </c>
      <c r="E153" s="67"/>
      <c r="F153" s="64"/>
      <c r="G153" s="157"/>
      <c r="H153" s="27"/>
      <c r="I153" s="61"/>
      <c r="J153" s="62"/>
      <c r="K153" s="68">
        <v>5</v>
      </c>
      <c r="L153" s="61"/>
      <c r="M153" s="63"/>
      <c r="N153" s="27"/>
      <c r="O153" s="165"/>
      <c r="P153" s="165"/>
      <c r="Q153" s="174">
        <f t="shared" si="2"/>
        <v>5</v>
      </c>
    </row>
    <row r="154" spans="1:17" s="13" customFormat="1" ht="31.5" x14ac:dyDescent="0.25">
      <c r="A154" s="3">
        <v>148</v>
      </c>
      <c r="B154" s="64" t="s">
        <v>753</v>
      </c>
      <c r="C154" s="109" t="s">
        <v>752</v>
      </c>
      <c r="D154" s="27" t="s">
        <v>754</v>
      </c>
      <c r="E154" s="67"/>
      <c r="F154" s="64"/>
      <c r="G154" s="157"/>
      <c r="H154" s="27"/>
      <c r="I154" s="61"/>
      <c r="J154" s="62"/>
      <c r="K154" s="68">
        <v>5</v>
      </c>
      <c r="L154" s="61"/>
      <c r="M154" s="63"/>
      <c r="N154" s="27"/>
      <c r="O154" s="165"/>
      <c r="P154" s="165"/>
      <c r="Q154" s="174">
        <f t="shared" si="2"/>
        <v>5</v>
      </c>
    </row>
    <row r="155" spans="1:17" s="13" customFormat="1" ht="31.5" x14ac:dyDescent="0.25">
      <c r="A155" s="3">
        <v>149</v>
      </c>
      <c r="B155" s="64" t="s">
        <v>756</v>
      </c>
      <c r="C155" s="109" t="s">
        <v>755</v>
      </c>
      <c r="D155" s="27" t="s">
        <v>757</v>
      </c>
      <c r="E155" s="67"/>
      <c r="F155" s="64"/>
      <c r="G155" s="157"/>
      <c r="H155" s="27"/>
      <c r="I155" s="61"/>
      <c r="J155" s="62"/>
      <c r="K155" s="68">
        <v>10</v>
      </c>
      <c r="L155" s="61"/>
      <c r="M155" s="63"/>
      <c r="N155" s="27"/>
      <c r="O155" s="165"/>
      <c r="P155" s="165"/>
      <c r="Q155" s="174">
        <f t="shared" si="2"/>
        <v>10</v>
      </c>
    </row>
    <row r="156" spans="1:17" s="13" customFormat="1" ht="31.5" x14ac:dyDescent="0.25">
      <c r="A156" s="3">
        <v>150</v>
      </c>
      <c r="B156" s="64" t="s">
        <v>760</v>
      </c>
      <c r="C156" s="109" t="s">
        <v>759</v>
      </c>
      <c r="D156" s="27" t="s">
        <v>761</v>
      </c>
      <c r="E156" s="67"/>
      <c r="F156" s="64"/>
      <c r="G156" s="157"/>
      <c r="H156" s="27"/>
      <c r="I156" s="61"/>
      <c r="J156" s="62"/>
      <c r="K156" s="68">
        <v>5</v>
      </c>
      <c r="L156" s="61"/>
      <c r="M156" s="63"/>
      <c r="N156" s="27"/>
      <c r="O156" s="165"/>
      <c r="P156" s="165"/>
      <c r="Q156" s="174">
        <f t="shared" si="2"/>
        <v>5</v>
      </c>
    </row>
    <row r="157" spans="1:17" s="13" customFormat="1" ht="31.5" x14ac:dyDescent="0.25">
      <c r="A157" s="3">
        <v>151</v>
      </c>
      <c r="B157" s="64" t="s">
        <v>764</v>
      </c>
      <c r="C157" s="109" t="s">
        <v>763</v>
      </c>
      <c r="D157" s="27" t="s">
        <v>761</v>
      </c>
      <c r="E157" s="67"/>
      <c r="F157" s="64"/>
      <c r="G157" s="157"/>
      <c r="H157" s="27"/>
      <c r="I157" s="61"/>
      <c r="J157" s="62"/>
      <c r="K157" s="68">
        <v>5</v>
      </c>
      <c r="L157" s="61"/>
      <c r="M157" s="63"/>
      <c r="N157" s="27"/>
      <c r="O157" s="165"/>
      <c r="P157" s="165"/>
      <c r="Q157" s="174">
        <f t="shared" si="2"/>
        <v>5</v>
      </c>
    </row>
    <row r="158" spans="1:17" s="13" customFormat="1" ht="47.25" x14ac:dyDescent="0.25">
      <c r="A158" s="3">
        <v>152</v>
      </c>
      <c r="B158" s="64" t="s">
        <v>766</v>
      </c>
      <c r="C158" s="109" t="s">
        <v>765</v>
      </c>
      <c r="D158" s="27" t="s">
        <v>768</v>
      </c>
      <c r="E158" s="67"/>
      <c r="F158" s="64"/>
      <c r="G158" s="157"/>
      <c r="H158" s="27"/>
      <c r="I158" s="61"/>
      <c r="J158" s="62"/>
      <c r="K158" s="68">
        <v>5</v>
      </c>
      <c r="L158" s="61"/>
      <c r="M158" s="63"/>
      <c r="N158" s="27"/>
      <c r="O158" s="165"/>
      <c r="P158" s="165"/>
      <c r="Q158" s="174">
        <f t="shared" si="2"/>
        <v>5</v>
      </c>
    </row>
    <row r="159" spans="1:17" s="13" customFormat="1" ht="15.75" x14ac:dyDescent="0.25">
      <c r="A159" s="3">
        <v>153</v>
      </c>
      <c r="B159" s="64" t="s">
        <v>117</v>
      </c>
      <c r="C159" s="109" t="s">
        <v>116</v>
      </c>
      <c r="D159" s="27" t="s">
        <v>660</v>
      </c>
      <c r="E159" s="67"/>
      <c r="F159" s="64"/>
      <c r="G159" s="157"/>
      <c r="H159" s="27"/>
      <c r="I159" s="61"/>
      <c r="J159" s="62"/>
      <c r="K159" s="68">
        <v>5</v>
      </c>
      <c r="L159" s="61"/>
      <c r="M159" s="63"/>
      <c r="N159" s="27"/>
      <c r="O159" s="165"/>
      <c r="P159" s="165"/>
      <c r="Q159" s="174">
        <f t="shared" si="2"/>
        <v>5</v>
      </c>
    </row>
    <row r="160" spans="1:17" s="13" customFormat="1" ht="31.5" x14ac:dyDescent="0.25">
      <c r="A160" s="3">
        <v>154</v>
      </c>
      <c r="B160" s="64" t="s">
        <v>771</v>
      </c>
      <c r="C160" s="109" t="s">
        <v>770</v>
      </c>
      <c r="D160" s="27" t="s">
        <v>772</v>
      </c>
      <c r="E160" s="67"/>
      <c r="F160" s="64"/>
      <c r="G160" s="157"/>
      <c r="H160" s="27"/>
      <c r="I160" s="61"/>
      <c r="J160" s="62"/>
      <c r="K160" s="68">
        <v>5</v>
      </c>
      <c r="L160" s="61"/>
      <c r="M160" s="63"/>
      <c r="N160" s="27"/>
      <c r="O160" s="165"/>
      <c r="P160" s="165"/>
      <c r="Q160" s="174">
        <f t="shared" si="2"/>
        <v>5</v>
      </c>
    </row>
    <row r="161" spans="1:17" s="13" customFormat="1" ht="31.5" x14ac:dyDescent="0.25">
      <c r="A161" s="3">
        <v>155</v>
      </c>
      <c r="B161" s="64" t="s">
        <v>774</v>
      </c>
      <c r="C161" s="109" t="s">
        <v>773</v>
      </c>
      <c r="D161" s="27" t="s">
        <v>761</v>
      </c>
      <c r="E161" s="67"/>
      <c r="F161" s="64"/>
      <c r="G161" s="157"/>
      <c r="H161" s="27"/>
      <c r="I161" s="61"/>
      <c r="J161" s="62"/>
      <c r="K161" s="68">
        <v>5</v>
      </c>
      <c r="L161" s="61"/>
      <c r="M161" s="63"/>
      <c r="N161" s="27"/>
      <c r="O161" s="165"/>
      <c r="P161" s="165"/>
      <c r="Q161" s="174">
        <f t="shared" si="2"/>
        <v>5</v>
      </c>
    </row>
    <row r="162" spans="1:17" s="13" customFormat="1" ht="31.5" x14ac:dyDescent="0.25">
      <c r="A162" s="3">
        <v>156</v>
      </c>
      <c r="B162" s="64" t="s">
        <v>777</v>
      </c>
      <c r="C162" s="109" t="s">
        <v>776</v>
      </c>
      <c r="D162" s="27" t="s">
        <v>761</v>
      </c>
      <c r="E162" s="67"/>
      <c r="F162" s="64"/>
      <c r="G162" s="157"/>
      <c r="H162" s="27"/>
      <c r="I162" s="61"/>
      <c r="J162" s="62"/>
      <c r="K162" s="68">
        <v>5</v>
      </c>
      <c r="L162" s="61"/>
      <c r="M162" s="63"/>
      <c r="N162" s="27"/>
      <c r="O162" s="165"/>
      <c r="P162" s="165"/>
      <c r="Q162" s="174">
        <f t="shared" si="2"/>
        <v>5</v>
      </c>
    </row>
    <row r="163" spans="1:17" s="13" customFormat="1" ht="31.5" x14ac:dyDescent="0.25">
      <c r="A163" s="3">
        <v>157</v>
      </c>
      <c r="B163" s="64" t="s">
        <v>779</v>
      </c>
      <c r="C163" s="109" t="s">
        <v>778</v>
      </c>
      <c r="D163" s="27" t="s">
        <v>761</v>
      </c>
      <c r="E163" s="67"/>
      <c r="F163" s="64"/>
      <c r="G163" s="157"/>
      <c r="H163" s="27"/>
      <c r="I163" s="61"/>
      <c r="J163" s="62"/>
      <c r="K163" s="68">
        <v>5</v>
      </c>
      <c r="L163" s="61"/>
      <c r="M163" s="63"/>
      <c r="N163" s="27"/>
      <c r="O163" s="165"/>
      <c r="P163" s="165"/>
      <c r="Q163" s="174">
        <f t="shared" si="2"/>
        <v>5</v>
      </c>
    </row>
    <row r="164" spans="1:17" s="13" customFormat="1" ht="15.75" x14ac:dyDescent="0.25">
      <c r="A164" s="3">
        <v>158</v>
      </c>
      <c r="B164" s="64" t="s">
        <v>808</v>
      </c>
      <c r="C164" s="109" t="s">
        <v>807</v>
      </c>
      <c r="D164" s="27" t="s">
        <v>1223</v>
      </c>
      <c r="E164" s="67"/>
      <c r="F164" s="64"/>
      <c r="G164" s="157"/>
      <c r="H164" s="27"/>
      <c r="I164" s="61"/>
      <c r="J164" s="62"/>
      <c r="K164" s="68"/>
      <c r="L164" s="68">
        <v>5</v>
      </c>
      <c r="M164" s="63"/>
      <c r="N164" s="27"/>
      <c r="O164" s="165"/>
      <c r="P164" s="165"/>
      <c r="Q164" s="174">
        <f t="shared" si="2"/>
        <v>5</v>
      </c>
    </row>
    <row r="165" spans="1:17" s="13" customFormat="1" ht="15.75" x14ac:dyDescent="0.25">
      <c r="A165" s="3">
        <v>159</v>
      </c>
      <c r="B165" s="64" t="s">
        <v>1224</v>
      </c>
      <c r="C165" s="109" t="s">
        <v>811</v>
      </c>
      <c r="D165" s="27" t="s">
        <v>1225</v>
      </c>
      <c r="E165" s="67"/>
      <c r="F165" s="64"/>
      <c r="G165" s="157"/>
      <c r="H165" s="27"/>
      <c r="I165" s="61"/>
      <c r="J165" s="62"/>
      <c r="K165" s="68"/>
      <c r="L165" s="68">
        <v>5</v>
      </c>
      <c r="M165" s="63"/>
      <c r="N165" s="27"/>
      <c r="O165" s="165"/>
      <c r="P165" s="165"/>
      <c r="Q165" s="174">
        <f t="shared" si="2"/>
        <v>5</v>
      </c>
    </row>
    <row r="166" spans="1:17" s="13" customFormat="1" ht="47.25" x14ac:dyDescent="0.25">
      <c r="A166" s="3">
        <v>160</v>
      </c>
      <c r="B166" s="64" t="s">
        <v>783</v>
      </c>
      <c r="C166" s="109" t="s">
        <v>782</v>
      </c>
      <c r="D166" s="146" t="s">
        <v>787</v>
      </c>
      <c r="E166" s="67"/>
      <c r="F166" s="64"/>
      <c r="G166" s="157"/>
      <c r="H166" s="27"/>
      <c r="I166" s="61"/>
      <c r="J166" s="62"/>
      <c r="K166" s="68"/>
      <c r="L166" s="68">
        <v>15</v>
      </c>
      <c r="M166" s="63"/>
      <c r="N166" s="27"/>
      <c r="O166" s="165"/>
      <c r="P166" s="165"/>
      <c r="Q166" s="174">
        <f t="shared" si="2"/>
        <v>15</v>
      </c>
    </row>
    <row r="167" spans="1:17" s="13" customFormat="1" ht="47.25" x14ac:dyDescent="0.25">
      <c r="A167" s="3">
        <v>161</v>
      </c>
      <c r="B167" s="64" t="s">
        <v>786</v>
      </c>
      <c r="C167" s="109" t="s">
        <v>785</v>
      </c>
      <c r="D167" s="146" t="s">
        <v>787</v>
      </c>
      <c r="E167" s="67"/>
      <c r="F167" s="64"/>
      <c r="G167" s="157"/>
      <c r="H167" s="27"/>
      <c r="I167" s="61"/>
      <c r="J167" s="62"/>
      <c r="K167" s="68"/>
      <c r="L167" s="68">
        <v>15</v>
      </c>
      <c r="M167" s="63"/>
      <c r="N167" s="27"/>
      <c r="O167" s="165"/>
      <c r="P167" s="165"/>
      <c r="Q167" s="174">
        <f t="shared" si="2"/>
        <v>15</v>
      </c>
    </row>
    <row r="168" spans="1:17" s="13" customFormat="1" ht="47.25" x14ac:dyDescent="0.25">
      <c r="A168" s="3">
        <v>162</v>
      </c>
      <c r="B168" s="64" t="s">
        <v>145</v>
      </c>
      <c r="C168" s="109" t="s">
        <v>144</v>
      </c>
      <c r="D168" s="146" t="s">
        <v>788</v>
      </c>
      <c r="E168" s="67"/>
      <c r="F168" s="64"/>
      <c r="G168" s="157"/>
      <c r="H168" s="27"/>
      <c r="I168" s="61"/>
      <c r="J168" s="62"/>
      <c r="K168" s="68"/>
      <c r="L168" s="68">
        <v>10</v>
      </c>
      <c r="M168" s="63"/>
      <c r="N168" s="27"/>
      <c r="O168" s="165"/>
      <c r="P168" s="165"/>
      <c r="Q168" s="174">
        <f t="shared" si="2"/>
        <v>10</v>
      </c>
    </row>
    <row r="169" spans="1:17" s="13" customFormat="1" ht="31.5" x14ac:dyDescent="0.25">
      <c r="A169" s="3">
        <v>163</v>
      </c>
      <c r="B169" s="64" t="s">
        <v>790</v>
      </c>
      <c r="C169" s="109" t="s">
        <v>791</v>
      </c>
      <c r="D169" s="71" t="s">
        <v>792</v>
      </c>
      <c r="E169" s="67"/>
      <c r="F169" s="64"/>
      <c r="G169" s="157"/>
      <c r="H169" s="27"/>
      <c r="I169" s="61"/>
      <c r="J169" s="62"/>
      <c r="K169" s="68"/>
      <c r="L169" s="68">
        <v>5</v>
      </c>
      <c r="M169" s="63"/>
      <c r="N169" s="27"/>
      <c r="O169" s="165"/>
      <c r="P169" s="165"/>
      <c r="Q169" s="174">
        <f t="shared" si="2"/>
        <v>5</v>
      </c>
    </row>
    <row r="170" spans="1:17" s="13" customFormat="1" ht="31.5" x14ac:dyDescent="0.25">
      <c r="A170" s="3">
        <v>164</v>
      </c>
      <c r="B170" s="64" t="s">
        <v>167</v>
      </c>
      <c r="C170" s="109" t="s">
        <v>166</v>
      </c>
      <c r="D170" s="137" t="s">
        <v>794</v>
      </c>
      <c r="E170" s="67"/>
      <c r="F170" s="64"/>
      <c r="G170" s="157"/>
      <c r="H170" s="27"/>
      <c r="I170" s="61"/>
      <c r="J170" s="62"/>
      <c r="K170" s="68"/>
      <c r="L170" s="68">
        <v>5</v>
      </c>
      <c r="M170" s="63"/>
      <c r="N170" s="27">
        <v>3</v>
      </c>
      <c r="O170" s="165"/>
      <c r="P170" s="165"/>
      <c r="Q170" s="174">
        <f t="shared" si="2"/>
        <v>8</v>
      </c>
    </row>
    <row r="171" spans="1:17" s="13" customFormat="1" ht="31.5" x14ac:dyDescent="0.25">
      <c r="A171" s="3">
        <v>165</v>
      </c>
      <c r="B171" s="64" t="s">
        <v>723</v>
      </c>
      <c r="C171" s="109" t="s">
        <v>722</v>
      </c>
      <c r="D171" s="146" t="s">
        <v>798</v>
      </c>
      <c r="E171" s="67"/>
      <c r="F171" s="64"/>
      <c r="G171" s="157"/>
      <c r="H171" s="27"/>
      <c r="I171" s="61"/>
      <c r="J171" s="62"/>
      <c r="K171" s="68"/>
      <c r="L171" s="68">
        <v>5</v>
      </c>
      <c r="M171" s="63"/>
      <c r="N171" s="27"/>
      <c r="O171" s="165"/>
      <c r="P171" s="165"/>
      <c r="Q171" s="174">
        <f t="shared" si="2"/>
        <v>5</v>
      </c>
    </row>
    <row r="172" spans="1:17" s="13" customFormat="1" ht="31.5" x14ac:dyDescent="0.25">
      <c r="A172" s="3">
        <v>166</v>
      </c>
      <c r="B172" s="64" t="s">
        <v>801</v>
      </c>
      <c r="C172" s="109" t="s">
        <v>800</v>
      </c>
      <c r="D172" s="146" t="s">
        <v>798</v>
      </c>
      <c r="E172" s="67"/>
      <c r="F172" s="64"/>
      <c r="G172" s="157"/>
      <c r="H172" s="27"/>
      <c r="I172" s="61"/>
      <c r="J172" s="62"/>
      <c r="K172" s="68"/>
      <c r="L172" s="68">
        <v>5</v>
      </c>
      <c r="M172" s="63"/>
      <c r="N172" s="27"/>
      <c r="O172" s="165"/>
      <c r="P172" s="165"/>
      <c r="Q172" s="174">
        <f t="shared" si="2"/>
        <v>5</v>
      </c>
    </row>
    <row r="173" spans="1:17" s="13" customFormat="1" ht="15.75" x14ac:dyDescent="0.25">
      <c r="A173" s="3">
        <v>167</v>
      </c>
      <c r="B173" s="64" t="s">
        <v>804</v>
      </c>
      <c r="C173" s="109" t="s">
        <v>803</v>
      </c>
      <c r="D173" s="137" t="s">
        <v>805</v>
      </c>
      <c r="E173" s="67"/>
      <c r="F173" s="64"/>
      <c r="G173" s="157"/>
      <c r="H173" s="27"/>
      <c r="I173" s="61"/>
      <c r="J173" s="62"/>
      <c r="K173" s="68"/>
      <c r="L173" s="68">
        <v>5</v>
      </c>
      <c r="M173" s="63"/>
      <c r="N173" s="27"/>
      <c r="O173" s="165"/>
      <c r="P173" s="165"/>
      <c r="Q173" s="174">
        <f t="shared" si="2"/>
        <v>5</v>
      </c>
    </row>
    <row r="174" spans="1:17" s="13" customFormat="1" ht="31.5" x14ac:dyDescent="0.25">
      <c r="A174" s="3">
        <v>168</v>
      </c>
      <c r="B174" s="64" t="s">
        <v>816</v>
      </c>
      <c r="C174" s="109" t="s">
        <v>815</v>
      </c>
      <c r="D174" s="146" t="s">
        <v>817</v>
      </c>
      <c r="E174" s="67"/>
      <c r="F174" s="64"/>
      <c r="G174" s="157"/>
      <c r="H174" s="27"/>
      <c r="I174" s="61"/>
      <c r="J174" s="62"/>
      <c r="K174" s="68"/>
      <c r="L174" s="68">
        <v>9</v>
      </c>
      <c r="M174" s="63"/>
      <c r="N174" s="27"/>
      <c r="O174" s="165"/>
      <c r="P174" s="165"/>
      <c r="Q174" s="174">
        <f t="shared" si="2"/>
        <v>9</v>
      </c>
    </row>
    <row r="175" spans="1:17" s="13" customFormat="1" ht="15.75" x14ac:dyDescent="0.25">
      <c r="A175" s="3">
        <v>169</v>
      </c>
      <c r="B175" s="64" t="s">
        <v>819</v>
      </c>
      <c r="C175" s="109" t="s">
        <v>822</v>
      </c>
      <c r="D175" s="146" t="s">
        <v>820</v>
      </c>
      <c r="E175" s="67"/>
      <c r="F175" s="64"/>
      <c r="G175" s="157"/>
      <c r="H175" s="27"/>
      <c r="I175" s="61"/>
      <c r="J175" s="62"/>
      <c r="K175" s="68"/>
      <c r="L175" s="68">
        <v>5</v>
      </c>
      <c r="M175" s="63"/>
      <c r="N175" s="27"/>
      <c r="O175" s="165"/>
      <c r="P175" s="165"/>
      <c r="Q175" s="174">
        <f t="shared" si="2"/>
        <v>5</v>
      </c>
    </row>
    <row r="176" spans="1:17" s="13" customFormat="1" ht="31.5" x14ac:dyDescent="0.25">
      <c r="A176" s="3">
        <v>170</v>
      </c>
      <c r="B176" s="64" t="s">
        <v>823</v>
      </c>
      <c r="C176" s="109" t="s">
        <v>825</v>
      </c>
      <c r="D176" s="146" t="s">
        <v>824</v>
      </c>
      <c r="E176" s="67"/>
      <c r="F176" s="64"/>
      <c r="G176" s="157"/>
      <c r="H176" s="27"/>
      <c r="I176" s="61"/>
      <c r="J176" s="62"/>
      <c r="K176" s="68"/>
      <c r="L176" s="68">
        <v>2</v>
      </c>
      <c r="M176" s="63"/>
      <c r="N176" s="27"/>
      <c r="O176" s="165"/>
      <c r="P176" s="165"/>
      <c r="Q176" s="174">
        <f t="shared" si="2"/>
        <v>2</v>
      </c>
    </row>
    <row r="177" spans="1:17" s="13" customFormat="1" ht="31.5" x14ac:dyDescent="0.25">
      <c r="A177" s="3">
        <v>171</v>
      </c>
      <c r="B177" s="64" t="s">
        <v>859</v>
      </c>
      <c r="C177" s="67" t="s">
        <v>858</v>
      </c>
      <c r="D177" s="64" t="s">
        <v>860</v>
      </c>
      <c r="E177" s="67"/>
      <c r="F177" s="64"/>
      <c r="G177" s="157"/>
      <c r="H177" s="27"/>
      <c r="I177" s="61"/>
      <c r="J177" s="62"/>
      <c r="K177" s="68"/>
      <c r="L177" s="61">
        <v>5</v>
      </c>
      <c r="M177" s="63"/>
      <c r="N177" s="27"/>
      <c r="O177" s="165"/>
      <c r="P177" s="165"/>
      <c r="Q177" s="174">
        <f t="shared" si="2"/>
        <v>5</v>
      </c>
    </row>
    <row r="178" spans="1:17" s="13" customFormat="1" ht="31.5" x14ac:dyDescent="0.25">
      <c r="A178" s="3">
        <v>172</v>
      </c>
      <c r="B178" s="64" t="s">
        <v>867</v>
      </c>
      <c r="C178" s="67" t="s">
        <v>866</v>
      </c>
      <c r="D178" s="64" t="s">
        <v>868</v>
      </c>
      <c r="E178" s="67"/>
      <c r="F178" s="64"/>
      <c r="G178" s="157"/>
      <c r="H178" s="27"/>
      <c r="I178" s="61"/>
      <c r="J178" s="62"/>
      <c r="K178" s="68"/>
      <c r="L178" s="61">
        <v>5</v>
      </c>
      <c r="M178" s="63"/>
      <c r="N178" s="27"/>
      <c r="O178" s="165"/>
      <c r="P178" s="165"/>
      <c r="Q178" s="174">
        <f t="shared" si="2"/>
        <v>5</v>
      </c>
    </row>
    <row r="179" spans="1:17" s="13" customFormat="1" ht="31.5" x14ac:dyDescent="0.25">
      <c r="A179" s="3">
        <v>173</v>
      </c>
      <c r="B179" s="64" t="s">
        <v>869</v>
      </c>
      <c r="C179" s="67" t="s">
        <v>870</v>
      </c>
      <c r="D179" s="64" t="s">
        <v>871</v>
      </c>
      <c r="E179" s="67"/>
      <c r="F179" s="64"/>
      <c r="G179" s="157"/>
      <c r="H179" s="27"/>
      <c r="I179" s="61"/>
      <c r="J179" s="62"/>
      <c r="K179" s="68"/>
      <c r="L179" s="61">
        <v>5</v>
      </c>
      <c r="M179" s="63"/>
      <c r="N179" s="27"/>
      <c r="O179" s="165"/>
      <c r="P179" s="165"/>
      <c r="Q179" s="174">
        <f t="shared" si="2"/>
        <v>5</v>
      </c>
    </row>
    <row r="180" spans="1:17" s="13" customFormat="1" ht="15.75" x14ac:dyDescent="0.25">
      <c r="A180" s="3">
        <v>174</v>
      </c>
      <c r="B180" s="64" t="s">
        <v>875</v>
      </c>
      <c r="C180" s="67" t="s">
        <v>874</v>
      </c>
      <c r="D180" s="64" t="s">
        <v>876</v>
      </c>
      <c r="E180" s="67"/>
      <c r="F180" s="64"/>
      <c r="G180" s="157"/>
      <c r="H180" s="27"/>
      <c r="I180" s="61"/>
      <c r="J180" s="62"/>
      <c r="K180" s="68"/>
      <c r="L180" s="61">
        <v>10</v>
      </c>
      <c r="M180" s="63"/>
      <c r="N180" s="27"/>
      <c r="O180" s="165"/>
      <c r="P180" s="165"/>
      <c r="Q180" s="174">
        <f t="shared" si="2"/>
        <v>10</v>
      </c>
    </row>
    <row r="181" spans="1:17" s="13" customFormat="1" ht="31.5" x14ac:dyDescent="0.25">
      <c r="A181" s="3">
        <v>175</v>
      </c>
      <c r="B181" s="64" t="s">
        <v>463</v>
      </c>
      <c r="C181" s="67" t="s">
        <v>462</v>
      </c>
      <c r="D181" s="64" t="s">
        <v>912</v>
      </c>
      <c r="E181" s="67"/>
      <c r="F181" s="64"/>
      <c r="G181" s="157"/>
      <c r="H181" s="27"/>
      <c r="I181" s="61"/>
      <c r="J181" s="62"/>
      <c r="K181" s="68"/>
      <c r="L181" s="61">
        <v>11</v>
      </c>
      <c r="M181" s="63"/>
      <c r="N181" s="27"/>
      <c r="O181" s="165"/>
      <c r="P181" s="165"/>
      <c r="Q181" s="174">
        <f t="shared" si="2"/>
        <v>11</v>
      </c>
    </row>
    <row r="182" spans="1:17" s="13" customFormat="1" ht="15.75" x14ac:dyDescent="0.25">
      <c r="A182" s="3">
        <v>176</v>
      </c>
      <c r="B182" s="64" t="s">
        <v>452</v>
      </c>
      <c r="C182" s="67" t="s">
        <v>914</v>
      </c>
      <c r="D182" s="27" t="s">
        <v>915</v>
      </c>
      <c r="E182" s="67"/>
      <c r="F182" s="64"/>
      <c r="G182" s="157"/>
      <c r="H182" s="27"/>
      <c r="I182" s="61"/>
      <c r="J182" s="62"/>
      <c r="K182" s="68"/>
      <c r="L182" s="68">
        <v>6</v>
      </c>
      <c r="M182" s="63"/>
      <c r="N182" s="27"/>
      <c r="O182" s="165"/>
      <c r="P182" s="165"/>
      <c r="Q182" s="174">
        <f t="shared" si="2"/>
        <v>6</v>
      </c>
    </row>
    <row r="183" spans="1:17" s="13" customFormat="1" ht="31.5" x14ac:dyDescent="0.25">
      <c r="A183" s="3">
        <v>177</v>
      </c>
      <c r="B183" s="64" t="s">
        <v>923</v>
      </c>
      <c r="C183" s="67" t="s">
        <v>922</v>
      </c>
      <c r="D183" s="64" t="s">
        <v>924</v>
      </c>
      <c r="E183" s="67"/>
      <c r="F183" s="64"/>
      <c r="G183" s="157"/>
      <c r="H183" s="27"/>
      <c r="I183" s="61"/>
      <c r="J183" s="62"/>
      <c r="K183" s="68"/>
      <c r="L183" s="68">
        <v>5</v>
      </c>
      <c r="M183" s="63"/>
      <c r="N183" s="27"/>
      <c r="O183" s="165"/>
      <c r="P183" s="165"/>
      <c r="Q183" s="174">
        <f t="shared" si="2"/>
        <v>5</v>
      </c>
    </row>
    <row r="184" spans="1:17" s="13" customFormat="1" ht="31.5" x14ac:dyDescent="0.25">
      <c r="A184" s="3">
        <v>178</v>
      </c>
      <c r="B184" s="64" t="s">
        <v>801</v>
      </c>
      <c r="C184" s="109" t="s">
        <v>800</v>
      </c>
      <c r="D184" s="146" t="s">
        <v>798</v>
      </c>
      <c r="E184" s="67"/>
      <c r="F184" s="64"/>
      <c r="G184" s="157"/>
      <c r="H184" s="27"/>
      <c r="I184" s="61"/>
      <c r="J184" s="62"/>
      <c r="K184" s="68"/>
      <c r="L184" s="68">
        <v>5</v>
      </c>
      <c r="M184" s="63"/>
      <c r="N184" s="27"/>
      <c r="O184" s="165"/>
      <c r="P184" s="165"/>
      <c r="Q184" s="174">
        <f t="shared" si="2"/>
        <v>5</v>
      </c>
    </row>
    <row r="185" spans="1:17" s="13" customFormat="1" ht="31.5" x14ac:dyDescent="0.25">
      <c r="A185" s="3">
        <v>179</v>
      </c>
      <c r="B185" s="64" t="s">
        <v>882</v>
      </c>
      <c r="C185" s="109" t="s">
        <v>881</v>
      </c>
      <c r="D185" s="146" t="s">
        <v>883</v>
      </c>
      <c r="E185" s="67"/>
      <c r="F185" s="64"/>
      <c r="G185" s="157"/>
      <c r="H185" s="27"/>
      <c r="I185" s="61"/>
      <c r="J185" s="62"/>
      <c r="K185" s="68"/>
      <c r="L185" s="68">
        <v>6</v>
      </c>
      <c r="M185" s="63"/>
      <c r="N185" s="27"/>
      <c r="O185" s="165"/>
      <c r="P185" s="165"/>
      <c r="Q185" s="174">
        <f t="shared" si="2"/>
        <v>6</v>
      </c>
    </row>
    <row r="186" spans="1:17" s="13" customFormat="1" ht="31.5" x14ac:dyDescent="0.25">
      <c r="A186" s="3">
        <v>180</v>
      </c>
      <c r="B186" s="64" t="s">
        <v>885</v>
      </c>
      <c r="C186" s="109" t="s">
        <v>886</v>
      </c>
      <c r="D186" s="146" t="s">
        <v>887</v>
      </c>
      <c r="E186" s="67"/>
      <c r="F186" s="64"/>
      <c r="G186" s="157"/>
      <c r="H186" s="27"/>
      <c r="I186" s="61"/>
      <c r="J186" s="62"/>
      <c r="K186" s="68"/>
      <c r="L186" s="68">
        <v>10</v>
      </c>
      <c r="M186" s="63"/>
      <c r="N186" s="27"/>
      <c r="O186" s="165"/>
      <c r="P186" s="165"/>
      <c r="Q186" s="174">
        <f t="shared" si="2"/>
        <v>10</v>
      </c>
    </row>
    <row r="187" spans="1:17" s="13" customFormat="1" ht="31.5" x14ac:dyDescent="0.25">
      <c r="A187" s="3">
        <v>181</v>
      </c>
      <c r="B187" s="64" t="s">
        <v>891</v>
      </c>
      <c r="C187" s="109" t="s">
        <v>892</v>
      </c>
      <c r="D187" s="137" t="s">
        <v>883</v>
      </c>
      <c r="E187" s="67"/>
      <c r="F187" s="64"/>
      <c r="G187" s="157"/>
      <c r="H187" s="27"/>
      <c r="I187" s="61"/>
      <c r="J187" s="62"/>
      <c r="K187" s="68"/>
      <c r="L187" s="68">
        <v>4</v>
      </c>
      <c r="M187" s="63"/>
      <c r="N187" s="27"/>
      <c r="O187" s="165"/>
      <c r="P187" s="165"/>
      <c r="Q187" s="174">
        <f t="shared" si="2"/>
        <v>4</v>
      </c>
    </row>
    <row r="188" spans="1:17" s="13" customFormat="1" ht="31.5" x14ac:dyDescent="0.25">
      <c r="A188" s="3">
        <v>182</v>
      </c>
      <c r="B188" s="64" t="s">
        <v>894</v>
      </c>
      <c r="C188" s="109" t="s">
        <v>895</v>
      </c>
      <c r="D188" s="146" t="s">
        <v>883</v>
      </c>
      <c r="E188" s="67"/>
      <c r="F188" s="64"/>
      <c r="G188" s="157"/>
      <c r="H188" s="27"/>
      <c r="I188" s="61"/>
      <c r="J188" s="62"/>
      <c r="K188" s="68"/>
      <c r="L188" s="68">
        <v>4</v>
      </c>
      <c r="M188" s="63"/>
      <c r="N188" s="27"/>
      <c r="O188" s="165"/>
      <c r="P188" s="165"/>
      <c r="Q188" s="174">
        <f t="shared" si="2"/>
        <v>4</v>
      </c>
    </row>
    <row r="189" spans="1:17" s="13" customFormat="1" ht="31.5" x14ac:dyDescent="0.25">
      <c r="A189" s="3">
        <v>183</v>
      </c>
      <c r="B189" s="64" t="s">
        <v>897</v>
      </c>
      <c r="C189" s="109" t="s">
        <v>898</v>
      </c>
      <c r="D189" s="146" t="s">
        <v>899</v>
      </c>
      <c r="E189" s="67"/>
      <c r="F189" s="64"/>
      <c r="G189" s="157"/>
      <c r="H189" s="27"/>
      <c r="I189" s="61"/>
      <c r="J189" s="62"/>
      <c r="K189" s="68"/>
      <c r="L189" s="68">
        <v>10</v>
      </c>
      <c r="M189" s="63"/>
      <c r="N189" s="27"/>
      <c r="O189" s="165"/>
      <c r="P189" s="165"/>
      <c r="Q189" s="174">
        <f t="shared" si="2"/>
        <v>10</v>
      </c>
    </row>
    <row r="190" spans="1:17" s="13" customFormat="1" ht="31.5" x14ac:dyDescent="0.25">
      <c r="A190" s="3">
        <v>184</v>
      </c>
      <c r="B190" s="64" t="s">
        <v>906</v>
      </c>
      <c r="C190" s="109" t="s">
        <v>905</v>
      </c>
      <c r="D190" s="150" t="s">
        <v>883</v>
      </c>
      <c r="E190" s="67"/>
      <c r="F190" s="64"/>
      <c r="G190" s="157"/>
      <c r="H190" s="27"/>
      <c r="I190" s="61"/>
      <c r="J190" s="62"/>
      <c r="K190" s="68"/>
      <c r="L190" s="68">
        <v>4</v>
      </c>
      <c r="M190" s="63"/>
      <c r="N190" s="27"/>
      <c r="O190" s="165"/>
      <c r="P190" s="165"/>
      <c r="Q190" s="174">
        <f t="shared" si="2"/>
        <v>4</v>
      </c>
    </row>
    <row r="191" spans="1:17" s="13" customFormat="1" ht="31.5" x14ac:dyDescent="0.25">
      <c r="A191" s="3">
        <v>185</v>
      </c>
      <c r="B191" s="64" t="s">
        <v>909</v>
      </c>
      <c r="C191" s="109" t="s">
        <v>908</v>
      </c>
      <c r="D191" s="150" t="s">
        <v>910</v>
      </c>
      <c r="E191" s="67"/>
      <c r="F191" s="64"/>
      <c r="G191" s="157"/>
      <c r="H191" s="27"/>
      <c r="I191" s="61"/>
      <c r="J191" s="62"/>
      <c r="K191" s="68"/>
      <c r="L191" s="68">
        <v>4</v>
      </c>
      <c r="M191" s="63"/>
      <c r="N191" s="27"/>
      <c r="O191" s="165"/>
      <c r="P191" s="165"/>
      <c r="Q191" s="174">
        <f t="shared" si="2"/>
        <v>4</v>
      </c>
    </row>
    <row r="192" spans="1:17" s="13" customFormat="1" ht="31.5" x14ac:dyDescent="0.25">
      <c r="A192" s="3">
        <v>186</v>
      </c>
      <c r="B192" s="64" t="s">
        <v>779</v>
      </c>
      <c r="C192" s="109" t="s">
        <v>778</v>
      </c>
      <c r="D192" s="27" t="s">
        <v>761</v>
      </c>
      <c r="E192" s="67"/>
      <c r="F192" s="64"/>
      <c r="G192" s="157"/>
      <c r="H192" s="27"/>
      <c r="I192" s="61"/>
      <c r="J192" s="62"/>
      <c r="K192" s="68"/>
      <c r="L192" s="68">
        <v>4</v>
      </c>
      <c r="M192" s="63"/>
      <c r="N192" s="27"/>
      <c r="O192" s="165"/>
      <c r="P192" s="165"/>
      <c r="Q192" s="174">
        <f t="shared" si="2"/>
        <v>4</v>
      </c>
    </row>
    <row r="193" spans="1:17" s="13" customFormat="1" ht="31.5" x14ac:dyDescent="0.25">
      <c r="A193" s="3">
        <v>187</v>
      </c>
      <c r="B193" s="64" t="s">
        <v>902</v>
      </c>
      <c r="C193" s="109" t="s">
        <v>901</v>
      </c>
      <c r="D193" s="137" t="s">
        <v>903</v>
      </c>
      <c r="E193" s="67"/>
      <c r="F193" s="64"/>
      <c r="G193" s="157"/>
      <c r="H193" s="27"/>
      <c r="I193" s="61"/>
      <c r="J193" s="62"/>
      <c r="K193" s="68"/>
      <c r="L193" s="61">
        <v>13</v>
      </c>
      <c r="M193" s="63"/>
      <c r="N193" s="27"/>
      <c r="O193" s="165"/>
      <c r="P193" s="165"/>
      <c r="Q193" s="174">
        <f t="shared" si="2"/>
        <v>13</v>
      </c>
    </row>
    <row r="194" spans="1:17" s="13" customFormat="1" ht="31.5" x14ac:dyDescent="0.25">
      <c r="A194" s="3">
        <v>188</v>
      </c>
      <c r="B194" s="64" t="s">
        <v>1015</v>
      </c>
      <c r="C194" s="67" t="s">
        <v>1226</v>
      </c>
      <c r="D194" s="146" t="s">
        <v>1016</v>
      </c>
      <c r="E194" s="67"/>
      <c r="F194" s="64"/>
      <c r="G194" s="157"/>
      <c r="H194" s="27"/>
      <c r="I194" s="61"/>
      <c r="J194" s="62"/>
      <c r="K194" s="68"/>
      <c r="L194" s="61"/>
      <c r="M194" s="63">
        <v>5</v>
      </c>
      <c r="N194" s="27"/>
      <c r="O194" s="165"/>
      <c r="P194" s="165"/>
      <c r="Q194" s="174">
        <f t="shared" si="2"/>
        <v>5</v>
      </c>
    </row>
    <row r="195" spans="1:17" s="13" customFormat="1" ht="31.5" x14ac:dyDescent="0.25">
      <c r="A195" s="3">
        <v>189</v>
      </c>
      <c r="B195" s="64" t="s">
        <v>1008</v>
      </c>
      <c r="C195" s="67" t="s">
        <v>1007</v>
      </c>
      <c r="D195" s="64" t="s">
        <v>1009</v>
      </c>
      <c r="E195" s="67"/>
      <c r="F195" s="64"/>
      <c r="G195" s="157"/>
      <c r="H195" s="27"/>
      <c r="I195" s="61"/>
      <c r="J195" s="62"/>
      <c r="K195" s="68"/>
      <c r="L195" s="61"/>
      <c r="M195" s="63">
        <v>6</v>
      </c>
      <c r="N195" s="27"/>
      <c r="O195" s="165"/>
      <c r="P195" s="165"/>
      <c r="Q195" s="174">
        <f t="shared" si="2"/>
        <v>6</v>
      </c>
    </row>
    <row r="196" spans="1:17" s="13" customFormat="1" ht="15.75" x14ac:dyDescent="0.25">
      <c r="A196" s="3">
        <v>190</v>
      </c>
      <c r="B196" s="64" t="s">
        <v>673</v>
      </c>
      <c r="C196" s="67" t="s">
        <v>672</v>
      </c>
      <c r="D196" s="27" t="s">
        <v>1026</v>
      </c>
      <c r="E196" s="67"/>
      <c r="F196" s="64"/>
      <c r="G196" s="157"/>
      <c r="H196" s="27"/>
      <c r="I196" s="61"/>
      <c r="J196" s="62"/>
      <c r="K196" s="68"/>
      <c r="L196" s="61"/>
      <c r="M196" s="68">
        <v>4</v>
      </c>
      <c r="N196" s="27"/>
      <c r="O196" s="165"/>
      <c r="P196" s="165"/>
      <c r="Q196" s="174">
        <f t="shared" si="2"/>
        <v>4</v>
      </c>
    </row>
    <row r="197" spans="1:17" s="13" customFormat="1" ht="15.75" x14ac:dyDescent="0.25">
      <c r="A197" s="3">
        <v>191</v>
      </c>
      <c r="B197" s="64" t="s">
        <v>1028</v>
      </c>
      <c r="C197" s="67" t="s">
        <v>1030</v>
      </c>
      <c r="D197" s="27" t="s">
        <v>1029</v>
      </c>
      <c r="E197" s="67"/>
      <c r="F197" s="64"/>
      <c r="G197" s="157"/>
      <c r="H197" s="27"/>
      <c r="I197" s="61"/>
      <c r="J197" s="62"/>
      <c r="K197" s="68"/>
      <c r="L197" s="61"/>
      <c r="M197" s="68">
        <v>5</v>
      </c>
      <c r="N197" s="27"/>
      <c r="O197" s="165"/>
      <c r="P197" s="165"/>
      <c r="Q197" s="174">
        <f t="shared" si="2"/>
        <v>5</v>
      </c>
    </row>
    <row r="198" spans="1:17" s="13" customFormat="1" ht="15.75" x14ac:dyDescent="0.25">
      <c r="A198" s="3">
        <v>192</v>
      </c>
      <c r="B198" s="64" t="s">
        <v>1032</v>
      </c>
      <c r="C198" s="67" t="s">
        <v>1034</v>
      </c>
      <c r="D198" s="27" t="s">
        <v>1033</v>
      </c>
      <c r="E198" s="67"/>
      <c r="F198" s="64"/>
      <c r="G198" s="157"/>
      <c r="H198" s="27"/>
      <c r="I198" s="61"/>
      <c r="J198" s="62"/>
      <c r="K198" s="68"/>
      <c r="L198" s="61"/>
      <c r="M198" s="68">
        <v>5</v>
      </c>
      <c r="N198" s="27"/>
      <c r="O198" s="165"/>
      <c r="P198" s="165"/>
      <c r="Q198" s="174">
        <f t="shared" si="2"/>
        <v>5</v>
      </c>
    </row>
    <row r="199" spans="1:17" s="13" customFormat="1" ht="15.75" x14ac:dyDescent="0.25">
      <c r="A199" s="3">
        <v>193</v>
      </c>
      <c r="B199" s="64" t="s">
        <v>1042</v>
      </c>
      <c r="C199" s="67" t="s">
        <v>1045</v>
      </c>
      <c r="D199" s="27" t="s">
        <v>1043</v>
      </c>
      <c r="E199" s="67"/>
      <c r="F199" s="64"/>
      <c r="G199" s="157"/>
      <c r="H199" s="27"/>
      <c r="I199" s="61"/>
      <c r="J199" s="62"/>
      <c r="K199" s="68"/>
      <c r="L199" s="61"/>
      <c r="M199" s="68">
        <v>2</v>
      </c>
      <c r="N199" s="27"/>
      <c r="O199" s="165"/>
      <c r="P199" s="165"/>
      <c r="Q199" s="174">
        <f t="shared" si="2"/>
        <v>2</v>
      </c>
    </row>
    <row r="200" spans="1:17" s="13" customFormat="1" ht="15.75" x14ac:dyDescent="0.25">
      <c r="A200" s="3">
        <v>194</v>
      </c>
      <c r="B200" s="64" t="s">
        <v>1046</v>
      </c>
      <c r="C200" s="67" t="s">
        <v>1047</v>
      </c>
      <c r="D200" s="27" t="s">
        <v>1043</v>
      </c>
      <c r="E200" s="67"/>
      <c r="F200" s="64"/>
      <c r="G200" s="157"/>
      <c r="H200" s="27"/>
      <c r="I200" s="61"/>
      <c r="J200" s="62"/>
      <c r="K200" s="68"/>
      <c r="L200" s="61"/>
      <c r="M200" s="68">
        <v>2</v>
      </c>
      <c r="N200" s="27"/>
      <c r="O200" s="165"/>
      <c r="P200" s="165"/>
      <c r="Q200" s="174">
        <f t="shared" si="2"/>
        <v>2</v>
      </c>
    </row>
    <row r="201" spans="1:17" s="13" customFormat="1" ht="31.5" x14ac:dyDescent="0.25">
      <c r="A201" s="3">
        <v>195</v>
      </c>
      <c r="B201" s="64" t="s">
        <v>974</v>
      </c>
      <c r="C201" s="109" t="s">
        <v>973</v>
      </c>
      <c r="D201" s="146" t="s">
        <v>975</v>
      </c>
      <c r="E201" s="67"/>
      <c r="F201" s="64"/>
      <c r="G201" s="157"/>
      <c r="H201" s="27"/>
      <c r="I201" s="61"/>
      <c r="J201" s="62"/>
      <c r="K201" s="68"/>
      <c r="L201" s="61"/>
      <c r="M201" s="68">
        <v>5</v>
      </c>
      <c r="N201" s="27"/>
      <c r="O201" s="165"/>
      <c r="P201" s="165"/>
      <c r="Q201" s="174">
        <f t="shared" ref="Q201:Q264" si="3">SUM(E201,F201:P201)</f>
        <v>5</v>
      </c>
    </row>
    <row r="202" spans="1:17" s="13" customFormat="1" ht="31.5" x14ac:dyDescent="0.25">
      <c r="A202" s="3">
        <v>196</v>
      </c>
      <c r="B202" s="64" t="s">
        <v>894</v>
      </c>
      <c r="C202" s="109" t="s">
        <v>895</v>
      </c>
      <c r="D202" s="146" t="s">
        <v>977</v>
      </c>
      <c r="E202" s="67"/>
      <c r="F202" s="64"/>
      <c r="G202" s="157"/>
      <c r="H202" s="27"/>
      <c r="I202" s="61"/>
      <c r="J202" s="62"/>
      <c r="K202" s="68"/>
      <c r="L202" s="61"/>
      <c r="M202" s="68">
        <v>4</v>
      </c>
      <c r="N202" s="27"/>
      <c r="O202" s="165"/>
      <c r="P202" s="165"/>
      <c r="Q202" s="174">
        <f t="shared" si="3"/>
        <v>4</v>
      </c>
    </row>
    <row r="203" spans="1:17" s="13" customFormat="1" ht="15.75" x14ac:dyDescent="0.25">
      <c r="A203" s="3">
        <v>197</v>
      </c>
      <c r="B203" s="64" t="s">
        <v>416</v>
      </c>
      <c r="C203" s="109" t="s">
        <v>415</v>
      </c>
      <c r="D203" s="150" t="s">
        <v>979</v>
      </c>
      <c r="E203" s="67"/>
      <c r="F203" s="64"/>
      <c r="G203" s="157"/>
      <c r="H203" s="27"/>
      <c r="I203" s="61"/>
      <c r="J203" s="62"/>
      <c r="K203" s="68"/>
      <c r="L203" s="61"/>
      <c r="M203" s="68">
        <v>4</v>
      </c>
      <c r="N203" s="27"/>
      <c r="O203" s="165"/>
      <c r="P203" s="165"/>
      <c r="Q203" s="174">
        <f t="shared" si="3"/>
        <v>4</v>
      </c>
    </row>
    <row r="204" spans="1:17" s="13" customFormat="1" ht="31.5" x14ac:dyDescent="0.25">
      <c r="A204" s="3">
        <v>198</v>
      </c>
      <c r="B204" s="64" t="s">
        <v>695</v>
      </c>
      <c r="C204" s="109" t="s">
        <v>694</v>
      </c>
      <c r="D204" s="137" t="s">
        <v>981</v>
      </c>
      <c r="E204" s="67"/>
      <c r="F204" s="64"/>
      <c r="G204" s="157"/>
      <c r="H204" s="27"/>
      <c r="I204" s="61"/>
      <c r="J204" s="62"/>
      <c r="K204" s="68"/>
      <c r="L204" s="61"/>
      <c r="M204" s="68">
        <v>5</v>
      </c>
      <c r="N204" s="27"/>
      <c r="O204" s="165"/>
      <c r="P204" s="165"/>
      <c r="Q204" s="174">
        <f t="shared" si="3"/>
        <v>5</v>
      </c>
    </row>
    <row r="205" spans="1:17" s="13" customFormat="1" ht="31.5" x14ac:dyDescent="0.25">
      <c r="A205" s="3">
        <v>199</v>
      </c>
      <c r="B205" s="64" t="s">
        <v>984</v>
      </c>
      <c r="C205" s="109" t="s">
        <v>983</v>
      </c>
      <c r="D205" s="146" t="s">
        <v>969</v>
      </c>
      <c r="E205" s="67"/>
      <c r="F205" s="64"/>
      <c r="G205" s="157"/>
      <c r="H205" s="27"/>
      <c r="I205" s="61"/>
      <c r="J205" s="62"/>
      <c r="K205" s="68"/>
      <c r="L205" s="61"/>
      <c r="M205" s="68">
        <v>4</v>
      </c>
      <c r="N205" s="27"/>
      <c r="O205" s="165"/>
      <c r="P205" s="165"/>
      <c r="Q205" s="174">
        <f t="shared" si="3"/>
        <v>4</v>
      </c>
    </row>
    <row r="206" spans="1:17" s="13" customFormat="1" ht="31.5" x14ac:dyDescent="0.25">
      <c r="A206" s="3">
        <v>200</v>
      </c>
      <c r="B206" s="64" t="s">
        <v>988</v>
      </c>
      <c r="C206" s="109" t="s">
        <v>986</v>
      </c>
      <c r="D206" s="146" t="s">
        <v>989</v>
      </c>
      <c r="E206" s="67"/>
      <c r="F206" s="64"/>
      <c r="G206" s="157"/>
      <c r="H206" s="27"/>
      <c r="I206" s="61"/>
      <c r="J206" s="62"/>
      <c r="K206" s="68"/>
      <c r="L206" s="61"/>
      <c r="M206" s="68">
        <v>4</v>
      </c>
      <c r="N206" s="27"/>
      <c r="O206" s="165"/>
      <c r="P206" s="165"/>
      <c r="Q206" s="174">
        <f t="shared" si="3"/>
        <v>4</v>
      </c>
    </row>
    <row r="207" spans="1:17" s="13" customFormat="1" ht="31.5" x14ac:dyDescent="0.25">
      <c r="A207" s="3">
        <v>201</v>
      </c>
      <c r="B207" s="64" t="s">
        <v>992</v>
      </c>
      <c r="C207" s="109" t="s">
        <v>990</v>
      </c>
      <c r="D207" s="146" t="s">
        <v>989</v>
      </c>
      <c r="E207" s="67"/>
      <c r="F207" s="64"/>
      <c r="G207" s="157"/>
      <c r="H207" s="27"/>
      <c r="I207" s="61"/>
      <c r="J207" s="62"/>
      <c r="K207" s="68"/>
      <c r="L207" s="61"/>
      <c r="M207" s="68">
        <v>4</v>
      </c>
      <c r="N207" s="27"/>
      <c r="O207" s="165"/>
      <c r="P207" s="165"/>
      <c r="Q207" s="174">
        <f t="shared" si="3"/>
        <v>4</v>
      </c>
    </row>
    <row r="208" spans="1:17" s="13" customFormat="1" ht="31.5" x14ac:dyDescent="0.25">
      <c r="A208" s="3">
        <v>202</v>
      </c>
      <c r="B208" s="64" t="s">
        <v>993</v>
      </c>
      <c r="C208" s="109" t="s">
        <v>991</v>
      </c>
      <c r="D208" s="146" t="s">
        <v>994</v>
      </c>
      <c r="E208" s="67"/>
      <c r="F208" s="64"/>
      <c r="G208" s="157"/>
      <c r="H208" s="27"/>
      <c r="I208" s="61"/>
      <c r="J208" s="62"/>
      <c r="K208" s="68"/>
      <c r="L208" s="61"/>
      <c r="M208" s="68">
        <v>4</v>
      </c>
      <c r="N208" s="27"/>
      <c r="O208" s="165"/>
      <c r="P208" s="165"/>
      <c r="Q208" s="174">
        <f t="shared" si="3"/>
        <v>4</v>
      </c>
    </row>
    <row r="209" spans="1:17" s="13" customFormat="1" ht="15.75" x14ac:dyDescent="0.25">
      <c r="A209" s="3">
        <v>203</v>
      </c>
      <c r="B209" s="64" t="s">
        <v>997</v>
      </c>
      <c r="C209" s="109" t="s">
        <v>996</v>
      </c>
      <c r="D209" s="146" t="s">
        <v>998</v>
      </c>
      <c r="E209" s="67"/>
      <c r="F209" s="64"/>
      <c r="G209" s="157"/>
      <c r="H209" s="27"/>
      <c r="I209" s="61"/>
      <c r="J209" s="62"/>
      <c r="K209" s="68"/>
      <c r="L209" s="61"/>
      <c r="M209" s="68">
        <v>4</v>
      </c>
      <c r="N209" s="27"/>
      <c r="O209" s="165"/>
      <c r="P209" s="165"/>
      <c r="Q209" s="174">
        <f t="shared" si="3"/>
        <v>4</v>
      </c>
    </row>
    <row r="210" spans="1:17" s="13" customFormat="1" ht="15.75" x14ac:dyDescent="0.25">
      <c r="A210" s="3">
        <v>204</v>
      </c>
      <c r="B210" s="64" t="s">
        <v>891</v>
      </c>
      <c r="C210" s="109" t="s">
        <v>892</v>
      </c>
      <c r="D210" s="146" t="s">
        <v>1000</v>
      </c>
      <c r="E210" s="67"/>
      <c r="F210" s="64"/>
      <c r="G210" s="157"/>
      <c r="H210" s="27"/>
      <c r="I210" s="61"/>
      <c r="J210" s="62"/>
      <c r="K210" s="68"/>
      <c r="L210" s="61"/>
      <c r="M210" s="68">
        <v>4</v>
      </c>
      <c r="N210" s="27"/>
      <c r="O210" s="165"/>
      <c r="P210" s="165"/>
      <c r="Q210" s="174">
        <f t="shared" si="3"/>
        <v>4</v>
      </c>
    </row>
    <row r="211" spans="1:17" s="13" customFormat="1" ht="15.75" x14ac:dyDescent="0.25">
      <c r="A211" s="3">
        <v>205</v>
      </c>
      <c r="B211" s="64" t="s">
        <v>1003</v>
      </c>
      <c r="C211" s="109" t="s">
        <v>1002</v>
      </c>
      <c r="D211" s="146" t="s">
        <v>1004</v>
      </c>
      <c r="E211" s="67"/>
      <c r="F211" s="64"/>
      <c r="G211" s="157"/>
      <c r="H211" s="27"/>
      <c r="I211" s="61"/>
      <c r="J211" s="62"/>
      <c r="K211" s="68"/>
      <c r="L211" s="61"/>
      <c r="M211" s="68">
        <v>10</v>
      </c>
      <c r="N211" s="27"/>
      <c r="O211" s="165"/>
      <c r="P211" s="165"/>
      <c r="Q211" s="174">
        <f t="shared" si="3"/>
        <v>10</v>
      </c>
    </row>
    <row r="212" spans="1:17" s="13" customFormat="1" ht="15.75" x14ac:dyDescent="0.25">
      <c r="A212" s="3">
        <v>206</v>
      </c>
      <c r="B212" s="64" t="s">
        <v>1036</v>
      </c>
      <c r="C212" s="109" t="s">
        <v>1038</v>
      </c>
      <c r="D212" s="146" t="s">
        <v>1037</v>
      </c>
      <c r="E212" s="67"/>
      <c r="F212" s="64"/>
      <c r="G212" s="157"/>
      <c r="H212" s="27"/>
      <c r="I212" s="61"/>
      <c r="J212" s="62"/>
      <c r="K212" s="68"/>
      <c r="L212" s="61"/>
      <c r="M212" s="68">
        <v>10</v>
      </c>
      <c r="N212" s="27"/>
      <c r="O212" s="165"/>
      <c r="P212" s="165"/>
      <c r="Q212" s="174">
        <f t="shared" si="3"/>
        <v>10</v>
      </c>
    </row>
    <row r="213" spans="1:17" s="13" customFormat="1" ht="15.75" x14ac:dyDescent="0.25">
      <c r="A213" s="3">
        <v>207</v>
      </c>
      <c r="B213" s="64" t="s">
        <v>997</v>
      </c>
      <c r="C213" s="109" t="s">
        <v>996</v>
      </c>
      <c r="D213" s="146" t="s">
        <v>1040</v>
      </c>
      <c r="E213" s="67"/>
      <c r="F213" s="64"/>
      <c r="G213" s="157"/>
      <c r="H213" s="27"/>
      <c r="I213" s="61"/>
      <c r="J213" s="62"/>
      <c r="K213" s="68"/>
      <c r="L213" s="61"/>
      <c r="M213" s="68">
        <v>5</v>
      </c>
      <c r="N213" s="27"/>
      <c r="O213" s="165"/>
      <c r="P213" s="165"/>
      <c r="Q213" s="174">
        <f t="shared" si="3"/>
        <v>5</v>
      </c>
    </row>
    <row r="214" spans="1:17" s="13" customFormat="1" ht="15.75" x14ac:dyDescent="0.25">
      <c r="A214" s="3">
        <v>208</v>
      </c>
      <c r="B214" s="173" t="s">
        <v>1227</v>
      </c>
      <c r="C214" s="67" t="s">
        <v>1237</v>
      </c>
      <c r="D214" s="173" t="s">
        <v>1231</v>
      </c>
      <c r="E214" s="67"/>
      <c r="F214" s="64"/>
      <c r="G214" s="157"/>
      <c r="H214" s="27"/>
      <c r="I214" s="61"/>
      <c r="J214" s="62"/>
      <c r="K214" s="68"/>
      <c r="L214" s="61"/>
      <c r="M214" s="63">
        <v>5</v>
      </c>
      <c r="N214" s="27"/>
      <c r="O214" s="165"/>
      <c r="P214" s="165"/>
      <c r="Q214" s="174">
        <f t="shared" si="3"/>
        <v>5</v>
      </c>
    </row>
    <row r="215" spans="1:17" s="13" customFormat="1" ht="15.75" x14ac:dyDescent="0.25">
      <c r="A215" s="3">
        <v>209</v>
      </c>
      <c r="B215" s="173" t="s">
        <v>1228</v>
      </c>
      <c r="C215" s="67" t="s">
        <v>1233</v>
      </c>
      <c r="D215" s="173" t="s">
        <v>1231</v>
      </c>
      <c r="E215" s="67"/>
      <c r="F215" s="64"/>
      <c r="G215" s="157"/>
      <c r="H215" s="27"/>
      <c r="I215" s="61"/>
      <c r="J215" s="62"/>
      <c r="K215" s="68"/>
      <c r="L215" s="61"/>
      <c r="M215" s="63">
        <v>5</v>
      </c>
      <c r="N215" s="27"/>
      <c r="O215" s="165"/>
      <c r="P215" s="165"/>
      <c r="Q215" s="174">
        <f t="shared" si="3"/>
        <v>5</v>
      </c>
    </row>
    <row r="216" spans="1:17" s="13" customFormat="1" ht="15.75" x14ac:dyDescent="0.25">
      <c r="A216" s="3">
        <v>210</v>
      </c>
      <c r="B216" s="173" t="s">
        <v>1205</v>
      </c>
      <c r="C216" s="67" t="s">
        <v>1236</v>
      </c>
      <c r="D216" s="173" t="s">
        <v>1231</v>
      </c>
      <c r="E216" s="67"/>
      <c r="F216" s="64"/>
      <c r="G216" s="157"/>
      <c r="H216" s="27"/>
      <c r="I216" s="61"/>
      <c r="J216" s="62"/>
      <c r="K216" s="68"/>
      <c r="L216" s="61"/>
      <c r="M216" s="63">
        <v>15</v>
      </c>
      <c r="N216" s="27"/>
      <c r="O216" s="165"/>
      <c r="P216" s="165"/>
      <c r="Q216" s="174">
        <f t="shared" si="3"/>
        <v>15</v>
      </c>
    </row>
    <row r="217" spans="1:17" s="13" customFormat="1" ht="15.75" x14ac:dyDescent="0.25">
      <c r="A217" s="3">
        <v>211</v>
      </c>
      <c r="B217" s="173" t="s">
        <v>394</v>
      </c>
      <c r="C217" s="67" t="s">
        <v>478</v>
      </c>
      <c r="D217" s="173" t="s">
        <v>1231</v>
      </c>
      <c r="E217" s="67"/>
      <c r="F217" s="64"/>
      <c r="G217" s="157"/>
      <c r="H217" s="27"/>
      <c r="I217" s="61"/>
      <c r="J217" s="62"/>
      <c r="K217" s="68"/>
      <c r="L217" s="61"/>
      <c r="M217" s="63">
        <v>5</v>
      </c>
      <c r="N217" s="27"/>
      <c r="O217" s="165"/>
      <c r="P217" s="165"/>
      <c r="Q217" s="174">
        <f t="shared" si="3"/>
        <v>5</v>
      </c>
    </row>
    <row r="218" spans="1:17" s="13" customFormat="1" ht="15.75" x14ac:dyDescent="0.25">
      <c r="A218" s="3">
        <v>212</v>
      </c>
      <c r="B218" s="173" t="s">
        <v>1229</v>
      </c>
      <c r="C218" s="67" t="s">
        <v>1234</v>
      </c>
      <c r="D218" s="173" t="s">
        <v>1232</v>
      </c>
      <c r="E218" s="67"/>
      <c r="F218" s="64"/>
      <c r="G218" s="157"/>
      <c r="H218" s="27"/>
      <c r="I218" s="61"/>
      <c r="J218" s="62"/>
      <c r="K218" s="68"/>
      <c r="L218" s="61"/>
      <c r="M218" s="63">
        <v>8</v>
      </c>
      <c r="N218" s="27"/>
      <c r="O218" s="165"/>
      <c r="P218" s="165"/>
      <c r="Q218" s="174">
        <f t="shared" si="3"/>
        <v>8</v>
      </c>
    </row>
    <row r="219" spans="1:17" s="13" customFormat="1" ht="15.75" x14ac:dyDescent="0.25">
      <c r="A219" s="3">
        <v>213</v>
      </c>
      <c r="B219" s="173" t="s">
        <v>1230</v>
      </c>
      <c r="C219" s="67" t="s">
        <v>1235</v>
      </c>
      <c r="D219" s="173" t="s">
        <v>1231</v>
      </c>
      <c r="E219" s="67"/>
      <c r="F219" s="64"/>
      <c r="G219" s="157"/>
      <c r="H219" s="27"/>
      <c r="I219" s="61"/>
      <c r="J219" s="62"/>
      <c r="K219" s="68"/>
      <c r="L219" s="61"/>
      <c r="M219" s="63">
        <v>5</v>
      </c>
      <c r="N219" s="27"/>
      <c r="O219" s="165"/>
      <c r="P219" s="165"/>
      <c r="Q219" s="174">
        <f t="shared" si="3"/>
        <v>5</v>
      </c>
    </row>
    <row r="220" spans="1:17" s="13" customFormat="1" ht="15.75" x14ac:dyDescent="0.25">
      <c r="A220" s="3">
        <v>214</v>
      </c>
      <c r="B220" s="64" t="s">
        <v>1106</v>
      </c>
      <c r="C220" s="67" t="s">
        <v>1105</v>
      </c>
      <c r="D220" s="157" t="s">
        <v>1077</v>
      </c>
      <c r="E220" s="67"/>
      <c r="F220" s="64"/>
      <c r="G220" s="157"/>
      <c r="H220" s="27"/>
      <c r="I220" s="61"/>
      <c r="J220" s="62"/>
      <c r="K220" s="68"/>
      <c r="L220" s="61"/>
      <c r="M220" s="63"/>
      <c r="N220" s="27">
        <v>5</v>
      </c>
      <c r="O220" s="165"/>
      <c r="P220" s="165"/>
      <c r="Q220" s="174">
        <f t="shared" si="3"/>
        <v>5</v>
      </c>
    </row>
    <row r="221" spans="1:17" s="13" customFormat="1" ht="15.75" x14ac:dyDescent="0.25">
      <c r="A221" s="3">
        <v>215</v>
      </c>
      <c r="B221" s="64" t="s">
        <v>1140</v>
      </c>
      <c r="C221" s="109" t="s">
        <v>1139</v>
      </c>
      <c r="D221" s="146" t="s">
        <v>1222</v>
      </c>
      <c r="E221" s="67"/>
      <c r="F221" s="64"/>
      <c r="G221" s="157"/>
      <c r="H221" s="27"/>
      <c r="I221" s="61"/>
      <c r="J221" s="62"/>
      <c r="K221" s="68"/>
      <c r="L221" s="61"/>
      <c r="M221" s="63"/>
      <c r="N221" s="27">
        <v>5</v>
      </c>
      <c r="O221" s="165"/>
      <c r="P221" s="165"/>
      <c r="Q221" s="174">
        <f t="shared" si="3"/>
        <v>5</v>
      </c>
    </row>
    <row r="222" spans="1:17" s="13" customFormat="1" ht="15.75" x14ac:dyDescent="0.25">
      <c r="A222" s="3">
        <v>216</v>
      </c>
      <c r="B222" s="64" t="s">
        <v>1064</v>
      </c>
      <c r="C222" s="67" t="s">
        <v>1060</v>
      </c>
      <c r="D222" s="64" t="s">
        <v>1061</v>
      </c>
      <c r="E222" s="67"/>
      <c r="F222" s="64"/>
      <c r="G222" s="157"/>
      <c r="H222" s="27"/>
      <c r="I222" s="61"/>
      <c r="J222" s="62"/>
      <c r="K222" s="68"/>
      <c r="L222" s="61"/>
      <c r="M222" s="63"/>
      <c r="N222" s="61">
        <v>18</v>
      </c>
      <c r="O222" s="165"/>
      <c r="P222" s="165"/>
      <c r="Q222" s="174">
        <f t="shared" si="3"/>
        <v>18</v>
      </c>
    </row>
    <row r="223" spans="1:17" s="13" customFormat="1" ht="15.75" x14ac:dyDescent="0.25">
      <c r="A223" s="3">
        <v>217</v>
      </c>
      <c r="B223" s="64" t="s">
        <v>1068</v>
      </c>
      <c r="C223" s="67" t="s">
        <v>1065</v>
      </c>
      <c r="D223" s="64" t="s">
        <v>1066</v>
      </c>
      <c r="E223" s="67"/>
      <c r="F223" s="64"/>
      <c r="G223" s="157"/>
      <c r="H223" s="27"/>
      <c r="I223" s="61"/>
      <c r="J223" s="62"/>
      <c r="K223" s="68"/>
      <c r="L223" s="61"/>
      <c r="M223" s="63"/>
      <c r="N223" s="61">
        <v>18</v>
      </c>
      <c r="O223" s="165"/>
      <c r="P223" s="165"/>
      <c r="Q223" s="174">
        <f t="shared" si="3"/>
        <v>18</v>
      </c>
    </row>
    <row r="224" spans="1:17" s="13" customFormat="1" ht="15.75" x14ac:dyDescent="0.25">
      <c r="A224" s="3">
        <v>218</v>
      </c>
      <c r="B224" s="64" t="s">
        <v>1069</v>
      </c>
      <c r="C224" s="67" t="s">
        <v>1067</v>
      </c>
      <c r="D224" s="64" t="s">
        <v>1070</v>
      </c>
      <c r="E224" s="67"/>
      <c r="F224" s="64"/>
      <c r="G224" s="157"/>
      <c r="H224" s="27"/>
      <c r="I224" s="61"/>
      <c r="J224" s="62"/>
      <c r="K224" s="68"/>
      <c r="L224" s="61"/>
      <c r="M224" s="63"/>
      <c r="N224" s="61">
        <v>10</v>
      </c>
      <c r="O224" s="165"/>
      <c r="P224" s="165"/>
      <c r="Q224" s="174">
        <f t="shared" si="3"/>
        <v>10</v>
      </c>
    </row>
    <row r="225" spans="1:17" s="13" customFormat="1" ht="15.75" x14ac:dyDescent="0.25">
      <c r="A225" s="3">
        <v>219</v>
      </c>
      <c r="B225" s="64" t="s">
        <v>1074</v>
      </c>
      <c r="C225" s="67" t="s">
        <v>1073</v>
      </c>
      <c r="D225" s="64" t="s">
        <v>1075</v>
      </c>
      <c r="E225" s="67"/>
      <c r="F225" s="64"/>
      <c r="G225" s="157"/>
      <c r="H225" s="27"/>
      <c r="I225" s="61"/>
      <c r="J225" s="62"/>
      <c r="K225" s="68"/>
      <c r="L225" s="61"/>
      <c r="M225" s="63"/>
      <c r="N225" s="61">
        <v>10</v>
      </c>
      <c r="O225" s="165"/>
      <c r="P225" s="165"/>
      <c r="Q225" s="174">
        <f t="shared" si="3"/>
        <v>10</v>
      </c>
    </row>
    <row r="226" spans="1:17" s="13" customFormat="1" ht="15.75" x14ac:dyDescent="0.25">
      <c r="A226" s="3">
        <v>220</v>
      </c>
      <c r="B226" s="64" t="s">
        <v>1159</v>
      </c>
      <c r="C226" s="67" t="s">
        <v>1108</v>
      </c>
      <c r="D226" s="27" t="s">
        <v>1109</v>
      </c>
      <c r="E226" s="67"/>
      <c r="F226" s="64"/>
      <c r="G226" s="157"/>
      <c r="H226" s="27"/>
      <c r="I226" s="61"/>
      <c r="J226" s="62"/>
      <c r="K226" s="68"/>
      <c r="L226" s="61"/>
      <c r="M226" s="63"/>
      <c r="N226" s="68">
        <v>5</v>
      </c>
      <c r="O226" s="165"/>
      <c r="P226" s="165"/>
      <c r="Q226" s="174">
        <f t="shared" si="3"/>
        <v>5</v>
      </c>
    </row>
    <row r="227" spans="1:17" s="13" customFormat="1" ht="15.75" x14ac:dyDescent="0.25">
      <c r="A227" s="3">
        <v>221</v>
      </c>
      <c r="B227" s="64" t="s">
        <v>1160</v>
      </c>
      <c r="C227" s="67" t="s">
        <v>1158</v>
      </c>
      <c r="D227" s="27" t="s">
        <v>1161</v>
      </c>
      <c r="E227" s="67"/>
      <c r="F227" s="64"/>
      <c r="G227" s="157"/>
      <c r="H227" s="27"/>
      <c r="I227" s="61"/>
      <c r="J227" s="62"/>
      <c r="K227" s="68"/>
      <c r="L227" s="61"/>
      <c r="M227" s="63"/>
      <c r="N227" s="68">
        <v>4</v>
      </c>
      <c r="O227" s="165"/>
      <c r="P227" s="165"/>
      <c r="Q227" s="174">
        <f t="shared" si="3"/>
        <v>4</v>
      </c>
    </row>
    <row r="228" spans="1:17" s="13" customFormat="1" ht="15.75" x14ac:dyDescent="0.25">
      <c r="A228" s="3">
        <v>222</v>
      </c>
      <c r="B228" s="64" t="s">
        <v>1166</v>
      </c>
      <c r="C228" s="67" t="s">
        <v>1165</v>
      </c>
      <c r="D228" s="27" t="s">
        <v>1167</v>
      </c>
      <c r="E228" s="67"/>
      <c r="F228" s="64"/>
      <c r="G228" s="157"/>
      <c r="H228" s="27"/>
      <c r="I228" s="61"/>
      <c r="J228" s="62"/>
      <c r="K228" s="68"/>
      <c r="L228" s="61"/>
      <c r="M228" s="63"/>
      <c r="N228" s="68">
        <v>20</v>
      </c>
      <c r="O228" s="165"/>
      <c r="P228" s="165"/>
      <c r="Q228" s="174">
        <f t="shared" si="3"/>
        <v>20</v>
      </c>
    </row>
    <row r="229" spans="1:17" s="13" customFormat="1" ht="15.75" x14ac:dyDescent="0.25">
      <c r="A229" s="3">
        <v>223</v>
      </c>
      <c r="B229" s="64" t="s">
        <v>1170</v>
      </c>
      <c r="C229" s="67" t="s">
        <v>1169</v>
      </c>
      <c r="D229" s="27" t="s">
        <v>1167</v>
      </c>
      <c r="E229" s="67"/>
      <c r="F229" s="64"/>
      <c r="G229" s="157"/>
      <c r="H229" s="27"/>
      <c r="I229" s="61"/>
      <c r="J229" s="62"/>
      <c r="K229" s="68"/>
      <c r="L229" s="61"/>
      <c r="M229" s="63"/>
      <c r="N229" s="68">
        <v>15</v>
      </c>
      <c r="O229" s="165"/>
      <c r="P229" s="165"/>
      <c r="Q229" s="174">
        <f t="shared" si="3"/>
        <v>15</v>
      </c>
    </row>
    <row r="230" spans="1:17" s="13" customFormat="1" ht="15.75" x14ac:dyDescent="0.25">
      <c r="A230" s="3">
        <v>224</v>
      </c>
      <c r="B230" s="64" t="s">
        <v>1172</v>
      </c>
      <c r="C230" s="67" t="s">
        <v>1171</v>
      </c>
      <c r="D230" s="27" t="s">
        <v>1167</v>
      </c>
      <c r="E230" s="67"/>
      <c r="F230" s="64"/>
      <c r="G230" s="157"/>
      <c r="H230" s="27"/>
      <c r="I230" s="61"/>
      <c r="J230" s="62"/>
      <c r="K230" s="68"/>
      <c r="L230" s="61"/>
      <c r="M230" s="63"/>
      <c r="N230" s="68">
        <v>15</v>
      </c>
      <c r="O230" s="165"/>
      <c r="P230" s="165"/>
      <c r="Q230" s="174">
        <f t="shared" si="3"/>
        <v>15</v>
      </c>
    </row>
    <row r="231" spans="1:17" s="13" customFormat="1" ht="15.75" x14ac:dyDescent="0.25">
      <c r="A231" s="3">
        <v>225</v>
      </c>
      <c r="B231" s="64" t="s">
        <v>1182</v>
      </c>
      <c r="C231" s="67" t="s">
        <v>1173</v>
      </c>
      <c r="D231" s="27" t="s">
        <v>1174</v>
      </c>
      <c r="E231" s="67"/>
      <c r="F231" s="64"/>
      <c r="G231" s="157"/>
      <c r="H231" s="27"/>
      <c r="I231" s="61"/>
      <c r="J231" s="62"/>
      <c r="K231" s="68"/>
      <c r="L231" s="61"/>
      <c r="M231" s="63"/>
      <c r="N231" s="68">
        <v>7</v>
      </c>
      <c r="O231" s="165"/>
      <c r="P231" s="165"/>
      <c r="Q231" s="174">
        <f t="shared" si="3"/>
        <v>7</v>
      </c>
    </row>
    <row r="232" spans="1:17" s="13" customFormat="1" ht="15.75" x14ac:dyDescent="0.25">
      <c r="A232" s="3">
        <v>226</v>
      </c>
      <c r="B232" s="64" t="s">
        <v>1177</v>
      </c>
      <c r="C232" s="67" t="s">
        <v>1176</v>
      </c>
      <c r="D232" s="27" t="s">
        <v>1178</v>
      </c>
      <c r="E232" s="67"/>
      <c r="F232" s="64"/>
      <c r="G232" s="157"/>
      <c r="H232" s="27"/>
      <c r="I232" s="61"/>
      <c r="J232" s="62"/>
      <c r="K232" s="68"/>
      <c r="L232" s="61"/>
      <c r="M232" s="63"/>
      <c r="N232" s="68">
        <v>21</v>
      </c>
      <c r="O232" s="165"/>
      <c r="P232" s="165"/>
      <c r="Q232" s="174">
        <f t="shared" si="3"/>
        <v>21</v>
      </c>
    </row>
    <row r="233" spans="1:17" s="13" customFormat="1" ht="15.75" x14ac:dyDescent="0.25">
      <c r="A233" s="3">
        <v>227</v>
      </c>
      <c r="B233" s="64" t="s">
        <v>1184</v>
      </c>
      <c r="C233" s="67" t="s">
        <v>1183</v>
      </c>
      <c r="D233" s="27" t="s">
        <v>1185</v>
      </c>
      <c r="E233" s="67"/>
      <c r="F233" s="64"/>
      <c r="G233" s="157"/>
      <c r="H233" s="27"/>
      <c r="I233" s="61"/>
      <c r="J233" s="62"/>
      <c r="K233" s="68"/>
      <c r="L233" s="61"/>
      <c r="M233" s="63"/>
      <c r="N233" s="68">
        <v>20</v>
      </c>
      <c r="O233" s="165"/>
      <c r="P233" s="165"/>
      <c r="Q233" s="174">
        <f t="shared" si="3"/>
        <v>20</v>
      </c>
    </row>
    <row r="234" spans="1:17" s="13" customFormat="1" ht="31.5" x14ac:dyDescent="0.25">
      <c r="A234" s="3">
        <v>228</v>
      </c>
      <c r="B234" s="64" t="s">
        <v>554</v>
      </c>
      <c r="C234" s="109" t="s">
        <v>555</v>
      </c>
      <c r="D234" s="146" t="s">
        <v>969</v>
      </c>
      <c r="E234" s="67"/>
      <c r="F234" s="64"/>
      <c r="G234" s="157"/>
      <c r="H234" s="27"/>
      <c r="I234" s="61"/>
      <c r="J234" s="62"/>
      <c r="K234" s="68"/>
      <c r="L234" s="61"/>
      <c r="M234" s="63"/>
      <c r="N234" s="68">
        <v>5</v>
      </c>
      <c r="O234" s="165"/>
      <c r="P234" s="165"/>
      <c r="Q234" s="174">
        <f t="shared" si="3"/>
        <v>5</v>
      </c>
    </row>
    <row r="235" spans="1:17" s="13" customFormat="1" ht="15.75" x14ac:dyDescent="0.25">
      <c r="A235" s="3">
        <v>229</v>
      </c>
      <c r="B235" s="64" t="s">
        <v>576</v>
      </c>
      <c r="C235" s="109" t="s">
        <v>577</v>
      </c>
      <c r="D235" s="146" t="s">
        <v>1117</v>
      </c>
      <c r="E235" s="67"/>
      <c r="F235" s="64"/>
      <c r="G235" s="157"/>
      <c r="H235" s="27"/>
      <c r="I235" s="61"/>
      <c r="J235" s="62"/>
      <c r="K235" s="68"/>
      <c r="L235" s="61"/>
      <c r="M235" s="63"/>
      <c r="N235" s="68">
        <v>10</v>
      </c>
      <c r="O235" s="165"/>
      <c r="P235" s="165"/>
      <c r="Q235" s="174">
        <f t="shared" si="3"/>
        <v>10</v>
      </c>
    </row>
    <row r="236" spans="1:17" s="13" customFormat="1" ht="15.75" x14ac:dyDescent="0.25">
      <c r="A236" s="3">
        <v>230</v>
      </c>
      <c r="B236" s="64" t="s">
        <v>356</v>
      </c>
      <c r="C236" s="109" t="s">
        <v>355</v>
      </c>
      <c r="D236" s="146" t="s">
        <v>1119</v>
      </c>
      <c r="E236" s="67"/>
      <c r="F236" s="64"/>
      <c r="G236" s="157"/>
      <c r="H236" s="27"/>
      <c r="I236" s="61"/>
      <c r="J236" s="62"/>
      <c r="K236" s="68"/>
      <c r="L236" s="61"/>
      <c r="M236" s="63"/>
      <c r="N236" s="68">
        <v>5</v>
      </c>
      <c r="O236" s="165"/>
      <c r="P236" s="165"/>
      <c r="Q236" s="174">
        <f t="shared" si="3"/>
        <v>5</v>
      </c>
    </row>
    <row r="237" spans="1:17" s="13" customFormat="1" ht="15.75" x14ac:dyDescent="0.25">
      <c r="A237" s="3">
        <v>231</v>
      </c>
      <c r="B237" s="64" t="s">
        <v>1126</v>
      </c>
      <c r="C237" s="109" t="s">
        <v>1125</v>
      </c>
      <c r="D237" s="137" t="s">
        <v>1123</v>
      </c>
      <c r="E237" s="67"/>
      <c r="F237" s="64"/>
      <c r="G237" s="157"/>
      <c r="H237" s="27"/>
      <c r="I237" s="61"/>
      <c r="J237" s="62"/>
      <c r="K237" s="68"/>
      <c r="L237" s="61"/>
      <c r="M237" s="63"/>
      <c r="N237" s="68">
        <v>5</v>
      </c>
      <c r="O237" s="165"/>
      <c r="P237" s="165"/>
      <c r="Q237" s="174">
        <f t="shared" si="3"/>
        <v>5</v>
      </c>
    </row>
    <row r="238" spans="1:17" s="13" customFormat="1" ht="31.5" x14ac:dyDescent="0.25">
      <c r="A238" s="3">
        <v>232</v>
      </c>
      <c r="B238" s="64" t="s">
        <v>699</v>
      </c>
      <c r="C238" s="109" t="s">
        <v>698</v>
      </c>
      <c r="D238" s="146" t="s">
        <v>1127</v>
      </c>
      <c r="E238" s="67"/>
      <c r="F238" s="64"/>
      <c r="G238" s="157"/>
      <c r="H238" s="27"/>
      <c r="I238" s="61"/>
      <c r="J238" s="62"/>
      <c r="K238" s="68"/>
      <c r="L238" s="61"/>
      <c r="M238" s="63"/>
      <c r="N238" s="68">
        <v>5</v>
      </c>
      <c r="O238" s="165"/>
      <c r="P238" s="165"/>
      <c r="Q238" s="174">
        <f t="shared" si="3"/>
        <v>5</v>
      </c>
    </row>
    <row r="239" spans="1:17" s="13" customFormat="1" ht="15.75" x14ac:dyDescent="0.25">
      <c r="A239" s="3">
        <v>233</v>
      </c>
      <c r="B239" s="64" t="s">
        <v>997</v>
      </c>
      <c r="C239" s="109" t="s">
        <v>996</v>
      </c>
      <c r="D239" s="146" t="s">
        <v>1129</v>
      </c>
      <c r="E239" s="67"/>
      <c r="F239" s="64"/>
      <c r="G239" s="157"/>
      <c r="H239" s="27"/>
      <c r="I239" s="61"/>
      <c r="J239" s="62"/>
      <c r="K239" s="68"/>
      <c r="L239" s="61"/>
      <c r="M239" s="63"/>
      <c r="N239" s="68">
        <v>3</v>
      </c>
      <c r="O239" s="165"/>
      <c r="P239" s="165"/>
      <c r="Q239" s="174">
        <f t="shared" si="3"/>
        <v>3</v>
      </c>
    </row>
    <row r="240" spans="1:17" s="13" customFormat="1" ht="15.75" x14ac:dyDescent="0.25">
      <c r="A240" s="3">
        <v>234</v>
      </c>
      <c r="B240" s="64" t="s">
        <v>1136</v>
      </c>
      <c r="C240" s="109" t="s">
        <v>1135</v>
      </c>
      <c r="D240" s="146" t="s">
        <v>1040</v>
      </c>
      <c r="E240" s="67"/>
      <c r="F240" s="64"/>
      <c r="G240" s="157"/>
      <c r="H240" s="27"/>
      <c r="I240" s="61"/>
      <c r="J240" s="62"/>
      <c r="K240" s="68"/>
      <c r="L240" s="61"/>
      <c r="M240" s="63"/>
      <c r="N240" s="68">
        <v>3</v>
      </c>
      <c r="O240" s="165"/>
      <c r="P240" s="165"/>
      <c r="Q240" s="174">
        <f t="shared" si="3"/>
        <v>3</v>
      </c>
    </row>
    <row r="241" spans="1:17" s="13" customFormat="1" ht="15.75" x14ac:dyDescent="0.25">
      <c r="A241" s="3">
        <v>235</v>
      </c>
      <c r="B241" s="64" t="s">
        <v>717</v>
      </c>
      <c r="C241" s="109" t="s">
        <v>716</v>
      </c>
      <c r="D241" s="146" t="s">
        <v>1040</v>
      </c>
      <c r="E241" s="67"/>
      <c r="F241" s="64"/>
      <c r="G241" s="157"/>
      <c r="H241" s="27"/>
      <c r="I241" s="61"/>
      <c r="J241" s="62"/>
      <c r="K241" s="68"/>
      <c r="L241" s="61"/>
      <c r="M241" s="63"/>
      <c r="N241" s="68">
        <v>3</v>
      </c>
      <c r="O241" s="165"/>
      <c r="P241" s="165"/>
      <c r="Q241" s="174">
        <f t="shared" si="3"/>
        <v>3</v>
      </c>
    </row>
    <row r="242" spans="1:17" s="13" customFormat="1" ht="15.75" x14ac:dyDescent="0.25">
      <c r="A242" s="3">
        <v>236</v>
      </c>
      <c r="B242" s="64" t="s">
        <v>771</v>
      </c>
      <c r="C242" s="109" t="s">
        <v>770</v>
      </c>
      <c r="D242" s="146" t="s">
        <v>1040</v>
      </c>
      <c r="E242" s="67"/>
      <c r="F242" s="64"/>
      <c r="G242" s="157"/>
      <c r="H242" s="27"/>
      <c r="I242" s="61"/>
      <c r="J242" s="62"/>
      <c r="K242" s="68"/>
      <c r="L242" s="61"/>
      <c r="M242" s="63"/>
      <c r="N242" s="68">
        <v>3</v>
      </c>
      <c r="O242" s="165"/>
      <c r="P242" s="165"/>
      <c r="Q242" s="174">
        <f t="shared" si="3"/>
        <v>3</v>
      </c>
    </row>
    <row r="243" spans="1:17" s="13" customFormat="1" ht="15.75" x14ac:dyDescent="0.25">
      <c r="A243" s="3">
        <v>237</v>
      </c>
      <c r="B243" s="64" t="s">
        <v>723</v>
      </c>
      <c r="C243" s="109" t="s">
        <v>722</v>
      </c>
      <c r="D243" s="146" t="s">
        <v>1040</v>
      </c>
      <c r="E243" s="67"/>
      <c r="F243" s="64"/>
      <c r="G243" s="157"/>
      <c r="H243" s="27"/>
      <c r="I243" s="61"/>
      <c r="J243" s="62"/>
      <c r="K243" s="68"/>
      <c r="L243" s="61"/>
      <c r="M243" s="63"/>
      <c r="N243" s="68">
        <v>5</v>
      </c>
      <c r="O243" s="165"/>
      <c r="P243" s="165"/>
      <c r="Q243" s="174">
        <f t="shared" si="3"/>
        <v>5</v>
      </c>
    </row>
    <row r="244" spans="1:17" s="13" customFormat="1" ht="15.75" x14ac:dyDescent="0.25">
      <c r="A244" s="3">
        <v>238</v>
      </c>
      <c r="B244" s="64" t="s">
        <v>1145</v>
      </c>
      <c r="C244" s="109" t="s">
        <v>1144</v>
      </c>
      <c r="D244" s="146" t="s">
        <v>1137</v>
      </c>
      <c r="E244" s="67"/>
      <c r="F244" s="64"/>
      <c r="G244" s="157"/>
      <c r="H244" s="27"/>
      <c r="I244" s="61"/>
      <c r="J244" s="62"/>
      <c r="K244" s="68"/>
      <c r="L244" s="61"/>
      <c r="M244" s="63"/>
      <c r="N244" s="68">
        <v>5</v>
      </c>
      <c r="O244" s="165"/>
      <c r="P244" s="165"/>
      <c r="Q244" s="174">
        <f t="shared" si="3"/>
        <v>5</v>
      </c>
    </row>
    <row r="245" spans="1:17" s="13" customFormat="1" ht="15.75" x14ac:dyDescent="0.25">
      <c r="A245" s="3">
        <v>239</v>
      </c>
      <c r="B245" s="64" t="s">
        <v>1149</v>
      </c>
      <c r="C245" s="109" t="s">
        <v>1148</v>
      </c>
      <c r="D245" s="146" t="s">
        <v>1146</v>
      </c>
      <c r="E245" s="67"/>
      <c r="F245" s="64"/>
      <c r="G245" s="157"/>
      <c r="H245" s="27"/>
      <c r="I245" s="61"/>
      <c r="J245" s="62"/>
      <c r="K245" s="68"/>
      <c r="L245" s="61"/>
      <c r="M245" s="63"/>
      <c r="N245" s="68">
        <v>5</v>
      </c>
      <c r="O245" s="165"/>
      <c r="P245" s="165"/>
      <c r="Q245" s="174">
        <f t="shared" si="3"/>
        <v>5</v>
      </c>
    </row>
    <row r="246" spans="1:17" s="13" customFormat="1" ht="15.75" x14ac:dyDescent="0.25">
      <c r="A246" s="3">
        <v>240</v>
      </c>
      <c r="B246" s="64" t="s">
        <v>1152</v>
      </c>
      <c r="C246" s="109" t="s">
        <v>1151</v>
      </c>
      <c r="D246" s="146" t="s">
        <v>1150</v>
      </c>
      <c r="E246" s="67"/>
      <c r="F246" s="64"/>
      <c r="G246" s="157"/>
      <c r="H246" s="27"/>
      <c r="I246" s="61"/>
      <c r="J246" s="62"/>
      <c r="K246" s="68"/>
      <c r="L246" s="61"/>
      <c r="M246" s="63"/>
      <c r="N246" s="68">
        <v>4</v>
      </c>
      <c r="O246" s="165"/>
      <c r="P246" s="165"/>
      <c r="Q246" s="174">
        <f t="shared" si="3"/>
        <v>4</v>
      </c>
    </row>
    <row r="247" spans="1:17" s="13" customFormat="1" ht="15.75" x14ac:dyDescent="0.25">
      <c r="A247" s="3">
        <v>241</v>
      </c>
      <c r="B247" s="64" t="s">
        <v>891</v>
      </c>
      <c r="C247" s="109" t="s">
        <v>892</v>
      </c>
      <c r="D247" s="146" t="s">
        <v>1040</v>
      </c>
      <c r="E247" s="67"/>
      <c r="F247" s="64"/>
      <c r="G247" s="157"/>
      <c r="H247" s="27"/>
      <c r="I247" s="61"/>
      <c r="J247" s="62"/>
      <c r="K247" s="68"/>
      <c r="L247" s="61"/>
      <c r="M247" s="63"/>
      <c r="N247" s="68">
        <v>4</v>
      </c>
      <c r="O247" s="165"/>
      <c r="P247" s="165"/>
      <c r="Q247" s="174">
        <f t="shared" si="3"/>
        <v>4</v>
      </c>
    </row>
    <row r="248" spans="1:17" s="13" customFormat="1" ht="15.75" x14ac:dyDescent="0.25">
      <c r="A248" s="3">
        <v>242</v>
      </c>
      <c r="B248" s="64" t="s">
        <v>1155</v>
      </c>
      <c r="C248" s="109" t="s">
        <v>1154</v>
      </c>
      <c r="D248" s="146" t="s">
        <v>1040</v>
      </c>
      <c r="E248" s="67"/>
      <c r="F248" s="64"/>
      <c r="G248" s="157"/>
      <c r="H248" s="27"/>
      <c r="I248" s="61"/>
      <c r="J248" s="62"/>
      <c r="K248" s="68"/>
      <c r="L248" s="61"/>
      <c r="M248" s="63"/>
      <c r="N248" s="68">
        <v>5</v>
      </c>
      <c r="O248" s="165"/>
      <c r="P248" s="165"/>
      <c r="Q248" s="174">
        <f t="shared" si="3"/>
        <v>5</v>
      </c>
    </row>
    <row r="249" spans="1:17" s="13" customFormat="1" ht="15.75" x14ac:dyDescent="0.25">
      <c r="A249" s="3">
        <v>243</v>
      </c>
      <c r="B249" s="3" t="s">
        <v>1081</v>
      </c>
      <c r="C249" s="101" t="s">
        <v>1080</v>
      </c>
      <c r="D249" s="160" t="s">
        <v>1082</v>
      </c>
      <c r="E249" s="67"/>
      <c r="F249" s="64"/>
      <c r="G249" s="157"/>
      <c r="H249" s="27"/>
      <c r="I249" s="61"/>
      <c r="J249" s="62"/>
      <c r="K249" s="68"/>
      <c r="L249" s="61"/>
      <c r="M249" s="63"/>
      <c r="N249" s="27">
        <v>10</v>
      </c>
      <c r="O249" s="165"/>
      <c r="P249" s="165"/>
      <c r="Q249" s="174">
        <f t="shared" si="3"/>
        <v>10</v>
      </c>
    </row>
    <row r="250" spans="1:17" s="13" customFormat="1" ht="31.5" x14ac:dyDescent="0.25">
      <c r="A250" s="3">
        <v>244</v>
      </c>
      <c r="B250" s="64" t="s">
        <v>1238</v>
      </c>
      <c r="C250" s="67" t="s">
        <v>1239</v>
      </c>
      <c r="D250" s="27" t="s">
        <v>1240</v>
      </c>
      <c r="E250" s="67"/>
      <c r="F250" s="64"/>
      <c r="G250" s="157"/>
      <c r="H250" s="27"/>
      <c r="I250" s="61"/>
      <c r="J250" s="62"/>
      <c r="K250" s="68"/>
      <c r="L250" s="61"/>
      <c r="M250" s="63"/>
      <c r="N250" s="27">
        <v>11</v>
      </c>
      <c r="O250" s="165"/>
      <c r="P250" s="165"/>
      <c r="Q250" s="174">
        <f t="shared" si="3"/>
        <v>11</v>
      </c>
    </row>
    <row r="251" spans="1:17" s="13" customFormat="1" ht="15.75" x14ac:dyDescent="0.25">
      <c r="A251" s="3"/>
      <c r="B251" s="64"/>
      <c r="C251" s="67"/>
      <c r="D251" s="27"/>
      <c r="E251" s="67"/>
      <c r="F251" s="64"/>
      <c r="G251" s="157"/>
      <c r="H251" s="27"/>
      <c r="I251" s="61"/>
      <c r="J251" s="62"/>
      <c r="K251" s="68"/>
      <c r="L251" s="61"/>
      <c r="M251" s="63"/>
      <c r="N251" s="27"/>
      <c r="O251" s="165"/>
      <c r="P251" s="165"/>
      <c r="Q251" s="174">
        <f t="shared" si="3"/>
        <v>0</v>
      </c>
    </row>
    <row r="252" spans="1:17" s="13" customFormat="1" ht="15.75" x14ac:dyDescent="0.25">
      <c r="A252" s="3"/>
      <c r="B252" s="64"/>
      <c r="C252" s="67"/>
      <c r="D252" s="27"/>
      <c r="E252" s="67"/>
      <c r="F252" s="64"/>
      <c r="G252" s="157"/>
      <c r="H252" s="27"/>
      <c r="I252" s="61"/>
      <c r="J252" s="62"/>
      <c r="K252" s="68"/>
      <c r="L252" s="61"/>
      <c r="M252" s="63"/>
      <c r="N252" s="27"/>
      <c r="O252" s="165"/>
      <c r="P252" s="165"/>
      <c r="Q252" s="174">
        <f t="shared" si="3"/>
        <v>0</v>
      </c>
    </row>
    <row r="253" spans="1:17" s="13" customFormat="1" ht="15.75" x14ac:dyDescent="0.25">
      <c r="A253" s="3"/>
      <c r="B253" s="64"/>
      <c r="C253" s="67"/>
      <c r="D253" s="27"/>
      <c r="E253" s="67"/>
      <c r="F253" s="64"/>
      <c r="G253" s="157"/>
      <c r="H253" s="27"/>
      <c r="I253" s="61"/>
      <c r="J253" s="62"/>
      <c r="K253" s="68"/>
      <c r="L253" s="61"/>
      <c r="M253" s="63"/>
      <c r="N253" s="27"/>
      <c r="O253" s="165"/>
      <c r="P253" s="165"/>
      <c r="Q253" s="174">
        <f t="shared" si="3"/>
        <v>0</v>
      </c>
    </row>
    <row r="254" spans="1:17" s="13" customFormat="1" ht="15.75" x14ac:dyDescent="0.25">
      <c r="A254" s="3"/>
      <c r="B254" s="64"/>
      <c r="C254" s="67"/>
      <c r="D254" s="27"/>
      <c r="E254" s="67"/>
      <c r="F254" s="64"/>
      <c r="G254" s="157"/>
      <c r="H254" s="27"/>
      <c r="I254" s="61"/>
      <c r="J254" s="62"/>
      <c r="K254" s="68"/>
      <c r="L254" s="61"/>
      <c r="M254" s="63"/>
      <c r="N254" s="27"/>
      <c r="O254" s="165"/>
      <c r="P254" s="165"/>
      <c r="Q254" s="174">
        <f t="shared" si="3"/>
        <v>0</v>
      </c>
    </row>
    <row r="255" spans="1:17" s="13" customFormat="1" ht="15.75" x14ac:dyDescent="0.25">
      <c r="A255" s="3"/>
      <c r="B255" s="64"/>
      <c r="C255" s="67"/>
      <c r="D255" s="27"/>
      <c r="E255" s="67"/>
      <c r="F255" s="64"/>
      <c r="G255" s="157"/>
      <c r="H255" s="27"/>
      <c r="I255" s="61"/>
      <c r="J255" s="62"/>
      <c r="K255" s="68"/>
      <c r="L255" s="61"/>
      <c r="M255" s="63"/>
      <c r="N255" s="27"/>
      <c r="O255" s="165"/>
      <c r="P255" s="165"/>
      <c r="Q255" s="174">
        <f t="shared" si="3"/>
        <v>0</v>
      </c>
    </row>
    <row r="256" spans="1:17" s="13" customFormat="1" ht="15.75" x14ac:dyDescent="0.25">
      <c r="A256" s="3"/>
      <c r="B256" s="64"/>
      <c r="C256" s="67"/>
      <c r="D256" s="27"/>
      <c r="E256" s="67"/>
      <c r="F256" s="64"/>
      <c r="G256" s="157"/>
      <c r="H256" s="27"/>
      <c r="I256" s="61"/>
      <c r="J256" s="62"/>
      <c r="K256" s="68"/>
      <c r="L256" s="61"/>
      <c r="M256" s="63"/>
      <c r="N256" s="27"/>
      <c r="O256" s="165"/>
      <c r="P256" s="165"/>
      <c r="Q256" s="174">
        <f t="shared" si="3"/>
        <v>0</v>
      </c>
    </row>
    <row r="257" spans="1:17" s="13" customFormat="1" ht="15.75" x14ac:dyDescent="0.25">
      <c r="A257" s="3"/>
      <c r="B257" s="64"/>
      <c r="C257" s="67"/>
      <c r="D257" s="27"/>
      <c r="E257" s="67"/>
      <c r="F257" s="64"/>
      <c r="G257" s="157"/>
      <c r="H257" s="27"/>
      <c r="I257" s="61"/>
      <c r="J257" s="62"/>
      <c r="K257" s="68"/>
      <c r="L257" s="61"/>
      <c r="M257" s="63"/>
      <c r="N257" s="27"/>
      <c r="O257" s="165"/>
      <c r="P257" s="165"/>
      <c r="Q257" s="174">
        <f t="shared" si="3"/>
        <v>0</v>
      </c>
    </row>
    <row r="258" spans="1:17" s="13" customFormat="1" ht="15.75" x14ac:dyDescent="0.25">
      <c r="A258" s="3"/>
      <c r="B258" s="64"/>
      <c r="C258" s="67"/>
      <c r="D258" s="27"/>
      <c r="E258" s="67"/>
      <c r="F258" s="64"/>
      <c r="G258" s="157"/>
      <c r="H258" s="27"/>
      <c r="I258" s="61"/>
      <c r="J258" s="62"/>
      <c r="K258" s="68"/>
      <c r="L258" s="61"/>
      <c r="M258" s="63"/>
      <c r="N258" s="27"/>
      <c r="O258" s="165"/>
      <c r="P258" s="165"/>
      <c r="Q258" s="174">
        <f t="shared" si="3"/>
        <v>0</v>
      </c>
    </row>
    <row r="259" spans="1:17" s="13" customFormat="1" ht="15.75" x14ac:dyDescent="0.25">
      <c r="A259" s="3"/>
      <c r="B259" s="64"/>
      <c r="C259" s="67"/>
      <c r="D259" s="27"/>
      <c r="E259" s="67"/>
      <c r="F259" s="64"/>
      <c r="G259" s="157"/>
      <c r="H259" s="27"/>
      <c r="I259" s="61"/>
      <c r="J259" s="62"/>
      <c r="K259" s="68"/>
      <c r="L259" s="61"/>
      <c r="M259" s="63"/>
      <c r="N259" s="27"/>
      <c r="O259" s="165"/>
      <c r="P259" s="165"/>
      <c r="Q259" s="174">
        <f t="shared" si="3"/>
        <v>0</v>
      </c>
    </row>
    <row r="260" spans="1:17" s="13" customFormat="1" ht="15.75" x14ac:dyDescent="0.25">
      <c r="A260" s="3"/>
      <c r="B260" s="64"/>
      <c r="C260" s="67"/>
      <c r="D260" s="27"/>
      <c r="E260" s="67"/>
      <c r="F260" s="64"/>
      <c r="G260" s="157"/>
      <c r="H260" s="27"/>
      <c r="I260" s="61"/>
      <c r="J260" s="62"/>
      <c r="K260" s="68"/>
      <c r="L260" s="61"/>
      <c r="M260" s="63"/>
      <c r="N260" s="27"/>
      <c r="O260" s="165"/>
      <c r="P260" s="165"/>
      <c r="Q260" s="174">
        <f t="shared" si="3"/>
        <v>0</v>
      </c>
    </row>
    <row r="261" spans="1:17" s="13" customFormat="1" ht="15.75" x14ac:dyDescent="0.25">
      <c r="A261" s="3"/>
      <c r="B261" s="64"/>
      <c r="C261" s="67"/>
      <c r="D261" s="27"/>
      <c r="E261" s="67"/>
      <c r="F261" s="64"/>
      <c r="G261" s="157"/>
      <c r="H261" s="27"/>
      <c r="I261" s="61"/>
      <c r="J261" s="62"/>
      <c r="K261" s="68"/>
      <c r="L261" s="61"/>
      <c r="M261" s="63"/>
      <c r="N261" s="27"/>
      <c r="O261" s="165"/>
      <c r="P261" s="165"/>
      <c r="Q261" s="174">
        <f t="shared" si="3"/>
        <v>0</v>
      </c>
    </row>
    <row r="262" spans="1:17" s="13" customFormat="1" ht="15.75" x14ac:dyDescent="0.25">
      <c r="A262" s="3"/>
      <c r="B262" s="64"/>
      <c r="C262" s="67"/>
      <c r="D262" s="27"/>
      <c r="E262" s="67"/>
      <c r="F262" s="64"/>
      <c r="G262" s="157"/>
      <c r="H262" s="27"/>
      <c r="I262" s="61"/>
      <c r="J262" s="62"/>
      <c r="K262" s="68"/>
      <c r="L262" s="61"/>
      <c r="M262" s="63"/>
      <c r="N262" s="27"/>
      <c r="O262" s="165"/>
      <c r="P262" s="165"/>
      <c r="Q262" s="174">
        <f t="shared" si="3"/>
        <v>0</v>
      </c>
    </row>
    <row r="263" spans="1:17" s="13" customFormat="1" ht="15.75" x14ac:dyDescent="0.25">
      <c r="A263" s="3"/>
      <c r="B263" s="64"/>
      <c r="C263" s="67"/>
      <c r="D263" s="27"/>
      <c r="E263" s="67"/>
      <c r="F263" s="64"/>
      <c r="G263" s="157"/>
      <c r="H263" s="27"/>
      <c r="I263" s="61"/>
      <c r="J263" s="62"/>
      <c r="K263" s="68"/>
      <c r="L263" s="61"/>
      <c r="M263" s="63"/>
      <c r="N263" s="27"/>
      <c r="O263" s="165"/>
      <c r="P263" s="165"/>
      <c r="Q263" s="174">
        <f t="shared" si="3"/>
        <v>0</v>
      </c>
    </row>
    <row r="264" spans="1:17" s="13" customFormat="1" ht="15.75" x14ac:dyDescent="0.25">
      <c r="A264" s="3"/>
      <c r="B264" s="64"/>
      <c r="C264" s="67"/>
      <c r="D264" s="27"/>
      <c r="E264" s="67"/>
      <c r="F264" s="64"/>
      <c r="G264" s="157"/>
      <c r="H264" s="27"/>
      <c r="I264" s="61"/>
      <c r="J264" s="62"/>
      <c r="K264" s="68"/>
      <c r="L264" s="61"/>
      <c r="M264" s="63"/>
      <c r="N264" s="27"/>
      <c r="O264" s="165"/>
      <c r="P264" s="165"/>
      <c r="Q264" s="174">
        <f t="shared" si="3"/>
        <v>0</v>
      </c>
    </row>
    <row r="265" spans="1:17" s="13" customFormat="1" ht="15.75" x14ac:dyDescent="0.25">
      <c r="A265" s="3"/>
      <c r="B265" s="64"/>
      <c r="C265" s="67"/>
      <c r="D265" s="27"/>
      <c r="E265" s="67"/>
      <c r="F265" s="64"/>
      <c r="G265" s="157"/>
      <c r="H265" s="27"/>
      <c r="I265" s="61"/>
      <c r="J265" s="62"/>
      <c r="K265" s="68"/>
      <c r="L265" s="61"/>
      <c r="M265" s="63"/>
      <c r="N265" s="27"/>
      <c r="O265" s="165"/>
      <c r="P265" s="165"/>
      <c r="Q265" s="174">
        <f t="shared" ref="Q265:Q283" si="4">SUM(E265,F265:P265)</f>
        <v>0</v>
      </c>
    </row>
    <row r="266" spans="1:17" s="13" customFormat="1" ht="15.75" x14ac:dyDescent="0.25">
      <c r="A266" s="3"/>
      <c r="B266" s="64"/>
      <c r="C266" s="67"/>
      <c r="D266" s="27"/>
      <c r="E266" s="67"/>
      <c r="F266" s="64"/>
      <c r="G266" s="157"/>
      <c r="H266" s="27"/>
      <c r="I266" s="61"/>
      <c r="J266" s="62"/>
      <c r="K266" s="68"/>
      <c r="L266" s="61"/>
      <c r="M266" s="63"/>
      <c r="N266" s="27"/>
      <c r="O266" s="165"/>
      <c r="P266" s="165"/>
      <c r="Q266" s="174">
        <f t="shared" si="4"/>
        <v>0</v>
      </c>
    </row>
    <row r="267" spans="1:17" s="13" customFormat="1" ht="15.75" x14ac:dyDescent="0.25">
      <c r="A267" s="3"/>
      <c r="B267" s="64"/>
      <c r="C267" s="67"/>
      <c r="D267" s="27"/>
      <c r="E267" s="67"/>
      <c r="F267" s="64"/>
      <c r="G267" s="157"/>
      <c r="H267" s="27"/>
      <c r="I267" s="61"/>
      <c r="J267" s="62"/>
      <c r="K267" s="68"/>
      <c r="L267" s="61"/>
      <c r="M267" s="63"/>
      <c r="N267" s="27"/>
      <c r="O267" s="165"/>
      <c r="P267" s="165"/>
      <c r="Q267" s="174">
        <f t="shared" si="4"/>
        <v>0</v>
      </c>
    </row>
    <row r="268" spans="1:17" s="13" customFormat="1" ht="15.75" x14ac:dyDescent="0.25">
      <c r="A268" s="3"/>
      <c r="B268" s="64"/>
      <c r="C268" s="67"/>
      <c r="D268" s="27"/>
      <c r="E268" s="67"/>
      <c r="F268" s="64"/>
      <c r="G268" s="157"/>
      <c r="H268" s="27"/>
      <c r="I268" s="61"/>
      <c r="J268" s="62"/>
      <c r="K268" s="68"/>
      <c r="L268" s="61"/>
      <c r="M268" s="63"/>
      <c r="N268" s="27"/>
      <c r="O268" s="165"/>
      <c r="P268" s="165"/>
      <c r="Q268" s="174">
        <f t="shared" si="4"/>
        <v>0</v>
      </c>
    </row>
    <row r="269" spans="1:17" s="13" customFormat="1" ht="15.75" x14ac:dyDescent="0.25">
      <c r="A269" s="3"/>
      <c r="B269" s="64"/>
      <c r="C269" s="67"/>
      <c r="D269" s="27"/>
      <c r="E269" s="67"/>
      <c r="F269" s="64"/>
      <c r="G269" s="157"/>
      <c r="H269" s="27"/>
      <c r="I269" s="61"/>
      <c r="J269" s="62"/>
      <c r="K269" s="68"/>
      <c r="L269" s="61"/>
      <c r="M269" s="63"/>
      <c r="N269" s="27"/>
      <c r="O269" s="165"/>
      <c r="P269" s="165"/>
      <c r="Q269" s="174">
        <f t="shared" si="4"/>
        <v>0</v>
      </c>
    </row>
    <row r="270" spans="1:17" s="13" customFormat="1" ht="15.75" x14ac:dyDescent="0.25">
      <c r="A270" s="3"/>
      <c r="B270" s="64"/>
      <c r="C270" s="67"/>
      <c r="D270" s="27"/>
      <c r="E270" s="67"/>
      <c r="F270" s="64"/>
      <c r="G270" s="157"/>
      <c r="H270" s="27"/>
      <c r="I270" s="61"/>
      <c r="J270" s="62"/>
      <c r="K270" s="68"/>
      <c r="L270" s="61"/>
      <c r="M270" s="63"/>
      <c r="N270" s="27"/>
      <c r="O270" s="165"/>
      <c r="P270" s="165"/>
      <c r="Q270" s="174">
        <f t="shared" si="4"/>
        <v>0</v>
      </c>
    </row>
    <row r="271" spans="1:17" s="13" customFormat="1" ht="15.75" x14ac:dyDescent="0.25">
      <c r="A271" s="3"/>
      <c r="B271" s="64"/>
      <c r="C271" s="67"/>
      <c r="D271" s="27"/>
      <c r="E271" s="67"/>
      <c r="F271" s="64"/>
      <c r="G271" s="157"/>
      <c r="H271" s="27"/>
      <c r="I271" s="61"/>
      <c r="J271" s="62"/>
      <c r="K271" s="68"/>
      <c r="L271" s="61"/>
      <c r="M271" s="63"/>
      <c r="N271" s="27"/>
      <c r="O271" s="165"/>
      <c r="P271" s="165"/>
      <c r="Q271" s="174">
        <f t="shared" si="4"/>
        <v>0</v>
      </c>
    </row>
    <row r="272" spans="1:17" s="13" customFormat="1" ht="15.75" x14ac:dyDescent="0.25">
      <c r="A272" s="3"/>
      <c r="B272" s="64"/>
      <c r="C272" s="67"/>
      <c r="D272" s="27"/>
      <c r="E272" s="67"/>
      <c r="F272" s="64"/>
      <c r="G272" s="157"/>
      <c r="H272" s="27"/>
      <c r="I272" s="61"/>
      <c r="J272" s="62"/>
      <c r="K272" s="68"/>
      <c r="L272" s="61"/>
      <c r="M272" s="63"/>
      <c r="N272" s="27"/>
      <c r="O272" s="165"/>
      <c r="P272" s="165"/>
      <c r="Q272" s="174">
        <f t="shared" si="4"/>
        <v>0</v>
      </c>
    </row>
    <row r="273" spans="1:17" s="13" customFormat="1" ht="15.75" x14ac:dyDescent="0.25">
      <c r="A273" s="3"/>
      <c r="B273" s="64"/>
      <c r="C273" s="67"/>
      <c r="D273" s="27"/>
      <c r="E273" s="67"/>
      <c r="F273" s="64"/>
      <c r="G273" s="157"/>
      <c r="H273" s="27"/>
      <c r="I273" s="61"/>
      <c r="J273" s="62"/>
      <c r="K273" s="68"/>
      <c r="L273" s="61"/>
      <c r="M273" s="63"/>
      <c r="N273" s="27"/>
      <c r="O273" s="165"/>
      <c r="P273" s="165"/>
      <c r="Q273" s="174">
        <f t="shared" si="4"/>
        <v>0</v>
      </c>
    </row>
    <row r="274" spans="1:17" s="13" customFormat="1" ht="15.75" x14ac:dyDescent="0.25">
      <c r="A274" s="3"/>
      <c r="B274" s="64"/>
      <c r="C274" s="67"/>
      <c r="D274" s="27"/>
      <c r="E274" s="67"/>
      <c r="F274" s="64"/>
      <c r="G274" s="157"/>
      <c r="H274" s="27"/>
      <c r="I274" s="61"/>
      <c r="J274" s="62"/>
      <c r="K274" s="68"/>
      <c r="L274" s="61"/>
      <c r="M274" s="63"/>
      <c r="N274" s="27"/>
      <c r="O274" s="165"/>
      <c r="P274" s="165"/>
      <c r="Q274" s="174">
        <f t="shared" si="4"/>
        <v>0</v>
      </c>
    </row>
    <row r="275" spans="1:17" s="13" customFormat="1" ht="15.75" x14ac:dyDescent="0.25">
      <c r="A275" s="3"/>
      <c r="B275" s="64"/>
      <c r="C275" s="67"/>
      <c r="D275" s="27"/>
      <c r="E275" s="67"/>
      <c r="F275" s="64"/>
      <c r="G275" s="157"/>
      <c r="H275" s="27"/>
      <c r="I275" s="61"/>
      <c r="J275" s="62"/>
      <c r="K275" s="68"/>
      <c r="L275" s="61"/>
      <c r="M275" s="63"/>
      <c r="N275" s="27"/>
      <c r="O275" s="165"/>
      <c r="P275" s="165"/>
      <c r="Q275" s="174">
        <f t="shared" si="4"/>
        <v>0</v>
      </c>
    </row>
    <row r="276" spans="1:17" s="13" customFormat="1" ht="15.75" x14ac:dyDescent="0.25">
      <c r="A276" s="3"/>
      <c r="B276" s="64"/>
      <c r="C276" s="67"/>
      <c r="D276" s="27"/>
      <c r="E276" s="67"/>
      <c r="F276" s="64"/>
      <c r="G276" s="157"/>
      <c r="H276" s="27"/>
      <c r="I276" s="61"/>
      <c r="J276" s="62"/>
      <c r="K276" s="68"/>
      <c r="L276" s="61"/>
      <c r="M276" s="63"/>
      <c r="N276" s="27"/>
      <c r="O276" s="165"/>
      <c r="P276" s="165"/>
      <c r="Q276" s="174">
        <f t="shared" si="4"/>
        <v>0</v>
      </c>
    </row>
    <row r="277" spans="1:17" s="13" customFormat="1" ht="15.75" x14ac:dyDescent="0.25">
      <c r="A277" s="3"/>
      <c r="B277" s="64"/>
      <c r="C277" s="67"/>
      <c r="D277" s="27"/>
      <c r="E277" s="67"/>
      <c r="F277" s="64"/>
      <c r="G277" s="157"/>
      <c r="H277" s="27"/>
      <c r="I277" s="61"/>
      <c r="J277" s="62"/>
      <c r="K277" s="68"/>
      <c r="L277" s="61"/>
      <c r="M277" s="63"/>
      <c r="N277" s="27"/>
      <c r="O277" s="165"/>
      <c r="P277" s="165"/>
      <c r="Q277" s="174">
        <f t="shared" si="4"/>
        <v>0</v>
      </c>
    </row>
    <row r="278" spans="1:17" s="13" customFormat="1" ht="15.75" x14ac:dyDescent="0.25">
      <c r="A278" s="3"/>
      <c r="B278" s="64"/>
      <c r="C278" s="67"/>
      <c r="D278" s="27"/>
      <c r="E278" s="67"/>
      <c r="F278" s="64"/>
      <c r="G278" s="157"/>
      <c r="H278" s="27"/>
      <c r="I278" s="61"/>
      <c r="J278" s="62"/>
      <c r="K278" s="68"/>
      <c r="L278" s="61"/>
      <c r="M278" s="63"/>
      <c r="N278" s="27"/>
      <c r="O278" s="165"/>
      <c r="P278" s="165"/>
      <c r="Q278" s="174">
        <f t="shared" si="4"/>
        <v>0</v>
      </c>
    </row>
    <row r="279" spans="1:17" s="13" customFormat="1" ht="15.75" x14ac:dyDescent="0.25">
      <c r="A279" s="3"/>
      <c r="B279" s="64"/>
      <c r="C279" s="67"/>
      <c r="D279" s="27"/>
      <c r="E279" s="67"/>
      <c r="F279" s="64"/>
      <c r="G279" s="157"/>
      <c r="H279" s="27"/>
      <c r="I279" s="61"/>
      <c r="J279" s="62"/>
      <c r="K279" s="68"/>
      <c r="L279" s="61"/>
      <c r="M279" s="63"/>
      <c r="N279" s="27"/>
      <c r="O279" s="165"/>
      <c r="P279" s="165"/>
      <c r="Q279" s="174">
        <f t="shared" si="4"/>
        <v>0</v>
      </c>
    </row>
    <row r="280" spans="1:17" s="13" customFormat="1" ht="15.75" x14ac:dyDescent="0.25">
      <c r="A280" s="3"/>
      <c r="B280" s="64"/>
      <c r="C280" s="67"/>
      <c r="D280" s="27"/>
      <c r="E280" s="67"/>
      <c r="F280" s="64"/>
      <c r="G280" s="157"/>
      <c r="H280" s="27"/>
      <c r="I280" s="61"/>
      <c r="J280" s="62"/>
      <c r="K280" s="68"/>
      <c r="L280" s="61"/>
      <c r="M280" s="63"/>
      <c r="N280" s="27"/>
      <c r="O280" s="165"/>
      <c r="P280" s="165"/>
      <c r="Q280" s="174">
        <f t="shared" si="4"/>
        <v>0</v>
      </c>
    </row>
    <row r="281" spans="1:17" s="13" customFormat="1" ht="15.75" x14ac:dyDescent="0.25">
      <c r="A281" s="3">
        <v>5</v>
      </c>
      <c r="B281" s="64"/>
      <c r="C281" s="65"/>
      <c r="D281" s="167"/>
      <c r="E281" s="67"/>
      <c r="F281" s="64"/>
      <c r="G281" s="157"/>
      <c r="H281" s="27"/>
      <c r="I281" s="61"/>
      <c r="J281" s="62"/>
      <c r="K281" s="61"/>
      <c r="L281" s="61"/>
      <c r="M281" s="63"/>
      <c r="N281" s="27"/>
      <c r="O281" s="165"/>
      <c r="P281" s="165"/>
      <c r="Q281" s="174">
        <f t="shared" si="4"/>
        <v>0</v>
      </c>
    </row>
    <row r="282" spans="1:17" s="13" customFormat="1" ht="15.75" x14ac:dyDescent="0.25">
      <c r="A282" s="3">
        <v>6</v>
      </c>
      <c r="B282" s="64"/>
      <c r="C282" s="65"/>
      <c r="D282" s="167"/>
      <c r="E282" s="67"/>
      <c r="F282" s="64"/>
      <c r="G282" s="157"/>
      <c r="H282" s="27"/>
      <c r="I282" s="61"/>
      <c r="J282" s="62"/>
      <c r="K282" s="61"/>
      <c r="L282" s="61"/>
      <c r="M282" s="63"/>
      <c r="N282" s="27"/>
      <c r="O282" s="165"/>
      <c r="P282" s="165"/>
      <c r="Q282" s="174">
        <f t="shared" si="4"/>
        <v>0</v>
      </c>
    </row>
    <row r="283" spans="1:17" s="13" customFormat="1" ht="15.75" x14ac:dyDescent="0.25">
      <c r="A283" s="166"/>
      <c r="B283" s="181" t="s">
        <v>1200</v>
      </c>
      <c r="C283" s="182"/>
      <c r="D283" s="183"/>
      <c r="E283" s="166">
        <f t="shared" ref="E283:P283" si="5">SUM(E8,E9:E282)</f>
        <v>0</v>
      </c>
      <c r="F283" s="166">
        <f t="shared" si="5"/>
        <v>138</v>
      </c>
      <c r="G283" s="166">
        <f t="shared" si="5"/>
        <v>136</v>
      </c>
      <c r="H283" s="166">
        <f t="shared" si="5"/>
        <v>188</v>
      </c>
      <c r="I283" s="166">
        <f t="shared" si="5"/>
        <v>235</v>
      </c>
      <c r="J283" s="166">
        <f t="shared" si="5"/>
        <v>250</v>
      </c>
      <c r="K283" s="166">
        <f t="shared" si="5"/>
        <v>425</v>
      </c>
      <c r="L283" s="166">
        <f t="shared" si="5"/>
        <v>212</v>
      </c>
      <c r="M283" s="166">
        <f t="shared" si="5"/>
        <v>192</v>
      </c>
      <c r="N283" s="166">
        <f t="shared" si="5"/>
        <v>309</v>
      </c>
      <c r="O283" s="166">
        <f t="shared" si="5"/>
        <v>8</v>
      </c>
      <c r="P283" s="166">
        <f t="shared" si="5"/>
        <v>0</v>
      </c>
      <c r="Q283" s="174">
        <f t="shared" si="4"/>
        <v>2093</v>
      </c>
    </row>
    <row r="284" spans="1:17" s="13" customFormat="1" ht="15.75" x14ac:dyDescent="0.25">
      <c r="A284" s="184" t="s">
        <v>18</v>
      </c>
      <c r="B284" s="184"/>
      <c r="C284" s="184"/>
      <c r="D284" s="90"/>
      <c r="E284" s="185" t="s">
        <v>1048</v>
      </c>
      <c r="F284" s="185"/>
      <c r="G284" s="185"/>
      <c r="H284" s="185"/>
      <c r="I284" s="12"/>
      <c r="J284" s="12"/>
      <c r="K284" s="12"/>
      <c r="L284" s="12"/>
      <c r="M284" s="12"/>
    </row>
    <row r="285" spans="1:17" s="13" customFormat="1" ht="15.75" x14ac:dyDescent="0.25">
      <c r="F285" s="11"/>
      <c r="G285" s="11"/>
      <c r="H285" s="11"/>
      <c r="I285" s="12"/>
      <c r="J285" s="12"/>
      <c r="K285" s="12"/>
      <c r="L285" s="12"/>
      <c r="M285" s="12"/>
    </row>
    <row r="286" spans="1:17" s="13" customFormat="1" ht="15.75" x14ac:dyDescent="0.25">
      <c r="A286" s="86"/>
      <c r="B286" s="175" t="s">
        <v>34</v>
      </c>
      <c r="C286" s="175"/>
      <c r="D286" s="175"/>
      <c r="E286" s="175"/>
      <c r="F286" s="175"/>
      <c r="G286" s="74"/>
      <c r="H286" s="74"/>
      <c r="I286" s="14"/>
      <c r="J286" s="14"/>
      <c r="K286" s="175" t="s">
        <v>4</v>
      </c>
      <c r="L286" s="175"/>
      <c r="M286" s="175"/>
      <c r="N286" s="175"/>
    </row>
    <row r="287" spans="1:17" s="13" customFormat="1" ht="15.75" x14ac:dyDescent="0.25">
      <c r="F287" s="11"/>
      <c r="G287" s="11"/>
      <c r="H287" s="11"/>
      <c r="I287" s="12"/>
      <c r="J287" s="12"/>
      <c r="K287" s="12"/>
      <c r="L287" s="12"/>
      <c r="M287" s="12"/>
    </row>
    <row r="288" spans="1:17" s="13" customFormat="1" ht="15.75" x14ac:dyDescent="0.25">
      <c r="F288" s="11"/>
      <c r="G288" s="11"/>
      <c r="H288" s="11"/>
      <c r="I288" s="12"/>
      <c r="J288" s="12"/>
      <c r="K288" s="12"/>
      <c r="L288" s="12"/>
      <c r="M288" s="12"/>
    </row>
    <row r="289" spans="2:14" s="13" customFormat="1" ht="15.75" x14ac:dyDescent="0.25">
      <c r="F289" s="11"/>
      <c r="G289" s="11"/>
      <c r="H289" s="11"/>
      <c r="I289" s="12"/>
      <c r="J289" s="12"/>
      <c r="K289" s="12"/>
      <c r="L289" s="12"/>
      <c r="M289" s="12"/>
    </row>
    <row r="290" spans="2:14" s="13" customFormat="1" ht="15.75" x14ac:dyDescent="0.25">
      <c r="B290" s="176" t="s">
        <v>829</v>
      </c>
      <c r="C290" s="176"/>
      <c r="D290" s="176"/>
      <c r="E290" s="176"/>
      <c r="F290" s="176"/>
      <c r="G290" s="11"/>
      <c r="H290" s="15"/>
      <c r="I290" s="12"/>
      <c r="J290" s="12"/>
      <c r="K290" s="176" t="s">
        <v>830</v>
      </c>
      <c r="L290" s="176"/>
      <c r="M290" s="176"/>
      <c r="N290" s="176"/>
    </row>
    <row r="291" spans="2:14" s="13" customFormat="1" ht="15.75" x14ac:dyDescent="0.25">
      <c r="F291" s="11"/>
      <c r="G291" s="11"/>
      <c r="H291" s="11"/>
      <c r="I291" s="12"/>
      <c r="J291" s="12"/>
      <c r="K291" s="12"/>
      <c r="L291" s="12"/>
      <c r="M291" s="12"/>
    </row>
  </sheetData>
  <autoFilter ref="B1:B291" xr:uid="{A66974AA-BFE3-411A-875D-15F047432EFD}"/>
  <mergeCells count="13">
    <mergeCell ref="B283:D283"/>
    <mergeCell ref="A2:G2"/>
    <mergeCell ref="H2:N2"/>
    <mergeCell ref="A3:G3"/>
    <mergeCell ref="H3:N3"/>
    <mergeCell ref="H4:N4"/>
    <mergeCell ref="A5:N5"/>
    <mergeCell ref="A284:C284"/>
    <mergeCell ref="E284:H284"/>
    <mergeCell ref="B286:F286"/>
    <mergeCell ref="K286:N286"/>
    <mergeCell ref="B290:F290"/>
    <mergeCell ref="K290:N29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TCT</vt:lpstr>
      <vt:lpstr>CT</vt:lpstr>
      <vt:lpstr>PXSX1</vt:lpstr>
      <vt:lpstr>PXSX2</vt:lpstr>
      <vt:lpstr>VIỆT NHẬT</vt:lpstr>
      <vt:lpstr>TỔNG HỢP</vt:lpstr>
      <vt:lpstr>KHEN THƯỞNG</vt:lpstr>
      <vt:lpstr>Danh sách</vt:lpstr>
      <vt:lpstr>Tổng hợp điểm phạt</vt:lpstr>
      <vt:lpstr>PXSX2!Print_Area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2025-12-27T09:11:44Z</dcterms:modified>
</cp:coreProperties>
</file>
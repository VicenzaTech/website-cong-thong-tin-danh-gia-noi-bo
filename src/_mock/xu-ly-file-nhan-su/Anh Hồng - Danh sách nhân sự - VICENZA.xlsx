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-loai" sheetId="1" r:id="rId4"/>
    <sheet state="visible" name="Tong-hop" sheetId="2" r:id="rId5"/>
    <sheet state="visible" name="Nhân sự Văn phòng" sheetId="3" r:id="rId6"/>
    <sheet state="visible" name="Nhân sự PX-01" sheetId="4" r:id="rId7"/>
    <sheet state="visible" name="Nhân sự PX-02" sheetId="5" r:id="rId8"/>
  </sheets>
  <definedNames/>
  <calcPr/>
</workbook>
</file>

<file path=xl/sharedStrings.xml><?xml version="1.0" encoding="utf-8"?>
<sst xmlns="http://schemas.openxmlformats.org/spreadsheetml/2006/main" count="3283" uniqueCount="898">
  <si>
    <t>Đơn vị</t>
  </si>
  <si>
    <t>Phòng ban</t>
  </si>
  <si>
    <t>Mã chấm công</t>
  </si>
  <si>
    <t>Họ tên</t>
  </si>
  <si>
    <t>Bộ phận</t>
  </si>
  <si>
    <t>Văn phòng</t>
  </si>
  <si>
    <t>Ban kinh doanh</t>
  </si>
  <si>
    <t>Nguyễn Thị Bích Hường</t>
  </si>
  <si>
    <t>Ban giám đốc</t>
  </si>
  <si>
    <t>Nguyễn Mạnh Uyên</t>
  </si>
  <si>
    <t>Nguyễn Văn Dương</t>
  </si>
  <si>
    <t>Trịnh Minh Hải</t>
  </si>
  <si>
    <t>Văn phòng Miền Bắc</t>
  </si>
  <si>
    <t>Hoàng Anh Việt</t>
  </si>
  <si>
    <t>Nguyễn Đình Việt</t>
  </si>
  <si>
    <t>Văn phòng Miền Trung</t>
  </si>
  <si>
    <t>Nguyễn Văn Thiều</t>
  </si>
  <si>
    <t>Nguyễn Đình Ngọ</t>
  </si>
  <si>
    <t>Nguyễn Tiến Dũng</t>
  </si>
  <si>
    <t>Văn phòng Miền Nam</t>
  </si>
  <si>
    <t>Trương Thị Mỹ Duyên</t>
  </si>
  <si>
    <t>Lê Quốc Thắng</t>
  </si>
  <si>
    <t>Hoàng Phú Đạt</t>
  </si>
  <si>
    <t>Nguyễn Văn Hà</t>
  </si>
  <si>
    <t>Ngô Duy Phương</t>
  </si>
  <si>
    <t>Lê Sỹ Toàn</t>
  </si>
  <si>
    <t>Nguyễn Thị Hà</t>
  </si>
  <si>
    <t>Hỗ trợ thị trường và điều phối</t>
  </si>
  <si>
    <t>Lê Thị Nhung</t>
  </si>
  <si>
    <t>Lê Hữu Mạnh</t>
  </si>
  <si>
    <t>Trần Thị Hương</t>
  </si>
  <si>
    <t>Đỗ Thị Hằng</t>
  </si>
  <si>
    <t>Trần Thị Thơm</t>
  </si>
  <si>
    <t>Vũ Đình Hà</t>
  </si>
  <si>
    <t>Nguyễn Huy Toàn</t>
  </si>
  <si>
    <t>Nguyễn Minh Khôi</t>
  </si>
  <si>
    <t>Nguyễn Văn Tiến</t>
  </si>
  <si>
    <t>Bộ phận thiết kế</t>
  </si>
  <si>
    <t>Trịnh Kiều Giang</t>
  </si>
  <si>
    <t>Lê Tiến Trung</t>
  </si>
  <si>
    <t>Hoàng Thị Thu Thảo</t>
  </si>
  <si>
    <t>Ban kiểm soát</t>
  </si>
  <si>
    <t>Nguyễn Thị Lệ</t>
  </si>
  <si>
    <t>Bộ phận nghiệp vụ</t>
  </si>
  <si>
    <t>Nguyễn Thị Huyền</t>
  </si>
  <si>
    <t>Vi Thị Hoa</t>
  </si>
  <si>
    <t>Lê Thị Kim</t>
  </si>
  <si>
    <t>Lê Hữu Lâm</t>
  </si>
  <si>
    <t xml:space="preserve">Tổ QC </t>
  </si>
  <si>
    <t>Trịnh Văn Nhuận</t>
  </si>
  <si>
    <t>Nguyễn Hoàng Anh</t>
  </si>
  <si>
    <t>Đỗ Đức Nam</t>
  </si>
  <si>
    <t>Đỗ Văn Duyên</t>
  </si>
  <si>
    <t>Đỗ Thị Nga</t>
  </si>
  <si>
    <t>Ban tổng giám đốc</t>
  </si>
  <si>
    <t>Nguyễn Thanh Hải</t>
  </si>
  <si>
    <t>Bộ phận hành chính</t>
  </si>
  <si>
    <t>Phạm Văn Thắng</t>
  </si>
  <si>
    <t>Lê Thị Tú</t>
  </si>
  <si>
    <t>Ban đầu tư</t>
  </si>
  <si>
    <t>Mai Văn Thanh</t>
  </si>
  <si>
    <t>Trần Đức Phương</t>
  </si>
  <si>
    <t>Lê Bình Nguyên</t>
  </si>
  <si>
    <t>Nguyễn Văn Tuấn</t>
  </si>
  <si>
    <t>Lê Thị Hương</t>
  </si>
  <si>
    <t>Lê Văn Công</t>
  </si>
  <si>
    <t>Hoàng Văn Tỉnh</t>
  </si>
  <si>
    <t>Nguyễn Huy Dũng</t>
  </si>
  <si>
    <t>Phạm Công Điện</t>
  </si>
  <si>
    <t>Nguyễn Đình Cảnh</t>
  </si>
  <si>
    <t>Nguyễn Văn Bình</t>
  </si>
  <si>
    <t>Nguyễn Trọng Kiều</t>
  </si>
  <si>
    <t>Dự án cát nhân tạo</t>
  </si>
  <si>
    <t>Vũ Năng Sĩ</t>
  </si>
  <si>
    <t>Lê Khắc Bình</t>
  </si>
  <si>
    <t>Lê Duy Dương</t>
  </si>
  <si>
    <t>Phan Văn Nhật</t>
  </si>
  <si>
    <t>Lê Thế Dân</t>
  </si>
  <si>
    <t>Lê Bá Hanh</t>
  </si>
  <si>
    <t>Vũ Năng Vinh</t>
  </si>
  <si>
    <t>Vũ Thanh Tùng</t>
  </si>
  <si>
    <t>Vũ Năng Dưỡng</t>
  </si>
  <si>
    <t>Vũ Năng Trình</t>
  </si>
  <si>
    <t>Phan Văn Hiệp</t>
  </si>
  <si>
    <t>Vũ Năng Long</t>
  </si>
  <si>
    <t>Phan Văn Linh</t>
  </si>
  <si>
    <t>Phùng Duy Tuấn</t>
  </si>
  <si>
    <t>Lê Ngọc Cường</t>
  </si>
  <si>
    <t>Hội đồng Quản trị</t>
  </si>
  <si>
    <t>Đỗ Đức Thắng</t>
  </si>
  <si>
    <t>Vũ Thị Nhung</t>
  </si>
  <si>
    <t>Trần Thị Nguyệt</t>
  </si>
  <si>
    <t>Vũ Xuân Tuấn</t>
  </si>
  <si>
    <t>Hội đồng cổ đông</t>
  </si>
  <si>
    <t>Đỗ Đức Ty</t>
  </si>
  <si>
    <t>Phòng Kế toán</t>
  </si>
  <si>
    <t>Lưu Minh Hải</t>
  </si>
  <si>
    <t>Bộ phận quản lý nghiệp vụ</t>
  </si>
  <si>
    <t>Nguyễn Thị Phương</t>
  </si>
  <si>
    <t>Lê Thị Cúc</t>
  </si>
  <si>
    <t>Lương Thị Dung</t>
  </si>
  <si>
    <t>Nguyễn Văn Sang</t>
  </si>
  <si>
    <t>Trần Thị Yến</t>
  </si>
  <si>
    <t>Lương Thị Thùy</t>
  </si>
  <si>
    <t>Nguyễn Thị Tuyết</t>
  </si>
  <si>
    <t>Mai Văn Luận</t>
  </si>
  <si>
    <t>Bộ phận kho vật tư, nguyên nhiên liệu và thành phẩm</t>
  </si>
  <si>
    <t>Trần Văn Kỳ</t>
  </si>
  <si>
    <t>Nguyễn Thị Hồng Nhung</t>
  </si>
  <si>
    <t>Trịnh Văn Dũng</t>
  </si>
  <si>
    <t>Trịnh Văn Hòa</t>
  </si>
  <si>
    <t>Đỗ Thị Phương</t>
  </si>
  <si>
    <t>Bùi Đức Tâm</t>
  </si>
  <si>
    <t>Nguyễn Thị Loan</t>
  </si>
  <si>
    <t>Hoàng Ngọc Dương</t>
  </si>
  <si>
    <t>Trần Thị Hiền</t>
  </si>
  <si>
    <t>Nguyễn Thị Hiền</t>
  </si>
  <si>
    <t>Lê Thị Thủy</t>
  </si>
  <si>
    <t>Phạm Thị Huyền</t>
  </si>
  <si>
    <t>Lê Văn Thành</t>
  </si>
  <si>
    <t>Nguyễn Thị Luyến</t>
  </si>
  <si>
    <t>Tổ Kế toán thống kê</t>
  </si>
  <si>
    <t>Hoàng Thị Hằng</t>
  </si>
  <si>
    <t>Nguyễn Thị Quỳnh</t>
  </si>
  <si>
    <t>Phạm Anh Tuấn</t>
  </si>
  <si>
    <t>Phạm Thị Vân</t>
  </si>
  <si>
    <t>Kế toán công nợ và bán hàng</t>
  </si>
  <si>
    <t>Lê Bật Truật</t>
  </si>
  <si>
    <t>Lê Thị Thanh Thúy</t>
  </si>
  <si>
    <t>Lê Thị Lan Anh</t>
  </si>
  <si>
    <t>Tổ phục vụ xuất hàng</t>
  </si>
  <si>
    <t>Trần Trí Cảnh</t>
  </si>
  <si>
    <t>Lê Thị Ái</t>
  </si>
  <si>
    <t>Trần Thị Hà</t>
  </si>
  <si>
    <t>Mai Đình Cường</t>
  </si>
  <si>
    <t>Hoàng Đức Bình</t>
  </si>
  <si>
    <t>Hoàng Đức Minh</t>
  </si>
  <si>
    <t>Nguyễn Thị Thủy</t>
  </si>
  <si>
    <t>Lê Huy Thạch</t>
  </si>
  <si>
    <t>Hoàng Ngọc Thảo</t>
  </si>
  <si>
    <t>Nguyễn Văn Lợi</t>
  </si>
  <si>
    <t>Đỗ Đức Hùng</t>
  </si>
  <si>
    <t>Lê Anh Tuấn</t>
  </si>
  <si>
    <t>Viên Đình Khang</t>
  </si>
  <si>
    <t>Nguyễn Đăng Ánh</t>
  </si>
  <si>
    <t>Đỗ Xuân Nam</t>
  </si>
  <si>
    <t>Đặng Minh Yên</t>
  </si>
  <si>
    <t>Phạm Thị Tiên</t>
  </si>
  <si>
    <t>Nguyễn Văn Tâm</t>
  </si>
  <si>
    <t>Lê Bá Long</t>
  </si>
  <si>
    <t>Đỗ Văn Trung</t>
  </si>
  <si>
    <t>Nguyễn Văn Huệ</t>
  </si>
  <si>
    <t>Lê Đình Tuấn</t>
  </si>
  <si>
    <t>Lê Quang Việt</t>
  </si>
  <si>
    <t>Đỗ Văn Khánh</t>
  </si>
  <si>
    <t>Đỗ Thị Tính</t>
  </si>
  <si>
    <t>Lê Thị Dung</t>
  </si>
  <si>
    <t>Lê Thị Nhưng</t>
  </si>
  <si>
    <t>Trịnh Thị Hằng</t>
  </si>
  <si>
    <t>Lâm Thị Lài</t>
  </si>
  <si>
    <t>Nguyễn Viết Thiện</t>
  </si>
  <si>
    <t>Phạm Văn Chuyền</t>
  </si>
  <si>
    <t>Lê Minh Tiến</t>
  </si>
  <si>
    <t>Nguyễn Bá Dũng</t>
  </si>
  <si>
    <t>Nguyễn Xuân Phương</t>
  </si>
  <si>
    <t>Nguyễn Viết Nghiêm</t>
  </si>
  <si>
    <t>Lê Ngọc Anh</t>
  </si>
  <si>
    <t>Lê Thanh Phong</t>
  </si>
  <si>
    <t>Lê Đình Văn</t>
  </si>
  <si>
    <t>Nguyễn Thị Kim Tuyến</t>
  </si>
  <si>
    <t>Phạm Thế Luyến</t>
  </si>
  <si>
    <t>Vũ Đình Hải</t>
  </si>
  <si>
    <t>Lê Thị Huyền</t>
  </si>
  <si>
    <t>Lê Văn Long</t>
  </si>
  <si>
    <t>Nguyễn Viết Chỉnh</t>
  </si>
  <si>
    <t>Hoàng Văn Nghinh</t>
  </si>
  <si>
    <t>Lê Bá Triệu</t>
  </si>
  <si>
    <t>Doãn Văn Sáng</t>
  </si>
  <si>
    <t>Phòng Tổ chức - Hành chính</t>
  </si>
  <si>
    <t>Lê Quang Trung</t>
  </si>
  <si>
    <t>Vũ Nguyên Hồng</t>
  </si>
  <si>
    <t>Vũ Hải Minh</t>
  </si>
  <si>
    <t>Lê Xuân Thành</t>
  </si>
  <si>
    <t>Phạm Văn Lực</t>
  </si>
  <si>
    <t>Đỗ Ngọc Toàn</t>
  </si>
  <si>
    <t>Lê Thị Diễm</t>
  </si>
  <si>
    <t>Thiều Đình Ngọc</t>
  </si>
  <si>
    <t>Nguyễn Mạnh Hà</t>
  </si>
  <si>
    <t>Tổ xe con</t>
  </si>
  <si>
    <t>Đỗ Văn Khẩn</t>
  </si>
  <si>
    <t>Nguyễn Đức Dũng</t>
  </si>
  <si>
    <t>Nguyễn Tài Thành</t>
  </si>
  <si>
    <t>Nguyễn Văn Dũng</t>
  </si>
  <si>
    <t>Nguyễn Thế Triều</t>
  </si>
  <si>
    <t>Nguyễn Trọng Du</t>
  </si>
  <si>
    <t>Nguyễn Thế Hưng</t>
  </si>
  <si>
    <t>Đỗ Thị Chiến</t>
  </si>
  <si>
    <t>Tổ tạp vụ</t>
  </si>
  <si>
    <t>Đỗ Đức Châm</t>
  </si>
  <si>
    <t>Trịnh Thị Nhung</t>
  </si>
  <si>
    <t>Đỗ Thị Hường</t>
  </si>
  <si>
    <t>Đỗ Hữu Nghị</t>
  </si>
  <si>
    <t>Bộ phận mua hàng</t>
  </si>
  <si>
    <t>Vũ Xuân Tùng</t>
  </si>
  <si>
    <t>Nguyễn Đức Hà</t>
  </si>
  <si>
    <t>Nguyễn Thị Bích Thảo</t>
  </si>
  <si>
    <t>Nguyễn Hữu Long</t>
  </si>
  <si>
    <t>Trịnh Thị Thúy</t>
  </si>
  <si>
    <t>Đỗ Đức Chung</t>
  </si>
  <si>
    <t>Ngô Thanh Hương</t>
  </si>
  <si>
    <t>Trần Văn Quý</t>
  </si>
  <si>
    <t>Tổ Bảo vệ</t>
  </si>
  <si>
    <t>Nguyễn Đức Lâm</t>
  </si>
  <si>
    <t>Trương Ngọc Sơn</t>
  </si>
  <si>
    <t>Lê Văn Hào</t>
  </si>
  <si>
    <t>Trịnh Sỹ Thiết</t>
  </si>
  <si>
    <t>Nguyễn Văn Trung</t>
  </si>
  <si>
    <t>Lê Văn Phương</t>
  </si>
  <si>
    <t>Đỗ Văn Thạnh</t>
  </si>
  <si>
    <t>Đỗ Văn Hán</t>
  </si>
  <si>
    <t>Nguyễn Trọng Hội</t>
  </si>
  <si>
    <t>Nguyễn Xuân Nam</t>
  </si>
  <si>
    <t>Nguyễn Quốc Nghĩa</t>
  </si>
  <si>
    <t>Lê Văn Chính</t>
  </si>
  <si>
    <t>Đoàn Thế Nhân</t>
  </si>
  <si>
    <t>Trần Đức Đảm</t>
  </si>
  <si>
    <t>Lê Ngọc Hải</t>
  </si>
  <si>
    <t>Nguyễn Xuân Lợi</t>
  </si>
  <si>
    <t>Trịnh Thanh Hà</t>
  </si>
  <si>
    <t>Trần Công Đua</t>
  </si>
  <si>
    <t>Nguyễn Xuân Biền</t>
  </si>
  <si>
    <t>Nguyễn Xuân Thượng</t>
  </si>
  <si>
    <t>Lê Bá Thắng</t>
  </si>
  <si>
    <t>Phạm Văn Tiến</t>
  </si>
  <si>
    <t>Lê Văn Thọ</t>
  </si>
  <si>
    <t>Trịnh Văn Luyện</t>
  </si>
  <si>
    <t>Phòng khai thác</t>
  </si>
  <si>
    <t>Nguyễn Anh Hải</t>
  </si>
  <si>
    <t>Tổ khai thác mỏ</t>
  </si>
  <si>
    <t>Lê Xuân Lộc</t>
  </si>
  <si>
    <t>Nguyễn Hữu Chung</t>
  </si>
  <si>
    <t>Hà Trường Giang</t>
  </si>
  <si>
    <t>Lê Thị Hoài</t>
  </si>
  <si>
    <t>Hoàng Văn Hải</t>
  </si>
  <si>
    <t>Tổ Đội xe máy</t>
  </si>
  <si>
    <t>Đỗ Đức Tùng</t>
  </si>
  <si>
    <t>Trương Quốc Hoàn</t>
  </si>
  <si>
    <t>Lê Xuân Toán</t>
  </si>
  <si>
    <t>Phạm Quang Hưng</t>
  </si>
  <si>
    <t>Lê Đức Kiệm</t>
  </si>
  <si>
    <t>Nguyễn Xuân Thanh</t>
  </si>
  <si>
    <t>Nguyễn Hữu Nhâm</t>
  </si>
  <si>
    <t>Đào Duy Nam</t>
  </si>
  <si>
    <t>Lê Xuân Thanh</t>
  </si>
  <si>
    <t>Đỗ Văn Hòe</t>
  </si>
  <si>
    <t>Nguyễn Hữu Hiếu</t>
  </si>
  <si>
    <t>Lê Thế Dương</t>
  </si>
  <si>
    <t>Nguyễn Văn Thành</t>
  </si>
  <si>
    <t>Lương Xuân Thăng</t>
  </si>
  <si>
    <t>Nguyễn Văn Hải</t>
  </si>
  <si>
    <t>Nguyễn Xuân Chương</t>
  </si>
  <si>
    <t>Nguyễn Đình Dũng</t>
  </si>
  <si>
    <t>Đỗ Xuân Chinh</t>
  </si>
  <si>
    <t>Nguyễn Đình Vũ</t>
  </si>
  <si>
    <t>Nguyễn Xuân Thủy</t>
  </si>
  <si>
    <t>Lê Bá Cần</t>
  </si>
  <si>
    <t>Trịnh Văn Viên</t>
  </si>
  <si>
    <t>Lê Trọng Tấn</t>
  </si>
  <si>
    <t>Lê Hữu Phước</t>
  </si>
  <si>
    <t>Lê Quang Dũng</t>
  </si>
  <si>
    <t>Lê Duy Dũng</t>
  </si>
  <si>
    <t>Lê Văn Nam</t>
  </si>
  <si>
    <t>Lê Văn Dương</t>
  </si>
  <si>
    <t>Nguyễn Đình Tứ</t>
  </si>
  <si>
    <t>Phạm Văn Hậu</t>
  </si>
  <si>
    <t>Đội sửa chữa</t>
  </si>
  <si>
    <t>Nguyễn Như Toàn</t>
  </si>
  <si>
    <t>Nguyễn Đình Lĩnh</t>
  </si>
  <si>
    <t>Phạm Văn Thiện</t>
  </si>
  <si>
    <t>Trần Văn Hùng</t>
  </si>
  <si>
    <t>Vũ Bá Minh</t>
  </si>
  <si>
    <t>Nguyễn Viết Minh</t>
  </si>
  <si>
    <t>Lê Trọng Lâm</t>
  </si>
  <si>
    <t>Lê Phú Tuấn</t>
  </si>
  <si>
    <t>Phạm Thị Loan</t>
  </si>
  <si>
    <t>Phân xưởng CBNL</t>
  </si>
  <si>
    <t>Nguyễn Văn Chánh</t>
  </si>
  <si>
    <t>Nguyễn Anh Dũng</t>
  </si>
  <si>
    <t>Nguyễn Văn Định</t>
  </si>
  <si>
    <t>Lê Văn Giáp</t>
  </si>
  <si>
    <t>Trần Thế Anh</t>
  </si>
  <si>
    <t>Lê Văn Hưng</t>
  </si>
  <si>
    <t>Hoàng Đình Cương</t>
  </si>
  <si>
    <t>Phạm Anh Thọ</t>
  </si>
  <si>
    <t>Lê Văn Hùng</t>
  </si>
  <si>
    <t>Lê Văn Huy</t>
  </si>
  <si>
    <t>Dương Văn Thanh</t>
  </si>
  <si>
    <t>Nguyễn Văn Thìn</t>
  </si>
  <si>
    <t>Nguyễn Mạnh Hùng</t>
  </si>
  <si>
    <t>Lê Xuân Lợi</t>
  </si>
  <si>
    <t>Phạm Văn Đức</t>
  </si>
  <si>
    <t>Lê Đình Hưng</t>
  </si>
  <si>
    <t>Nguyễn Viết Sâm</t>
  </si>
  <si>
    <t>Lương Văn Mạnh</t>
  </si>
  <si>
    <t>Bùi Đình Cẩn</t>
  </si>
  <si>
    <t>Lê Văn Hiệu</t>
  </si>
  <si>
    <t xml:space="preserve">Nguyễn Hữu Nhân </t>
  </si>
  <si>
    <t>Đỗ Viết Minh</t>
  </si>
  <si>
    <t>Bùi Đình Vịnh</t>
  </si>
  <si>
    <t>Nguyễn Đức Thanh</t>
  </si>
  <si>
    <t>Đinh Sỹ Hải</t>
  </si>
  <si>
    <t>Phạm Hữu Huy</t>
  </si>
  <si>
    <t>Khúc Xuân Ngọc</t>
  </si>
  <si>
    <t>Nguyễn Thìn Long</t>
  </si>
  <si>
    <t>Nguyễn Văn Năm</t>
  </si>
  <si>
    <t>Vũ Đình Lương</t>
  </si>
  <si>
    <t>Thanh tra sản xuất - KCS</t>
  </si>
  <si>
    <t>Lê Văn Chung</t>
  </si>
  <si>
    <t>Tổ thanh tra sản xuất</t>
  </si>
  <si>
    <t>Tào Quốc Đạt</t>
  </si>
  <si>
    <t>Phạm Thị Hồng</t>
  </si>
  <si>
    <t>Nguyễn Thị Vân</t>
  </si>
  <si>
    <t>Bùi Thị Lan</t>
  </si>
  <si>
    <t>Bùi Thị Thủy</t>
  </si>
  <si>
    <t>Nguyễn Thái Sỹ</t>
  </si>
  <si>
    <t>Lê Thanh Bình</t>
  </si>
  <si>
    <t>Nguyễn Trọng Bình</t>
  </si>
  <si>
    <t>Lê Khả Hoàng</t>
  </si>
  <si>
    <t>Lê Xuân Cảnh</t>
  </si>
  <si>
    <t>Lê Thị Hải</t>
  </si>
  <si>
    <t>Nguyễn Xuân Mạnh</t>
  </si>
  <si>
    <t>Lê Thị Thoa</t>
  </si>
  <si>
    <t>Bùi Thị Xinh</t>
  </si>
  <si>
    <t>Nguyễn Đình Toàn</t>
  </si>
  <si>
    <t>Lê Văn Định</t>
  </si>
  <si>
    <t>Nguyễn Xuân Anh</t>
  </si>
  <si>
    <t>Văn Doãn Hoa</t>
  </si>
  <si>
    <t>Bùi Anh Đức</t>
  </si>
  <si>
    <t>Ngô Văn Phương</t>
  </si>
  <si>
    <t>Nguyễn Như Nam</t>
  </si>
  <si>
    <t>Thuê ngoài</t>
  </si>
  <si>
    <t>Nguyễn Thị Hương</t>
  </si>
  <si>
    <t>Lê Văn Tuấn</t>
  </si>
  <si>
    <t>Lê Xuân Nghiệm</t>
  </si>
  <si>
    <t>Văn phòng Chủ tịch</t>
  </si>
  <si>
    <t>Nguyễn Quang Hưng</t>
  </si>
  <si>
    <t xml:space="preserve">Nguyễn Minh Nghĩa </t>
  </si>
  <si>
    <t>Đinh Quang Trung</t>
  </si>
  <si>
    <t>Nguyễn Ngọc Hiếu</t>
  </si>
  <si>
    <t>Trần Hoàng Quân</t>
  </si>
  <si>
    <t>Lê Văn Đạt</t>
  </si>
  <si>
    <t>PX-01</t>
  </si>
  <si>
    <t>Ban giám đốc PXSX1</t>
  </si>
  <si>
    <t>Hoàng Minh Hà</t>
  </si>
  <si>
    <t>Nguyễn Xuân Tuấn</t>
  </si>
  <si>
    <t xml:space="preserve">Nguyễn Văn Thanh </t>
  </si>
  <si>
    <t>Lê Tuấn Anh</t>
  </si>
  <si>
    <t>Bộ phận dự án</t>
  </si>
  <si>
    <t>Nguyễn Trọng Hợp</t>
  </si>
  <si>
    <t>Phạm Văn Hiệu</t>
  </si>
  <si>
    <t xml:space="preserve">Bộ phận nhiên liệu và gia công bán thành phẩm </t>
  </si>
  <si>
    <t>Trương Văn Thắng</t>
  </si>
  <si>
    <t>Quản lý</t>
  </si>
  <si>
    <t>Nguyễn Khắc Thành</t>
  </si>
  <si>
    <t>Nguyễn Tất Đức</t>
  </si>
  <si>
    <t>Trạm than Ca A</t>
  </si>
  <si>
    <t>Trần Văn Thể</t>
  </si>
  <si>
    <t>Nguyễn Đình Hiếu</t>
  </si>
  <si>
    <t>Trần Văn Nam</t>
  </si>
  <si>
    <t>Lê Viết Việt</t>
  </si>
  <si>
    <t>Đàm Lê Tính</t>
  </si>
  <si>
    <t>Trạm than Ca B</t>
  </si>
  <si>
    <t>Nguyễn Văn Phiệt</t>
  </si>
  <si>
    <t>Lê Văn Tới</t>
  </si>
  <si>
    <t>Lê Văn Huân</t>
  </si>
  <si>
    <t>Nguyễn Đăng Đua</t>
  </si>
  <si>
    <t>Nghiền - Sấy phun Ca A</t>
  </si>
  <si>
    <t>Bùi Đình Vương</t>
  </si>
  <si>
    <t>Phạm Văn Hùng</t>
  </si>
  <si>
    <t>Lê Văn Sử</t>
  </si>
  <si>
    <t>Nguyễn văn Tình</t>
  </si>
  <si>
    <t>Đỗ Viết Trang</t>
  </si>
  <si>
    <t>Nguyễn Trọng Luật</t>
  </si>
  <si>
    <t>Lê Thiên Dũng</t>
  </si>
  <si>
    <t>Hà Hoàng Hạnh</t>
  </si>
  <si>
    <t>Lê Văn Thân</t>
  </si>
  <si>
    <t>Đỗ Văn Thái</t>
  </si>
  <si>
    <t>Nghiền - Sấy phun Ca B</t>
  </si>
  <si>
    <t>Trịnh Sỹ Cơ</t>
  </si>
  <si>
    <t>Nguyễn Hữu Kiên</t>
  </si>
  <si>
    <t>Vũ Đình Trung</t>
  </si>
  <si>
    <t>Đoàn Công Thiệu</t>
  </si>
  <si>
    <t>Đỗ Ngọc Vui</t>
  </si>
  <si>
    <t xml:space="preserve">Nguyễn Trọng Quyền </t>
  </si>
  <si>
    <t>Bùi Khắc Toàn</t>
  </si>
  <si>
    <t>Trịnh Xuân Mong</t>
  </si>
  <si>
    <t>Mai Trọng Ninh</t>
  </si>
  <si>
    <t>Đỗ Văn Tính</t>
  </si>
  <si>
    <t>Lê Ngọc Định</t>
  </si>
  <si>
    <t>Dây chuyền gia công Ca A</t>
  </si>
  <si>
    <t>Lê Tiến Đại</t>
  </si>
  <si>
    <t>Lê Văn Doanh</t>
  </si>
  <si>
    <t>Nguyễn Văn Thường</t>
  </si>
  <si>
    <t>Lê văn Tiến</t>
  </si>
  <si>
    <t>Nguyễn Xuân Dũng</t>
  </si>
  <si>
    <t>Lê Trọng Việt</t>
  </si>
  <si>
    <t>Nguyễn Văn Sơn</t>
  </si>
  <si>
    <t>Nguyễn Đức Chiến</t>
  </si>
  <si>
    <t>Trần Văn Dũng</t>
  </si>
  <si>
    <t>NGuyễn Văn Anh</t>
  </si>
  <si>
    <t>Đỗ Xuân Lợi</t>
  </si>
  <si>
    <t>Lê Công Huấn</t>
  </si>
  <si>
    <t>Phạm Ngọc Khoa</t>
  </si>
  <si>
    <t>Trần Văn Phương</t>
  </si>
  <si>
    <t>Nguyễn Hữu  Sang</t>
  </si>
  <si>
    <t>Lê Như Hoàng</t>
  </si>
  <si>
    <t>Dây chuyền gia công Ca B</t>
  </si>
  <si>
    <t>Lê Thị Bình</t>
  </si>
  <si>
    <t>Nguyễn Trường Giang</t>
  </si>
  <si>
    <t>Lương Xuân Tùng</t>
  </si>
  <si>
    <t>Nguyễn Đăng Điệp</t>
  </si>
  <si>
    <t>Đào Xuân Hùng</t>
  </si>
  <si>
    <t>Lê Duy Hợp</t>
  </si>
  <si>
    <t>Hoàng Văn Đại</t>
  </si>
  <si>
    <t>Nguyễn Văn Khanh</t>
  </si>
  <si>
    <t>Trịnh Tuấn Linh</t>
  </si>
  <si>
    <t>Nguyễn Văn Đạt</t>
  </si>
  <si>
    <t>Đoàn Văn Sơn</t>
  </si>
  <si>
    <t>Lã Văn Yêu</t>
  </si>
  <si>
    <t>Nguyễn  Mạnh Quyền</t>
  </si>
  <si>
    <t>Lê Nhất Nam</t>
  </si>
  <si>
    <t>Bộ phận nung và hoàn thiện sản phẩm</t>
  </si>
  <si>
    <t>Lê Xuân Viên</t>
  </si>
  <si>
    <t>Ngô Văn Minh</t>
  </si>
  <si>
    <t>Lê Văn Trường</t>
  </si>
  <si>
    <t>Nguyễn Văn Dũng (81)</t>
  </si>
  <si>
    <t>Lò nung Ca A</t>
  </si>
  <si>
    <t>Lê Duy Cường</t>
  </si>
  <si>
    <t>Nguyễn Phú Kiên</t>
  </si>
  <si>
    <t>Phạm Văn Minh</t>
  </si>
  <si>
    <t>Vũ Trọng Chung</t>
  </si>
  <si>
    <t>Lê Nhữ Đạt</t>
  </si>
  <si>
    <t>Nguyễn Tuấn Anh</t>
  </si>
  <si>
    <t>Bùi Sỹ Ích</t>
  </si>
  <si>
    <t>Phạm Văn Trung</t>
  </si>
  <si>
    <t>Hoàng Minh Cảnh</t>
  </si>
  <si>
    <t>Lò nung Ca B</t>
  </si>
  <si>
    <t>Nguyễn Văn Dũng (84)</t>
  </si>
  <si>
    <t>Đỗ Văn Tú</t>
  </si>
  <si>
    <t>Nguyễn Hữu Thảo</t>
  </si>
  <si>
    <t>Nguyễn Xuân Hải</t>
  </si>
  <si>
    <t>Lê Bá Minh</t>
  </si>
  <si>
    <t>Nguyễn Phú Thêm</t>
  </si>
  <si>
    <t>Đặng Đình Hà</t>
  </si>
  <si>
    <t>Đỗ Văn Hùng Anh</t>
  </si>
  <si>
    <t>Đinh Văn Đô</t>
  </si>
  <si>
    <t>Dây chuyền Mài Ca A</t>
  </si>
  <si>
    <t>Phạm Ngọc Tân</t>
  </si>
  <si>
    <t>Phạm Duy Nam</t>
  </si>
  <si>
    <t>Lê Minh Tuân</t>
  </si>
  <si>
    <t>Lê Văn Biên</t>
  </si>
  <si>
    <t xml:space="preserve">Nguyễn Hữu Dũng </t>
  </si>
  <si>
    <t>Nguyễn Duy Quỳnh</t>
  </si>
  <si>
    <t>Lê Ngọc Khánh</t>
  </si>
  <si>
    <t>Lê Ngọc Trường</t>
  </si>
  <si>
    <t>Uông Ngọc Quang</t>
  </si>
  <si>
    <t>Phạm Văn Long</t>
  </si>
  <si>
    <t>Nguyễn Thế Dũng</t>
  </si>
  <si>
    <t>HOàng Văn Cường</t>
  </si>
  <si>
    <t>Vi Văn Thu</t>
  </si>
  <si>
    <t>Nguyễn Bá Nghiêm</t>
  </si>
  <si>
    <t>Trần Văn Hiệu</t>
  </si>
  <si>
    <t>Dây chuyền Mài Ca B</t>
  </si>
  <si>
    <t xml:space="preserve">Lê Vạn Tâm </t>
  </si>
  <si>
    <t>Lê Như Hiệp</t>
  </si>
  <si>
    <t>Nguyễn Văn Cường</t>
  </si>
  <si>
    <t>Phạm Xuân Điệp</t>
  </si>
  <si>
    <t>Vũ Văn Tuấn</t>
  </si>
  <si>
    <t>Nguyễn Văn Gia</t>
  </si>
  <si>
    <t>Lữ Trọng Nam</t>
  </si>
  <si>
    <t>Hà Xuân Đạt</t>
  </si>
  <si>
    <t>Lê Vạn Long</t>
  </si>
  <si>
    <t>Cao Thế Vinh</t>
  </si>
  <si>
    <t>Trần Văn Thê</t>
  </si>
  <si>
    <t>Bùi Văn Chinh</t>
  </si>
  <si>
    <t>Lê Văn Đức</t>
  </si>
  <si>
    <t>Lê Thị Tuyên</t>
  </si>
  <si>
    <t>Đóng hộp Ca A</t>
  </si>
  <si>
    <t>Đinh Ngọc Tuyên</t>
  </si>
  <si>
    <t>Trần Thị Sinh</t>
  </si>
  <si>
    <t>Tô Thị Lưu</t>
  </si>
  <si>
    <t xml:space="preserve">Đỗ Ngọc Tuấn </t>
  </si>
  <si>
    <t>Đoàn Ngọc Thanh</t>
  </si>
  <si>
    <t>Nguyễn Hoàng Kỷ</t>
  </si>
  <si>
    <t>Cao Thị Oanh</t>
  </si>
  <si>
    <t>Tạ Hữu Sơn</t>
  </si>
  <si>
    <t>Dương Thị Nhã</t>
  </si>
  <si>
    <t>Nguyễn Văn Long</t>
  </si>
  <si>
    <t>Lê Văn Tình</t>
  </si>
  <si>
    <t>Cao Văn Mùi</t>
  </si>
  <si>
    <t>Vũ Đức Bền</t>
  </si>
  <si>
    <t>Lê Văn Dinh</t>
  </si>
  <si>
    <t>Lê Văn Tuân</t>
  </si>
  <si>
    <t>Vũ Đức Trắc</t>
  </si>
  <si>
    <t>Phạm Thị Hà</t>
  </si>
  <si>
    <t>Đào Đình Quyết</t>
  </si>
  <si>
    <t>Đóng hộp Ca B</t>
  </si>
  <si>
    <t>Bùi Quang Hải</t>
  </si>
  <si>
    <t>Đào Văn Tính</t>
  </si>
  <si>
    <t>Nguyễn Thị Huệ</t>
  </si>
  <si>
    <t>Nguyễn Thị Nhung</t>
  </si>
  <si>
    <t>Nguyễn Văn Cầu</t>
  </si>
  <si>
    <t>Trần Công Phú</t>
  </si>
  <si>
    <t>Nguyễn Trọng Chung</t>
  </si>
  <si>
    <t>Lê Văn Dũng</t>
  </si>
  <si>
    <t>Vương Huy Trường</t>
  </si>
  <si>
    <t>Vũ Ngọc Kiên</t>
  </si>
  <si>
    <t xml:space="preserve">Lê Thị Tuyết </t>
  </si>
  <si>
    <t>Nguyễn Xuân Hòa</t>
  </si>
  <si>
    <t>Phạm Văn Dũng</t>
  </si>
  <si>
    <t>Trịnh Đình Dũng</t>
  </si>
  <si>
    <t xml:space="preserve">Vương Huy Sự </t>
  </si>
  <si>
    <t>Lê Thị Nga</t>
  </si>
  <si>
    <t>Vương Huy Phúc</t>
  </si>
  <si>
    <t>Vương Huy Tân</t>
  </si>
  <si>
    <t>Nhóm Hậu cần nội vụ PXSX1</t>
  </si>
  <si>
    <t>Hoàng Huy Tuấn</t>
  </si>
  <si>
    <t>Nguyễn Viết Thanh</t>
  </si>
  <si>
    <t>Nguyễn Khắc Thảo</t>
  </si>
  <si>
    <t>Phòng Kỹ thuật</t>
  </si>
  <si>
    <t>Hồ Xuân Tùng</t>
  </si>
  <si>
    <t>Bộ phận Kỹ thuật - hành chính</t>
  </si>
  <si>
    <t>Vũ Xuân Lân</t>
  </si>
  <si>
    <t>Vũ Hoàng Long</t>
  </si>
  <si>
    <t>Trần Văn Chung</t>
  </si>
  <si>
    <t>Lê Mạnh Cường</t>
  </si>
  <si>
    <t>Nguyễn Xuân Vũ</t>
  </si>
  <si>
    <t xml:space="preserve">Hoàng Lê Cường </t>
  </si>
  <si>
    <t>Hoàng Ngọc Quang</t>
  </si>
  <si>
    <t>Bảo dưỡng Dây chuyền mài PXSX1</t>
  </si>
  <si>
    <t>Mai Văn Tiến</t>
  </si>
  <si>
    <t>Mai Văn Tới</t>
  </si>
  <si>
    <t>Nguyễn Văn Danh</t>
  </si>
  <si>
    <t>Hoàng Kim Thảo</t>
  </si>
  <si>
    <t>Lê Nguyên Trường</t>
  </si>
  <si>
    <t>Nguyễn Huy Tuyên</t>
  </si>
  <si>
    <t>Nguyễn Doãn Anh</t>
  </si>
  <si>
    <t>Lê Bá Hiệu</t>
  </si>
  <si>
    <t>Nguyễn Quốc Huy</t>
  </si>
  <si>
    <t>Cơ điện hành chính</t>
  </si>
  <si>
    <t>Mai Đình Tiến</t>
  </si>
  <si>
    <t>Nguyễn Đình Phương</t>
  </si>
  <si>
    <t>Lê Viết Hùng</t>
  </si>
  <si>
    <t>Nguyễn Quý Hoạt</t>
  </si>
  <si>
    <t>Văn Như Hùng</t>
  </si>
  <si>
    <t>Nguyễn Danh Vinh</t>
  </si>
  <si>
    <t>Trần Quang Huynh</t>
  </si>
  <si>
    <t>Lê Văn Tư</t>
  </si>
  <si>
    <t xml:space="preserve">Lê Đình Hùng </t>
  </si>
  <si>
    <t>Lê Công Dụng</t>
  </si>
  <si>
    <t>Cơ điện Ca A</t>
  </si>
  <si>
    <t>Mai Đình Tư</t>
  </si>
  <si>
    <t>Lê Thanh Anh</t>
  </si>
  <si>
    <t>Hồ Xuân Khải</t>
  </si>
  <si>
    <t>Cơ điện Ca B</t>
  </si>
  <si>
    <t>Trần Văn Luân</t>
  </si>
  <si>
    <t>Lê Công Dương</t>
  </si>
  <si>
    <t>Phạm Hùng Tráng</t>
  </si>
  <si>
    <t>Nguyễn Văn Học</t>
  </si>
  <si>
    <t>Cơ điện Ca C</t>
  </si>
  <si>
    <t>Bùi Văn Tuấn</t>
  </si>
  <si>
    <t>Nguyễn Bá Quân</t>
  </si>
  <si>
    <t>La Văn Long</t>
  </si>
  <si>
    <t>Lê Bật Kiên</t>
  </si>
  <si>
    <t>Gia công - Quấn động cơ</t>
  </si>
  <si>
    <t>Cao Viết Kiên</t>
  </si>
  <si>
    <t>Lê Thanh Đường</t>
  </si>
  <si>
    <t xml:space="preserve">Lại Hữu Lâm </t>
  </si>
  <si>
    <t>Lê Bá Hữu</t>
  </si>
  <si>
    <t>Trịnh Văn Tới</t>
  </si>
  <si>
    <t xml:space="preserve">Lê Đình Tuấn Anh </t>
  </si>
  <si>
    <t>Phòng công nghệ</t>
  </si>
  <si>
    <t>Vankateswarlu</t>
  </si>
  <si>
    <t>Lê Văn Bình</t>
  </si>
  <si>
    <t>Phạm Hồng Như</t>
  </si>
  <si>
    <t>Tổ kỹ thuật PXSX1</t>
  </si>
  <si>
    <t>Đặng Ngọc Điệp</t>
  </si>
  <si>
    <t>Lê Thanh Tiến</t>
  </si>
  <si>
    <t>Trần Văn Toàn</t>
  </si>
  <si>
    <t>Cao Thị Loan</t>
  </si>
  <si>
    <t>Lê Đình Ngà</t>
  </si>
  <si>
    <t>Trịnh Lưu Lan Hương</t>
  </si>
  <si>
    <t>Lê Duy Nam</t>
  </si>
  <si>
    <t>Kiểm soát công nghệ</t>
  </si>
  <si>
    <t>Cao Văn Nhân</t>
  </si>
  <si>
    <t>Văn Đình Tùng</t>
  </si>
  <si>
    <t>Lâm Văn Thủy</t>
  </si>
  <si>
    <t>Tổ nghiền men PXSX1</t>
  </si>
  <si>
    <t>Mai Văn Binh</t>
  </si>
  <si>
    <t>Đỗ Văn Nhất</t>
  </si>
  <si>
    <t>Đỗ Văn Khôi</t>
  </si>
  <si>
    <t>Phó bộ phận PXSX1</t>
  </si>
  <si>
    <t>Nguyễn Hải Đăng</t>
  </si>
  <si>
    <t>Lê Đình Toàn</t>
  </si>
  <si>
    <t>Nguyễn Hoàng Dũng</t>
  </si>
  <si>
    <t>Quản Văn Phương</t>
  </si>
  <si>
    <t>Bùi Sỹ Quang</t>
  </si>
  <si>
    <t>Test mẫu PXSX1</t>
  </si>
  <si>
    <t>Nguyễn Duy Chiến</t>
  </si>
  <si>
    <t xml:space="preserve">Test mẫu </t>
  </si>
  <si>
    <t>Lê Văn Quân</t>
  </si>
  <si>
    <t>Phạm Văn Thùy</t>
  </si>
  <si>
    <t>PX-02</t>
  </si>
  <si>
    <t>Ban giám đốc PXSX2</t>
  </si>
  <si>
    <t>Trần Quốc Tuấn</t>
  </si>
  <si>
    <t>Lê Văn Cường</t>
  </si>
  <si>
    <t>Nguyễn Thế Hùng</t>
  </si>
  <si>
    <t>Quách Văn Thường</t>
  </si>
  <si>
    <t>Lê Văn Luận</t>
  </si>
  <si>
    <t>Bộ phận Dây chuyền gia công và Lò nung</t>
  </si>
  <si>
    <t>Phạm Văn Toản</t>
  </si>
  <si>
    <t>Lê Duy Hùng</t>
  </si>
  <si>
    <t>Trương Quốc Cường</t>
  </si>
  <si>
    <t>Cao Văn Tân</t>
  </si>
  <si>
    <t>Lê Đình Lâm</t>
  </si>
  <si>
    <t>Lê Hữu Thanh</t>
  </si>
  <si>
    <t>Đỗ Đình Bình</t>
  </si>
  <si>
    <t>Nguyễn Văn Hoàn</t>
  </si>
  <si>
    <t>Lê Nhữ Thắng</t>
  </si>
  <si>
    <t>Lê Huy Thái</t>
  </si>
  <si>
    <t>Lê Văn Huynh</t>
  </si>
  <si>
    <t>Vũ Đức Tài</t>
  </si>
  <si>
    <t>Lê Văn Trọn</t>
  </si>
  <si>
    <t>Hà Văn Lực</t>
  </si>
  <si>
    <t>Lê Văn Khoa</t>
  </si>
  <si>
    <t>Lê Đình Huy</t>
  </si>
  <si>
    <t>Nguyễn Trọng Đề</t>
  </si>
  <si>
    <t>Lê Trọng Hoài</t>
  </si>
  <si>
    <t>Lê Văn Thông</t>
  </si>
  <si>
    <t>Lê Minh Chung</t>
  </si>
  <si>
    <t>Hoàng Khắc Trường</t>
  </si>
  <si>
    <t>Đỗ Văn Cương</t>
  </si>
  <si>
    <t>Đào Quang Hiếu</t>
  </si>
  <si>
    <t>Hoàng Khắc Cảnh</t>
  </si>
  <si>
    <t>Lê Thế Minh</t>
  </si>
  <si>
    <t>Đàm Lê Lực</t>
  </si>
  <si>
    <t>Trần Văn Hệ</t>
  </si>
  <si>
    <t>Lưu Trọng Hải</t>
  </si>
  <si>
    <t>Đỗ Văn Thắng</t>
  </si>
  <si>
    <t>Lê Ngọc Quỳnh</t>
  </si>
  <si>
    <t>Lê Thanh Vân</t>
  </si>
  <si>
    <t>Bùi Sỹ Hải</t>
  </si>
  <si>
    <t>Mạc Anh Tuấn</t>
  </si>
  <si>
    <t>Bộ phận Mài và Đóng hộp</t>
  </si>
  <si>
    <t>Phạm Thanh Hải</t>
  </si>
  <si>
    <t>Lại Văn Linh</t>
  </si>
  <si>
    <t>Trần Kim Vụ</t>
  </si>
  <si>
    <t>Hoàng Đình Bảy</t>
  </si>
  <si>
    <t>Trương Văn Quang</t>
  </si>
  <si>
    <t>Nguyễn Trọng Thức</t>
  </si>
  <si>
    <t xml:space="preserve">Nguyễn Duy Xuân </t>
  </si>
  <si>
    <t>Phạm Văn Thanh</t>
  </si>
  <si>
    <t>Viên Trịnh Hà</t>
  </si>
  <si>
    <t>Lê Xuân Linh</t>
  </si>
  <si>
    <t>Phạm Khắc Sỹ</t>
  </si>
  <si>
    <t>Lê Công Thao</t>
  </si>
  <si>
    <t>Viên Đình Thống</t>
  </si>
  <si>
    <t>Mai Văn Chung</t>
  </si>
  <si>
    <t>Hoàng Đình Anh</t>
  </si>
  <si>
    <t>Nguyễn Kiên Cường</t>
  </si>
  <si>
    <t>Lê Công Dũng</t>
  </si>
  <si>
    <t>Hoàng Văn Cơ</t>
  </si>
  <si>
    <t>Trương Văn Nam</t>
  </si>
  <si>
    <t>Phạm Khắc Thành</t>
  </si>
  <si>
    <t>Nguyễn Văn Mạnh</t>
  </si>
  <si>
    <t>Lường Văn Tùng</t>
  </si>
  <si>
    <t>Mai Xuân Tân</t>
  </si>
  <si>
    <t>Hoàng Văn Toàn</t>
  </si>
  <si>
    <t>Lê Mai Tuấn</t>
  </si>
  <si>
    <t>Nguyễn Ngọc Minh Khánh</t>
  </si>
  <si>
    <t>Viên Đình Định</t>
  </si>
  <si>
    <t>Nguyễn Trọng Tiến</t>
  </si>
  <si>
    <t>Đoàn Văn Tùng</t>
  </si>
  <si>
    <t>Nguyễn Trọng Tình</t>
  </si>
  <si>
    <t>Nguyễn Thị Hoài Thu</t>
  </si>
  <si>
    <t>Trịnh Thị Hoa</t>
  </si>
  <si>
    <t>Nguyễn Xuân Oánh</t>
  </si>
  <si>
    <t>Trịnh Văn Trọng</t>
  </si>
  <si>
    <t>Lê Thị Hợi</t>
  </si>
  <si>
    <t>Nguyễn Sĩ Sáu</t>
  </si>
  <si>
    <t>Lê Sĩ Đức</t>
  </si>
  <si>
    <t>Lê Kiên Quyết</t>
  </si>
  <si>
    <t>Nguyễn Công Hòa</t>
  </si>
  <si>
    <t>Lê Xuân Tính</t>
  </si>
  <si>
    <t>Nguyễn Thị Tầm</t>
  </si>
  <si>
    <t>Nguyễn Văn Duy</t>
  </si>
  <si>
    <t>Nguyễn Viết Linh</t>
  </si>
  <si>
    <t>Nguyễn Thị Hằng</t>
  </si>
  <si>
    <t>Ngô Minh Hải</t>
  </si>
  <si>
    <t>Lê Văn Kiên</t>
  </si>
  <si>
    <t>Lê Thị Dịu</t>
  </si>
  <si>
    <t>Trần Quốc Trung</t>
  </si>
  <si>
    <t>Nguyễn Văn Cảnh</t>
  </si>
  <si>
    <t>Phạm Văn Sơn</t>
  </si>
  <si>
    <t>Hoàng Nam</t>
  </si>
  <si>
    <t>Đỗ Ngọc Đức</t>
  </si>
  <si>
    <t>Ngô Công Tám</t>
  </si>
  <si>
    <t>Phạm Viết Chung</t>
  </si>
  <si>
    <t>Lê Đồng Việt</t>
  </si>
  <si>
    <t>Đỗ Đăng Long</t>
  </si>
  <si>
    <t>Vương Công Lưu</t>
  </si>
  <si>
    <t>Hoàng Khắc Thương</t>
  </si>
  <si>
    <t>Nguyễn Văn Xuân</t>
  </si>
  <si>
    <t>Nguyễn Văn Triệu</t>
  </si>
  <si>
    <t>Trịnh Cử Long</t>
  </si>
  <si>
    <t>Nguyễn Quang Thịnh</t>
  </si>
  <si>
    <t>Bộ phận Nguyên liệu và Dây chuyền gia công</t>
  </si>
  <si>
    <t>Lê Đình Bắc</t>
  </si>
  <si>
    <t>Nghiền - Sấy phun Ca A - DC5</t>
  </si>
  <si>
    <t>Lê Đình Tâm</t>
  </si>
  <si>
    <t>Lê Duy Việt</t>
  </si>
  <si>
    <t>Hà Minh Ngọc</t>
  </si>
  <si>
    <t>Nguyễn Vũ Minh</t>
  </si>
  <si>
    <t>Nguyễn Văn Giáp</t>
  </si>
  <si>
    <t>Nguyễn Văn Quang</t>
  </si>
  <si>
    <t>Lê Thiên Thanh</t>
  </si>
  <si>
    <t>Nghiền - Sấy phun Ca B - DC5</t>
  </si>
  <si>
    <t>Bùi Văn Công</t>
  </si>
  <si>
    <t>Lê Hữu Quyền</t>
  </si>
  <si>
    <t>Hoàng Khắc Hùng</t>
  </si>
  <si>
    <t>Trần Kim Năm</t>
  </si>
  <si>
    <t>Hoàng Văn Đông</t>
  </si>
  <si>
    <t>Nguyễn Thế Tài</t>
  </si>
  <si>
    <t>Nghiền - Sấy phun Ca A - DC6</t>
  </si>
  <si>
    <t>Đỗ Như Giang</t>
  </si>
  <si>
    <t>Hoàng Văn Hùng</t>
  </si>
  <si>
    <t>Lê Hữu An</t>
  </si>
  <si>
    <t>Trương Đình Huấn</t>
  </si>
  <si>
    <t>Nghiền - Sấy phun Ca B - DC6</t>
  </si>
  <si>
    <t>Bùi Công Thạch</t>
  </si>
  <si>
    <t>Lê Văn Lực</t>
  </si>
  <si>
    <t>Nguyễn Văn Tình</t>
  </si>
  <si>
    <t>Phạm Hữu Tạo</t>
  </si>
  <si>
    <t>Nguyễn Đức Toán</t>
  </si>
  <si>
    <t>Phạm Duy Thiết</t>
  </si>
  <si>
    <t>Lê Xuân Bắc</t>
  </si>
  <si>
    <t>Nguyễn Văn Thủy</t>
  </si>
  <si>
    <t>Trịnh Sỹ Chắn</t>
  </si>
  <si>
    <t>Lê Anh Quang</t>
  </si>
  <si>
    <t>Trương Quốc Thịnh</t>
  </si>
  <si>
    <t>Lê Ngọc Hiếu</t>
  </si>
  <si>
    <t>Nguyễn Văn Nam</t>
  </si>
  <si>
    <t>Vũ Thành Hơn</t>
  </si>
  <si>
    <t>Văn Doãn Thuận</t>
  </si>
  <si>
    <t>Bộ phận Trạm than và Lò nung</t>
  </si>
  <si>
    <t>Nguyễn Thương Huyền</t>
  </si>
  <si>
    <t>Lò nung - Đóng hộp Ca A</t>
  </si>
  <si>
    <t>Trần Văn Trọng</t>
  </si>
  <si>
    <t>Lê Văn Vũ</t>
  </si>
  <si>
    <t>Nguyễn Thái Thuận</t>
  </si>
  <si>
    <t>Trần Văn Thu</t>
  </si>
  <si>
    <t>Trịnh Thị Thư</t>
  </si>
  <si>
    <t>Lê Đức Dự</t>
  </si>
  <si>
    <t>Nguyễn Thị Ngân</t>
  </si>
  <si>
    <t>Lò nung - Đóng hộp Ca B</t>
  </si>
  <si>
    <t>Phạm Văn Chiến</t>
  </si>
  <si>
    <t>Lê Đình Thanh</t>
  </si>
  <si>
    <t>Nguyễn Trọng Sưởng</t>
  </si>
  <si>
    <t>Lê Văn Hà</t>
  </si>
  <si>
    <t>Phạm Thị Lê</t>
  </si>
  <si>
    <t>Lê Trí Tư</t>
  </si>
  <si>
    <t>Đỗ Trung Sơn</t>
  </si>
  <si>
    <t>Trần Văn Tưởng</t>
  </si>
  <si>
    <t>Đỗ Văn Cự</t>
  </si>
  <si>
    <t>Phạm Văn Quân</t>
  </si>
  <si>
    <t>Đỗ Văn Năm</t>
  </si>
  <si>
    <t>Lê Văn Hiếu</t>
  </si>
  <si>
    <t>Lê Gia Đăng</t>
  </si>
  <si>
    <t>Đặng Minh Hải</t>
  </si>
  <si>
    <t>Cao Văn Hoàng</t>
  </si>
  <si>
    <t>Nguyễn Xuân Cấp</t>
  </si>
  <si>
    <t>Hoàng Bùi Tuyên</t>
  </si>
  <si>
    <t>Vũ Văn Hanh</t>
  </si>
  <si>
    <t>Nhóm Hậu cần nội vụ PXSX2</t>
  </si>
  <si>
    <t>Lê Hữu Thiết</t>
  </si>
  <si>
    <t>Phùng Văn Dũng</t>
  </si>
  <si>
    <t>Đỗ Đức Hà</t>
  </si>
  <si>
    <t>Trần Văn Đức</t>
  </si>
  <si>
    <t>Lê Thị Ánh</t>
  </si>
  <si>
    <t>Phân xưởng sản xuất bao bì</t>
  </si>
  <si>
    <t>Đào Thị Hoa</t>
  </si>
  <si>
    <t>Lê Duy Hiền</t>
  </si>
  <si>
    <t>Lê Văn Hiệp</t>
  </si>
  <si>
    <t>Đinh Xuân Lộc</t>
  </si>
  <si>
    <t>Đỗ Văn Hùng</t>
  </si>
  <si>
    <t>Lê Văn Thúy</t>
  </si>
  <si>
    <t>Tống Ngọc Liên</t>
  </si>
  <si>
    <t>Lê Văn Minh</t>
  </si>
  <si>
    <t>Nguyễn Ngọc Vũ</t>
  </si>
  <si>
    <t>Lê Hữu Tuấn</t>
  </si>
  <si>
    <t>Hoàng Văn Yên</t>
  </si>
  <si>
    <t>Hoàng Văn Thủy</t>
  </si>
  <si>
    <t>Đàm Khắc Nghị</t>
  </si>
  <si>
    <t>Nguyễn Văn Thanh</t>
  </si>
  <si>
    <t>Nguyễn Văn Hiếu</t>
  </si>
  <si>
    <t>Ngũ Thị Thu Phương</t>
  </si>
  <si>
    <t>Lê Thị Huê</t>
  </si>
  <si>
    <t>Đỗ Xuân Hùng</t>
  </si>
  <si>
    <t>Nguyễn Văn Quân</t>
  </si>
  <si>
    <t>Lê Hữu Việt</t>
  </si>
  <si>
    <t>Nguyễn Văn Toàn</t>
  </si>
  <si>
    <t>Quản lý - Kỹ thuật</t>
  </si>
  <si>
    <t>Lê Xuân Long</t>
  </si>
  <si>
    <t>Phạm Văn Hưng</t>
  </si>
  <si>
    <t>Lê Như An</t>
  </si>
  <si>
    <t>Lê Trọng Khánh</t>
  </si>
  <si>
    <t>Nguyễn Trung Phương</t>
  </si>
  <si>
    <t>Bảo dưỡng Dây chuyền mài PXSX2</t>
  </si>
  <si>
    <t>Trần Minh Thế</t>
  </si>
  <si>
    <t>Nguyễn Trọng Duân</t>
  </si>
  <si>
    <t>Trần Thanh Hải</t>
  </si>
  <si>
    <t>Trần Bá Toàn</t>
  </si>
  <si>
    <t>Hoàng Sĩ Miên</t>
  </si>
  <si>
    <t>Lê Khắc Lương</t>
  </si>
  <si>
    <t>Cơ điện hành chính - DC5</t>
  </si>
  <si>
    <t>Lê Văn Đại</t>
  </si>
  <si>
    <t>Doãn Quốc Mẹo</t>
  </si>
  <si>
    <t>Nguyễn Văn Trường</t>
  </si>
  <si>
    <t>Hoàng Văn Thắng</t>
  </si>
  <si>
    <t>Lê Trung Nguyên</t>
  </si>
  <si>
    <t>Lê Đình Quyền</t>
  </si>
  <si>
    <t>Đỗ Văn Dũng</t>
  </si>
  <si>
    <t>Nguyễn Thắng Thịnh</t>
  </si>
  <si>
    <t>Cơ điện Ca A - DC5</t>
  </si>
  <si>
    <t>Trịnh Quang Ngọc</t>
  </si>
  <si>
    <t>Mai Anh Đức</t>
  </si>
  <si>
    <t>Trần Minh Công</t>
  </si>
  <si>
    <t>Cơ điện Ca B - DC5</t>
  </si>
  <si>
    <t>Lê Viết Lượng</t>
  </si>
  <si>
    <t>Trần Xuân Long Vũ</t>
  </si>
  <si>
    <t>Cơ điện hành chính - DC6</t>
  </si>
  <si>
    <t>Nguyễn Huy Công</t>
  </si>
  <si>
    <t>Hoàng Văn Vũ</t>
  </si>
  <si>
    <t>Lê Bật Nam</t>
  </si>
  <si>
    <t>Nguyễn Doãn Nghiêm</t>
  </si>
  <si>
    <t>Cơ điện Ca A - DC6</t>
  </si>
  <si>
    <t>Dương Văn Lý</t>
  </si>
  <si>
    <t xml:space="preserve">Phan Đình Văn </t>
  </si>
  <si>
    <t>Cơ điện Ca B - DC6</t>
  </si>
  <si>
    <t>Phạm Hồng Phong</t>
  </si>
  <si>
    <t>Vũ Đình Hoàng</t>
  </si>
  <si>
    <t>Công nghệ</t>
  </si>
  <si>
    <t>Trần Tiến Dũng</t>
  </si>
  <si>
    <t>Đoàn Ngọc Toàn</t>
  </si>
  <si>
    <t>Lê Kim Tùng</t>
  </si>
  <si>
    <t>Tào Văn Đạt</t>
  </si>
  <si>
    <t>Phạm Việt Anh</t>
  </si>
  <si>
    <t>Nguyễn Văn Tân</t>
  </si>
  <si>
    <t>Cơ lý đi ca</t>
  </si>
  <si>
    <t>Nguyễn Ngọc Quyền</t>
  </si>
  <si>
    <t>Nguyễn Đức Hải</t>
  </si>
  <si>
    <t>Lê Văn Linh</t>
  </si>
  <si>
    <t>Tổ nghiền men PXSX2</t>
  </si>
  <si>
    <t>Hoàng Văn Biên</t>
  </si>
  <si>
    <t>Bùi Công Thủy</t>
  </si>
  <si>
    <t>Nguyễn Văn Tùng</t>
  </si>
  <si>
    <t>Lê Duy Nguyên</t>
  </si>
  <si>
    <t>Lê Ngọc Toàn</t>
  </si>
  <si>
    <t>Phó bộ phận PXSX2</t>
  </si>
  <si>
    <t>Nguyễn Văn Duẩn</t>
  </si>
  <si>
    <t>Phạm Đức Mạnh</t>
  </si>
  <si>
    <t>Lê Viết Trung</t>
  </si>
  <si>
    <t>Nguyễn Trung Kiên</t>
  </si>
  <si>
    <t>Đặng Viết Xứng</t>
  </si>
  <si>
    <t>Phan Văn Thắng</t>
  </si>
  <si>
    <t>Test mẫu PXSX2</t>
  </si>
  <si>
    <t>Vũ Đức Cường</t>
  </si>
  <si>
    <t>Lưu Đăng Khoa</t>
  </si>
  <si>
    <t>Nguyễn Sỹ Tư</t>
  </si>
  <si>
    <t>Lê Ngọc Minh</t>
  </si>
  <si>
    <t>Bảng tổng hợp danh sách nhân sự - 2025</t>
  </si>
  <si>
    <t>TH</t>
  </si>
  <si>
    <t>Chức vụ</t>
  </si>
  <si>
    <t>Mã nhân viên</t>
  </si>
  <si>
    <t xml:space="preserve">Họ tên </t>
  </si>
  <si>
    <t>Giới tính</t>
  </si>
  <si>
    <t>Ngày/ tháng/năm sinh</t>
  </si>
  <si>
    <t>Địa chỉ</t>
  </si>
  <si>
    <t>Số điện thoại</t>
  </si>
  <si>
    <t>Số CCCD</t>
  </si>
  <si>
    <t>Trình độ</t>
  </si>
  <si>
    <t>Chuyên môn</t>
  </si>
  <si>
    <t>Ngày thử việc</t>
  </si>
  <si>
    <t>Ngày chính thức</t>
  </si>
  <si>
    <t>Loại hợp đồng</t>
  </si>
  <si>
    <t>Kênh tuyển dụng</t>
  </si>
  <si>
    <t>Trạng thái làm việc (Làm việc và nghỉ việc)</t>
  </si>
  <si>
    <t>Thâm niên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</si>
</sst>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d&quot;/&quot;mm&quot;/&quot;yyyy"/>
    <numFmt numFmtId="167" formatCode="00#"/>
    <numFmt numFmtId="168" formatCode="d.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FF0000"/>
      <name val="Arial"/>
      <scheme val="minor"/>
    </font>
    <font/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color rgb="FF5B0F00"/>
      <name val="Arial"/>
      <scheme val="minor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shrinkToFit="0" vertical="center" wrapText="1"/>
    </xf>
    <xf borderId="4" fillId="4" fontId="6" numFmtId="49" xfId="0" applyAlignment="1" applyBorder="1" applyFont="1" applyNumberFormat="1">
      <alignment horizontal="center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1" numFmtId="0" xfId="0" applyFont="1"/>
    <xf borderId="0" fillId="0" fontId="1" numFmtId="49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38"/>
    <col customWidth="1" min="3" max="3" width="11.63"/>
    <col customWidth="1" min="4" max="4" width="19.63"/>
    <col customWidth="1" min="5" max="5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1" t="s">
        <v>5</v>
      </c>
      <c r="B3" s="1" t="s">
        <v>6</v>
      </c>
      <c r="C3" s="2"/>
      <c r="D3" s="1" t="s">
        <v>7</v>
      </c>
      <c r="E3" s="1" t="s">
        <v>8</v>
      </c>
    </row>
    <row r="4">
      <c r="A4" s="1" t="s">
        <v>5</v>
      </c>
      <c r="B4" s="1" t="s">
        <v>6</v>
      </c>
      <c r="C4" s="1">
        <v>65.0</v>
      </c>
      <c r="D4" s="1" t="s">
        <v>9</v>
      </c>
      <c r="E4" s="1" t="s">
        <v>8</v>
      </c>
    </row>
    <row r="5">
      <c r="A5" s="1" t="s">
        <v>5</v>
      </c>
      <c r="B5" s="1" t="s">
        <v>6</v>
      </c>
      <c r="C5" s="1">
        <v>2.0</v>
      </c>
      <c r="D5" s="1" t="s">
        <v>10</v>
      </c>
      <c r="E5" s="1" t="s">
        <v>8</v>
      </c>
    </row>
    <row r="6">
      <c r="A6" s="1" t="s">
        <v>5</v>
      </c>
      <c r="B6" s="1" t="s">
        <v>6</v>
      </c>
      <c r="C6" s="1">
        <v>45.0</v>
      </c>
      <c r="D6" s="1" t="s">
        <v>11</v>
      </c>
      <c r="E6" s="1" t="s">
        <v>12</v>
      </c>
    </row>
    <row r="7">
      <c r="A7" s="1" t="s">
        <v>5</v>
      </c>
      <c r="B7" s="1" t="s">
        <v>6</v>
      </c>
      <c r="C7" s="1">
        <v>742.0</v>
      </c>
      <c r="D7" s="1" t="s">
        <v>13</v>
      </c>
      <c r="E7" s="1" t="s">
        <v>12</v>
      </c>
    </row>
    <row r="8">
      <c r="A8" s="1" t="s">
        <v>5</v>
      </c>
      <c r="B8" s="1" t="s">
        <v>6</v>
      </c>
      <c r="C8" s="1">
        <v>750.0</v>
      </c>
      <c r="D8" s="1" t="s">
        <v>14</v>
      </c>
      <c r="E8" s="1" t="s">
        <v>15</v>
      </c>
    </row>
    <row r="9">
      <c r="A9" s="1" t="s">
        <v>5</v>
      </c>
      <c r="B9" s="1" t="s">
        <v>6</v>
      </c>
      <c r="C9" s="1">
        <v>741.0</v>
      </c>
      <c r="D9" s="1" t="s">
        <v>16</v>
      </c>
      <c r="E9" s="1" t="s">
        <v>15</v>
      </c>
    </row>
    <row r="10">
      <c r="A10" s="1" t="s">
        <v>5</v>
      </c>
      <c r="B10" s="1" t="s">
        <v>6</v>
      </c>
      <c r="C10" s="1">
        <v>908.0</v>
      </c>
      <c r="D10" s="1" t="s">
        <v>17</v>
      </c>
      <c r="E10" s="1" t="s">
        <v>15</v>
      </c>
    </row>
    <row r="11">
      <c r="A11" s="1" t="s">
        <v>5</v>
      </c>
      <c r="B11" s="1" t="s">
        <v>6</v>
      </c>
      <c r="C11" s="2"/>
      <c r="D11" s="1" t="s">
        <v>18</v>
      </c>
      <c r="E11" s="1" t="s">
        <v>19</v>
      </c>
    </row>
    <row r="12">
      <c r="A12" s="1" t="s">
        <v>5</v>
      </c>
      <c r="B12" s="1" t="s">
        <v>6</v>
      </c>
      <c r="C12" s="2"/>
      <c r="D12" s="1" t="s">
        <v>20</v>
      </c>
      <c r="E12" s="1" t="s">
        <v>19</v>
      </c>
    </row>
    <row r="13">
      <c r="A13" s="1" t="s">
        <v>5</v>
      </c>
      <c r="B13" s="1" t="s">
        <v>6</v>
      </c>
      <c r="C13" s="2"/>
      <c r="D13" s="1" t="s">
        <v>21</v>
      </c>
      <c r="E13" s="1" t="s">
        <v>19</v>
      </c>
    </row>
    <row r="14">
      <c r="A14" s="1" t="s">
        <v>5</v>
      </c>
      <c r="B14" s="1" t="s">
        <v>6</v>
      </c>
      <c r="C14" s="2"/>
      <c r="D14" s="1" t="s">
        <v>22</v>
      </c>
      <c r="E14" s="1" t="s">
        <v>19</v>
      </c>
    </row>
    <row r="15">
      <c r="A15" s="1" t="s">
        <v>5</v>
      </c>
      <c r="B15" s="1" t="s">
        <v>6</v>
      </c>
      <c r="C15" s="2"/>
      <c r="D15" s="1" t="s">
        <v>23</v>
      </c>
      <c r="E15" s="1" t="s">
        <v>19</v>
      </c>
    </row>
    <row r="16">
      <c r="A16" s="1" t="s">
        <v>5</v>
      </c>
      <c r="B16" s="1" t="s">
        <v>6</v>
      </c>
      <c r="C16" s="2"/>
      <c r="D16" s="1" t="s">
        <v>24</v>
      </c>
      <c r="E16" s="1" t="s">
        <v>19</v>
      </c>
    </row>
    <row r="17">
      <c r="A17" s="1" t="s">
        <v>5</v>
      </c>
      <c r="B17" s="1" t="s">
        <v>6</v>
      </c>
      <c r="C17" s="2"/>
      <c r="D17" s="1" t="s">
        <v>25</v>
      </c>
      <c r="E17" s="1" t="s">
        <v>19</v>
      </c>
    </row>
    <row r="18">
      <c r="A18" s="1" t="s">
        <v>5</v>
      </c>
      <c r="B18" s="1" t="s">
        <v>6</v>
      </c>
      <c r="C18" s="1">
        <v>44.0</v>
      </c>
      <c r="D18" s="1" t="s">
        <v>26</v>
      </c>
      <c r="E18" s="1" t="s">
        <v>27</v>
      </c>
    </row>
    <row r="19">
      <c r="A19" s="1" t="s">
        <v>5</v>
      </c>
      <c r="B19" s="1" t="s">
        <v>6</v>
      </c>
      <c r="C19" s="1">
        <v>25.0</v>
      </c>
      <c r="D19" s="1" t="s">
        <v>28</v>
      </c>
      <c r="E19" s="1" t="s">
        <v>27</v>
      </c>
    </row>
    <row r="20">
      <c r="A20" s="1" t="s">
        <v>5</v>
      </c>
      <c r="B20" s="1" t="s">
        <v>6</v>
      </c>
      <c r="C20" s="1">
        <v>24.0</v>
      </c>
      <c r="D20" s="1" t="s">
        <v>29</v>
      </c>
      <c r="E20" s="1" t="s">
        <v>27</v>
      </c>
    </row>
    <row r="21">
      <c r="A21" s="1" t="s">
        <v>5</v>
      </c>
      <c r="B21" s="1" t="s">
        <v>6</v>
      </c>
      <c r="C21" s="1">
        <v>749.0</v>
      </c>
      <c r="D21" s="1" t="s">
        <v>30</v>
      </c>
      <c r="E21" s="1" t="s">
        <v>27</v>
      </c>
    </row>
    <row r="22">
      <c r="A22" s="1" t="s">
        <v>5</v>
      </c>
      <c r="B22" s="1" t="s">
        <v>6</v>
      </c>
      <c r="C22" s="1">
        <v>26.0</v>
      </c>
      <c r="D22" s="1" t="s">
        <v>31</v>
      </c>
      <c r="E22" s="1" t="s">
        <v>27</v>
      </c>
    </row>
    <row r="23">
      <c r="A23" s="1" t="s">
        <v>5</v>
      </c>
      <c r="B23" s="1" t="s">
        <v>6</v>
      </c>
      <c r="C23" s="1">
        <v>27.0</v>
      </c>
      <c r="D23" s="1" t="s">
        <v>32</v>
      </c>
      <c r="E23" s="1" t="s">
        <v>27</v>
      </c>
    </row>
    <row r="24">
      <c r="A24" s="1" t="s">
        <v>5</v>
      </c>
      <c r="B24" s="1" t="s">
        <v>6</v>
      </c>
      <c r="C24" s="1">
        <v>17.0</v>
      </c>
      <c r="D24" s="1" t="s">
        <v>33</v>
      </c>
      <c r="E24" s="1" t="s">
        <v>27</v>
      </c>
    </row>
    <row r="25">
      <c r="A25" s="1" t="s">
        <v>5</v>
      </c>
      <c r="B25" s="1" t="s">
        <v>6</v>
      </c>
      <c r="C25" s="1">
        <v>33.0</v>
      </c>
      <c r="D25" s="1" t="s">
        <v>34</v>
      </c>
      <c r="E25" s="1" t="s">
        <v>27</v>
      </c>
    </row>
    <row r="26">
      <c r="A26" s="1" t="s">
        <v>5</v>
      </c>
      <c r="B26" s="1" t="s">
        <v>6</v>
      </c>
      <c r="C26" s="1">
        <v>1283.0</v>
      </c>
      <c r="D26" s="1" t="s">
        <v>35</v>
      </c>
      <c r="E26" s="1" t="s">
        <v>27</v>
      </c>
    </row>
    <row r="27">
      <c r="A27" s="1" t="s">
        <v>5</v>
      </c>
      <c r="B27" s="1" t="s">
        <v>6</v>
      </c>
      <c r="C27" s="1">
        <v>18.0</v>
      </c>
      <c r="D27" s="1" t="s">
        <v>36</v>
      </c>
      <c r="E27" s="1" t="s">
        <v>37</v>
      </c>
    </row>
    <row r="28">
      <c r="A28" s="1" t="s">
        <v>5</v>
      </c>
      <c r="B28" s="1" t="s">
        <v>6</v>
      </c>
      <c r="C28" s="3">
        <v>20.0</v>
      </c>
      <c r="D28" s="1" t="s">
        <v>38</v>
      </c>
      <c r="E28" s="1" t="s">
        <v>37</v>
      </c>
    </row>
    <row r="29">
      <c r="A29" s="1" t="s">
        <v>5</v>
      </c>
      <c r="B29" s="1" t="s">
        <v>6</v>
      </c>
      <c r="C29" s="3">
        <v>914.0</v>
      </c>
      <c r="D29" s="1" t="s">
        <v>39</v>
      </c>
      <c r="E29" s="1" t="s">
        <v>37</v>
      </c>
    </row>
    <row r="30">
      <c r="A30" s="1" t="s">
        <v>5</v>
      </c>
      <c r="B30" s="1" t="s">
        <v>6</v>
      </c>
      <c r="C30" s="1">
        <v>1188.0</v>
      </c>
      <c r="D30" s="1" t="s">
        <v>40</v>
      </c>
      <c r="E30" s="1" t="s">
        <v>37</v>
      </c>
    </row>
    <row r="31">
      <c r="A31" s="2"/>
      <c r="B31" s="2"/>
      <c r="C31" s="2"/>
      <c r="D31" s="2"/>
      <c r="E31" s="2"/>
    </row>
    <row r="32">
      <c r="A32" s="1" t="s">
        <v>5</v>
      </c>
      <c r="B32" s="1" t="s">
        <v>41</v>
      </c>
      <c r="C32" s="1">
        <v>53.0</v>
      </c>
      <c r="D32" s="1" t="s">
        <v>42</v>
      </c>
      <c r="E32" s="1" t="s">
        <v>43</v>
      </c>
    </row>
    <row r="33">
      <c r="A33" s="1" t="s">
        <v>5</v>
      </c>
      <c r="B33" s="1" t="s">
        <v>41</v>
      </c>
      <c r="C33" s="1">
        <v>12.0</v>
      </c>
      <c r="D33" s="1" t="s">
        <v>44</v>
      </c>
      <c r="E33" s="1" t="s">
        <v>43</v>
      </c>
    </row>
    <row r="34">
      <c r="A34" s="1" t="s">
        <v>5</v>
      </c>
      <c r="B34" s="1" t="s">
        <v>41</v>
      </c>
      <c r="C34" s="1">
        <v>14.0</v>
      </c>
      <c r="D34" s="1" t="s">
        <v>45</v>
      </c>
      <c r="E34" s="1" t="s">
        <v>43</v>
      </c>
    </row>
    <row r="35">
      <c r="A35" s="1" t="s">
        <v>5</v>
      </c>
      <c r="B35" s="1" t="s">
        <v>41</v>
      </c>
      <c r="C35" s="1">
        <v>15.0</v>
      </c>
      <c r="D35" s="1" t="s">
        <v>46</v>
      </c>
      <c r="E35" s="1" t="s">
        <v>43</v>
      </c>
    </row>
    <row r="36">
      <c r="A36" s="1" t="s">
        <v>5</v>
      </c>
      <c r="B36" s="1" t="s">
        <v>41</v>
      </c>
      <c r="C36" s="1">
        <v>21.0</v>
      </c>
      <c r="D36" s="1" t="s">
        <v>47</v>
      </c>
      <c r="E36" s="1" t="s">
        <v>48</v>
      </c>
    </row>
    <row r="37">
      <c r="A37" s="1" t="s">
        <v>5</v>
      </c>
      <c r="B37" s="1" t="s">
        <v>41</v>
      </c>
      <c r="C37" s="1">
        <v>636.0</v>
      </c>
      <c r="D37" s="1" t="s">
        <v>49</v>
      </c>
      <c r="E37" s="1" t="s">
        <v>48</v>
      </c>
    </row>
    <row r="38">
      <c r="A38" s="1" t="s">
        <v>5</v>
      </c>
      <c r="B38" s="1" t="s">
        <v>41</v>
      </c>
      <c r="C38" s="1">
        <v>808.0</v>
      </c>
      <c r="D38" s="1" t="s">
        <v>50</v>
      </c>
      <c r="E38" s="1" t="s">
        <v>48</v>
      </c>
    </row>
    <row r="39">
      <c r="A39" s="1" t="s">
        <v>5</v>
      </c>
      <c r="B39" s="1" t="s">
        <v>41</v>
      </c>
      <c r="C39" s="3">
        <v>55.0</v>
      </c>
      <c r="D39" s="1" t="s">
        <v>51</v>
      </c>
      <c r="E39" s="1" t="s">
        <v>48</v>
      </c>
    </row>
    <row r="40">
      <c r="A40" s="1" t="s">
        <v>5</v>
      </c>
      <c r="B40" s="1" t="s">
        <v>41</v>
      </c>
      <c r="C40" s="3">
        <v>165.0</v>
      </c>
      <c r="D40" s="1" t="s">
        <v>52</v>
      </c>
      <c r="E40" s="1" t="s">
        <v>48</v>
      </c>
    </row>
    <row r="41">
      <c r="A41" s="1" t="s">
        <v>5</v>
      </c>
      <c r="B41" s="1" t="s">
        <v>41</v>
      </c>
      <c r="C41" s="1">
        <v>81.0</v>
      </c>
      <c r="D41" s="1" t="s">
        <v>53</v>
      </c>
      <c r="E41" s="1" t="s">
        <v>48</v>
      </c>
    </row>
    <row r="42">
      <c r="A42" s="2"/>
      <c r="B42" s="2"/>
      <c r="C42" s="2"/>
      <c r="D42" s="2"/>
      <c r="E42" s="2"/>
    </row>
    <row r="43">
      <c r="A43" s="1" t="s">
        <v>5</v>
      </c>
      <c r="B43" s="1" t="s">
        <v>54</v>
      </c>
      <c r="C43" s="2"/>
      <c r="D43" s="1" t="s">
        <v>55</v>
      </c>
      <c r="E43" s="1" t="s">
        <v>56</v>
      </c>
    </row>
    <row r="44">
      <c r="A44" s="1" t="s">
        <v>5</v>
      </c>
      <c r="B44" s="1" t="s">
        <v>54</v>
      </c>
      <c r="D44" s="1" t="s">
        <v>57</v>
      </c>
      <c r="E44" s="1" t="s">
        <v>56</v>
      </c>
    </row>
    <row r="45">
      <c r="A45" s="1" t="s">
        <v>5</v>
      </c>
      <c r="B45" s="1" t="s">
        <v>54</v>
      </c>
      <c r="C45" s="3">
        <v>6.0</v>
      </c>
      <c r="D45" s="1" t="s">
        <v>58</v>
      </c>
      <c r="E45" s="1" t="s">
        <v>56</v>
      </c>
    </row>
    <row r="46">
      <c r="A46" s="2"/>
      <c r="B46" s="2"/>
      <c r="C46" s="2"/>
      <c r="D46" s="2"/>
      <c r="E46" s="2"/>
    </row>
    <row r="47">
      <c r="A47" s="1" t="s">
        <v>5</v>
      </c>
      <c r="B47" s="1" t="s">
        <v>59</v>
      </c>
      <c r="C47" s="1">
        <v>49.0</v>
      </c>
      <c r="D47" s="1" t="s">
        <v>60</v>
      </c>
      <c r="E47" s="1" t="s">
        <v>56</v>
      </c>
    </row>
    <row r="48">
      <c r="A48" s="1" t="s">
        <v>5</v>
      </c>
      <c r="B48" s="1" t="s">
        <v>59</v>
      </c>
      <c r="C48" s="2"/>
      <c r="D48" s="1" t="s">
        <v>61</v>
      </c>
      <c r="E48" s="1" t="s">
        <v>56</v>
      </c>
    </row>
    <row r="49">
      <c r="A49" s="1" t="s">
        <v>5</v>
      </c>
      <c r="B49" s="1" t="s">
        <v>59</v>
      </c>
      <c r="C49" s="1">
        <v>668.0</v>
      </c>
      <c r="D49" s="1" t="s">
        <v>62</v>
      </c>
      <c r="E49" s="1" t="s">
        <v>56</v>
      </c>
    </row>
    <row r="50">
      <c r="A50" s="1" t="s">
        <v>5</v>
      </c>
      <c r="B50" s="1" t="s">
        <v>59</v>
      </c>
      <c r="C50" s="1">
        <v>678.0</v>
      </c>
      <c r="D50" s="1" t="s">
        <v>63</v>
      </c>
      <c r="E50" s="1" t="s">
        <v>56</v>
      </c>
    </row>
    <row r="51">
      <c r="A51" s="1" t="s">
        <v>5</v>
      </c>
      <c r="B51" s="1" t="s">
        <v>59</v>
      </c>
      <c r="C51" s="1">
        <v>50.0</v>
      </c>
      <c r="D51" s="1" t="s">
        <v>64</v>
      </c>
      <c r="E51" s="1" t="s">
        <v>56</v>
      </c>
    </row>
    <row r="52">
      <c r="A52" s="1" t="s">
        <v>5</v>
      </c>
      <c r="B52" s="1" t="s">
        <v>59</v>
      </c>
      <c r="C52" s="2"/>
      <c r="D52" s="1" t="s">
        <v>65</v>
      </c>
      <c r="E52" s="1" t="s">
        <v>56</v>
      </c>
    </row>
    <row r="53">
      <c r="A53" s="1" t="s">
        <v>5</v>
      </c>
      <c r="B53" s="1" t="s">
        <v>59</v>
      </c>
      <c r="C53" s="1">
        <v>73.0</v>
      </c>
      <c r="D53" s="1" t="s">
        <v>66</v>
      </c>
      <c r="E53" s="1" t="s">
        <v>56</v>
      </c>
    </row>
    <row r="54">
      <c r="A54" s="1" t="s">
        <v>5</v>
      </c>
      <c r="B54" s="1" t="s">
        <v>59</v>
      </c>
      <c r="C54" s="1">
        <v>28.0</v>
      </c>
      <c r="D54" s="1" t="s">
        <v>67</v>
      </c>
      <c r="E54" s="1" t="s">
        <v>56</v>
      </c>
    </row>
    <row r="55">
      <c r="A55" s="1" t="s">
        <v>5</v>
      </c>
      <c r="B55" s="1" t="s">
        <v>59</v>
      </c>
      <c r="C55" s="2"/>
      <c r="D55" s="1" t="s">
        <v>68</v>
      </c>
      <c r="E55" s="1" t="s">
        <v>56</v>
      </c>
    </row>
    <row r="56">
      <c r="A56" s="1" t="s">
        <v>5</v>
      </c>
      <c r="B56" s="1" t="s">
        <v>59</v>
      </c>
      <c r="D56" s="1" t="s">
        <v>69</v>
      </c>
      <c r="E56" s="1" t="s">
        <v>56</v>
      </c>
    </row>
    <row r="57">
      <c r="A57" s="1" t="s">
        <v>5</v>
      </c>
      <c r="B57" s="1" t="s">
        <v>59</v>
      </c>
      <c r="D57" s="1" t="s">
        <v>70</v>
      </c>
      <c r="E57" s="1" t="s">
        <v>56</v>
      </c>
    </row>
    <row r="58">
      <c r="A58" s="1" t="s">
        <v>5</v>
      </c>
      <c r="B58" s="1" t="s">
        <v>59</v>
      </c>
      <c r="C58" s="2"/>
      <c r="D58" s="1" t="s">
        <v>71</v>
      </c>
      <c r="E58" s="1" t="s">
        <v>56</v>
      </c>
    </row>
    <row r="59">
      <c r="A59" s="2"/>
      <c r="B59" s="2"/>
      <c r="C59" s="2"/>
      <c r="D59" s="2"/>
      <c r="E59" s="2"/>
    </row>
    <row r="60">
      <c r="A60" s="1" t="s">
        <v>5</v>
      </c>
      <c r="B60" s="1" t="s">
        <v>72</v>
      </c>
      <c r="C60" s="1">
        <v>962.0</v>
      </c>
      <c r="D60" s="1" t="s">
        <v>73</v>
      </c>
      <c r="E60" s="1" t="s">
        <v>56</v>
      </c>
    </row>
    <row r="61">
      <c r="A61" s="1" t="s">
        <v>5</v>
      </c>
      <c r="B61" s="1" t="s">
        <v>72</v>
      </c>
      <c r="C61" s="1">
        <v>724.0</v>
      </c>
      <c r="D61" s="1" t="s">
        <v>74</v>
      </c>
      <c r="E61" s="1" t="s">
        <v>56</v>
      </c>
    </row>
    <row r="62">
      <c r="A62" s="1" t="s">
        <v>5</v>
      </c>
      <c r="B62" s="1" t="s">
        <v>72</v>
      </c>
      <c r="C62" s="2"/>
      <c r="D62" s="1" t="s">
        <v>75</v>
      </c>
      <c r="E62" s="1" t="s">
        <v>56</v>
      </c>
    </row>
    <row r="63">
      <c r="A63" s="1" t="s">
        <v>5</v>
      </c>
      <c r="B63" s="1" t="s">
        <v>72</v>
      </c>
      <c r="C63" s="2"/>
      <c r="D63" s="1" t="s">
        <v>76</v>
      </c>
      <c r="E63" s="1" t="s">
        <v>56</v>
      </c>
    </row>
    <row r="64">
      <c r="A64" s="1" t="s">
        <v>5</v>
      </c>
      <c r="B64" s="1" t="s">
        <v>72</v>
      </c>
      <c r="C64" s="2"/>
      <c r="D64" s="1" t="s">
        <v>77</v>
      </c>
      <c r="E64" s="1" t="s">
        <v>56</v>
      </c>
    </row>
    <row r="65">
      <c r="A65" s="1" t="s">
        <v>5</v>
      </c>
      <c r="B65" s="1" t="s">
        <v>72</v>
      </c>
      <c r="C65" s="2"/>
      <c r="D65" s="1" t="s">
        <v>78</v>
      </c>
      <c r="E65" s="1" t="s">
        <v>56</v>
      </c>
    </row>
    <row r="66">
      <c r="A66" s="1" t="s">
        <v>5</v>
      </c>
      <c r="B66" s="1" t="s">
        <v>72</v>
      </c>
      <c r="C66" s="2"/>
      <c r="D66" s="1" t="s">
        <v>79</v>
      </c>
      <c r="E66" s="1" t="s">
        <v>56</v>
      </c>
    </row>
    <row r="67">
      <c r="A67" s="1" t="s">
        <v>5</v>
      </c>
      <c r="B67" s="1" t="s">
        <v>72</v>
      </c>
      <c r="C67" s="2"/>
      <c r="D67" s="1" t="s">
        <v>80</v>
      </c>
      <c r="E67" s="1" t="s">
        <v>56</v>
      </c>
    </row>
    <row r="68">
      <c r="A68" s="1" t="s">
        <v>5</v>
      </c>
      <c r="B68" s="1" t="s">
        <v>72</v>
      </c>
      <c r="C68" s="2"/>
      <c r="D68" s="1" t="s">
        <v>81</v>
      </c>
      <c r="E68" s="1" t="s">
        <v>56</v>
      </c>
    </row>
    <row r="69">
      <c r="A69" s="1" t="s">
        <v>5</v>
      </c>
      <c r="B69" s="1" t="s">
        <v>72</v>
      </c>
      <c r="C69" s="2"/>
      <c r="D69" s="1" t="s">
        <v>82</v>
      </c>
      <c r="E69" s="1" t="s">
        <v>56</v>
      </c>
    </row>
    <row r="70">
      <c r="A70" s="1" t="s">
        <v>5</v>
      </c>
      <c r="B70" s="1" t="s">
        <v>72</v>
      </c>
      <c r="C70" s="2"/>
      <c r="D70" s="1" t="s">
        <v>83</v>
      </c>
      <c r="E70" s="1" t="s">
        <v>56</v>
      </c>
    </row>
    <row r="71">
      <c r="A71" s="1" t="s">
        <v>5</v>
      </c>
      <c r="B71" s="1" t="s">
        <v>72</v>
      </c>
      <c r="C71" s="2"/>
      <c r="D71" s="1" t="s">
        <v>84</v>
      </c>
      <c r="E71" s="1" t="s">
        <v>56</v>
      </c>
    </row>
    <row r="72">
      <c r="A72" s="1" t="s">
        <v>5</v>
      </c>
      <c r="B72" s="1" t="s">
        <v>72</v>
      </c>
      <c r="C72" s="2"/>
      <c r="D72" s="1" t="s">
        <v>85</v>
      </c>
      <c r="E72" s="1" t="s">
        <v>56</v>
      </c>
    </row>
    <row r="73">
      <c r="A73" s="1" t="s">
        <v>5</v>
      </c>
      <c r="B73" s="1" t="s">
        <v>72</v>
      </c>
      <c r="C73" s="1">
        <v>207.0</v>
      </c>
      <c r="D73" s="1" t="s">
        <v>86</v>
      </c>
      <c r="E73" s="1" t="s">
        <v>56</v>
      </c>
    </row>
    <row r="74">
      <c r="A74" s="1" t="s">
        <v>5</v>
      </c>
      <c r="B74" s="1" t="s">
        <v>72</v>
      </c>
      <c r="C74" s="2"/>
      <c r="D74" s="1" t="s">
        <v>87</v>
      </c>
      <c r="E74" s="1" t="s">
        <v>56</v>
      </c>
    </row>
    <row r="75">
      <c r="A75" s="2"/>
      <c r="B75" s="2"/>
      <c r="C75" s="2"/>
      <c r="D75" s="2"/>
      <c r="E75" s="2"/>
    </row>
    <row r="76">
      <c r="A76" s="1" t="s">
        <v>5</v>
      </c>
      <c r="B76" s="1" t="s">
        <v>88</v>
      </c>
      <c r="C76" s="2"/>
      <c r="D76" s="1" t="s">
        <v>89</v>
      </c>
      <c r="E76" s="1" t="s">
        <v>56</v>
      </c>
    </row>
    <row r="77">
      <c r="A77" s="1" t="s">
        <v>5</v>
      </c>
      <c r="B77" s="1" t="s">
        <v>88</v>
      </c>
      <c r="C77" s="2"/>
      <c r="D77" s="1" t="s">
        <v>90</v>
      </c>
      <c r="E77" s="1" t="s">
        <v>56</v>
      </c>
    </row>
    <row r="78">
      <c r="A78" s="1" t="s">
        <v>5</v>
      </c>
      <c r="B78" s="1" t="s">
        <v>88</v>
      </c>
      <c r="C78" s="2"/>
      <c r="D78" s="1" t="s">
        <v>91</v>
      </c>
      <c r="E78" s="1" t="s">
        <v>56</v>
      </c>
    </row>
    <row r="79">
      <c r="A79" s="1" t="s">
        <v>5</v>
      </c>
      <c r="B79" s="1" t="s">
        <v>88</v>
      </c>
      <c r="C79" s="2"/>
      <c r="D79" s="1" t="s">
        <v>92</v>
      </c>
      <c r="E79" s="1" t="s">
        <v>56</v>
      </c>
    </row>
    <row r="80">
      <c r="A80" s="2"/>
      <c r="B80" s="2"/>
      <c r="D80" s="2"/>
      <c r="E80" s="2"/>
    </row>
    <row r="81">
      <c r="A81" s="1" t="s">
        <v>5</v>
      </c>
      <c r="B81" s="1" t="s">
        <v>93</v>
      </c>
      <c r="D81" s="1" t="s">
        <v>94</v>
      </c>
      <c r="E81" s="1" t="s">
        <v>56</v>
      </c>
    </row>
    <row r="82">
      <c r="A82" s="2"/>
      <c r="B82" s="2"/>
      <c r="C82" s="2"/>
      <c r="D82" s="2"/>
      <c r="E82" s="2"/>
    </row>
    <row r="83">
      <c r="A83" s="1" t="s">
        <v>5</v>
      </c>
      <c r="B83" s="1" t="s">
        <v>95</v>
      </c>
      <c r="D83" s="1" t="s">
        <v>96</v>
      </c>
      <c r="E83" s="1" t="s">
        <v>97</v>
      </c>
    </row>
    <row r="84">
      <c r="A84" s="1" t="s">
        <v>5</v>
      </c>
      <c r="B84" s="1" t="s">
        <v>95</v>
      </c>
      <c r="C84" s="3">
        <v>638.0</v>
      </c>
      <c r="D84" s="1" t="s">
        <v>98</v>
      </c>
      <c r="E84" s="1" t="s">
        <v>97</v>
      </c>
    </row>
    <row r="85">
      <c r="A85" s="1" t="s">
        <v>5</v>
      </c>
      <c r="B85" s="1" t="s">
        <v>95</v>
      </c>
      <c r="C85" s="1">
        <v>57.0</v>
      </c>
      <c r="D85" s="1" t="s">
        <v>99</v>
      </c>
      <c r="E85" s="1" t="s">
        <v>97</v>
      </c>
    </row>
    <row r="86">
      <c r="A86" s="1" t="s">
        <v>5</v>
      </c>
      <c r="B86" s="1" t="s">
        <v>95</v>
      </c>
      <c r="C86" s="1">
        <v>62.0</v>
      </c>
      <c r="D86" s="1" t="s">
        <v>100</v>
      </c>
      <c r="E86" s="1" t="s">
        <v>97</v>
      </c>
    </row>
    <row r="87">
      <c r="A87" s="1" t="s">
        <v>5</v>
      </c>
      <c r="B87" s="1" t="s">
        <v>95</v>
      </c>
      <c r="C87" s="1">
        <v>666.0</v>
      </c>
      <c r="D87" s="1" t="s">
        <v>101</v>
      </c>
      <c r="E87" s="1" t="s">
        <v>97</v>
      </c>
    </row>
    <row r="88">
      <c r="A88" s="1" t="s">
        <v>5</v>
      </c>
      <c r="B88" s="1" t="s">
        <v>95</v>
      </c>
      <c r="C88" s="1">
        <v>51.0</v>
      </c>
      <c r="D88" s="1" t="s">
        <v>102</v>
      </c>
      <c r="E88" s="1" t="s">
        <v>97</v>
      </c>
    </row>
    <row r="89">
      <c r="A89" s="1" t="s">
        <v>5</v>
      </c>
      <c r="B89" s="1" t="s">
        <v>95</v>
      </c>
      <c r="C89" s="3">
        <v>82.0</v>
      </c>
      <c r="D89" s="1" t="s">
        <v>103</v>
      </c>
      <c r="E89" s="1" t="s">
        <v>97</v>
      </c>
    </row>
    <row r="90">
      <c r="A90" s="1" t="s">
        <v>5</v>
      </c>
      <c r="B90" s="1" t="s">
        <v>95</v>
      </c>
      <c r="C90" s="3">
        <v>751.0</v>
      </c>
      <c r="D90" s="1" t="s">
        <v>104</v>
      </c>
      <c r="E90" s="1" t="s">
        <v>97</v>
      </c>
    </row>
    <row r="91">
      <c r="A91" s="1" t="s">
        <v>5</v>
      </c>
      <c r="B91" s="1" t="s">
        <v>95</v>
      </c>
      <c r="C91" s="1">
        <v>833.0</v>
      </c>
      <c r="D91" s="1" t="s">
        <v>105</v>
      </c>
      <c r="E91" s="1" t="s">
        <v>106</v>
      </c>
    </row>
    <row r="92">
      <c r="A92" s="1" t="s">
        <v>5</v>
      </c>
      <c r="B92" s="1" t="s">
        <v>95</v>
      </c>
      <c r="C92" s="3">
        <v>3.0</v>
      </c>
      <c r="D92" s="1" t="s">
        <v>107</v>
      </c>
      <c r="E92" s="1" t="s">
        <v>106</v>
      </c>
    </row>
    <row r="93">
      <c r="A93" s="1" t="s">
        <v>5</v>
      </c>
      <c r="B93" s="1" t="s">
        <v>95</v>
      </c>
      <c r="C93" s="3">
        <v>80.0</v>
      </c>
      <c r="D93" s="1" t="s">
        <v>108</v>
      </c>
      <c r="E93" s="1" t="s">
        <v>106</v>
      </c>
    </row>
    <row r="94">
      <c r="A94" s="1" t="s">
        <v>5</v>
      </c>
      <c r="B94" s="1" t="s">
        <v>95</v>
      </c>
      <c r="C94" s="1">
        <v>755.0</v>
      </c>
      <c r="D94" s="1" t="s">
        <v>109</v>
      </c>
      <c r="E94" s="1" t="s">
        <v>106</v>
      </c>
    </row>
    <row r="95">
      <c r="A95" s="1" t="s">
        <v>5</v>
      </c>
      <c r="B95" s="1" t="s">
        <v>95</v>
      </c>
      <c r="C95" s="1">
        <v>87.0</v>
      </c>
      <c r="D95" s="1" t="s">
        <v>110</v>
      </c>
      <c r="E95" s="1" t="s">
        <v>106</v>
      </c>
    </row>
    <row r="96">
      <c r="A96" s="1" t="s">
        <v>5</v>
      </c>
      <c r="B96" s="1" t="s">
        <v>95</v>
      </c>
      <c r="C96" s="1">
        <v>75.0</v>
      </c>
      <c r="D96" s="1" t="s">
        <v>111</v>
      </c>
      <c r="E96" s="1" t="s">
        <v>106</v>
      </c>
    </row>
    <row r="97">
      <c r="A97" s="1" t="s">
        <v>5</v>
      </c>
      <c r="B97" s="1" t="s">
        <v>95</v>
      </c>
      <c r="C97" s="1">
        <v>47.0</v>
      </c>
      <c r="D97" s="1" t="s">
        <v>112</v>
      </c>
      <c r="E97" s="1" t="s">
        <v>106</v>
      </c>
    </row>
    <row r="98">
      <c r="A98" s="1" t="s">
        <v>5</v>
      </c>
      <c r="B98" s="1" t="s">
        <v>95</v>
      </c>
      <c r="C98" s="1">
        <v>103.0</v>
      </c>
      <c r="D98" s="1" t="s">
        <v>113</v>
      </c>
      <c r="E98" s="1" t="s">
        <v>106</v>
      </c>
    </row>
    <row r="99">
      <c r="A99" s="1" t="s">
        <v>5</v>
      </c>
      <c r="B99" s="1" t="s">
        <v>95</v>
      </c>
      <c r="C99" s="1">
        <v>725.0</v>
      </c>
      <c r="D99" s="1" t="s">
        <v>26</v>
      </c>
      <c r="E99" s="1" t="s">
        <v>106</v>
      </c>
    </row>
    <row r="100">
      <c r="A100" s="1" t="s">
        <v>5</v>
      </c>
      <c r="B100" s="1" t="s">
        <v>95</v>
      </c>
      <c r="C100" s="1">
        <v>104.0</v>
      </c>
      <c r="D100" s="1" t="s">
        <v>114</v>
      </c>
      <c r="E100" s="1" t="s">
        <v>106</v>
      </c>
    </row>
    <row r="101">
      <c r="A101" s="1" t="s">
        <v>5</v>
      </c>
      <c r="B101" s="1" t="s">
        <v>95</v>
      </c>
      <c r="C101" s="2"/>
      <c r="D101" s="1" t="s">
        <v>115</v>
      </c>
      <c r="E101" s="1" t="s">
        <v>106</v>
      </c>
    </row>
    <row r="102">
      <c r="A102" s="1" t="s">
        <v>5</v>
      </c>
      <c r="B102" s="1" t="s">
        <v>95</v>
      </c>
      <c r="C102" s="1">
        <v>60.0</v>
      </c>
      <c r="D102" s="1" t="s">
        <v>116</v>
      </c>
      <c r="E102" s="1" t="s">
        <v>106</v>
      </c>
    </row>
    <row r="103">
      <c r="A103" s="1" t="s">
        <v>5</v>
      </c>
      <c r="B103" s="1" t="s">
        <v>95</v>
      </c>
      <c r="C103" s="1">
        <v>942.0</v>
      </c>
      <c r="D103" s="1" t="s">
        <v>117</v>
      </c>
      <c r="E103" s="1" t="s">
        <v>106</v>
      </c>
    </row>
    <row r="104">
      <c r="A104" s="1" t="s">
        <v>5</v>
      </c>
      <c r="B104" s="1" t="s">
        <v>95</v>
      </c>
      <c r="C104" s="1">
        <v>96.0</v>
      </c>
      <c r="D104" s="1" t="s">
        <v>118</v>
      </c>
      <c r="E104" s="1" t="s">
        <v>106</v>
      </c>
    </row>
    <row r="105">
      <c r="A105" s="1" t="s">
        <v>5</v>
      </c>
      <c r="B105" s="1" t="s">
        <v>95</v>
      </c>
      <c r="C105" s="1">
        <v>464.0</v>
      </c>
      <c r="D105" s="1" t="s">
        <v>119</v>
      </c>
      <c r="E105" s="1" t="s">
        <v>106</v>
      </c>
    </row>
    <row r="106">
      <c r="A106" s="1" t="s">
        <v>5</v>
      </c>
      <c r="B106" s="1" t="s">
        <v>95</v>
      </c>
      <c r="C106" s="1">
        <v>202.0</v>
      </c>
      <c r="D106" s="1" t="s">
        <v>120</v>
      </c>
      <c r="E106" s="1" t="s">
        <v>121</v>
      </c>
    </row>
    <row r="107">
      <c r="A107" s="1" t="s">
        <v>5</v>
      </c>
      <c r="B107" s="1" t="s">
        <v>95</v>
      </c>
      <c r="C107" s="1">
        <v>646.0</v>
      </c>
      <c r="D107" s="1" t="s">
        <v>122</v>
      </c>
      <c r="E107" s="1" t="s">
        <v>121</v>
      </c>
    </row>
    <row r="108">
      <c r="A108" s="1" t="s">
        <v>5</v>
      </c>
      <c r="B108" s="1" t="s">
        <v>95</v>
      </c>
      <c r="C108" s="1">
        <v>268.0</v>
      </c>
      <c r="D108" s="1" t="s">
        <v>123</v>
      </c>
      <c r="E108" s="1" t="s">
        <v>121</v>
      </c>
    </row>
    <row r="109">
      <c r="A109" s="1" t="s">
        <v>5</v>
      </c>
      <c r="B109" s="1" t="s">
        <v>95</v>
      </c>
      <c r="C109" s="1">
        <v>29.0</v>
      </c>
      <c r="D109" s="1" t="s">
        <v>30</v>
      </c>
      <c r="E109" s="1" t="s">
        <v>121</v>
      </c>
    </row>
    <row r="110">
      <c r="A110" s="1" t="s">
        <v>5</v>
      </c>
      <c r="B110" s="1" t="s">
        <v>95</v>
      </c>
      <c r="C110" s="1">
        <v>634.0</v>
      </c>
      <c r="D110" s="1" t="s">
        <v>124</v>
      </c>
      <c r="E110" s="1" t="s">
        <v>121</v>
      </c>
    </row>
    <row r="111">
      <c r="A111" s="1" t="s">
        <v>5</v>
      </c>
      <c r="B111" s="1" t="s">
        <v>95</v>
      </c>
      <c r="C111" s="1">
        <v>43.0</v>
      </c>
      <c r="D111" s="1" t="s">
        <v>125</v>
      </c>
      <c r="E111" s="1" t="s">
        <v>126</v>
      </c>
    </row>
    <row r="112">
      <c r="A112" s="1" t="s">
        <v>5</v>
      </c>
      <c r="B112" s="1" t="s">
        <v>95</v>
      </c>
      <c r="C112" s="1">
        <v>48.0</v>
      </c>
      <c r="D112" s="1" t="s">
        <v>127</v>
      </c>
      <c r="E112" s="1" t="s">
        <v>126</v>
      </c>
    </row>
    <row r="113">
      <c r="A113" s="1" t="s">
        <v>5</v>
      </c>
      <c r="B113" s="1" t="s">
        <v>95</v>
      </c>
      <c r="C113" s="1">
        <v>46.0</v>
      </c>
      <c r="D113" s="1" t="s">
        <v>128</v>
      </c>
      <c r="E113" s="1" t="s">
        <v>126</v>
      </c>
    </row>
    <row r="114">
      <c r="A114" s="1" t="s">
        <v>5</v>
      </c>
      <c r="B114" s="1" t="s">
        <v>95</v>
      </c>
      <c r="C114" s="1">
        <v>923.0</v>
      </c>
      <c r="D114" s="1" t="s">
        <v>129</v>
      </c>
      <c r="E114" s="1" t="s">
        <v>126</v>
      </c>
    </row>
    <row r="115">
      <c r="A115" s="1" t="s">
        <v>5</v>
      </c>
      <c r="B115" s="1" t="s">
        <v>95</v>
      </c>
      <c r="C115" s="1">
        <v>59.0</v>
      </c>
      <c r="D115" s="1" t="s">
        <v>26</v>
      </c>
      <c r="E115" s="1" t="s">
        <v>130</v>
      </c>
    </row>
    <row r="116">
      <c r="A116" s="1" t="s">
        <v>5</v>
      </c>
      <c r="B116" s="1" t="s">
        <v>95</v>
      </c>
      <c r="C116" s="1">
        <v>93.0</v>
      </c>
      <c r="D116" s="1" t="s">
        <v>131</v>
      </c>
      <c r="E116" s="1" t="s">
        <v>130</v>
      </c>
    </row>
    <row r="117">
      <c r="A117" s="1" t="s">
        <v>5</v>
      </c>
      <c r="B117" s="1" t="s">
        <v>95</v>
      </c>
      <c r="C117" s="1">
        <v>78.0</v>
      </c>
      <c r="D117" s="1" t="s">
        <v>132</v>
      </c>
      <c r="E117" s="1" t="s">
        <v>130</v>
      </c>
    </row>
    <row r="118">
      <c r="A118" s="1" t="s">
        <v>5</v>
      </c>
      <c r="B118" s="1" t="s">
        <v>95</v>
      </c>
      <c r="C118" s="1">
        <v>754.0</v>
      </c>
      <c r="D118" s="1" t="s">
        <v>133</v>
      </c>
      <c r="E118" s="1" t="s">
        <v>130</v>
      </c>
    </row>
    <row r="119">
      <c r="A119" s="1" t="s">
        <v>5</v>
      </c>
      <c r="B119" s="1" t="s">
        <v>95</v>
      </c>
      <c r="C119" s="1">
        <v>139.0</v>
      </c>
      <c r="D119" s="1" t="s">
        <v>134</v>
      </c>
      <c r="E119" s="1" t="s">
        <v>130</v>
      </c>
    </row>
    <row r="120">
      <c r="A120" s="1" t="s">
        <v>5</v>
      </c>
      <c r="B120" s="1" t="s">
        <v>95</v>
      </c>
      <c r="C120" s="1">
        <v>99.0</v>
      </c>
      <c r="D120" s="1" t="s">
        <v>135</v>
      </c>
      <c r="E120" s="1" t="s">
        <v>130</v>
      </c>
    </row>
    <row r="121">
      <c r="A121" s="1" t="s">
        <v>5</v>
      </c>
      <c r="B121" s="1" t="s">
        <v>95</v>
      </c>
      <c r="C121" s="1">
        <v>98.0</v>
      </c>
      <c r="D121" s="1" t="s">
        <v>136</v>
      </c>
      <c r="E121" s="1" t="s">
        <v>130</v>
      </c>
    </row>
    <row r="122">
      <c r="A122" s="1" t="s">
        <v>5</v>
      </c>
      <c r="B122" s="1" t="s">
        <v>95</v>
      </c>
      <c r="C122" s="1">
        <v>88.0</v>
      </c>
      <c r="D122" s="1" t="s">
        <v>137</v>
      </c>
      <c r="E122" s="1" t="s">
        <v>130</v>
      </c>
    </row>
    <row r="123">
      <c r="A123" s="1" t="s">
        <v>5</v>
      </c>
      <c r="B123" s="1" t="s">
        <v>95</v>
      </c>
      <c r="C123" s="1">
        <v>94.0</v>
      </c>
      <c r="D123" s="1" t="s">
        <v>138</v>
      </c>
      <c r="E123" s="1" t="s">
        <v>130</v>
      </c>
    </row>
    <row r="124">
      <c r="A124" s="1" t="s">
        <v>5</v>
      </c>
      <c r="B124" s="1" t="s">
        <v>95</v>
      </c>
      <c r="C124" s="1">
        <v>140.0</v>
      </c>
      <c r="D124" s="1" t="s">
        <v>139</v>
      </c>
      <c r="E124" s="1" t="s">
        <v>130</v>
      </c>
    </row>
    <row r="125">
      <c r="A125" s="1" t="s">
        <v>5</v>
      </c>
      <c r="B125" s="1" t="s">
        <v>95</v>
      </c>
      <c r="C125" s="1">
        <v>89.0</v>
      </c>
      <c r="D125" s="1" t="s">
        <v>140</v>
      </c>
      <c r="E125" s="1" t="s">
        <v>130</v>
      </c>
    </row>
    <row r="126">
      <c r="A126" s="1" t="s">
        <v>5</v>
      </c>
      <c r="B126" s="1" t="s">
        <v>95</v>
      </c>
      <c r="C126" s="1">
        <v>84.0</v>
      </c>
      <c r="D126" s="1" t="s">
        <v>141</v>
      </c>
      <c r="E126" s="1" t="s">
        <v>130</v>
      </c>
    </row>
    <row r="127">
      <c r="A127" s="1" t="s">
        <v>5</v>
      </c>
      <c r="B127" s="1" t="s">
        <v>95</v>
      </c>
      <c r="C127" s="1">
        <v>90.0</v>
      </c>
      <c r="D127" s="1" t="s">
        <v>142</v>
      </c>
      <c r="E127" s="1" t="s">
        <v>130</v>
      </c>
    </row>
    <row r="128">
      <c r="A128" s="1" t="s">
        <v>5</v>
      </c>
      <c r="B128" s="1" t="s">
        <v>95</v>
      </c>
      <c r="C128" s="1">
        <v>85.0</v>
      </c>
      <c r="D128" s="1" t="s">
        <v>143</v>
      </c>
      <c r="E128" s="1" t="s">
        <v>130</v>
      </c>
    </row>
    <row r="129">
      <c r="A129" s="1" t="s">
        <v>5</v>
      </c>
      <c r="B129" s="1" t="s">
        <v>95</v>
      </c>
      <c r="C129" s="1">
        <v>230.0</v>
      </c>
      <c r="D129" s="1" t="s">
        <v>144</v>
      </c>
      <c r="E129" s="1" t="s">
        <v>130</v>
      </c>
    </row>
    <row r="130">
      <c r="A130" s="1" t="s">
        <v>5</v>
      </c>
      <c r="B130" s="1" t="s">
        <v>95</v>
      </c>
      <c r="C130" s="1">
        <v>232.0</v>
      </c>
      <c r="D130" s="1" t="s">
        <v>145</v>
      </c>
      <c r="E130" s="1" t="s">
        <v>130</v>
      </c>
    </row>
    <row r="131">
      <c r="A131" s="1" t="s">
        <v>5</v>
      </c>
      <c r="B131" s="1" t="s">
        <v>95</v>
      </c>
      <c r="C131" s="1">
        <v>233.0</v>
      </c>
      <c r="D131" s="1" t="s">
        <v>146</v>
      </c>
      <c r="E131" s="1" t="s">
        <v>130</v>
      </c>
    </row>
    <row r="132">
      <c r="A132" s="1" t="s">
        <v>5</v>
      </c>
      <c r="B132" s="1" t="s">
        <v>95</v>
      </c>
      <c r="C132" s="1">
        <v>237.0</v>
      </c>
      <c r="D132" s="1" t="s">
        <v>147</v>
      </c>
      <c r="E132" s="1" t="s">
        <v>130</v>
      </c>
    </row>
    <row r="133">
      <c r="A133" s="1" t="s">
        <v>5</v>
      </c>
      <c r="B133" s="1" t="s">
        <v>95</v>
      </c>
      <c r="C133" s="1">
        <v>222.0</v>
      </c>
      <c r="D133" s="1" t="s">
        <v>148</v>
      </c>
      <c r="E133" s="1" t="s">
        <v>130</v>
      </c>
    </row>
    <row r="134">
      <c r="A134" s="1" t="s">
        <v>5</v>
      </c>
      <c r="B134" s="1" t="s">
        <v>95</v>
      </c>
      <c r="C134" s="1">
        <v>100.0</v>
      </c>
      <c r="D134" s="1" t="s">
        <v>149</v>
      </c>
      <c r="E134" s="1" t="s">
        <v>130</v>
      </c>
    </row>
    <row r="135">
      <c r="A135" s="1" t="s">
        <v>5</v>
      </c>
      <c r="B135" s="1" t="s">
        <v>95</v>
      </c>
      <c r="C135" s="1">
        <v>227.0</v>
      </c>
      <c r="D135" s="1" t="s">
        <v>150</v>
      </c>
      <c r="E135" s="1" t="s">
        <v>130</v>
      </c>
    </row>
    <row r="136">
      <c r="A136" s="1" t="s">
        <v>5</v>
      </c>
      <c r="B136" s="1" t="s">
        <v>95</v>
      </c>
      <c r="C136" s="1">
        <v>92.0</v>
      </c>
      <c r="D136" s="1" t="s">
        <v>151</v>
      </c>
      <c r="E136" s="1" t="s">
        <v>130</v>
      </c>
    </row>
    <row r="137">
      <c r="A137" s="1" t="s">
        <v>5</v>
      </c>
      <c r="B137" s="1" t="s">
        <v>95</v>
      </c>
      <c r="C137" s="1">
        <v>63.0</v>
      </c>
      <c r="D137" s="1" t="s">
        <v>152</v>
      </c>
      <c r="E137" s="1" t="s">
        <v>130</v>
      </c>
    </row>
    <row r="138">
      <c r="A138" s="1" t="s">
        <v>5</v>
      </c>
      <c r="B138" s="1" t="s">
        <v>95</v>
      </c>
      <c r="C138" s="1">
        <v>64.0</v>
      </c>
      <c r="D138" s="1" t="s">
        <v>153</v>
      </c>
      <c r="E138" s="1" t="s">
        <v>130</v>
      </c>
    </row>
    <row r="139">
      <c r="A139" s="1" t="s">
        <v>5</v>
      </c>
      <c r="B139" s="1" t="s">
        <v>95</v>
      </c>
      <c r="C139" s="1">
        <v>757.0</v>
      </c>
      <c r="D139" s="1" t="s">
        <v>154</v>
      </c>
      <c r="E139" s="1" t="s">
        <v>130</v>
      </c>
    </row>
    <row r="140">
      <c r="A140" s="1" t="s">
        <v>5</v>
      </c>
      <c r="B140" s="1" t="s">
        <v>95</v>
      </c>
      <c r="C140" s="1">
        <v>236.0</v>
      </c>
      <c r="D140" s="1" t="s">
        <v>155</v>
      </c>
      <c r="E140" s="1" t="s">
        <v>130</v>
      </c>
    </row>
    <row r="141">
      <c r="A141" s="1" t="s">
        <v>5</v>
      </c>
      <c r="B141" s="1" t="s">
        <v>95</v>
      </c>
      <c r="C141" s="1">
        <v>235.0</v>
      </c>
      <c r="D141" s="1" t="s">
        <v>156</v>
      </c>
      <c r="E141" s="1" t="s">
        <v>130</v>
      </c>
    </row>
    <row r="142">
      <c r="A142" s="1" t="s">
        <v>5</v>
      </c>
      <c r="B142" s="1" t="s">
        <v>95</v>
      </c>
      <c r="C142" s="1">
        <v>231.0</v>
      </c>
      <c r="D142" s="1" t="s">
        <v>157</v>
      </c>
      <c r="E142" s="1" t="s">
        <v>130</v>
      </c>
    </row>
    <row r="143">
      <c r="A143" s="1" t="s">
        <v>5</v>
      </c>
      <c r="B143" s="1" t="s">
        <v>95</v>
      </c>
      <c r="C143" s="1">
        <v>733.0</v>
      </c>
      <c r="D143" s="1" t="s">
        <v>158</v>
      </c>
      <c r="E143" s="1" t="s">
        <v>130</v>
      </c>
    </row>
    <row r="144">
      <c r="A144" s="1" t="s">
        <v>5</v>
      </c>
      <c r="B144" s="1" t="s">
        <v>95</v>
      </c>
      <c r="C144" s="1">
        <v>95.0</v>
      </c>
      <c r="D144" s="1" t="s">
        <v>159</v>
      </c>
      <c r="E144" s="1" t="s">
        <v>130</v>
      </c>
    </row>
    <row r="145">
      <c r="A145" s="1" t="s">
        <v>5</v>
      </c>
      <c r="B145" s="1" t="s">
        <v>95</v>
      </c>
      <c r="C145" s="1">
        <v>659.0</v>
      </c>
      <c r="D145" s="1" t="s">
        <v>160</v>
      </c>
      <c r="E145" s="1" t="s">
        <v>130</v>
      </c>
    </row>
    <row r="146">
      <c r="A146" s="1" t="s">
        <v>5</v>
      </c>
      <c r="B146" s="1" t="s">
        <v>95</v>
      </c>
      <c r="C146" s="1">
        <v>86.0</v>
      </c>
      <c r="D146" s="1" t="s">
        <v>161</v>
      </c>
      <c r="E146" s="1" t="s">
        <v>130</v>
      </c>
    </row>
    <row r="147">
      <c r="A147" s="1" t="s">
        <v>5</v>
      </c>
      <c r="B147" s="1" t="s">
        <v>95</v>
      </c>
      <c r="C147" s="1">
        <v>91.0</v>
      </c>
      <c r="D147" s="1" t="s">
        <v>162</v>
      </c>
      <c r="E147" s="1" t="s">
        <v>130</v>
      </c>
    </row>
    <row r="148">
      <c r="A148" s="1" t="s">
        <v>5</v>
      </c>
      <c r="B148" s="1" t="s">
        <v>95</v>
      </c>
      <c r="C148" s="1">
        <v>83.0</v>
      </c>
      <c r="D148" s="1" t="s">
        <v>163</v>
      </c>
      <c r="E148" s="1" t="s">
        <v>130</v>
      </c>
    </row>
    <row r="149">
      <c r="A149" s="1" t="s">
        <v>5</v>
      </c>
      <c r="B149" s="1" t="s">
        <v>95</v>
      </c>
      <c r="C149" s="1">
        <v>142.0</v>
      </c>
      <c r="D149" s="1" t="s">
        <v>164</v>
      </c>
      <c r="E149" s="1" t="s">
        <v>130</v>
      </c>
    </row>
    <row r="150">
      <c r="A150" s="1" t="s">
        <v>5</v>
      </c>
      <c r="B150" s="1" t="s">
        <v>95</v>
      </c>
      <c r="C150" s="1">
        <v>857.0</v>
      </c>
      <c r="D150" s="1" t="s">
        <v>165</v>
      </c>
      <c r="E150" s="1" t="s">
        <v>130</v>
      </c>
    </row>
    <row r="151">
      <c r="A151" s="1" t="s">
        <v>5</v>
      </c>
      <c r="B151" s="1" t="s">
        <v>95</v>
      </c>
      <c r="C151" s="1">
        <v>838.0</v>
      </c>
      <c r="D151" s="1" t="s">
        <v>166</v>
      </c>
      <c r="E151" s="1" t="s">
        <v>130</v>
      </c>
    </row>
    <row r="152">
      <c r="A152" s="1" t="s">
        <v>5</v>
      </c>
      <c r="B152" s="1" t="s">
        <v>95</v>
      </c>
      <c r="C152" s="1">
        <v>883.0</v>
      </c>
      <c r="D152" s="1" t="s">
        <v>167</v>
      </c>
      <c r="E152" s="1" t="s">
        <v>130</v>
      </c>
    </row>
    <row r="153">
      <c r="A153" s="1" t="s">
        <v>5</v>
      </c>
      <c r="B153" s="1" t="s">
        <v>95</v>
      </c>
      <c r="C153" s="1">
        <v>987.0</v>
      </c>
      <c r="D153" s="1" t="s">
        <v>168</v>
      </c>
      <c r="E153" s="1" t="s">
        <v>130</v>
      </c>
    </row>
    <row r="154">
      <c r="A154" s="1" t="s">
        <v>5</v>
      </c>
      <c r="B154" s="1" t="s">
        <v>95</v>
      </c>
      <c r="C154" s="1">
        <v>234.0</v>
      </c>
      <c r="D154" s="1" t="s">
        <v>169</v>
      </c>
      <c r="E154" s="1" t="s">
        <v>130</v>
      </c>
    </row>
    <row r="155">
      <c r="A155" s="1" t="s">
        <v>5</v>
      </c>
      <c r="B155" s="1" t="s">
        <v>95</v>
      </c>
      <c r="C155" s="1">
        <v>1005.0</v>
      </c>
      <c r="D155" s="1" t="s">
        <v>170</v>
      </c>
      <c r="E155" s="1" t="s">
        <v>130</v>
      </c>
    </row>
    <row r="156">
      <c r="A156" s="1" t="s">
        <v>5</v>
      </c>
      <c r="B156" s="1" t="s">
        <v>95</v>
      </c>
      <c r="C156" s="1">
        <v>1011.0</v>
      </c>
      <c r="D156" s="1" t="s">
        <v>171</v>
      </c>
      <c r="E156" s="1" t="s">
        <v>130</v>
      </c>
    </row>
    <row r="157">
      <c r="A157" s="1" t="s">
        <v>5</v>
      </c>
      <c r="B157" s="1" t="s">
        <v>95</v>
      </c>
      <c r="C157" s="1">
        <v>1099.0</v>
      </c>
      <c r="D157" s="1" t="s">
        <v>172</v>
      </c>
      <c r="E157" s="1" t="s">
        <v>130</v>
      </c>
    </row>
    <row r="158">
      <c r="A158" s="1" t="s">
        <v>5</v>
      </c>
      <c r="B158" s="1" t="s">
        <v>95</v>
      </c>
      <c r="C158" s="1">
        <v>1103.0</v>
      </c>
      <c r="D158" s="1" t="s">
        <v>173</v>
      </c>
      <c r="E158" s="1" t="s">
        <v>130</v>
      </c>
    </row>
    <row r="159">
      <c r="A159" s="1" t="s">
        <v>5</v>
      </c>
      <c r="B159" s="1" t="s">
        <v>95</v>
      </c>
      <c r="C159" s="1">
        <v>726.0</v>
      </c>
      <c r="D159" s="1" t="s">
        <v>174</v>
      </c>
      <c r="E159" s="1" t="s">
        <v>130</v>
      </c>
    </row>
    <row r="160">
      <c r="A160" s="1" t="s">
        <v>5</v>
      </c>
      <c r="B160" s="1" t="s">
        <v>95</v>
      </c>
      <c r="C160" s="1">
        <v>1195.0</v>
      </c>
      <c r="D160" s="1" t="s">
        <v>175</v>
      </c>
      <c r="E160" s="1" t="s">
        <v>130</v>
      </c>
    </row>
    <row r="161">
      <c r="A161" s="1" t="s">
        <v>5</v>
      </c>
      <c r="B161" s="1" t="s">
        <v>95</v>
      </c>
      <c r="C161" s="1">
        <v>74.0</v>
      </c>
      <c r="D161" s="1" t="s">
        <v>176</v>
      </c>
      <c r="E161" s="1" t="s">
        <v>130</v>
      </c>
    </row>
    <row r="162">
      <c r="A162" s="1" t="s">
        <v>5</v>
      </c>
      <c r="B162" s="1" t="s">
        <v>95</v>
      </c>
      <c r="C162" s="1">
        <v>1213.0</v>
      </c>
      <c r="D162" s="1" t="s">
        <v>177</v>
      </c>
      <c r="E162" s="1" t="s">
        <v>130</v>
      </c>
    </row>
    <row r="163">
      <c r="A163" s="2"/>
      <c r="B163" s="2"/>
      <c r="C163" s="2"/>
      <c r="D163" s="2"/>
      <c r="E163" s="2"/>
    </row>
    <row r="164">
      <c r="A164" s="1" t="s">
        <v>5</v>
      </c>
      <c r="B164" s="1" t="s">
        <v>178</v>
      </c>
      <c r="C164" s="2"/>
      <c r="D164" s="1" t="s">
        <v>179</v>
      </c>
      <c r="E164" s="1" t="s">
        <v>43</v>
      </c>
    </row>
    <row r="165">
      <c r="A165" s="1" t="s">
        <v>5</v>
      </c>
      <c r="B165" s="1" t="s">
        <v>178</v>
      </c>
      <c r="C165" s="1">
        <v>56.0</v>
      </c>
      <c r="D165" s="1" t="s">
        <v>180</v>
      </c>
      <c r="E165" s="1" t="s">
        <v>43</v>
      </c>
    </row>
    <row r="166">
      <c r="A166" s="1" t="s">
        <v>5</v>
      </c>
      <c r="B166" s="1" t="s">
        <v>178</v>
      </c>
      <c r="C166" s="1">
        <v>30.0</v>
      </c>
      <c r="D166" s="1" t="s">
        <v>181</v>
      </c>
      <c r="E166" s="1" t="s">
        <v>43</v>
      </c>
    </row>
    <row r="167">
      <c r="A167" s="1" t="s">
        <v>5</v>
      </c>
      <c r="B167" s="1" t="s">
        <v>178</v>
      </c>
      <c r="C167" s="1">
        <v>4.0</v>
      </c>
      <c r="D167" s="1" t="s">
        <v>182</v>
      </c>
      <c r="E167" s="1" t="s">
        <v>43</v>
      </c>
    </row>
    <row r="168">
      <c r="A168" s="1" t="s">
        <v>5</v>
      </c>
      <c r="B168" s="1" t="s">
        <v>178</v>
      </c>
      <c r="C168" s="1">
        <v>16.0</v>
      </c>
      <c r="D168" s="1" t="s">
        <v>183</v>
      </c>
      <c r="E168" s="1" t="s">
        <v>43</v>
      </c>
    </row>
    <row r="169">
      <c r="A169" s="1" t="s">
        <v>5</v>
      </c>
      <c r="B169" s="1" t="s">
        <v>178</v>
      </c>
      <c r="C169" s="1">
        <v>834.0</v>
      </c>
      <c r="D169" s="1" t="s">
        <v>184</v>
      </c>
      <c r="E169" s="1" t="s">
        <v>43</v>
      </c>
    </row>
    <row r="170">
      <c r="A170" s="1" t="s">
        <v>5</v>
      </c>
      <c r="B170" s="1" t="s">
        <v>178</v>
      </c>
      <c r="C170" s="1">
        <v>809.0</v>
      </c>
      <c r="D170" s="1" t="s">
        <v>185</v>
      </c>
      <c r="E170" s="1" t="s">
        <v>43</v>
      </c>
    </row>
    <row r="171">
      <c r="A171" s="1" t="s">
        <v>5</v>
      </c>
      <c r="B171" s="1" t="s">
        <v>178</v>
      </c>
      <c r="C171" s="1">
        <v>1152.0</v>
      </c>
      <c r="D171" s="1" t="s">
        <v>186</v>
      </c>
      <c r="E171" s="1" t="s">
        <v>43</v>
      </c>
    </row>
    <row r="172">
      <c r="A172" s="1" t="s">
        <v>5</v>
      </c>
      <c r="B172" s="1" t="s">
        <v>178</v>
      </c>
      <c r="C172" s="1">
        <v>814.0</v>
      </c>
      <c r="D172" s="1" t="s">
        <v>187</v>
      </c>
      <c r="E172" s="1" t="s">
        <v>188</v>
      </c>
    </row>
    <row r="173">
      <c r="A173" s="1" t="s">
        <v>5</v>
      </c>
      <c r="B173" s="1" t="s">
        <v>178</v>
      </c>
      <c r="C173" s="2"/>
      <c r="D173" s="1" t="s">
        <v>189</v>
      </c>
      <c r="E173" s="1" t="s">
        <v>188</v>
      </c>
    </row>
    <row r="174">
      <c r="A174" s="1" t="s">
        <v>5</v>
      </c>
      <c r="B174" s="1" t="s">
        <v>178</v>
      </c>
      <c r="C174" s="1">
        <v>816.0</v>
      </c>
      <c r="D174" s="1" t="s">
        <v>190</v>
      </c>
      <c r="E174" s="1" t="s">
        <v>188</v>
      </c>
    </row>
    <row r="175">
      <c r="A175" s="1" t="s">
        <v>5</v>
      </c>
      <c r="B175" s="1" t="s">
        <v>178</v>
      </c>
      <c r="C175" s="3">
        <v>820.0</v>
      </c>
      <c r="D175" s="1" t="s">
        <v>191</v>
      </c>
      <c r="E175" s="1" t="s">
        <v>188</v>
      </c>
    </row>
    <row r="176">
      <c r="A176" s="1" t="s">
        <v>5</v>
      </c>
      <c r="B176" s="1" t="s">
        <v>178</v>
      </c>
      <c r="C176" s="3">
        <v>815.0</v>
      </c>
      <c r="D176" s="1" t="s">
        <v>192</v>
      </c>
      <c r="E176" s="1" t="s">
        <v>188</v>
      </c>
    </row>
    <row r="177">
      <c r="A177" s="1" t="s">
        <v>5</v>
      </c>
      <c r="B177" s="1" t="s">
        <v>178</v>
      </c>
      <c r="C177" s="2"/>
      <c r="D177" s="1" t="s">
        <v>193</v>
      </c>
      <c r="E177" s="1" t="s">
        <v>188</v>
      </c>
    </row>
    <row r="178">
      <c r="A178" s="1" t="s">
        <v>5</v>
      </c>
      <c r="B178" s="1" t="s">
        <v>178</v>
      </c>
      <c r="C178" s="2"/>
      <c r="D178" s="1" t="s">
        <v>194</v>
      </c>
      <c r="E178" s="1" t="s">
        <v>188</v>
      </c>
    </row>
    <row r="179">
      <c r="A179" s="1" t="s">
        <v>5</v>
      </c>
      <c r="B179" s="1" t="s">
        <v>178</v>
      </c>
      <c r="C179" s="2"/>
      <c r="D179" s="1" t="s">
        <v>195</v>
      </c>
      <c r="E179" s="1" t="s">
        <v>188</v>
      </c>
    </row>
    <row r="180">
      <c r="A180" s="1" t="s">
        <v>5</v>
      </c>
      <c r="B180" s="1" t="s">
        <v>178</v>
      </c>
      <c r="C180" s="1">
        <v>36.0</v>
      </c>
      <c r="D180" s="1" t="s">
        <v>196</v>
      </c>
      <c r="E180" s="1" t="s">
        <v>197</v>
      </c>
    </row>
    <row r="181">
      <c r="A181" s="1" t="s">
        <v>5</v>
      </c>
      <c r="B181" s="1" t="s">
        <v>178</v>
      </c>
      <c r="C181" s="2"/>
      <c r="D181" s="1" t="s">
        <v>198</v>
      </c>
      <c r="E181" s="1" t="s">
        <v>197</v>
      </c>
    </row>
    <row r="182">
      <c r="A182" s="1" t="s">
        <v>5</v>
      </c>
      <c r="B182" s="1" t="s">
        <v>178</v>
      </c>
      <c r="C182" s="2"/>
      <c r="D182" s="1" t="s">
        <v>199</v>
      </c>
      <c r="E182" s="1" t="s">
        <v>197</v>
      </c>
    </row>
    <row r="183">
      <c r="A183" s="1" t="s">
        <v>5</v>
      </c>
      <c r="B183" s="1" t="s">
        <v>178</v>
      </c>
      <c r="C183" s="2"/>
      <c r="D183" s="1" t="s">
        <v>200</v>
      </c>
      <c r="E183" s="1" t="s">
        <v>197</v>
      </c>
    </row>
    <row r="184">
      <c r="A184" s="1" t="s">
        <v>5</v>
      </c>
      <c r="B184" s="1" t="s">
        <v>178</v>
      </c>
      <c r="C184" s="1">
        <v>32.0</v>
      </c>
      <c r="D184" s="1" t="s">
        <v>201</v>
      </c>
      <c r="E184" s="1" t="s">
        <v>202</v>
      </c>
    </row>
    <row r="185">
      <c r="A185" s="1" t="s">
        <v>5</v>
      </c>
      <c r="B185" s="1" t="s">
        <v>178</v>
      </c>
      <c r="C185" s="1">
        <v>31.0</v>
      </c>
      <c r="D185" s="1" t="s">
        <v>203</v>
      </c>
      <c r="E185" s="1" t="s">
        <v>202</v>
      </c>
    </row>
    <row r="186">
      <c r="A186" s="1" t="s">
        <v>5</v>
      </c>
      <c r="B186" s="1" t="s">
        <v>178</v>
      </c>
      <c r="C186" s="1">
        <v>38.0</v>
      </c>
      <c r="D186" s="1" t="s">
        <v>204</v>
      </c>
      <c r="E186" s="1" t="s">
        <v>202</v>
      </c>
    </row>
    <row r="187">
      <c r="A187" s="1" t="s">
        <v>5</v>
      </c>
      <c r="B187" s="1" t="s">
        <v>178</v>
      </c>
      <c r="C187" s="1">
        <v>654.0</v>
      </c>
      <c r="D187" s="1" t="s">
        <v>205</v>
      </c>
      <c r="E187" s="1" t="s">
        <v>202</v>
      </c>
    </row>
    <row r="188">
      <c r="A188" s="1" t="s">
        <v>5</v>
      </c>
      <c r="B188" s="1" t="s">
        <v>178</v>
      </c>
      <c r="C188" s="1">
        <v>37.0</v>
      </c>
      <c r="D188" s="1" t="s">
        <v>206</v>
      </c>
      <c r="E188" s="1" t="s">
        <v>202</v>
      </c>
    </row>
    <row r="189">
      <c r="A189" s="1" t="s">
        <v>5</v>
      </c>
      <c r="B189" s="1" t="s">
        <v>178</v>
      </c>
      <c r="C189" s="1">
        <v>648.0</v>
      </c>
      <c r="D189" s="1" t="s">
        <v>207</v>
      </c>
      <c r="E189" s="1" t="s">
        <v>202</v>
      </c>
    </row>
    <row r="190">
      <c r="A190" s="1" t="s">
        <v>5</v>
      </c>
      <c r="B190" s="1" t="s">
        <v>178</v>
      </c>
      <c r="C190" s="1">
        <v>691.0</v>
      </c>
      <c r="D190" s="1" t="s">
        <v>208</v>
      </c>
      <c r="E190" s="1" t="s">
        <v>202</v>
      </c>
    </row>
    <row r="191">
      <c r="A191" s="1" t="s">
        <v>5</v>
      </c>
      <c r="B191" s="1" t="s">
        <v>178</v>
      </c>
      <c r="C191" s="2"/>
      <c r="D191" s="1" t="s">
        <v>209</v>
      </c>
      <c r="E191" s="1" t="s">
        <v>202</v>
      </c>
    </row>
    <row r="192">
      <c r="A192" s="1" t="s">
        <v>5</v>
      </c>
      <c r="B192" s="1" t="s">
        <v>178</v>
      </c>
      <c r="C192" s="1">
        <v>482.0</v>
      </c>
      <c r="D192" s="1" t="s">
        <v>210</v>
      </c>
      <c r="E192" s="1" t="s">
        <v>211</v>
      </c>
    </row>
    <row r="193">
      <c r="A193" s="1" t="s">
        <v>5</v>
      </c>
      <c r="B193" s="1" t="s">
        <v>178</v>
      </c>
      <c r="C193" s="1">
        <v>752.0</v>
      </c>
      <c r="D193" s="1" t="s">
        <v>212</v>
      </c>
      <c r="E193" s="1" t="s">
        <v>211</v>
      </c>
    </row>
    <row r="194">
      <c r="A194" s="1" t="s">
        <v>5</v>
      </c>
      <c r="B194" s="1" t="s">
        <v>178</v>
      </c>
      <c r="C194" s="1">
        <v>76.0</v>
      </c>
      <c r="D194" s="1" t="s">
        <v>213</v>
      </c>
      <c r="E194" s="1" t="s">
        <v>211</v>
      </c>
    </row>
    <row r="195">
      <c r="A195" s="1" t="s">
        <v>5</v>
      </c>
      <c r="B195" s="1" t="s">
        <v>178</v>
      </c>
      <c r="C195" s="1">
        <v>67.0</v>
      </c>
      <c r="D195" s="1" t="s">
        <v>214</v>
      </c>
      <c r="E195" s="1" t="s">
        <v>211</v>
      </c>
    </row>
    <row r="196">
      <c r="A196" s="1" t="s">
        <v>5</v>
      </c>
      <c r="B196" s="1" t="s">
        <v>178</v>
      </c>
      <c r="C196" s="1">
        <v>603.0</v>
      </c>
      <c r="D196" s="1" t="s">
        <v>215</v>
      </c>
      <c r="E196" s="1" t="s">
        <v>211</v>
      </c>
    </row>
    <row r="197">
      <c r="A197" s="1" t="s">
        <v>5</v>
      </c>
      <c r="B197" s="1" t="s">
        <v>178</v>
      </c>
      <c r="C197" s="1">
        <v>570.0</v>
      </c>
      <c r="D197" s="1" t="s">
        <v>216</v>
      </c>
      <c r="E197" s="1" t="s">
        <v>211</v>
      </c>
    </row>
    <row r="198">
      <c r="A198" s="1" t="s">
        <v>5</v>
      </c>
      <c r="B198" s="1" t="s">
        <v>178</v>
      </c>
      <c r="C198" s="1">
        <v>601.0</v>
      </c>
      <c r="D198" s="1" t="s">
        <v>217</v>
      </c>
      <c r="E198" s="1" t="s">
        <v>211</v>
      </c>
    </row>
    <row r="199">
      <c r="A199" s="1" t="s">
        <v>5</v>
      </c>
      <c r="B199" s="1" t="s">
        <v>178</v>
      </c>
      <c r="C199" s="1">
        <v>58.0</v>
      </c>
      <c r="D199" s="1" t="s">
        <v>218</v>
      </c>
      <c r="E199" s="1" t="s">
        <v>211</v>
      </c>
    </row>
    <row r="200">
      <c r="A200" s="1" t="s">
        <v>5</v>
      </c>
      <c r="B200" s="1" t="s">
        <v>178</v>
      </c>
      <c r="C200" s="1">
        <v>801.0</v>
      </c>
      <c r="D200" s="1" t="s">
        <v>219</v>
      </c>
      <c r="E200" s="1" t="s">
        <v>211</v>
      </c>
    </row>
    <row r="201">
      <c r="A201" s="1" t="s">
        <v>5</v>
      </c>
      <c r="B201" s="1" t="s">
        <v>178</v>
      </c>
      <c r="C201" s="1">
        <v>184.0</v>
      </c>
      <c r="D201" s="1" t="s">
        <v>220</v>
      </c>
      <c r="E201" s="1" t="s">
        <v>211</v>
      </c>
    </row>
    <row r="202">
      <c r="A202" s="1" t="s">
        <v>5</v>
      </c>
      <c r="B202" s="1" t="s">
        <v>178</v>
      </c>
      <c r="C202" s="1">
        <v>689.0</v>
      </c>
      <c r="D202" s="1" t="s">
        <v>221</v>
      </c>
      <c r="E202" s="1" t="s">
        <v>211</v>
      </c>
    </row>
    <row r="203">
      <c r="A203" s="1" t="s">
        <v>5</v>
      </c>
      <c r="B203" s="1" t="s">
        <v>178</v>
      </c>
      <c r="C203" s="1">
        <v>641.0</v>
      </c>
      <c r="D203" s="1" t="s">
        <v>222</v>
      </c>
      <c r="E203" s="1" t="s">
        <v>211</v>
      </c>
    </row>
    <row r="204">
      <c r="A204" s="1" t="s">
        <v>5</v>
      </c>
      <c r="B204" s="1" t="s">
        <v>178</v>
      </c>
      <c r="C204" s="1">
        <v>198.0</v>
      </c>
      <c r="D204" s="1" t="s">
        <v>223</v>
      </c>
      <c r="E204" s="1" t="s">
        <v>211</v>
      </c>
    </row>
    <row r="205">
      <c r="A205" s="1" t="s">
        <v>5</v>
      </c>
      <c r="B205" s="1" t="s">
        <v>178</v>
      </c>
      <c r="C205" s="1">
        <v>219.0</v>
      </c>
      <c r="D205" s="1" t="s">
        <v>224</v>
      </c>
      <c r="E205" s="1" t="s">
        <v>211</v>
      </c>
    </row>
    <row r="206">
      <c r="A206" s="1" t="s">
        <v>5</v>
      </c>
      <c r="B206" s="1" t="s">
        <v>178</v>
      </c>
      <c r="C206" s="1">
        <v>805.0</v>
      </c>
      <c r="D206" s="1" t="s">
        <v>225</v>
      </c>
      <c r="E206" s="1" t="s">
        <v>211</v>
      </c>
    </row>
    <row r="207">
      <c r="A207" s="1" t="s">
        <v>5</v>
      </c>
      <c r="B207" s="1" t="s">
        <v>178</v>
      </c>
      <c r="C207" s="1">
        <v>193.0</v>
      </c>
      <c r="D207" s="1" t="s">
        <v>226</v>
      </c>
      <c r="E207" s="1" t="s">
        <v>211</v>
      </c>
    </row>
    <row r="208">
      <c r="A208" s="1" t="s">
        <v>5</v>
      </c>
      <c r="B208" s="1" t="s">
        <v>178</v>
      </c>
      <c r="C208" s="1">
        <v>258.0</v>
      </c>
      <c r="D208" s="1" t="s">
        <v>227</v>
      </c>
      <c r="E208" s="1" t="s">
        <v>211</v>
      </c>
    </row>
    <row r="209">
      <c r="A209" s="1" t="s">
        <v>5</v>
      </c>
      <c r="B209" s="1" t="s">
        <v>178</v>
      </c>
      <c r="C209" s="1">
        <v>52.0</v>
      </c>
      <c r="D209" s="1" t="s">
        <v>228</v>
      </c>
      <c r="E209" s="1" t="s">
        <v>211</v>
      </c>
    </row>
    <row r="210">
      <c r="A210" s="1" t="s">
        <v>5</v>
      </c>
      <c r="B210" s="1" t="s">
        <v>178</v>
      </c>
      <c r="C210" s="1">
        <v>633.0</v>
      </c>
      <c r="D210" s="1" t="s">
        <v>229</v>
      </c>
      <c r="E210" s="1" t="s">
        <v>211</v>
      </c>
    </row>
    <row r="211">
      <c r="A211" s="1" t="s">
        <v>5</v>
      </c>
      <c r="B211" s="1" t="s">
        <v>178</v>
      </c>
      <c r="C211" s="1">
        <v>201.0</v>
      </c>
      <c r="D211" s="1" t="s">
        <v>152</v>
      </c>
      <c r="E211" s="1" t="s">
        <v>211</v>
      </c>
    </row>
    <row r="212">
      <c r="A212" s="1" t="s">
        <v>5</v>
      </c>
      <c r="B212" s="1" t="s">
        <v>178</v>
      </c>
      <c r="C212" s="1">
        <v>1043.0</v>
      </c>
      <c r="D212" s="1" t="s">
        <v>230</v>
      </c>
      <c r="E212" s="1" t="s">
        <v>211</v>
      </c>
    </row>
    <row r="213">
      <c r="A213" s="1" t="s">
        <v>5</v>
      </c>
      <c r="B213" s="1" t="s">
        <v>178</v>
      </c>
      <c r="C213" s="1">
        <v>802.0</v>
      </c>
      <c r="D213" s="1" t="s">
        <v>231</v>
      </c>
      <c r="E213" s="1" t="s">
        <v>211</v>
      </c>
    </row>
    <row r="214">
      <c r="A214" s="1" t="s">
        <v>5</v>
      </c>
      <c r="B214" s="1" t="s">
        <v>178</v>
      </c>
      <c r="C214" s="1">
        <v>1178.0</v>
      </c>
      <c r="D214" s="1" t="s">
        <v>232</v>
      </c>
      <c r="E214" s="1" t="s">
        <v>211</v>
      </c>
    </row>
    <row r="215">
      <c r="A215" s="1" t="s">
        <v>5</v>
      </c>
      <c r="B215" s="1" t="s">
        <v>178</v>
      </c>
      <c r="C215" s="1">
        <v>1254.0</v>
      </c>
      <c r="D215" s="1" t="s">
        <v>233</v>
      </c>
      <c r="E215" s="1" t="s">
        <v>211</v>
      </c>
    </row>
    <row r="216">
      <c r="A216" s="1" t="s">
        <v>5</v>
      </c>
      <c r="B216" s="1" t="s">
        <v>178</v>
      </c>
      <c r="C216" s="1">
        <v>1279.0</v>
      </c>
      <c r="D216" s="1" t="s">
        <v>234</v>
      </c>
      <c r="E216" s="1" t="s">
        <v>211</v>
      </c>
    </row>
    <row r="217">
      <c r="A217" s="1" t="s">
        <v>5</v>
      </c>
      <c r="B217" s="1" t="s">
        <v>178</v>
      </c>
      <c r="C217" s="2"/>
      <c r="D217" s="1" t="s">
        <v>235</v>
      </c>
      <c r="E217" s="1" t="s">
        <v>211</v>
      </c>
    </row>
    <row r="218">
      <c r="A218" s="2"/>
      <c r="B218" s="2"/>
      <c r="C218" s="2"/>
      <c r="D218" s="2"/>
      <c r="E218" s="2"/>
    </row>
    <row r="219">
      <c r="A219" s="1" t="s">
        <v>5</v>
      </c>
      <c r="B219" s="1" t="s">
        <v>236</v>
      </c>
      <c r="C219" s="1">
        <v>7.0</v>
      </c>
      <c r="D219" s="1" t="s">
        <v>237</v>
      </c>
      <c r="E219" s="1" t="s">
        <v>238</v>
      </c>
    </row>
    <row r="220">
      <c r="A220" s="1" t="s">
        <v>5</v>
      </c>
      <c r="B220" s="1" t="s">
        <v>236</v>
      </c>
      <c r="C220" s="1">
        <v>34.0</v>
      </c>
      <c r="D220" s="1" t="s">
        <v>239</v>
      </c>
      <c r="E220" s="1" t="s">
        <v>238</v>
      </c>
    </row>
    <row r="221">
      <c r="A221" s="1" t="s">
        <v>5</v>
      </c>
      <c r="B221" s="1" t="s">
        <v>236</v>
      </c>
      <c r="C221" s="2"/>
      <c r="D221" s="1" t="s">
        <v>240</v>
      </c>
      <c r="E221" s="1" t="s">
        <v>238</v>
      </c>
    </row>
    <row r="222">
      <c r="A222" s="1" t="s">
        <v>5</v>
      </c>
      <c r="B222" s="1" t="s">
        <v>236</v>
      </c>
      <c r="C222" s="1">
        <v>926.0</v>
      </c>
      <c r="D222" s="1" t="s">
        <v>241</v>
      </c>
      <c r="E222" s="1" t="s">
        <v>238</v>
      </c>
    </row>
    <row r="223">
      <c r="A223" s="1" t="s">
        <v>5</v>
      </c>
      <c r="B223" s="1" t="s">
        <v>236</v>
      </c>
      <c r="C223" s="1">
        <v>1096.0</v>
      </c>
      <c r="D223" s="1" t="s">
        <v>242</v>
      </c>
      <c r="E223" s="1" t="s">
        <v>238</v>
      </c>
    </row>
    <row r="224">
      <c r="A224" s="1" t="s">
        <v>5</v>
      </c>
      <c r="B224" s="1" t="s">
        <v>236</v>
      </c>
      <c r="C224" s="2"/>
      <c r="D224" s="1" t="s">
        <v>243</v>
      </c>
      <c r="E224" s="1" t="s">
        <v>244</v>
      </c>
    </row>
    <row r="225">
      <c r="A225" s="1" t="s">
        <v>5</v>
      </c>
      <c r="B225" s="1" t="s">
        <v>236</v>
      </c>
      <c r="C225" s="2"/>
      <c r="D225" s="1" t="s">
        <v>245</v>
      </c>
      <c r="E225" s="1" t="s">
        <v>244</v>
      </c>
    </row>
    <row r="226">
      <c r="A226" s="1" t="s">
        <v>5</v>
      </c>
      <c r="B226" s="1" t="s">
        <v>236</v>
      </c>
      <c r="C226" s="1">
        <v>106.0</v>
      </c>
      <c r="D226" s="1" t="s">
        <v>246</v>
      </c>
      <c r="E226" s="1" t="s">
        <v>244</v>
      </c>
    </row>
    <row r="227">
      <c r="A227" s="1" t="s">
        <v>5</v>
      </c>
      <c r="B227" s="1" t="s">
        <v>236</v>
      </c>
      <c r="C227" s="1">
        <v>61.0</v>
      </c>
      <c r="D227" s="1" t="s">
        <v>247</v>
      </c>
      <c r="E227" s="1" t="s">
        <v>244</v>
      </c>
    </row>
    <row r="228">
      <c r="A228" s="1" t="s">
        <v>5</v>
      </c>
      <c r="B228" s="1" t="s">
        <v>236</v>
      </c>
      <c r="C228" s="2"/>
      <c r="D228" s="1" t="s">
        <v>248</v>
      </c>
      <c r="E228" s="1" t="s">
        <v>244</v>
      </c>
    </row>
    <row r="229">
      <c r="A229" s="1" t="s">
        <v>5</v>
      </c>
      <c r="B229" s="1" t="s">
        <v>236</v>
      </c>
      <c r="C229" s="1">
        <v>727.0</v>
      </c>
      <c r="D229" s="1" t="s">
        <v>249</v>
      </c>
      <c r="E229" s="1" t="s">
        <v>244</v>
      </c>
    </row>
    <row r="230">
      <c r="A230" s="1" t="s">
        <v>5</v>
      </c>
      <c r="B230" s="1" t="s">
        <v>236</v>
      </c>
      <c r="C230" s="2"/>
      <c r="D230" s="1" t="s">
        <v>250</v>
      </c>
      <c r="E230" s="1" t="s">
        <v>244</v>
      </c>
    </row>
    <row r="231">
      <c r="A231" s="1" t="s">
        <v>5</v>
      </c>
      <c r="B231" s="1" t="s">
        <v>236</v>
      </c>
      <c r="C231" s="2"/>
      <c r="D231" s="1" t="s">
        <v>251</v>
      </c>
      <c r="E231" s="1" t="s">
        <v>244</v>
      </c>
    </row>
    <row r="232">
      <c r="A232" s="1" t="s">
        <v>5</v>
      </c>
      <c r="B232" s="1" t="s">
        <v>236</v>
      </c>
      <c r="C232" s="1">
        <v>736.0</v>
      </c>
      <c r="D232" s="1" t="s">
        <v>252</v>
      </c>
      <c r="E232" s="1" t="s">
        <v>244</v>
      </c>
    </row>
    <row r="233">
      <c r="A233" s="1" t="s">
        <v>5</v>
      </c>
      <c r="B233" s="1" t="s">
        <v>236</v>
      </c>
      <c r="C233" s="1">
        <v>740.0</v>
      </c>
      <c r="D233" s="1" t="s">
        <v>253</v>
      </c>
      <c r="E233" s="1" t="s">
        <v>244</v>
      </c>
    </row>
    <row r="234">
      <c r="A234" s="1" t="s">
        <v>5</v>
      </c>
      <c r="B234" s="1" t="s">
        <v>236</v>
      </c>
      <c r="C234" s="1">
        <v>735.0</v>
      </c>
      <c r="D234" s="1" t="s">
        <v>254</v>
      </c>
      <c r="E234" s="1" t="s">
        <v>244</v>
      </c>
    </row>
    <row r="235">
      <c r="A235" s="1" t="s">
        <v>5</v>
      </c>
      <c r="B235" s="1" t="s">
        <v>236</v>
      </c>
      <c r="D235" s="1" t="s">
        <v>255</v>
      </c>
      <c r="E235" s="1" t="s">
        <v>244</v>
      </c>
    </row>
    <row r="236">
      <c r="A236" s="1" t="s">
        <v>5</v>
      </c>
      <c r="B236" s="1" t="s">
        <v>236</v>
      </c>
      <c r="D236" s="1" t="s">
        <v>256</v>
      </c>
      <c r="E236" s="1" t="s">
        <v>244</v>
      </c>
    </row>
    <row r="237">
      <c r="A237" s="1" t="s">
        <v>5</v>
      </c>
      <c r="B237" s="1" t="s">
        <v>236</v>
      </c>
      <c r="C237" s="2"/>
      <c r="D237" s="1" t="s">
        <v>257</v>
      </c>
      <c r="E237" s="1" t="s">
        <v>244</v>
      </c>
    </row>
    <row r="238">
      <c r="A238" s="1" t="s">
        <v>5</v>
      </c>
      <c r="B238" s="1" t="s">
        <v>236</v>
      </c>
      <c r="C238" s="2"/>
      <c r="D238" s="1" t="s">
        <v>258</v>
      </c>
      <c r="E238" s="1" t="s">
        <v>244</v>
      </c>
    </row>
    <row r="239">
      <c r="A239" s="1" t="s">
        <v>5</v>
      </c>
      <c r="B239" s="1" t="s">
        <v>236</v>
      </c>
      <c r="C239" s="2"/>
      <c r="D239" s="1" t="s">
        <v>259</v>
      </c>
      <c r="E239" s="1" t="s">
        <v>244</v>
      </c>
    </row>
    <row r="240">
      <c r="A240" s="1" t="s">
        <v>5</v>
      </c>
      <c r="B240" s="1" t="s">
        <v>236</v>
      </c>
      <c r="C240" s="2"/>
      <c r="D240" s="1" t="s">
        <v>260</v>
      </c>
      <c r="E240" s="1" t="s">
        <v>244</v>
      </c>
    </row>
    <row r="241">
      <c r="A241" s="1" t="s">
        <v>5</v>
      </c>
      <c r="B241" s="1" t="s">
        <v>236</v>
      </c>
      <c r="C241" s="1">
        <v>692.0</v>
      </c>
      <c r="D241" s="1" t="s">
        <v>261</v>
      </c>
      <c r="E241" s="1" t="s">
        <v>244</v>
      </c>
    </row>
    <row r="242">
      <c r="A242" s="1" t="s">
        <v>5</v>
      </c>
      <c r="B242" s="1" t="s">
        <v>236</v>
      </c>
      <c r="C242" s="1">
        <v>827.0</v>
      </c>
      <c r="D242" s="1" t="s">
        <v>262</v>
      </c>
      <c r="E242" s="1" t="s">
        <v>244</v>
      </c>
    </row>
    <row r="243">
      <c r="A243" s="1" t="s">
        <v>5</v>
      </c>
      <c r="B243" s="1" t="s">
        <v>236</v>
      </c>
      <c r="C243" s="2"/>
      <c r="D243" s="1" t="s">
        <v>263</v>
      </c>
      <c r="E243" s="1" t="s">
        <v>244</v>
      </c>
    </row>
    <row r="244">
      <c r="A244" s="1" t="s">
        <v>5</v>
      </c>
      <c r="B244" s="1" t="s">
        <v>236</v>
      </c>
      <c r="C244" s="2"/>
      <c r="D244" s="1" t="s">
        <v>264</v>
      </c>
      <c r="E244" s="1" t="s">
        <v>244</v>
      </c>
    </row>
    <row r="245">
      <c r="A245" s="1" t="s">
        <v>5</v>
      </c>
      <c r="B245" s="1" t="s">
        <v>236</v>
      </c>
      <c r="C245" s="1">
        <v>734.0</v>
      </c>
      <c r="D245" s="1" t="s">
        <v>265</v>
      </c>
      <c r="E245" s="1" t="s">
        <v>244</v>
      </c>
    </row>
    <row r="246">
      <c r="A246" s="1" t="s">
        <v>5</v>
      </c>
      <c r="B246" s="1" t="s">
        <v>236</v>
      </c>
      <c r="C246" s="1">
        <v>854.0</v>
      </c>
      <c r="D246" s="1" t="s">
        <v>266</v>
      </c>
      <c r="E246" s="1" t="s">
        <v>244</v>
      </c>
    </row>
    <row r="247">
      <c r="A247" s="1" t="s">
        <v>5</v>
      </c>
      <c r="B247" s="1" t="s">
        <v>236</v>
      </c>
      <c r="C247" s="1">
        <v>864.0</v>
      </c>
      <c r="D247" s="1" t="s">
        <v>267</v>
      </c>
      <c r="E247" s="1" t="s">
        <v>244</v>
      </c>
    </row>
    <row r="248">
      <c r="A248" s="1" t="s">
        <v>5</v>
      </c>
      <c r="B248" s="1" t="s">
        <v>236</v>
      </c>
      <c r="C248" s="1">
        <v>737.0</v>
      </c>
      <c r="D248" s="1" t="s">
        <v>268</v>
      </c>
      <c r="E248" s="1" t="s">
        <v>244</v>
      </c>
    </row>
    <row r="249">
      <c r="A249" s="1" t="s">
        <v>5</v>
      </c>
      <c r="B249" s="1" t="s">
        <v>236</v>
      </c>
      <c r="C249" s="1">
        <v>825.0</v>
      </c>
      <c r="D249" s="1" t="s">
        <v>269</v>
      </c>
      <c r="E249" s="1" t="s">
        <v>244</v>
      </c>
    </row>
    <row r="250">
      <c r="A250" s="1" t="s">
        <v>5</v>
      </c>
      <c r="B250" s="1" t="s">
        <v>236</v>
      </c>
      <c r="C250" s="1">
        <v>1032.0</v>
      </c>
      <c r="D250" s="1" t="s">
        <v>270</v>
      </c>
      <c r="E250" s="1" t="s">
        <v>244</v>
      </c>
    </row>
    <row r="251">
      <c r="A251" s="1" t="s">
        <v>5</v>
      </c>
      <c r="B251" s="1" t="s">
        <v>236</v>
      </c>
      <c r="C251" s="1">
        <v>1161.0</v>
      </c>
      <c r="D251" s="1" t="s">
        <v>271</v>
      </c>
      <c r="E251" s="1" t="s">
        <v>244</v>
      </c>
    </row>
    <row r="252">
      <c r="A252" s="1" t="s">
        <v>5</v>
      </c>
      <c r="B252" s="1" t="s">
        <v>236</v>
      </c>
      <c r="C252" s="1">
        <v>1169.0</v>
      </c>
      <c r="D252" s="1" t="s">
        <v>272</v>
      </c>
      <c r="E252" s="1" t="s">
        <v>244</v>
      </c>
    </row>
    <row r="253">
      <c r="A253" s="1" t="s">
        <v>5</v>
      </c>
      <c r="B253" s="1" t="s">
        <v>236</v>
      </c>
      <c r="C253" s="1">
        <v>1260.0</v>
      </c>
      <c r="D253" s="1" t="s">
        <v>273</v>
      </c>
      <c r="E253" s="1" t="s">
        <v>244</v>
      </c>
    </row>
    <row r="254">
      <c r="A254" s="1" t="s">
        <v>5</v>
      </c>
      <c r="B254" s="1" t="s">
        <v>236</v>
      </c>
      <c r="C254" s="1">
        <v>72.0</v>
      </c>
      <c r="D254" s="1" t="s">
        <v>274</v>
      </c>
      <c r="E254" s="1" t="s">
        <v>275</v>
      </c>
    </row>
    <row r="255">
      <c r="A255" s="1" t="s">
        <v>5</v>
      </c>
      <c r="B255" s="1" t="s">
        <v>236</v>
      </c>
      <c r="C255" s="1">
        <v>35.0</v>
      </c>
      <c r="D255" s="1" t="s">
        <v>276</v>
      </c>
      <c r="E255" s="1" t="s">
        <v>275</v>
      </c>
    </row>
    <row r="256">
      <c r="A256" s="1" t="s">
        <v>5</v>
      </c>
      <c r="B256" s="1" t="s">
        <v>236</v>
      </c>
      <c r="C256" s="1">
        <v>71.0</v>
      </c>
      <c r="D256" s="1" t="s">
        <v>277</v>
      </c>
      <c r="E256" s="1" t="s">
        <v>275</v>
      </c>
    </row>
    <row r="257">
      <c r="A257" s="1" t="s">
        <v>5</v>
      </c>
      <c r="B257" s="1" t="s">
        <v>236</v>
      </c>
      <c r="C257" s="1">
        <v>77.0</v>
      </c>
      <c r="D257" s="1" t="s">
        <v>278</v>
      </c>
      <c r="E257" s="1" t="s">
        <v>275</v>
      </c>
    </row>
    <row r="258">
      <c r="A258" s="1" t="s">
        <v>5</v>
      </c>
      <c r="B258" s="1" t="s">
        <v>236</v>
      </c>
      <c r="C258" s="1">
        <v>69.0</v>
      </c>
      <c r="D258" s="1" t="s">
        <v>279</v>
      </c>
      <c r="E258" s="1" t="s">
        <v>275</v>
      </c>
    </row>
    <row r="259">
      <c r="A259" s="1" t="s">
        <v>5</v>
      </c>
      <c r="B259" s="1" t="s">
        <v>236</v>
      </c>
      <c r="C259" s="1">
        <v>68.0</v>
      </c>
      <c r="D259" s="1" t="s">
        <v>280</v>
      </c>
      <c r="E259" s="1" t="s">
        <v>275</v>
      </c>
    </row>
    <row r="260">
      <c r="A260" s="1" t="s">
        <v>5</v>
      </c>
      <c r="B260" s="1" t="s">
        <v>236</v>
      </c>
      <c r="C260" s="1">
        <v>40.0</v>
      </c>
      <c r="D260" s="1" t="s">
        <v>281</v>
      </c>
      <c r="E260" s="1" t="s">
        <v>275</v>
      </c>
    </row>
    <row r="261">
      <c r="A261" s="1" t="s">
        <v>5</v>
      </c>
      <c r="B261" s="1" t="s">
        <v>236</v>
      </c>
      <c r="C261" s="1">
        <v>41.0</v>
      </c>
      <c r="D261" s="1" t="s">
        <v>282</v>
      </c>
      <c r="E261" s="1" t="s">
        <v>275</v>
      </c>
    </row>
    <row r="262">
      <c r="A262" s="1" t="s">
        <v>5</v>
      </c>
      <c r="B262" s="1" t="s">
        <v>236</v>
      </c>
      <c r="C262" s="1">
        <v>42.0</v>
      </c>
      <c r="D262" s="1" t="s">
        <v>283</v>
      </c>
      <c r="E262" s="1" t="s">
        <v>275</v>
      </c>
    </row>
    <row r="263">
      <c r="A263" s="1" t="s">
        <v>5</v>
      </c>
      <c r="B263" s="1" t="s">
        <v>236</v>
      </c>
      <c r="C263" s="1">
        <v>665.0</v>
      </c>
      <c r="D263" s="1" t="s">
        <v>284</v>
      </c>
      <c r="E263" s="1" t="s">
        <v>285</v>
      </c>
    </row>
    <row r="264">
      <c r="A264" s="1" t="s">
        <v>5</v>
      </c>
      <c r="B264" s="1" t="s">
        <v>236</v>
      </c>
      <c r="C264" s="1">
        <v>647.0</v>
      </c>
      <c r="D264" s="1" t="s">
        <v>286</v>
      </c>
      <c r="E264" s="1" t="s">
        <v>285</v>
      </c>
    </row>
    <row r="265">
      <c r="A265" s="1" t="s">
        <v>5</v>
      </c>
      <c r="B265" s="1" t="s">
        <v>236</v>
      </c>
      <c r="C265" s="1">
        <v>667.0</v>
      </c>
      <c r="D265" s="1" t="s">
        <v>287</v>
      </c>
      <c r="E265" s="1" t="s">
        <v>285</v>
      </c>
    </row>
    <row r="266">
      <c r="A266" s="1" t="s">
        <v>5</v>
      </c>
      <c r="B266" s="1" t="s">
        <v>236</v>
      </c>
      <c r="C266" s="1">
        <v>669.0</v>
      </c>
      <c r="D266" s="1" t="s">
        <v>288</v>
      </c>
      <c r="E266" s="1" t="s">
        <v>285</v>
      </c>
    </row>
    <row r="267">
      <c r="A267" s="1" t="s">
        <v>5</v>
      </c>
      <c r="B267" s="1" t="s">
        <v>236</v>
      </c>
      <c r="C267" s="1">
        <v>658.0</v>
      </c>
      <c r="D267" s="1" t="s">
        <v>289</v>
      </c>
      <c r="E267" s="1" t="s">
        <v>285</v>
      </c>
    </row>
    <row r="268">
      <c r="A268" s="1" t="s">
        <v>5</v>
      </c>
      <c r="B268" s="1" t="s">
        <v>236</v>
      </c>
      <c r="C268" s="1">
        <v>739.0</v>
      </c>
      <c r="D268" s="1" t="s">
        <v>290</v>
      </c>
      <c r="E268" s="1" t="s">
        <v>285</v>
      </c>
    </row>
    <row r="269">
      <c r="A269" s="1" t="s">
        <v>5</v>
      </c>
      <c r="B269" s="1" t="s">
        <v>236</v>
      </c>
      <c r="C269" s="1">
        <v>743.0</v>
      </c>
      <c r="D269" s="1" t="s">
        <v>291</v>
      </c>
      <c r="E269" s="1" t="s">
        <v>285</v>
      </c>
    </row>
    <row r="270">
      <c r="A270" s="1" t="s">
        <v>5</v>
      </c>
      <c r="B270" s="1" t="s">
        <v>236</v>
      </c>
      <c r="C270" s="1">
        <v>766.0</v>
      </c>
      <c r="D270" s="1" t="s">
        <v>292</v>
      </c>
      <c r="E270" s="1" t="s">
        <v>285</v>
      </c>
    </row>
    <row r="271">
      <c r="A271" s="1" t="s">
        <v>5</v>
      </c>
      <c r="B271" s="1" t="s">
        <v>236</v>
      </c>
      <c r="C271" s="1">
        <v>760.0</v>
      </c>
      <c r="D271" s="1" t="s">
        <v>293</v>
      </c>
      <c r="E271" s="1" t="s">
        <v>285</v>
      </c>
    </row>
    <row r="272">
      <c r="A272" s="1" t="s">
        <v>5</v>
      </c>
      <c r="B272" s="1" t="s">
        <v>236</v>
      </c>
      <c r="C272" s="1">
        <v>761.0</v>
      </c>
      <c r="D272" s="1" t="s">
        <v>294</v>
      </c>
      <c r="E272" s="1" t="s">
        <v>285</v>
      </c>
    </row>
    <row r="273">
      <c r="A273" s="1" t="s">
        <v>5</v>
      </c>
      <c r="B273" s="1" t="s">
        <v>236</v>
      </c>
      <c r="C273" s="1">
        <v>596.0</v>
      </c>
      <c r="D273" s="1" t="s">
        <v>295</v>
      </c>
      <c r="E273" s="1" t="s">
        <v>285</v>
      </c>
    </row>
    <row r="274">
      <c r="A274" s="1" t="s">
        <v>5</v>
      </c>
      <c r="B274" s="1" t="s">
        <v>236</v>
      </c>
      <c r="C274" s="1">
        <v>853.0</v>
      </c>
      <c r="D274" s="1" t="s">
        <v>296</v>
      </c>
      <c r="E274" s="1" t="s">
        <v>285</v>
      </c>
    </row>
    <row r="275">
      <c r="A275" s="1" t="s">
        <v>5</v>
      </c>
      <c r="B275" s="1" t="s">
        <v>236</v>
      </c>
      <c r="C275" s="1">
        <v>429.0</v>
      </c>
      <c r="D275" s="1" t="s">
        <v>297</v>
      </c>
      <c r="E275" s="1" t="s">
        <v>285</v>
      </c>
    </row>
    <row r="276">
      <c r="A276" s="1" t="s">
        <v>5</v>
      </c>
      <c r="B276" s="1" t="s">
        <v>236</v>
      </c>
      <c r="C276" s="1">
        <v>240.0</v>
      </c>
      <c r="D276" s="1" t="s">
        <v>298</v>
      </c>
      <c r="E276" s="1" t="s">
        <v>285</v>
      </c>
    </row>
    <row r="277">
      <c r="A277" s="1" t="s">
        <v>5</v>
      </c>
      <c r="B277" s="1" t="s">
        <v>236</v>
      </c>
      <c r="C277" s="1">
        <v>747.0</v>
      </c>
      <c r="D277" s="1" t="s">
        <v>299</v>
      </c>
      <c r="E277" s="1" t="s">
        <v>285</v>
      </c>
    </row>
    <row r="278">
      <c r="A278" s="1" t="s">
        <v>5</v>
      </c>
      <c r="B278" s="1" t="s">
        <v>236</v>
      </c>
      <c r="C278" s="1">
        <v>758.0</v>
      </c>
      <c r="D278" s="1" t="s">
        <v>300</v>
      </c>
      <c r="E278" s="1" t="s">
        <v>285</v>
      </c>
    </row>
    <row r="279">
      <c r="A279" s="1" t="s">
        <v>5</v>
      </c>
      <c r="B279" s="1" t="s">
        <v>236</v>
      </c>
      <c r="C279" s="1">
        <v>745.0</v>
      </c>
      <c r="D279" s="1" t="s">
        <v>301</v>
      </c>
      <c r="E279" s="1" t="s">
        <v>285</v>
      </c>
    </row>
    <row r="280">
      <c r="A280" s="1" t="s">
        <v>5</v>
      </c>
      <c r="B280" s="1" t="s">
        <v>236</v>
      </c>
      <c r="C280" s="1">
        <v>842.0</v>
      </c>
      <c r="D280" s="1" t="s">
        <v>302</v>
      </c>
      <c r="E280" s="1" t="s">
        <v>285</v>
      </c>
    </row>
    <row r="281">
      <c r="A281" s="1" t="s">
        <v>5</v>
      </c>
      <c r="B281" s="1" t="s">
        <v>236</v>
      </c>
      <c r="C281" s="1">
        <v>765.0</v>
      </c>
      <c r="D281" s="1" t="s">
        <v>303</v>
      </c>
      <c r="E281" s="1" t="s">
        <v>285</v>
      </c>
    </row>
    <row r="282">
      <c r="A282" s="1" t="s">
        <v>5</v>
      </c>
      <c r="B282" s="1" t="s">
        <v>236</v>
      </c>
      <c r="C282" s="1">
        <v>759.0</v>
      </c>
      <c r="D282" s="1" t="s">
        <v>304</v>
      </c>
      <c r="E282" s="1" t="s">
        <v>285</v>
      </c>
    </row>
    <row r="283">
      <c r="A283" s="1" t="s">
        <v>5</v>
      </c>
      <c r="B283" s="1" t="s">
        <v>236</v>
      </c>
      <c r="C283" s="1">
        <v>657.0</v>
      </c>
      <c r="D283" s="1" t="s">
        <v>305</v>
      </c>
      <c r="E283" s="1" t="s">
        <v>285</v>
      </c>
    </row>
    <row r="284">
      <c r="A284" s="1" t="s">
        <v>5</v>
      </c>
      <c r="B284" s="1" t="s">
        <v>236</v>
      </c>
      <c r="C284" s="1">
        <v>1088.0</v>
      </c>
      <c r="D284" s="1" t="s">
        <v>306</v>
      </c>
      <c r="E284" s="1" t="s">
        <v>285</v>
      </c>
    </row>
    <row r="285">
      <c r="A285" s="1" t="s">
        <v>5</v>
      </c>
      <c r="B285" s="1" t="s">
        <v>236</v>
      </c>
      <c r="C285" s="1">
        <v>1199.0</v>
      </c>
      <c r="D285" s="1" t="s">
        <v>307</v>
      </c>
      <c r="E285" s="1" t="s">
        <v>285</v>
      </c>
    </row>
    <row r="286">
      <c r="A286" s="1" t="s">
        <v>5</v>
      </c>
      <c r="B286" s="1" t="s">
        <v>236</v>
      </c>
      <c r="C286" s="1">
        <v>404.0</v>
      </c>
      <c r="D286" s="1" t="s">
        <v>308</v>
      </c>
      <c r="E286" s="1" t="s">
        <v>285</v>
      </c>
    </row>
    <row r="287">
      <c r="A287" s="1" t="s">
        <v>5</v>
      </c>
      <c r="B287" s="1" t="s">
        <v>236</v>
      </c>
      <c r="C287" s="1">
        <v>671.0</v>
      </c>
      <c r="D287" s="1" t="s">
        <v>309</v>
      </c>
      <c r="E287" s="1" t="s">
        <v>285</v>
      </c>
    </row>
    <row r="288">
      <c r="A288" s="1" t="s">
        <v>5</v>
      </c>
      <c r="B288" s="1" t="s">
        <v>236</v>
      </c>
      <c r="C288" s="1">
        <v>661.0</v>
      </c>
      <c r="D288" s="1" t="s">
        <v>310</v>
      </c>
      <c r="E288" s="1" t="s">
        <v>285</v>
      </c>
    </row>
    <row r="289">
      <c r="A289" s="1" t="s">
        <v>5</v>
      </c>
      <c r="B289" s="1" t="s">
        <v>236</v>
      </c>
      <c r="C289" s="1">
        <v>243.0</v>
      </c>
      <c r="D289" s="1" t="s">
        <v>311</v>
      </c>
      <c r="E289" s="1" t="s">
        <v>285</v>
      </c>
    </row>
    <row r="290">
      <c r="A290" s="1" t="s">
        <v>5</v>
      </c>
      <c r="B290" s="1" t="s">
        <v>236</v>
      </c>
      <c r="C290" s="1">
        <v>228.0</v>
      </c>
      <c r="D290" s="1" t="s">
        <v>312</v>
      </c>
      <c r="E290" s="1" t="s">
        <v>285</v>
      </c>
    </row>
    <row r="291">
      <c r="A291" s="1" t="s">
        <v>5</v>
      </c>
      <c r="B291" s="1" t="s">
        <v>236</v>
      </c>
      <c r="C291" s="1">
        <v>1163.0</v>
      </c>
      <c r="D291" s="1" t="s">
        <v>313</v>
      </c>
      <c r="E291" s="1" t="s">
        <v>285</v>
      </c>
    </row>
    <row r="292">
      <c r="A292" s="1" t="s">
        <v>5</v>
      </c>
      <c r="B292" s="1" t="s">
        <v>236</v>
      </c>
      <c r="C292" s="1">
        <v>355.0</v>
      </c>
      <c r="D292" s="1" t="s">
        <v>314</v>
      </c>
      <c r="E292" s="1" t="s">
        <v>285</v>
      </c>
    </row>
    <row r="293">
      <c r="A293" s="1" t="s">
        <v>5</v>
      </c>
      <c r="B293" s="1" t="s">
        <v>236</v>
      </c>
      <c r="C293" s="1">
        <v>1168.0</v>
      </c>
      <c r="D293" s="1" t="s">
        <v>315</v>
      </c>
      <c r="E293" s="1" t="s">
        <v>285</v>
      </c>
    </row>
    <row r="294">
      <c r="A294" s="2"/>
      <c r="B294" s="2"/>
      <c r="C294" s="2"/>
      <c r="D294" s="2"/>
      <c r="E294" s="2"/>
    </row>
    <row r="295">
      <c r="A295" s="1" t="s">
        <v>5</v>
      </c>
      <c r="B295" s="1" t="s">
        <v>316</v>
      </c>
      <c r="C295" s="1">
        <v>722.0</v>
      </c>
      <c r="D295" s="1" t="s">
        <v>317</v>
      </c>
      <c r="E295" s="1" t="s">
        <v>318</v>
      </c>
    </row>
    <row r="296">
      <c r="A296" s="1" t="s">
        <v>5</v>
      </c>
      <c r="B296" s="1" t="s">
        <v>316</v>
      </c>
      <c r="C296" s="1">
        <v>513.0</v>
      </c>
      <c r="D296" s="1" t="s">
        <v>319</v>
      </c>
      <c r="E296" s="1" t="s">
        <v>318</v>
      </c>
    </row>
    <row r="297">
      <c r="A297" s="1" t="s">
        <v>5</v>
      </c>
      <c r="B297" s="1" t="s">
        <v>316</v>
      </c>
      <c r="C297" s="1">
        <v>363.0</v>
      </c>
      <c r="D297" s="1" t="s">
        <v>320</v>
      </c>
      <c r="E297" s="1" t="s">
        <v>318</v>
      </c>
    </row>
    <row r="298">
      <c r="A298" s="1" t="s">
        <v>5</v>
      </c>
      <c r="B298" s="1" t="s">
        <v>316</v>
      </c>
      <c r="C298" s="1">
        <v>475.0</v>
      </c>
      <c r="D298" s="1" t="s">
        <v>321</v>
      </c>
      <c r="E298" s="1" t="s">
        <v>318</v>
      </c>
    </row>
    <row r="299">
      <c r="A299" s="1" t="s">
        <v>5</v>
      </c>
      <c r="B299" s="1" t="s">
        <v>316</v>
      </c>
      <c r="C299" s="1">
        <v>608.0</v>
      </c>
      <c r="D299" s="1" t="s">
        <v>322</v>
      </c>
      <c r="E299" s="1" t="s">
        <v>318</v>
      </c>
    </row>
    <row r="300">
      <c r="A300" s="1" t="s">
        <v>5</v>
      </c>
      <c r="B300" s="1" t="s">
        <v>316</v>
      </c>
      <c r="C300" s="1">
        <v>643.0</v>
      </c>
      <c r="D300" s="1" t="s">
        <v>323</v>
      </c>
      <c r="E300" s="1" t="s">
        <v>318</v>
      </c>
    </row>
    <row r="301">
      <c r="A301" s="1" t="s">
        <v>5</v>
      </c>
      <c r="B301" s="1" t="s">
        <v>316</v>
      </c>
      <c r="C301" s="1">
        <v>174.0</v>
      </c>
      <c r="D301" s="1" t="s">
        <v>324</v>
      </c>
      <c r="E301" s="1" t="s">
        <v>318</v>
      </c>
    </row>
    <row r="302">
      <c r="A302" s="1" t="s">
        <v>5</v>
      </c>
      <c r="B302" s="1" t="s">
        <v>316</v>
      </c>
      <c r="C302" s="1">
        <v>423.0</v>
      </c>
      <c r="D302" s="1" t="s">
        <v>325</v>
      </c>
      <c r="E302" s="1" t="s">
        <v>318</v>
      </c>
    </row>
    <row r="303">
      <c r="A303" s="1" t="s">
        <v>5</v>
      </c>
      <c r="B303" s="1" t="s">
        <v>316</v>
      </c>
      <c r="C303" s="1">
        <v>362.0</v>
      </c>
      <c r="D303" s="1" t="s">
        <v>326</v>
      </c>
      <c r="E303" s="1" t="s">
        <v>318</v>
      </c>
    </row>
    <row r="304">
      <c r="A304" s="1" t="s">
        <v>5</v>
      </c>
      <c r="B304" s="1" t="s">
        <v>316</v>
      </c>
      <c r="C304" s="1">
        <v>177.0</v>
      </c>
      <c r="D304" s="1" t="s">
        <v>327</v>
      </c>
      <c r="E304" s="1" t="s">
        <v>318</v>
      </c>
    </row>
    <row r="305">
      <c r="A305" s="1" t="s">
        <v>5</v>
      </c>
      <c r="B305" s="1" t="s">
        <v>316</v>
      </c>
      <c r="C305" s="1">
        <v>422.0</v>
      </c>
      <c r="D305" s="1" t="s">
        <v>328</v>
      </c>
      <c r="E305" s="1" t="s">
        <v>318</v>
      </c>
    </row>
    <row r="306">
      <c r="A306" s="1" t="s">
        <v>5</v>
      </c>
      <c r="B306" s="1" t="s">
        <v>316</v>
      </c>
      <c r="C306" s="1">
        <v>179.0</v>
      </c>
      <c r="D306" s="1" t="s">
        <v>329</v>
      </c>
      <c r="E306" s="1" t="s">
        <v>318</v>
      </c>
    </row>
    <row r="307">
      <c r="A307" s="1" t="s">
        <v>5</v>
      </c>
      <c r="B307" s="1" t="s">
        <v>316</v>
      </c>
      <c r="C307" s="3">
        <v>114.0</v>
      </c>
      <c r="D307" s="1" t="s">
        <v>116</v>
      </c>
      <c r="E307" s="1" t="s">
        <v>318</v>
      </c>
    </row>
    <row r="308">
      <c r="A308" s="1" t="s">
        <v>5</v>
      </c>
      <c r="B308" s="1" t="s">
        <v>316</v>
      </c>
      <c r="C308" s="3">
        <v>115.0</v>
      </c>
      <c r="D308" s="1" t="s">
        <v>330</v>
      </c>
      <c r="E308" s="1" t="s">
        <v>318</v>
      </c>
    </row>
    <row r="309">
      <c r="A309" s="1" t="s">
        <v>5</v>
      </c>
      <c r="B309" s="1" t="s">
        <v>316</v>
      </c>
      <c r="C309" s="1">
        <v>112.0</v>
      </c>
      <c r="D309" s="1" t="s">
        <v>331</v>
      </c>
      <c r="E309" s="1" t="s">
        <v>318</v>
      </c>
    </row>
    <row r="310">
      <c r="A310" s="1" t="s">
        <v>5</v>
      </c>
      <c r="B310" s="1" t="s">
        <v>316</v>
      </c>
      <c r="C310" s="1">
        <v>185.0</v>
      </c>
      <c r="D310" s="1" t="s">
        <v>332</v>
      </c>
      <c r="E310" s="1" t="s">
        <v>318</v>
      </c>
    </row>
    <row r="311">
      <c r="A311" s="1" t="s">
        <v>5</v>
      </c>
      <c r="B311" s="1" t="s">
        <v>316</v>
      </c>
      <c r="C311" s="3">
        <v>176.0</v>
      </c>
      <c r="D311" s="1" t="s">
        <v>333</v>
      </c>
      <c r="E311" s="1" t="s">
        <v>318</v>
      </c>
    </row>
    <row r="312">
      <c r="A312" s="1" t="s">
        <v>5</v>
      </c>
      <c r="B312" s="1" t="s">
        <v>316</v>
      </c>
      <c r="C312" s="3">
        <v>476.0</v>
      </c>
      <c r="D312" s="1" t="s">
        <v>334</v>
      </c>
      <c r="E312" s="1" t="s">
        <v>318</v>
      </c>
    </row>
    <row r="313">
      <c r="A313" s="1" t="s">
        <v>5</v>
      </c>
      <c r="B313" s="1" t="s">
        <v>316</v>
      </c>
      <c r="C313" s="1">
        <v>847.0</v>
      </c>
      <c r="D313" s="1" t="s">
        <v>335</v>
      </c>
      <c r="E313" s="1" t="s">
        <v>318</v>
      </c>
    </row>
    <row r="314">
      <c r="A314" s="1" t="s">
        <v>5</v>
      </c>
      <c r="B314" s="1" t="s">
        <v>316</v>
      </c>
      <c r="C314" s="1">
        <v>998.0</v>
      </c>
      <c r="D314" s="1" t="s">
        <v>336</v>
      </c>
      <c r="E314" s="1" t="s">
        <v>318</v>
      </c>
    </row>
    <row r="315">
      <c r="A315" s="1" t="s">
        <v>5</v>
      </c>
      <c r="B315" s="1" t="s">
        <v>316</v>
      </c>
      <c r="C315" s="3">
        <v>1128.0</v>
      </c>
      <c r="D315" s="1" t="s">
        <v>337</v>
      </c>
      <c r="E315" s="1" t="s">
        <v>318</v>
      </c>
    </row>
    <row r="316">
      <c r="A316" s="1" t="s">
        <v>5</v>
      </c>
      <c r="B316" s="1" t="s">
        <v>316</v>
      </c>
      <c r="C316" s="3">
        <v>812.0</v>
      </c>
      <c r="D316" s="1" t="s">
        <v>338</v>
      </c>
      <c r="E316" s="1" t="s">
        <v>318</v>
      </c>
    </row>
    <row r="317">
      <c r="A317" s="1" t="s">
        <v>5</v>
      </c>
      <c r="B317" s="1" t="s">
        <v>316</v>
      </c>
      <c r="C317" s="1">
        <v>1141.0</v>
      </c>
      <c r="D317" s="1" t="s">
        <v>339</v>
      </c>
      <c r="E317" s="1" t="s">
        <v>318</v>
      </c>
    </row>
    <row r="318">
      <c r="A318" s="2"/>
      <c r="B318" s="2"/>
      <c r="C318" s="2"/>
      <c r="D318" s="2"/>
      <c r="E318" s="2"/>
    </row>
    <row r="319">
      <c r="A319" s="1" t="s">
        <v>5</v>
      </c>
      <c r="B319" s="1" t="s">
        <v>340</v>
      </c>
      <c r="C319" s="2"/>
      <c r="D319" s="1" t="s">
        <v>341</v>
      </c>
      <c r="E319" s="1" t="s">
        <v>56</v>
      </c>
    </row>
    <row r="320">
      <c r="A320" s="1" t="s">
        <v>5</v>
      </c>
      <c r="B320" s="1" t="s">
        <v>340</v>
      </c>
      <c r="C320" s="2"/>
      <c r="D320" s="1" t="s">
        <v>342</v>
      </c>
      <c r="E320" s="1" t="s">
        <v>197</v>
      </c>
    </row>
    <row r="321">
      <c r="A321" s="1" t="s">
        <v>5</v>
      </c>
      <c r="B321" s="1" t="s">
        <v>340</v>
      </c>
      <c r="C321" s="2"/>
      <c r="D321" s="1" t="s">
        <v>343</v>
      </c>
      <c r="E321" s="1" t="s">
        <v>56</v>
      </c>
    </row>
    <row r="322">
      <c r="A322" s="2"/>
      <c r="B322" s="2"/>
      <c r="C322" s="2"/>
      <c r="D322" s="2"/>
      <c r="E322" s="2"/>
    </row>
    <row r="323">
      <c r="A323" s="1" t="s">
        <v>5</v>
      </c>
      <c r="B323" s="1" t="s">
        <v>344</v>
      </c>
      <c r="C323" s="1">
        <v>1033.0</v>
      </c>
      <c r="D323" s="1" t="s">
        <v>345</v>
      </c>
      <c r="E323" s="1" t="s">
        <v>56</v>
      </c>
    </row>
    <row r="324">
      <c r="A324" s="1" t="s">
        <v>5</v>
      </c>
      <c r="B324" s="1" t="s">
        <v>344</v>
      </c>
      <c r="C324" s="1">
        <v>1138.0</v>
      </c>
      <c r="D324" s="1" t="s">
        <v>346</v>
      </c>
      <c r="E324" s="1" t="s">
        <v>56</v>
      </c>
    </row>
    <row r="325">
      <c r="A325" s="1" t="s">
        <v>5</v>
      </c>
      <c r="B325" s="1" t="s">
        <v>344</v>
      </c>
      <c r="C325" s="1">
        <v>1210.0</v>
      </c>
      <c r="D325" s="1" t="s">
        <v>347</v>
      </c>
      <c r="E325" s="1" t="s">
        <v>56</v>
      </c>
    </row>
    <row r="326">
      <c r="A326" s="1" t="s">
        <v>5</v>
      </c>
      <c r="B326" s="1" t="s">
        <v>344</v>
      </c>
      <c r="C326" s="1">
        <v>1267.0</v>
      </c>
      <c r="D326" s="1" t="s">
        <v>348</v>
      </c>
      <c r="E326" s="1" t="s">
        <v>56</v>
      </c>
    </row>
    <row r="327">
      <c r="A327" s="1" t="s">
        <v>5</v>
      </c>
      <c r="B327" s="1" t="s">
        <v>344</v>
      </c>
      <c r="C327" s="1">
        <v>1290.0</v>
      </c>
      <c r="D327" s="1" t="s">
        <v>349</v>
      </c>
      <c r="E327" s="1" t="s">
        <v>56</v>
      </c>
    </row>
    <row r="328">
      <c r="A328" s="1" t="s">
        <v>5</v>
      </c>
      <c r="B328" s="1" t="s">
        <v>344</v>
      </c>
      <c r="C328" s="1">
        <v>1291.0</v>
      </c>
      <c r="D328" s="1" t="s">
        <v>350</v>
      </c>
      <c r="E328" s="1" t="s">
        <v>56</v>
      </c>
    </row>
    <row r="329">
      <c r="A329" s="2"/>
      <c r="B329" s="2"/>
      <c r="C329" s="2"/>
      <c r="D329" s="2"/>
      <c r="E329" s="2"/>
    </row>
    <row r="330">
      <c r="A330" s="1" t="s">
        <v>351</v>
      </c>
      <c r="B330" s="1" t="s">
        <v>352</v>
      </c>
      <c r="C330" s="1">
        <v>126.0</v>
      </c>
      <c r="D330" s="1" t="s">
        <v>353</v>
      </c>
      <c r="E330" s="1" t="s">
        <v>56</v>
      </c>
    </row>
    <row r="331">
      <c r="A331" s="1" t="s">
        <v>351</v>
      </c>
      <c r="B331" s="1" t="s">
        <v>352</v>
      </c>
      <c r="C331" s="1">
        <v>1185.0</v>
      </c>
      <c r="D331" s="1" t="s">
        <v>354</v>
      </c>
      <c r="E331" s="1" t="s">
        <v>56</v>
      </c>
    </row>
    <row r="332">
      <c r="A332" s="1" t="s">
        <v>351</v>
      </c>
      <c r="B332" s="1" t="s">
        <v>352</v>
      </c>
      <c r="C332" s="1">
        <v>137.0</v>
      </c>
      <c r="D332" s="1" t="s">
        <v>355</v>
      </c>
      <c r="E332" s="1" t="s">
        <v>56</v>
      </c>
    </row>
    <row r="333">
      <c r="A333" s="1" t="s">
        <v>351</v>
      </c>
      <c r="B333" s="1" t="s">
        <v>352</v>
      </c>
      <c r="C333" s="1">
        <v>535.0</v>
      </c>
      <c r="D333" s="1" t="s">
        <v>356</v>
      </c>
      <c r="E333" s="1" t="s">
        <v>56</v>
      </c>
    </row>
    <row r="334">
      <c r="A334" s="2"/>
      <c r="B334" s="2"/>
      <c r="C334" s="2"/>
      <c r="D334" s="2"/>
      <c r="E334" s="2"/>
    </row>
    <row r="335">
      <c r="A335" s="1" t="s">
        <v>351</v>
      </c>
      <c r="B335" s="1" t="s">
        <v>357</v>
      </c>
      <c r="C335" s="1">
        <v>147.0</v>
      </c>
      <c r="D335" s="1" t="s">
        <v>358</v>
      </c>
      <c r="E335" s="1" t="s">
        <v>56</v>
      </c>
    </row>
    <row r="336">
      <c r="A336" s="1" t="s">
        <v>351</v>
      </c>
      <c r="B336" s="1" t="s">
        <v>357</v>
      </c>
      <c r="C336" s="1">
        <v>818.0</v>
      </c>
      <c r="D336" s="1" t="s">
        <v>359</v>
      </c>
      <c r="E336" s="1" t="s">
        <v>56</v>
      </c>
    </row>
    <row r="337">
      <c r="A337" s="2"/>
      <c r="B337" s="2"/>
      <c r="C337" s="2"/>
      <c r="D337" s="2"/>
      <c r="E337" s="2"/>
    </row>
    <row r="338">
      <c r="A338" s="1" t="s">
        <v>351</v>
      </c>
      <c r="B338" s="1" t="s">
        <v>360</v>
      </c>
      <c r="C338" s="1">
        <v>186.0</v>
      </c>
      <c r="D338" s="1" t="s">
        <v>361</v>
      </c>
      <c r="E338" s="1" t="s">
        <v>362</v>
      </c>
    </row>
    <row r="339">
      <c r="A339" s="1" t="s">
        <v>351</v>
      </c>
      <c r="B339" s="1" t="s">
        <v>360</v>
      </c>
      <c r="C339" s="1">
        <v>124.0</v>
      </c>
      <c r="D339" s="1" t="s">
        <v>363</v>
      </c>
      <c r="E339" s="1" t="s">
        <v>362</v>
      </c>
    </row>
    <row r="340">
      <c r="A340" s="1" t="s">
        <v>351</v>
      </c>
      <c r="B340" s="1" t="s">
        <v>360</v>
      </c>
      <c r="C340" s="3">
        <v>245.0</v>
      </c>
      <c r="D340" s="1" t="s">
        <v>364</v>
      </c>
      <c r="E340" s="1" t="s">
        <v>365</v>
      </c>
    </row>
    <row r="341">
      <c r="A341" s="1" t="s">
        <v>351</v>
      </c>
      <c r="B341" s="1" t="s">
        <v>360</v>
      </c>
      <c r="C341" s="3">
        <v>108.0</v>
      </c>
      <c r="D341" s="1" t="s">
        <v>366</v>
      </c>
      <c r="E341" s="1" t="s">
        <v>365</v>
      </c>
    </row>
    <row r="342">
      <c r="A342" s="1" t="s">
        <v>351</v>
      </c>
      <c r="B342" s="1" t="s">
        <v>360</v>
      </c>
      <c r="C342" s="1">
        <v>717.0</v>
      </c>
      <c r="D342" s="1" t="s">
        <v>367</v>
      </c>
      <c r="E342" s="1" t="s">
        <v>365</v>
      </c>
    </row>
    <row r="343">
      <c r="A343" s="1" t="s">
        <v>351</v>
      </c>
      <c r="B343" s="1" t="s">
        <v>360</v>
      </c>
      <c r="C343" s="1">
        <v>121.0</v>
      </c>
      <c r="D343" s="1" t="s">
        <v>368</v>
      </c>
      <c r="E343" s="1" t="s">
        <v>365</v>
      </c>
    </row>
    <row r="344">
      <c r="A344" s="1" t="s">
        <v>351</v>
      </c>
      <c r="B344" s="1" t="s">
        <v>360</v>
      </c>
      <c r="C344" s="1">
        <v>136.0</v>
      </c>
      <c r="D344" s="1" t="s">
        <v>369</v>
      </c>
      <c r="E344" s="1" t="s">
        <v>365</v>
      </c>
    </row>
    <row r="345">
      <c r="A345" s="1" t="s">
        <v>351</v>
      </c>
      <c r="B345" s="1" t="s">
        <v>360</v>
      </c>
      <c r="C345" s="1">
        <v>132.0</v>
      </c>
      <c r="D345" s="1" t="s">
        <v>234</v>
      </c>
      <c r="E345" s="1" t="s">
        <v>365</v>
      </c>
    </row>
    <row r="346">
      <c r="A346" s="1" t="s">
        <v>351</v>
      </c>
      <c r="B346" s="1" t="s">
        <v>360</v>
      </c>
      <c r="C346" s="3">
        <v>107.0</v>
      </c>
      <c r="D346" s="1" t="s">
        <v>370</v>
      </c>
      <c r="E346" s="1" t="s">
        <v>371</v>
      </c>
    </row>
    <row r="347">
      <c r="A347" s="1" t="s">
        <v>351</v>
      </c>
      <c r="B347" s="1" t="s">
        <v>360</v>
      </c>
      <c r="C347" s="3">
        <v>243.0</v>
      </c>
      <c r="D347" s="1" t="s">
        <v>311</v>
      </c>
      <c r="E347" s="1" t="s">
        <v>371</v>
      </c>
    </row>
    <row r="348">
      <c r="A348" s="1" t="s">
        <v>351</v>
      </c>
      <c r="B348" s="1" t="s">
        <v>360</v>
      </c>
      <c r="C348" s="1">
        <v>276.0</v>
      </c>
      <c r="D348" s="1" t="s">
        <v>372</v>
      </c>
      <c r="E348" s="1" t="s">
        <v>371</v>
      </c>
    </row>
    <row r="349">
      <c r="A349" s="1" t="s">
        <v>351</v>
      </c>
      <c r="B349" s="1" t="s">
        <v>360</v>
      </c>
      <c r="C349" s="1">
        <v>244.0</v>
      </c>
      <c r="D349" s="1" t="s">
        <v>373</v>
      </c>
      <c r="E349" s="1" t="s">
        <v>371</v>
      </c>
    </row>
    <row r="350">
      <c r="A350" s="1" t="s">
        <v>351</v>
      </c>
      <c r="B350" s="1" t="s">
        <v>360</v>
      </c>
      <c r="C350" s="3">
        <v>242.0</v>
      </c>
      <c r="D350" s="1" t="s">
        <v>374</v>
      </c>
      <c r="E350" s="1" t="s">
        <v>371</v>
      </c>
    </row>
    <row r="351">
      <c r="A351" s="1" t="s">
        <v>351</v>
      </c>
      <c r="B351" s="1" t="s">
        <v>360</v>
      </c>
      <c r="C351" s="3">
        <v>111.0</v>
      </c>
      <c r="D351" s="1" t="s">
        <v>145</v>
      </c>
      <c r="E351" s="1" t="s">
        <v>371</v>
      </c>
    </row>
    <row r="352">
      <c r="A352" s="1" t="s">
        <v>351</v>
      </c>
      <c r="B352" s="1" t="s">
        <v>360</v>
      </c>
      <c r="C352" s="1">
        <v>211.0</v>
      </c>
      <c r="D352" s="1" t="s">
        <v>375</v>
      </c>
      <c r="E352" s="1" t="s">
        <v>376</v>
      </c>
    </row>
    <row r="353">
      <c r="A353" s="1" t="s">
        <v>351</v>
      </c>
      <c r="B353" s="1" t="s">
        <v>360</v>
      </c>
      <c r="C353" s="1">
        <v>656.0</v>
      </c>
      <c r="D353" s="1" t="s">
        <v>377</v>
      </c>
      <c r="E353" s="1" t="s">
        <v>376</v>
      </c>
    </row>
    <row r="354">
      <c r="A354" s="1" t="s">
        <v>351</v>
      </c>
      <c r="B354" s="1" t="s">
        <v>360</v>
      </c>
      <c r="C354" s="1">
        <v>217.0</v>
      </c>
      <c r="D354" s="1" t="s">
        <v>378</v>
      </c>
      <c r="E354" s="1" t="s">
        <v>376</v>
      </c>
    </row>
    <row r="355">
      <c r="A355" s="1" t="s">
        <v>351</v>
      </c>
      <c r="B355" s="1" t="s">
        <v>360</v>
      </c>
      <c r="C355" s="1">
        <v>314.0</v>
      </c>
      <c r="D355" s="1" t="s">
        <v>379</v>
      </c>
      <c r="E355" s="1" t="s">
        <v>376</v>
      </c>
    </row>
    <row r="356">
      <c r="A356" s="1" t="s">
        <v>351</v>
      </c>
      <c r="B356" s="1" t="s">
        <v>360</v>
      </c>
      <c r="C356" s="1">
        <v>731.0</v>
      </c>
      <c r="D356" s="1" t="s">
        <v>380</v>
      </c>
      <c r="E356" s="1" t="s">
        <v>376</v>
      </c>
    </row>
    <row r="357">
      <c r="A357" s="1" t="s">
        <v>351</v>
      </c>
      <c r="B357" s="1" t="s">
        <v>360</v>
      </c>
      <c r="C357" s="1">
        <v>995.0</v>
      </c>
      <c r="D357" s="1" t="s">
        <v>23</v>
      </c>
      <c r="E357" s="1" t="s">
        <v>376</v>
      </c>
    </row>
    <row r="358">
      <c r="A358" s="1" t="s">
        <v>351</v>
      </c>
      <c r="B358" s="1" t="s">
        <v>360</v>
      </c>
      <c r="C358" s="1">
        <v>288.0</v>
      </c>
      <c r="D358" s="1" t="s">
        <v>381</v>
      </c>
      <c r="E358" s="1" t="s">
        <v>376</v>
      </c>
    </row>
    <row r="359">
      <c r="A359" s="1" t="s">
        <v>351</v>
      </c>
      <c r="B359" s="1" t="s">
        <v>360</v>
      </c>
      <c r="C359" s="1">
        <v>289.0</v>
      </c>
      <c r="D359" s="1" t="s">
        <v>382</v>
      </c>
      <c r="E359" s="1" t="s">
        <v>376</v>
      </c>
    </row>
    <row r="360">
      <c r="A360" s="1" t="s">
        <v>351</v>
      </c>
      <c r="B360" s="1" t="s">
        <v>360</v>
      </c>
      <c r="C360" s="1">
        <v>487.0</v>
      </c>
      <c r="D360" s="1" t="s">
        <v>383</v>
      </c>
      <c r="E360" s="1" t="s">
        <v>376</v>
      </c>
    </row>
    <row r="361">
      <c r="A361" s="1" t="s">
        <v>351</v>
      </c>
      <c r="B361" s="1" t="s">
        <v>360</v>
      </c>
      <c r="C361" s="1">
        <v>660.0</v>
      </c>
      <c r="D361" s="1" t="s">
        <v>384</v>
      </c>
      <c r="E361" s="1" t="s">
        <v>376</v>
      </c>
    </row>
    <row r="362">
      <c r="A362" s="1" t="s">
        <v>351</v>
      </c>
      <c r="B362" s="1" t="s">
        <v>360</v>
      </c>
      <c r="C362" s="1">
        <v>1253.0</v>
      </c>
      <c r="D362" s="1" t="s">
        <v>385</v>
      </c>
      <c r="E362" s="1" t="s">
        <v>376</v>
      </c>
    </row>
    <row r="363">
      <c r="A363" s="1" t="s">
        <v>351</v>
      </c>
      <c r="B363" s="1" t="s">
        <v>360</v>
      </c>
      <c r="C363" s="1">
        <v>346.0</v>
      </c>
      <c r="D363" s="1" t="s">
        <v>386</v>
      </c>
      <c r="E363" s="1" t="s">
        <v>387</v>
      </c>
    </row>
    <row r="364">
      <c r="A364" s="1" t="s">
        <v>351</v>
      </c>
      <c r="B364" s="1" t="s">
        <v>360</v>
      </c>
      <c r="C364" s="1">
        <v>210.0</v>
      </c>
      <c r="D364" s="1" t="s">
        <v>388</v>
      </c>
      <c r="E364" s="1" t="s">
        <v>387</v>
      </c>
    </row>
    <row r="365">
      <c r="A365" s="1" t="s">
        <v>351</v>
      </c>
      <c r="B365" s="1" t="s">
        <v>360</v>
      </c>
      <c r="C365" s="1">
        <v>283.0</v>
      </c>
      <c r="D365" s="1" t="s">
        <v>389</v>
      </c>
      <c r="E365" s="1" t="s">
        <v>387</v>
      </c>
    </row>
    <row r="366">
      <c r="A366" s="1" t="s">
        <v>351</v>
      </c>
      <c r="B366" s="1" t="s">
        <v>360</v>
      </c>
      <c r="C366" s="1">
        <v>320.0</v>
      </c>
      <c r="D366" s="1" t="s">
        <v>390</v>
      </c>
      <c r="E366" s="1" t="s">
        <v>387</v>
      </c>
    </row>
    <row r="367">
      <c r="A367" s="1" t="s">
        <v>351</v>
      </c>
      <c r="B367" s="1" t="s">
        <v>360</v>
      </c>
      <c r="C367" s="1">
        <v>291.0</v>
      </c>
      <c r="D367" s="1" t="s">
        <v>391</v>
      </c>
      <c r="E367" s="1" t="s">
        <v>387</v>
      </c>
    </row>
    <row r="368">
      <c r="A368" s="1" t="s">
        <v>351</v>
      </c>
      <c r="B368" s="1" t="s">
        <v>360</v>
      </c>
      <c r="C368" s="1">
        <v>308.0</v>
      </c>
      <c r="D368" s="1" t="s">
        <v>392</v>
      </c>
      <c r="E368" s="1" t="s">
        <v>387</v>
      </c>
    </row>
    <row r="369">
      <c r="A369" s="1" t="s">
        <v>351</v>
      </c>
      <c r="B369" s="1" t="s">
        <v>360</v>
      </c>
      <c r="C369" s="1">
        <v>479.0</v>
      </c>
      <c r="D369" s="1" t="s">
        <v>393</v>
      </c>
      <c r="E369" s="1" t="s">
        <v>387</v>
      </c>
    </row>
    <row r="370">
      <c r="A370" s="1" t="s">
        <v>351</v>
      </c>
      <c r="B370" s="1" t="s">
        <v>360</v>
      </c>
      <c r="C370" s="1">
        <v>774.0</v>
      </c>
      <c r="D370" s="1" t="s">
        <v>394</v>
      </c>
      <c r="E370" s="1" t="s">
        <v>387</v>
      </c>
    </row>
    <row r="371">
      <c r="A371" s="1" t="s">
        <v>351</v>
      </c>
      <c r="B371" s="1" t="s">
        <v>360</v>
      </c>
      <c r="C371" s="1">
        <v>309.0</v>
      </c>
      <c r="D371" s="1" t="s">
        <v>395</v>
      </c>
      <c r="E371" s="1" t="s">
        <v>387</v>
      </c>
    </row>
    <row r="372">
      <c r="A372" s="1" t="s">
        <v>351</v>
      </c>
      <c r="B372" s="1" t="s">
        <v>360</v>
      </c>
      <c r="C372" s="1">
        <v>215.0</v>
      </c>
      <c r="D372" s="1" t="s">
        <v>396</v>
      </c>
      <c r="E372" s="1" t="s">
        <v>387</v>
      </c>
    </row>
    <row r="373">
      <c r="A373" s="1" t="s">
        <v>351</v>
      </c>
      <c r="B373" s="1" t="s">
        <v>360</v>
      </c>
      <c r="C373" s="1">
        <v>1251.0</v>
      </c>
      <c r="D373" s="1" t="s">
        <v>397</v>
      </c>
      <c r="E373" s="1" t="s">
        <v>387</v>
      </c>
    </row>
    <row r="374">
      <c r="A374" s="1" t="s">
        <v>351</v>
      </c>
      <c r="B374" s="1" t="s">
        <v>360</v>
      </c>
      <c r="C374" s="1">
        <v>1252.0</v>
      </c>
      <c r="D374" s="1" t="s">
        <v>398</v>
      </c>
      <c r="E374" s="1" t="s">
        <v>387</v>
      </c>
    </row>
    <row r="375">
      <c r="A375" s="1" t="s">
        <v>351</v>
      </c>
      <c r="B375" s="1" t="s">
        <v>360</v>
      </c>
      <c r="C375" s="1">
        <v>156.0</v>
      </c>
      <c r="D375" s="1" t="s">
        <v>104</v>
      </c>
      <c r="E375" s="1" t="s">
        <v>399</v>
      </c>
    </row>
    <row r="376">
      <c r="A376" s="1" t="s">
        <v>351</v>
      </c>
      <c r="B376" s="1" t="s">
        <v>360</v>
      </c>
      <c r="C376" s="1">
        <v>163.0</v>
      </c>
      <c r="D376" s="1" t="s">
        <v>400</v>
      </c>
      <c r="E376" s="1" t="s">
        <v>399</v>
      </c>
    </row>
    <row r="377">
      <c r="A377" s="1" t="s">
        <v>351</v>
      </c>
      <c r="B377" s="1" t="s">
        <v>360</v>
      </c>
      <c r="C377" s="1">
        <v>120.0</v>
      </c>
      <c r="D377" s="1" t="s">
        <v>401</v>
      </c>
      <c r="E377" s="1" t="s">
        <v>399</v>
      </c>
    </row>
    <row r="378">
      <c r="A378" s="1" t="s">
        <v>351</v>
      </c>
      <c r="B378" s="1" t="s">
        <v>360</v>
      </c>
      <c r="C378" s="1">
        <v>315.0</v>
      </c>
      <c r="D378" s="1" t="s">
        <v>402</v>
      </c>
      <c r="E378" s="1" t="s">
        <v>399</v>
      </c>
    </row>
    <row r="379">
      <c r="A379" s="1" t="s">
        <v>351</v>
      </c>
      <c r="B379" s="1" t="s">
        <v>360</v>
      </c>
      <c r="C379" s="1">
        <v>158.0</v>
      </c>
      <c r="D379" s="1" t="s">
        <v>403</v>
      </c>
      <c r="E379" s="1" t="s">
        <v>399</v>
      </c>
    </row>
    <row r="380">
      <c r="A380" s="1" t="s">
        <v>351</v>
      </c>
      <c r="B380" s="1" t="s">
        <v>360</v>
      </c>
      <c r="C380" s="1">
        <v>897.0</v>
      </c>
      <c r="D380" s="1" t="s">
        <v>404</v>
      </c>
      <c r="E380" s="1" t="s">
        <v>399</v>
      </c>
    </row>
    <row r="381">
      <c r="A381" s="1" t="s">
        <v>351</v>
      </c>
      <c r="B381" s="1" t="s">
        <v>360</v>
      </c>
      <c r="C381" s="1">
        <v>794.0</v>
      </c>
      <c r="D381" s="1" t="s">
        <v>405</v>
      </c>
      <c r="E381" s="1" t="s">
        <v>399</v>
      </c>
    </row>
    <row r="382">
      <c r="A382" s="1" t="s">
        <v>351</v>
      </c>
      <c r="B382" s="1" t="s">
        <v>360</v>
      </c>
      <c r="C382" s="1">
        <v>181.0</v>
      </c>
      <c r="D382" s="1" t="s">
        <v>406</v>
      </c>
      <c r="E382" s="1" t="s">
        <v>399</v>
      </c>
    </row>
    <row r="383">
      <c r="A383" s="1" t="s">
        <v>351</v>
      </c>
      <c r="B383" s="1" t="s">
        <v>360</v>
      </c>
      <c r="C383" s="1">
        <v>178.0</v>
      </c>
      <c r="D383" s="1" t="s">
        <v>407</v>
      </c>
      <c r="E383" s="1" t="s">
        <v>399</v>
      </c>
    </row>
    <row r="384">
      <c r="A384" s="1" t="s">
        <v>351</v>
      </c>
      <c r="B384" s="1" t="s">
        <v>360</v>
      </c>
      <c r="C384" s="1">
        <v>153.0</v>
      </c>
      <c r="D384" s="1" t="s">
        <v>408</v>
      </c>
      <c r="E384" s="1" t="s">
        <v>399</v>
      </c>
    </row>
    <row r="385">
      <c r="A385" s="1" t="s">
        <v>351</v>
      </c>
      <c r="B385" s="1" t="s">
        <v>360</v>
      </c>
      <c r="C385" s="1">
        <v>159.0</v>
      </c>
      <c r="D385" s="1" t="s">
        <v>409</v>
      </c>
      <c r="E385" s="1" t="s">
        <v>399</v>
      </c>
    </row>
    <row r="386">
      <c r="A386" s="1" t="s">
        <v>351</v>
      </c>
      <c r="B386" s="1" t="s">
        <v>360</v>
      </c>
      <c r="C386" s="1">
        <v>644.0</v>
      </c>
      <c r="D386" s="1" t="s">
        <v>410</v>
      </c>
      <c r="E386" s="1" t="s">
        <v>399</v>
      </c>
    </row>
    <row r="387">
      <c r="A387" s="1" t="s">
        <v>351</v>
      </c>
      <c r="B387" s="1" t="s">
        <v>360</v>
      </c>
      <c r="C387" s="1">
        <v>303.0</v>
      </c>
      <c r="D387" s="1" t="s">
        <v>411</v>
      </c>
      <c r="E387" s="1" t="s">
        <v>399</v>
      </c>
    </row>
    <row r="388">
      <c r="A388" s="1" t="s">
        <v>351</v>
      </c>
      <c r="B388" s="1" t="s">
        <v>360</v>
      </c>
      <c r="C388" s="1">
        <v>1197.0</v>
      </c>
      <c r="D388" s="1" t="s">
        <v>412</v>
      </c>
      <c r="E388" s="1" t="s">
        <v>399</v>
      </c>
    </row>
    <row r="389">
      <c r="A389" s="1" t="s">
        <v>351</v>
      </c>
      <c r="B389" s="1" t="s">
        <v>360</v>
      </c>
      <c r="C389" s="1">
        <v>1207.0</v>
      </c>
      <c r="D389" s="1" t="s">
        <v>413</v>
      </c>
      <c r="E389" s="1" t="s">
        <v>399</v>
      </c>
    </row>
    <row r="390">
      <c r="A390" s="1" t="s">
        <v>351</v>
      </c>
      <c r="B390" s="1" t="s">
        <v>360</v>
      </c>
      <c r="C390" s="1">
        <v>788.0</v>
      </c>
      <c r="D390" s="1" t="s">
        <v>414</v>
      </c>
      <c r="E390" s="1" t="s">
        <v>399</v>
      </c>
    </row>
    <row r="391">
      <c r="A391" s="1" t="s">
        <v>351</v>
      </c>
      <c r="B391" s="1" t="s">
        <v>360</v>
      </c>
      <c r="C391" s="1">
        <v>122.0</v>
      </c>
      <c r="D391" s="1" t="s">
        <v>415</v>
      </c>
      <c r="E391" s="1" t="s">
        <v>416</v>
      </c>
    </row>
    <row r="392">
      <c r="A392" s="1" t="s">
        <v>351</v>
      </c>
      <c r="B392" s="1" t="s">
        <v>360</v>
      </c>
      <c r="C392" s="1">
        <v>313.0</v>
      </c>
      <c r="D392" s="1" t="s">
        <v>417</v>
      </c>
      <c r="E392" s="1" t="s">
        <v>416</v>
      </c>
    </row>
    <row r="393">
      <c r="A393" s="1" t="s">
        <v>351</v>
      </c>
      <c r="B393" s="1" t="s">
        <v>360</v>
      </c>
      <c r="C393" s="1">
        <v>324.0</v>
      </c>
      <c r="D393" s="1" t="s">
        <v>418</v>
      </c>
      <c r="E393" s="1" t="s">
        <v>416</v>
      </c>
    </row>
    <row r="394">
      <c r="A394" s="1" t="s">
        <v>351</v>
      </c>
      <c r="B394" s="1" t="s">
        <v>360</v>
      </c>
      <c r="C394" s="1">
        <v>706.0</v>
      </c>
      <c r="D394" s="1" t="s">
        <v>419</v>
      </c>
      <c r="E394" s="1" t="s">
        <v>416</v>
      </c>
    </row>
    <row r="395">
      <c r="A395" s="1" t="s">
        <v>351</v>
      </c>
      <c r="B395" s="1" t="s">
        <v>360</v>
      </c>
      <c r="C395" s="1">
        <v>117.0</v>
      </c>
      <c r="D395" s="1" t="s">
        <v>420</v>
      </c>
      <c r="E395" s="1" t="s">
        <v>416</v>
      </c>
    </row>
    <row r="396">
      <c r="A396" s="1" t="s">
        <v>351</v>
      </c>
      <c r="B396" s="1" t="s">
        <v>360</v>
      </c>
      <c r="C396" s="1">
        <v>338.0</v>
      </c>
      <c r="D396" s="1" t="s">
        <v>421</v>
      </c>
      <c r="E396" s="1" t="s">
        <v>416</v>
      </c>
    </row>
    <row r="397">
      <c r="A397" s="1" t="s">
        <v>351</v>
      </c>
      <c r="B397" s="1" t="s">
        <v>360</v>
      </c>
      <c r="C397" s="1">
        <v>326.0</v>
      </c>
      <c r="D397" s="1" t="s">
        <v>422</v>
      </c>
      <c r="E397" s="1" t="s">
        <v>416</v>
      </c>
    </row>
    <row r="398">
      <c r="A398" s="1" t="s">
        <v>351</v>
      </c>
      <c r="B398" s="1" t="s">
        <v>360</v>
      </c>
      <c r="C398" s="1">
        <v>157.0</v>
      </c>
      <c r="D398" s="1" t="s">
        <v>423</v>
      </c>
      <c r="E398" s="1" t="s">
        <v>416</v>
      </c>
    </row>
    <row r="399">
      <c r="A399" s="1" t="s">
        <v>351</v>
      </c>
      <c r="B399" s="1" t="s">
        <v>360</v>
      </c>
      <c r="C399" s="1">
        <v>325.0</v>
      </c>
      <c r="D399" s="1" t="s">
        <v>424</v>
      </c>
      <c r="E399" s="1" t="s">
        <v>416</v>
      </c>
    </row>
    <row r="400">
      <c r="A400" s="1" t="s">
        <v>351</v>
      </c>
      <c r="B400" s="1" t="s">
        <v>360</v>
      </c>
      <c r="C400" s="1">
        <v>786.0</v>
      </c>
      <c r="D400" s="1" t="s">
        <v>425</v>
      </c>
      <c r="E400" s="1" t="s">
        <v>416</v>
      </c>
    </row>
    <row r="401">
      <c r="A401" s="1" t="s">
        <v>351</v>
      </c>
      <c r="B401" s="1" t="s">
        <v>360</v>
      </c>
      <c r="C401" s="1">
        <v>113.0</v>
      </c>
      <c r="D401" s="1" t="s">
        <v>426</v>
      </c>
      <c r="E401" s="1" t="s">
        <v>416</v>
      </c>
    </row>
    <row r="402">
      <c r="A402" s="1" t="s">
        <v>351</v>
      </c>
      <c r="B402" s="1" t="s">
        <v>360</v>
      </c>
      <c r="C402" s="1">
        <v>344.0</v>
      </c>
      <c r="D402" s="1" t="s">
        <v>427</v>
      </c>
      <c r="E402" s="1" t="s">
        <v>416</v>
      </c>
    </row>
    <row r="403">
      <c r="A403" s="1" t="s">
        <v>351</v>
      </c>
      <c r="B403" s="1" t="s">
        <v>360</v>
      </c>
      <c r="C403" s="1">
        <v>345.0</v>
      </c>
      <c r="D403" s="1" t="s">
        <v>428</v>
      </c>
      <c r="E403" s="1" t="s">
        <v>416</v>
      </c>
    </row>
    <row r="404">
      <c r="A404" s="1" t="s">
        <v>351</v>
      </c>
      <c r="B404" s="1" t="s">
        <v>360</v>
      </c>
      <c r="C404" s="1">
        <v>1223.0</v>
      </c>
      <c r="D404" s="1" t="s">
        <v>429</v>
      </c>
      <c r="E404" s="1" t="s">
        <v>416</v>
      </c>
    </row>
    <row r="405">
      <c r="A405" s="1" t="s">
        <v>351</v>
      </c>
      <c r="B405" s="1" t="s">
        <v>360</v>
      </c>
      <c r="C405" s="1">
        <v>1295.0</v>
      </c>
      <c r="D405" s="1" t="s">
        <v>430</v>
      </c>
      <c r="E405" s="1" t="s">
        <v>416</v>
      </c>
    </row>
    <row r="406">
      <c r="A406" s="2"/>
      <c r="B406" s="2"/>
      <c r="C406" s="2"/>
      <c r="D406" s="2"/>
      <c r="E406" s="2"/>
    </row>
    <row r="407">
      <c r="A407" s="1" t="s">
        <v>351</v>
      </c>
      <c r="B407" s="1" t="s">
        <v>431</v>
      </c>
      <c r="C407" s="1">
        <v>160.0</v>
      </c>
      <c r="D407" s="1" t="s">
        <v>432</v>
      </c>
      <c r="E407" s="1" t="s">
        <v>362</v>
      </c>
    </row>
    <row r="408">
      <c r="A408" s="1" t="s">
        <v>351</v>
      </c>
      <c r="B408" s="1" t="s">
        <v>431</v>
      </c>
      <c r="C408" s="1">
        <v>297.0</v>
      </c>
      <c r="D408" s="1" t="s">
        <v>433</v>
      </c>
      <c r="E408" s="1" t="s">
        <v>362</v>
      </c>
    </row>
    <row r="409">
      <c r="A409" s="1" t="s">
        <v>351</v>
      </c>
      <c r="B409" s="1" t="s">
        <v>431</v>
      </c>
      <c r="C409" s="1">
        <v>339.0</v>
      </c>
      <c r="D409" s="1" t="s">
        <v>434</v>
      </c>
      <c r="E409" s="1" t="s">
        <v>362</v>
      </c>
    </row>
    <row r="410">
      <c r="A410" s="1" t="s">
        <v>351</v>
      </c>
      <c r="B410" s="1" t="s">
        <v>431</v>
      </c>
      <c r="C410" s="1">
        <v>134.0</v>
      </c>
      <c r="D410" s="1" t="s">
        <v>435</v>
      </c>
      <c r="E410" s="1" t="s">
        <v>436</v>
      </c>
    </row>
    <row r="411">
      <c r="A411" s="1" t="s">
        <v>351</v>
      </c>
      <c r="B411" s="1" t="s">
        <v>431</v>
      </c>
      <c r="C411" s="1">
        <v>154.0</v>
      </c>
      <c r="D411" s="1" t="s">
        <v>437</v>
      </c>
      <c r="E411" s="1" t="s">
        <v>436</v>
      </c>
    </row>
    <row r="412">
      <c r="A412" s="1" t="s">
        <v>351</v>
      </c>
      <c r="B412" s="1" t="s">
        <v>431</v>
      </c>
      <c r="C412" s="1">
        <v>192.0</v>
      </c>
      <c r="D412" s="1" t="s">
        <v>438</v>
      </c>
      <c r="E412" s="1" t="s">
        <v>436</v>
      </c>
    </row>
    <row r="413">
      <c r="A413" s="1" t="s">
        <v>351</v>
      </c>
      <c r="B413" s="1" t="s">
        <v>431</v>
      </c>
      <c r="C413" s="1">
        <v>302.0</v>
      </c>
      <c r="D413" s="1" t="s">
        <v>439</v>
      </c>
      <c r="E413" s="1" t="s">
        <v>436</v>
      </c>
    </row>
    <row r="414">
      <c r="A414" s="1" t="s">
        <v>351</v>
      </c>
      <c r="B414" s="1" t="s">
        <v>431</v>
      </c>
      <c r="C414" s="1">
        <v>212.0</v>
      </c>
      <c r="D414" s="1" t="s">
        <v>440</v>
      </c>
      <c r="E414" s="1" t="s">
        <v>436</v>
      </c>
    </row>
    <row r="415">
      <c r="A415" s="1" t="s">
        <v>351</v>
      </c>
      <c r="B415" s="1" t="s">
        <v>431</v>
      </c>
      <c r="C415" s="1">
        <v>640.0</v>
      </c>
      <c r="D415" s="1" t="s">
        <v>441</v>
      </c>
      <c r="E415" s="1" t="s">
        <v>436</v>
      </c>
    </row>
    <row r="416">
      <c r="A416" s="1" t="s">
        <v>351</v>
      </c>
      <c r="B416" s="1" t="s">
        <v>431</v>
      </c>
      <c r="C416" s="1">
        <v>144.0</v>
      </c>
      <c r="D416" s="1" t="s">
        <v>442</v>
      </c>
      <c r="E416" s="1" t="s">
        <v>436</v>
      </c>
    </row>
    <row r="417">
      <c r="A417" s="1" t="s">
        <v>351</v>
      </c>
      <c r="B417" s="1" t="s">
        <v>431</v>
      </c>
      <c r="C417" s="1">
        <v>1231.0</v>
      </c>
      <c r="D417" s="1" t="s">
        <v>443</v>
      </c>
      <c r="E417" s="1" t="s">
        <v>436</v>
      </c>
    </row>
    <row r="418">
      <c r="A418" s="1" t="s">
        <v>351</v>
      </c>
      <c r="B418" s="1" t="s">
        <v>431</v>
      </c>
      <c r="C418" s="1">
        <v>1262.0</v>
      </c>
      <c r="D418" s="1" t="s">
        <v>444</v>
      </c>
      <c r="E418" s="1" t="s">
        <v>436</v>
      </c>
    </row>
    <row r="419">
      <c r="A419" s="1" t="s">
        <v>351</v>
      </c>
      <c r="B419" s="1" t="s">
        <v>431</v>
      </c>
      <c r="C419" s="1">
        <v>133.0</v>
      </c>
      <c r="D419" s="1" t="s">
        <v>445</v>
      </c>
      <c r="E419" s="1" t="s">
        <v>446</v>
      </c>
    </row>
    <row r="420">
      <c r="A420" s="1" t="s">
        <v>351</v>
      </c>
      <c r="B420" s="1" t="s">
        <v>431</v>
      </c>
      <c r="C420" s="3">
        <v>131.0</v>
      </c>
      <c r="D420" s="1" t="s">
        <v>447</v>
      </c>
      <c r="E420" s="1" t="s">
        <v>446</v>
      </c>
    </row>
    <row r="421">
      <c r="A421" s="1" t="s">
        <v>351</v>
      </c>
      <c r="B421" s="1" t="s">
        <v>431</v>
      </c>
      <c r="C421" s="3">
        <v>197.0</v>
      </c>
      <c r="D421" s="1" t="s">
        <v>448</v>
      </c>
      <c r="E421" s="1" t="s">
        <v>446</v>
      </c>
    </row>
    <row r="422">
      <c r="A422" s="1" t="s">
        <v>351</v>
      </c>
      <c r="B422" s="1" t="s">
        <v>431</v>
      </c>
      <c r="C422" s="1">
        <v>151.0</v>
      </c>
      <c r="D422" s="1" t="s">
        <v>449</v>
      </c>
      <c r="E422" s="1" t="s">
        <v>446</v>
      </c>
    </row>
    <row r="423">
      <c r="A423" s="1" t="s">
        <v>351</v>
      </c>
      <c r="B423" s="1" t="s">
        <v>431</v>
      </c>
      <c r="C423" s="1">
        <v>334.0</v>
      </c>
      <c r="D423" s="1" t="s">
        <v>450</v>
      </c>
      <c r="E423" s="1" t="s">
        <v>446</v>
      </c>
    </row>
    <row r="424">
      <c r="A424" s="1" t="s">
        <v>351</v>
      </c>
      <c r="B424" s="1" t="s">
        <v>431</v>
      </c>
      <c r="C424" s="1">
        <v>272.0</v>
      </c>
      <c r="D424" s="1" t="s">
        <v>451</v>
      </c>
      <c r="E424" s="1" t="s">
        <v>446</v>
      </c>
    </row>
    <row r="425">
      <c r="A425" s="1" t="s">
        <v>351</v>
      </c>
      <c r="B425" s="1" t="s">
        <v>431</v>
      </c>
      <c r="C425" s="1">
        <v>310.0</v>
      </c>
      <c r="D425" s="1" t="s">
        <v>452</v>
      </c>
      <c r="E425" s="1" t="s">
        <v>446</v>
      </c>
    </row>
    <row r="426">
      <c r="A426" s="1" t="s">
        <v>351</v>
      </c>
      <c r="B426" s="1" t="s">
        <v>431</v>
      </c>
      <c r="C426" s="1">
        <v>311.0</v>
      </c>
      <c r="D426" s="1" t="s">
        <v>453</v>
      </c>
      <c r="E426" s="1" t="s">
        <v>446</v>
      </c>
    </row>
    <row r="427">
      <c r="A427" s="1" t="s">
        <v>351</v>
      </c>
      <c r="B427" s="1" t="s">
        <v>431</v>
      </c>
      <c r="C427" s="1">
        <v>1265.0</v>
      </c>
      <c r="D427" s="1" t="s">
        <v>454</v>
      </c>
      <c r="E427" s="1" t="s">
        <v>446</v>
      </c>
    </row>
    <row r="428">
      <c r="A428" s="1" t="s">
        <v>351</v>
      </c>
      <c r="B428" s="1" t="s">
        <v>431</v>
      </c>
      <c r="C428" s="1">
        <v>273.0</v>
      </c>
      <c r="D428" s="1" t="s">
        <v>455</v>
      </c>
      <c r="E428" s="1" t="s">
        <v>456</v>
      </c>
    </row>
    <row r="429">
      <c r="A429" s="1" t="s">
        <v>351</v>
      </c>
      <c r="B429" s="1" t="s">
        <v>431</v>
      </c>
      <c r="C429" s="1">
        <v>270.0</v>
      </c>
      <c r="D429" s="1" t="s">
        <v>457</v>
      </c>
      <c r="E429" s="1" t="s">
        <v>456</v>
      </c>
    </row>
    <row r="430">
      <c r="A430" s="1" t="s">
        <v>351</v>
      </c>
      <c r="B430" s="1" t="s">
        <v>431</v>
      </c>
      <c r="C430" s="1">
        <v>269.0</v>
      </c>
      <c r="D430" s="1" t="s">
        <v>458</v>
      </c>
      <c r="E430" s="1" t="s">
        <v>456</v>
      </c>
    </row>
    <row r="431">
      <c r="A431" s="1" t="s">
        <v>351</v>
      </c>
      <c r="B431" s="1" t="s">
        <v>431</v>
      </c>
      <c r="C431" s="1">
        <v>567.0</v>
      </c>
      <c r="D431" s="1" t="s">
        <v>459</v>
      </c>
      <c r="E431" s="1" t="s">
        <v>456</v>
      </c>
    </row>
    <row r="432">
      <c r="A432" s="1" t="s">
        <v>351</v>
      </c>
      <c r="B432" s="1" t="s">
        <v>431</v>
      </c>
      <c r="C432" s="1">
        <v>261.0</v>
      </c>
      <c r="D432" s="1" t="s">
        <v>460</v>
      </c>
      <c r="E432" s="1" t="s">
        <v>456</v>
      </c>
    </row>
    <row r="433">
      <c r="A433" s="1" t="s">
        <v>351</v>
      </c>
      <c r="B433" s="1" t="s">
        <v>431</v>
      </c>
      <c r="C433" s="1">
        <v>835.0</v>
      </c>
      <c r="D433" s="1" t="s">
        <v>461</v>
      </c>
      <c r="E433" s="1" t="s">
        <v>456</v>
      </c>
    </row>
    <row r="434">
      <c r="A434" s="1" t="s">
        <v>351</v>
      </c>
      <c r="B434" s="1" t="s">
        <v>431</v>
      </c>
      <c r="C434" s="1">
        <v>260.0</v>
      </c>
      <c r="D434" s="1" t="s">
        <v>462</v>
      </c>
      <c r="E434" s="1" t="s">
        <v>456</v>
      </c>
    </row>
    <row r="435">
      <c r="A435" s="1" t="s">
        <v>351</v>
      </c>
      <c r="B435" s="1" t="s">
        <v>431</v>
      </c>
      <c r="C435" s="1">
        <v>257.0</v>
      </c>
      <c r="D435" s="1" t="s">
        <v>463</v>
      </c>
      <c r="E435" s="1" t="s">
        <v>456</v>
      </c>
    </row>
    <row r="436">
      <c r="A436" s="1" t="s">
        <v>351</v>
      </c>
      <c r="B436" s="1" t="s">
        <v>431</v>
      </c>
      <c r="C436" s="1">
        <v>253.0</v>
      </c>
      <c r="D436" s="1" t="s">
        <v>464</v>
      </c>
      <c r="E436" s="1" t="s">
        <v>456</v>
      </c>
    </row>
    <row r="437">
      <c r="A437" s="1" t="s">
        <v>351</v>
      </c>
      <c r="B437" s="1" t="s">
        <v>431</v>
      </c>
      <c r="C437" s="1">
        <v>271.0</v>
      </c>
      <c r="D437" s="1" t="s">
        <v>465</v>
      </c>
      <c r="E437" s="1" t="s">
        <v>456</v>
      </c>
    </row>
    <row r="438">
      <c r="A438" s="1" t="s">
        <v>351</v>
      </c>
      <c r="B438" s="1" t="s">
        <v>431</v>
      </c>
      <c r="C438" s="1">
        <v>259.0</v>
      </c>
      <c r="D438" s="1" t="s">
        <v>466</v>
      </c>
      <c r="E438" s="1" t="s">
        <v>456</v>
      </c>
    </row>
    <row r="439">
      <c r="A439" s="1" t="s">
        <v>351</v>
      </c>
      <c r="B439" s="1" t="s">
        <v>431</v>
      </c>
      <c r="C439" s="1">
        <v>590.0</v>
      </c>
      <c r="D439" s="1" t="s">
        <v>467</v>
      </c>
      <c r="E439" s="1" t="s">
        <v>456</v>
      </c>
    </row>
    <row r="440">
      <c r="A440" s="1" t="s">
        <v>351</v>
      </c>
      <c r="B440" s="1" t="s">
        <v>431</v>
      </c>
      <c r="C440" s="1">
        <v>859.0</v>
      </c>
      <c r="D440" s="1" t="s">
        <v>468</v>
      </c>
      <c r="E440" s="1" t="s">
        <v>456</v>
      </c>
    </row>
    <row r="441">
      <c r="A441" s="1" t="s">
        <v>351</v>
      </c>
      <c r="B441" s="1" t="s">
        <v>431</v>
      </c>
      <c r="C441" s="1">
        <v>306.0</v>
      </c>
      <c r="D441" s="1" t="s">
        <v>469</v>
      </c>
      <c r="E441" s="1" t="s">
        <v>456</v>
      </c>
    </row>
    <row r="442">
      <c r="A442" s="1" t="s">
        <v>351</v>
      </c>
      <c r="B442" s="1" t="s">
        <v>431</v>
      </c>
      <c r="C442" s="1">
        <v>1248.0</v>
      </c>
      <c r="D442" s="1" t="s">
        <v>470</v>
      </c>
      <c r="E442" s="1" t="s">
        <v>456</v>
      </c>
    </row>
    <row r="443">
      <c r="A443" s="1" t="s">
        <v>351</v>
      </c>
      <c r="B443" s="1" t="s">
        <v>431</v>
      </c>
      <c r="C443" s="1">
        <v>1286.0</v>
      </c>
      <c r="D443" s="1" t="s">
        <v>442</v>
      </c>
      <c r="E443" s="1" t="s">
        <v>456</v>
      </c>
    </row>
    <row r="444">
      <c r="A444" s="1" t="s">
        <v>351</v>
      </c>
      <c r="B444" s="1" t="s">
        <v>431</v>
      </c>
      <c r="C444" s="1">
        <v>703.0</v>
      </c>
      <c r="D444" s="1" t="s">
        <v>471</v>
      </c>
      <c r="E444" s="1" t="s">
        <v>472</v>
      </c>
    </row>
    <row r="445">
      <c r="A445" s="1" t="s">
        <v>351</v>
      </c>
      <c r="B445" s="1" t="s">
        <v>431</v>
      </c>
      <c r="C445" s="1">
        <v>837.0</v>
      </c>
      <c r="D445" s="1" t="s">
        <v>473</v>
      </c>
      <c r="E445" s="1" t="s">
        <v>472</v>
      </c>
    </row>
    <row r="446">
      <c r="A446" s="1" t="s">
        <v>351</v>
      </c>
      <c r="B446" s="1" t="s">
        <v>431</v>
      </c>
      <c r="C446" s="1">
        <v>340.0</v>
      </c>
      <c r="D446" s="1" t="s">
        <v>474</v>
      </c>
      <c r="E446" s="1" t="s">
        <v>472</v>
      </c>
    </row>
    <row r="447">
      <c r="A447" s="1" t="s">
        <v>351</v>
      </c>
      <c r="B447" s="1" t="s">
        <v>431</v>
      </c>
      <c r="C447" s="1">
        <v>448.0</v>
      </c>
      <c r="D447" s="1" t="s">
        <v>475</v>
      </c>
      <c r="E447" s="1" t="s">
        <v>472</v>
      </c>
    </row>
    <row r="448">
      <c r="A448" s="1" t="s">
        <v>351</v>
      </c>
      <c r="B448" s="1" t="s">
        <v>431</v>
      </c>
      <c r="C448" s="1">
        <v>944.0</v>
      </c>
      <c r="D448" s="1" t="s">
        <v>476</v>
      </c>
      <c r="E448" s="1" t="s">
        <v>472</v>
      </c>
    </row>
    <row r="449">
      <c r="A449" s="1" t="s">
        <v>351</v>
      </c>
      <c r="B449" s="1" t="s">
        <v>431</v>
      </c>
      <c r="C449" s="1">
        <v>321.0</v>
      </c>
      <c r="D449" s="1" t="s">
        <v>477</v>
      </c>
      <c r="E449" s="1" t="s">
        <v>472</v>
      </c>
    </row>
    <row r="450">
      <c r="A450" s="1" t="s">
        <v>351</v>
      </c>
      <c r="B450" s="1" t="s">
        <v>431</v>
      </c>
      <c r="C450" s="1">
        <v>305.0</v>
      </c>
      <c r="D450" s="1" t="s">
        <v>291</v>
      </c>
      <c r="E450" s="1" t="s">
        <v>472</v>
      </c>
    </row>
    <row r="451">
      <c r="A451" s="1" t="s">
        <v>351</v>
      </c>
      <c r="B451" s="1" t="s">
        <v>431</v>
      </c>
      <c r="C451" s="1">
        <v>319.0</v>
      </c>
      <c r="D451" s="1" t="s">
        <v>478</v>
      </c>
      <c r="E451" s="1" t="s">
        <v>472</v>
      </c>
    </row>
    <row r="452">
      <c r="A452" s="1" t="s">
        <v>351</v>
      </c>
      <c r="B452" s="1" t="s">
        <v>431</v>
      </c>
      <c r="C452" s="1">
        <v>317.0</v>
      </c>
      <c r="D452" s="1" t="s">
        <v>479</v>
      </c>
      <c r="E452" s="1" t="s">
        <v>472</v>
      </c>
    </row>
    <row r="453">
      <c r="A453" s="1" t="s">
        <v>351</v>
      </c>
      <c r="B453" s="1" t="s">
        <v>431</v>
      </c>
      <c r="C453" s="1">
        <v>296.0</v>
      </c>
      <c r="D453" s="1" t="s">
        <v>480</v>
      </c>
      <c r="E453" s="1" t="s">
        <v>472</v>
      </c>
    </row>
    <row r="454">
      <c r="A454" s="1" t="s">
        <v>351</v>
      </c>
      <c r="B454" s="1" t="s">
        <v>431</v>
      </c>
      <c r="C454" s="1">
        <v>1012.0</v>
      </c>
      <c r="D454" s="1" t="s">
        <v>481</v>
      </c>
      <c r="E454" s="1" t="s">
        <v>472</v>
      </c>
    </row>
    <row r="455">
      <c r="A455" s="1" t="s">
        <v>351</v>
      </c>
      <c r="B455" s="1" t="s">
        <v>431</v>
      </c>
      <c r="C455" s="1">
        <v>295.0</v>
      </c>
      <c r="D455" s="1" t="s">
        <v>482</v>
      </c>
      <c r="E455" s="1" t="s">
        <v>472</v>
      </c>
    </row>
    <row r="456">
      <c r="A456" s="1" t="s">
        <v>351</v>
      </c>
      <c r="B456" s="1" t="s">
        <v>431</v>
      </c>
      <c r="C456" s="1">
        <v>652.0</v>
      </c>
      <c r="D456" s="1" t="s">
        <v>483</v>
      </c>
      <c r="E456" s="1" t="s">
        <v>472</v>
      </c>
    </row>
    <row r="457">
      <c r="A457" s="1" t="s">
        <v>351</v>
      </c>
      <c r="B457" s="1" t="s">
        <v>431</v>
      </c>
      <c r="C457" s="1">
        <v>318.0</v>
      </c>
      <c r="D457" s="1" t="s">
        <v>271</v>
      </c>
      <c r="E457" s="1" t="s">
        <v>472</v>
      </c>
    </row>
    <row r="458">
      <c r="A458" s="1" t="s">
        <v>351</v>
      </c>
      <c r="B458" s="1" t="s">
        <v>431</v>
      </c>
      <c r="C458" s="1">
        <v>708.0</v>
      </c>
      <c r="D458" s="1" t="s">
        <v>484</v>
      </c>
      <c r="E458" s="1" t="s">
        <v>472</v>
      </c>
    </row>
    <row r="459">
      <c r="A459" s="1" t="s">
        <v>351</v>
      </c>
      <c r="B459" s="1" t="s">
        <v>431</v>
      </c>
      <c r="C459" s="1">
        <v>1221.0</v>
      </c>
      <c r="D459" s="1" t="s">
        <v>485</v>
      </c>
      <c r="E459" s="1" t="s">
        <v>472</v>
      </c>
    </row>
    <row r="460">
      <c r="A460" s="1" t="s">
        <v>351</v>
      </c>
      <c r="B460" s="1" t="s">
        <v>431</v>
      </c>
      <c r="C460" s="1">
        <v>281.0</v>
      </c>
      <c r="D460" s="1" t="s">
        <v>486</v>
      </c>
      <c r="E460" s="1" t="s">
        <v>487</v>
      </c>
    </row>
    <row r="461">
      <c r="A461" s="1" t="s">
        <v>351</v>
      </c>
      <c r="B461" s="1" t="s">
        <v>431</v>
      </c>
      <c r="C461" s="1">
        <v>331.0</v>
      </c>
      <c r="D461" s="1" t="s">
        <v>272</v>
      </c>
      <c r="E461" s="1" t="s">
        <v>487</v>
      </c>
    </row>
    <row r="462">
      <c r="A462" s="1" t="s">
        <v>351</v>
      </c>
      <c r="B462" s="1" t="s">
        <v>431</v>
      </c>
      <c r="C462" s="1">
        <v>1001.0</v>
      </c>
      <c r="D462" s="1" t="s">
        <v>488</v>
      </c>
      <c r="E462" s="1" t="s">
        <v>487</v>
      </c>
    </row>
    <row r="463">
      <c r="A463" s="1" t="s">
        <v>351</v>
      </c>
      <c r="B463" s="1" t="s">
        <v>431</v>
      </c>
      <c r="C463" s="1">
        <v>682.0</v>
      </c>
      <c r="D463" s="1" t="s">
        <v>489</v>
      </c>
      <c r="E463" s="1" t="s">
        <v>487</v>
      </c>
    </row>
    <row r="464">
      <c r="A464" s="1" t="s">
        <v>351</v>
      </c>
      <c r="B464" s="1" t="s">
        <v>431</v>
      </c>
      <c r="C464" s="1">
        <v>1165.0</v>
      </c>
      <c r="D464" s="1" t="s">
        <v>490</v>
      </c>
      <c r="E464" s="1" t="s">
        <v>487</v>
      </c>
    </row>
    <row r="465">
      <c r="A465" s="1" t="s">
        <v>351</v>
      </c>
      <c r="B465" s="1" t="s">
        <v>431</v>
      </c>
      <c r="C465" s="1">
        <v>925.0</v>
      </c>
      <c r="D465" s="1" t="s">
        <v>491</v>
      </c>
      <c r="E465" s="1" t="s">
        <v>487</v>
      </c>
    </row>
    <row r="466">
      <c r="A466" s="1" t="s">
        <v>351</v>
      </c>
      <c r="B466" s="1" t="s">
        <v>431</v>
      </c>
      <c r="C466" s="1">
        <v>637.0</v>
      </c>
      <c r="D466" s="1" t="s">
        <v>492</v>
      </c>
      <c r="E466" s="1" t="s">
        <v>487</v>
      </c>
    </row>
    <row r="467">
      <c r="A467" s="1" t="s">
        <v>351</v>
      </c>
      <c r="B467" s="1" t="s">
        <v>431</v>
      </c>
      <c r="C467" s="1">
        <v>806.0</v>
      </c>
      <c r="D467" s="1" t="s">
        <v>493</v>
      </c>
      <c r="E467" s="1" t="s">
        <v>487</v>
      </c>
    </row>
    <row r="468">
      <c r="A468" s="1" t="s">
        <v>351</v>
      </c>
      <c r="B468" s="1" t="s">
        <v>431</v>
      </c>
      <c r="C468" s="1">
        <v>779.0</v>
      </c>
      <c r="D468" s="1" t="s">
        <v>494</v>
      </c>
      <c r="E468" s="1" t="s">
        <v>487</v>
      </c>
    </row>
    <row r="469">
      <c r="A469" s="1" t="s">
        <v>351</v>
      </c>
      <c r="B469" s="1" t="s">
        <v>431</v>
      </c>
      <c r="C469" s="1">
        <v>797.0</v>
      </c>
      <c r="D469" s="1" t="s">
        <v>495</v>
      </c>
      <c r="E469" s="1" t="s">
        <v>487</v>
      </c>
    </row>
    <row r="470">
      <c r="A470" s="1" t="s">
        <v>351</v>
      </c>
      <c r="B470" s="1" t="s">
        <v>431</v>
      </c>
      <c r="C470" s="1">
        <v>1123.0</v>
      </c>
      <c r="D470" s="1" t="s">
        <v>496</v>
      </c>
      <c r="E470" s="1" t="s">
        <v>487</v>
      </c>
    </row>
    <row r="471">
      <c r="A471" s="1" t="s">
        <v>351</v>
      </c>
      <c r="B471" s="1" t="s">
        <v>431</v>
      </c>
      <c r="C471" s="1">
        <v>977.0</v>
      </c>
      <c r="D471" s="1" t="s">
        <v>497</v>
      </c>
      <c r="E471" s="1" t="s">
        <v>487</v>
      </c>
    </row>
    <row r="472">
      <c r="A472" s="1" t="s">
        <v>351</v>
      </c>
      <c r="B472" s="1" t="s">
        <v>431</v>
      </c>
      <c r="C472" s="1">
        <v>697.0</v>
      </c>
      <c r="D472" s="1" t="s">
        <v>498</v>
      </c>
      <c r="E472" s="1" t="s">
        <v>487</v>
      </c>
    </row>
    <row r="473">
      <c r="A473" s="1" t="s">
        <v>351</v>
      </c>
      <c r="B473" s="1" t="s">
        <v>431</v>
      </c>
      <c r="C473" s="1">
        <v>168.0</v>
      </c>
      <c r="D473" s="1" t="s">
        <v>287</v>
      </c>
      <c r="E473" s="1" t="s">
        <v>487</v>
      </c>
    </row>
    <row r="474">
      <c r="A474" s="1" t="s">
        <v>351</v>
      </c>
      <c r="B474" s="1" t="s">
        <v>431</v>
      </c>
      <c r="C474" s="1">
        <v>702.0</v>
      </c>
      <c r="D474" s="1" t="s">
        <v>499</v>
      </c>
      <c r="E474" s="1" t="s">
        <v>487</v>
      </c>
    </row>
    <row r="475">
      <c r="A475" s="1" t="s">
        <v>351</v>
      </c>
      <c r="B475" s="1" t="s">
        <v>431</v>
      </c>
      <c r="C475" s="1">
        <v>1150.0</v>
      </c>
      <c r="D475" s="1" t="s">
        <v>500</v>
      </c>
      <c r="E475" s="1" t="s">
        <v>487</v>
      </c>
    </row>
    <row r="476">
      <c r="A476" s="1" t="s">
        <v>351</v>
      </c>
      <c r="B476" s="1" t="s">
        <v>431</v>
      </c>
      <c r="C476" s="1">
        <v>347.0</v>
      </c>
      <c r="D476" s="1" t="s">
        <v>501</v>
      </c>
      <c r="E476" s="1" t="s">
        <v>487</v>
      </c>
    </row>
    <row r="477">
      <c r="A477" s="1" t="s">
        <v>351</v>
      </c>
      <c r="B477" s="1" t="s">
        <v>431</v>
      </c>
      <c r="C477" s="1">
        <v>1121.0</v>
      </c>
      <c r="D477" s="1" t="s">
        <v>502</v>
      </c>
      <c r="E477" s="1" t="s">
        <v>487</v>
      </c>
    </row>
    <row r="478">
      <c r="A478" s="1" t="s">
        <v>351</v>
      </c>
      <c r="B478" s="1" t="s">
        <v>431</v>
      </c>
      <c r="C478" s="1">
        <v>967.0</v>
      </c>
      <c r="D478" s="1" t="s">
        <v>503</v>
      </c>
      <c r="E478" s="1" t="s">
        <v>487</v>
      </c>
    </row>
    <row r="479">
      <c r="A479" s="1" t="s">
        <v>351</v>
      </c>
      <c r="B479" s="1" t="s">
        <v>431</v>
      </c>
      <c r="C479" s="1">
        <v>1203.0</v>
      </c>
      <c r="D479" s="1" t="s">
        <v>504</v>
      </c>
      <c r="E479" s="1" t="s">
        <v>487</v>
      </c>
    </row>
    <row r="480">
      <c r="A480" s="1" t="s">
        <v>351</v>
      </c>
      <c r="B480" s="1" t="s">
        <v>431</v>
      </c>
      <c r="C480" s="1">
        <v>1127.0</v>
      </c>
      <c r="D480" s="1" t="s">
        <v>505</v>
      </c>
      <c r="E480" s="1" t="s">
        <v>506</v>
      </c>
    </row>
    <row r="481">
      <c r="A481" s="1" t="s">
        <v>351</v>
      </c>
      <c r="B481" s="1" t="s">
        <v>431</v>
      </c>
      <c r="C481" s="1">
        <v>696.0</v>
      </c>
      <c r="D481" s="1" t="s">
        <v>507</v>
      </c>
      <c r="E481" s="1" t="s">
        <v>506</v>
      </c>
    </row>
    <row r="482">
      <c r="A482" s="1" t="s">
        <v>351</v>
      </c>
      <c r="B482" s="1" t="s">
        <v>431</v>
      </c>
      <c r="C482" s="1">
        <v>700.0</v>
      </c>
      <c r="D482" s="1" t="s">
        <v>508</v>
      </c>
      <c r="E482" s="1" t="s">
        <v>506</v>
      </c>
    </row>
    <row r="483">
      <c r="A483" s="1" t="s">
        <v>351</v>
      </c>
      <c r="B483" s="1" t="s">
        <v>431</v>
      </c>
      <c r="C483" s="1">
        <v>343.0</v>
      </c>
      <c r="D483" s="1" t="s">
        <v>509</v>
      </c>
      <c r="E483" s="1" t="s">
        <v>506</v>
      </c>
    </row>
    <row r="484">
      <c r="A484" s="1" t="s">
        <v>351</v>
      </c>
      <c r="B484" s="1" t="s">
        <v>431</v>
      </c>
      <c r="C484" s="1">
        <v>332.0</v>
      </c>
      <c r="D484" s="1" t="s">
        <v>510</v>
      </c>
      <c r="E484" s="1" t="s">
        <v>506</v>
      </c>
    </row>
    <row r="485">
      <c r="A485" s="1" t="s">
        <v>351</v>
      </c>
      <c r="B485" s="1" t="s">
        <v>431</v>
      </c>
      <c r="C485" s="1">
        <v>477.0</v>
      </c>
      <c r="D485" s="1" t="s">
        <v>511</v>
      </c>
      <c r="E485" s="1" t="s">
        <v>506</v>
      </c>
    </row>
    <row r="486">
      <c r="A486" s="1" t="s">
        <v>351</v>
      </c>
      <c r="B486" s="1" t="s">
        <v>431</v>
      </c>
      <c r="C486" s="1">
        <v>701.0</v>
      </c>
      <c r="D486" s="1" t="s">
        <v>512</v>
      </c>
      <c r="E486" s="1" t="s">
        <v>506</v>
      </c>
    </row>
    <row r="487">
      <c r="A487" s="1" t="s">
        <v>351</v>
      </c>
      <c r="B487" s="1" t="s">
        <v>431</v>
      </c>
      <c r="C487" s="1">
        <v>341.0</v>
      </c>
      <c r="D487" s="1" t="s">
        <v>321</v>
      </c>
      <c r="E487" s="1" t="s">
        <v>506</v>
      </c>
    </row>
    <row r="488">
      <c r="A488" s="1" t="s">
        <v>351</v>
      </c>
      <c r="B488" s="1" t="s">
        <v>431</v>
      </c>
      <c r="C488" s="1">
        <v>892.0</v>
      </c>
      <c r="D488" s="1" t="s">
        <v>513</v>
      </c>
      <c r="E488" s="1" t="s">
        <v>506</v>
      </c>
    </row>
    <row r="489">
      <c r="A489" s="1" t="s">
        <v>351</v>
      </c>
      <c r="B489" s="1" t="s">
        <v>431</v>
      </c>
      <c r="C489" s="1">
        <v>348.0</v>
      </c>
      <c r="D489" s="1" t="s">
        <v>514</v>
      </c>
      <c r="E489" s="1" t="s">
        <v>506</v>
      </c>
    </row>
    <row r="490">
      <c r="A490" s="1" t="s">
        <v>351</v>
      </c>
      <c r="B490" s="1" t="s">
        <v>431</v>
      </c>
      <c r="C490" s="1">
        <v>327.0</v>
      </c>
      <c r="D490" s="1" t="s">
        <v>515</v>
      </c>
      <c r="E490" s="1" t="s">
        <v>506</v>
      </c>
    </row>
    <row r="491">
      <c r="A491" s="1" t="s">
        <v>351</v>
      </c>
      <c r="B491" s="1" t="s">
        <v>431</v>
      </c>
      <c r="C491" s="1">
        <v>699.0</v>
      </c>
      <c r="D491" s="1" t="s">
        <v>516</v>
      </c>
      <c r="E491" s="1" t="s">
        <v>506</v>
      </c>
    </row>
    <row r="492">
      <c r="A492" s="1" t="s">
        <v>351</v>
      </c>
      <c r="B492" s="1" t="s">
        <v>431</v>
      </c>
      <c r="C492" s="1">
        <v>840.0</v>
      </c>
      <c r="D492" s="1" t="s">
        <v>517</v>
      </c>
      <c r="E492" s="1" t="s">
        <v>506</v>
      </c>
    </row>
    <row r="493">
      <c r="A493" s="1" t="s">
        <v>351</v>
      </c>
      <c r="B493" s="1" t="s">
        <v>431</v>
      </c>
      <c r="C493" s="1">
        <v>1133.0</v>
      </c>
      <c r="D493" s="1" t="s">
        <v>518</v>
      </c>
      <c r="E493" s="1" t="s">
        <v>506</v>
      </c>
    </row>
    <row r="494">
      <c r="A494" s="1" t="s">
        <v>351</v>
      </c>
      <c r="B494" s="1" t="s">
        <v>431</v>
      </c>
      <c r="C494" s="1">
        <v>350.0</v>
      </c>
      <c r="D494" s="1" t="s">
        <v>519</v>
      </c>
      <c r="E494" s="1" t="s">
        <v>506</v>
      </c>
    </row>
    <row r="495">
      <c r="A495" s="1" t="s">
        <v>351</v>
      </c>
      <c r="B495" s="1" t="s">
        <v>431</v>
      </c>
      <c r="C495" s="1">
        <v>330.0</v>
      </c>
      <c r="D495" s="1" t="s">
        <v>520</v>
      </c>
      <c r="E495" s="1" t="s">
        <v>506</v>
      </c>
    </row>
    <row r="496">
      <c r="A496" s="1" t="s">
        <v>351</v>
      </c>
      <c r="B496" s="1" t="s">
        <v>431</v>
      </c>
      <c r="C496" s="1">
        <v>921.0</v>
      </c>
      <c r="D496" s="1" t="s">
        <v>521</v>
      </c>
      <c r="E496" s="1" t="s">
        <v>506</v>
      </c>
    </row>
    <row r="497">
      <c r="A497" s="1" t="s">
        <v>351</v>
      </c>
      <c r="B497" s="1" t="s">
        <v>431</v>
      </c>
      <c r="C497" s="1">
        <v>1200.0</v>
      </c>
      <c r="D497" s="1" t="s">
        <v>522</v>
      </c>
      <c r="E497" s="1" t="s">
        <v>506</v>
      </c>
    </row>
    <row r="498">
      <c r="A498" s="1" t="s">
        <v>351</v>
      </c>
      <c r="B498" s="1" t="s">
        <v>431</v>
      </c>
      <c r="C498" s="1">
        <v>869.0</v>
      </c>
      <c r="D498" s="1" t="s">
        <v>523</v>
      </c>
      <c r="E498" s="1" t="s">
        <v>506</v>
      </c>
    </row>
    <row r="499">
      <c r="A499" s="1" t="s">
        <v>351</v>
      </c>
      <c r="B499" s="1" t="s">
        <v>431</v>
      </c>
      <c r="C499" s="1">
        <v>868.0</v>
      </c>
      <c r="D499" s="1" t="s">
        <v>524</v>
      </c>
      <c r="E499" s="1" t="s">
        <v>506</v>
      </c>
    </row>
    <row r="500">
      <c r="A500" s="2"/>
      <c r="B500" s="2"/>
      <c r="C500" s="2"/>
      <c r="D500" s="2"/>
      <c r="E500" s="2"/>
    </row>
    <row r="501">
      <c r="A501" s="1" t="s">
        <v>351</v>
      </c>
      <c r="B501" s="1" t="s">
        <v>525</v>
      </c>
      <c r="C501" s="1">
        <v>39.0</v>
      </c>
      <c r="D501" s="1" t="s">
        <v>526</v>
      </c>
      <c r="E501" s="1" t="s">
        <v>56</v>
      </c>
    </row>
    <row r="502">
      <c r="A502" s="1" t="s">
        <v>351</v>
      </c>
      <c r="B502" s="1" t="s">
        <v>525</v>
      </c>
      <c r="C502" s="1">
        <v>275.0</v>
      </c>
      <c r="D502" s="1" t="s">
        <v>527</v>
      </c>
      <c r="E502" s="1" t="s">
        <v>56</v>
      </c>
    </row>
    <row r="503">
      <c r="A503" s="1" t="s">
        <v>351</v>
      </c>
      <c r="B503" s="1" t="s">
        <v>525</v>
      </c>
      <c r="C503" s="1">
        <v>246.0</v>
      </c>
      <c r="D503" s="1" t="s">
        <v>363</v>
      </c>
      <c r="E503" s="1" t="s">
        <v>56</v>
      </c>
    </row>
    <row r="504">
      <c r="A504" s="1" t="s">
        <v>351</v>
      </c>
      <c r="B504" s="1" t="s">
        <v>525</v>
      </c>
      <c r="C504" s="1">
        <v>762.0</v>
      </c>
      <c r="D504" s="1" t="s">
        <v>528</v>
      </c>
      <c r="E504" s="1" t="s">
        <v>56</v>
      </c>
    </row>
    <row r="505">
      <c r="A505" s="2"/>
      <c r="B505" s="2"/>
      <c r="C505" s="2"/>
      <c r="D505" s="2"/>
      <c r="E505" s="2"/>
    </row>
    <row r="506">
      <c r="A506" s="1" t="s">
        <v>351</v>
      </c>
      <c r="B506" s="1" t="s">
        <v>529</v>
      </c>
      <c r="C506" s="1">
        <v>519.0</v>
      </c>
      <c r="D506" s="1" t="s">
        <v>530</v>
      </c>
      <c r="E506" s="1" t="s">
        <v>531</v>
      </c>
    </row>
    <row r="507">
      <c r="A507" s="1" t="s">
        <v>351</v>
      </c>
      <c r="B507" s="1" t="s">
        <v>529</v>
      </c>
      <c r="C507" s="1">
        <v>173.0</v>
      </c>
      <c r="D507" s="1" t="s">
        <v>532</v>
      </c>
      <c r="E507" s="1" t="s">
        <v>531</v>
      </c>
    </row>
    <row r="508">
      <c r="A508" s="1" t="s">
        <v>351</v>
      </c>
      <c r="B508" s="1" t="s">
        <v>529</v>
      </c>
      <c r="C508" s="1">
        <v>566.0</v>
      </c>
      <c r="D508" s="1" t="s">
        <v>533</v>
      </c>
      <c r="E508" s="1" t="s">
        <v>531</v>
      </c>
    </row>
    <row r="509">
      <c r="A509" s="1" t="s">
        <v>351</v>
      </c>
      <c r="B509" s="1" t="s">
        <v>529</v>
      </c>
      <c r="C509" s="1">
        <v>209.0</v>
      </c>
      <c r="D509" s="1" t="s">
        <v>534</v>
      </c>
      <c r="E509" s="1" t="s">
        <v>531</v>
      </c>
    </row>
    <row r="510">
      <c r="A510" s="1" t="s">
        <v>351</v>
      </c>
      <c r="B510" s="1" t="s">
        <v>529</v>
      </c>
      <c r="C510" s="1">
        <v>213.0</v>
      </c>
      <c r="D510" s="1" t="s">
        <v>535</v>
      </c>
      <c r="E510" s="1" t="s">
        <v>531</v>
      </c>
    </row>
    <row r="511">
      <c r="A511" s="1" t="s">
        <v>351</v>
      </c>
      <c r="B511" s="1" t="s">
        <v>529</v>
      </c>
      <c r="C511" s="1">
        <v>277.0</v>
      </c>
      <c r="D511" s="1" t="s">
        <v>536</v>
      </c>
      <c r="E511" s="1" t="s">
        <v>531</v>
      </c>
    </row>
    <row r="512">
      <c r="A512" s="1" t="s">
        <v>351</v>
      </c>
      <c r="B512" s="1" t="s">
        <v>529</v>
      </c>
      <c r="C512" s="1">
        <v>1266.0</v>
      </c>
      <c r="D512" s="1" t="s">
        <v>537</v>
      </c>
      <c r="E512" s="1" t="s">
        <v>531</v>
      </c>
    </row>
    <row r="513">
      <c r="A513" s="1" t="s">
        <v>351</v>
      </c>
      <c r="B513" s="1" t="s">
        <v>529</v>
      </c>
      <c r="C513" s="1">
        <v>170.0</v>
      </c>
      <c r="D513" s="1" t="s">
        <v>538</v>
      </c>
      <c r="E513" s="1" t="s">
        <v>539</v>
      </c>
    </row>
    <row r="514">
      <c r="A514" s="1" t="s">
        <v>351</v>
      </c>
      <c r="B514" s="1" t="s">
        <v>529</v>
      </c>
      <c r="C514" s="1">
        <v>262.0</v>
      </c>
      <c r="D514" s="1" t="s">
        <v>540</v>
      </c>
      <c r="E514" s="1" t="s">
        <v>539</v>
      </c>
    </row>
    <row r="515">
      <c r="A515" s="1" t="s">
        <v>351</v>
      </c>
      <c r="B515" s="1" t="s">
        <v>529</v>
      </c>
      <c r="C515" s="3">
        <v>285.0</v>
      </c>
      <c r="D515" s="1" t="s">
        <v>541</v>
      </c>
      <c r="E515" s="1" t="s">
        <v>539</v>
      </c>
    </row>
    <row r="516">
      <c r="A516" s="1" t="s">
        <v>351</v>
      </c>
      <c r="B516" s="1" t="s">
        <v>529</v>
      </c>
      <c r="C516" s="3">
        <v>255.0</v>
      </c>
      <c r="D516" s="1" t="s">
        <v>542</v>
      </c>
      <c r="E516" s="1" t="s">
        <v>539</v>
      </c>
    </row>
    <row r="517">
      <c r="A517" s="1" t="s">
        <v>351</v>
      </c>
      <c r="B517" s="1" t="s">
        <v>529</v>
      </c>
      <c r="C517" s="1">
        <v>286.0</v>
      </c>
      <c r="D517" s="1" t="s">
        <v>543</v>
      </c>
      <c r="E517" s="1" t="s">
        <v>539</v>
      </c>
    </row>
    <row r="518">
      <c r="A518" s="1" t="s">
        <v>351</v>
      </c>
      <c r="B518" s="1" t="s">
        <v>529</v>
      </c>
      <c r="C518" s="1">
        <v>256.0</v>
      </c>
      <c r="D518" s="1" t="s">
        <v>544</v>
      </c>
      <c r="E518" s="1" t="s">
        <v>539</v>
      </c>
    </row>
    <row r="519">
      <c r="A519" s="1" t="s">
        <v>351</v>
      </c>
      <c r="B519" s="1" t="s">
        <v>529</v>
      </c>
      <c r="C519" s="1">
        <v>686.0</v>
      </c>
      <c r="D519" s="1" t="s">
        <v>545</v>
      </c>
      <c r="E519" s="1" t="s">
        <v>539</v>
      </c>
    </row>
    <row r="520">
      <c r="A520" s="1" t="s">
        <v>351</v>
      </c>
      <c r="B520" s="1" t="s">
        <v>529</v>
      </c>
      <c r="C520" s="1">
        <v>274.0</v>
      </c>
      <c r="D520" s="1" t="s">
        <v>546</v>
      </c>
      <c r="E520" s="1" t="s">
        <v>539</v>
      </c>
    </row>
    <row r="521">
      <c r="A521" s="1" t="s">
        <v>351</v>
      </c>
      <c r="B521" s="1" t="s">
        <v>529</v>
      </c>
      <c r="C521" s="1">
        <v>994.0</v>
      </c>
      <c r="D521" s="1" t="s">
        <v>547</v>
      </c>
      <c r="E521" s="1" t="s">
        <v>539</v>
      </c>
    </row>
    <row r="522">
      <c r="A522" s="1" t="s">
        <v>351</v>
      </c>
      <c r="B522" s="1" t="s">
        <v>529</v>
      </c>
      <c r="C522" s="1">
        <v>653.0</v>
      </c>
      <c r="D522" s="1" t="s">
        <v>548</v>
      </c>
      <c r="E522" s="1" t="s">
        <v>549</v>
      </c>
    </row>
    <row r="523">
      <c r="A523" s="1" t="s">
        <v>351</v>
      </c>
      <c r="B523" s="1" t="s">
        <v>529</v>
      </c>
      <c r="C523" s="1">
        <v>205.0</v>
      </c>
      <c r="D523" s="1" t="s">
        <v>550</v>
      </c>
      <c r="E523" s="1" t="s">
        <v>549</v>
      </c>
    </row>
    <row r="524">
      <c r="A524" s="1" t="s">
        <v>351</v>
      </c>
      <c r="B524" s="1" t="s">
        <v>529</v>
      </c>
      <c r="C524" s="1">
        <v>164.0</v>
      </c>
      <c r="D524" s="1" t="s">
        <v>551</v>
      </c>
      <c r="E524" s="1" t="s">
        <v>549</v>
      </c>
    </row>
    <row r="525">
      <c r="A525" s="1" t="s">
        <v>351</v>
      </c>
      <c r="B525" s="1" t="s">
        <v>529</v>
      </c>
      <c r="C525" s="1">
        <v>214.0</v>
      </c>
      <c r="D525" s="1" t="s">
        <v>552</v>
      </c>
      <c r="E525" s="1" t="s">
        <v>549</v>
      </c>
    </row>
    <row r="526">
      <c r="A526" s="1" t="s">
        <v>351</v>
      </c>
      <c r="B526" s="1" t="s">
        <v>529</v>
      </c>
      <c r="C526" s="1">
        <v>216.0</v>
      </c>
      <c r="D526" s="1" t="s">
        <v>553</v>
      </c>
      <c r="E526" s="1" t="s">
        <v>549</v>
      </c>
    </row>
    <row r="527">
      <c r="A527" s="1" t="s">
        <v>351</v>
      </c>
      <c r="B527" s="1" t="s">
        <v>529</v>
      </c>
      <c r="C527" s="1">
        <v>188.0</v>
      </c>
      <c r="D527" s="1" t="s">
        <v>554</v>
      </c>
      <c r="E527" s="1" t="s">
        <v>549</v>
      </c>
    </row>
    <row r="528">
      <c r="A528" s="1" t="s">
        <v>351</v>
      </c>
      <c r="B528" s="1" t="s">
        <v>529</v>
      </c>
      <c r="C528" s="1">
        <v>171.0</v>
      </c>
      <c r="D528" s="1" t="s">
        <v>555</v>
      </c>
      <c r="E528" s="1" t="s">
        <v>549</v>
      </c>
    </row>
    <row r="529">
      <c r="A529" s="1" t="s">
        <v>351</v>
      </c>
      <c r="B529" s="1" t="s">
        <v>529</v>
      </c>
      <c r="C529" s="1">
        <v>162.0</v>
      </c>
      <c r="D529" s="1" t="s">
        <v>556</v>
      </c>
      <c r="E529" s="1" t="s">
        <v>549</v>
      </c>
    </row>
    <row r="530">
      <c r="A530" s="1" t="s">
        <v>351</v>
      </c>
      <c r="B530" s="1" t="s">
        <v>529</v>
      </c>
      <c r="C530" s="1">
        <v>1246.0</v>
      </c>
      <c r="D530" s="1" t="s">
        <v>557</v>
      </c>
      <c r="E530" s="1" t="s">
        <v>549</v>
      </c>
    </row>
    <row r="531">
      <c r="A531" s="1" t="s">
        <v>351</v>
      </c>
      <c r="B531" s="1" t="s">
        <v>529</v>
      </c>
      <c r="C531" s="1">
        <v>865.0</v>
      </c>
      <c r="D531" s="1" t="s">
        <v>558</v>
      </c>
      <c r="E531" s="1" t="s">
        <v>549</v>
      </c>
    </row>
    <row r="532">
      <c r="A532" s="1" t="s">
        <v>351</v>
      </c>
      <c r="B532" s="1" t="s">
        <v>529</v>
      </c>
      <c r="C532" s="1">
        <v>664.0</v>
      </c>
      <c r="D532" s="1" t="s">
        <v>559</v>
      </c>
      <c r="E532" s="1" t="s">
        <v>560</v>
      </c>
    </row>
    <row r="533">
      <c r="A533" s="1" t="s">
        <v>351</v>
      </c>
      <c r="B533" s="1" t="s">
        <v>529</v>
      </c>
      <c r="C533" s="1">
        <v>584.0</v>
      </c>
      <c r="D533" s="1" t="s">
        <v>271</v>
      </c>
      <c r="E533" s="1" t="s">
        <v>560</v>
      </c>
    </row>
    <row r="534">
      <c r="A534" s="1" t="s">
        <v>351</v>
      </c>
      <c r="B534" s="1" t="s">
        <v>529</v>
      </c>
      <c r="C534" s="1">
        <v>293.0</v>
      </c>
      <c r="D534" s="1" t="s">
        <v>561</v>
      </c>
      <c r="E534" s="1" t="s">
        <v>560</v>
      </c>
    </row>
    <row r="535">
      <c r="A535" s="1" t="s">
        <v>351</v>
      </c>
      <c r="B535" s="1" t="s">
        <v>529</v>
      </c>
      <c r="C535" s="1">
        <v>694.0</v>
      </c>
      <c r="D535" s="1" t="s">
        <v>562</v>
      </c>
      <c r="E535" s="1" t="s">
        <v>560</v>
      </c>
    </row>
    <row r="536">
      <c r="A536" s="1" t="s">
        <v>351</v>
      </c>
      <c r="B536" s="1" t="s">
        <v>529</v>
      </c>
      <c r="C536" s="1">
        <v>983.0</v>
      </c>
      <c r="D536" s="1" t="s">
        <v>563</v>
      </c>
      <c r="E536" s="1" t="s">
        <v>564</v>
      </c>
    </row>
    <row r="537">
      <c r="A537" s="1" t="s">
        <v>351</v>
      </c>
      <c r="B537" s="1" t="s">
        <v>529</v>
      </c>
      <c r="C537" s="1">
        <v>278.0</v>
      </c>
      <c r="D537" s="1" t="s">
        <v>565</v>
      </c>
      <c r="E537" s="1" t="s">
        <v>564</v>
      </c>
    </row>
    <row r="538">
      <c r="A538" s="1" t="s">
        <v>351</v>
      </c>
      <c r="B538" s="1" t="s">
        <v>529</v>
      </c>
      <c r="C538" s="1">
        <v>280.0</v>
      </c>
      <c r="D538" s="1" t="s">
        <v>566</v>
      </c>
      <c r="E538" s="1" t="s">
        <v>564</v>
      </c>
    </row>
    <row r="539">
      <c r="A539" s="1" t="s">
        <v>351</v>
      </c>
      <c r="B539" s="1" t="s">
        <v>529</v>
      </c>
      <c r="C539" s="1">
        <v>299.0</v>
      </c>
      <c r="D539" s="1" t="s">
        <v>567</v>
      </c>
      <c r="E539" s="1" t="s">
        <v>564</v>
      </c>
    </row>
    <row r="540">
      <c r="A540" s="1" t="s">
        <v>351</v>
      </c>
      <c r="B540" s="1" t="s">
        <v>529</v>
      </c>
      <c r="C540" s="1">
        <v>688.0</v>
      </c>
      <c r="D540" s="1" t="s">
        <v>568</v>
      </c>
      <c r="E540" s="1" t="s">
        <v>569</v>
      </c>
    </row>
    <row r="541">
      <c r="A541" s="1" t="s">
        <v>351</v>
      </c>
      <c r="B541" s="1" t="s">
        <v>529</v>
      </c>
      <c r="C541" s="1">
        <v>252.0</v>
      </c>
      <c r="D541" s="1" t="s">
        <v>570</v>
      </c>
      <c r="E541" s="1" t="s">
        <v>569</v>
      </c>
    </row>
    <row r="542">
      <c r="A542" s="1" t="s">
        <v>351</v>
      </c>
      <c r="B542" s="1" t="s">
        <v>529</v>
      </c>
      <c r="C542" s="1">
        <v>161.0</v>
      </c>
      <c r="D542" s="1" t="s">
        <v>571</v>
      </c>
      <c r="E542" s="1" t="s">
        <v>569</v>
      </c>
    </row>
    <row r="543">
      <c r="A543" s="1" t="s">
        <v>351</v>
      </c>
      <c r="B543" s="1" t="s">
        <v>529</v>
      </c>
      <c r="C543" s="1">
        <v>287.0</v>
      </c>
      <c r="D543" s="1" t="s">
        <v>572</v>
      </c>
      <c r="E543" s="1" t="s">
        <v>569</v>
      </c>
    </row>
    <row r="544">
      <c r="A544" s="1" t="s">
        <v>351</v>
      </c>
      <c r="B544" s="1" t="s">
        <v>529</v>
      </c>
      <c r="C544" s="1">
        <v>250.0</v>
      </c>
      <c r="D544" s="1" t="s">
        <v>573</v>
      </c>
      <c r="E544" s="1" t="s">
        <v>574</v>
      </c>
    </row>
    <row r="545">
      <c r="A545" s="1" t="s">
        <v>351</v>
      </c>
      <c r="B545" s="1" t="s">
        <v>529</v>
      </c>
      <c r="C545" s="1">
        <v>145.0</v>
      </c>
      <c r="D545" s="1" t="s">
        <v>575</v>
      </c>
      <c r="E545" s="1" t="s">
        <v>574</v>
      </c>
    </row>
    <row r="546">
      <c r="A546" s="1" t="s">
        <v>351</v>
      </c>
      <c r="B546" s="1" t="s">
        <v>529</v>
      </c>
      <c r="C546" s="1">
        <v>146.0</v>
      </c>
      <c r="D546" s="1" t="s">
        <v>576</v>
      </c>
      <c r="E546" s="1" t="s">
        <v>574</v>
      </c>
    </row>
    <row r="547">
      <c r="A547" s="1" t="s">
        <v>351</v>
      </c>
      <c r="B547" s="1" t="s">
        <v>529</v>
      </c>
      <c r="C547" s="1">
        <v>836.0</v>
      </c>
      <c r="D547" s="1" t="s">
        <v>577</v>
      </c>
      <c r="E547" s="1" t="s">
        <v>574</v>
      </c>
    </row>
    <row r="548">
      <c r="A548" s="1" t="s">
        <v>351</v>
      </c>
      <c r="B548" s="1" t="s">
        <v>529</v>
      </c>
      <c r="C548" s="1">
        <v>247.0</v>
      </c>
      <c r="D548" s="1" t="s">
        <v>578</v>
      </c>
      <c r="E548" s="1" t="s">
        <v>574</v>
      </c>
    </row>
    <row r="549">
      <c r="A549" s="1" t="s">
        <v>351</v>
      </c>
      <c r="B549" s="1" t="s">
        <v>529</v>
      </c>
      <c r="C549" s="1">
        <v>249.0</v>
      </c>
      <c r="D549" s="1" t="s">
        <v>579</v>
      </c>
      <c r="E549" s="1" t="s">
        <v>574</v>
      </c>
    </row>
    <row r="550">
      <c r="A550" s="1" t="s">
        <v>351</v>
      </c>
      <c r="B550" s="1" t="s">
        <v>529</v>
      </c>
      <c r="C550" s="1">
        <v>841.0</v>
      </c>
      <c r="D550" s="1" t="s">
        <v>580</v>
      </c>
      <c r="E550" s="1" t="s">
        <v>574</v>
      </c>
    </row>
    <row r="551">
      <c r="A551" s="2"/>
      <c r="B551" s="2"/>
      <c r="C551" s="2"/>
      <c r="D551" s="2"/>
      <c r="E551" s="2"/>
    </row>
    <row r="552">
      <c r="A552" s="1" t="s">
        <v>351</v>
      </c>
      <c r="B552" s="1" t="s">
        <v>581</v>
      </c>
      <c r="C552" s="2"/>
      <c r="D552" s="1" t="s">
        <v>582</v>
      </c>
      <c r="E552" s="1" t="s">
        <v>56</v>
      </c>
    </row>
    <row r="553">
      <c r="A553" s="1" t="s">
        <v>351</v>
      </c>
      <c r="B553" s="1" t="s">
        <v>581</v>
      </c>
      <c r="C553" s="1">
        <v>182.0</v>
      </c>
      <c r="D553" s="1" t="s">
        <v>583</v>
      </c>
      <c r="E553" s="1" t="s">
        <v>56</v>
      </c>
    </row>
    <row r="554">
      <c r="A554" s="1" t="s">
        <v>351</v>
      </c>
      <c r="B554" s="1" t="s">
        <v>581</v>
      </c>
      <c r="C554" s="1">
        <v>1013.0</v>
      </c>
      <c r="D554" s="1" t="s">
        <v>149</v>
      </c>
      <c r="E554" s="1" t="s">
        <v>56</v>
      </c>
    </row>
    <row r="555">
      <c r="A555" s="1" t="s">
        <v>351</v>
      </c>
      <c r="B555" s="1" t="s">
        <v>581</v>
      </c>
      <c r="C555" s="1">
        <v>175.0</v>
      </c>
      <c r="D555" s="1" t="s">
        <v>584</v>
      </c>
      <c r="E555" s="1" t="s">
        <v>585</v>
      </c>
    </row>
    <row r="556">
      <c r="A556" s="1" t="s">
        <v>351</v>
      </c>
      <c r="B556" s="1" t="s">
        <v>581</v>
      </c>
      <c r="C556" s="1">
        <v>543.0</v>
      </c>
      <c r="D556" s="1" t="s">
        <v>586</v>
      </c>
      <c r="E556" s="1" t="s">
        <v>585</v>
      </c>
    </row>
    <row r="557">
      <c r="A557" s="1" t="s">
        <v>351</v>
      </c>
      <c r="B557" s="1" t="s">
        <v>581</v>
      </c>
      <c r="C557" s="1">
        <v>1064.0</v>
      </c>
      <c r="D557" s="1" t="s">
        <v>587</v>
      </c>
      <c r="E557" s="1" t="s">
        <v>585</v>
      </c>
    </row>
    <row r="558">
      <c r="A558" s="1" t="s">
        <v>351</v>
      </c>
      <c r="B558" s="1" t="s">
        <v>581</v>
      </c>
      <c r="C558" s="1">
        <v>200.0</v>
      </c>
      <c r="D558" s="1" t="s">
        <v>588</v>
      </c>
      <c r="E558" s="1" t="s">
        <v>585</v>
      </c>
    </row>
    <row r="559">
      <c r="A559" s="1" t="s">
        <v>351</v>
      </c>
      <c r="B559" s="1" t="s">
        <v>581</v>
      </c>
      <c r="C559" s="1">
        <v>248.0</v>
      </c>
      <c r="D559" s="1" t="s">
        <v>589</v>
      </c>
      <c r="E559" s="1" t="s">
        <v>585</v>
      </c>
    </row>
    <row r="560">
      <c r="A560" s="1" t="s">
        <v>351</v>
      </c>
      <c r="B560" s="1" t="s">
        <v>581</v>
      </c>
      <c r="C560" s="1">
        <v>208.0</v>
      </c>
      <c r="D560" s="1" t="s">
        <v>590</v>
      </c>
      <c r="E560" s="1" t="s">
        <v>585</v>
      </c>
    </row>
    <row r="561">
      <c r="A561" s="1" t="s">
        <v>351</v>
      </c>
      <c r="B561" s="1" t="s">
        <v>581</v>
      </c>
      <c r="C561" s="1">
        <v>1140.0</v>
      </c>
      <c r="D561" s="1" t="s">
        <v>591</v>
      </c>
      <c r="E561" s="1" t="s">
        <v>585</v>
      </c>
    </row>
    <row r="562">
      <c r="A562" s="1" t="s">
        <v>351</v>
      </c>
      <c r="B562" s="1" t="s">
        <v>581</v>
      </c>
      <c r="C562" s="3">
        <v>203.0</v>
      </c>
      <c r="D562" s="1" t="s">
        <v>592</v>
      </c>
      <c r="E562" s="1" t="s">
        <v>593</v>
      </c>
    </row>
    <row r="563">
      <c r="A563" s="1" t="s">
        <v>351</v>
      </c>
      <c r="B563" s="1" t="s">
        <v>581</v>
      </c>
      <c r="C563" s="3">
        <v>127.0</v>
      </c>
      <c r="D563" s="1" t="s">
        <v>594</v>
      </c>
      <c r="E563" s="1" t="s">
        <v>593</v>
      </c>
    </row>
    <row r="564">
      <c r="A564" s="1" t="s">
        <v>351</v>
      </c>
      <c r="B564" s="1" t="s">
        <v>581</v>
      </c>
      <c r="C564" s="1">
        <v>457.0</v>
      </c>
      <c r="D564" s="1" t="s">
        <v>595</v>
      </c>
      <c r="E564" s="1" t="s">
        <v>593</v>
      </c>
    </row>
    <row r="565">
      <c r="A565" s="1" t="s">
        <v>351</v>
      </c>
      <c r="B565" s="1" t="s">
        <v>581</v>
      </c>
      <c r="C565" s="1">
        <v>206.0</v>
      </c>
      <c r="D565" s="1" t="s">
        <v>596</v>
      </c>
      <c r="E565" s="1" t="s">
        <v>597</v>
      </c>
    </row>
    <row r="566">
      <c r="A566" s="1" t="s">
        <v>351</v>
      </c>
      <c r="B566" s="1" t="s">
        <v>581</v>
      </c>
      <c r="C566" s="1">
        <v>223.0</v>
      </c>
      <c r="D566" s="1" t="s">
        <v>598</v>
      </c>
      <c r="E566" s="1" t="s">
        <v>597</v>
      </c>
    </row>
    <row r="567">
      <c r="A567" s="1" t="s">
        <v>351</v>
      </c>
      <c r="B567" s="1" t="s">
        <v>581</v>
      </c>
      <c r="C567" s="1">
        <v>224.0</v>
      </c>
      <c r="D567" s="1" t="s">
        <v>257</v>
      </c>
      <c r="E567" s="1" t="s">
        <v>597</v>
      </c>
    </row>
    <row r="568">
      <c r="A568" s="1" t="s">
        <v>351</v>
      </c>
      <c r="B568" s="1" t="s">
        <v>581</v>
      </c>
      <c r="C568" s="1">
        <v>225.0</v>
      </c>
      <c r="D568" s="1" t="s">
        <v>599</v>
      </c>
      <c r="E568" s="1" t="s">
        <v>597</v>
      </c>
    </row>
    <row r="569">
      <c r="A569" s="1" t="s">
        <v>351</v>
      </c>
      <c r="B569" s="1" t="s">
        <v>581</v>
      </c>
      <c r="C569" s="1">
        <v>226.0</v>
      </c>
      <c r="D569" s="1" t="s">
        <v>600</v>
      </c>
      <c r="E569" s="1" t="s">
        <v>597</v>
      </c>
    </row>
    <row r="570">
      <c r="A570" s="2"/>
      <c r="B570" s="2"/>
      <c r="C570" s="2"/>
      <c r="D570" s="2"/>
      <c r="E570" s="2"/>
    </row>
    <row r="571">
      <c r="A571" s="1" t="s">
        <v>351</v>
      </c>
      <c r="B571" s="1" t="s">
        <v>601</v>
      </c>
      <c r="C571" s="1">
        <v>563.0</v>
      </c>
      <c r="D571" s="1" t="s">
        <v>602</v>
      </c>
      <c r="E571" s="1" t="s">
        <v>56</v>
      </c>
    </row>
    <row r="572">
      <c r="A572" s="1" t="s">
        <v>351</v>
      </c>
      <c r="B572" s="1" t="s">
        <v>601</v>
      </c>
      <c r="C572" s="1">
        <v>505.0</v>
      </c>
      <c r="D572" s="1" t="s">
        <v>603</v>
      </c>
      <c r="E572" s="1" t="s">
        <v>56</v>
      </c>
    </row>
    <row r="573">
      <c r="A573" s="1" t="s">
        <v>351</v>
      </c>
      <c r="B573" s="1" t="s">
        <v>601</v>
      </c>
      <c r="C573" s="1">
        <v>183.0</v>
      </c>
      <c r="D573" s="1" t="s">
        <v>604</v>
      </c>
      <c r="E573" s="1" t="s">
        <v>56</v>
      </c>
    </row>
    <row r="574">
      <c r="A574" s="1" t="s">
        <v>351</v>
      </c>
      <c r="B574" s="1" t="s">
        <v>601</v>
      </c>
      <c r="C574" s="1">
        <v>538.0</v>
      </c>
      <c r="D574" s="1" t="s">
        <v>605</v>
      </c>
      <c r="E574" s="1" t="s">
        <v>56</v>
      </c>
    </row>
    <row r="575">
      <c r="A575" s="1" t="s">
        <v>351</v>
      </c>
      <c r="B575" s="1" t="s">
        <v>601</v>
      </c>
      <c r="C575" s="1">
        <v>195.0</v>
      </c>
      <c r="D575" s="1" t="s">
        <v>279</v>
      </c>
      <c r="E575" s="1" t="s">
        <v>56</v>
      </c>
    </row>
    <row r="576">
      <c r="A576" s="1" t="s">
        <v>351</v>
      </c>
      <c r="B576" s="1" t="s">
        <v>601</v>
      </c>
      <c r="C576" s="1">
        <v>70.0</v>
      </c>
      <c r="D576" s="1" t="s">
        <v>606</v>
      </c>
      <c r="E576" s="1" t="s">
        <v>56</v>
      </c>
    </row>
    <row r="577">
      <c r="A577" s="2"/>
      <c r="B577" s="2"/>
      <c r="C577" s="2"/>
      <c r="D577" s="2"/>
      <c r="E577" s="2"/>
    </row>
    <row r="578">
      <c r="A578" s="1" t="s">
        <v>351</v>
      </c>
      <c r="B578" s="1" t="s">
        <v>607</v>
      </c>
      <c r="C578" s="1">
        <v>138.0</v>
      </c>
      <c r="D578" s="1" t="s">
        <v>608</v>
      </c>
      <c r="E578" s="1" t="s">
        <v>609</v>
      </c>
    </row>
    <row r="579">
      <c r="A579" s="1" t="s">
        <v>351</v>
      </c>
      <c r="B579" s="1" t="s">
        <v>607</v>
      </c>
      <c r="C579" s="1">
        <v>125.0</v>
      </c>
      <c r="D579" s="1" t="s">
        <v>610</v>
      </c>
      <c r="E579" s="1" t="s">
        <v>609</v>
      </c>
    </row>
    <row r="580">
      <c r="A580" s="1" t="s">
        <v>351</v>
      </c>
      <c r="B580" s="1" t="s">
        <v>607</v>
      </c>
      <c r="C580" s="1">
        <v>775.0</v>
      </c>
      <c r="D580" s="1" t="s">
        <v>611</v>
      </c>
      <c r="E580" s="1" t="s">
        <v>609</v>
      </c>
    </row>
    <row r="581">
      <c r="A581" s="2"/>
      <c r="B581" s="2"/>
      <c r="C581" s="2"/>
      <c r="D581" s="2"/>
      <c r="E581" s="2"/>
    </row>
    <row r="582">
      <c r="A582" s="1" t="s">
        <v>612</v>
      </c>
      <c r="B582" s="1" t="s">
        <v>613</v>
      </c>
      <c r="C582" s="3">
        <v>589.0</v>
      </c>
      <c r="D582" s="1" t="s">
        <v>614</v>
      </c>
      <c r="E582" s="1" t="s">
        <v>56</v>
      </c>
    </row>
    <row r="583">
      <c r="A583" s="1" t="s">
        <v>612</v>
      </c>
      <c r="B583" s="1" t="s">
        <v>613</v>
      </c>
      <c r="C583" s="3">
        <v>8.0</v>
      </c>
      <c r="D583" s="1" t="s">
        <v>615</v>
      </c>
      <c r="E583" s="1" t="s">
        <v>56</v>
      </c>
    </row>
    <row r="584">
      <c r="A584" s="1" t="s">
        <v>612</v>
      </c>
      <c r="B584" s="1" t="s">
        <v>613</v>
      </c>
      <c r="C584" s="1">
        <v>10.0</v>
      </c>
      <c r="D584" s="1" t="s">
        <v>616</v>
      </c>
      <c r="E584" s="1" t="s">
        <v>56</v>
      </c>
    </row>
    <row r="585">
      <c r="A585" s="1" t="s">
        <v>612</v>
      </c>
      <c r="B585" s="1" t="s">
        <v>613</v>
      </c>
      <c r="C585" s="1">
        <v>520.0</v>
      </c>
      <c r="D585" s="1" t="s">
        <v>617</v>
      </c>
      <c r="E585" s="1" t="s">
        <v>56</v>
      </c>
    </row>
    <row r="586">
      <c r="A586" s="1" t="s">
        <v>612</v>
      </c>
      <c r="B586" s="1" t="s">
        <v>613</v>
      </c>
      <c r="C586" s="1">
        <v>1211.0</v>
      </c>
      <c r="D586" s="1" t="s">
        <v>618</v>
      </c>
      <c r="E586" s="1" t="s">
        <v>56</v>
      </c>
    </row>
    <row r="587">
      <c r="A587" s="2"/>
      <c r="B587" s="2"/>
      <c r="C587" s="2"/>
      <c r="D587" s="2"/>
      <c r="E587" s="2"/>
    </row>
    <row r="588">
      <c r="A588" s="1" t="s">
        <v>612</v>
      </c>
      <c r="B588" s="1" t="s">
        <v>619</v>
      </c>
      <c r="C588" s="1">
        <v>521.0</v>
      </c>
      <c r="D588" s="1" t="s">
        <v>620</v>
      </c>
      <c r="E588" s="1" t="s">
        <v>362</v>
      </c>
    </row>
    <row r="589">
      <c r="A589" s="1" t="s">
        <v>612</v>
      </c>
      <c r="B589" s="1" t="s">
        <v>619</v>
      </c>
      <c r="C589" s="1">
        <v>507.0</v>
      </c>
      <c r="D589" s="1" t="s">
        <v>621</v>
      </c>
      <c r="E589" s="1" t="s">
        <v>399</v>
      </c>
    </row>
    <row r="590">
      <c r="A590" s="1" t="s">
        <v>612</v>
      </c>
      <c r="B590" s="1" t="s">
        <v>619</v>
      </c>
      <c r="C590" s="3">
        <v>846.0</v>
      </c>
      <c r="D590" s="1" t="s">
        <v>622</v>
      </c>
      <c r="E590" s="1" t="s">
        <v>399</v>
      </c>
    </row>
    <row r="591">
      <c r="A591" s="1" t="s">
        <v>612</v>
      </c>
      <c r="B591" s="1" t="s">
        <v>619</v>
      </c>
      <c r="C591" s="3">
        <v>367.0</v>
      </c>
      <c r="D591" s="1" t="s">
        <v>502</v>
      </c>
      <c r="E591" s="1" t="s">
        <v>399</v>
      </c>
    </row>
    <row r="592">
      <c r="A592" s="1" t="s">
        <v>612</v>
      </c>
      <c r="B592" s="1" t="s">
        <v>619</v>
      </c>
      <c r="C592" s="1">
        <v>452.0</v>
      </c>
      <c r="D592" s="1" t="s">
        <v>623</v>
      </c>
      <c r="E592" s="1" t="s">
        <v>399</v>
      </c>
    </row>
    <row r="593">
      <c r="A593" s="1" t="s">
        <v>612</v>
      </c>
      <c r="B593" s="1" t="s">
        <v>619</v>
      </c>
      <c r="C593" s="1">
        <v>478.0</v>
      </c>
      <c r="D593" s="1" t="s">
        <v>624</v>
      </c>
      <c r="E593" s="1" t="s">
        <v>399</v>
      </c>
    </row>
    <row r="594">
      <c r="A594" s="1" t="s">
        <v>612</v>
      </c>
      <c r="B594" s="1" t="s">
        <v>619</v>
      </c>
      <c r="C594" s="1">
        <v>504.0</v>
      </c>
      <c r="D594" s="1" t="s">
        <v>625</v>
      </c>
      <c r="E594" s="1" t="s">
        <v>399</v>
      </c>
    </row>
    <row r="595">
      <c r="A595" s="1" t="s">
        <v>612</v>
      </c>
      <c r="B595" s="1" t="s">
        <v>619</v>
      </c>
      <c r="C595" s="3">
        <v>456.0</v>
      </c>
      <c r="D595" s="1" t="s">
        <v>626</v>
      </c>
      <c r="E595" s="1" t="s">
        <v>399</v>
      </c>
    </row>
    <row r="596">
      <c r="A596" s="1" t="s">
        <v>612</v>
      </c>
      <c r="B596" s="1" t="s">
        <v>619</v>
      </c>
      <c r="C596" s="3">
        <v>829.0</v>
      </c>
      <c r="D596" s="1" t="s">
        <v>627</v>
      </c>
      <c r="E596" s="1" t="s">
        <v>399</v>
      </c>
    </row>
    <row r="597">
      <c r="A597" s="1" t="s">
        <v>612</v>
      </c>
      <c r="B597" s="1" t="s">
        <v>619</v>
      </c>
      <c r="C597" s="1">
        <v>489.0</v>
      </c>
      <c r="D597" s="1" t="s">
        <v>628</v>
      </c>
      <c r="E597" s="1" t="s">
        <v>399</v>
      </c>
    </row>
    <row r="598">
      <c r="A598" s="1" t="s">
        <v>612</v>
      </c>
      <c r="B598" s="1" t="s">
        <v>619</v>
      </c>
      <c r="C598" s="1">
        <v>508.0</v>
      </c>
      <c r="D598" s="1" t="s">
        <v>629</v>
      </c>
      <c r="E598" s="1" t="s">
        <v>416</v>
      </c>
    </row>
    <row r="599">
      <c r="A599" s="1" t="s">
        <v>612</v>
      </c>
      <c r="B599" s="1" t="s">
        <v>619</v>
      </c>
      <c r="C599" s="1">
        <v>365.0</v>
      </c>
      <c r="D599" s="1" t="s">
        <v>630</v>
      </c>
      <c r="E599" s="1" t="s">
        <v>416</v>
      </c>
    </row>
    <row r="600">
      <c r="A600" s="1" t="s">
        <v>612</v>
      </c>
      <c r="B600" s="1" t="s">
        <v>619</v>
      </c>
      <c r="C600" s="1">
        <v>458.0</v>
      </c>
      <c r="D600" s="1" t="s">
        <v>631</v>
      </c>
      <c r="E600" s="1" t="s">
        <v>416</v>
      </c>
    </row>
    <row r="601">
      <c r="A601" s="1" t="s">
        <v>612</v>
      </c>
      <c r="B601" s="1" t="s">
        <v>619</v>
      </c>
      <c r="C601" s="3">
        <v>372.0</v>
      </c>
      <c r="D601" s="1" t="s">
        <v>632</v>
      </c>
      <c r="E601" s="1" t="s">
        <v>416</v>
      </c>
    </row>
    <row r="602">
      <c r="A602" s="1" t="s">
        <v>612</v>
      </c>
      <c r="B602" s="1" t="s">
        <v>619</v>
      </c>
      <c r="C602" s="3">
        <v>721.0</v>
      </c>
      <c r="D602" s="1" t="s">
        <v>633</v>
      </c>
      <c r="E602" s="1" t="s">
        <v>416</v>
      </c>
    </row>
    <row r="603">
      <c r="A603" s="1" t="s">
        <v>612</v>
      </c>
      <c r="B603" s="1" t="s">
        <v>619</v>
      </c>
      <c r="C603" s="1">
        <v>369.0</v>
      </c>
      <c r="D603" s="1" t="s">
        <v>634</v>
      </c>
      <c r="E603" s="1" t="s">
        <v>416</v>
      </c>
    </row>
    <row r="604">
      <c r="A604" s="1" t="s">
        <v>612</v>
      </c>
      <c r="B604" s="1" t="s">
        <v>619</v>
      </c>
      <c r="C604" s="1">
        <v>371.0</v>
      </c>
      <c r="D604" s="1" t="s">
        <v>635</v>
      </c>
      <c r="E604" s="1" t="s">
        <v>416</v>
      </c>
    </row>
    <row r="605">
      <c r="A605" s="1" t="s">
        <v>612</v>
      </c>
      <c r="B605" s="1" t="s">
        <v>619</v>
      </c>
      <c r="C605" s="1">
        <v>1187.0</v>
      </c>
      <c r="D605" s="1" t="s">
        <v>636</v>
      </c>
      <c r="E605" s="1" t="s">
        <v>416</v>
      </c>
    </row>
    <row r="606">
      <c r="A606" s="1" t="s">
        <v>612</v>
      </c>
      <c r="B606" s="1" t="s">
        <v>619</v>
      </c>
      <c r="C606" s="1">
        <v>1285.0</v>
      </c>
      <c r="D606" s="1" t="s">
        <v>637</v>
      </c>
      <c r="E606" s="1" t="s">
        <v>416</v>
      </c>
    </row>
    <row r="607">
      <c r="A607" s="1" t="s">
        <v>612</v>
      </c>
      <c r="B607" s="1" t="s">
        <v>619</v>
      </c>
      <c r="C607" s="1">
        <v>764.0</v>
      </c>
      <c r="D607" s="1" t="s">
        <v>638</v>
      </c>
      <c r="E607" s="1" t="s">
        <v>436</v>
      </c>
    </row>
    <row r="608">
      <c r="A608" s="1" t="s">
        <v>612</v>
      </c>
      <c r="B608" s="1" t="s">
        <v>619</v>
      </c>
      <c r="C608" s="1">
        <v>414.0</v>
      </c>
      <c r="D608" s="1" t="s">
        <v>348</v>
      </c>
      <c r="E608" s="1" t="s">
        <v>436</v>
      </c>
    </row>
    <row r="609">
      <c r="A609" s="1" t="s">
        <v>612</v>
      </c>
      <c r="B609" s="1" t="s">
        <v>619</v>
      </c>
      <c r="C609" s="1">
        <v>417.0</v>
      </c>
      <c r="D609" s="1" t="s">
        <v>639</v>
      </c>
      <c r="E609" s="1" t="s">
        <v>436</v>
      </c>
    </row>
    <row r="610">
      <c r="A610" s="1" t="s">
        <v>612</v>
      </c>
      <c r="B610" s="1" t="s">
        <v>619</v>
      </c>
      <c r="C610" s="1">
        <v>898.0</v>
      </c>
      <c r="D610" s="1" t="s">
        <v>640</v>
      </c>
      <c r="E610" s="1" t="s">
        <v>436</v>
      </c>
    </row>
    <row r="611">
      <c r="A611" s="1" t="s">
        <v>612</v>
      </c>
      <c r="B611" s="1" t="s">
        <v>619</v>
      </c>
      <c r="C611" s="1">
        <v>991.0</v>
      </c>
      <c r="D611" s="1" t="s">
        <v>641</v>
      </c>
      <c r="E611" s="1" t="s">
        <v>436</v>
      </c>
    </row>
    <row r="612">
      <c r="A612" s="1" t="s">
        <v>612</v>
      </c>
      <c r="B612" s="1" t="s">
        <v>619</v>
      </c>
      <c r="C612" s="1">
        <v>1055.0</v>
      </c>
      <c r="D612" s="1" t="s">
        <v>642</v>
      </c>
      <c r="E612" s="1" t="s">
        <v>436</v>
      </c>
    </row>
    <row r="613">
      <c r="A613" s="1" t="s">
        <v>612</v>
      </c>
      <c r="B613" s="1" t="s">
        <v>619</v>
      </c>
      <c r="C613" s="1">
        <v>1224.0</v>
      </c>
      <c r="D613" s="1" t="s">
        <v>643</v>
      </c>
      <c r="E613" s="1" t="s">
        <v>436</v>
      </c>
    </row>
    <row r="614">
      <c r="A614" s="1" t="s">
        <v>612</v>
      </c>
      <c r="B614" s="1" t="s">
        <v>619</v>
      </c>
      <c r="C614" s="1">
        <v>1272.0</v>
      </c>
      <c r="D614" s="1" t="s">
        <v>644</v>
      </c>
      <c r="E614" s="1" t="s">
        <v>436</v>
      </c>
    </row>
    <row r="615">
      <c r="A615" s="1" t="s">
        <v>612</v>
      </c>
      <c r="B615" s="1" t="s">
        <v>619</v>
      </c>
      <c r="C615" s="1">
        <v>354.0</v>
      </c>
      <c r="D615" s="1" t="s">
        <v>645</v>
      </c>
      <c r="E615" s="1" t="s">
        <v>446</v>
      </c>
    </row>
    <row r="616">
      <c r="A616" s="1" t="s">
        <v>612</v>
      </c>
      <c r="B616" s="1" t="s">
        <v>619</v>
      </c>
      <c r="C616" s="1">
        <v>619.0</v>
      </c>
      <c r="D616" s="1" t="s">
        <v>646</v>
      </c>
      <c r="E616" s="1" t="s">
        <v>446</v>
      </c>
    </row>
    <row r="617">
      <c r="A617" s="1" t="s">
        <v>612</v>
      </c>
      <c r="B617" s="1" t="s">
        <v>619</v>
      </c>
      <c r="C617" s="1">
        <v>614.0</v>
      </c>
      <c r="D617" s="1" t="s">
        <v>647</v>
      </c>
      <c r="E617" s="1" t="s">
        <v>446</v>
      </c>
    </row>
    <row r="618">
      <c r="A618" s="1" t="s">
        <v>612</v>
      </c>
      <c r="B618" s="1" t="s">
        <v>619</v>
      </c>
      <c r="C618" s="1">
        <v>785.0</v>
      </c>
      <c r="D618" s="1" t="s">
        <v>648</v>
      </c>
      <c r="E618" s="1" t="s">
        <v>446</v>
      </c>
    </row>
    <row r="619">
      <c r="A619" s="1" t="s">
        <v>612</v>
      </c>
      <c r="B619" s="1" t="s">
        <v>619</v>
      </c>
      <c r="C619" s="1">
        <v>907.0</v>
      </c>
      <c r="D619" s="1" t="s">
        <v>649</v>
      </c>
      <c r="E619" s="1" t="s">
        <v>446</v>
      </c>
    </row>
    <row r="620">
      <c r="A620" s="1" t="s">
        <v>612</v>
      </c>
      <c r="B620" s="1" t="s">
        <v>619</v>
      </c>
      <c r="C620" s="1">
        <v>472.0</v>
      </c>
      <c r="D620" s="1" t="s">
        <v>650</v>
      </c>
      <c r="E620" s="1" t="s">
        <v>446</v>
      </c>
    </row>
    <row r="621">
      <c r="A621" s="1" t="s">
        <v>612</v>
      </c>
      <c r="B621" s="1" t="s">
        <v>619</v>
      </c>
      <c r="C621" s="1">
        <v>238.0</v>
      </c>
      <c r="D621" s="1" t="s">
        <v>651</v>
      </c>
      <c r="E621" s="1" t="s">
        <v>446</v>
      </c>
    </row>
    <row r="622">
      <c r="A622" s="1" t="s">
        <v>612</v>
      </c>
      <c r="B622" s="1" t="s">
        <v>619</v>
      </c>
      <c r="C622" s="1">
        <v>1255.0</v>
      </c>
      <c r="D622" s="1" t="s">
        <v>652</v>
      </c>
      <c r="E622" s="1" t="s">
        <v>446</v>
      </c>
    </row>
    <row r="623">
      <c r="A623" s="2"/>
      <c r="B623" s="2"/>
      <c r="C623" s="2"/>
      <c r="D623" s="2"/>
      <c r="E623" s="2"/>
    </row>
    <row r="624">
      <c r="A624" s="1" t="s">
        <v>612</v>
      </c>
      <c r="B624" s="1" t="s">
        <v>653</v>
      </c>
      <c r="C624" s="1">
        <v>548.0</v>
      </c>
      <c r="D624" s="1" t="s">
        <v>654</v>
      </c>
      <c r="E624" s="1" t="s">
        <v>362</v>
      </c>
    </row>
    <row r="625">
      <c r="A625" s="1" t="s">
        <v>612</v>
      </c>
      <c r="B625" s="1" t="s">
        <v>653</v>
      </c>
      <c r="C625" s="1">
        <v>999.0</v>
      </c>
      <c r="D625" s="1" t="s">
        <v>655</v>
      </c>
      <c r="E625" s="1" t="s">
        <v>362</v>
      </c>
    </row>
    <row r="626">
      <c r="A626" s="1" t="s">
        <v>612</v>
      </c>
      <c r="B626" s="1" t="s">
        <v>653</v>
      </c>
      <c r="C626" s="1">
        <v>385.0</v>
      </c>
      <c r="D626" s="1" t="s">
        <v>656</v>
      </c>
      <c r="E626" s="1" t="s">
        <v>456</v>
      </c>
    </row>
    <row r="627">
      <c r="A627" s="1" t="s">
        <v>612</v>
      </c>
      <c r="B627" s="1" t="s">
        <v>653</v>
      </c>
      <c r="C627" s="1">
        <v>440.0</v>
      </c>
      <c r="D627" s="1" t="s">
        <v>657</v>
      </c>
      <c r="E627" s="1" t="s">
        <v>456</v>
      </c>
    </row>
    <row r="628">
      <c r="A628" s="1" t="s">
        <v>612</v>
      </c>
      <c r="B628" s="1" t="s">
        <v>653</v>
      </c>
      <c r="C628" s="1">
        <v>439.0</v>
      </c>
      <c r="D628" s="1" t="s">
        <v>216</v>
      </c>
      <c r="E628" s="1" t="s">
        <v>456</v>
      </c>
    </row>
    <row r="629">
      <c r="A629" s="1" t="s">
        <v>612</v>
      </c>
      <c r="B629" s="1" t="s">
        <v>653</v>
      </c>
      <c r="C629" s="1">
        <v>441.0</v>
      </c>
      <c r="D629" s="1" t="s">
        <v>658</v>
      </c>
      <c r="E629" s="1" t="s">
        <v>456</v>
      </c>
    </row>
    <row r="630">
      <c r="A630" s="1" t="s">
        <v>612</v>
      </c>
      <c r="B630" s="1" t="s">
        <v>653</v>
      </c>
      <c r="C630" s="1">
        <v>631.0</v>
      </c>
      <c r="D630" s="1" t="s">
        <v>659</v>
      </c>
      <c r="E630" s="1" t="s">
        <v>456</v>
      </c>
    </row>
    <row r="631">
      <c r="A631" s="1" t="s">
        <v>612</v>
      </c>
      <c r="B631" s="1" t="s">
        <v>653</v>
      </c>
      <c r="C631" s="1">
        <v>443.0</v>
      </c>
      <c r="D631" s="1" t="s">
        <v>660</v>
      </c>
      <c r="E631" s="1" t="s">
        <v>456</v>
      </c>
    </row>
    <row r="632">
      <c r="A632" s="1" t="s">
        <v>612</v>
      </c>
      <c r="B632" s="1" t="s">
        <v>653</v>
      </c>
      <c r="C632" s="1">
        <v>844.0</v>
      </c>
      <c r="D632" s="1" t="s">
        <v>661</v>
      </c>
      <c r="E632" s="1" t="s">
        <v>456</v>
      </c>
    </row>
    <row r="633">
      <c r="A633" s="1" t="s">
        <v>612</v>
      </c>
      <c r="B633" s="1" t="s">
        <v>653</v>
      </c>
      <c r="C633" s="1">
        <v>431.0</v>
      </c>
      <c r="D633" s="1" t="s">
        <v>662</v>
      </c>
      <c r="E633" s="1" t="s">
        <v>456</v>
      </c>
    </row>
    <row r="634">
      <c r="A634" s="1" t="s">
        <v>612</v>
      </c>
      <c r="B634" s="1" t="s">
        <v>653</v>
      </c>
      <c r="C634" s="1">
        <v>430.0</v>
      </c>
      <c r="D634" s="1" t="s">
        <v>663</v>
      </c>
      <c r="E634" s="1" t="s">
        <v>456</v>
      </c>
    </row>
    <row r="635">
      <c r="A635" s="1" t="s">
        <v>612</v>
      </c>
      <c r="B635" s="1" t="s">
        <v>653</v>
      </c>
      <c r="C635" s="1">
        <v>435.0</v>
      </c>
      <c r="D635" s="1" t="s">
        <v>664</v>
      </c>
      <c r="E635" s="1" t="s">
        <v>456</v>
      </c>
    </row>
    <row r="636">
      <c r="A636" s="1" t="s">
        <v>612</v>
      </c>
      <c r="B636" s="1" t="s">
        <v>653</v>
      </c>
      <c r="C636" s="1">
        <v>412.0</v>
      </c>
      <c r="D636" s="1" t="s">
        <v>665</v>
      </c>
      <c r="E636" s="1" t="s">
        <v>456</v>
      </c>
    </row>
    <row r="637">
      <c r="A637" s="1" t="s">
        <v>612</v>
      </c>
      <c r="B637" s="1" t="s">
        <v>653</v>
      </c>
      <c r="C637" s="1">
        <v>878.0</v>
      </c>
      <c r="D637" s="1" t="s">
        <v>666</v>
      </c>
      <c r="E637" s="1" t="s">
        <v>456</v>
      </c>
    </row>
    <row r="638">
      <c r="A638" s="1" t="s">
        <v>612</v>
      </c>
      <c r="B638" s="1" t="s">
        <v>653</v>
      </c>
      <c r="C638" s="1">
        <v>845.0</v>
      </c>
      <c r="D638" s="1" t="s">
        <v>667</v>
      </c>
      <c r="E638" s="1" t="s">
        <v>456</v>
      </c>
    </row>
    <row r="639">
      <c r="A639" s="1" t="s">
        <v>612</v>
      </c>
      <c r="B639" s="1" t="s">
        <v>653</v>
      </c>
      <c r="C639" s="1">
        <v>1120.0</v>
      </c>
      <c r="D639" s="1" t="s">
        <v>668</v>
      </c>
      <c r="E639" s="1" t="s">
        <v>456</v>
      </c>
    </row>
    <row r="640">
      <c r="A640" s="1" t="s">
        <v>612</v>
      </c>
      <c r="B640" s="1" t="s">
        <v>653</v>
      </c>
      <c r="C640" s="1">
        <v>437.0</v>
      </c>
      <c r="D640" s="1" t="s">
        <v>669</v>
      </c>
      <c r="E640" s="1" t="s">
        <v>472</v>
      </c>
    </row>
    <row r="641">
      <c r="A641" s="1" t="s">
        <v>612</v>
      </c>
      <c r="B641" s="1" t="s">
        <v>653</v>
      </c>
      <c r="C641" s="1">
        <v>433.0</v>
      </c>
      <c r="D641" s="1" t="s">
        <v>670</v>
      </c>
      <c r="E641" s="1" t="s">
        <v>472</v>
      </c>
    </row>
    <row r="642">
      <c r="A642" s="1" t="s">
        <v>612</v>
      </c>
      <c r="B642" s="1" t="s">
        <v>653</v>
      </c>
      <c r="C642" s="1">
        <v>588.0</v>
      </c>
      <c r="D642" s="1" t="s">
        <v>671</v>
      </c>
      <c r="E642" s="1" t="s">
        <v>472</v>
      </c>
    </row>
    <row r="643">
      <c r="A643" s="1" t="s">
        <v>612</v>
      </c>
      <c r="B643" s="1" t="s">
        <v>653</v>
      </c>
      <c r="C643" s="1">
        <v>713.0</v>
      </c>
      <c r="D643" s="1" t="s">
        <v>315</v>
      </c>
      <c r="E643" s="1" t="s">
        <v>472</v>
      </c>
    </row>
    <row r="644">
      <c r="A644" s="1" t="s">
        <v>612</v>
      </c>
      <c r="B644" s="1" t="s">
        <v>653</v>
      </c>
      <c r="C644" s="1">
        <v>571.0</v>
      </c>
      <c r="D644" s="1" t="s">
        <v>672</v>
      </c>
      <c r="E644" s="1" t="s">
        <v>472</v>
      </c>
    </row>
    <row r="645">
      <c r="A645" s="1" t="s">
        <v>612</v>
      </c>
      <c r="B645" s="1" t="s">
        <v>653</v>
      </c>
      <c r="C645" s="1">
        <v>572.0</v>
      </c>
      <c r="D645" s="1" t="s">
        <v>673</v>
      </c>
      <c r="E645" s="1" t="s">
        <v>472</v>
      </c>
    </row>
    <row r="646">
      <c r="A646" s="1" t="s">
        <v>612</v>
      </c>
      <c r="B646" s="1" t="s">
        <v>653</v>
      </c>
      <c r="C646" s="1">
        <v>542.0</v>
      </c>
      <c r="D646" s="1" t="s">
        <v>674</v>
      </c>
      <c r="E646" s="1" t="s">
        <v>472</v>
      </c>
    </row>
    <row r="647">
      <c r="A647" s="1" t="s">
        <v>612</v>
      </c>
      <c r="B647" s="1" t="s">
        <v>653</v>
      </c>
      <c r="C647" s="3">
        <v>585.0</v>
      </c>
      <c r="D647" s="1" t="s">
        <v>675</v>
      </c>
      <c r="E647" s="1" t="s">
        <v>472</v>
      </c>
    </row>
    <row r="648">
      <c r="A648" s="1" t="s">
        <v>612</v>
      </c>
      <c r="B648" s="1" t="s">
        <v>653</v>
      </c>
      <c r="C648" s="3">
        <v>530.0</v>
      </c>
      <c r="D648" s="1" t="s">
        <v>676</v>
      </c>
      <c r="E648" s="1" t="s">
        <v>472</v>
      </c>
    </row>
    <row r="649">
      <c r="A649" s="1" t="s">
        <v>612</v>
      </c>
      <c r="B649" s="1" t="s">
        <v>653</v>
      </c>
      <c r="C649" s="1">
        <v>284.0</v>
      </c>
      <c r="D649" s="1" t="s">
        <v>677</v>
      </c>
      <c r="E649" s="1" t="s">
        <v>472</v>
      </c>
    </row>
    <row r="650">
      <c r="A650" s="1" t="s">
        <v>612</v>
      </c>
      <c r="B650" s="1" t="s">
        <v>653</v>
      </c>
      <c r="C650" s="1">
        <v>514.0</v>
      </c>
      <c r="D650" s="1" t="s">
        <v>678</v>
      </c>
      <c r="E650" s="1" t="s">
        <v>472</v>
      </c>
    </row>
    <row r="651">
      <c r="A651" s="1" t="s">
        <v>612</v>
      </c>
      <c r="B651" s="1" t="s">
        <v>653</v>
      </c>
      <c r="C651" s="1">
        <v>958.0</v>
      </c>
      <c r="D651" s="1" t="s">
        <v>679</v>
      </c>
      <c r="E651" s="1" t="s">
        <v>472</v>
      </c>
    </row>
    <row r="652">
      <c r="A652" s="1" t="s">
        <v>612</v>
      </c>
      <c r="B652" s="1" t="s">
        <v>653</v>
      </c>
      <c r="C652" s="1">
        <v>1160.0</v>
      </c>
      <c r="D652" s="1" t="s">
        <v>680</v>
      </c>
      <c r="E652" s="1" t="s">
        <v>472</v>
      </c>
    </row>
    <row r="653">
      <c r="A653" s="1" t="s">
        <v>612</v>
      </c>
      <c r="B653" s="1" t="s">
        <v>653</v>
      </c>
      <c r="C653" s="1">
        <v>375.0</v>
      </c>
      <c r="D653" s="1" t="s">
        <v>681</v>
      </c>
      <c r="E653" s="1" t="s">
        <v>487</v>
      </c>
    </row>
    <row r="654">
      <c r="A654" s="1" t="s">
        <v>612</v>
      </c>
      <c r="B654" s="1" t="s">
        <v>653</v>
      </c>
      <c r="C654" s="1">
        <v>551.0</v>
      </c>
      <c r="D654" s="1" t="s">
        <v>682</v>
      </c>
      <c r="E654" s="1" t="s">
        <v>487</v>
      </c>
    </row>
    <row r="655">
      <c r="A655" s="1" t="s">
        <v>612</v>
      </c>
      <c r="B655" s="1" t="s">
        <v>653</v>
      </c>
      <c r="C655" s="1">
        <v>558.0</v>
      </c>
      <c r="D655" s="1" t="s">
        <v>683</v>
      </c>
      <c r="E655" s="1" t="s">
        <v>487</v>
      </c>
    </row>
    <row r="656">
      <c r="A656" s="1" t="s">
        <v>612</v>
      </c>
      <c r="B656" s="1" t="s">
        <v>653</v>
      </c>
      <c r="C656" s="1">
        <v>711.0</v>
      </c>
      <c r="D656" s="1" t="s">
        <v>684</v>
      </c>
      <c r="E656" s="1" t="s">
        <v>487</v>
      </c>
    </row>
    <row r="657">
      <c r="A657" s="1" t="s">
        <v>612</v>
      </c>
      <c r="B657" s="1" t="s">
        <v>653</v>
      </c>
      <c r="C657" s="1">
        <v>511.0</v>
      </c>
      <c r="D657" s="1" t="s">
        <v>685</v>
      </c>
      <c r="E657" s="1" t="s">
        <v>487</v>
      </c>
    </row>
    <row r="658">
      <c r="A658" s="1" t="s">
        <v>612</v>
      </c>
      <c r="B658" s="1" t="s">
        <v>653</v>
      </c>
      <c r="C658" s="1">
        <v>830.0</v>
      </c>
      <c r="D658" s="1" t="s">
        <v>686</v>
      </c>
      <c r="E658" s="1" t="s">
        <v>487</v>
      </c>
    </row>
    <row r="659">
      <c r="A659" s="1" t="s">
        <v>612</v>
      </c>
      <c r="B659" s="1" t="s">
        <v>653</v>
      </c>
      <c r="C659" s="1">
        <v>539.0</v>
      </c>
      <c r="D659" s="1" t="s">
        <v>687</v>
      </c>
      <c r="E659" s="1" t="s">
        <v>487</v>
      </c>
    </row>
    <row r="660">
      <c r="A660" s="1" t="s">
        <v>612</v>
      </c>
      <c r="B660" s="1" t="s">
        <v>653</v>
      </c>
      <c r="C660" s="1">
        <v>529.0</v>
      </c>
      <c r="D660" s="1" t="s">
        <v>688</v>
      </c>
      <c r="E660" s="1" t="s">
        <v>487</v>
      </c>
    </row>
    <row r="661">
      <c r="A661" s="1" t="s">
        <v>612</v>
      </c>
      <c r="B661" s="1" t="s">
        <v>653</v>
      </c>
      <c r="C661" s="1">
        <v>336.0</v>
      </c>
      <c r="D661" s="1" t="s">
        <v>689</v>
      </c>
      <c r="E661" s="1" t="s">
        <v>487</v>
      </c>
    </row>
    <row r="662">
      <c r="A662" s="1" t="s">
        <v>612</v>
      </c>
      <c r="B662" s="1" t="s">
        <v>653</v>
      </c>
      <c r="C662" s="1">
        <v>1050.0</v>
      </c>
      <c r="D662" s="1" t="s">
        <v>690</v>
      </c>
      <c r="E662" s="1" t="s">
        <v>487</v>
      </c>
    </row>
    <row r="663">
      <c r="A663" s="1" t="s">
        <v>612</v>
      </c>
      <c r="B663" s="1" t="s">
        <v>653</v>
      </c>
      <c r="C663" s="1">
        <v>1117.0</v>
      </c>
      <c r="D663" s="1" t="s">
        <v>691</v>
      </c>
      <c r="E663" s="1" t="s">
        <v>487</v>
      </c>
    </row>
    <row r="664">
      <c r="A664" s="1" t="s">
        <v>612</v>
      </c>
      <c r="B664" s="1" t="s">
        <v>653</v>
      </c>
      <c r="C664" s="1">
        <v>1201.0</v>
      </c>
      <c r="D664" s="1" t="s">
        <v>692</v>
      </c>
      <c r="E664" s="1" t="s">
        <v>487</v>
      </c>
    </row>
    <row r="665">
      <c r="A665" s="1" t="s">
        <v>612</v>
      </c>
      <c r="B665" s="1" t="s">
        <v>653</v>
      </c>
      <c r="C665" s="1">
        <v>1189.0</v>
      </c>
      <c r="D665" s="1" t="s">
        <v>693</v>
      </c>
      <c r="E665" s="1" t="s">
        <v>487</v>
      </c>
    </row>
    <row r="666">
      <c r="A666" s="1" t="s">
        <v>612</v>
      </c>
      <c r="B666" s="1" t="s">
        <v>653</v>
      </c>
      <c r="C666" s="1">
        <v>1198.0</v>
      </c>
      <c r="D666" s="1" t="s">
        <v>694</v>
      </c>
      <c r="E666" s="1" t="s">
        <v>487</v>
      </c>
    </row>
    <row r="667">
      <c r="A667" s="1" t="s">
        <v>612</v>
      </c>
      <c r="B667" s="1" t="s">
        <v>653</v>
      </c>
      <c r="C667" s="1">
        <v>1281.0</v>
      </c>
      <c r="D667" s="1" t="s">
        <v>695</v>
      </c>
      <c r="E667" s="1" t="s">
        <v>487</v>
      </c>
    </row>
    <row r="668">
      <c r="A668" s="1" t="s">
        <v>612</v>
      </c>
      <c r="B668" s="1" t="s">
        <v>653</v>
      </c>
      <c r="C668" s="1">
        <v>374.0</v>
      </c>
      <c r="D668" s="1" t="s">
        <v>696</v>
      </c>
      <c r="E668" s="1" t="s">
        <v>506</v>
      </c>
    </row>
    <row r="669">
      <c r="A669" s="1" t="s">
        <v>612</v>
      </c>
      <c r="B669" s="1" t="s">
        <v>653</v>
      </c>
      <c r="C669" s="1">
        <v>380.0</v>
      </c>
      <c r="D669" s="1" t="s">
        <v>697</v>
      </c>
      <c r="E669" s="1" t="s">
        <v>506</v>
      </c>
    </row>
    <row r="670">
      <c r="A670" s="1" t="s">
        <v>612</v>
      </c>
      <c r="B670" s="1" t="s">
        <v>653</v>
      </c>
      <c r="C670" s="1">
        <v>459.0</v>
      </c>
      <c r="D670" s="1" t="s">
        <v>698</v>
      </c>
      <c r="E670" s="1" t="s">
        <v>506</v>
      </c>
    </row>
    <row r="671">
      <c r="A671" s="1" t="s">
        <v>612</v>
      </c>
      <c r="B671" s="1" t="s">
        <v>653</v>
      </c>
      <c r="C671" s="1">
        <v>382.0</v>
      </c>
      <c r="D671" s="1" t="s">
        <v>699</v>
      </c>
      <c r="E671" s="1" t="s">
        <v>506</v>
      </c>
    </row>
    <row r="672">
      <c r="A672" s="1" t="s">
        <v>612</v>
      </c>
      <c r="B672" s="1" t="s">
        <v>653</v>
      </c>
      <c r="C672" s="1">
        <v>381.0</v>
      </c>
      <c r="D672" s="1" t="s">
        <v>700</v>
      </c>
      <c r="E672" s="1" t="s">
        <v>506</v>
      </c>
    </row>
    <row r="673">
      <c r="A673" s="1" t="s">
        <v>612</v>
      </c>
      <c r="B673" s="1" t="s">
        <v>653</v>
      </c>
      <c r="C673" s="1">
        <v>662.0</v>
      </c>
      <c r="D673" s="1" t="s">
        <v>701</v>
      </c>
      <c r="E673" s="1" t="s">
        <v>506</v>
      </c>
    </row>
    <row r="674">
      <c r="A674" s="1" t="s">
        <v>612</v>
      </c>
      <c r="B674" s="1" t="s">
        <v>653</v>
      </c>
      <c r="C674" s="1">
        <v>863.0</v>
      </c>
      <c r="D674" s="1" t="s">
        <v>702</v>
      </c>
      <c r="E674" s="1" t="s">
        <v>506</v>
      </c>
    </row>
    <row r="675">
      <c r="A675" s="1" t="s">
        <v>612</v>
      </c>
      <c r="B675" s="1" t="s">
        <v>653</v>
      </c>
      <c r="C675" s="1">
        <v>384.0</v>
      </c>
      <c r="D675" s="1" t="s">
        <v>703</v>
      </c>
      <c r="E675" s="1" t="s">
        <v>506</v>
      </c>
    </row>
    <row r="676">
      <c r="A676" s="1" t="s">
        <v>612</v>
      </c>
      <c r="B676" s="1" t="s">
        <v>653</v>
      </c>
      <c r="C676" s="1">
        <v>389.0</v>
      </c>
      <c r="D676" s="1" t="s">
        <v>704</v>
      </c>
      <c r="E676" s="1" t="s">
        <v>506</v>
      </c>
    </row>
    <row r="677">
      <c r="A677" s="1" t="s">
        <v>612</v>
      </c>
      <c r="B677" s="1" t="s">
        <v>653</v>
      </c>
      <c r="C677" s="1">
        <v>409.0</v>
      </c>
      <c r="D677" s="1" t="s">
        <v>705</v>
      </c>
      <c r="E677" s="1" t="s">
        <v>506</v>
      </c>
    </row>
    <row r="678">
      <c r="A678" s="1" t="s">
        <v>612</v>
      </c>
      <c r="B678" s="1" t="s">
        <v>653</v>
      </c>
      <c r="C678" s="1">
        <v>979.0</v>
      </c>
      <c r="D678" s="1" t="s">
        <v>706</v>
      </c>
      <c r="E678" s="1" t="s">
        <v>506</v>
      </c>
    </row>
    <row r="679">
      <c r="A679" s="1" t="s">
        <v>612</v>
      </c>
      <c r="B679" s="1" t="s">
        <v>653</v>
      </c>
      <c r="C679" s="1">
        <v>1008.0</v>
      </c>
      <c r="D679" s="1" t="s">
        <v>707</v>
      </c>
      <c r="E679" s="1" t="s">
        <v>506</v>
      </c>
    </row>
    <row r="680">
      <c r="A680" s="1" t="s">
        <v>612</v>
      </c>
      <c r="B680" s="1" t="s">
        <v>653</v>
      </c>
      <c r="C680" s="1">
        <v>1060.0</v>
      </c>
      <c r="D680" s="1" t="s">
        <v>708</v>
      </c>
      <c r="E680" s="1" t="s">
        <v>506</v>
      </c>
    </row>
    <row r="681">
      <c r="A681" s="1" t="s">
        <v>612</v>
      </c>
      <c r="B681" s="1" t="s">
        <v>653</v>
      </c>
      <c r="C681" s="1">
        <v>1070.0</v>
      </c>
      <c r="D681" s="1" t="s">
        <v>709</v>
      </c>
      <c r="E681" s="1" t="s">
        <v>506</v>
      </c>
    </row>
    <row r="682">
      <c r="A682" s="1" t="s">
        <v>612</v>
      </c>
      <c r="B682" s="1" t="s">
        <v>653</v>
      </c>
      <c r="C682" s="1">
        <v>1229.0</v>
      </c>
      <c r="D682" s="1" t="s">
        <v>710</v>
      </c>
      <c r="E682" s="1" t="s">
        <v>506</v>
      </c>
    </row>
    <row r="683">
      <c r="A683" s="1" t="s">
        <v>612</v>
      </c>
      <c r="B683" s="1" t="s">
        <v>653</v>
      </c>
      <c r="C683" s="1">
        <v>1225.0</v>
      </c>
      <c r="D683" s="1" t="s">
        <v>711</v>
      </c>
      <c r="E683" s="1" t="s">
        <v>506</v>
      </c>
    </row>
    <row r="684">
      <c r="A684" s="1" t="s">
        <v>612</v>
      </c>
      <c r="B684" s="1" t="s">
        <v>653</v>
      </c>
      <c r="C684" s="1">
        <v>1242.0</v>
      </c>
      <c r="D684" s="1" t="s">
        <v>712</v>
      </c>
      <c r="E684" s="1" t="s">
        <v>506</v>
      </c>
    </row>
    <row r="685">
      <c r="A685" s="1" t="s">
        <v>612</v>
      </c>
      <c r="B685" s="1" t="s">
        <v>653</v>
      </c>
      <c r="C685" s="1">
        <v>1261.0</v>
      </c>
      <c r="D685" s="1" t="s">
        <v>713</v>
      </c>
      <c r="E685" s="1" t="s">
        <v>506</v>
      </c>
    </row>
    <row r="686">
      <c r="A686" s="1" t="s">
        <v>612</v>
      </c>
      <c r="B686" s="1" t="s">
        <v>653</v>
      </c>
      <c r="C686" s="1">
        <v>1280.0</v>
      </c>
      <c r="D686" s="1" t="s">
        <v>714</v>
      </c>
      <c r="E686" s="1" t="s">
        <v>506</v>
      </c>
    </row>
    <row r="687">
      <c r="A687" s="1" t="s">
        <v>612</v>
      </c>
      <c r="B687" s="1" t="s">
        <v>653</v>
      </c>
      <c r="C687" s="1">
        <v>1294.0</v>
      </c>
      <c r="D687" s="1" t="s">
        <v>715</v>
      </c>
      <c r="E687" s="1" t="s">
        <v>506</v>
      </c>
    </row>
    <row r="688">
      <c r="A688" s="2"/>
      <c r="B688" s="2"/>
      <c r="C688" s="2"/>
      <c r="D688" s="2"/>
      <c r="E688" s="2"/>
    </row>
    <row r="689">
      <c r="A689" s="1" t="s">
        <v>612</v>
      </c>
      <c r="B689" s="1" t="s">
        <v>716</v>
      </c>
      <c r="C689" s="1">
        <v>444.0</v>
      </c>
      <c r="D689" s="1" t="s">
        <v>717</v>
      </c>
      <c r="E689" s="1" t="s">
        <v>718</v>
      </c>
    </row>
    <row r="690">
      <c r="A690" s="1" t="s">
        <v>612</v>
      </c>
      <c r="B690" s="1" t="s">
        <v>716</v>
      </c>
      <c r="C690" s="1">
        <v>453.0</v>
      </c>
      <c r="D690" s="1" t="s">
        <v>719</v>
      </c>
      <c r="E690" s="1" t="s">
        <v>718</v>
      </c>
    </row>
    <row r="691">
      <c r="A691" s="1" t="s">
        <v>612</v>
      </c>
      <c r="B691" s="1" t="s">
        <v>716</v>
      </c>
      <c r="C691" s="1">
        <v>358.0</v>
      </c>
      <c r="D691" s="1" t="s">
        <v>720</v>
      </c>
      <c r="E691" s="1" t="s">
        <v>718</v>
      </c>
    </row>
    <row r="692">
      <c r="A692" s="1" t="s">
        <v>612</v>
      </c>
      <c r="B692" s="1" t="s">
        <v>716</v>
      </c>
      <c r="C692" s="1">
        <v>360.0</v>
      </c>
      <c r="D692" s="1" t="s">
        <v>721</v>
      </c>
      <c r="E692" s="1" t="s">
        <v>718</v>
      </c>
    </row>
    <row r="693">
      <c r="A693" s="1" t="s">
        <v>612</v>
      </c>
      <c r="B693" s="1" t="s">
        <v>716</v>
      </c>
      <c r="C693" s="1">
        <v>403.0</v>
      </c>
      <c r="D693" s="1" t="s">
        <v>722</v>
      </c>
      <c r="E693" s="1" t="s">
        <v>718</v>
      </c>
    </row>
    <row r="694">
      <c r="A694" s="1" t="s">
        <v>612</v>
      </c>
      <c r="B694" s="1" t="s">
        <v>716</v>
      </c>
      <c r="C694" s="1">
        <v>359.0</v>
      </c>
      <c r="D694" s="1" t="s">
        <v>723</v>
      </c>
      <c r="E694" s="1" t="s">
        <v>718</v>
      </c>
    </row>
    <row r="695">
      <c r="A695" s="1" t="s">
        <v>612</v>
      </c>
      <c r="B695" s="1" t="s">
        <v>716</v>
      </c>
      <c r="C695" s="1">
        <v>361.0</v>
      </c>
      <c r="D695" s="1" t="s">
        <v>724</v>
      </c>
      <c r="E695" s="1" t="s">
        <v>718</v>
      </c>
    </row>
    <row r="696">
      <c r="A696" s="1" t="s">
        <v>612</v>
      </c>
      <c r="B696" s="1" t="s">
        <v>716</v>
      </c>
      <c r="C696" s="1">
        <v>512.0</v>
      </c>
      <c r="D696" s="1" t="s">
        <v>725</v>
      </c>
      <c r="E696" s="1" t="s">
        <v>726</v>
      </c>
    </row>
    <row r="697">
      <c r="A697" s="1" t="s">
        <v>612</v>
      </c>
      <c r="B697" s="1" t="s">
        <v>716</v>
      </c>
      <c r="C697" s="1">
        <v>467.0</v>
      </c>
      <c r="D697" s="1" t="s">
        <v>183</v>
      </c>
      <c r="E697" s="1" t="s">
        <v>726</v>
      </c>
    </row>
    <row r="698">
      <c r="A698" s="1" t="s">
        <v>612</v>
      </c>
      <c r="B698" s="1" t="s">
        <v>716</v>
      </c>
      <c r="C698" s="1">
        <v>494.0</v>
      </c>
      <c r="D698" s="1" t="s">
        <v>727</v>
      </c>
      <c r="E698" s="1" t="s">
        <v>726</v>
      </c>
    </row>
    <row r="699">
      <c r="A699" s="1" t="s">
        <v>612</v>
      </c>
      <c r="B699" s="1" t="s">
        <v>716</v>
      </c>
      <c r="C699" s="1">
        <v>516.0</v>
      </c>
      <c r="D699" s="1" t="s">
        <v>728</v>
      </c>
      <c r="E699" s="1" t="s">
        <v>726</v>
      </c>
    </row>
    <row r="700">
      <c r="A700" s="1" t="s">
        <v>612</v>
      </c>
      <c r="B700" s="1" t="s">
        <v>716</v>
      </c>
      <c r="C700" s="1">
        <v>466.0</v>
      </c>
      <c r="D700" s="1" t="s">
        <v>729</v>
      </c>
      <c r="E700" s="1" t="s">
        <v>726</v>
      </c>
    </row>
    <row r="701">
      <c r="A701" s="1" t="s">
        <v>612</v>
      </c>
      <c r="B701" s="1" t="s">
        <v>716</v>
      </c>
      <c r="C701" s="1">
        <v>763.0</v>
      </c>
      <c r="D701" s="1" t="s">
        <v>730</v>
      </c>
      <c r="E701" s="1" t="s">
        <v>726</v>
      </c>
    </row>
    <row r="702">
      <c r="A702" s="1" t="s">
        <v>612</v>
      </c>
      <c r="B702" s="1" t="s">
        <v>716</v>
      </c>
      <c r="C702" s="1">
        <v>856.0</v>
      </c>
      <c r="D702" s="1" t="s">
        <v>731</v>
      </c>
      <c r="E702" s="1" t="s">
        <v>726</v>
      </c>
    </row>
    <row r="703">
      <c r="A703" s="1" t="s">
        <v>612</v>
      </c>
      <c r="B703" s="1" t="s">
        <v>716</v>
      </c>
      <c r="C703" s="1">
        <v>469.0</v>
      </c>
      <c r="D703" s="1" t="s">
        <v>732</v>
      </c>
      <c r="E703" s="1" t="s">
        <v>733</v>
      </c>
    </row>
    <row r="704">
      <c r="A704" s="1" t="s">
        <v>612</v>
      </c>
      <c r="B704" s="1" t="s">
        <v>716</v>
      </c>
      <c r="C704" s="1">
        <v>410.0</v>
      </c>
      <c r="D704" s="1" t="s">
        <v>734</v>
      </c>
      <c r="E704" s="1" t="s">
        <v>733</v>
      </c>
    </row>
    <row r="705">
      <c r="A705" s="1" t="s">
        <v>612</v>
      </c>
      <c r="B705" s="1" t="s">
        <v>716</v>
      </c>
      <c r="C705" s="1">
        <v>450.0</v>
      </c>
      <c r="D705" s="1" t="s">
        <v>735</v>
      </c>
      <c r="E705" s="1" t="s">
        <v>733</v>
      </c>
    </row>
    <row r="706">
      <c r="A706" s="1" t="s">
        <v>612</v>
      </c>
      <c r="B706" s="1" t="s">
        <v>716</v>
      </c>
      <c r="C706" s="1">
        <v>408.0</v>
      </c>
      <c r="D706" s="1" t="s">
        <v>736</v>
      </c>
      <c r="E706" s="1" t="s">
        <v>733</v>
      </c>
    </row>
    <row r="707">
      <c r="A707" s="1" t="s">
        <v>612</v>
      </c>
      <c r="B707" s="1" t="s">
        <v>716</v>
      </c>
      <c r="C707" s="1">
        <v>411.0</v>
      </c>
      <c r="D707" s="1" t="s">
        <v>737</v>
      </c>
      <c r="E707" s="1" t="s">
        <v>733</v>
      </c>
    </row>
    <row r="708">
      <c r="A708" s="1" t="s">
        <v>612</v>
      </c>
      <c r="B708" s="1" t="s">
        <v>716</v>
      </c>
      <c r="C708" s="1">
        <v>542.0</v>
      </c>
      <c r="D708" s="1" t="s">
        <v>674</v>
      </c>
      <c r="E708" s="1" t="s">
        <v>738</v>
      </c>
    </row>
    <row r="709">
      <c r="A709" s="1" t="s">
        <v>612</v>
      </c>
      <c r="B709" s="1" t="s">
        <v>716</v>
      </c>
      <c r="C709" s="1">
        <v>406.0</v>
      </c>
      <c r="D709" s="1" t="s">
        <v>739</v>
      </c>
      <c r="E709" s="1" t="s">
        <v>738</v>
      </c>
    </row>
    <row r="710">
      <c r="A710" s="1" t="s">
        <v>612</v>
      </c>
      <c r="B710" s="1" t="s">
        <v>716</v>
      </c>
      <c r="C710" s="1">
        <v>407.0</v>
      </c>
      <c r="D710" s="1" t="s">
        <v>740</v>
      </c>
      <c r="E710" s="1" t="s">
        <v>738</v>
      </c>
    </row>
    <row r="711">
      <c r="A711" s="1" t="s">
        <v>612</v>
      </c>
      <c r="B711" s="1" t="s">
        <v>716</v>
      </c>
      <c r="C711" s="1">
        <v>642.0</v>
      </c>
      <c r="D711" s="1" t="s">
        <v>741</v>
      </c>
      <c r="E711" s="1" t="s">
        <v>738</v>
      </c>
    </row>
    <row r="712">
      <c r="A712" s="1" t="s">
        <v>612</v>
      </c>
      <c r="B712" s="1" t="s">
        <v>716</v>
      </c>
      <c r="C712" s="1">
        <v>460.0</v>
      </c>
      <c r="D712" s="1" t="s">
        <v>742</v>
      </c>
      <c r="E712" s="1" t="s">
        <v>738</v>
      </c>
    </row>
    <row r="713">
      <c r="A713" s="1" t="s">
        <v>612</v>
      </c>
      <c r="B713" s="1" t="s">
        <v>716</v>
      </c>
      <c r="C713" s="1">
        <v>394.0</v>
      </c>
      <c r="D713" s="1" t="s">
        <v>743</v>
      </c>
      <c r="E713" s="1" t="s">
        <v>399</v>
      </c>
    </row>
    <row r="714">
      <c r="A714" s="1" t="s">
        <v>612</v>
      </c>
      <c r="B714" s="1" t="s">
        <v>716</v>
      </c>
      <c r="C714" s="1">
        <v>546.0</v>
      </c>
      <c r="D714" s="1" t="s">
        <v>744</v>
      </c>
      <c r="E714" s="1" t="s">
        <v>399</v>
      </c>
    </row>
    <row r="715">
      <c r="A715" s="1" t="s">
        <v>612</v>
      </c>
      <c r="B715" s="1" t="s">
        <v>716</v>
      </c>
      <c r="C715" s="1">
        <v>553.0</v>
      </c>
      <c r="D715" s="1" t="s">
        <v>745</v>
      </c>
      <c r="E715" s="1" t="s">
        <v>399</v>
      </c>
    </row>
    <row r="716">
      <c r="A716" s="1" t="s">
        <v>612</v>
      </c>
      <c r="B716" s="1" t="s">
        <v>716</v>
      </c>
      <c r="C716" s="1">
        <v>562.0</v>
      </c>
      <c r="D716" s="1" t="s">
        <v>746</v>
      </c>
      <c r="E716" s="1" t="s">
        <v>399</v>
      </c>
    </row>
    <row r="717">
      <c r="A717" s="1" t="s">
        <v>612</v>
      </c>
      <c r="B717" s="1" t="s">
        <v>716</v>
      </c>
      <c r="C717" s="1">
        <v>395.0</v>
      </c>
      <c r="D717" s="1" t="s">
        <v>747</v>
      </c>
      <c r="E717" s="1" t="s">
        <v>399</v>
      </c>
    </row>
    <row r="718">
      <c r="A718" s="1" t="s">
        <v>612</v>
      </c>
      <c r="B718" s="1" t="s">
        <v>716</v>
      </c>
      <c r="C718" s="1">
        <v>554.0</v>
      </c>
      <c r="D718" s="1" t="s">
        <v>748</v>
      </c>
      <c r="E718" s="1" t="s">
        <v>399</v>
      </c>
    </row>
    <row r="719">
      <c r="A719" s="1" t="s">
        <v>612</v>
      </c>
      <c r="B719" s="1" t="s">
        <v>716</v>
      </c>
      <c r="C719" s="1">
        <v>715.0</v>
      </c>
      <c r="D719" s="1" t="s">
        <v>749</v>
      </c>
      <c r="E719" s="1" t="s">
        <v>399</v>
      </c>
    </row>
    <row r="720">
      <c r="A720" s="1" t="s">
        <v>612</v>
      </c>
      <c r="B720" s="1" t="s">
        <v>716</v>
      </c>
      <c r="C720" s="1">
        <v>564.0</v>
      </c>
      <c r="D720" s="1" t="s">
        <v>750</v>
      </c>
      <c r="E720" s="1" t="s">
        <v>416</v>
      </c>
    </row>
    <row r="721">
      <c r="A721" s="1" t="s">
        <v>612</v>
      </c>
      <c r="B721" s="1" t="s">
        <v>716</v>
      </c>
      <c r="C721" s="3">
        <v>398.0</v>
      </c>
      <c r="D721" s="1" t="s">
        <v>751</v>
      </c>
      <c r="E721" s="1" t="s">
        <v>416</v>
      </c>
    </row>
    <row r="722">
      <c r="A722" s="1" t="s">
        <v>612</v>
      </c>
      <c r="B722" s="1" t="s">
        <v>716</v>
      </c>
      <c r="C722" s="3">
        <v>379.0</v>
      </c>
      <c r="D722" s="1" t="s">
        <v>752</v>
      </c>
      <c r="E722" s="1" t="s">
        <v>416</v>
      </c>
    </row>
    <row r="723">
      <c r="A723" s="1" t="s">
        <v>612</v>
      </c>
      <c r="B723" s="1" t="s">
        <v>716</v>
      </c>
      <c r="C723" s="1">
        <v>714.0</v>
      </c>
      <c r="D723" s="1" t="s">
        <v>325</v>
      </c>
      <c r="E723" s="1" t="s">
        <v>416</v>
      </c>
    </row>
    <row r="724">
      <c r="A724" s="1" t="s">
        <v>612</v>
      </c>
      <c r="B724" s="1" t="s">
        <v>716</v>
      </c>
      <c r="C724" s="1">
        <v>1269.0</v>
      </c>
      <c r="D724" s="1" t="s">
        <v>753</v>
      </c>
      <c r="E724" s="1" t="s">
        <v>416</v>
      </c>
    </row>
    <row r="725">
      <c r="A725" s="2"/>
      <c r="B725" s="2"/>
      <c r="C725" s="2"/>
      <c r="D725" s="2"/>
      <c r="E725" s="2"/>
    </row>
    <row r="726">
      <c r="A726" s="1" t="s">
        <v>612</v>
      </c>
      <c r="B726" s="1" t="s">
        <v>754</v>
      </c>
      <c r="C726" s="1">
        <v>591.0</v>
      </c>
      <c r="D726" s="1" t="s">
        <v>279</v>
      </c>
      <c r="E726" s="1" t="s">
        <v>362</v>
      </c>
    </row>
    <row r="727">
      <c r="A727" s="1" t="s">
        <v>612</v>
      </c>
      <c r="B727" s="1" t="s">
        <v>754</v>
      </c>
      <c r="C727" s="1">
        <v>465.0</v>
      </c>
      <c r="D727" s="1" t="s">
        <v>755</v>
      </c>
      <c r="E727" s="1" t="s">
        <v>756</v>
      </c>
    </row>
    <row r="728">
      <c r="A728" s="1" t="s">
        <v>612</v>
      </c>
      <c r="B728" s="1" t="s">
        <v>754</v>
      </c>
      <c r="C728" s="1">
        <v>428.0</v>
      </c>
      <c r="D728" s="1" t="s">
        <v>757</v>
      </c>
      <c r="E728" s="1" t="s">
        <v>756</v>
      </c>
    </row>
    <row r="729">
      <c r="A729" s="1" t="s">
        <v>612</v>
      </c>
      <c r="B729" s="1" t="s">
        <v>754</v>
      </c>
      <c r="C729" s="1">
        <v>576.0</v>
      </c>
      <c r="D729" s="1" t="s">
        <v>758</v>
      </c>
      <c r="E729" s="1" t="s">
        <v>756</v>
      </c>
    </row>
    <row r="730">
      <c r="A730" s="1" t="s">
        <v>612</v>
      </c>
      <c r="B730" s="1" t="s">
        <v>754</v>
      </c>
      <c r="C730" s="1">
        <v>604.0</v>
      </c>
      <c r="D730" s="1" t="s">
        <v>759</v>
      </c>
      <c r="E730" s="1" t="s">
        <v>756</v>
      </c>
    </row>
    <row r="731">
      <c r="A731" s="1" t="s">
        <v>612</v>
      </c>
      <c r="B731" s="1" t="s">
        <v>754</v>
      </c>
      <c r="C731" s="1">
        <v>462.0</v>
      </c>
      <c r="D731" s="1" t="s">
        <v>760</v>
      </c>
      <c r="E731" s="1" t="s">
        <v>756</v>
      </c>
    </row>
    <row r="732">
      <c r="A732" s="1" t="s">
        <v>612</v>
      </c>
      <c r="B732" s="1" t="s">
        <v>754</v>
      </c>
      <c r="C732" s="1">
        <v>455.0</v>
      </c>
      <c r="D732" s="1" t="s">
        <v>761</v>
      </c>
      <c r="E732" s="1" t="s">
        <v>756</v>
      </c>
    </row>
    <row r="733">
      <c r="A733" s="1" t="s">
        <v>612</v>
      </c>
      <c r="B733" s="1" t="s">
        <v>754</v>
      </c>
      <c r="C733" s="1">
        <v>720.0</v>
      </c>
      <c r="D733" s="1" t="s">
        <v>762</v>
      </c>
      <c r="E733" s="1" t="s">
        <v>756</v>
      </c>
    </row>
    <row r="734">
      <c r="A734" s="1" t="s">
        <v>612</v>
      </c>
      <c r="B734" s="1" t="s">
        <v>754</v>
      </c>
      <c r="C734" s="1">
        <v>421.0</v>
      </c>
      <c r="D734" s="1" t="s">
        <v>763</v>
      </c>
      <c r="E734" s="1" t="s">
        <v>764</v>
      </c>
    </row>
    <row r="735">
      <c r="A735" s="1" t="s">
        <v>612</v>
      </c>
      <c r="B735" s="1" t="s">
        <v>754</v>
      </c>
      <c r="C735" s="1">
        <v>627.0</v>
      </c>
      <c r="D735" s="1" t="s">
        <v>765</v>
      </c>
      <c r="E735" s="1" t="s">
        <v>764</v>
      </c>
    </row>
    <row r="736">
      <c r="A736" s="1" t="s">
        <v>612</v>
      </c>
      <c r="B736" s="1" t="s">
        <v>754</v>
      </c>
      <c r="C736" s="1">
        <v>425.0</v>
      </c>
      <c r="D736" s="1" t="s">
        <v>766</v>
      </c>
      <c r="E736" s="1" t="s">
        <v>764</v>
      </c>
    </row>
    <row r="737">
      <c r="A737" s="1" t="s">
        <v>612</v>
      </c>
      <c r="B737" s="1" t="s">
        <v>754</v>
      </c>
      <c r="C737" s="1">
        <v>426.0</v>
      </c>
      <c r="D737" s="1" t="s">
        <v>767</v>
      </c>
      <c r="E737" s="1" t="s">
        <v>764</v>
      </c>
    </row>
    <row r="738">
      <c r="A738" s="1" t="s">
        <v>612</v>
      </c>
      <c r="B738" s="1" t="s">
        <v>754</v>
      </c>
      <c r="C738" s="1">
        <v>621.0</v>
      </c>
      <c r="D738" s="1" t="s">
        <v>768</v>
      </c>
      <c r="E738" s="1" t="s">
        <v>764</v>
      </c>
    </row>
    <row r="739">
      <c r="A739" s="1" t="s">
        <v>612</v>
      </c>
      <c r="B739" s="1" t="s">
        <v>754</v>
      </c>
      <c r="C739" s="1">
        <v>483.0</v>
      </c>
      <c r="D739" s="1" t="s">
        <v>769</v>
      </c>
      <c r="E739" s="1" t="s">
        <v>764</v>
      </c>
    </row>
    <row r="740">
      <c r="A740" s="1" t="s">
        <v>612</v>
      </c>
      <c r="B740" s="1" t="s">
        <v>754</v>
      </c>
      <c r="C740" s="1">
        <v>454.0</v>
      </c>
      <c r="D740" s="1" t="s">
        <v>42</v>
      </c>
      <c r="E740" s="1" t="s">
        <v>764</v>
      </c>
    </row>
    <row r="741">
      <c r="A741" s="1" t="s">
        <v>612</v>
      </c>
      <c r="B741" s="1" t="s">
        <v>754</v>
      </c>
      <c r="C741" s="1">
        <v>484.0</v>
      </c>
      <c r="D741" s="1" t="s">
        <v>770</v>
      </c>
      <c r="E741" s="1" t="s">
        <v>764</v>
      </c>
    </row>
    <row r="742">
      <c r="A742" s="1" t="s">
        <v>612</v>
      </c>
      <c r="B742" s="1" t="s">
        <v>754</v>
      </c>
      <c r="C742" s="1">
        <v>1284.0</v>
      </c>
      <c r="D742" s="1" t="s">
        <v>771</v>
      </c>
      <c r="E742" s="1" t="s">
        <v>764</v>
      </c>
    </row>
    <row r="743">
      <c r="A743" s="1" t="s">
        <v>612</v>
      </c>
      <c r="B743" s="1" t="s">
        <v>754</v>
      </c>
      <c r="C743" s="1">
        <v>606.0</v>
      </c>
      <c r="D743" s="1" t="s">
        <v>772</v>
      </c>
      <c r="E743" s="1" t="s">
        <v>365</v>
      </c>
    </row>
    <row r="744">
      <c r="A744" s="1" t="s">
        <v>612</v>
      </c>
      <c r="B744" s="1" t="s">
        <v>754</v>
      </c>
      <c r="C744" s="1">
        <v>593.0</v>
      </c>
      <c r="D744" s="1" t="s">
        <v>773</v>
      </c>
      <c r="E744" s="1" t="s">
        <v>365</v>
      </c>
    </row>
    <row r="745">
      <c r="A745" s="1" t="s">
        <v>612</v>
      </c>
      <c r="B745" s="1" t="s">
        <v>754</v>
      </c>
      <c r="C745" s="1">
        <v>401.0</v>
      </c>
      <c r="D745" s="1" t="s">
        <v>774</v>
      </c>
      <c r="E745" s="1" t="s">
        <v>365</v>
      </c>
    </row>
    <row r="746">
      <c r="A746" s="1" t="s">
        <v>612</v>
      </c>
      <c r="B746" s="1" t="s">
        <v>754</v>
      </c>
      <c r="C746" s="1">
        <v>353.0</v>
      </c>
      <c r="D746" s="1" t="s">
        <v>775</v>
      </c>
      <c r="E746" s="1" t="s">
        <v>365</v>
      </c>
    </row>
    <row r="747">
      <c r="A747" s="1" t="s">
        <v>612</v>
      </c>
      <c r="B747" s="1" t="s">
        <v>754</v>
      </c>
      <c r="C747" s="1">
        <v>941.0</v>
      </c>
      <c r="D747" s="1" t="s">
        <v>776</v>
      </c>
      <c r="E747" s="1" t="s">
        <v>365</v>
      </c>
    </row>
    <row r="748">
      <c r="A748" s="1" t="s">
        <v>612</v>
      </c>
      <c r="B748" s="1" t="s">
        <v>754</v>
      </c>
      <c r="C748" s="1">
        <v>351.0</v>
      </c>
      <c r="D748" s="1" t="s">
        <v>777</v>
      </c>
      <c r="E748" s="1" t="s">
        <v>371</v>
      </c>
    </row>
    <row r="749">
      <c r="A749" s="1" t="s">
        <v>612</v>
      </c>
      <c r="B749" s="1" t="s">
        <v>754</v>
      </c>
      <c r="C749" s="1">
        <v>625.0</v>
      </c>
      <c r="D749" s="1" t="s">
        <v>778</v>
      </c>
      <c r="E749" s="1" t="s">
        <v>371</v>
      </c>
    </row>
    <row r="750">
      <c r="A750" s="1" t="s">
        <v>612</v>
      </c>
      <c r="B750" s="1" t="s">
        <v>754</v>
      </c>
      <c r="C750" s="1">
        <v>356.0</v>
      </c>
      <c r="D750" s="1" t="s">
        <v>779</v>
      </c>
      <c r="E750" s="1" t="s">
        <v>371</v>
      </c>
    </row>
    <row r="751">
      <c r="A751" s="1" t="s">
        <v>612</v>
      </c>
      <c r="B751" s="1" t="s">
        <v>754</v>
      </c>
      <c r="C751" s="1">
        <v>623.0</v>
      </c>
      <c r="D751" s="1" t="s">
        <v>780</v>
      </c>
      <c r="E751" s="1" t="s">
        <v>371</v>
      </c>
    </row>
    <row r="752">
      <c r="A752" s="1" t="s">
        <v>612</v>
      </c>
      <c r="B752" s="1" t="s">
        <v>754</v>
      </c>
      <c r="C752" s="1">
        <v>352.0</v>
      </c>
      <c r="D752" s="1" t="s">
        <v>781</v>
      </c>
      <c r="E752" s="1" t="s">
        <v>371</v>
      </c>
    </row>
    <row r="753">
      <c r="A753" s="1" t="s">
        <v>612</v>
      </c>
      <c r="B753" s="1" t="s">
        <v>754</v>
      </c>
      <c r="C753" s="1">
        <v>612.0</v>
      </c>
      <c r="D753" s="1" t="s">
        <v>782</v>
      </c>
      <c r="E753" s="1" t="s">
        <v>371</v>
      </c>
    </row>
    <row r="754">
      <c r="A754" s="2"/>
      <c r="B754" s="2"/>
      <c r="C754" s="2"/>
      <c r="D754" s="2"/>
      <c r="E754" s="2"/>
    </row>
    <row r="755">
      <c r="A755" s="1" t="s">
        <v>612</v>
      </c>
      <c r="B755" s="1" t="s">
        <v>783</v>
      </c>
      <c r="C755" s="1">
        <v>509.0</v>
      </c>
      <c r="D755" s="1" t="s">
        <v>784</v>
      </c>
      <c r="E755" s="1" t="s">
        <v>56</v>
      </c>
    </row>
    <row r="756">
      <c r="A756" s="1" t="s">
        <v>612</v>
      </c>
      <c r="B756" s="1" t="s">
        <v>783</v>
      </c>
      <c r="C756" s="1">
        <v>533.0</v>
      </c>
      <c r="D756" s="1" t="s">
        <v>321</v>
      </c>
      <c r="E756" s="1" t="s">
        <v>56</v>
      </c>
    </row>
    <row r="757">
      <c r="A757" s="1" t="s">
        <v>612</v>
      </c>
      <c r="B757" s="1" t="s">
        <v>783</v>
      </c>
      <c r="C757" s="1">
        <v>728.0</v>
      </c>
      <c r="D757" s="1" t="s">
        <v>785</v>
      </c>
      <c r="E757" s="1" t="s">
        <v>56</v>
      </c>
    </row>
    <row r="758">
      <c r="A758" s="1" t="s">
        <v>612</v>
      </c>
      <c r="B758" s="1" t="s">
        <v>783</v>
      </c>
      <c r="C758" s="1">
        <v>581.0</v>
      </c>
      <c r="D758" s="1" t="s">
        <v>786</v>
      </c>
      <c r="E758" s="1" t="s">
        <v>56</v>
      </c>
    </row>
    <row r="759">
      <c r="A759" s="1" t="s">
        <v>612</v>
      </c>
      <c r="B759" s="1" t="s">
        <v>783</v>
      </c>
      <c r="C759" s="1">
        <v>581.0</v>
      </c>
      <c r="D759" s="1" t="s">
        <v>787</v>
      </c>
      <c r="E759" s="1" t="s">
        <v>56</v>
      </c>
    </row>
    <row r="760">
      <c r="A760" s="1" t="s">
        <v>612</v>
      </c>
      <c r="B760" s="1" t="s">
        <v>783</v>
      </c>
      <c r="C760" s="1">
        <v>893.0</v>
      </c>
      <c r="D760" s="1" t="s">
        <v>788</v>
      </c>
      <c r="E760" s="1" t="s">
        <v>56</v>
      </c>
    </row>
    <row r="761">
      <c r="A761" s="2"/>
      <c r="B761" s="2"/>
      <c r="D761" s="2"/>
      <c r="E761" s="2"/>
    </row>
    <row r="762">
      <c r="A762" s="1" t="s">
        <v>612</v>
      </c>
      <c r="B762" s="1" t="s">
        <v>789</v>
      </c>
      <c r="C762" s="3">
        <v>1144.0</v>
      </c>
      <c r="D762" s="1" t="s">
        <v>790</v>
      </c>
      <c r="E762" s="1" t="s">
        <v>56</v>
      </c>
    </row>
    <row r="763">
      <c r="A763" s="1" t="s">
        <v>612</v>
      </c>
      <c r="B763" s="1" t="s">
        <v>789</v>
      </c>
      <c r="C763" s="1">
        <v>1146.0</v>
      </c>
      <c r="D763" s="1" t="s">
        <v>791</v>
      </c>
      <c r="E763" s="1" t="s">
        <v>56</v>
      </c>
    </row>
    <row r="764">
      <c r="A764" s="1" t="s">
        <v>612</v>
      </c>
      <c r="B764" s="1" t="s">
        <v>789</v>
      </c>
      <c r="C764" s="1">
        <v>1149.0</v>
      </c>
      <c r="D764" s="1" t="s">
        <v>792</v>
      </c>
      <c r="E764" s="1" t="s">
        <v>56</v>
      </c>
    </row>
    <row r="765">
      <c r="A765" s="1" t="s">
        <v>612</v>
      </c>
      <c r="B765" s="1" t="s">
        <v>789</v>
      </c>
      <c r="C765" s="1">
        <v>1171.0</v>
      </c>
      <c r="D765" s="1" t="s">
        <v>793</v>
      </c>
      <c r="E765" s="1" t="s">
        <v>56</v>
      </c>
    </row>
    <row r="766">
      <c r="A766" s="1" t="s">
        <v>612</v>
      </c>
      <c r="B766" s="1" t="s">
        <v>789</v>
      </c>
      <c r="C766" s="1">
        <v>1173.0</v>
      </c>
      <c r="D766" s="1" t="s">
        <v>794</v>
      </c>
      <c r="E766" s="1" t="s">
        <v>56</v>
      </c>
    </row>
    <row r="767">
      <c r="A767" s="1" t="s">
        <v>612</v>
      </c>
      <c r="B767" s="1" t="s">
        <v>789</v>
      </c>
      <c r="C767" s="1">
        <v>1174.0</v>
      </c>
      <c r="D767" s="1" t="s">
        <v>795</v>
      </c>
      <c r="E767" s="1" t="s">
        <v>56</v>
      </c>
    </row>
    <row r="768">
      <c r="A768" s="1" t="s">
        <v>612</v>
      </c>
      <c r="B768" s="1" t="s">
        <v>789</v>
      </c>
      <c r="C768" s="1">
        <v>1175.0</v>
      </c>
      <c r="D768" s="1" t="s">
        <v>557</v>
      </c>
      <c r="E768" s="1" t="s">
        <v>56</v>
      </c>
    </row>
    <row r="769">
      <c r="A769" s="1" t="s">
        <v>612</v>
      </c>
      <c r="B769" s="1" t="s">
        <v>789</v>
      </c>
      <c r="C769" s="1">
        <v>1176.0</v>
      </c>
      <c r="D769" s="1" t="s">
        <v>796</v>
      </c>
      <c r="E769" s="1" t="s">
        <v>56</v>
      </c>
    </row>
    <row r="770">
      <c r="A770" s="1" t="s">
        <v>612</v>
      </c>
      <c r="B770" s="1" t="s">
        <v>789</v>
      </c>
      <c r="C770" s="1">
        <v>1179.0</v>
      </c>
      <c r="D770" s="1" t="s">
        <v>797</v>
      </c>
      <c r="E770" s="1" t="s">
        <v>56</v>
      </c>
    </row>
    <row r="771">
      <c r="A771" s="1" t="s">
        <v>612</v>
      </c>
      <c r="B771" s="1" t="s">
        <v>789</v>
      </c>
      <c r="C771" s="1">
        <v>1182.0</v>
      </c>
      <c r="D771" s="1" t="s">
        <v>798</v>
      </c>
      <c r="E771" s="1" t="s">
        <v>56</v>
      </c>
    </row>
    <row r="772">
      <c r="A772" s="1" t="s">
        <v>612</v>
      </c>
      <c r="B772" s="1" t="s">
        <v>789</v>
      </c>
      <c r="C772" s="1">
        <v>1190.0</v>
      </c>
      <c r="D772" s="1" t="s">
        <v>799</v>
      </c>
      <c r="E772" s="1" t="s">
        <v>56</v>
      </c>
    </row>
    <row r="773">
      <c r="A773" s="1" t="s">
        <v>612</v>
      </c>
      <c r="B773" s="1" t="s">
        <v>789</v>
      </c>
      <c r="C773" s="1">
        <v>1191.0</v>
      </c>
      <c r="D773" s="1" t="s">
        <v>800</v>
      </c>
      <c r="E773" s="1" t="s">
        <v>56</v>
      </c>
    </row>
    <row r="774">
      <c r="A774" s="1" t="s">
        <v>612</v>
      </c>
      <c r="B774" s="1" t="s">
        <v>789</v>
      </c>
      <c r="C774" s="1">
        <v>1192.0</v>
      </c>
      <c r="D774" s="1" t="s">
        <v>801</v>
      </c>
      <c r="E774" s="1" t="s">
        <v>56</v>
      </c>
    </row>
    <row r="775">
      <c r="A775" s="1" t="s">
        <v>612</v>
      </c>
      <c r="B775" s="1" t="s">
        <v>789</v>
      </c>
      <c r="C775" s="1">
        <v>1214.0</v>
      </c>
      <c r="D775" s="1" t="s">
        <v>802</v>
      </c>
      <c r="E775" s="1" t="s">
        <v>56</v>
      </c>
    </row>
    <row r="776">
      <c r="A776" s="1" t="s">
        <v>612</v>
      </c>
      <c r="B776" s="1" t="s">
        <v>789</v>
      </c>
      <c r="C776" s="1">
        <v>1232.0</v>
      </c>
      <c r="D776" s="1" t="s">
        <v>803</v>
      </c>
      <c r="E776" s="1" t="s">
        <v>56</v>
      </c>
    </row>
    <row r="777">
      <c r="A777" s="1" t="s">
        <v>612</v>
      </c>
      <c r="B777" s="1" t="s">
        <v>789</v>
      </c>
      <c r="C777" s="1">
        <v>1240.0</v>
      </c>
      <c r="D777" s="1" t="s">
        <v>804</v>
      </c>
      <c r="E777" s="1" t="s">
        <v>56</v>
      </c>
    </row>
    <row r="778">
      <c r="A778" s="1" t="s">
        <v>612</v>
      </c>
      <c r="B778" s="1" t="s">
        <v>789</v>
      </c>
      <c r="C778" s="1">
        <v>1241.0</v>
      </c>
      <c r="D778" s="1" t="s">
        <v>805</v>
      </c>
      <c r="E778" s="1" t="s">
        <v>56</v>
      </c>
    </row>
    <row r="779">
      <c r="A779" s="1" t="s">
        <v>612</v>
      </c>
      <c r="B779" s="1" t="s">
        <v>789</v>
      </c>
      <c r="C779" s="1">
        <v>1236.0</v>
      </c>
      <c r="D779" s="1" t="s">
        <v>806</v>
      </c>
      <c r="E779" s="1" t="s">
        <v>56</v>
      </c>
    </row>
    <row r="780">
      <c r="A780" s="1" t="s">
        <v>612</v>
      </c>
      <c r="B780" s="1" t="s">
        <v>789</v>
      </c>
      <c r="C780" s="1">
        <v>1259.0</v>
      </c>
      <c r="D780" s="1" t="s">
        <v>192</v>
      </c>
      <c r="E780" s="1" t="s">
        <v>56</v>
      </c>
    </row>
    <row r="781">
      <c r="A781" s="1" t="s">
        <v>612</v>
      </c>
      <c r="B781" s="1" t="s">
        <v>789</v>
      </c>
      <c r="C781" s="1">
        <v>1250.0</v>
      </c>
      <c r="D781" s="1" t="s">
        <v>807</v>
      </c>
      <c r="E781" s="1" t="s">
        <v>56</v>
      </c>
    </row>
    <row r="782">
      <c r="A782" s="1" t="s">
        <v>612</v>
      </c>
      <c r="B782" s="1" t="s">
        <v>789</v>
      </c>
      <c r="C782" s="1">
        <v>1273.0</v>
      </c>
      <c r="D782" s="1" t="s">
        <v>808</v>
      </c>
      <c r="E782" s="1" t="s">
        <v>56</v>
      </c>
    </row>
    <row r="783">
      <c r="A783" s="1" t="s">
        <v>612</v>
      </c>
      <c r="B783" s="1" t="s">
        <v>789</v>
      </c>
      <c r="C783" s="1">
        <v>397.0</v>
      </c>
      <c r="D783" s="1" t="s">
        <v>809</v>
      </c>
      <c r="E783" s="1" t="s">
        <v>56</v>
      </c>
    </row>
    <row r="784">
      <c r="A784" s="1" t="s">
        <v>612</v>
      </c>
      <c r="B784" s="1" t="s">
        <v>789</v>
      </c>
      <c r="C784" s="1">
        <v>1293.0</v>
      </c>
      <c r="D784" s="1" t="s">
        <v>259</v>
      </c>
      <c r="E784" s="1" t="s">
        <v>56</v>
      </c>
    </row>
    <row r="785">
      <c r="A785" s="2"/>
      <c r="B785" s="2"/>
      <c r="C785" s="2"/>
      <c r="D785" s="2"/>
      <c r="E785" s="2"/>
    </row>
    <row r="786">
      <c r="A786" s="1" t="s">
        <v>612</v>
      </c>
      <c r="B786" s="1" t="s">
        <v>529</v>
      </c>
      <c r="C786" s="1">
        <v>629.0</v>
      </c>
      <c r="D786" s="1" t="s">
        <v>810</v>
      </c>
      <c r="E786" s="1" t="s">
        <v>811</v>
      </c>
    </row>
    <row r="787">
      <c r="A787" s="1" t="s">
        <v>612</v>
      </c>
      <c r="B787" s="1" t="s">
        <v>529</v>
      </c>
      <c r="C787" s="1">
        <v>241.0</v>
      </c>
      <c r="D787" s="1" t="s">
        <v>812</v>
      </c>
      <c r="E787" s="1" t="s">
        <v>811</v>
      </c>
    </row>
    <row r="788">
      <c r="A788" s="1" t="s">
        <v>612</v>
      </c>
      <c r="B788" s="1" t="s">
        <v>529</v>
      </c>
      <c r="C788" s="1">
        <v>496.0</v>
      </c>
      <c r="D788" s="1" t="s">
        <v>192</v>
      </c>
      <c r="E788" s="1" t="s">
        <v>811</v>
      </c>
    </row>
    <row r="789">
      <c r="A789" s="1" t="s">
        <v>612</v>
      </c>
      <c r="B789" s="1" t="s">
        <v>529</v>
      </c>
      <c r="C789" s="1">
        <v>500.0</v>
      </c>
      <c r="D789" s="1" t="s">
        <v>813</v>
      </c>
      <c r="E789" s="1" t="s">
        <v>811</v>
      </c>
    </row>
    <row r="790">
      <c r="A790" s="1" t="s">
        <v>612</v>
      </c>
      <c r="B790" s="1" t="s">
        <v>529</v>
      </c>
      <c r="C790" s="1">
        <v>495.0</v>
      </c>
      <c r="D790" s="1" t="s">
        <v>814</v>
      </c>
      <c r="E790" s="1" t="s">
        <v>811</v>
      </c>
    </row>
    <row r="791">
      <c r="A791" s="1" t="s">
        <v>612</v>
      </c>
      <c r="B791" s="1" t="s">
        <v>529</v>
      </c>
      <c r="C791" s="1">
        <v>541.0</v>
      </c>
      <c r="D791" s="1" t="s">
        <v>815</v>
      </c>
      <c r="E791" s="1" t="s">
        <v>811</v>
      </c>
    </row>
    <row r="792">
      <c r="A792" s="1" t="s">
        <v>612</v>
      </c>
      <c r="B792" s="1" t="s">
        <v>529</v>
      </c>
      <c r="C792" s="1">
        <v>890.0</v>
      </c>
      <c r="D792" s="1" t="s">
        <v>63</v>
      </c>
      <c r="E792" s="1" t="s">
        <v>811</v>
      </c>
    </row>
    <row r="793">
      <c r="A793" s="1" t="s">
        <v>612</v>
      </c>
      <c r="B793" s="1" t="s">
        <v>529</v>
      </c>
      <c r="C793" s="1">
        <v>583.0</v>
      </c>
      <c r="D793" s="1" t="s">
        <v>816</v>
      </c>
      <c r="E793" s="1" t="s">
        <v>817</v>
      </c>
    </row>
    <row r="794">
      <c r="A794" s="1" t="s">
        <v>612</v>
      </c>
      <c r="B794" s="1" t="s">
        <v>529</v>
      </c>
      <c r="C794" s="1">
        <v>594.0</v>
      </c>
      <c r="D794" s="1" t="s">
        <v>818</v>
      </c>
      <c r="E794" s="1" t="s">
        <v>817</v>
      </c>
    </row>
    <row r="795">
      <c r="A795" s="1" t="s">
        <v>612</v>
      </c>
      <c r="B795" s="1" t="s">
        <v>529</v>
      </c>
      <c r="C795" s="1">
        <v>580.0</v>
      </c>
      <c r="D795" s="1" t="s">
        <v>819</v>
      </c>
      <c r="E795" s="1" t="s">
        <v>817</v>
      </c>
    </row>
    <row r="796">
      <c r="A796" s="1" t="s">
        <v>612</v>
      </c>
      <c r="B796" s="1" t="s">
        <v>529</v>
      </c>
      <c r="C796" s="1">
        <v>598.0</v>
      </c>
      <c r="D796" s="1" t="s">
        <v>820</v>
      </c>
      <c r="E796" s="1" t="s">
        <v>817</v>
      </c>
    </row>
    <row r="797">
      <c r="A797" s="1" t="s">
        <v>612</v>
      </c>
      <c r="B797" s="1" t="s">
        <v>529</v>
      </c>
      <c r="C797" s="1">
        <v>579.0</v>
      </c>
      <c r="D797" s="1" t="s">
        <v>821</v>
      </c>
      <c r="E797" s="1" t="s">
        <v>817</v>
      </c>
    </row>
    <row r="798">
      <c r="A798" s="1" t="s">
        <v>612</v>
      </c>
      <c r="B798" s="1" t="s">
        <v>529</v>
      </c>
      <c r="C798" s="3">
        <v>1243.0</v>
      </c>
      <c r="D798" s="1" t="s">
        <v>822</v>
      </c>
      <c r="E798" s="1" t="s">
        <v>817</v>
      </c>
    </row>
    <row r="799">
      <c r="A799" s="1" t="s">
        <v>612</v>
      </c>
      <c r="B799" s="1" t="s">
        <v>529</v>
      </c>
      <c r="C799" s="3">
        <v>862.0</v>
      </c>
      <c r="D799" s="1" t="s">
        <v>823</v>
      </c>
      <c r="E799" s="1" t="s">
        <v>824</v>
      </c>
    </row>
    <row r="800">
      <c r="A800" s="1" t="s">
        <v>612</v>
      </c>
      <c r="B800" s="1" t="s">
        <v>529</v>
      </c>
      <c r="C800" s="1">
        <v>730.0</v>
      </c>
      <c r="D800" s="1" t="s">
        <v>825</v>
      </c>
      <c r="E800" s="1" t="s">
        <v>824</v>
      </c>
    </row>
    <row r="801">
      <c r="A801" s="1" t="s">
        <v>612</v>
      </c>
      <c r="B801" s="1" t="s">
        <v>529</v>
      </c>
      <c r="C801" s="1">
        <v>498.0</v>
      </c>
      <c r="D801" s="1" t="s">
        <v>826</v>
      </c>
      <c r="E801" s="1" t="s">
        <v>824</v>
      </c>
    </row>
    <row r="802">
      <c r="A802" s="1" t="s">
        <v>612</v>
      </c>
      <c r="B802" s="1" t="s">
        <v>529</v>
      </c>
      <c r="C802" s="1">
        <v>618.0</v>
      </c>
      <c r="D802" s="1" t="s">
        <v>827</v>
      </c>
      <c r="E802" s="1" t="s">
        <v>824</v>
      </c>
    </row>
    <row r="803">
      <c r="A803" s="1" t="s">
        <v>612</v>
      </c>
      <c r="B803" s="1" t="s">
        <v>529</v>
      </c>
      <c r="C803" s="1">
        <v>626.0</v>
      </c>
      <c r="D803" s="1" t="s">
        <v>828</v>
      </c>
      <c r="E803" s="1" t="s">
        <v>824</v>
      </c>
    </row>
    <row r="804">
      <c r="A804" s="1" t="s">
        <v>612</v>
      </c>
      <c r="B804" s="1" t="s">
        <v>529</v>
      </c>
      <c r="C804" s="1">
        <v>955.0</v>
      </c>
      <c r="D804" s="1" t="s">
        <v>829</v>
      </c>
      <c r="E804" s="1" t="s">
        <v>824</v>
      </c>
    </row>
    <row r="805">
      <c r="A805" s="1" t="s">
        <v>612</v>
      </c>
      <c r="B805" s="1" t="s">
        <v>529</v>
      </c>
      <c r="C805" s="1">
        <v>1038.0</v>
      </c>
      <c r="D805" s="1" t="s">
        <v>830</v>
      </c>
      <c r="E805" s="1" t="s">
        <v>824</v>
      </c>
    </row>
    <row r="806">
      <c r="A806" s="1" t="s">
        <v>612</v>
      </c>
      <c r="B806" s="1" t="s">
        <v>529</v>
      </c>
      <c r="C806" s="3">
        <v>1234.0</v>
      </c>
      <c r="D806" s="1" t="s">
        <v>831</v>
      </c>
      <c r="E806" s="1" t="s">
        <v>824</v>
      </c>
    </row>
    <row r="807">
      <c r="A807" s="1" t="s">
        <v>612</v>
      </c>
      <c r="B807" s="1" t="s">
        <v>529</v>
      </c>
      <c r="C807" s="3">
        <v>615.0</v>
      </c>
      <c r="D807" s="1" t="s">
        <v>832</v>
      </c>
      <c r="E807" s="1" t="s">
        <v>833</v>
      </c>
    </row>
    <row r="808">
      <c r="A808" s="1" t="s">
        <v>612</v>
      </c>
      <c r="B808" s="1" t="s">
        <v>529</v>
      </c>
      <c r="C808" s="1">
        <v>481.0</v>
      </c>
      <c r="D808" s="1" t="s">
        <v>834</v>
      </c>
      <c r="E808" s="1" t="s">
        <v>833</v>
      </c>
    </row>
    <row r="809">
      <c r="A809" s="1" t="s">
        <v>612</v>
      </c>
      <c r="B809" s="1" t="s">
        <v>529</v>
      </c>
      <c r="C809" s="1">
        <v>976.0</v>
      </c>
      <c r="D809" s="1" t="s">
        <v>835</v>
      </c>
      <c r="E809" s="1" t="s">
        <v>833</v>
      </c>
    </row>
    <row r="810">
      <c r="A810" s="1" t="s">
        <v>612</v>
      </c>
      <c r="B810" s="1" t="s">
        <v>529</v>
      </c>
      <c r="C810" s="1">
        <v>540.0</v>
      </c>
      <c r="D810" s="1" t="s">
        <v>836</v>
      </c>
      <c r="E810" s="1" t="s">
        <v>837</v>
      </c>
    </row>
    <row r="811">
      <c r="A811" s="1" t="s">
        <v>612</v>
      </c>
      <c r="B811" s="1" t="s">
        <v>529</v>
      </c>
      <c r="C811" s="1">
        <v>446.0</v>
      </c>
      <c r="D811" s="1" t="s">
        <v>838</v>
      </c>
      <c r="E811" s="1" t="s">
        <v>837</v>
      </c>
    </row>
    <row r="812">
      <c r="A812" s="1" t="s">
        <v>612</v>
      </c>
      <c r="B812" s="1" t="s">
        <v>529</v>
      </c>
      <c r="C812" s="1">
        <v>522.0</v>
      </c>
      <c r="D812" s="1" t="s">
        <v>839</v>
      </c>
      <c r="E812" s="1" t="s">
        <v>837</v>
      </c>
    </row>
    <row r="813">
      <c r="A813" s="1" t="s">
        <v>612</v>
      </c>
      <c r="B813" s="1" t="s">
        <v>529</v>
      </c>
      <c r="C813" s="1">
        <v>510.0</v>
      </c>
      <c r="D813" s="1" t="s">
        <v>233</v>
      </c>
      <c r="E813" s="1" t="s">
        <v>840</v>
      </c>
    </row>
    <row r="814">
      <c r="A814" s="1" t="s">
        <v>612</v>
      </c>
      <c r="B814" s="1" t="s">
        <v>529</v>
      </c>
      <c r="C814" s="1">
        <v>502.0</v>
      </c>
      <c r="D814" s="1" t="s">
        <v>841</v>
      </c>
      <c r="E814" s="1" t="s">
        <v>840</v>
      </c>
    </row>
    <row r="815">
      <c r="A815" s="1" t="s">
        <v>612</v>
      </c>
      <c r="B815" s="1" t="s">
        <v>529</v>
      </c>
      <c r="C815" s="1">
        <v>544.0</v>
      </c>
      <c r="D815" s="1" t="s">
        <v>842</v>
      </c>
      <c r="E815" s="1" t="s">
        <v>840</v>
      </c>
    </row>
    <row r="816">
      <c r="A816" s="1" t="s">
        <v>612</v>
      </c>
      <c r="B816" s="1" t="s">
        <v>529</v>
      </c>
      <c r="C816" s="1">
        <v>975.0</v>
      </c>
      <c r="D816" s="1" t="s">
        <v>843</v>
      </c>
      <c r="E816" s="1" t="s">
        <v>840</v>
      </c>
    </row>
    <row r="817">
      <c r="A817" s="1" t="s">
        <v>612</v>
      </c>
      <c r="B817" s="1" t="s">
        <v>529</v>
      </c>
      <c r="C817" s="1">
        <v>399.0</v>
      </c>
      <c r="D817" s="1" t="s">
        <v>844</v>
      </c>
      <c r="E817" s="1" t="s">
        <v>845</v>
      </c>
    </row>
    <row r="818">
      <c r="A818" s="1" t="s">
        <v>612</v>
      </c>
      <c r="B818" s="1" t="s">
        <v>529</v>
      </c>
      <c r="C818" s="1">
        <v>400.0</v>
      </c>
      <c r="D818" s="1" t="s">
        <v>846</v>
      </c>
      <c r="E818" s="1" t="s">
        <v>845</v>
      </c>
    </row>
    <row r="819">
      <c r="A819" s="1" t="s">
        <v>612</v>
      </c>
      <c r="B819" s="1" t="s">
        <v>529</v>
      </c>
      <c r="C819" s="1">
        <v>578.0</v>
      </c>
      <c r="D819" s="1" t="s">
        <v>847</v>
      </c>
      <c r="E819" s="1" t="s">
        <v>848</v>
      </c>
    </row>
    <row r="820">
      <c r="A820" s="1" t="s">
        <v>612</v>
      </c>
      <c r="B820" s="1" t="s">
        <v>529</v>
      </c>
      <c r="C820" s="1">
        <v>819.0</v>
      </c>
      <c r="D820" s="1" t="s">
        <v>849</v>
      </c>
      <c r="E820" s="1" t="s">
        <v>848</v>
      </c>
    </row>
    <row r="821">
      <c r="A821" s="2"/>
      <c r="B821" s="2"/>
      <c r="C821" s="2"/>
      <c r="D821" s="2"/>
      <c r="E821" s="2"/>
    </row>
    <row r="822">
      <c r="A822" s="1" t="s">
        <v>612</v>
      </c>
      <c r="B822" s="1" t="s">
        <v>581</v>
      </c>
      <c r="C822" s="1">
        <v>169.0</v>
      </c>
      <c r="D822" s="1" t="s">
        <v>850</v>
      </c>
      <c r="E822" s="1" t="s">
        <v>851</v>
      </c>
    </row>
    <row r="823">
      <c r="A823" s="1" t="s">
        <v>612</v>
      </c>
      <c r="B823" s="1" t="s">
        <v>581</v>
      </c>
      <c r="C823" s="1">
        <v>531.0</v>
      </c>
      <c r="D823" s="1" t="s">
        <v>852</v>
      </c>
      <c r="E823" s="1" t="s">
        <v>851</v>
      </c>
    </row>
    <row r="824">
      <c r="A824" s="1" t="s">
        <v>612</v>
      </c>
      <c r="B824" s="1" t="s">
        <v>581</v>
      </c>
      <c r="C824" s="1">
        <v>515.0</v>
      </c>
      <c r="D824" s="1" t="s">
        <v>853</v>
      </c>
      <c r="E824" s="1" t="s">
        <v>851</v>
      </c>
    </row>
    <row r="825">
      <c r="A825" s="1" t="s">
        <v>612</v>
      </c>
      <c r="B825" s="1" t="s">
        <v>581</v>
      </c>
      <c r="C825" s="1">
        <v>622.0</v>
      </c>
      <c r="D825" s="1" t="s">
        <v>854</v>
      </c>
      <c r="E825" s="1" t="s">
        <v>851</v>
      </c>
    </row>
    <row r="826">
      <c r="A826" s="1" t="s">
        <v>612</v>
      </c>
      <c r="B826" s="1" t="s">
        <v>581</v>
      </c>
      <c r="C826" s="1">
        <v>1019.0</v>
      </c>
      <c r="D826" s="1" t="s">
        <v>855</v>
      </c>
      <c r="E826" s="1" t="s">
        <v>851</v>
      </c>
    </row>
    <row r="827">
      <c r="A827" s="1" t="s">
        <v>612</v>
      </c>
      <c r="B827" s="1" t="s">
        <v>581</v>
      </c>
      <c r="C827" s="1">
        <v>1276.0</v>
      </c>
      <c r="D827" s="1" t="s">
        <v>856</v>
      </c>
      <c r="E827" s="1" t="s">
        <v>851</v>
      </c>
    </row>
    <row r="828">
      <c r="A828" s="1" t="s">
        <v>612</v>
      </c>
      <c r="B828" s="1" t="s">
        <v>581</v>
      </c>
      <c r="C828" s="1">
        <v>616.0</v>
      </c>
      <c r="D828" s="1" t="s">
        <v>857</v>
      </c>
      <c r="E828" s="1" t="s">
        <v>858</v>
      </c>
    </row>
    <row r="829">
      <c r="A829" s="1" t="s">
        <v>612</v>
      </c>
      <c r="B829" s="1" t="s">
        <v>581</v>
      </c>
      <c r="C829" s="1">
        <v>357.0</v>
      </c>
      <c r="D829" s="1" t="s">
        <v>859</v>
      </c>
      <c r="E829" s="1" t="s">
        <v>858</v>
      </c>
    </row>
    <row r="830">
      <c r="A830" s="1" t="s">
        <v>612</v>
      </c>
      <c r="B830" s="1" t="s">
        <v>581</v>
      </c>
      <c r="C830" s="1">
        <v>503.0</v>
      </c>
      <c r="D830" s="1" t="s">
        <v>860</v>
      </c>
      <c r="E830" s="1" t="s">
        <v>858</v>
      </c>
    </row>
    <row r="831">
      <c r="A831" s="1" t="s">
        <v>612</v>
      </c>
      <c r="B831" s="1" t="s">
        <v>581</v>
      </c>
      <c r="C831" s="1">
        <v>485.0</v>
      </c>
      <c r="D831" s="1" t="s">
        <v>861</v>
      </c>
      <c r="E831" s="1" t="s">
        <v>862</v>
      </c>
    </row>
    <row r="832">
      <c r="A832" s="1" t="s">
        <v>612</v>
      </c>
      <c r="B832" s="1" t="s">
        <v>581</v>
      </c>
      <c r="C832" s="1">
        <v>463.0</v>
      </c>
      <c r="D832" s="1" t="s">
        <v>863</v>
      </c>
      <c r="E832" s="1" t="s">
        <v>862</v>
      </c>
    </row>
    <row r="833">
      <c r="A833" s="1" t="s">
        <v>612</v>
      </c>
      <c r="B833" s="1" t="s">
        <v>581</v>
      </c>
      <c r="C833" s="1">
        <v>490.0</v>
      </c>
      <c r="D833" s="1" t="s">
        <v>864</v>
      </c>
      <c r="E833" s="1" t="s">
        <v>862</v>
      </c>
    </row>
    <row r="834">
      <c r="A834" s="1" t="s">
        <v>612</v>
      </c>
      <c r="B834" s="1" t="s">
        <v>581</v>
      </c>
      <c r="C834" s="1">
        <v>491.0</v>
      </c>
      <c r="D834" s="1" t="s">
        <v>865</v>
      </c>
      <c r="E834" s="1" t="s">
        <v>862</v>
      </c>
    </row>
    <row r="835">
      <c r="A835" s="1" t="s">
        <v>612</v>
      </c>
      <c r="B835" s="1" t="s">
        <v>581</v>
      </c>
      <c r="C835" s="1">
        <v>858.0</v>
      </c>
      <c r="D835" s="1" t="s">
        <v>866</v>
      </c>
      <c r="E835" s="1" t="s">
        <v>862</v>
      </c>
    </row>
    <row r="836">
      <c r="A836" s="1" t="s">
        <v>612</v>
      </c>
      <c r="B836" s="1" t="s">
        <v>581</v>
      </c>
      <c r="C836" s="1">
        <v>885.0</v>
      </c>
      <c r="D836" s="1" t="s">
        <v>867</v>
      </c>
      <c r="E836" s="1" t="s">
        <v>862</v>
      </c>
    </row>
    <row r="837">
      <c r="A837" s="2"/>
      <c r="B837" s="2"/>
      <c r="C837" s="2"/>
      <c r="D837" s="2"/>
      <c r="E837" s="2"/>
    </row>
    <row r="838">
      <c r="A838" s="1" t="s">
        <v>612</v>
      </c>
      <c r="B838" s="1" t="s">
        <v>868</v>
      </c>
      <c r="C838" s="1">
        <v>523.0</v>
      </c>
      <c r="D838" s="1" t="s">
        <v>869</v>
      </c>
      <c r="E838" s="1" t="s">
        <v>56</v>
      </c>
    </row>
    <row r="839">
      <c r="A839" s="1" t="s">
        <v>612</v>
      </c>
      <c r="B839" s="1" t="s">
        <v>868</v>
      </c>
      <c r="C839" s="1">
        <v>555.0</v>
      </c>
      <c r="D839" s="1" t="s">
        <v>870</v>
      </c>
      <c r="E839" s="1" t="s">
        <v>56</v>
      </c>
    </row>
    <row r="840">
      <c r="A840" s="1" t="s">
        <v>612</v>
      </c>
      <c r="B840" s="1" t="s">
        <v>868</v>
      </c>
      <c r="C840" s="1">
        <v>549.0</v>
      </c>
      <c r="D840" s="1" t="s">
        <v>871</v>
      </c>
      <c r="E840" s="1" t="s">
        <v>56</v>
      </c>
    </row>
    <row r="841">
      <c r="A841" s="1" t="s">
        <v>612</v>
      </c>
      <c r="B841" s="1" t="s">
        <v>868</v>
      </c>
      <c r="C841" s="1">
        <v>705.0</v>
      </c>
      <c r="D841" s="1" t="s">
        <v>872</v>
      </c>
      <c r="E841" s="1" t="s">
        <v>56</v>
      </c>
    </row>
    <row r="842">
      <c r="A842" s="1" t="s">
        <v>612</v>
      </c>
      <c r="B842" s="1" t="s">
        <v>868</v>
      </c>
      <c r="C842" s="1">
        <v>129.0</v>
      </c>
      <c r="D842" s="1" t="s">
        <v>873</v>
      </c>
      <c r="E842" s="1" t="s">
        <v>56</v>
      </c>
    </row>
    <row r="843">
      <c r="A843" s="1" t="s">
        <v>612</v>
      </c>
      <c r="B843" s="1" t="s">
        <v>868</v>
      </c>
      <c r="C843" s="1">
        <v>220.0</v>
      </c>
      <c r="D843" s="1" t="s">
        <v>874</v>
      </c>
      <c r="E843" s="1" t="s">
        <v>56</v>
      </c>
    </row>
    <row r="844">
      <c r="A844" s="2"/>
      <c r="B844" s="2"/>
      <c r="D844" s="2"/>
      <c r="E844" s="2"/>
    </row>
    <row r="845">
      <c r="A845" s="1" t="s">
        <v>612</v>
      </c>
      <c r="B845" s="1" t="s">
        <v>875</v>
      </c>
      <c r="C845" s="3">
        <v>575.0</v>
      </c>
      <c r="D845" s="1" t="s">
        <v>876</v>
      </c>
      <c r="E845" s="1" t="s">
        <v>875</v>
      </c>
    </row>
    <row r="846">
      <c r="A846" s="1" t="s">
        <v>612</v>
      </c>
      <c r="B846" s="1" t="s">
        <v>875</v>
      </c>
      <c r="C846" s="1">
        <v>550.0</v>
      </c>
      <c r="D846" s="1" t="s">
        <v>877</v>
      </c>
      <c r="E846" s="1" t="s">
        <v>875</v>
      </c>
    </row>
    <row r="847">
      <c r="A847" s="1" t="s">
        <v>612</v>
      </c>
      <c r="B847" s="1" t="s">
        <v>875</v>
      </c>
      <c r="C847" s="1">
        <v>527.0</v>
      </c>
      <c r="D847" s="1" t="s">
        <v>878</v>
      </c>
      <c r="E847" s="1" t="s">
        <v>875</v>
      </c>
    </row>
    <row r="848">
      <c r="A848" s="1" t="s">
        <v>612</v>
      </c>
      <c r="B848" s="1" t="s">
        <v>875</v>
      </c>
      <c r="C848" s="1">
        <v>468.0</v>
      </c>
      <c r="D848" s="1" t="s">
        <v>879</v>
      </c>
      <c r="E848" s="1" t="s">
        <v>875</v>
      </c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D861" s="2"/>
      <c r="E861" s="2"/>
    </row>
    <row r="862">
      <c r="A862" s="2"/>
      <c r="B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D869" s="2"/>
      <c r="E869" s="2"/>
    </row>
    <row r="870">
      <c r="A870" s="2"/>
      <c r="B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C873" s="2"/>
      <c r="D873" s="2"/>
      <c r="E873" s="2"/>
    </row>
    <row r="874">
      <c r="C874" s="2"/>
      <c r="D874" s="2"/>
      <c r="E87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3" max="3" width="36.75"/>
    <col customWidth="1" min="4" max="4" width="40.5"/>
    <col customWidth="1" min="5" max="5" width="60.38"/>
    <col customWidth="1" min="7" max="7" width="12.63"/>
    <col customWidth="1" min="8" max="8" width="20.5"/>
    <col customWidth="1" min="9" max="9" width="7.88"/>
    <col customWidth="1" min="10" max="10" width="9.38"/>
    <col customWidth="1" min="14" max="14" width="21.25"/>
    <col customWidth="1" min="15" max="15" width="33.25"/>
  </cols>
  <sheetData>
    <row r="1">
      <c r="A1" s="4" t="s">
        <v>880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</row>
    <row r="2">
      <c r="A2" s="8" t="s">
        <v>881</v>
      </c>
      <c r="B2" s="9" t="s">
        <v>0</v>
      </c>
      <c r="C2" s="10" t="s">
        <v>1</v>
      </c>
      <c r="D2" s="11" t="s">
        <v>4</v>
      </c>
      <c r="E2" s="12" t="s">
        <v>882</v>
      </c>
      <c r="F2" s="12" t="s">
        <v>883</v>
      </c>
      <c r="G2" s="12" t="s">
        <v>2</v>
      </c>
      <c r="H2" s="12" t="s">
        <v>884</v>
      </c>
      <c r="I2" s="12" t="s">
        <v>885</v>
      </c>
      <c r="J2" s="12" t="s">
        <v>886</v>
      </c>
      <c r="K2" s="12" t="s">
        <v>887</v>
      </c>
      <c r="L2" s="13" t="s">
        <v>888</v>
      </c>
      <c r="M2" s="13" t="s">
        <v>889</v>
      </c>
      <c r="N2" s="12" t="s">
        <v>890</v>
      </c>
      <c r="O2" s="12" t="s">
        <v>891</v>
      </c>
      <c r="P2" s="14" t="s">
        <v>892</v>
      </c>
      <c r="Q2" s="14" t="s">
        <v>893</v>
      </c>
      <c r="R2" s="12" t="s">
        <v>894</v>
      </c>
      <c r="S2" s="12" t="s">
        <v>895</v>
      </c>
      <c r="T2" s="15" t="s">
        <v>896</v>
      </c>
      <c r="U2" s="16" t="s">
        <v>897</v>
      </c>
      <c r="V2" s="7"/>
      <c r="W2" s="7"/>
      <c r="X2" s="7"/>
      <c r="Y2" s="7"/>
      <c r="Z2" s="7"/>
    </row>
    <row r="3">
      <c r="A3" s="7">
        <f>IFERROR(__xludf.DUMMYFUNCTION("{FILTER('Nhân sự Văn phòng'!A3:Z1000,'Nhân sự Văn phòng'!H3:H1000&lt;&gt;""""); FILTER('Nhân sự PX-01'!A3:Z1000,'Nhân sự PX-01'!H3:H1000&lt;&gt;""""); FILTER('Nhân sự PX-02'!A3:Z1000,'Nhân sự PX-02'!H3:H1000&lt;&gt;"""")}"),1.0)</f>
        <v>1</v>
      </c>
      <c r="B3" s="7" t="str">
        <f>IFERROR(__xludf.DUMMYFUNCTION("""COMPUTED_VALUE"""),"Văn phòng")</f>
        <v>Văn phòng</v>
      </c>
      <c r="C3" s="7" t="str">
        <f>IFERROR(__xludf.DUMMYFUNCTION("""COMPUTED_VALUE"""),"Hội đồng cổ đông")</f>
        <v>Hội đồng cổ đông</v>
      </c>
      <c r="D3" s="7" t="str">
        <f>IFERROR(__xludf.DUMMYFUNCTION("""COMPUTED_VALUE"""),"Bộ phận hành chính")</f>
        <v>Bộ phận hành chính</v>
      </c>
      <c r="E3" s="7" t="str">
        <f>IFERROR(__xludf.DUMMYFUNCTION("""COMPUTED_VALUE"""),"Cổ đông sáng lập")</f>
        <v>Cổ đông sáng lập</v>
      </c>
      <c r="F3" s="7" t="str">
        <f>IFERROR(__xludf.DUMMYFUNCTION("""COMPUTED_VALUE"""),"NV1020")</f>
        <v>NV1020</v>
      </c>
      <c r="G3" s="7"/>
      <c r="H3" s="7" t="str">
        <f>IFERROR(__xludf.DUMMYFUNCTION("""COMPUTED_VALUE"""),"Đỗ Đức Ty")</f>
        <v>Đỗ Đức Ty</v>
      </c>
      <c r="I3" s="7" t="str">
        <f>IFERROR(__xludf.DUMMYFUNCTION("""COMPUTED_VALUE"""),"Nam")</f>
        <v>Nam</v>
      </c>
      <c r="J3" s="17">
        <f>IFERROR(__xludf.DUMMYFUNCTION("""COMPUTED_VALUE"""),20386.0)</f>
        <v>20386</v>
      </c>
      <c r="K3" s="7" t="str">
        <f>IFERROR(__xludf.DUMMYFUNCTION("""COMPUTED_VALUE"""),"86 Lê Văn An - Phường Hạc Thành - Tỉnh Thanh Hóa")</f>
        <v>86 Lê Văn An - Phường Hạc Thành - Tỉnh Thanh Hóa</v>
      </c>
      <c r="L3" s="7" t="str">
        <f>IFERROR(__xludf.DUMMYFUNCTION("""COMPUTED_VALUE"""),"0913293137")</f>
        <v>0913293137</v>
      </c>
      <c r="M3" s="7" t="str">
        <f>IFERROR(__xludf.DUMMYFUNCTION("""COMPUTED_VALUE"""),"038055003187")</f>
        <v>038055003187</v>
      </c>
      <c r="N3" s="18">
        <f>IFERROR(__xludf.DUMMYFUNCTION("""COMPUTED_VALUE"""),44427.0)</f>
        <v>44427</v>
      </c>
      <c r="O3" s="7" t="str">
        <f>IFERROR(__xludf.DUMMYFUNCTION("""COMPUTED_VALUE"""),"Cục Cảnh sát QLHC về TTXH")</f>
        <v>Cục Cảnh sát QLHC về TTXH</v>
      </c>
      <c r="P3" s="7" t="str">
        <f>IFERROR(__xludf.DUMMYFUNCTION("""COMPUTED_VALUE"""),"Tiến sĩ")</f>
        <v>Tiến sĩ</v>
      </c>
      <c r="Q3" s="7" t="str">
        <f>IFERROR(__xludf.DUMMYFUNCTION("""COMPUTED_VALUE"""),"Kinh tế")</f>
        <v>Kinh tế</v>
      </c>
      <c r="R3" s="17">
        <f>IFERROR(__xludf.DUMMYFUNCTION("""COMPUTED_VALUE"""),26665.0)</f>
        <v>26665</v>
      </c>
      <c r="S3" s="19">
        <f>IFERROR(__xludf.DUMMYFUNCTION("""COMPUTED_VALUE"""),26665.0)</f>
        <v>26665</v>
      </c>
      <c r="T3" s="7" t="str">
        <f>IFERROR(__xludf.DUMMYFUNCTION("""COMPUTED_VALUE"""),"Chính thức")</f>
        <v>Chính thức</v>
      </c>
      <c r="U3" s="7"/>
      <c r="V3" s="7" t="str">
        <f>IFERROR(__xludf.DUMMYFUNCTION("""COMPUTED_VALUE"""),"Chính thức")</f>
        <v>Chính thức</v>
      </c>
      <c r="W3" s="7" t="str">
        <f>IFERROR(__xludf.DUMMYFUNCTION("""COMPUTED_VALUE"""),"52 năm 11 tháng")</f>
        <v>52 năm 11 tháng</v>
      </c>
      <c r="X3" s="7"/>
      <c r="Y3" s="7"/>
      <c r="Z3" s="7"/>
    </row>
    <row r="4">
      <c r="A4" s="7">
        <f>IFERROR(__xludf.DUMMYFUNCTION("""COMPUTED_VALUE"""),1.0)</f>
        <v>1</v>
      </c>
      <c r="B4" s="7" t="str">
        <f>IFERROR(__xludf.DUMMYFUNCTION("""COMPUTED_VALUE"""),"Văn phòng")</f>
        <v>Văn phòng</v>
      </c>
      <c r="C4" s="7" t="str">
        <f>IFERROR(__xludf.DUMMYFUNCTION("""COMPUTED_VALUE"""),"Hội đồng Quản trị")</f>
        <v>Hội đồng Quản trị</v>
      </c>
      <c r="D4" s="7" t="str">
        <f>IFERROR(__xludf.DUMMYFUNCTION("""COMPUTED_VALUE"""),"Bộ phận hành chính")</f>
        <v>Bộ phận hành chính</v>
      </c>
      <c r="E4" s="7" t="str">
        <f>IFERROR(__xludf.DUMMYFUNCTION("""COMPUTED_VALUE"""),"Chủ tịch Hội đồng quản trị")</f>
        <v>Chủ tịch Hội đồng quản trị</v>
      </c>
      <c r="F4" s="7" t="str">
        <f>IFERROR(__xludf.DUMMYFUNCTION("""COMPUTED_VALUE"""),"NV0002")</f>
        <v>NV0002</v>
      </c>
      <c r="G4" s="7"/>
      <c r="H4" s="7" t="str">
        <f>IFERROR(__xludf.DUMMYFUNCTION("""COMPUTED_VALUE"""),"Đỗ Đức Thắng")</f>
        <v>Đỗ Đức Thắng</v>
      </c>
      <c r="I4" s="7" t="str">
        <f>IFERROR(__xludf.DUMMYFUNCTION("""COMPUTED_VALUE"""),"Nam")</f>
        <v>Nam</v>
      </c>
      <c r="J4" s="17">
        <f>IFERROR(__xludf.DUMMYFUNCTION("""COMPUTED_VALUE"""),30822.0)</f>
        <v>30822</v>
      </c>
      <c r="K4" s="7" t="str">
        <f>IFERROR(__xludf.DUMMYFUNCTION("""COMPUTED_VALUE"""),"CC. E311 - Golden Westlake, Tòa nhà 151, P. Thụy Khuê, Q. Tây Hồ, HN")</f>
        <v>CC. E311 - Golden Westlake, Tòa nhà 151, P. Thụy Khuê, Q. Tây Hồ, HN</v>
      </c>
      <c r="L4" s="7" t="str">
        <f>IFERROR(__xludf.DUMMYFUNCTION("""COMPUTED_VALUE"""),"0987466666")</f>
        <v>0987466666</v>
      </c>
      <c r="M4" s="7" t="str">
        <f>IFERROR(__xludf.DUMMYFUNCTION("""COMPUTED_VALUE"""),"038084002379")</f>
        <v>038084002379</v>
      </c>
      <c r="N4" s="18">
        <f>IFERROR(__xludf.DUMMYFUNCTION("""COMPUTED_VALUE"""),44427.0)</f>
        <v>44427</v>
      </c>
      <c r="O4" s="7" t="str">
        <f>IFERROR(__xludf.DUMMYFUNCTION("""COMPUTED_VALUE"""),"Cục Cảnh sát QLHC về TTXH")</f>
        <v>Cục Cảnh sát QLHC về TTXH</v>
      </c>
      <c r="P4" s="7" t="str">
        <f>IFERROR(__xludf.DUMMYFUNCTION("""COMPUTED_VALUE"""),"Tiến sĩ")</f>
        <v>Tiến sĩ</v>
      </c>
      <c r="Q4" s="7" t="str">
        <f>IFERROR(__xludf.DUMMYFUNCTION("""COMPUTED_VALUE"""),"Kinh tế")</f>
        <v>Kinh tế</v>
      </c>
      <c r="R4" s="17">
        <f>IFERROR(__xludf.DUMMYFUNCTION("""COMPUTED_VALUE"""),40544.0)</f>
        <v>40544</v>
      </c>
      <c r="S4" s="19">
        <f>IFERROR(__xludf.DUMMYFUNCTION("""COMPUTED_VALUE"""),40544.0)</f>
        <v>40544</v>
      </c>
      <c r="T4" s="7" t="str">
        <f>IFERROR(__xludf.DUMMYFUNCTION("""COMPUTED_VALUE"""),"Chính thức")</f>
        <v>Chính thức</v>
      </c>
      <c r="U4" s="7"/>
      <c r="V4" s="7" t="str">
        <f>IFERROR(__xludf.DUMMYFUNCTION("""COMPUTED_VALUE"""),"Chính thức")</f>
        <v>Chính thức</v>
      </c>
      <c r="W4" s="7" t="str">
        <f>IFERROR(__xludf.DUMMYFUNCTION("""COMPUTED_VALUE"""),"14 năm 11 tháng")</f>
        <v>14 năm 11 tháng</v>
      </c>
      <c r="X4" s="7"/>
      <c r="Y4" s="7"/>
      <c r="Z4" s="7"/>
    </row>
    <row r="5">
      <c r="A5" s="7">
        <f>IFERROR(__xludf.DUMMYFUNCTION("""COMPUTED_VALUE"""),2.0)</f>
        <v>2</v>
      </c>
      <c r="B5" s="7" t="str">
        <f>IFERROR(__xludf.DUMMYFUNCTION("""COMPUTED_VALUE"""),"Văn phòng")</f>
        <v>Văn phòng</v>
      </c>
      <c r="C5" s="7" t="str">
        <f>IFERROR(__xludf.DUMMYFUNCTION("""COMPUTED_VALUE"""),"Hội đồng Quản trị")</f>
        <v>Hội đồng Quản trị</v>
      </c>
      <c r="D5" s="7" t="str">
        <f>IFERROR(__xludf.DUMMYFUNCTION("""COMPUTED_VALUE"""),"Bộ phận hành chính")</f>
        <v>Bộ phận hành chính</v>
      </c>
      <c r="E5" s="7" t="str">
        <f>IFERROR(__xludf.DUMMYFUNCTION("""COMPUTED_VALUE"""),"Phó tổng giám đốc")</f>
        <v>Phó tổng giám đốc</v>
      </c>
      <c r="F5" s="7" t="str">
        <f>IFERROR(__xludf.DUMMYFUNCTION("""COMPUTED_VALUE"""),"NV1022")</f>
        <v>NV1022</v>
      </c>
      <c r="G5" s="7"/>
      <c r="H5" s="7" t="str">
        <f>IFERROR(__xludf.DUMMYFUNCTION("""COMPUTED_VALUE"""),"Vũ Thị Nhung")</f>
        <v>Vũ Thị Nhung</v>
      </c>
      <c r="I5" s="7" t="str">
        <f>IFERROR(__xludf.DUMMYFUNCTION("""COMPUTED_VALUE"""),"Nữ")</f>
        <v>Nữ</v>
      </c>
      <c r="J5" s="17">
        <f>IFERROR(__xludf.DUMMYFUNCTION("""COMPUTED_VALUE"""),20004.0)</f>
        <v>20004</v>
      </c>
      <c r="K5" s="7" t="str">
        <f>IFERROR(__xludf.DUMMYFUNCTION("""COMPUTED_VALUE"""),"86 Lê Văn An - Phường Hạc Thành - Tỉnh Thanh Hóa")</f>
        <v>86 Lê Văn An - Phường Hạc Thành - Tỉnh Thanh Hóa</v>
      </c>
      <c r="L5" s="7" t="str">
        <f>IFERROR(__xludf.DUMMYFUNCTION("""COMPUTED_VALUE"""),"0912751878")</f>
        <v>0912751878</v>
      </c>
      <c r="M5" s="7" t="str">
        <f>IFERROR(__xludf.DUMMYFUNCTION("""COMPUTED_VALUE"""),"038155003181")</f>
        <v>038155003181</v>
      </c>
      <c r="N5" s="18">
        <f>IFERROR(__xludf.DUMMYFUNCTION("""COMPUTED_VALUE"""),44427.0)</f>
        <v>44427</v>
      </c>
      <c r="O5" s="7" t="str">
        <f>IFERROR(__xludf.DUMMYFUNCTION("""COMPUTED_VALUE"""),"Cục Cảnh sát QLHC về TTXH")</f>
        <v>Cục Cảnh sát QLHC về TTXH</v>
      </c>
      <c r="P5" s="7" t="str">
        <f>IFERROR(__xludf.DUMMYFUNCTION("""COMPUTED_VALUE"""),"Trung cấp")</f>
        <v>Trung cấp</v>
      </c>
      <c r="Q5" s="7" t="str">
        <f>IFERROR(__xludf.DUMMYFUNCTION("""COMPUTED_VALUE"""),"Kế toán")</f>
        <v>Kế toán</v>
      </c>
      <c r="R5" s="17">
        <f>IFERROR(__xludf.DUMMYFUNCTION("""COMPUTED_VALUE"""),33086.0)</f>
        <v>33086</v>
      </c>
      <c r="S5" s="19">
        <f>IFERROR(__xludf.DUMMYFUNCTION("""COMPUTED_VALUE"""),33086.0)</f>
        <v>33086</v>
      </c>
      <c r="T5" s="7" t="str">
        <f>IFERROR(__xludf.DUMMYFUNCTION("""COMPUTED_VALUE"""),"Chính thức")</f>
        <v>Chính thức</v>
      </c>
      <c r="U5" s="7"/>
      <c r="V5" s="7" t="str">
        <f>IFERROR(__xludf.DUMMYFUNCTION("""COMPUTED_VALUE"""),"Chính thức")</f>
        <v>Chính thức</v>
      </c>
      <c r="W5" s="7" t="str">
        <f>IFERROR(__xludf.DUMMYFUNCTION("""COMPUTED_VALUE"""),"35 năm 4 tháng")</f>
        <v>35 năm 4 tháng</v>
      </c>
      <c r="X5" s="7"/>
      <c r="Y5" s="7"/>
      <c r="Z5" s="7"/>
    </row>
    <row r="6">
      <c r="A6" s="7">
        <f>IFERROR(__xludf.DUMMYFUNCTION("""COMPUTED_VALUE"""),3.0)</f>
        <v>3</v>
      </c>
      <c r="B6" s="7" t="str">
        <f>IFERROR(__xludf.DUMMYFUNCTION("""COMPUTED_VALUE"""),"Văn phòng")</f>
        <v>Văn phòng</v>
      </c>
      <c r="C6" s="7" t="str">
        <f>IFERROR(__xludf.DUMMYFUNCTION("""COMPUTED_VALUE"""),"Hội đồng Quản trị")</f>
        <v>Hội đồng Quản trị</v>
      </c>
      <c r="D6" s="7" t="str">
        <f>IFERROR(__xludf.DUMMYFUNCTION("""COMPUTED_VALUE"""),"Bộ phận hành chính")</f>
        <v>Bộ phận hành chính</v>
      </c>
      <c r="E6" s="7" t="str">
        <f>IFERROR(__xludf.DUMMYFUNCTION("""COMPUTED_VALUE"""),"Phó tổng giám đốc")</f>
        <v>Phó tổng giám đốc</v>
      </c>
      <c r="F6" s="7" t="str">
        <f>IFERROR(__xludf.DUMMYFUNCTION("""COMPUTED_VALUE"""),"NV4080")</f>
        <v>NV4080</v>
      </c>
      <c r="G6" s="7"/>
      <c r="H6" s="7" t="str">
        <f>IFERROR(__xludf.DUMMYFUNCTION("""COMPUTED_VALUE"""),"Trần Thị Nguyệt")</f>
        <v>Trần Thị Nguyệt</v>
      </c>
      <c r="I6" s="7" t="str">
        <f>IFERROR(__xludf.DUMMYFUNCTION("""COMPUTED_VALUE"""),"Nữ")</f>
        <v>Nữ</v>
      </c>
      <c r="J6" s="17">
        <f>IFERROR(__xludf.DUMMYFUNCTION("""COMPUTED_VALUE"""),31849.0)</f>
        <v>31849</v>
      </c>
      <c r="K6" s="7" t="str">
        <f>IFERROR(__xludf.DUMMYFUNCTION("""COMPUTED_VALUE"""),"CC. E311 - Golden Westlake, Tòa nhà 151, P. Thụy Khuê, Q. Tây Hồ, HN")</f>
        <v>CC. E311 - Golden Westlake, Tòa nhà 151, P. Thụy Khuê, Q. Tây Hồ, HN</v>
      </c>
      <c r="L6" s="7" t="str">
        <f>IFERROR(__xludf.DUMMYFUNCTION("""COMPUTED_VALUE"""),"0945537799")</f>
        <v>0945537799</v>
      </c>
      <c r="M6" s="7" t="str">
        <f>IFERROR(__xludf.DUMMYFUNCTION("""COMPUTED_VALUE"""),"037187006587")</f>
        <v>037187006587</v>
      </c>
      <c r="N6" s="18">
        <f>IFERROR(__xludf.DUMMYFUNCTION("""COMPUTED_VALUE"""),44098.0)</f>
        <v>44098</v>
      </c>
      <c r="O6" s="7" t="str">
        <f>IFERROR(__xludf.DUMMYFUNCTION("""COMPUTED_VALUE"""),"Cục Cảnh sát QLHC về TTXH")</f>
        <v>Cục Cảnh sát QLHC về TTXH</v>
      </c>
      <c r="P6" s="7" t="str">
        <f>IFERROR(__xludf.DUMMYFUNCTION("""COMPUTED_VALUE"""),"Đại học")</f>
        <v>Đại học</v>
      </c>
      <c r="Q6" s="7"/>
      <c r="R6" s="17">
        <f>IFERROR(__xludf.DUMMYFUNCTION("""COMPUTED_VALUE"""),44531.0)</f>
        <v>44531</v>
      </c>
      <c r="S6" s="19">
        <f>IFERROR(__xludf.DUMMYFUNCTION("""COMPUTED_VALUE"""),44531.0)</f>
        <v>44531</v>
      </c>
      <c r="T6" s="7" t="str">
        <f>IFERROR(__xludf.DUMMYFUNCTION("""COMPUTED_VALUE"""),"Chính thức")</f>
        <v>Chính thức</v>
      </c>
      <c r="U6" s="7"/>
      <c r="V6" s="7" t="str">
        <f>IFERROR(__xludf.DUMMYFUNCTION("""COMPUTED_VALUE"""),"Chính thức")</f>
        <v>Chính thức</v>
      </c>
      <c r="W6" s="7" t="str">
        <f>IFERROR(__xludf.DUMMYFUNCTION("""COMPUTED_VALUE"""),"4 năm 0 tháng")</f>
        <v>4 năm 0 tháng</v>
      </c>
      <c r="X6" s="7"/>
      <c r="Y6" s="7"/>
      <c r="Z6" s="7"/>
    </row>
    <row r="7">
      <c r="A7" s="7">
        <f>IFERROR(__xludf.DUMMYFUNCTION("""COMPUTED_VALUE"""),4.0)</f>
        <v>4</v>
      </c>
      <c r="B7" s="7" t="str">
        <f>IFERROR(__xludf.DUMMYFUNCTION("""COMPUTED_VALUE"""),"Văn phòng")</f>
        <v>Văn phòng</v>
      </c>
      <c r="C7" s="7" t="str">
        <f>IFERROR(__xludf.DUMMYFUNCTION("""COMPUTED_VALUE"""),"Hội đồng Quản trị")</f>
        <v>Hội đồng Quản trị</v>
      </c>
      <c r="D7" s="7" t="str">
        <f>IFERROR(__xludf.DUMMYFUNCTION("""COMPUTED_VALUE"""),"Bộ phận hành chính")</f>
        <v>Bộ phận hành chính</v>
      </c>
      <c r="E7" s="7" t="str">
        <f>IFERROR(__xludf.DUMMYFUNCTION("""COMPUTED_VALUE"""),"Tổng giám đốc")</f>
        <v>Tổng giám đốc</v>
      </c>
      <c r="F7" s="7" t="str">
        <f>IFERROR(__xludf.DUMMYFUNCTION("""COMPUTED_VALUE"""),"NV1118")</f>
        <v>NV1118</v>
      </c>
      <c r="G7" s="7"/>
      <c r="H7" s="7" t="str">
        <f>IFERROR(__xludf.DUMMYFUNCTION("""COMPUTED_VALUE"""),"Vũ Xuân Tuấn")</f>
        <v>Vũ Xuân Tuấn</v>
      </c>
      <c r="I7" s="7" t="str">
        <f>IFERROR(__xludf.DUMMYFUNCTION("""COMPUTED_VALUE"""),"Nam")</f>
        <v>Nam</v>
      </c>
      <c r="J7" s="17">
        <f>IFERROR(__xludf.DUMMYFUNCTION("""COMPUTED_VALUE"""),26547.0)</f>
        <v>26547</v>
      </c>
      <c r="K7" s="7" t="str">
        <f>IFERROR(__xludf.DUMMYFUNCTION("""COMPUTED_VALUE"""),"SN 264 Lý Nhân Tông, Phường Đông Thọ, Thành phố Thanh Hóa")</f>
        <v>SN 264 Lý Nhân Tông, Phường Đông Thọ, Thành phố Thanh Hóa</v>
      </c>
      <c r="L7" s="7" t="str">
        <f>IFERROR(__xludf.DUMMYFUNCTION("""COMPUTED_VALUE"""),"0913313384")</f>
        <v>0913313384</v>
      </c>
      <c r="M7" s="7" t="str">
        <f>IFERROR(__xludf.DUMMYFUNCTION("""COMPUTED_VALUE"""),"038072047546")</f>
        <v>038072047546</v>
      </c>
      <c r="N7" s="18">
        <f>IFERROR(__xludf.DUMMYFUNCTION("""COMPUTED_VALUE"""),44375.0)</f>
        <v>44375</v>
      </c>
      <c r="O7" s="7" t="str">
        <f>IFERROR(__xludf.DUMMYFUNCTION("""COMPUTED_VALUE"""),"Cục Cảnh sát QLHC về TTXH")</f>
        <v>Cục Cảnh sát QLHC về TTXH</v>
      </c>
      <c r="P7" s="7" t="str">
        <f>IFERROR(__xludf.DUMMYFUNCTION("""COMPUTED_VALUE"""),"Cao học")</f>
        <v>Cao học</v>
      </c>
      <c r="Q7" s="7" t="str">
        <f>IFERROR(__xludf.DUMMYFUNCTION("""COMPUTED_VALUE"""),"Quản trị kinh doanh")</f>
        <v>Quản trị kinh doanh</v>
      </c>
      <c r="R7" s="17">
        <f>IFERROR(__xludf.DUMMYFUNCTION("""COMPUTED_VALUE"""),35855.0)</f>
        <v>35855</v>
      </c>
      <c r="S7" s="19">
        <f>IFERROR(__xludf.DUMMYFUNCTION("""COMPUTED_VALUE"""),35855.0)</f>
        <v>35855</v>
      </c>
      <c r="T7" s="7" t="str">
        <f>IFERROR(__xludf.DUMMYFUNCTION("""COMPUTED_VALUE"""),"Chính thức")</f>
        <v>Chính thức</v>
      </c>
      <c r="U7" s="7"/>
      <c r="V7" s="7" t="str">
        <f>IFERROR(__xludf.DUMMYFUNCTION("""COMPUTED_VALUE"""),"Chính thức")</f>
        <v>Chính thức</v>
      </c>
      <c r="W7" s="7" t="str">
        <f>IFERROR(__xludf.DUMMYFUNCTION("""COMPUTED_VALUE"""),"27 năm 9 tháng")</f>
        <v>27 năm 9 tháng</v>
      </c>
      <c r="X7" s="7"/>
      <c r="Y7" s="7"/>
      <c r="Z7" s="7"/>
    </row>
    <row r="8">
      <c r="A8" s="7">
        <f>IFERROR(__xludf.DUMMYFUNCTION("""COMPUTED_VALUE"""),1.0)</f>
        <v>1</v>
      </c>
      <c r="B8" s="7" t="str">
        <f>IFERROR(__xludf.DUMMYFUNCTION("""COMPUTED_VALUE"""),"Văn phòng")</f>
        <v>Văn phòng</v>
      </c>
      <c r="C8" s="7" t="str">
        <f>IFERROR(__xludf.DUMMYFUNCTION("""COMPUTED_VALUE"""),"Ban tổng giám đốc")</f>
        <v>Ban tổng giám đốc</v>
      </c>
      <c r="D8" s="7" t="str">
        <f>IFERROR(__xludf.DUMMYFUNCTION("""COMPUTED_VALUE"""),"Bộ phận hành chính")</f>
        <v>Bộ phận hành chính</v>
      </c>
      <c r="E8" s="7" t="str">
        <f>IFERROR(__xludf.DUMMYFUNCTION("""COMPUTED_VALUE"""),"Phó giám đốc Công ty, Nhà máy")</f>
        <v>Phó giám đốc Công ty, Nhà máy</v>
      </c>
      <c r="F8" s="7" t="str">
        <f>IFERROR(__xludf.DUMMYFUNCTION("""COMPUTED_VALUE"""),"NV0003")</f>
        <v>NV0003</v>
      </c>
      <c r="G8" s="7"/>
      <c r="H8" s="7" t="str">
        <f>IFERROR(__xludf.DUMMYFUNCTION("""COMPUTED_VALUE"""),"Nguyễn Thanh Hải")</f>
        <v>Nguyễn Thanh Hải</v>
      </c>
      <c r="I8" s="7" t="str">
        <f>IFERROR(__xludf.DUMMYFUNCTION("""COMPUTED_VALUE"""),"Nam")</f>
        <v>Nam</v>
      </c>
      <c r="J8" s="17">
        <f>IFERROR(__xludf.DUMMYFUNCTION("""COMPUTED_VALUE"""),25846.0)</f>
        <v>25846</v>
      </c>
      <c r="K8" s="7" t="str">
        <f>IFERROR(__xludf.DUMMYFUNCTION("""COMPUTED_VALUE"""),"Sổ nhà 07 Ngỏ 353 - Đường Lê Thánh Tông - Phường Hạc Thành - Tỉnh Thanh Hóa")</f>
        <v>Sổ nhà 07 Ngỏ 353 - Đường Lê Thánh Tông - Phường Hạc Thành - Tỉnh Thanh Hóa</v>
      </c>
      <c r="L8" s="7" t="str">
        <f>IFERROR(__xludf.DUMMYFUNCTION("""COMPUTED_VALUE"""),"0912275763")</f>
        <v>0912275763</v>
      </c>
      <c r="M8" s="7" t="str">
        <f>IFERROR(__xludf.DUMMYFUNCTION("""COMPUTED_VALUE"""),"038070000338")</f>
        <v>038070000338</v>
      </c>
      <c r="N8" s="18">
        <f>IFERROR(__xludf.DUMMYFUNCTION("""COMPUTED_VALUE"""),42485.0)</f>
        <v>42485</v>
      </c>
      <c r="O8" s="7" t="str">
        <f>IFERROR(__xludf.DUMMYFUNCTION("""COMPUTED_VALUE"""),"Cục Cảnh sát QLHC về TTXH")</f>
        <v>Cục Cảnh sát QLHC về TTXH</v>
      </c>
      <c r="P8" s="7" t="str">
        <f>IFERROR(__xludf.DUMMYFUNCTION("""COMPUTED_VALUE"""),"Đại học")</f>
        <v>Đại học</v>
      </c>
      <c r="Q8" s="7" t="str">
        <f>IFERROR(__xludf.DUMMYFUNCTION("""COMPUTED_VALUE"""),"Cử nhân hóa")</f>
        <v>Cử nhân hóa</v>
      </c>
      <c r="R8" s="17">
        <f>IFERROR(__xludf.DUMMYFUNCTION("""COMPUTED_VALUE"""),36747.0)</f>
        <v>36747</v>
      </c>
      <c r="S8" s="19">
        <f>IFERROR(__xludf.DUMMYFUNCTION("""COMPUTED_VALUE"""),36747.0)</f>
        <v>36747</v>
      </c>
      <c r="T8" s="7" t="str">
        <f>IFERROR(__xludf.DUMMYFUNCTION("""COMPUTED_VALUE"""),"Chính thức")</f>
        <v>Chính thức</v>
      </c>
      <c r="U8" s="7"/>
      <c r="V8" s="7" t="str">
        <f>IFERROR(__xludf.DUMMYFUNCTION("""COMPUTED_VALUE"""),"Chính thức")</f>
        <v>Chính thức</v>
      </c>
      <c r="W8" s="7" t="str">
        <f>IFERROR(__xludf.DUMMYFUNCTION("""COMPUTED_VALUE"""),"25 năm 4 tháng")</f>
        <v>25 năm 4 tháng</v>
      </c>
      <c r="X8" s="7"/>
      <c r="Y8" s="7"/>
      <c r="Z8" s="7"/>
    </row>
    <row r="9">
      <c r="A9" s="7">
        <f>IFERROR(__xludf.DUMMYFUNCTION("""COMPUTED_VALUE"""),2.0)</f>
        <v>2</v>
      </c>
      <c r="B9" s="7" t="str">
        <f>IFERROR(__xludf.DUMMYFUNCTION("""COMPUTED_VALUE"""),"Văn phòng")</f>
        <v>Văn phòng</v>
      </c>
      <c r="C9" s="7" t="str">
        <f>IFERROR(__xludf.DUMMYFUNCTION("""COMPUTED_VALUE"""),"Ban tổng giám đốc")</f>
        <v>Ban tổng giám đốc</v>
      </c>
      <c r="D9" s="7" t="str">
        <f>IFERROR(__xludf.DUMMYFUNCTION("""COMPUTED_VALUE"""),"Bộ phận hành chính")</f>
        <v>Bộ phận hành chính</v>
      </c>
      <c r="E9" s="7" t="str">
        <f>IFERROR(__xludf.DUMMYFUNCTION("""COMPUTED_VALUE"""),"Phó tổng giám đốc")</f>
        <v>Phó tổng giám đốc</v>
      </c>
      <c r="F9" s="7" t="str">
        <f>IFERROR(__xludf.DUMMYFUNCTION("""COMPUTED_VALUE"""),"NV0001")</f>
        <v>NV0001</v>
      </c>
      <c r="G9" s="7"/>
      <c r="H9" s="7" t="str">
        <f>IFERROR(__xludf.DUMMYFUNCTION("""COMPUTED_VALUE"""),"Phạm Văn Thắng")</f>
        <v>Phạm Văn Thắng</v>
      </c>
      <c r="I9" s="7" t="str">
        <f>IFERROR(__xludf.DUMMYFUNCTION("""COMPUTED_VALUE"""),"Nam")</f>
        <v>Nam</v>
      </c>
      <c r="J9" s="17">
        <f>IFERROR(__xludf.DUMMYFUNCTION("""COMPUTED_VALUE"""),28112.0)</f>
        <v>28112</v>
      </c>
      <c r="K9" s="7" t="str">
        <f>IFERROR(__xludf.DUMMYFUNCTION("""COMPUTED_VALUE"""),"Phường Nguyệt Viên - Tỉnh Thanh Hóa")</f>
        <v>Phường Nguyệt Viên - Tỉnh Thanh Hóa</v>
      </c>
      <c r="L9" s="7" t="str">
        <f>IFERROR(__xludf.DUMMYFUNCTION("""COMPUTED_VALUE"""),"0904942789")</f>
        <v>0904942789</v>
      </c>
      <c r="M9" s="7" t="str">
        <f>IFERROR(__xludf.DUMMYFUNCTION("""COMPUTED_VALUE"""),"038076030328")</f>
        <v>038076030328</v>
      </c>
      <c r="N9" s="18">
        <f>IFERROR(__xludf.DUMMYFUNCTION("""COMPUTED_VALUE"""),44374.0)</f>
        <v>44374</v>
      </c>
      <c r="O9" s="7" t="str">
        <f>IFERROR(__xludf.DUMMYFUNCTION("""COMPUTED_VALUE"""),"Cục Cảnh sát QLHC về TTXH")</f>
        <v>Cục Cảnh sát QLHC về TTXH</v>
      </c>
      <c r="P9" s="7" t="str">
        <f>IFERROR(__xludf.DUMMYFUNCTION("""COMPUTED_VALUE"""),"Đại học")</f>
        <v>Đại học</v>
      </c>
      <c r="Q9" s="7" t="str">
        <f>IFERROR(__xludf.DUMMYFUNCTION("""COMPUTED_VALUE"""),"Cử nhân luật")</f>
        <v>Cử nhân luật</v>
      </c>
      <c r="R9" s="17">
        <f>IFERROR(__xludf.DUMMYFUNCTION("""COMPUTED_VALUE"""),38718.0)</f>
        <v>38718</v>
      </c>
      <c r="S9" s="19">
        <f>IFERROR(__xludf.DUMMYFUNCTION("""COMPUTED_VALUE"""),38718.0)</f>
        <v>38718</v>
      </c>
      <c r="T9" s="7" t="str">
        <f>IFERROR(__xludf.DUMMYFUNCTION("""COMPUTED_VALUE"""),"Chính thức")</f>
        <v>Chính thức</v>
      </c>
      <c r="U9" s="7"/>
      <c r="V9" s="7" t="str">
        <f>IFERROR(__xludf.DUMMYFUNCTION("""COMPUTED_VALUE"""),"Chính thức")</f>
        <v>Chính thức</v>
      </c>
      <c r="W9" s="7" t="str">
        <f>IFERROR(__xludf.DUMMYFUNCTION("""COMPUTED_VALUE"""),"19 năm 11 tháng")</f>
        <v>19 năm 11 tháng</v>
      </c>
      <c r="X9" s="7"/>
      <c r="Y9" s="7"/>
      <c r="Z9" s="7"/>
    </row>
    <row r="10">
      <c r="A10" s="7">
        <f>IFERROR(__xludf.DUMMYFUNCTION("""COMPUTED_VALUE"""),3.0)</f>
        <v>3</v>
      </c>
      <c r="B10" s="7" t="str">
        <f>IFERROR(__xludf.DUMMYFUNCTION("""COMPUTED_VALUE"""),"Văn phòng")</f>
        <v>Văn phòng</v>
      </c>
      <c r="C10" s="7" t="str">
        <f>IFERROR(__xludf.DUMMYFUNCTION("""COMPUTED_VALUE"""),"Ban tổng giám đốc")</f>
        <v>Ban tổng giám đốc</v>
      </c>
      <c r="D10" s="7" t="str">
        <f>IFERROR(__xludf.DUMMYFUNCTION("""COMPUTED_VALUE"""),"Bộ phận hành chính")</f>
        <v>Bộ phận hành chính</v>
      </c>
      <c r="E10" s="7" t="str">
        <f>IFERROR(__xludf.DUMMYFUNCTION("""COMPUTED_VALUE"""),"Phó giám đốc kiêm thư ký HĐQT")</f>
        <v>Phó giám đốc kiêm thư ký HĐQT</v>
      </c>
      <c r="F10" s="7" t="str">
        <f>IFERROR(__xludf.DUMMYFUNCTION("""COMPUTED_VALUE"""),"NV0013")</f>
        <v>NV0013</v>
      </c>
      <c r="G10" s="7">
        <f>IFERROR(__xludf.DUMMYFUNCTION("""COMPUTED_VALUE"""),6.0)</f>
        <v>6</v>
      </c>
      <c r="H10" s="7" t="str">
        <f>IFERROR(__xludf.DUMMYFUNCTION("""COMPUTED_VALUE"""),"Lê Thị Tú")</f>
        <v>Lê Thị Tú</v>
      </c>
      <c r="I10" s="7" t="str">
        <f>IFERROR(__xludf.DUMMYFUNCTION("""COMPUTED_VALUE"""),"Nữ")</f>
        <v>Nữ</v>
      </c>
      <c r="J10" s="17">
        <f>IFERROR(__xludf.DUMMYFUNCTION("""COMPUTED_VALUE"""),31764.0)</f>
        <v>31764</v>
      </c>
      <c r="K10" s="7" t="str">
        <f>IFERROR(__xludf.DUMMYFUNCTION("""COMPUTED_VALUE"""),"25/18 Cao Điển - Phường Hạc Thành - Tỉnh Thanh Hóa")</f>
        <v>25/18 Cao Điển - Phường Hạc Thành - Tỉnh Thanh Hóa</v>
      </c>
      <c r="L10" s="7" t="str">
        <f>IFERROR(__xludf.DUMMYFUNCTION("""COMPUTED_VALUE"""),"0977024506")</f>
        <v>0977024506</v>
      </c>
      <c r="M10" s="7" t="str">
        <f>IFERROR(__xludf.DUMMYFUNCTION("""COMPUTED_VALUE"""),"038186016247")</f>
        <v>038186016247</v>
      </c>
      <c r="N10" s="18">
        <f>IFERROR(__xludf.DUMMYFUNCTION("""COMPUTED_VALUE"""),43642.0)</f>
        <v>43642</v>
      </c>
      <c r="O10" s="7" t="str">
        <f>IFERROR(__xludf.DUMMYFUNCTION("""COMPUTED_VALUE"""),"Cục Cảnh sát QLHC về TTXH")</f>
        <v>Cục Cảnh sát QLHC về TTXH</v>
      </c>
      <c r="P10" s="7" t="str">
        <f>IFERROR(__xludf.DUMMYFUNCTION("""COMPUTED_VALUE"""),"Đại học")</f>
        <v>Đại học</v>
      </c>
      <c r="Q10" s="7" t="str">
        <f>IFERROR(__xludf.DUMMYFUNCTION("""COMPUTED_VALUE"""),"Kế toán")</f>
        <v>Kế toán</v>
      </c>
      <c r="R10" s="17">
        <f>IFERROR(__xludf.DUMMYFUNCTION("""COMPUTED_VALUE"""),40003.0)</f>
        <v>40003</v>
      </c>
      <c r="S10" s="19">
        <f>IFERROR(__xludf.DUMMYFUNCTION("""COMPUTED_VALUE"""),40003.0)</f>
        <v>40003</v>
      </c>
      <c r="T10" s="7" t="str">
        <f>IFERROR(__xludf.DUMMYFUNCTION("""COMPUTED_VALUE"""),"Chính thức")</f>
        <v>Chính thức</v>
      </c>
      <c r="U10" s="7"/>
      <c r="V10" s="7" t="str">
        <f>IFERROR(__xludf.DUMMYFUNCTION("""COMPUTED_VALUE"""),"Chính thức")</f>
        <v>Chính thức</v>
      </c>
      <c r="W10" s="7" t="str">
        <f>IFERROR(__xludf.DUMMYFUNCTION("""COMPUTED_VALUE"""),"16 năm 5 tháng")</f>
        <v>16 năm 5 tháng</v>
      </c>
      <c r="X10" s="7"/>
      <c r="Y10" s="7"/>
      <c r="Z10" s="7"/>
    </row>
    <row r="11">
      <c r="A11" s="7">
        <f>IFERROR(__xludf.DUMMYFUNCTION("""COMPUTED_VALUE"""),1.0)</f>
        <v>1</v>
      </c>
      <c r="B11" s="7" t="str">
        <f>IFERROR(__xludf.DUMMYFUNCTION("""COMPUTED_VALUE"""),"Văn phòng")</f>
        <v>Văn phòng</v>
      </c>
      <c r="C11" s="7" t="str">
        <f>IFERROR(__xludf.DUMMYFUNCTION("""COMPUTED_VALUE"""),"Phòng Tổ chức - Hành chính")</f>
        <v>Phòng Tổ chức - Hành chính</v>
      </c>
      <c r="D11" s="7" t="str">
        <f>IFERROR(__xludf.DUMMYFUNCTION("""COMPUTED_VALUE"""),"Bộ phận nghiệp vụ")</f>
        <v>Bộ phận nghiệp vụ</v>
      </c>
      <c r="E11" s="7" t="str">
        <f>IFERROR(__xludf.DUMMYFUNCTION("""COMPUTED_VALUE"""),"Phó tổng giám đốc phụ trách")</f>
        <v>Phó tổng giám đốc phụ trách</v>
      </c>
      <c r="F11" s="7" t="str">
        <f>IFERROR(__xludf.DUMMYFUNCTION("""COMPUTED_VALUE"""),"NV0093")</f>
        <v>NV0093</v>
      </c>
      <c r="G11" s="7"/>
      <c r="H11" s="7" t="str">
        <f>IFERROR(__xludf.DUMMYFUNCTION("""COMPUTED_VALUE"""),"Lê Quang Trung")</f>
        <v>Lê Quang Trung</v>
      </c>
      <c r="I11" s="7" t="str">
        <f>IFERROR(__xludf.DUMMYFUNCTION("""COMPUTED_VALUE"""),"Nam")</f>
        <v>Nam</v>
      </c>
      <c r="J11" s="17">
        <f>IFERROR(__xludf.DUMMYFUNCTION("""COMPUTED_VALUE"""),28588.0)</f>
        <v>28588</v>
      </c>
      <c r="K11" s="7" t="str">
        <f>IFERROR(__xludf.DUMMYFUNCTION("""COMPUTED_VALUE"""),"Lô G35, Khu I, khu đô thị Bình Minh - Phường Hạc Thành - Tỉnh Thanh Hóa")</f>
        <v>Lô G35, Khu I, khu đô thị Bình Minh - Phường Hạc Thành - Tỉnh Thanh Hóa</v>
      </c>
      <c r="L11" s="7" t="str">
        <f>IFERROR(__xludf.DUMMYFUNCTION("""COMPUTED_VALUE"""),"0912162888")</f>
        <v>0912162888</v>
      </c>
      <c r="M11" s="7" t="str">
        <f>IFERROR(__xludf.DUMMYFUNCTION("""COMPUTED_VALUE"""),"025078011871")</f>
        <v>025078011871</v>
      </c>
      <c r="N11" s="18">
        <f>IFERROR(__xludf.DUMMYFUNCTION("""COMPUTED_VALUE"""),44375.0)</f>
        <v>44375</v>
      </c>
      <c r="O11" s="7" t="str">
        <f>IFERROR(__xludf.DUMMYFUNCTION("""COMPUTED_VALUE"""),"Cục Cảnh sát QLHC về TTXH")</f>
        <v>Cục Cảnh sát QLHC về TTXH</v>
      </c>
      <c r="P11" s="7" t="str">
        <f>IFERROR(__xludf.DUMMYFUNCTION("""COMPUTED_VALUE"""),"Đại học")</f>
        <v>Đại học</v>
      </c>
      <c r="Q11" s="7" t="str">
        <f>IFERROR(__xludf.DUMMYFUNCTION("""COMPUTED_VALUE"""),"KS - Xây dựng")</f>
        <v>KS - Xây dựng</v>
      </c>
      <c r="R11" s="17">
        <f>IFERROR(__xludf.DUMMYFUNCTION("""COMPUTED_VALUE"""),37366.0)</f>
        <v>37366</v>
      </c>
      <c r="S11" s="19">
        <f>IFERROR(__xludf.DUMMYFUNCTION("""COMPUTED_VALUE"""),37366.0)</f>
        <v>37366</v>
      </c>
      <c r="T11" s="7" t="str">
        <f>IFERROR(__xludf.DUMMYFUNCTION("""COMPUTED_VALUE"""),"Chính thức")</f>
        <v>Chính thức</v>
      </c>
      <c r="U11" s="7"/>
      <c r="V11" s="7" t="str">
        <f>IFERROR(__xludf.DUMMYFUNCTION("""COMPUTED_VALUE"""),"Chính thức")</f>
        <v>Chính thức</v>
      </c>
      <c r="W11" s="7" t="str">
        <f>IFERROR(__xludf.DUMMYFUNCTION("""COMPUTED_VALUE"""),"23 năm 8 tháng")</f>
        <v>23 năm 8 tháng</v>
      </c>
      <c r="X11" s="7"/>
      <c r="Y11" s="7"/>
      <c r="Z11" s="7"/>
    </row>
    <row r="12">
      <c r="A12" s="7">
        <f>IFERROR(__xludf.DUMMYFUNCTION("""COMPUTED_VALUE"""),2.0)</f>
        <v>2</v>
      </c>
      <c r="B12" s="7" t="str">
        <f>IFERROR(__xludf.DUMMYFUNCTION("""COMPUTED_VALUE"""),"Văn phòng")</f>
        <v>Văn phòng</v>
      </c>
      <c r="C12" s="7" t="str">
        <f>IFERROR(__xludf.DUMMYFUNCTION("""COMPUTED_VALUE"""),"Phòng Tổ chức - Hành chính")</f>
        <v>Phòng Tổ chức - Hành chính</v>
      </c>
      <c r="D12" s="7" t="str">
        <f>IFERROR(__xludf.DUMMYFUNCTION("""COMPUTED_VALUE"""),"Bộ phận nghiệp vụ")</f>
        <v>Bộ phận nghiệp vụ</v>
      </c>
      <c r="E12" s="7" t="str">
        <f>IFERROR(__xludf.DUMMYFUNCTION("""COMPUTED_VALUE"""),"Chuyên viên")</f>
        <v>Chuyên viên</v>
      </c>
      <c r="F12" s="7" t="str">
        <f>IFERROR(__xludf.DUMMYFUNCTION("""COMPUTED_VALUE"""),"NV0095")</f>
        <v>NV0095</v>
      </c>
      <c r="G12" s="7">
        <f>IFERROR(__xludf.DUMMYFUNCTION("""COMPUTED_VALUE"""),56.0)</f>
        <v>56</v>
      </c>
      <c r="H12" s="7" t="str">
        <f>IFERROR(__xludf.DUMMYFUNCTION("""COMPUTED_VALUE"""),"Vũ Nguyên Hồng")</f>
        <v>Vũ Nguyên Hồng</v>
      </c>
      <c r="I12" s="7" t="str">
        <f>IFERROR(__xludf.DUMMYFUNCTION("""COMPUTED_VALUE"""),"Nam")</f>
        <v>Nam</v>
      </c>
      <c r="J12" s="17">
        <f>IFERROR(__xludf.DUMMYFUNCTION("""COMPUTED_VALUE"""),27229.0)</f>
        <v>27229</v>
      </c>
      <c r="K12" s="7" t="str">
        <f>IFERROR(__xludf.DUMMYFUNCTION("""COMPUTED_VALUE"""),"15 Yết Kiêu - Đông Sơn - Thành Phố Thanh Hóa")</f>
        <v>15 Yết Kiêu - Đông Sơn - Thành Phố Thanh Hóa</v>
      </c>
      <c r="L12" s="7" t="str">
        <f>IFERROR(__xludf.DUMMYFUNCTION("""COMPUTED_VALUE"""),"0917785913")</f>
        <v>0917785913</v>
      </c>
      <c r="M12" s="7" t="str">
        <f>IFERROR(__xludf.DUMMYFUNCTION("""COMPUTED_VALUE"""),"010074000108")</f>
        <v>010074000108</v>
      </c>
      <c r="N12" s="18">
        <f>IFERROR(__xludf.DUMMYFUNCTION("""COMPUTED_VALUE"""),44427.0)</f>
        <v>44427</v>
      </c>
      <c r="O12" s="7" t="str">
        <f>IFERROR(__xludf.DUMMYFUNCTION("""COMPUTED_VALUE"""),"Cục Cảnh sát QLHC về TTXH")</f>
        <v>Cục Cảnh sát QLHC về TTXH</v>
      </c>
      <c r="P12" s="7" t="str">
        <f>IFERROR(__xludf.DUMMYFUNCTION("""COMPUTED_VALUE"""),"Đại học")</f>
        <v>Đại học</v>
      </c>
      <c r="Q12" s="7" t="str">
        <f>IFERROR(__xludf.DUMMYFUNCTION("""COMPUTED_VALUE"""),"Cử nhân kinh tế")</f>
        <v>Cử nhân kinh tế</v>
      </c>
      <c r="R12" s="17">
        <f>IFERROR(__xludf.DUMMYFUNCTION("""COMPUTED_VALUE"""),36514.0)</f>
        <v>36514</v>
      </c>
      <c r="S12" s="19">
        <f>IFERROR(__xludf.DUMMYFUNCTION("""COMPUTED_VALUE"""),36514.0)</f>
        <v>36514</v>
      </c>
      <c r="T12" s="7" t="str">
        <f>IFERROR(__xludf.DUMMYFUNCTION("""COMPUTED_VALUE"""),"Chính thức")</f>
        <v>Chính thức</v>
      </c>
      <c r="U12" s="7"/>
      <c r="V12" s="7" t="str">
        <f>IFERROR(__xludf.DUMMYFUNCTION("""COMPUTED_VALUE"""),"Chính thức")</f>
        <v>Chính thức</v>
      </c>
      <c r="W12" s="7" t="str">
        <f>IFERROR(__xludf.DUMMYFUNCTION("""COMPUTED_VALUE"""),"26 năm 0 tháng")</f>
        <v>26 năm 0 tháng</v>
      </c>
      <c r="X12" s="7"/>
      <c r="Y12" s="7"/>
      <c r="Z12" s="7"/>
    </row>
    <row r="13">
      <c r="A13" s="7">
        <f>IFERROR(__xludf.DUMMYFUNCTION("""COMPUTED_VALUE"""),3.0)</f>
        <v>3</v>
      </c>
      <c r="B13" s="7" t="str">
        <f>IFERROR(__xludf.DUMMYFUNCTION("""COMPUTED_VALUE"""),"Văn phòng")</f>
        <v>Văn phòng</v>
      </c>
      <c r="C13" s="7" t="str">
        <f>IFERROR(__xludf.DUMMYFUNCTION("""COMPUTED_VALUE"""),"Phòng Tổ chức - Hành chính")</f>
        <v>Phòng Tổ chức - Hành chính</v>
      </c>
      <c r="D13" s="7" t="str">
        <f>IFERROR(__xludf.DUMMYFUNCTION("""COMPUTED_VALUE"""),"Bộ phận nghiệp vụ")</f>
        <v>Bộ phận nghiệp vụ</v>
      </c>
      <c r="E13" s="7" t="str">
        <f>IFERROR(__xludf.DUMMYFUNCTION("""COMPUTED_VALUE"""),"Chuyên viên")</f>
        <v>Chuyên viên</v>
      </c>
      <c r="F13" s="7" t="str">
        <f>IFERROR(__xludf.DUMMYFUNCTION("""COMPUTED_VALUE"""),"NV3899")</f>
        <v>NV3899</v>
      </c>
      <c r="G13" s="7">
        <f>IFERROR(__xludf.DUMMYFUNCTION("""COMPUTED_VALUE"""),30.0)</f>
        <v>30</v>
      </c>
      <c r="H13" s="7" t="str">
        <f>IFERROR(__xludf.DUMMYFUNCTION("""COMPUTED_VALUE"""),"Vũ Hải Minh")</f>
        <v>Vũ Hải Minh</v>
      </c>
      <c r="I13" s="7" t="str">
        <f>IFERROR(__xludf.DUMMYFUNCTION("""COMPUTED_VALUE"""),"Nam")</f>
        <v>Nam</v>
      </c>
      <c r="J13" s="17">
        <f>IFERROR(__xludf.DUMMYFUNCTION("""COMPUTED_VALUE"""),36401.0)</f>
        <v>36401</v>
      </c>
      <c r="K13" s="7" t="str">
        <f>IFERROR(__xludf.DUMMYFUNCTION("""COMPUTED_VALUE"""),"SN264 Lý Nhân Tông - Đông Thọ - Thành Phố Thanh Hóa")</f>
        <v>SN264 Lý Nhân Tông - Đông Thọ - Thành Phố Thanh Hóa</v>
      </c>
      <c r="L13" s="7" t="str">
        <f>IFERROR(__xludf.DUMMYFUNCTION("""COMPUTED_VALUE"""),"0911316183")</f>
        <v>0911316183</v>
      </c>
      <c r="M13" s="7" t="str">
        <f>IFERROR(__xludf.DUMMYFUNCTION("""COMPUTED_VALUE"""),"038099026456")</f>
        <v>038099026456</v>
      </c>
      <c r="N13" s="18">
        <f>IFERROR(__xludf.DUMMYFUNCTION("""COMPUTED_VALUE"""),45583.0)</f>
        <v>45583</v>
      </c>
      <c r="O13" s="7" t="str">
        <f>IFERROR(__xludf.DUMMYFUNCTION("""COMPUTED_VALUE"""),"Bộ Công An")</f>
        <v>Bộ Công An</v>
      </c>
      <c r="P13" s="7" t="str">
        <f>IFERROR(__xludf.DUMMYFUNCTION("""COMPUTED_VALUE"""),"Thạc sĩ")</f>
        <v>Thạc sĩ</v>
      </c>
      <c r="Q13" s="7" t="str">
        <f>IFERROR(__xludf.DUMMYFUNCTION("""COMPUTED_VALUE"""),"Tài chính ngân hàng")</f>
        <v>Tài chính ngân hàng</v>
      </c>
      <c r="R13" s="17">
        <f>IFERROR(__xludf.DUMMYFUNCTION("""COMPUTED_VALUE"""),44504.0)</f>
        <v>44504</v>
      </c>
      <c r="S13" s="19">
        <f>IFERROR(__xludf.DUMMYFUNCTION("""COMPUTED_VALUE"""),44504.0)</f>
        <v>44504</v>
      </c>
      <c r="T13" s="7" t="str">
        <f>IFERROR(__xludf.DUMMYFUNCTION("""COMPUTED_VALUE"""),"Chính thức")</f>
        <v>Chính thức</v>
      </c>
      <c r="U13" s="7"/>
      <c r="V13" s="7" t="str">
        <f>IFERROR(__xludf.DUMMYFUNCTION("""COMPUTED_VALUE"""),"Chính thức")</f>
        <v>Chính thức</v>
      </c>
      <c r="W13" s="7" t="str">
        <f>IFERROR(__xludf.DUMMYFUNCTION("""COMPUTED_VALUE"""),"4 năm 1 tháng")</f>
        <v>4 năm 1 tháng</v>
      </c>
      <c r="X13" s="7"/>
      <c r="Y13" s="7"/>
      <c r="Z13" s="7"/>
    </row>
    <row r="14">
      <c r="A14" s="7">
        <f>IFERROR(__xludf.DUMMYFUNCTION("""COMPUTED_VALUE"""),4.0)</f>
        <v>4</v>
      </c>
      <c r="B14" s="7" t="str">
        <f>IFERROR(__xludf.DUMMYFUNCTION("""COMPUTED_VALUE"""),"Văn phòng")</f>
        <v>Văn phòng</v>
      </c>
      <c r="C14" s="7" t="str">
        <f>IFERROR(__xludf.DUMMYFUNCTION("""COMPUTED_VALUE"""),"Phòng Tổ chức - Hành chính")</f>
        <v>Phòng Tổ chức - Hành chính</v>
      </c>
      <c r="D14" s="7" t="str">
        <f>IFERROR(__xludf.DUMMYFUNCTION("""COMPUTED_VALUE"""),"Bộ phận nghiệp vụ")</f>
        <v>Bộ phận nghiệp vụ</v>
      </c>
      <c r="E14" s="7" t="str">
        <f>IFERROR(__xludf.DUMMYFUNCTION("""COMPUTED_VALUE"""),"Phó phòng ")</f>
        <v>Phó phòng </v>
      </c>
      <c r="F14" s="7" t="str">
        <f>IFERROR(__xludf.DUMMYFUNCTION("""COMPUTED_VALUE"""),"NV0004")</f>
        <v>NV0004</v>
      </c>
      <c r="G14" s="7">
        <f>IFERROR(__xludf.DUMMYFUNCTION("""COMPUTED_VALUE"""),4.0)</f>
        <v>4</v>
      </c>
      <c r="H14" s="7" t="str">
        <f>IFERROR(__xludf.DUMMYFUNCTION("""COMPUTED_VALUE"""),"Lê Xuân Thành")</f>
        <v>Lê Xuân Thành</v>
      </c>
      <c r="I14" s="7" t="str">
        <f>IFERROR(__xludf.DUMMYFUNCTION("""COMPUTED_VALUE"""),"Nam")</f>
        <v>Nam</v>
      </c>
      <c r="J14" s="17">
        <f>IFERROR(__xludf.DUMMYFUNCTION("""COMPUTED_VALUE"""),33472.0)</f>
        <v>33472</v>
      </c>
      <c r="K14" s="7" t="str">
        <f>IFERROR(__xludf.DUMMYFUNCTION("""COMPUTED_VALUE"""),"Thôn 8 - Phường Quảng Phú - Tỉnh Thanh Hóa")</f>
        <v>Thôn 8 - Phường Quảng Phú - Tỉnh Thanh Hóa</v>
      </c>
      <c r="L14" s="7" t="str">
        <f>IFERROR(__xludf.DUMMYFUNCTION("""COMPUTED_VALUE"""),"0932345799")</f>
        <v>0932345799</v>
      </c>
      <c r="M14" s="7" t="str">
        <f>IFERROR(__xludf.DUMMYFUNCTION("""COMPUTED_VALUE"""),"038091005867")</f>
        <v>038091005867</v>
      </c>
      <c r="N14" s="18">
        <f>IFERROR(__xludf.DUMMYFUNCTION("""COMPUTED_VALUE"""),45117.0)</f>
        <v>45117</v>
      </c>
      <c r="O14" s="7" t="str">
        <f>IFERROR(__xludf.DUMMYFUNCTION("""COMPUTED_VALUE"""),"Cục Cảnh sát QLHC về TTXH")</f>
        <v>Cục Cảnh sát QLHC về TTXH</v>
      </c>
      <c r="P14" s="7" t="str">
        <f>IFERROR(__xludf.DUMMYFUNCTION("""COMPUTED_VALUE"""),"Đại học")</f>
        <v>Đại học</v>
      </c>
      <c r="Q14" s="7" t="str">
        <f>IFERROR(__xludf.DUMMYFUNCTION("""COMPUTED_VALUE"""),"Điện tử - viễn thông")</f>
        <v>Điện tử - viễn thông</v>
      </c>
      <c r="R14" s="17">
        <f>IFERROR(__xludf.DUMMYFUNCTION("""COMPUTED_VALUE"""),41943.0)</f>
        <v>41943</v>
      </c>
      <c r="S14" s="19">
        <f>IFERROR(__xludf.DUMMYFUNCTION("""COMPUTED_VALUE"""),41943.0)</f>
        <v>41943</v>
      </c>
      <c r="T14" s="7" t="str">
        <f>IFERROR(__xludf.DUMMYFUNCTION("""COMPUTED_VALUE"""),"Chính thức")</f>
        <v>Chính thức</v>
      </c>
      <c r="U14" s="7"/>
      <c r="V14" s="7" t="str">
        <f>IFERROR(__xludf.DUMMYFUNCTION("""COMPUTED_VALUE"""),"Chính thức")</f>
        <v>Chính thức</v>
      </c>
      <c r="W14" s="7" t="str">
        <f>IFERROR(__xludf.DUMMYFUNCTION("""COMPUTED_VALUE"""),"11 năm 2 tháng")</f>
        <v>11 năm 2 tháng</v>
      </c>
      <c r="X14" s="7"/>
      <c r="Y14" s="7"/>
      <c r="Z14" s="7"/>
    </row>
    <row r="15">
      <c r="A15" s="7">
        <f>IFERROR(__xludf.DUMMYFUNCTION("""COMPUTED_VALUE"""),5.0)</f>
        <v>5</v>
      </c>
      <c r="B15" s="7" t="str">
        <f>IFERROR(__xludf.DUMMYFUNCTION("""COMPUTED_VALUE"""),"Văn phòng")</f>
        <v>Văn phòng</v>
      </c>
      <c r="C15" s="7" t="str">
        <f>IFERROR(__xludf.DUMMYFUNCTION("""COMPUTED_VALUE"""),"Phòng Tổ chức - Hành chính")</f>
        <v>Phòng Tổ chức - Hành chính</v>
      </c>
      <c r="D15" s="7" t="str">
        <f>IFERROR(__xludf.DUMMYFUNCTION("""COMPUTED_VALUE"""),"Bộ phận nghiệp vụ")</f>
        <v>Bộ phận nghiệp vụ</v>
      </c>
      <c r="E15" s="7" t="str">
        <f>IFERROR(__xludf.DUMMYFUNCTION("""COMPUTED_VALUE"""),"Chuyên viên")</f>
        <v>Chuyên viên</v>
      </c>
      <c r="F15" s="7" t="str">
        <f>IFERROR(__xludf.DUMMYFUNCTION("""COMPUTED_VALUE"""),"NV0706")</f>
        <v>NV0706</v>
      </c>
      <c r="G15" s="7">
        <f>IFERROR(__xludf.DUMMYFUNCTION("""COMPUTED_VALUE"""),16.0)</f>
        <v>16</v>
      </c>
      <c r="H15" s="7" t="str">
        <f>IFERROR(__xludf.DUMMYFUNCTION("""COMPUTED_VALUE"""),"Phạm Văn Lực")</f>
        <v>Phạm Văn Lực</v>
      </c>
      <c r="I15" s="7" t="str">
        <f>IFERROR(__xludf.DUMMYFUNCTION("""COMPUTED_VALUE"""),"Nam")</f>
        <v>Nam</v>
      </c>
      <c r="J15" s="17">
        <f>IFERROR(__xludf.DUMMYFUNCTION("""COMPUTED_VALUE"""),32918.0)</f>
        <v>32918</v>
      </c>
      <c r="K15" s="7" t="str">
        <f>IFERROR(__xludf.DUMMYFUNCTION("""COMPUTED_VALUE"""),"Thôn 9 - Quảng Định - Quảng Xương - TH")</f>
        <v>Thôn 9 - Quảng Định - Quảng Xương - TH</v>
      </c>
      <c r="L15" s="7" t="str">
        <f>IFERROR(__xludf.DUMMYFUNCTION("""COMPUTED_VALUE"""),"0978732037")</f>
        <v>0978732037</v>
      </c>
      <c r="M15" s="7" t="str">
        <f>IFERROR(__xludf.DUMMYFUNCTION("""COMPUTED_VALUE"""),"038090057534")</f>
        <v>038090057534</v>
      </c>
      <c r="N15" s="18">
        <f>IFERROR(__xludf.DUMMYFUNCTION("""COMPUTED_VALUE"""),44375.0)</f>
        <v>44375</v>
      </c>
      <c r="O15" s="7" t="str">
        <f>IFERROR(__xludf.DUMMYFUNCTION("""COMPUTED_VALUE"""),"Cục Cảnh sát QLHC về TTXH")</f>
        <v>Cục Cảnh sát QLHC về TTXH</v>
      </c>
      <c r="P15" s="7" t="str">
        <f>IFERROR(__xludf.DUMMYFUNCTION("""COMPUTED_VALUE"""),"LĐPT")</f>
        <v>LĐPT</v>
      </c>
      <c r="Q15" s="7" t="str">
        <f>IFERROR(__xludf.DUMMYFUNCTION("""COMPUTED_VALUE"""),"Lao động phổ thông")</f>
        <v>Lao động phổ thông</v>
      </c>
      <c r="R15" s="17">
        <f>IFERROR(__xludf.DUMMYFUNCTION("""COMPUTED_VALUE"""),41240.0)</f>
        <v>41240</v>
      </c>
      <c r="S15" s="19">
        <f>IFERROR(__xludf.DUMMYFUNCTION("""COMPUTED_VALUE"""),41240.0)</f>
        <v>41240</v>
      </c>
      <c r="T15" s="7" t="str">
        <f>IFERROR(__xludf.DUMMYFUNCTION("""COMPUTED_VALUE"""),"Chính thức")</f>
        <v>Chính thức</v>
      </c>
      <c r="U15" s="7"/>
      <c r="V15" s="7" t="str">
        <f>IFERROR(__xludf.DUMMYFUNCTION("""COMPUTED_VALUE"""),"Chính thức")</f>
        <v>Chính thức</v>
      </c>
      <c r="W15" s="7" t="str">
        <f>IFERROR(__xludf.DUMMYFUNCTION("""COMPUTED_VALUE"""),"13 năm 1 tháng")</f>
        <v>13 năm 1 tháng</v>
      </c>
      <c r="X15" s="7"/>
      <c r="Y15" s="7"/>
      <c r="Z15" s="7"/>
    </row>
    <row r="16">
      <c r="A16" s="7">
        <f>IFERROR(__xludf.DUMMYFUNCTION("""COMPUTED_VALUE"""),6.0)</f>
        <v>6</v>
      </c>
      <c r="B16" s="7" t="str">
        <f>IFERROR(__xludf.DUMMYFUNCTION("""COMPUTED_VALUE"""),"Văn phòng")</f>
        <v>Văn phòng</v>
      </c>
      <c r="C16" s="7" t="str">
        <f>IFERROR(__xludf.DUMMYFUNCTION("""COMPUTED_VALUE"""),"Phòng Tổ chức - Hành chính")</f>
        <v>Phòng Tổ chức - Hành chính</v>
      </c>
      <c r="D16" s="7" t="str">
        <f>IFERROR(__xludf.DUMMYFUNCTION("""COMPUTED_VALUE"""),"Bộ phận nghiệp vụ")</f>
        <v>Bộ phận nghiệp vụ</v>
      </c>
      <c r="E16" s="7" t="str">
        <f>IFERROR(__xludf.DUMMYFUNCTION("""COMPUTED_VALUE"""),"Phó phòng ")</f>
        <v>Phó phòng </v>
      </c>
      <c r="F16" s="7" t="str">
        <f>IFERROR(__xludf.DUMMYFUNCTION("""COMPUTED_VALUE"""),"NV3250")</f>
        <v>NV3250</v>
      </c>
      <c r="G16" s="7">
        <f>IFERROR(__xludf.DUMMYFUNCTION("""COMPUTED_VALUE"""),834.0)</f>
        <v>834</v>
      </c>
      <c r="H16" s="7" t="str">
        <f>IFERROR(__xludf.DUMMYFUNCTION("""COMPUTED_VALUE"""),"Đỗ Ngọc Toàn")</f>
        <v>Đỗ Ngọc Toàn</v>
      </c>
      <c r="I16" s="7" t="str">
        <f>IFERROR(__xludf.DUMMYFUNCTION("""COMPUTED_VALUE"""),"Nam")</f>
        <v>Nam</v>
      </c>
      <c r="J16" s="17">
        <f>IFERROR(__xludf.DUMMYFUNCTION("""COMPUTED_VALUE"""),23367.0)</f>
        <v>23367</v>
      </c>
      <c r="K16" s="7" t="str">
        <f>IFERROR(__xludf.DUMMYFUNCTION("""COMPUTED_VALUE"""),"54B Đường Trấn Xuân Soạn - Phường Hạc Thành - Tỉnh Thanh Hóa")</f>
        <v>54B Đường Trấn Xuân Soạn - Phường Hạc Thành - Tỉnh Thanh Hóa</v>
      </c>
      <c r="L16" s="7" t="str">
        <f>IFERROR(__xludf.DUMMYFUNCTION("""COMPUTED_VALUE"""),"0963712678")</f>
        <v>0963712678</v>
      </c>
      <c r="M16" s="7" t="str">
        <f>IFERROR(__xludf.DUMMYFUNCTION("""COMPUTED_VALUE"""),"038064006605")</f>
        <v>038064006605</v>
      </c>
      <c r="N16" s="18">
        <f>IFERROR(__xludf.DUMMYFUNCTION("""COMPUTED_VALUE"""),43370.0)</f>
        <v>43370</v>
      </c>
      <c r="O16" s="7" t="str">
        <f>IFERROR(__xludf.DUMMYFUNCTION("""COMPUTED_VALUE"""),"Cục Cảnh sát QLHC về TTXH")</f>
        <v>Cục Cảnh sát QLHC về TTXH</v>
      </c>
      <c r="P16" s="7" t="str">
        <f>IFERROR(__xludf.DUMMYFUNCTION("""COMPUTED_VALUE"""),"Đại học")</f>
        <v>Đại học</v>
      </c>
      <c r="Q16" s="7" t="str">
        <f>IFERROR(__xludf.DUMMYFUNCTION("""COMPUTED_VALUE"""),"Kỹ sư nông học")</f>
        <v>Kỹ sư nông học</v>
      </c>
      <c r="R16" s="17">
        <f>IFERROR(__xludf.DUMMYFUNCTION("""COMPUTED_VALUE"""),44092.0)</f>
        <v>44092</v>
      </c>
      <c r="S16" s="7"/>
      <c r="T16" s="7" t="str">
        <f>IFERROR(__xludf.DUMMYFUNCTION("""COMPUTED_VALUE"""),"Chính thức")</f>
        <v>Chính thức</v>
      </c>
      <c r="U16" s="7"/>
      <c r="V16" s="7" t="str">
        <f>IFERROR(__xludf.DUMMYFUNCTION("""COMPUTED_VALUE"""),"Chính thức")</f>
        <v>Chính thức</v>
      </c>
      <c r="W16" s="7" t="str">
        <f>IFERROR(__xludf.DUMMYFUNCTION("""COMPUTED_VALUE"""),"5 năm 3 tháng")</f>
        <v>5 năm 3 tháng</v>
      </c>
      <c r="X16" s="7"/>
      <c r="Y16" s="7"/>
      <c r="Z16" s="7"/>
    </row>
    <row r="17">
      <c r="A17" s="7">
        <f>IFERROR(__xludf.DUMMYFUNCTION("""COMPUTED_VALUE"""),7.0)</f>
        <v>7</v>
      </c>
      <c r="B17" s="7" t="str">
        <f>IFERROR(__xludf.DUMMYFUNCTION("""COMPUTED_VALUE"""),"Văn phòng")</f>
        <v>Văn phòng</v>
      </c>
      <c r="C17" s="7" t="str">
        <f>IFERROR(__xludf.DUMMYFUNCTION("""COMPUTED_VALUE"""),"Phòng Tổ chức - Hành chính")</f>
        <v>Phòng Tổ chức - Hành chính</v>
      </c>
      <c r="D17" s="7" t="str">
        <f>IFERROR(__xludf.DUMMYFUNCTION("""COMPUTED_VALUE"""),"Bộ phận nghiệp vụ")</f>
        <v>Bộ phận nghiệp vụ</v>
      </c>
      <c r="E17" s="7" t="str">
        <f>IFERROR(__xludf.DUMMYFUNCTION("""COMPUTED_VALUE"""),"Nhân viên")</f>
        <v>Nhân viên</v>
      </c>
      <c r="F17" s="7" t="str">
        <f>IFERROR(__xludf.DUMMYFUNCTION("""COMPUTED_VALUE"""),"NV5361")</f>
        <v>NV5361</v>
      </c>
      <c r="G17" s="7">
        <f>IFERROR(__xludf.DUMMYFUNCTION("""COMPUTED_VALUE"""),809.0)</f>
        <v>809</v>
      </c>
      <c r="H17" s="7" t="str">
        <f>IFERROR(__xludf.DUMMYFUNCTION("""COMPUTED_VALUE"""),"Lê Thị Diễm")</f>
        <v>Lê Thị Diễm</v>
      </c>
      <c r="I17" s="7" t="str">
        <f>IFERROR(__xludf.DUMMYFUNCTION("""COMPUTED_VALUE"""),"Nữ")</f>
        <v>Nữ</v>
      </c>
      <c r="J17" s="17">
        <f>IFERROR(__xludf.DUMMYFUNCTION("""COMPUTED_VALUE"""),36780.0)</f>
        <v>36780</v>
      </c>
      <c r="K17" s="7" t="str">
        <f>IFERROR(__xludf.DUMMYFUNCTION("""COMPUTED_VALUE"""),"Thôn 8 - Phường Quảng Phú - Tỉnh Thanh Hóa")</f>
        <v>Thôn 8 - Phường Quảng Phú - Tỉnh Thanh Hóa</v>
      </c>
      <c r="L17" s="7" t="str">
        <f>IFERROR(__xludf.DUMMYFUNCTION("""COMPUTED_VALUE"""),"0378751149")</f>
        <v>0378751149</v>
      </c>
      <c r="M17" s="7" t="str">
        <f>IFERROR(__xludf.DUMMYFUNCTION("""COMPUTED_VALUE"""),"038300010002")</f>
        <v>038300010002</v>
      </c>
      <c r="N17" s="18">
        <f>IFERROR(__xludf.DUMMYFUNCTION("""COMPUTED_VALUE"""),45614.0)</f>
        <v>45614</v>
      </c>
      <c r="O17" s="7" t="str">
        <f>IFERROR(__xludf.DUMMYFUNCTION("""COMPUTED_VALUE"""),"Bộ Công An")</f>
        <v>Bộ Công An</v>
      </c>
      <c r="P17" s="7" t="str">
        <f>IFERROR(__xludf.DUMMYFUNCTION("""COMPUTED_VALUE"""),"Cử nhân")</f>
        <v>Cử nhân</v>
      </c>
      <c r="Q17" s="7" t="str">
        <f>IFERROR(__xludf.DUMMYFUNCTION("""COMPUTED_VALUE"""),"Quan hệ lao động")</f>
        <v>Quan hệ lao động</v>
      </c>
      <c r="R17" s="17">
        <f>IFERROR(__xludf.DUMMYFUNCTION("""COMPUTED_VALUE"""),45749.0)</f>
        <v>45749</v>
      </c>
      <c r="S17" s="19">
        <f>IFERROR(__xludf.DUMMYFUNCTION("""COMPUTED_VALUE"""),45749.0)</f>
        <v>45749</v>
      </c>
      <c r="T17" s="7" t="str">
        <f>IFERROR(__xludf.DUMMYFUNCTION("""COMPUTED_VALUE"""),"Chính thức")</f>
        <v>Chính thức</v>
      </c>
      <c r="U17" s="7"/>
      <c r="V17" s="7" t="str">
        <f>IFERROR(__xludf.DUMMYFUNCTION("""COMPUTED_VALUE"""),"Chính thức")</f>
        <v>Chính thức</v>
      </c>
      <c r="W17" s="7" t="str">
        <f>IFERROR(__xludf.DUMMYFUNCTION("""COMPUTED_VALUE"""),"0 năm 8 tháng")</f>
        <v>0 năm 8 tháng</v>
      </c>
      <c r="X17" s="7"/>
      <c r="Y17" s="7"/>
      <c r="Z17" s="7"/>
    </row>
    <row r="18">
      <c r="A18" s="7">
        <f>IFERROR(__xludf.DUMMYFUNCTION("""COMPUTED_VALUE"""),8.0)</f>
        <v>8</v>
      </c>
      <c r="B18" s="7" t="str">
        <f>IFERROR(__xludf.DUMMYFUNCTION("""COMPUTED_VALUE"""),"Văn phòng")</f>
        <v>Văn phòng</v>
      </c>
      <c r="C18" s="7" t="str">
        <f>IFERROR(__xludf.DUMMYFUNCTION("""COMPUTED_VALUE"""),"Phòng Tổ chức - Hành chính")</f>
        <v>Phòng Tổ chức - Hành chính</v>
      </c>
      <c r="D18" s="7" t="str">
        <f>IFERROR(__xludf.DUMMYFUNCTION("""COMPUTED_VALUE"""),"Bộ phận nghiệp vụ")</f>
        <v>Bộ phận nghiệp vụ</v>
      </c>
      <c r="E18" s="7" t="str">
        <f>IFERROR(__xludf.DUMMYFUNCTION("""COMPUTED_VALUE"""),"Nhân viên")</f>
        <v>Nhân viên</v>
      </c>
      <c r="F18" s="7" t="str">
        <f>IFERROR(__xludf.DUMMYFUNCTION("""COMPUTED_VALUE"""),"NV3613")</f>
        <v>NV3613</v>
      </c>
      <c r="G18" s="7">
        <f>IFERROR(__xludf.DUMMYFUNCTION("""COMPUTED_VALUE"""),1152.0)</f>
        <v>1152</v>
      </c>
      <c r="H18" s="7" t="str">
        <f>IFERROR(__xludf.DUMMYFUNCTION("""COMPUTED_VALUE"""),"Thiều Đình Ngọc")</f>
        <v>Thiều Đình Ngọc</v>
      </c>
      <c r="I18" s="7" t="str">
        <f>IFERROR(__xludf.DUMMYFUNCTION("""COMPUTED_VALUE"""),"Nam")</f>
        <v>Nam</v>
      </c>
      <c r="J18" s="17">
        <f>IFERROR(__xludf.DUMMYFUNCTION("""COMPUTED_VALUE"""),31947.0)</f>
        <v>31947</v>
      </c>
      <c r="K18" s="7" t="str">
        <f>IFERROR(__xludf.DUMMYFUNCTION("""COMPUTED_VALUE"""),"Thôn Hải Phúc - Xã Hoằng Châu - Tỉnh Thanh Hóa")</f>
        <v>Thôn Hải Phúc - Xã Hoằng Châu - Tỉnh Thanh Hóa</v>
      </c>
      <c r="L18" s="7" t="str">
        <f>IFERROR(__xludf.DUMMYFUNCTION("""COMPUTED_VALUE"""),"0962691115")</f>
        <v>0962691115</v>
      </c>
      <c r="M18" s="7" t="str">
        <f>IFERROR(__xludf.DUMMYFUNCTION("""COMPUTED_VALUE"""),"038087015042")</f>
        <v>038087015042</v>
      </c>
      <c r="N18" s="18">
        <f>IFERROR(__xludf.DUMMYFUNCTION("""COMPUTED_VALUE"""),44420.0)</f>
        <v>44420</v>
      </c>
      <c r="O18" s="7" t="str">
        <f>IFERROR(__xludf.DUMMYFUNCTION("""COMPUTED_VALUE"""),"Cục Cảnh sát QLHC về TTXH")</f>
        <v>Cục Cảnh sát QLHC về TTXH</v>
      </c>
      <c r="P18" s="7" t="str">
        <f>IFERROR(__xludf.DUMMYFUNCTION("""COMPUTED_VALUE"""),"Kỹ sư")</f>
        <v>Kỹ sư</v>
      </c>
      <c r="Q18" s="7" t="str">
        <f>IFERROR(__xludf.DUMMYFUNCTION("""COMPUTED_VALUE"""),"Hoa viên cây cảnh")</f>
        <v>Hoa viên cây cảnh</v>
      </c>
      <c r="R18" s="17">
        <f>IFERROR(__xludf.DUMMYFUNCTION("""COMPUTED_VALUE"""),45880.0)</f>
        <v>45880</v>
      </c>
      <c r="S18" s="19">
        <f>IFERROR(__xludf.DUMMYFUNCTION("""COMPUTED_VALUE"""),45880.0)</f>
        <v>45880</v>
      </c>
      <c r="T18" s="7" t="str">
        <f>IFERROR(__xludf.DUMMYFUNCTION("""COMPUTED_VALUE"""),"Chính thức")</f>
        <v>Chính thức</v>
      </c>
      <c r="U18" s="7"/>
      <c r="V18" s="7" t="str">
        <f>IFERROR(__xludf.DUMMYFUNCTION("""COMPUTED_VALUE"""),"Chính thức")</f>
        <v>Chính thức</v>
      </c>
      <c r="W18" s="7" t="str">
        <f>IFERROR(__xludf.DUMMYFUNCTION("""COMPUTED_VALUE"""),"0 năm 4 tháng")</f>
        <v>0 năm 4 tháng</v>
      </c>
      <c r="X18" s="7"/>
      <c r="Y18" s="7"/>
      <c r="Z18" s="7"/>
    </row>
    <row r="19">
      <c r="A19" s="7">
        <f>IFERROR(__xludf.DUMMYFUNCTION("""COMPUTED_VALUE"""),1.0)</f>
        <v>1</v>
      </c>
      <c r="B19" s="7" t="str">
        <f>IFERROR(__xludf.DUMMYFUNCTION("""COMPUTED_VALUE"""),"Văn phòng")</f>
        <v>Văn phòng</v>
      </c>
      <c r="C19" s="7" t="str">
        <f>IFERROR(__xludf.DUMMYFUNCTION("""COMPUTED_VALUE"""),"Phòng Tổ chức - Hành chính")</f>
        <v>Phòng Tổ chức - Hành chính</v>
      </c>
      <c r="D19" s="7" t="str">
        <f>IFERROR(__xludf.DUMMYFUNCTION("""COMPUTED_VALUE"""),"Tổ xe con")</f>
        <v>Tổ xe con</v>
      </c>
      <c r="E19" s="7" t="str">
        <f>IFERROR(__xludf.DUMMYFUNCTION("""COMPUTED_VALUE"""),"Lái xe văn phòng")</f>
        <v>Lái xe văn phòng</v>
      </c>
      <c r="F19" s="7" t="str">
        <f>IFERROR(__xludf.DUMMYFUNCTION("""COMPUTED_VALUE"""),"NV0015")</f>
        <v>NV0015</v>
      </c>
      <c r="G19" s="7">
        <f>IFERROR(__xludf.DUMMYFUNCTION("""COMPUTED_VALUE"""),814.0)</f>
        <v>814</v>
      </c>
      <c r="H19" s="7" t="str">
        <f>IFERROR(__xludf.DUMMYFUNCTION("""COMPUTED_VALUE"""),"Nguyễn Mạnh Hà")</f>
        <v>Nguyễn Mạnh Hà</v>
      </c>
      <c r="I19" s="7" t="str">
        <f>IFERROR(__xludf.DUMMYFUNCTION("""COMPUTED_VALUE"""),"Nam")</f>
        <v>Nam</v>
      </c>
      <c r="J19" s="17">
        <f>IFERROR(__xludf.DUMMYFUNCTION("""COMPUTED_VALUE"""),26318.0)</f>
        <v>26318</v>
      </c>
      <c r="K19" s="7" t="str">
        <f>IFERROR(__xludf.DUMMYFUNCTION("""COMPUTED_VALUE"""),"SN331 - Đường Lê Lợi - Phường Sầm Sơn- Tỉnh Thanh Hóa")</f>
        <v>SN331 - Đường Lê Lợi - Phường Sầm Sơn- Tỉnh Thanh Hóa</v>
      </c>
      <c r="L19" s="20" t="str">
        <f>IFERROR(__xludf.DUMMYFUNCTION("""COMPUTED_VALUE"""),"0854183333")</f>
        <v>0854183333</v>
      </c>
      <c r="M19" s="7" t="str">
        <f>IFERROR(__xludf.DUMMYFUNCTION("""COMPUTED_VALUE"""),"037072009840")</f>
        <v>037072009840</v>
      </c>
      <c r="N19" s="18">
        <f>IFERROR(__xludf.DUMMYFUNCTION("""COMPUTED_VALUE"""),44513.0)</f>
        <v>44513</v>
      </c>
      <c r="O19" s="7" t="str">
        <f>IFERROR(__xludf.DUMMYFUNCTION("""COMPUTED_VALUE"""),"Cục Cảnh sát QLHC về TTXH")</f>
        <v>Cục Cảnh sát QLHC về TTXH</v>
      </c>
      <c r="P19" s="7" t="str">
        <f>IFERROR(__xludf.DUMMYFUNCTION("""COMPUTED_VALUE"""),"Bằng nghề")</f>
        <v>Bằng nghề</v>
      </c>
      <c r="Q19" s="7" t="str">
        <f>IFERROR(__xludf.DUMMYFUNCTION("""COMPUTED_VALUE"""),"Lái xe")</f>
        <v>Lái xe</v>
      </c>
      <c r="R19" s="17">
        <f>IFERROR(__xludf.DUMMYFUNCTION("""COMPUTED_VALUE"""),41299.0)</f>
        <v>41299</v>
      </c>
      <c r="S19" s="19">
        <f>IFERROR(__xludf.DUMMYFUNCTION("""COMPUTED_VALUE"""),41299.0)</f>
        <v>41299</v>
      </c>
      <c r="T19" s="7" t="str">
        <f>IFERROR(__xludf.DUMMYFUNCTION("""COMPUTED_VALUE"""),"Chính thức")</f>
        <v>Chính thức</v>
      </c>
      <c r="U19" s="7"/>
      <c r="V19" s="7" t="str">
        <f>IFERROR(__xludf.DUMMYFUNCTION("""COMPUTED_VALUE"""),"Chính thức")</f>
        <v>Chính thức</v>
      </c>
      <c r="W19" s="7" t="str">
        <f>IFERROR(__xludf.DUMMYFUNCTION("""COMPUTED_VALUE"""),"12 năm 11 tháng")</f>
        <v>12 năm 11 tháng</v>
      </c>
      <c r="X19" s="7"/>
      <c r="Y19" s="7"/>
      <c r="Z19" s="7"/>
    </row>
    <row r="20">
      <c r="A20" s="7">
        <f>IFERROR(__xludf.DUMMYFUNCTION("""COMPUTED_VALUE"""),2.0)</f>
        <v>2</v>
      </c>
      <c r="B20" s="7" t="str">
        <f>IFERROR(__xludf.DUMMYFUNCTION("""COMPUTED_VALUE"""),"Văn phòng")</f>
        <v>Văn phòng</v>
      </c>
      <c r="C20" s="7" t="str">
        <f>IFERROR(__xludf.DUMMYFUNCTION("""COMPUTED_VALUE"""),"Phòng Tổ chức - Hành chính")</f>
        <v>Phòng Tổ chức - Hành chính</v>
      </c>
      <c r="D20" s="7" t="str">
        <f>IFERROR(__xludf.DUMMYFUNCTION("""COMPUTED_VALUE"""),"Tổ xe con")</f>
        <v>Tổ xe con</v>
      </c>
      <c r="E20" s="7" t="str">
        <f>IFERROR(__xludf.DUMMYFUNCTION("""COMPUTED_VALUE"""),"Lái xe văn phòng")</f>
        <v>Lái xe văn phòng</v>
      </c>
      <c r="F20" s="7" t="str">
        <f>IFERROR(__xludf.DUMMYFUNCTION("""COMPUTED_VALUE"""),"NV0934")</f>
        <v>NV0934</v>
      </c>
      <c r="G20" s="7"/>
      <c r="H20" s="7" t="str">
        <f>IFERROR(__xludf.DUMMYFUNCTION("""COMPUTED_VALUE"""),"Đỗ Văn Khẩn")</f>
        <v>Đỗ Văn Khẩn</v>
      </c>
      <c r="I20" s="7" t="str">
        <f>IFERROR(__xludf.DUMMYFUNCTION("""COMPUTED_VALUE"""),"Nam")</f>
        <v>Nam</v>
      </c>
      <c r="J20" s="17">
        <f>IFERROR(__xludf.DUMMYFUNCTION("""COMPUTED_VALUE"""),28806.0)</f>
        <v>28806</v>
      </c>
      <c r="K20" s="7" t="str">
        <f>IFERROR(__xludf.DUMMYFUNCTION("""COMPUTED_VALUE"""),"Phố 2 - Phường Quảng Phú - Tỉnh Thanh Hóa")</f>
        <v>Phố 2 - Phường Quảng Phú - Tỉnh Thanh Hóa</v>
      </c>
      <c r="L20" s="20" t="str">
        <f>IFERROR(__xludf.DUMMYFUNCTION("""COMPUTED_VALUE"""),"0941262789")</f>
        <v>0941262789</v>
      </c>
      <c r="M20" s="7" t="str">
        <f>IFERROR(__xludf.DUMMYFUNCTION("""COMPUTED_VALUE"""),"038078009872")</f>
        <v>038078009872</v>
      </c>
      <c r="N20" s="18">
        <f>IFERROR(__xludf.DUMMYFUNCTION("""COMPUTED_VALUE"""),44320.0)</f>
        <v>44320</v>
      </c>
      <c r="O20" s="7" t="str">
        <f>IFERROR(__xludf.DUMMYFUNCTION("""COMPUTED_VALUE"""),"Cục Cảnh sát QLHC về TTXH")</f>
        <v>Cục Cảnh sát QLHC về TTXH</v>
      </c>
      <c r="P20" s="7" t="str">
        <f>IFERROR(__xludf.DUMMYFUNCTION("""COMPUTED_VALUE"""),"Bằng nghề")</f>
        <v>Bằng nghề</v>
      </c>
      <c r="Q20" s="7" t="str">
        <f>IFERROR(__xludf.DUMMYFUNCTION("""COMPUTED_VALUE"""),"Lái xe")</f>
        <v>Lái xe</v>
      </c>
      <c r="R20" s="17">
        <f>IFERROR(__xludf.DUMMYFUNCTION("""COMPUTED_VALUE"""),38050.0)</f>
        <v>38050</v>
      </c>
      <c r="S20" s="19">
        <f>IFERROR(__xludf.DUMMYFUNCTION("""COMPUTED_VALUE"""),38050.0)</f>
        <v>38050</v>
      </c>
      <c r="T20" s="7" t="str">
        <f>IFERROR(__xludf.DUMMYFUNCTION("""COMPUTED_VALUE"""),"Chính thức")</f>
        <v>Chính thức</v>
      </c>
      <c r="U20" s="7"/>
      <c r="V20" s="7" t="str">
        <f>IFERROR(__xludf.DUMMYFUNCTION("""COMPUTED_VALUE"""),"Chính thức")</f>
        <v>Chính thức</v>
      </c>
      <c r="W20" s="7" t="str">
        <f>IFERROR(__xludf.DUMMYFUNCTION("""COMPUTED_VALUE"""),"21 năm 9 tháng")</f>
        <v>21 năm 9 tháng</v>
      </c>
      <c r="X20" s="7"/>
      <c r="Y20" s="7"/>
      <c r="Z20" s="7"/>
    </row>
    <row r="21">
      <c r="A21" s="7">
        <f>IFERROR(__xludf.DUMMYFUNCTION("""COMPUTED_VALUE"""),3.0)</f>
        <v>3</v>
      </c>
      <c r="B21" s="7" t="str">
        <f>IFERROR(__xludf.DUMMYFUNCTION("""COMPUTED_VALUE"""),"Văn phòng")</f>
        <v>Văn phòng</v>
      </c>
      <c r="C21" s="7" t="str">
        <f>IFERROR(__xludf.DUMMYFUNCTION("""COMPUTED_VALUE"""),"Phòng Tổ chức - Hành chính")</f>
        <v>Phòng Tổ chức - Hành chính</v>
      </c>
      <c r="D21" s="7" t="str">
        <f>IFERROR(__xludf.DUMMYFUNCTION("""COMPUTED_VALUE"""),"Tổ xe con")</f>
        <v>Tổ xe con</v>
      </c>
      <c r="E21" s="7" t="str">
        <f>IFERROR(__xludf.DUMMYFUNCTION("""COMPUTED_VALUE"""),"Lái xe văn phòng")</f>
        <v>Lái xe văn phòng</v>
      </c>
      <c r="F21" s="7" t="str">
        <f>IFERROR(__xludf.DUMMYFUNCTION("""COMPUTED_VALUE"""),"NV1385")</f>
        <v>NV1385</v>
      </c>
      <c r="G21" s="7">
        <f>IFERROR(__xludf.DUMMYFUNCTION("""COMPUTED_VALUE"""),816.0)</f>
        <v>816</v>
      </c>
      <c r="H21" s="7" t="str">
        <f>IFERROR(__xludf.DUMMYFUNCTION("""COMPUTED_VALUE"""),"Nguyễn Đức Dũng")</f>
        <v>Nguyễn Đức Dũng</v>
      </c>
      <c r="I21" s="7" t="str">
        <f>IFERROR(__xludf.DUMMYFUNCTION("""COMPUTED_VALUE"""),"Nam")</f>
        <v>Nam</v>
      </c>
      <c r="J21" s="17">
        <f>IFERROR(__xludf.DUMMYFUNCTION("""COMPUTED_VALUE"""),31920.0)</f>
        <v>31920</v>
      </c>
      <c r="K21" s="7" t="str">
        <f>IFERROR(__xludf.DUMMYFUNCTION("""COMPUTED_VALUE"""),"SN06/8 Nguyễn Công Trứ - Phường Hạc Thành - Tỉnh Thanh Hóa")</f>
        <v>SN06/8 Nguyễn Công Trứ - Phường Hạc Thành - Tỉnh Thanh Hóa</v>
      </c>
      <c r="L21" s="20" t="str">
        <f>IFERROR(__xludf.DUMMYFUNCTION("""COMPUTED_VALUE"""),"0945075888")</f>
        <v>0945075888</v>
      </c>
      <c r="M21" s="7" t="str">
        <f>IFERROR(__xludf.DUMMYFUNCTION("""COMPUTED_VALUE"""),"038087008348")</f>
        <v>038087008348</v>
      </c>
      <c r="N21" s="18">
        <f>IFERROR(__xludf.DUMMYFUNCTION("""COMPUTED_VALUE"""),43045.0)</f>
        <v>43045</v>
      </c>
      <c r="O21" s="7" t="str">
        <f>IFERROR(__xludf.DUMMYFUNCTION("""COMPUTED_VALUE"""),"Cục Cảnh sát QLHC về TTXH")</f>
        <v>Cục Cảnh sát QLHC về TTXH</v>
      </c>
      <c r="P21" s="7" t="str">
        <f>IFERROR(__xludf.DUMMYFUNCTION("""COMPUTED_VALUE"""),"Bằng nghề")</f>
        <v>Bằng nghề</v>
      </c>
      <c r="Q21" s="7" t="str">
        <f>IFERROR(__xludf.DUMMYFUNCTION("""COMPUTED_VALUE"""),"Hạng B2")</f>
        <v>Hạng B2</v>
      </c>
      <c r="R21" s="17">
        <f>IFERROR(__xludf.DUMMYFUNCTION("""COMPUTED_VALUE"""),43201.0)</f>
        <v>43201</v>
      </c>
      <c r="S21" s="19">
        <f>IFERROR(__xludf.DUMMYFUNCTION("""COMPUTED_VALUE"""),43586.0)</f>
        <v>43586</v>
      </c>
      <c r="T21" s="7" t="str">
        <f>IFERROR(__xludf.DUMMYFUNCTION("""COMPUTED_VALUE"""),"Chính thức")</f>
        <v>Chính thức</v>
      </c>
      <c r="U21" s="7"/>
      <c r="V21" s="7" t="str">
        <f>IFERROR(__xludf.DUMMYFUNCTION("""COMPUTED_VALUE"""),"Chính thức")</f>
        <v>Chính thức</v>
      </c>
      <c r="W21" s="7" t="str">
        <f>IFERROR(__xludf.DUMMYFUNCTION("""COMPUTED_VALUE"""),"7 năm 8 tháng")</f>
        <v>7 năm 8 tháng</v>
      </c>
      <c r="X21" s="7"/>
      <c r="Y21" s="7"/>
      <c r="Z21" s="7"/>
    </row>
    <row r="22">
      <c r="A22" s="7">
        <f>IFERROR(__xludf.DUMMYFUNCTION("""COMPUTED_VALUE"""),4.0)</f>
        <v>4</v>
      </c>
      <c r="B22" s="7" t="str">
        <f>IFERROR(__xludf.DUMMYFUNCTION("""COMPUTED_VALUE"""),"Văn phòng")</f>
        <v>Văn phòng</v>
      </c>
      <c r="C22" s="7" t="str">
        <f>IFERROR(__xludf.DUMMYFUNCTION("""COMPUTED_VALUE"""),"Phòng Tổ chức - Hành chính")</f>
        <v>Phòng Tổ chức - Hành chính</v>
      </c>
      <c r="D22" s="7" t="str">
        <f>IFERROR(__xludf.DUMMYFUNCTION("""COMPUTED_VALUE"""),"Tổ xe con")</f>
        <v>Tổ xe con</v>
      </c>
      <c r="E22" s="7" t="str">
        <f>IFERROR(__xludf.DUMMYFUNCTION("""COMPUTED_VALUE"""),"Lái xe văn phòng")</f>
        <v>Lái xe văn phòng</v>
      </c>
      <c r="F22" s="7" t="str">
        <f>IFERROR(__xludf.DUMMYFUNCTION("""COMPUTED_VALUE"""),"NV1384")</f>
        <v>NV1384</v>
      </c>
      <c r="G22" s="7">
        <f>IFERROR(__xludf.DUMMYFUNCTION("""COMPUTED_VALUE"""),820.0)</f>
        <v>820</v>
      </c>
      <c r="H22" s="7" t="str">
        <f>IFERROR(__xludf.DUMMYFUNCTION("""COMPUTED_VALUE"""),"Nguyễn Tài Thành")</f>
        <v>Nguyễn Tài Thành</v>
      </c>
      <c r="I22" s="7" t="str">
        <f>IFERROR(__xludf.DUMMYFUNCTION("""COMPUTED_VALUE"""),"Nam")</f>
        <v>Nam</v>
      </c>
      <c r="J22" s="17">
        <f>IFERROR(__xludf.DUMMYFUNCTION("""COMPUTED_VALUE"""),29861.0)</f>
        <v>29861</v>
      </c>
      <c r="K22" s="7" t="str">
        <f>IFERROR(__xludf.DUMMYFUNCTION("""COMPUTED_VALUE"""),"SN 56 Đường Bạch Đằng - Phường Quảng Phú - Tỉnh Thanh Hóa")</f>
        <v>SN 56 Đường Bạch Đằng - Phường Quảng Phú - Tỉnh Thanh Hóa</v>
      </c>
      <c r="L22" s="20" t="str">
        <f>IFERROR(__xludf.DUMMYFUNCTION("""COMPUTED_VALUE"""),"0917491899")</f>
        <v>0917491899</v>
      </c>
      <c r="M22" s="7" t="str">
        <f>IFERROR(__xludf.DUMMYFUNCTION("""COMPUTED_VALUE"""),"038081005805")</f>
        <v>038081005805</v>
      </c>
      <c r="N22" s="18">
        <f>IFERROR(__xludf.DUMMYFUNCTION("""COMPUTED_VALUE"""),42947.0)</f>
        <v>42947</v>
      </c>
      <c r="O22" s="7" t="str">
        <f>IFERROR(__xludf.DUMMYFUNCTION("""COMPUTED_VALUE"""),"Cục Cảnh sát QLHC về TTXH")</f>
        <v>Cục Cảnh sát QLHC về TTXH</v>
      </c>
      <c r="P22" s="7" t="str">
        <f>IFERROR(__xludf.DUMMYFUNCTION("""COMPUTED_VALUE"""),"Bằng nghề")</f>
        <v>Bằng nghề</v>
      </c>
      <c r="Q22" s="7" t="str">
        <f>IFERROR(__xludf.DUMMYFUNCTION("""COMPUTED_VALUE"""),"Hạng E")</f>
        <v>Hạng E</v>
      </c>
      <c r="R22" s="17">
        <f>IFERROR(__xludf.DUMMYFUNCTION("""COMPUTED_VALUE"""),43206.0)</f>
        <v>43206</v>
      </c>
      <c r="S22" s="19">
        <f>IFERROR(__xludf.DUMMYFUNCTION("""COMPUTED_VALUE"""),43586.0)</f>
        <v>43586</v>
      </c>
      <c r="T22" s="7" t="str">
        <f>IFERROR(__xludf.DUMMYFUNCTION("""COMPUTED_VALUE"""),"Chính thức")</f>
        <v>Chính thức</v>
      </c>
      <c r="U22" s="7"/>
      <c r="V22" s="7" t="str">
        <f>IFERROR(__xludf.DUMMYFUNCTION("""COMPUTED_VALUE"""),"Chính thức")</f>
        <v>Chính thức</v>
      </c>
      <c r="W22" s="7" t="str">
        <f>IFERROR(__xludf.DUMMYFUNCTION("""COMPUTED_VALUE"""),"7 năm 8 tháng")</f>
        <v>7 năm 8 tháng</v>
      </c>
      <c r="X22" s="7"/>
      <c r="Y22" s="7"/>
      <c r="Z22" s="7"/>
    </row>
    <row r="23">
      <c r="A23" s="7">
        <f>IFERROR(__xludf.DUMMYFUNCTION("""COMPUTED_VALUE"""),5.0)</f>
        <v>5</v>
      </c>
      <c r="B23" s="7" t="str">
        <f>IFERROR(__xludf.DUMMYFUNCTION("""COMPUTED_VALUE"""),"Văn phòng")</f>
        <v>Văn phòng</v>
      </c>
      <c r="C23" s="7" t="str">
        <f>IFERROR(__xludf.DUMMYFUNCTION("""COMPUTED_VALUE"""),"Phòng Tổ chức - Hành chính")</f>
        <v>Phòng Tổ chức - Hành chính</v>
      </c>
      <c r="D23" s="7" t="str">
        <f>IFERROR(__xludf.DUMMYFUNCTION("""COMPUTED_VALUE"""),"Tổ xe con")</f>
        <v>Tổ xe con</v>
      </c>
      <c r="E23" s="7" t="str">
        <f>IFERROR(__xludf.DUMMYFUNCTION("""COMPUTED_VALUE"""),"Lái xe văn phòng")</f>
        <v>Lái xe văn phòng</v>
      </c>
      <c r="F23" s="7" t="str">
        <f>IFERROR(__xludf.DUMMYFUNCTION("""COMPUTED_VALUE"""),"NV0403")</f>
        <v>NV0403</v>
      </c>
      <c r="G23" s="7">
        <f>IFERROR(__xludf.DUMMYFUNCTION("""COMPUTED_VALUE"""),815.0)</f>
        <v>815</v>
      </c>
      <c r="H23" s="7" t="str">
        <f>IFERROR(__xludf.DUMMYFUNCTION("""COMPUTED_VALUE"""),"Nguyễn Văn Dũng")</f>
        <v>Nguyễn Văn Dũng</v>
      </c>
      <c r="I23" s="7" t="str">
        <f>IFERROR(__xludf.DUMMYFUNCTION("""COMPUTED_VALUE"""),"Nam")</f>
        <v>Nam</v>
      </c>
      <c r="J23" s="17">
        <f>IFERROR(__xludf.DUMMYFUNCTION("""COMPUTED_VALUE"""),32662.0)</f>
        <v>32662</v>
      </c>
      <c r="K23" s="7" t="str">
        <f>IFERROR(__xludf.DUMMYFUNCTION("""COMPUTED_VALUE"""),"SN 05 Thôn Trung Sơn - Xã Hoằng Châu - Tỉnh Thanh Hóa")</f>
        <v>SN 05 Thôn Trung Sơn - Xã Hoằng Châu - Tỉnh Thanh Hóa</v>
      </c>
      <c r="L23" s="20" t="str">
        <f>IFERROR(__xludf.DUMMYFUNCTION("""COMPUTED_VALUE"""),"0931351389")</f>
        <v>0931351389</v>
      </c>
      <c r="M23" s="7" t="str">
        <f>IFERROR(__xludf.DUMMYFUNCTION("""COMPUTED_VALUE"""),"038089011423")</f>
        <v>038089011423</v>
      </c>
      <c r="N23" s="18">
        <f>IFERROR(__xludf.DUMMYFUNCTION("""COMPUTED_VALUE"""),44427.0)</f>
        <v>44427</v>
      </c>
      <c r="O23" s="7" t="str">
        <f>IFERROR(__xludf.DUMMYFUNCTION("""COMPUTED_VALUE"""),"Cục Cảnh sát QLHC về TTXH")</f>
        <v>Cục Cảnh sát QLHC về TTXH</v>
      </c>
      <c r="P23" s="7" t="str">
        <f>IFERROR(__xludf.DUMMYFUNCTION("""COMPUTED_VALUE"""),"Bằng nghề")</f>
        <v>Bằng nghề</v>
      </c>
      <c r="Q23" s="7" t="str">
        <f>IFERROR(__xludf.DUMMYFUNCTION("""COMPUTED_VALUE"""),"Lái xe hạng B1")</f>
        <v>Lái xe hạng B1</v>
      </c>
      <c r="R23" s="17">
        <f>IFERROR(__xludf.DUMMYFUNCTION("""COMPUTED_VALUE"""),43773.0)</f>
        <v>43773</v>
      </c>
      <c r="S23" s="19">
        <f>IFERROR(__xludf.DUMMYFUNCTION("""COMPUTED_VALUE"""),40121.0)</f>
        <v>40121</v>
      </c>
      <c r="T23" s="7" t="str">
        <f>IFERROR(__xludf.DUMMYFUNCTION("""COMPUTED_VALUE"""),"Chính thức")</f>
        <v>Chính thức</v>
      </c>
      <c r="U23" s="7"/>
      <c r="V23" s="7" t="str">
        <f>IFERROR(__xludf.DUMMYFUNCTION("""COMPUTED_VALUE"""),"Chính thức")</f>
        <v>Chính thức</v>
      </c>
      <c r="W23" s="7" t="str">
        <f>IFERROR(__xludf.DUMMYFUNCTION("""COMPUTED_VALUE"""),"6 năm 1 tháng")</f>
        <v>6 năm 1 tháng</v>
      </c>
      <c r="X23" s="7"/>
      <c r="Y23" s="7"/>
      <c r="Z23" s="7"/>
    </row>
    <row r="24">
      <c r="A24" s="7">
        <f>IFERROR(__xludf.DUMMYFUNCTION("""COMPUTED_VALUE"""),6.0)</f>
        <v>6</v>
      </c>
      <c r="B24" s="7" t="str">
        <f>IFERROR(__xludf.DUMMYFUNCTION("""COMPUTED_VALUE"""),"Văn phòng")</f>
        <v>Văn phòng</v>
      </c>
      <c r="C24" s="7" t="str">
        <f>IFERROR(__xludf.DUMMYFUNCTION("""COMPUTED_VALUE"""),"Phòng Tổ chức - Hành chính")</f>
        <v>Phòng Tổ chức - Hành chính</v>
      </c>
      <c r="D24" s="7" t="str">
        <f>IFERROR(__xludf.DUMMYFUNCTION("""COMPUTED_VALUE"""),"Tổ xe con")</f>
        <v>Tổ xe con</v>
      </c>
      <c r="E24" s="7" t="str">
        <f>IFERROR(__xludf.DUMMYFUNCTION("""COMPUTED_VALUE"""),"Lái xe văn phòng")</f>
        <v>Lái xe văn phòng</v>
      </c>
      <c r="F24" s="7" t="str">
        <f>IFERROR(__xludf.DUMMYFUNCTION("""COMPUTED_VALUE"""),"NV2644")</f>
        <v>NV2644</v>
      </c>
      <c r="G24" s="7"/>
      <c r="H24" s="7" t="str">
        <f>IFERROR(__xludf.DUMMYFUNCTION("""COMPUTED_VALUE"""),"Nguyễn Thế Triều")</f>
        <v>Nguyễn Thế Triều</v>
      </c>
      <c r="I24" s="7" t="str">
        <f>IFERROR(__xludf.DUMMYFUNCTION("""COMPUTED_VALUE"""),"Nam")</f>
        <v>Nam</v>
      </c>
      <c r="J24" s="17">
        <f>IFERROR(__xludf.DUMMYFUNCTION("""COMPUTED_VALUE"""),31988.0)</f>
        <v>31988</v>
      </c>
      <c r="K24" s="7" t="str">
        <f>IFERROR(__xludf.DUMMYFUNCTION("""COMPUTED_VALUE"""),"Thôn 10 - Xã Quảng Ninh - Tỉnh Thanh Hóa")</f>
        <v>Thôn 10 - Xã Quảng Ninh - Tỉnh Thanh Hóa</v>
      </c>
      <c r="L24" s="20" t="str">
        <f>IFERROR(__xludf.DUMMYFUNCTION("""COMPUTED_VALUE"""),"0979325122")</f>
        <v>0979325122</v>
      </c>
      <c r="M24" s="7" t="str">
        <f>IFERROR(__xludf.DUMMYFUNCTION("""COMPUTED_VALUE"""),"038087014469")</f>
        <v>038087014469</v>
      </c>
      <c r="N24" s="18">
        <f>IFERROR(__xludf.DUMMYFUNCTION("""COMPUTED_VALUE"""),43517.0)</f>
        <v>43517</v>
      </c>
      <c r="O24" s="7" t="str">
        <f>IFERROR(__xludf.DUMMYFUNCTION("""COMPUTED_VALUE"""),"Cục Cảnh sát QLHC về TTXH")</f>
        <v>Cục Cảnh sát QLHC về TTXH</v>
      </c>
      <c r="P24" s="7" t="str">
        <f>IFERROR(__xludf.DUMMYFUNCTION("""COMPUTED_VALUE"""),"Bằng nghề")</f>
        <v>Bằng nghề</v>
      </c>
      <c r="Q24" s="7" t="str">
        <f>IFERROR(__xludf.DUMMYFUNCTION("""COMPUTED_VALUE"""),"Hạng B2")</f>
        <v>Hạng B2</v>
      </c>
      <c r="R24" s="17">
        <f>IFERROR(__xludf.DUMMYFUNCTION("""COMPUTED_VALUE"""),43781.0)</f>
        <v>43781</v>
      </c>
      <c r="S24" s="19">
        <f>IFERROR(__xludf.DUMMYFUNCTION("""COMPUTED_VALUE"""),43983.0)</f>
        <v>43983</v>
      </c>
      <c r="T24" s="7" t="str">
        <f>IFERROR(__xludf.DUMMYFUNCTION("""COMPUTED_VALUE"""),"Chính thức")</f>
        <v>Chính thức</v>
      </c>
      <c r="U24" s="7"/>
      <c r="V24" s="7" t="str">
        <f>IFERROR(__xludf.DUMMYFUNCTION("""COMPUTED_VALUE"""),"Chính thức")</f>
        <v>Chính thức</v>
      </c>
      <c r="W24" s="7" t="str">
        <f>IFERROR(__xludf.DUMMYFUNCTION("""COMPUTED_VALUE"""),"6 năm 1 tháng")</f>
        <v>6 năm 1 tháng</v>
      </c>
      <c r="X24" s="7"/>
      <c r="Y24" s="7"/>
      <c r="Z24" s="7"/>
    </row>
    <row r="25">
      <c r="A25" s="7">
        <f>IFERROR(__xludf.DUMMYFUNCTION("""COMPUTED_VALUE"""),7.0)</f>
        <v>7</v>
      </c>
      <c r="B25" s="7" t="str">
        <f>IFERROR(__xludf.DUMMYFUNCTION("""COMPUTED_VALUE"""),"Văn phòng")</f>
        <v>Văn phòng</v>
      </c>
      <c r="C25" s="7" t="str">
        <f>IFERROR(__xludf.DUMMYFUNCTION("""COMPUTED_VALUE"""),"Phòng Tổ chức - Hành chính")</f>
        <v>Phòng Tổ chức - Hành chính</v>
      </c>
      <c r="D25" s="7" t="str">
        <f>IFERROR(__xludf.DUMMYFUNCTION("""COMPUTED_VALUE"""),"Tổ xe con")</f>
        <v>Tổ xe con</v>
      </c>
      <c r="E25" s="7" t="str">
        <f>IFERROR(__xludf.DUMMYFUNCTION("""COMPUTED_VALUE"""),"Lái xe văn phòng")</f>
        <v>Lái xe văn phòng</v>
      </c>
      <c r="F25" s="7" t="str">
        <f>IFERROR(__xludf.DUMMYFUNCTION("""COMPUTED_VALUE"""),"NV3312")</f>
        <v>NV3312</v>
      </c>
      <c r="G25" s="7"/>
      <c r="H25" s="7" t="str">
        <f>IFERROR(__xludf.DUMMYFUNCTION("""COMPUTED_VALUE"""),"Nguyễn Trọng Du")</f>
        <v>Nguyễn Trọng Du</v>
      </c>
      <c r="I25" s="7" t="str">
        <f>IFERROR(__xludf.DUMMYFUNCTION("""COMPUTED_VALUE"""),"Nam")</f>
        <v>Nam</v>
      </c>
      <c r="J25" s="17">
        <f>IFERROR(__xludf.DUMMYFUNCTION("""COMPUTED_VALUE"""),31469.0)</f>
        <v>31469</v>
      </c>
      <c r="K25" s="7" t="str">
        <f>IFERROR(__xludf.DUMMYFUNCTION("""COMPUTED_VALUE"""),"Thôn 2 - Xã Nhân Hà - Tỉnh Ninh Bình")</f>
        <v>Thôn 2 - Xã Nhân Hà - Tỉnh Ninh Bình</v>
      </c>
      <c r="L25" s="20" t="str">
        <f>IFERROR(__xludf.DUMMYFUNCTION("""COMPUTED_VALUE"""),"0985207738")</f>
        <v>0985207738</v>
      </c>
      <c r="M25" s="7" t="str">
        <f>IFERROR(__xludf.DUMMYFUNCTION("""COMPUTED_VALUE"""),"168127594")</f>
        <v>168127594</v>
      </c>
      <c r="N25" s="7"/>
      <c r="O25" s="7"/>
      <c r="P25" s="7" t="str">
        <f>IFERROR(__xludf.DUMMYFUNCTION("""COMPUTED_VALUE"""),"Bằng nghề")</f>
        <v>Bằng nghề</v>
      </c>
      <c r="Q25" s="7" t="str">
        <f>IFERROR(__xludf.DUMMYFUNCTION("""COMPUTED_VALUE"""),"Hạng B2")</f>
        <v>Hạng B2</v>
      </c>
      <c r="R25" s="17">
        <f>IFERROR(__xludf.DUMMYFUNCTION("""COMPUTED_VALUE"""),43301.0)</f>
        <v>43301</v>
      </c>
      <c r="S25" s="7"/>
      <c r="T25" s="7" t="str">
        <f>IFERROR(__xludf.DUMMYFUNCTION("""COMPUTED_VALUE"""),"Chính thức")</f>
        <v>Chính thức</v>
      </c>
      <c r="U25" s="7"/>
      <c r="V25" s="7" t="str">
        <f>IFERROR(__xludf.DUMMYFUNCTION("""COMPUTED_VALUE"""),"Chính thức")</f>
        <v>Chính thức</v>
      </c>
      <c r="W25" s="7" t="str">
        <f>IFERROR(__xludf.DUMMYFUNCTION("""COMPUTED_VALUE"""),"7 năm 5 tháng")</f>
        <v>7 năm 5 tháng</v>
      </c>
      <c r="X25" s="7"/>
      <c r="Y25" s="7"/>
      <c r="Z25" s="7"/>
    </row>
    <row r="26">
      <c r="A26" s="7">
        <f>IFERROR(__xludf.DUMMYFUNCTION("""COMPUTED_VALUE"""),8.0)</f>
        <v>8</v>
      </c>
      <c r="B26" s="7" t="str">
        <f>IFERROR(__xludf.DUMMYFUNCTION("""COMPUTED_VALUE"""),"Văn phòng")</f>
        <v>Văn phòng</v>
      </c>
      <c r="C26" s="7" t="str">
        <f>IFERROR(__xludf.DUMMYFUNCTION("""COMPUTED_VALUE"""),"Phòng Tổ chức - Hành chính")</f>
        <v>Phòng Tổ chức - Hành chính</v>
      </c>
      <c r="D26" s="7" t="str">
        <f>IFERROR(__xludf.DUMMYFUNCTION("""COMPUTED_VALUE"""),"Tổ xe con")</f>
        <v>Tổ xe con</v>
      </c>
      <c r="E26" s="7" t="str">
        <f>IFERROR(__xludf.DUMMYFUNCTION("""COMPUTED_VALUE"""),"Lái xe văn phòng")</f>
        <v>Lái xe văn phòng</v>
      </c>
      <c r="F26" s="7" t="str">
        <f>IFERROR(__xludf.DUMMYFUNCTION("""COMPUTED_VALUE"""),"NV4478")</f>
        <v>NV4478</v>
      </c>
      <c r="G26" s="7"/>
      <c r="H26" s="7" t="str">
        <f>IFERROR(__xludf.DUMMYFUNCTION("""COMPUTED_VALUE"""),"Nguyễn Thế Hưng")</f>
        <v>Nguyễn Thế Hưng</v>
      </c>
      <c r="I26" s="7" t="str">
        <f>IFERROR(__xludf.DUMMYFUNCTION("""COMPUTED_VALUE"""),"Nam")</f>
        <v>Nam</v>
      </c>
      <c r="J26" s="17">
        <f>IFERROR(__xludf.DUMMYFUNCTION("""COMPUTED_VALUE"""),30112.0)</f>
        <v>30112</v>
      </c>
      <c r="K26" s="7" t="str">
        <f>IFERROR(__xludf.DUMMYFUNCTION("""COMPUTED_VALUE"""),"80 Đặng Tiến Đông Phường Hạc Thành - Tỉnh Thanh Hóa")</f>
        <v>80 Đặng Tiến Đông Phường Hạc Thành - Tỉnh Thanh Hóa</v>
      </c>
      <c r="L26" s="7" t="str">
        <f>IFERROR(__xludf.DUMMYFUNCTION("""COMPUTED_VALUE"""),"0966850555")</f>
        <v>0966850555</v>
      </c>
      <c r="M26" s="7" t="str">
        <f>IFERROR(__xludf.DUMMYFUNCTION("""COMPUTED_VALUE"""),"038082000862")</f>
        <v>038082000862</v>
      </c>
      <c r="N26" s="18">
        <f>IFERROR(__xludf.DUMMYFUNCTION("""COMPUTED_VALUE"""),44445.0)</f>
        <v>44445</v>
      </c>
      <c r="O26" s="7" t="str">
        <f>IFERROR(__xludf.DUMMYFUNCTION("""COMPUTED_VALUE"""),"Cục Cảnh sát QLHC về TTXH")</f>
        <v>Cục Cảnh sát QLHC về TTXH</v>
      </c>
      <c r="P26" s="7" t="str">
        <f>IFERROR(__xludf.DUMMYFUNCTION("""COMPUTED_VALUE"""),"Bằng nghề")</f>
        <v>Bằng nghề</v>
      </c>
      <c r="Q26" s="7" t="str">
        <f>IFERROR(__xludf.DUMMYFUNCTION("""COMPUTED_VALUE"""),"Lái xe hạng B2")</f>
        <v>Lái xe hạng B2</v>
      </c>
      <c r="R26" s="17">
        <f>IFERROR(__xludf.DUMMYFUNCTION("""COMPUTED_VALUE"""),44823.0)</f>
        <v>44823</v>
      </c>
      <c r="S26" s="19">
        <f>IFERROR(__xludf.DUMMYFUNCTION("""COMPUTED_VALUE"""),45017.0)</f>
        <v>45017</v>
      </c>
      <c r="T26" s="7" t="str">
        <f>IFERROR(__xludf.DUMMYFUNCTION("""COMPUTED_VALUE"""),"Chính thức")</f>
        <v>Chính thức</v>
      </c>
      <c r="U26" s="7"/>
      <c r="V26" s="7" t="str">
        <f>IFERROR(__xludf.DUMMYFUNCTION("""COMPUTED_VALUE"""),"Chính thức")</f>
        <v>Chính thức</v>
      </c>
      <c r="W26" s="7" t="str">
        <f>IFERROR(__xludf.DUMMYFUNCTION("""COMPUTED_VALUE"""),"3 năm 3 tháng")</f>
        <v>3 năm 3 tháng</v>
      </c>
      <c r="X26" s="7"/>
      <c r="Y26" s="7"/>
      <c r="Z26" s="7"/>
    </row>
    <row r="27">
      <c r="A27" s="7">
        <f>IFERROR(__xludf.DUMMYFUNCTION("""COMPUTED_VALUE"""),1.0)</f>
        <v>1</v>
      </c>
      <c r="B27" s="7" t="str">
        <f>IFERROR(__xludf.DUMMYFUNCTION("""COMPUTED_VALUE"""),"Văn phòng")</f>
        <v>Văn phòng</v>
      </c>
      <c r="C27" s="7" t="str">
        <f>IFERROR(__xludf.DUMMYFUNCTION("""COMPUTED_VALUE"""),"Phòng Tổ chức - Hành chính")</f>
        <v>Phòng Tổ chức - Hành chính</v>
      </c>
      <c r="D27" s="7" t="str">
        <f>IFERROR(__xludf.DUMMYFUNCTION("""COMPUTED_VALUE"""),"Tổ tạp vụ")</f>
        <v>Tổ tạp vụ</v>
      </c>
      <c r="E27" s="7" t="str">
        <f>IFERROR(__xludf.DUMMYFUNCTION("""COMPUTED_VALUE"""),"Nhân viên tạp vụ")</f>
        <v>Nhân viên tạp vụ</v>
      </c>
      <c r="F27" s="7" t="str">
        <f>IFERROR(__xludf.DUMMYFUNCTION("""COMPUTED_VALUE"""),"NV0346")</f>
        <v>NV0346</v>
      </c>
      <c r="G27" s="7">
        <f>IFERROR(__xludf.DUMMYFUNCTION("""COMPUTED_VALUE"""),36.0)</f>
        <v>36</v>
      </c>
      <c r="H27" s="7" t="str">
        <f>IFERROR(__xludf.DUMMYFUNCTION("""COMPUTED_VALUE"""),"Đỗ Thị Chiến")</f>
        <v>Đỗ Thị Chiến</v>
      </c>
      <c r="I27" s="7" t="str">
        <f>IFERROR(__xludf.DUMMYFUNCTION("""COMPUTED_VALUE"""),"Nữ")</f>
        <v>Nữ</v>
      </c>
      <c r="J27" s="17">
        <f>IFERROR(__xludf.DUMMYFUNCTION("""COMPUTED_VALUE"""),30025.0)</f>
        <v>30025</v>
      </c>
      <c r="K27" s="7" t="str">
        <f>IFERROR(__xludf.DUMMYFUNCTION("""COMPUTED_VALUE"""),"Thôn 8 - Xã Hoằng Lộc - Tỉnh Thanh Hóa")</f>
        <v>Thôn 8 - Xã Hoằng Lộc - Tỉnh Thanh Hóa</v>
      </c>
      <c r="L27" s="7" t="str">
        <f>IFERROR(__xludf.DUMMYFUNCTION("""COMPUTED_VALUE"""),"0353623962")</f>
        <v>0353623962</v>
      </c>
      <c r="M27" s="7" t="str">
        <f>IFERROR(__xludf.DUMMYFUNCTION("""COMPUTED_VALUE"""),"038182047618")</f>
        <v>038182047618</v>
      </c>
      <c r="N27" s="18">
        <f>IFERROR(__xludf.DUMMYFUNCTION("""COMPUTED_VALUE"""),44422.0)</f>
        <v>44422</v>
      </c>
      <c r="O27" s="7" t="str">
        <f>IFERROR(__xludf.DUMMYFUNCTION("""COMPUTED_VALUE"""),"Cục Cảnh sát QLHC về TTXH")</f>
        <v>Cục Cảnh sát QLHC về TTXH</v>
      </c>
      <c r="P27" s="7" t="str">
        <f>IFERROR(__xludf.DUMMYFUNCTION("""COMPUTED_VALUE"""),"LĐPT")</f>
        <v>LĐPT</v>
      </c>
      <c r="Q27" s="7" t="str">
        <f>IFERROR(__xludf.DUMMYFUNCTION("""COMPUTED_VALUE"""),"Lao động phổ thông")</f>
        <v>Lao động phổ thông</v>
      </c>
      <c r="R27" s="17">
        <f>IFERROR(__xludf.DUMMYFUNCTION("""COMPUTED_VALUE"""),40973.0)</f>
        <v>40973</v>
      </c>
      <c r="S27" s="19">
        <f>IFERROR(__xludf.DUMMYFUNCTION("""COMPUTED_VALUE"""),40973.0)</f>
        <v>40973</v>
      </c>
      <c r="T27" s="7" t="str">
        <f>IFERROR(__xludf.DUMMYFUNCTION("""COMPUTED_VALUE"""),"Chính thức")</f>
        <v>Chính thức</v>
      </c>
      <c r="U27" s="7"/>
      <c r="V27" s="7" t="str">
        <f>IFERROR(__xludf.DUMMYFUNCTION("""COMPUTED_VALUE"""),"Chính thức")</f>
        <v>Chính thức</v>
      </c>
      <c r="W27" s="7" t="str">
        <f>IFERROR(__xludf.DUMMYFUNCTION("""COMPUTED_VALUE"""),"13 năm 9 tháng")</f>
        <v>13 năm 9 tháng</v>
      </c>
      <c r="X27" s="7"/>
      <c r="Y27" s="7"/>
      <c r="Z27" s="7"/>
    </row>
    <row r="28">
      <c r="A28" s="7">
        <f>IFERROR(__xludf.DUMMYFUNCTION("""COMPUTED_VALUE"""),2.0)</f>
        <v>2</v>
      </c>
      <c r="B28" s="7" t="str">
        <f>IFERROR(__xludf.DUMMYFUNCTION("""COMPUTED_VALUE"""),"Văn phòng")</f>
        <v>Văn phòng</v>
      </c>
      <c r="C28" s="7" t="str">
        <f>IFERROR(__xludf.DUMMYFUNCTION("""COMPUTED_VALUE"""),"Phòng Tổ chức - Hành chính")</f>
        <v>Phòng Tổ chức - Hành chính</v>
      </c>
      <c r="D28" s="7" t="str">
        <f>IFERROR(__xludf.DUMMYFUNCTION("""COMPUTED_VALUE"""),"Tổ tạp vụ")</f>
        <v>Tổ tạp vụ</v>
      </c>
      <c r="E28" s="7" t="str">
        <f>IFERROR(__xludf.DUMMYFUNCTION("""COMPUTED_VALUE"""),"Nhân viên tạp vụ")</f>
        <v>Nhân viên tạp vụ</v>
      </c>
      <c r="F28" s="7" t="str">
        <f>IFERROR(__xludf.DUMMYFUNCTION("""COMPUTED_VALUE"""),"NV0023")</f>
        <v>NV0023</v>
      </c>
      <c r="G28" s="7"/>
      <c r="H28" s="7" t="str">
        <f>IFERROR(__xludf.DUMMYFUNCTION("""COMPUTED_VALUE"""),"Đỗ Đức Châm")</f>
        <v>Đỗ Đức Châm</v>
      </c>
      <c r="I28" s="7" t="str">
        <f>IFERROR(__xludf.DUMMYFUNCTION("""COMPUTED_VALUE"""),"Nam")</f>
        <v>Nam</v>
      </c>
      <c r="J28" s="17">
        <f>IFERROR(__xludf.DUMMYFUNCTION("""COMPUTED_VALUE"""),23670.0)</f>
        <v>23670</v>
      </c>
      <c r="K28" s="7" t="str">
        <f>IFERROR(__xludf.DUMMYFUNCTION("""COMPUTED_VALUE"""),"Thôn Hàm Ninh - Xã Hoằng Lộc - Tỉnh Thanh Hóa")</f>
        <v>Thôn Hàm Ninh - Xã Hoằng Lộc - Tỉnh Thanh Hóa</v>
      </c>
      <c r="L28" s="7" t="str">
        <f>IFERROR(__xludf.DUMMYFUNCTION("""COMPUTED_VALUE"""),"0357143646")</f>
        <v>0357143646</v>
      </c>
      <c r="M28" s="7" t="str">
        <f>IFERROR(__xludf.DUMMYFUNCTION("""COMPUTED_VALUE"""),"038064004475")</f>
        <v>038064004475</v>
      </c>
      <c r="N28" s="18">
        <f>IFERROR(__xludf.DUMMYFUNCTION("""COMPUTED_VALUE"""),44440.0)</f>
        <v>44440</v>
      </c>
      <c r="O28" s="7" t="str">
        <f>IFERROR(__xludf.DUMMYFUNCTION("""COMPUTED_VALUE"""),"Cục Cảnh sát QLHC về TTXH")</f>
        <v>Cục Cảnh sát QLHC về TTXH</v>
      </c>
      <c r="P28" s="7" t="str">
        <f>IFERROR(__xludf.DUMMYFUNCTION("""COMPUTED_VALUE"""),"LĐPT")</f>
        <v>LĐPT</v>
      </c>
      <c r="Q28" s="7" t="str">
        <f>IFERROR(__xludf.DUMMYFUNCTION("""COMPUTED_VALUE"""),"Lao động phổ thông")</f>
        <v>Lao động phổ thông</v>
      </c>
      <c r="R28" s="17">
        <f>IFERROR(__xludf.DUMMYFUNCTION("""COMPUTED_VALUE"""),38523.0)</f>
        <v>38523</v>
      </c>
      <c r="S28" s="19">
        <f>IFERROR(__xludf.DUMMYFUNCTION("""COMPUTED_VALUE"""),38523.0)</f>
        <v>38523</v>
      </c>
      <c r="T28" s="7" t="str">
        <f>IFERROR(__xludf.DUMMYFUNCTION("""COMPUTED_VALUE"""),"Chính thức")</f>
        <v>Chính thức</v>
      </c>
      <c r="U28" s="7"/>
      <c r="V28" s="7" t="str">
        <f>IFERROR(__xludf.DUMMYFUNCTION("""COMPUTED_VALUE"""),"Chính thức")</f>
        <v>Chính thức</v>
      </c>
      <c r="W28" s="7" t="str">
        <f>IFERROR(__xludf.DUMMYFUNCTION("""COMPUTED_VALUE"""),"20 năm 6 tháng")</f>
        <v>20 năm 6 tháng</v>
      </c>
      <c r="X28" s="7"/>
      <c r="Y28" s="7"/>
      <c r="Z28" s="7"/>
    </row>
    <row r="29">
      <c r="A29" s="7">
        <f>IFERROR(__xludf.DUMMYFUNCTION("""COMPUTED_VALUE"""),3.0)</f>
        <v>3</v>
      </c>
      <c r="B29" s="7" t="str">
        <f>IFERROR(__xludf.DUMMYFUNCTION("""COMPUTED_VALUE"""),"Văn phòng")</f>
        <v>Văn phòng</v>
      </c>
      <c r="C29" s="7" t="str">
        <f>IFERROR(__xludf.DUMMYFUNCTION("""COMPUTED_VALUE"""),"Phòng Tổ chức - Hành chính")</f>
        <v>Phòng Tổ chức - Hành chính</v>
      </c>
      <c r="D29" s="7" t="str">
        <f>IFERROR(__xludf.DUMMYFUNCTION("""COMPUTED_VALUE"""),"Tổ tạp vụ")</f>
        <v>Tổ tạp vụ</v>
      </c>
      <c r="E29" s="7" t="str">
        <f>IFERROR(__xludf.DUMMYFUNCTION("""COMPUTED_VALUE"""),"Nhân viên tạp vụ")</f>
        <v>Nhân viên tạp vụ</v>
      </c>
      <c r="F29" s="7" t="str">
        <f>IFERROR(__xludf.DUMMYFUNCTION("""COMPUTED_VALUE"""),"NV0347")</f>
        <v>NV0347</v>
      </c>
      <c r="G29" s="7"/>
      <c r="H29" s="7" t="str">
        <f>IFERROR(__xludf.DUMMYFUNCTION("""COMPUTED_VALUE"""),"Trịnh Thị Nhung")</f>
        <v>Trịnh Thị Nhung</v>
      </c>
      <c r="I29" s="7" t="str">
        <f>IFERROR(__xludf.DUMMYFUNCTION("""COMPUTED_VALUE"""),"Nữ")</f>
        <v>Nữ</v>
      </c>
      <c r="J29" s="17">
        <f>IFERROR(__xludf.DUMMYFUNCTION("""COMPUTED_VALUE"""),29209.0)</f>
        <v>29209</v>
      </c>
      <c r="K29" s="7" t="str">
        <f>IFERROR(__xludf.DUMMYFUNCTION("""COMPUTED_VALUE"""),"Thôn 8 - Phường Quảng Phú - Tỉnh Thanh Hóa")</f>
        <v>Thôn 8 - Phường Quảng Phú - Tỉnh Thanh Hóa</v>
      </c>
      <c r="L29" s="7" t="str">
        <f>IFERROR(__xludf.DUMMYFUNCTION("""COMPUTED_VALUE"""),"0396488132")</f>
        <v>0396488132</v>
      </c>
      <c r="M29" s="7" t="str">
        <f>IFERROR(__xludf.DUMMYFUNCTION("""COMPUTED_VALUE"""),"038179022950")</f>
        <v>038179022950</v>
      </c>
      <c r="N29" s="18">
        <f>IFERROR(__xludf.DUMMYFUNCTION("""COMPUTED_VALUE"""),44422.0)</f>
        <v>44422</v>
      </c>
      <c r="O29" s="7" t="str">
        <f>IFERROR(__xludf.DUMMYFUNCTION("""COMPUTED_VALUE"""),"Cục Cảnh sát QLHC về TTXH")</f>
        <v>Cục Cảnh sát QLHC về TTXH</v>
      </c>
      <c r="P29" s="7" t="str">
        <f>IFERROR(__xludf.DUMMYFUNCTION("""COMPUTED_VALUE"""),"LĐPT")</f>
        <v>LĐPT</v>
      </c>
      <c r="Q29" s="7" t="str">
        <f>IFERROR(__xludf.DUMMYFUNCTION("""COMPUTED_VALUE"""),"Lao động phổ thông")</f>
        <v>Lao động phổ thông</v>
      </c>
      <c r="R29" s="17">
        <f>IFERROR(__xludf.DUMMYFUNCTION("""COMPUTED_VALUE"""),37742.0)</f>
        <v>37742</v>
      </c>
      <c r="S29" s="19">
        <f>IFERROR(__xludf.DUMMYFUNCTION("""COMPUTED_VALUE"""),37742.0)</f>
        <v>37742</v>
      </c>
      <c r="T29" s="7" t="str">
        <f>IFERROR(__xludf.DUMMYFUNCTION("""COMPUTED_VALUE"""),"Chính thức")</f>
        <v>Chính thức</v>
      </c>
      <c r="U29" s="7"/>
      <c r="V29" s="7" t="str">
        <f>IFERROR(__xludf.DUMMYFUNCTION("""COMPUTED_VALUE"""),"Chính thức")</f>
        <v>Chính thức</v>
      </c>
      <c r="W29" s="7" t="str">
        <f>IFERROR(__xludf.DUMMYFUNCTION("""COMPUTED_VALUE"""),"22 năm 7 tháng")</f>
        <v>22 năm 7 tháng</v>
      </c>
      <c r="X29" s="7"/>
      <c r="Y29" s="7"/>
      <c r="Z29" s="7"/>
    </row>
    <row r="30">
      <c r="A30" s="7">
        <f>IFERROR(__xludf.DUMMYFUNCTION("""COMPUTED_VALUE"""),4.0)</f>
        <v>4</v>
      </c>
      <c r="B30" s="7" t="str">
        <f>IFERROR(__xludf.DUMMYFUNCTION("""COMPUTED_VALUE"""),"Văn phòng")</f>
        <v>Văn phòng</v>
      </c>
      <c r="C30" s="7" t="str">
        <f>IFERROR(__xludf.DUMMYFUNCTION("""COMPUTED_VALUE"""),"Phòng Tổ chức - Hành chính")</f>
        <v>Phòng Tổ chức - Hành chính</v>
      </c>
      <c r="D30" s="7" t="str">
        <f>IFERROR(__xludf.DUMMYFUNCTION("""COMPUTED_VALUE"""),"Tổ tạp vụ")</f>
        <v>Tổ tạp vụ</v>
      </c>
      <c r="E30" s="7" t="str">
        <f>IFERROR(__xludf.DUMMYFUNCTION("""COMPUTED_VALUE"""),"Nhân viên tạp vụ")</f>
        <v>Nhân viên tạp vụ</v>
      </c>
      <c r="F30" s="7" t="str">
        <f>IFERROR(__xludf.DUMMYFUNCTION("""COMPUTED_VALUE"""),"NV0085")</f>
        <v>NV0085</v>
      </c>
      <c r="G30" s="7"/>
      <c r="H30" s="7" t="str">
        <f>IFERROR(__xludf.DUMMYFUNCTION("""COMPUTED_VALUE"""),"Đỗ Thị Hường")</f>
        <v>Đỗ Thị Hường</v>
      </c>
      <c r="I30" s="7" t="str">
        <f>IFERROR(__xludf.DUMMYFUNCTION("""COMPUTED_VALUE"""),"Nữ")</f>
        <v>Nữ</v>
      </c>
      <c r="J30" s="17">
        <f>IFERROR(__xludf.DUMMYFUNCTION("""COMPUTED_VALUE"""),25883.0)</f>
        <v>25883</v>
      </c>
      <c r="K30" s="7" t="str">
        <f>IFERROR(__xludf.DUMMYFUNCTION("""COMPUTED_VALUE"""),"Thôn Hàm Ninh - Xã Hoằng Lộc - Tỉnh Thanh Hóa")</f>
        <v>Thôn Hàm Ninh - Xã Hoằng Lộc - Tỉnh Thanh Hóa</v>
      </c>
      <c r="L30" s="7" t="str">
        <f>IFERROR(__xludf.DUMMYFUNCTION("""COMPUTED_VALUE"""),"0981185198")</f>
        <v>0981185198</v>
      </c>
      <c r="M30" s="7" t="str">
        <f>IFERROR(__xludf.DUMMYFUNCTION("""COMPUTED_VALUE"""),"038170001784")</f>
        <v>038170001784</v>
      </c>
      <c r="N30" s="18">
        <f>IFERROR(__xludf.DUMMYFUNCTION("""COMPUTED_VALUE"""),44420.0)</f>
        <v>44420</v>
      </c>
      <c r="O30" s="7" t="str">
        <f>IFERROR(__xludf.DUMMYFUNCTION("""COMPUTED_VALUE"""),"Cục Cảnh sát QLHC về TTXH")</f>
        <v>Cục Cảnh sát QLHC về TTXH</v>
      </c>
      <c r="P30" s="7" t="str">
        <f>IFERROR(__xludf.DUMMYFUNCTION("""COMPUTED_VALUE"""),"LĐPT")</f>
        <v>LĐPT</v>
      </c>
      <c r="Q30" s="7" t="str">
        <f>IFERROR(__xludf.DUMMYFUNCTION("""COMPUTED_VALUE"""),"Lao động phổ thông")</f>
        <v>Lao động phổ thông</v>
      </c>
      <c r="R30" s="17">
        <f>IFERROR(__xludf.DUMMYFUNCTION("""COMPUTED_VALUE"""),39246.0)</f>
        <v>39246</v>
      </c>
      <c r="S30" s="19">
        <f>IFERROR(__xludf.DUMMYFUNCTION("""COMPUTED_VALUE"""),39246.0)</f>
        <v>39246</v>
      </c>
      <c r="T30" s="7" t="str">
        <f>IFERROR(__xludf.DUMMYFUNCTION("""COMPUTED_VALUE"""),"Chính thức")</f>
        <v>Chính thức</v>
      </c>
      <c r="U30" s="7"/>
      <c r="V30" s="7" t="str">
        <f>IFERROR(__xludf.DUMMYFUNCTION("""COMPUTED_VALUE"""),"Chính thức")</f>
        <v>Chính thức</v>
      </c>
      <c r="W30" s="7" t="str">
        <f>IFERROR(__xludf.DUMMYFUNCTION("""COMPUTED_VALUE"""),"18 năm 6 tháng")</f>
        <v>18 năm 6 tháng</v>
      </c>
      <c r="X30" s="7"/>
      <c r="Y30" s="7"/>
      <c r="Z30" s="7"/>
    </row>
    <row r="31">
      <c r="A31" s="7">
        <f>IFERROR(__xludf.DUMMYFUNCTION("""COMPUTED_VALUE"""),1.0)</f>
        <v>1</v>
      </c>
      <c r="B31" s="7" t="str">
        <f>IFERROR(__xludf.DUMMYFUNCTION("""COMPUTED_VALUE"""),"Văn phòng")</f>
        <v>Văn phòng</v>
      </c>
      <c r="C31" s="7" t="str">
        <f>IFERROR(__xludf.DUMMYFUNCTION("""COMPUTED_VALUE"""),"Phòng Tổ chức - Hành chính")</f>
        <v>Phòng Tổ chức - Hành chính</v>
      </c>
      <c r="D31" s="7" t="str">
        <f>IFERROR(__xludf.DUMMYFUNCTION("""COMPUTED_VALUE"""),"Bộ phận mua hàng")</f>
        <v>Bộ phận mua hàng</v>
      </c>
      <c r="E31" s="7" t="str">
        <f>IFERROR(__xludf.DUMMYFUNCTION("""COMPUTED_VALUE"""),"Nhân viên cung ứng")</f>
        <v>Nhân viên cung ứng</v>
      </c>
      <c r="F31" s="7" t="str">
        <f>IFERROR(__xludf.DUMMYFUNCTION("""COMPUTED_VALUE"""),"NV0039")</f>
        <v>NV0039</v>
      </c>
      <c r="G31" s="7">
        <f>IFERROR(__xludf.DUMMYFUNCTION("""COMPUTED_VALUE"""),32.0)</f>
        <v>32</v>
      </c>
      <c r="H31" s="7" t="str">
        <f>IFERROR(__xludf.DUMMYFUNCTION("""COMPUTED_VALUE"""),"Đỗ Hữu Nghị")</f>
        <v>Đỗ Hữu Nghị</v>
      </c>
      <c r="I31" s="7" t="str">
        <f>IFERROR(__xludf.DUMMYFUNCTION("""COMPUTED_VALUE"""),"Nam")</f>
        <v>Nam</v>
      </c>
      <c r="J31" s="17">
        <f>IFERROR(__xludf.DUMMYFUNCTION("""COMPUTED_VALUE"""),33561.0)</f>
        <v>33561</v>
      </c>
      <c r="K31" s="7" t="str">
        <f>IFERROR(__xludf.DUMMYFUNCTION("""COMPUTED_VALUE"""),"P1802 tòa CT1. CC Xuân Mai - Phường Hạc Thành - Tỉnh Thanh Hóa")</f>
        <v>P1802 tòa CT1. CC Xuân Mai - Phường Hạc Thành - Tỉnh Thanh Hóa</v>
      </c>
      <c r="L31" s="20" t="str">
        <f>IFERROR(__xludf.DUMMYFUNCTION("""COMPUTED_VALUE"""),"0967531234")</f>
        <v>0967531234</v>
      </c>
      <c r="M31" s="7" t="str">
        <f>IFERROR(__xludf.DUMMYFUNCTION("""COMPUTED_VALUE"""),"038091001326")</f>
        <v>038091001326</v>
      </c>
      <c r="N31" s="18">
        <f>IFERROR(__xludf.DUMMYFUNCTION("""COMPUTED_VALUE"""),44877.0)</f>
        <v>44877</v>
      </c>
      <c r="O31" s="7" t="str">
        <f>IFERROR(__xludf.DUMMYFUNCTION("""COMPUTED_VALUE"""),"Cục Cảnh sát QLHC về TTXH")</f>
        <v>Cục Cảnh sát QLHC về TTXH</v>
      </c>
      <c r="P31" s="7" t="str">
        <f>IFERROR(__xludf.DUMMYFUNCTION("""COMPUTED_VALUE"""),"Cao đẳng")</f>
        <v>Cao đẳng</v>
      </c>
      <c r="Q31" s="7" t="str">
        <f>IFERROR(__xludf.DUMMYFUNCTION("""COMPUTED_VALUE"""),"Kế toán")</f>
        <v>Kế toán</v>
      </c>
      <c r="R31" s="17">
        <f>IFERROR(__xludf.DUMMYFUNCTION("""COMPUTED_VALUE"""),41677.0)</f>
        <v>41677</v>
      </c>
      <c r="S31" s="19">
        <f>IFERROR(__xludf.DUMMYFUNCTION("""COMPUTED_VALUE"""),41677.0)</f>
        <v>41677</v>
      </c>
      <c r="T31" s="7" t="str">
        <f>IFERROR(__xludf.DUMMYFUNCTION("""COMPUTED_VALUE"""),"Chính thức")</f>
        <v>Chính thức</v>
      </c>
      <c r="U31" s="7"/>
      <c r="V31" s="7" t="str">
        <f>IFERROR(__xludf.DUMMYFUNCTION("""COMPUTED_VALUE"""),"Chính thức")</f>
        <v>Chính thức</v>
      </c>
      <c r="W31" s="7" t="str">
        <f>IFERROR(__xludf.DUMMYFUNCTION("""COMPUTED_VALUE"""),"11 năm 10 tháng")</f>
        <v>11 năm 10 tháng</v>
      </c>
      <c r="X31" s="7"/>
      <c r="Y31" s="7"/>
      <c r="Z31" s="7"/>
    </row>
    <row r="32">
      <c r="A32" s="7">
        <f>IFERROR(__xludf.DUMMYFUNCTION("""COMPUTED_VALUE"""),2.0)</f>
        <v>2</v>
      </c>
      <c r="B32" s="7" t="str">
        <f>IFERROR(__xludf.DUMMYFUNCTION("""COMPUTED_VALUE"""),"Văn phòng")</f>
        <v>Văn phòng</v>
      </c>
      <c r="C32" s="7" t="str">
        <f>IFERROR(__xludf.DUMMYFUNCTION("""COMPUTED_VALUE"""),"Phòng Tổ chức - Hành chính")</f>
        <v>Phòng Tổ chức - Hành chính</v>
      </c>
      <c r="D32" s="7" t="str">
        <f>IFERROR(__xludf.DUMMYFUNCTION("""COMPUTED_VALUE"""),"Bộ phận mua hàng")</f>
        <v>Bộ phận mua hàng</v>
      </c>
      <c r="E32" s="7" t="str">
        <f>IFERROR(__xludf.DUMMYFUNCTION("""COMPUTED_VALUE"""),"Trưởng bộ phận")</f>
        <v>Trưởng bộ phận</v>
      </c>
      <c r="F32" s="7" t="str">
        <f>IFERROR(__xludf.DUMMYFUNCTION("""COMPUTED_VALUE"""),"NV0409")</f>
        <v>NV0409</v>
      </c>
      <c r="G32" s="7">
        <f>IFERROR(__xludf.DUMMYFUNCTION("""COMPUTED_VALUE"""),31.0)</f>
        <v>31</v>
      </c>
      <c r="H32" s="7" t="str">
        <f>IFERROR(__xludf.DUMMYFUNCTION("""COMPUTED_VALUE"""),"Vũ Xuân Tùng")</f>
        <v>Vũ Xuân Tùng</v>
      </c>
      <c r="I32" s="7" t="str">
        <f>IFERROR(__xludf.DUMMYFUNCTION("""COMPUTED_VALUE"""),"Nam")</f>
        <v>Nam</v>
      </c>
      <c r="J32" s="17">
        <f>IFERROR(__xludf.DUMMYFUNCTION("""COMPUTED_VALUE"""),30965.0)</f>
        <v>30965</v>
      </c>
      <c r="K32" s="7" t="str">
        <f>IFERROR(__xludf.DUMMYFUNCTION("""COMPUTED_VALUE"""),"Phố Đông Bắc Ga - phường Hạc Thành - Tinh Thanh Hóa")</f>
        <v>Phố Đông Bắc Ga - phường Hạc Thành - Tinh Thanh Hóa</v>
      </c>
      <c r="L32" s="20" t="str">
        <f>IFERROR(__xludf.DUMMYFUNCTION("""COMPUTED_VALUE"""),"0915851003")</f>
        <v>0915851003</v>
      </c>
      <c r="M32" s="7" t="str">
        <f>IFERROR(__xludf.DUMMYFUNCTION("""COMPUTED_VALUE"""),"038084017182")</f>
        <v>038084017182</v>
      </c>
      <c r="N32" s="18">
        <f>IFERROR(__xludf.DUMMYFUNCTION("""COMPUTED_VALUE"""),45593.0)</f>
        <v>45593</v>
      </c>
      <c r="O32" s="7" t="str">
        <f>IFERROR(__xludf.DUMMYFUNCTION("""COMPUTED_VALUE"""),"Bộ Công An")</f>
        <v>Bộ Công An</v>
      </c>
      <c r="P32" s="7" t="str">
        <f>IFERROR(__xludf.DUMMYFUNCTION("""COMPUTED_VALUE"""),"Cao đẳng")</f>
        <v>Cao đẳng</v>
      </c>
      <c r="Q32" s="7" t="str">
        <f>IFERROR(__xludf.DUMMYFUNCTION("""COMPUTED_VALUE"""),"Công nghệ thông tin")</f>
        <v>Công nghệ thông tin</v>
      </c>
      <c r="R32" s="17">
        <f>IFERROR(__xludf.DUMMYFUNCTION("""COMPUTED_VALUE"""),40471.0)</f>
        <v>40471</v>
      </c>
      <c r="S32" s="19">
        <f>IFERROR(__xludf.DUMMYFUNCTION("""COMPUTED_VALUE"""),40471.0)</f>
        <v>40471</v>
      </c>
      <c r="T32" s="7" t="str">
        <f>IFERROR(__xludf.DUMMYFUNCTION("""COMPUTED_VALUE"""),"Chính thức")</f>
        <v>Chính thức</v>
      </c>
      <c r="U32" s="7"/>
      <c r="V32" s="7" t="str">
        <f>IFERROR(__xludf.DUMMYFUNCTION("""COMPUTED_VALUE"""),"Chính thức")</f>
        <v>Chính thức</v>
      </c>
      <c r="W32" s="7" t="str">
        <f>IFERROR(__xludf.DUMMYFUNCTION("""COMPUTED_VALUE"""),"15 năm 2 tháng")</f>
        <v>15 năm 2 tháng</v>
      </c>
      <c r="X32" s="7"/>
      <c r="Y32" s="7"/>
      <c r="Z32" s="7"/>
    </row>
    <row r="33">
      <c r="A33" s="7">
        <f>IFERROR(__xludf.DUMMYFUNCTION("""COMPUTED_VALUE"""),3.0)</f>
        <v>3</v>
      </c>
      <c r="B33" s="7" t="str">
        <f>IFERROR(__xludf.DUMMYFUNCTION("""COMPUTED_VALUE"""),"Văn phòng")</f>
        <v>Văn phòng</v>
      </c>
      <c r="C33" s="7" t="str">
        <f>IFERROR(__xludf.DUMMYFUNCTION("""COMPUTED_VALUE"""),"Phòng Tổ chức - Hành chính")</f>
        <v>Phòng Tổ chức - Hành chính</v>
      </c>
      <c r="D33" s="7" t="str">
        <f>IFERROR(__xludf.DUMMYFUNCTION("""COMPUTED_VALUE"""),"Bộ phận mua hàng")</f>
        <v>Bộ phận mua hàng</v>
      </c>
      <c r="E33" s="7" t="str">
        <f>IFERROR(__xludf.DUMMYFUNCTION("""COMPUTED_VALUE"""),"Nhân viên cung ứng")</f>
        <v>Nhân viên cung ứng</v>
      </c>
      <c r="F33" s="7" t="str">
        <f>IFERROR(__xludf.DUMMYFUNCTION("""COMPUTED_VALUE"""),"NV0046")</f>
        <v>NV0046</v>
      </c>
      <c r="G33" s="7">
        <f>IFERROR(__xludf.DUMMYFUNCTION("""COMPUTED_VALUE"""),38.0)</f>
        <v>38</v>
      </c>
      <c r="H33" s="7" t="str">
        <f>IFERROR(__xludf.DUMMYFUNCTION("""COMPUTED_VALUE"""),"Nguyễn Đức Hà")</f>
        <v>Nguyễn Đức Hà</v>
      </c>
      <c r="I33" s="7" t="str">
        <f>IFERROR(__xludf.DUMMYFUNCTION("""COMPUTED_VALUE"""),"Nam")</f>
        <v>Nam</v>
      </c>
      <c r="J33" s="17">
        <f>IFERROR(__xludf.DUMMYFUNCTION("""COMPUTED_VALUE"""),30078.0)</f>
        <v>30078</v>
      </c>
      <c r="K33" s="7" t="str">
        <f>IFERROR(__xludf.DUMMYFUNCTION("""COMPUTED_VALUE"""),"SN 02 đường số 6 Thôn Phúc Thọ - xã Hoằng Hóa - Tỉnh Thanh Hóa")</f>
        <v>SN 02 đường số 6 Thôn Phúc Thọ - xã Hoằng Hóa - Tỉnh Thanh Hóa</v>
      </c>
      <c r="L33" s="20" t="str">
        <f>IFERROR(__xludf.DUMMYFUNCTION("""COMPUTED_VALUE"""),"0385679882")</f>
        <v>0385679882</v>
      </c>
      <c r="M33" s="7" t="str">
        <f>IFERROR(__xludf.DUMMYFUNCTION("""COMPUTED_VALUE"""),"038082004952")</f>
        <v>038082004952</v>
      </c>
      <c r="N33" s="18">
        <f>IFERROR(__xludf.DUMMYFUNCTION("""COMPUTED_VALUE"""),44427.0)</f>
        <v>44427</v>
      </c>
      <c r="O33" s="7" t="str">
        <f>IFERROR(__xludf.DUMMYFUNCTION("""COMPUTED_VALUE"""),"Cục Cảnh sát QLHC về TTXH")</f>
        <v>Cục Cảnh sát QLHC về TTXH</v>
      </c>
      <c r="P33" s="7" t="str">
        <f>IFERROR(__xludf.DUMMYFUNCTION("""COMPUTED_VALUE"""),"LĐPT")</f>
        <v>LĐPT</v>
      </c>
      <c r="Q33" s="7" t="str">
        <f>IFERROR(__xludf.DUMMYFUNCTION("""COMPUTED_VALUE"""),"Lao động phổ thông")</f>
        <v>Lao động phổ thông</v>
      </c>
      <c r="R33" s="17">
        <f>IFERROR(__xludf.DUMMYFUNCTION("""COMPUTED_VALUE"""),42236.0)</f>
        <v>42236</v>
      </c>
      <c r="S33" s="19">
        <f>IFERROR(__xludf.DUMMYFUNCTION("""COMPUTED_VALUE"""),42236.0)</f>
        <v>42236</v>
      </c>
      <c r="T33" s="7" t="str">
        <f>IFERROR(__xludf.DUMMYFUNCTION("""COMPUTED_VALUE"""),"Chính thức")</f>
        <v>Chính thức</v>
      </c>
      <c r="U33" s="7"/>
      <c r="V33" s="7" t="str">
        <f>IFERROR(__xludf.DUMMYFUNCTION("""COMPUTED_VALUE"""),"Chính thức")</f>
        <v>Chính thức</v>
      </c>
      <c r="W33" s="7" t="str">
        <f>IFERROR(__xludf.DUMMYFUNCTION("""COMPUTED_VALUE"""),"10 năm 4 tháng")</f>
        <v>10 năm 4 tháng</v>
      </c>
      <c r="X33" s="7"/>
      <c r="Y33" s="7"/>
      <c r="Z33" s="7"/>
    </row>
    <row r="34">
      <c r="A34" s="7">
        <f>IFERROR(__xludf.DUMMYFUNCTION("""COMPUTED_VALUE"""),4.0)</f>
        <v>4</v>
      </c>
      <c r="B34" s="7" t="str">
        <f>IFERROR(__xludf.DUMMYFUNCTION("""COMPUTED_VALUE"""),"Văn phòng")</f>
        <v>Văn phòng</v>
      </c>
      <c r="C34" s="7" t="str">
        <f>IFERROR(__xludf.DUMMYFUNCTION("""COMPUTED_VALUE"""),"Phòng Tổ chức - Hành chính")</f>
        <v>Phòng Tổ chức - Hành chính</v>
      </c>
      <c r="D34" s="7" t="str">
        <f>IFERROR(__xludf.DUMMYFUNCTION("""COMPUTED_VALUE"""),"Bộ phận mua hàng")</f>
        <v>Bộ phận mua hàng</v>
      </c>
      <c r="E34" s="7" t="str">
        <f>IFERROR(__xludf.DUMMYFUNCTION("""COMPUTED_VALUE"""),"Nhân viên cung ứng")</f>
        <v>Nhân viên cung ứng</v>
      </c>
      <c r="F34" s="7" t="str">
        <f>IFERROR(__xludf.DUMMYFUNCTION("""COMPUTED_VALUE"""),"NV0038")</f>
        <v>NV0038</v>
      </c>
      <c r="G34" s="7">
        <f>IFERROR(__xludf.DUMMYFUNCTION("""COMPUTED_VALUE"""),654.0)</f>
        <v>654</v>
      </c>
      <c r="H34" s="7" t="str">
        <f>IFERROR(__xludf.DUMMYFUNCTION("""COMPUTED_VALUE"""),"Nguyễn Thị Bích Thảo")</f>
        <v>Nguyễn Thị Bích Thảo</v>
      </c>
      <c r="I34" s="7" t="str">
        <f>IFERROR(__xludf.DUMMYFUNCTION("""COMPUTED_VALUE"""),"Nữ")</f>
        <v>Nữ</v>
      </c>
      <c r="J34" s="17">
        <f>IFERROR(__xludf.DUMMYFUNCTION("""COMPUTED_VALUE"""),33903.0)</f>
        <v>33903</v>
      </c>
      <c r="K34" s="7" t="str">
        <f>IFERROR(__xludf.DUMMYFUNCTION("""COMPUTED_VALUE"""),"P1802 tòa CT1. CC Xuân Mai - Phường Hạc Thành - Tỉnh Thanh Hóa")</f>
        <v>P1802 tòa CT1. CC Xuân Mai - Phường Hạc Thành - Tỉnh Thanh Hóa</v>
      </c>
      <c r="L34" s="20" t="str">
        <f>IFERROR(__xludf.DUMMYFUNCTION("""COMPUTED_VALUE"""),"0948316858")</f>
        <v>0948316858</v>
      </c>
      <c r="M34" s="7" t="str">
        <f>IFERROR(__xludf.DUMMYFUNCTION("""COMPUTED_VALUE"""),"038192049086")</f>
        <v>038192049086</v>
      </c>
      <c r="N34" s="18">
        <f>IFERROR(__xludf.DUMMYFUNCTION("""COMPUTED_VALUE"""),44830.0)</f>
        <v>44830</v>
      </c>
      <c r="O34" s="7" t="str">
        <f>IFERROR(__xludf.DUMMYFUNCTION("""COMPUTED_VALUE"""),"Cục Cảnh sát QLHC về TTXH")</f>
        <v>Cục Cảnh sát QLHC về TTXH</v>
      </c>
      <c r="P34" s="7" t="str">
        <f>IFERROR(__xludf.DUMMYFUNCTION("""COMPUTED_VALUE"""),"Đại học")</f>
        <v>Đại học</v>
      </c>
      <c r="Q34" s="7" t="str">
        <f>IFERROR(__xludf.DUMMYFUNCTION("""COMPUTED_VALUE"""),"Cử nhân kinh tế")</f>
        <v>Cử nhân kinh tế</v>
      </c>
      <c r="R34" s="17">
        <f>IFERROR(__xludf.DUMMYFUNCTION("""COMPUTED_VALUE"""),41913.0)</f>
        <v>41913</v>
      </c>
      <c r="S34" s="19">
        <f>IFERROR(__xludf.DUMMYFUNCTION("""COMPUTED_VALUE"""),41913.0)</f>
        <v>41913</v>
      </c>
      <c r="T34" s="7" t="str">
        <f>IFERROR(__xludf.DUMMYFUNCTION("""COMPUTED_VALUE"""),"Chính thức")</f>
        <v>Chính thức</v>
      </c>
      <c r="U34" s="7"/>
      <c r="V34" s="7" t="str">
        <f>IFERROR(__xludf.DUMMYFUNCTION("""COMPUTED_VALUE"""),"Chính thức")</f>
        <v>Chính thức</v>
      </c>
      <c r="W34" s="7" t="str">
        <f>IFERROR(__xludf.DUMMYFUNCTION("""COMPUTED_VALUE"""),"11 năm 2 tháng")</f>
        <v>11 năm 2 tháng</v>
      </c>
      <c r="X34" s="7"/>
      <c r="Y34" s="7"/>
      <c r="Z34" s="7"/>
    </row>
    <row r="35">
      <c r="A35" s="7">
        <f>IFERROR(__xludf.DUMMYFUNCTION("""COMPUTED_VALUE"""),5.0)</f>
        <v>5</v>
      </c>
      <c r="B35" s="7" t="str">
        <f>IFERROR(__xludf.DUMMYFUNCTION("""COMPUTED_VALUE"""),"Văn phòng")</f>
        <v>Văn phòng</v>
      </c>
      <c r="C35" s="7" t="str">
        <f>IFERROR(__xludf.DUMMYFUNCTION("""COMPUTED_VALUE"""),"Phòng Tổ chức - Hành chính")</f>
        <v>Phòng Tổ chức - Hành chính</v>
      </c>
      <c r="D35" s="7" t="str">
        <f>IFERROR(__xludf.DUMMYFUNCTION("""COMPUTED_VALUE"""),"Bộ phận mua hàng")</f>
        <v>Bộ phận mua hàng</v>
      </c>
      <c r="E35" s="7" t="str">
        <f>IFERROR(__xludf.DUMMYFUNCTION("""COMPUTED_VALUE"""),"Nhân viên cung ứng")</f>
        <v>Nhân viên cung ứng</v>
      </c>
      <c r="F35" s="7" t="str">
        <f>IFERROR(__xludf.DUMMYFUNCTION("""COMPUTED_VALUE"""),"NV0420")</f>
        <v>NV0420</v>
      </c>
      <c r="G35" s="7">
        <f>IFERROR(__xludf.DUMMYFUNCTION("""COMPUTED_VALUE"""),37.0)</f>
        <v>37</v>
      </c>
      <c r="H35" s="7" t="str">
        <f>IFERROR(__xludf.DUMMYFUNCTION("""COMPUTED_VALUE"""),"Nguyễn Hữu Long")</f>
        <v>Nguyễn Hữu Long</v>
      </c>
      <c r="I35" s="7" t="str">
        <f>IFERROR(__xludf.DUMMYFUNCTION("""COMPUTED_VALUE"""),"Nam")</f>
        <v>Nam</v>
      </c>
      <c r="J35" s="17">
        <f>IFERROR(__xludf.DUMMYFUNCTION("""COMPUTED_VALUE"""),34395.0)</f>
        <v>34395</v>
      </c>
      <c r="K35" s="7" t="str">
        <f>IFERROR(__xludf.DUMMYFUNCTION("""COMPUTED_VALUE"""),"Thôn 14 - Xã Lưu Vệ - tỉnh Thanh Hóa")</f>
        <v>Thôn 14 - Xã Lưu Vệ - tỉnh Thanh Hóa</v>
      </c>
      <c r="L35" s="20" t="str">
        <f>IFERROR(__xludf.DUMMYFUNCTION("""COMPUTED_VALUE"""),"0978811676")</f>
        <v>0978811676</v>
      </c>
      <c r="M35" s="7" t="str">
        <f>IFERROR(__xludf.DUMMYFUNCTION("""COMPUTED_VALUE"""),"038094040805")</f>
        <v>038094040805</v>
      </c>
      <c r="N35" s="18">
        <f>IFERROR(__xludf.DUMMYFUNCTION("""COMPUTED_VALUE"""),45931.0)</f>
        <v>45931</v>
      </c>
      <c r="O35" s="7" t="str">
        <f>IFERROR(__xludf.DUMMYFUNCTION("""COMPUTED_VALUE"""),"Bộ Công An")</f>
        <v>Bộ Công An</v>
      </c>
      <c r="P35" s="7" t="str">
        <f>IFERROR(__xludf.DUMMYFUNCTION("""COMPUTED_VALUE"""),"Cử nhân")</f>
        <v>Cử nhân</v>
      </c>
      <c r="Q35" s="7" t="str">
        <f>IFERROR(__xludf.DUMMYFUNCTION("""COMPUTED_VALUE"""),"Kế toán")</f>
        <v>Kế toán</v>
      </c>
      <c r="R35" s="17">
        <f>IFERROR(__xludf.DUMMYFUNCTION("""COMPUTED_VALUE"""),42470.0)</f>
        <v>42470</v>
      </c>
      <c r="S35" s="19">
        <f>IFERROR(__xludf.DUMMYFUNCTION("""COMPUTED_VALUE"""),42856.0)</f>
        <v>42856</v>
      </c>
      <c r="T35" s="7" t="str">
        <f>IFERROR(__xludf.DUMMYFUNCTION("""COMPUTED_VALUE"""),"Chính thức")</f>
        <v>Chính thức</v>
      </c>
      <c r="U35" s="7"/>
      <c r="V35" s="7" t="str">
        <f>IFERROR(__xludf.DUMMYFUNCTION("""COMPUTED_VALUE"""),"Chính thức")</f>
        <v>Chính thức</v>
      </c>
      <c r="W35" s="7" t="str">
        <f>IFERROR(__xludf.DUMMYFUNCTION("""COMPUTED_VALUE"""),"9 năm 8 tháng")</f>
        <v>9 năm 8 tháng</v>
      </c>
      <c r="X35" s="7"/>
      <c r="Y35" s="7"/>
      <c r="Z35" s="7"/>
    </row>
    <row r="36">
      <c r="A36" s="7">
        <f>IFERROR(__xludf.DUMMYFUNCTION("""COMPUTED_VALUE"""),6.0)</f>
        <v>6</v>
      </c>
      <c r="B36" s="7" t="str">
        <f>IFERROR(__xludf.DUMMYFUNCTION("""COMPUTED_VALUE"""),"Văn phòng")</f>
        <v>Văn phòng</v>
      </c>
      <c r="C36" s="7" t="str">
        <f>IFERROR(__xludf.DUMMYFUNCTION("""COMPUTED_VALUE"""),"Phòng Tổ chức - Hành chính")</f>
        <v>Phòng Tổ chức - Hành chính</v>
      </c>
      <c r="D36" s="7" t="str">
        <f>IFERROR(__xludf.DUMMYFUNCTION("""COMPUTED_VALUE"""),"Bộ phận mua hàng")</f>
        <v>Bộ phận mua hàng</v>
      </c>
      <c r="E36" s="7" t="str">
        <f>IFERROR(__xludf.DUMMYFUNCTION("""COMPUTED_VALUE"""),"Nhân viên cung ứng")</f>
        <v>Nhân viên cung ứng</v>
      </c>
      <c r="F36" s="7" t="str">
        <f>IFERROR(__xludf.DUMMYFUNCTION("""COMPUTED_VALUE"""),"NV3932")</f>
        <v>NV3932</v>
      </c>
      <c r="G36" s="7">
        <f>IFERROR(__xludf.DUMMYFUNCTION("""COMPUTED_VALUE"""),648.0)</f>
        <v>648</v>
      </c>
      <c r="H36" s="7" t="str">
        <f>IFERROR(__xludf.DUMMYFUNCTION("""COMPUTED_VALUE"""),"Trịnh Thị Thúy")</f>
        <v>Trịnh Thị Thúy</v>
      </c>
      <c r="I36" s="7" t="str">
        <f>IFERROR(__xludf.DUMMYFUNCTION("""COMPUTED_VALUE"""),"Nữ")</f>
        <v>Nữ</v>
      </c>
      <c r="J36" s="17">
        <f>IFERROR(__xludf.DUMMYFUNCTION("""COMPUTED_VALUE"""),32683.0)</f>
        <v>32683</v>
      </c>
      <c r="K36" s="7" t="str">
        <f>IFERROR(__xludf.DUMMYFUNCTION("""COMPUTED_VALUE"""),"137 Phạm Vấn - Phường Hạc Thành - Tỉnh Thanh Hóa")</f>
        <v>137 Phạm Vấn - Phường Hạc Thành - Tỉnh Thanh Hóa</v>
      </c>
      <c r="L36" s="20" t="str">
        <f>IFERROR(__xludf.DUMMYFUNCTION("""COMPUTED_VALUE"""),"0966624148")</f>
        <v>0966624148</v>
      </c>
      <c r="M36" s="7" t="str">
        <f>IFERROR(__xludf.DUMMYFUNCTION("""COMPUTED_VALUE"""),"038189007233")</f>
        <v>038189007233</v>
      </c>
      <c r="N36" s="18">
        <f>IFERROR(__xludf.DUMMYFUNCTION("""COMPUTED_VALUE"""),44518.0)</f>
        <v>44518</v>
      </c>
      <c r="O36" s="7" t="str">
        <f>IFERROR(__xludf.DUMMYFUNCTION("""COMPUTED_VALUE"""),"Bộ Công An")</f>
        <v>Bộ Công An</v>
      </c>
      <c r="P36" s="7" t="str">
        <f>IFERROR(__xludf.DUMMYFUNCTION("""COMPUTED_VALUE"""),"Cử nhân")</f>
        <v>Cử nhân</v>
      </c>
      <c r="Q36" s="7" t="str">
        <f>IFERROR(__xludf.DUMMYFUNCTION("""COMPUTED_VALUE"""),"Kinh Tế")</f>
        <v>Kinh Tế</v>
      </c>
      <c r="R36" s="17">
        <f>IFERROR(__xludf.DUMMYFUNCTION("""COMPUTED_VALUE"""),44524.0)</f>
        <v>44524</v>
      </c>
      <c r="S36" s="19">
        <f>IFERROR(__xludf.DUMMYFUNCTION("""COMPUTED_VALUE"""),44652.0)</f>
        <v>44652</v>
      </c>
      <c r="T36" s="7" t="str">
        <f>IFERROR(__xludf.DUMMYFUNCTION("""COMPUTED_VALUE"""),"Chính thức")</f>
        <v>Chính thức</v>
      </c>
      <c r="U36" s="7"/>
      <c r="V36" s="7" t="str">
        <f>IFERROR(__xludf.DUMMYFUNCTION("""COMPUTED_VALUE"""),"Chính thức")</f>
        <v>Chính thức</v>
      </c>
      <c r="W36" s="7" t="str">
        <f>IFERROR(__xludf.DUMMYFUNCTION("""COMPUTED_VALUE"""),"4 năm 1 tháng")</f>
        <v>4 năm 1 tháng</v>
      </c>
      <c r="X36" s="7"/>
      <c r="Y36" s="7"/>
      <c r="Z36" s="7"/>
    </row>
    <row r="37">
      <c r="A37" s="7">
        <f>IFERROR(__xludf.DUMMYFUNCTION("""COMPUTED_VALUE"""),7.0)</f>
        <v>7</v>
      </c>
      <c r="B37" s="7" t="str">
        <f>IFERROR(__xludf.DUMMYFUNCTION("""COMPUTED_VALUE"""),"Văn phòng")</f>
        <v>Văn phòng</v>
      </c>
      <c r="C37" s="7" t="str">
        <f>IFERROR(__xludf.DUMMYFUNCTION("""COMPUTED_VALUE"""),"Phòng Tổ chức - Hành chính")</f>
        <v>Phòng Tổ chức - Hành chính</v>
      </c>
      <c r="D37" s="7" t="str">
        <f>IFERROR(__xludf.DUMMYFUNCTION("""COMPUTED_VALUE"""),"Bộ phận mua hàng")</f>
        <v>Bộ phận mua hàng</v>
      </c>
      <c r="E37" s="7" t="str">
        <f>IFERROR(__xludf.DUMMYFUNCTION("""COMPUTED_VALUE"""),"Nhân viên cung ứng")</f>
        <v>Nhân viên cung ứng</v>
      </c>
      <c r="F37" s="7" t="str">
        <f>IFERROR(__xludf.DUMMYFUNCTION("""COMPUTED_VALUE"""),"NV3756")</f>
        <v>NV3756</v>
      </c>
      <c r="G37" s="7">
        <f>IFERROR(__xludf.DUMMYFUNCTION("""COMPUTED_VALUE"""),691.0)</f>
        <v>691</v>
      </c>
      <c r="H37" s="7" t="str">
        <f>IFERROR(__xludf.DUMMYFUNCTION("""COMPUTED_VALUE"""),"Đỗ Đức Chung")</f>
        <v>Đỗ Đức Chung</v>
      </c>
      <c r="I37" s="7" t="str">
        <f>IFERROR(__xludf.DUMMYFUNCTION("""COMPUTED_VALUE"""),"Nam")</f>
        <v>Nam</v>
      </c>
      <c r="J37" s="17">
        <f>IFERROR(__xludf.DUMMYFUNCTION("""COMPUTED_VALUE"""),34656.0)</f>
        <v>34656</v>
      </c>
      <c r="K37" s="7" t="str">
        <f>IFERROR(__xludf.DUMMYFUNCTION("""COMPUTED_VALUE"""),"Thôn 8, Xã Hoằng Trạch, Huyện Hoằng Hóa, Thanh Hóa,")</f>
        <v>Thôn 8, Xã Hoằng Trạch, Huyện Hoằng Hóa, Thanh Hóa,</v>
      </c>
      <c r="L37" s="20" t="str">
        <f>IFERROR(__xludf.DUMMYFUNCTION("""COMPUTED_VALUE"""),"0986888436")</f>
        <v>0986888436</v>
      </c>
      <c r="M37" s="7" t="str">
        <f>IFERROR(__xludf.DUMMYFUNCTION("""COMPUTED_VALUE"""),"038094032248")</f>
        <v>038094032248</v>
      </c>
      <c r="N37" s="18">
        <f>IFERROR(__xludf.DUMMYFUNCTION("""COMPUTED_VALUE"""),44422.0)</f>
        <v>44422</v>
      </c>
      <c r="O37" s="7" t="str">
        <f>IFERROR(__xludf.DUMMYFUNCTION("""COMPUTED_VALUE"""),"Cục Cảnh sát QLHC về TTXH")</f>
        <v>Cục Cảnh sát QLHC về TTXH</v>
      </c>
      <c r="P37" s="7" t="str">
        <f>IFERROR(__xludf.DUMMYFUNCTION("""COMPUTED_VALUE"""),"LĐPT")</f>
        <v>LĐPT</v>
      </c>
      <c r="Q37" s="7" t="str">
        <f>IFERROR(__xludf.DUMMYFUNCTION("""COMPUTED_VALUE"""),"Lao động phổ thông")</f>
        <v>Lao động phổ thông</v>
      </c>
      <c r="R37" s="17">
        <f>IFERROR(__xludf.DUMMYFUNCTION("""COMPUTED_VALUE"""),44392.0)</f>
        <v>44392</v>
      </c>
      <c r="S37" s="19">
        <f>IFERROR(__xludf.DUMMYFUNCTION("""COMPUTED_VALUE"""),44531.0)</f>
        <v>44531</v>
      </c>
      <c r="T37" s="7" t="str">
        <f>IFERROR(__xludf.DUMMYFUNCTION("""COMPUTED_VALUE"""),"Chính thức")</f>
        <v>Chính thức</v>
      </c>
      <c r="U37" s="7"/>
      <c r="V37" s="7" t="str">
        <f>IFERROR(__xludf.DUMMYFUNCTION("""COMPUTED_VALUE"""),"Chính thức")</f>
        <v>Chính thức</v>
      </c>
      <c r="W37" s="7" t="str">
        <f>IFERROR(__xludf.DUMMYFUNCTION("""COMPUTED_VALUE"""),"4 năm 5 tháng")</f>
        <v>4 năm 5 tháng</v>
      </c>
      <c r="X37" s="7"/>
      <c r="Y37" s="7"/>
      <c r="Z37" s="7"/>
    </row>
    <row r="38">
      <c r="A38" s="7">
        <f>IFERROR(__xludf.DUMMYFUNCTION("""COMPUTED_VALUE"""),8.0)</f>
        <v>8</v>
      </c>
      <c r="B38" s="7" t="str">
        <f>IFERROR(__xludf.DUMMYFUNCTION("""COMPUTED_VALUE"""),"Văn phòng")</f>
        <v>Văn phòng</v>
      </c>
      <c r="C38" s="7" t="str">
        <f>IFERROR(__xludf.DUMMYFUNCTION("""COMPUTED_VALUE"""),"Phòng Tổ chức - Hành chính")</f>
        <v>Phòng Tổ chức - Hành chính</v>
      </c>
      <c r="D38" s="7" t="str">
        <f>IFERROR(__xludf.DUMMYFUNCTION("""COMPUTED_VALUE"""),"Bộ phận mua hàng")</f>
        <v>Bộ phận mua hàng</v>
      </c>
      <c r="E38" s="7" t="str">
        <f>IFERROR(__xludf.DUMMYFUNCTION("""COMPUTED_VALUE"""),"Nhân viên cung ứng")</f>
        <v>Nhân viên cung ứng</v>
      </c>
      <c r="F38" s="7"/>
      <c r="G38" s="7"/>
      <c r="H38" s="7" t="str">
        <f>IFERROR(__xludf.DUMMYFUNCTION("""COMPUTED_VALUE"""),"Ngô Thanh Hương")</f>
        <v>Ngô Thanh Hương</v>
      </c>
      <c r="I38" s="7" t="str">
        <f>IFERROR(__xludf.DUMMYFUNCTION("""COMPUTED_VALUE"""),"Nữ")</f>
        <v>Nữ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>
        <f>IFERROR(__xludf.DUMMYFUNCTION("""COMPUTED_VALUE"""),1.0)</f>
        <v>1</v>
      </c>
      <c r="B39" s="7" t="str">
        <f>IFERROR(__xludf.DUMMYFUNCTION("""COMPUTED_VALUE"""),"Văn phòng")</f>
        <v>Văn phòng</v>
      </c>
      <c r="C39" s="7" t="str">
        <f>IFERROR(__xludf.DUMMYFUNCTION("""COMPUTED_VALUE"""),"Phòng Tổ chức - Hành chính")</f>
        <v>Phòng Tổ chức - Hành chính</v>
      </c>
      <c r="D39" s="7" t="str">
        <f>IFERROR(__xludf.DUMMYFUNCTION("""COMPUTED_VALUE"""),"Tổ Bảo vệ")</f>
        <v>Tổ Bảo vệ</v>
      </c>
      <c r="E39" s="7" t="str">
        <f>IFERROR(__xludf.DUMMYFUNCTION("""COMPUTED_VALUE"""),"Bảo vệ kiêm xuất hàng")</f>
        <v>Bảo vệ kiêm xuất hàng</v>
      </c>
      <c r="F39" s="7" t="str">
        <f>IFERROR(__xludf.DUMMYFUNCTION("""COMPUTED_VALUE"""),"NV0358")</f>
        <v>NV0358</v>
      </c>
      <c r="G39" s="7">
        <f>IFERROR(__xludf.DUMMYFUNCTION("""COMPUTED_VALUE"""),482.0)</f>
        <v>482</v>
      </c>
      <c r="H39" s="7" t="str">
        <f>IFERROR(__xludf.DUMMYFUNCTION("""COMPUTED_VALUE"""),"Trần Văn Quý")</f>
        <v>Trần Văn Quý</v>
      </c>
      <c r="I39" s="7" t="str">
        <f>IFERROR(__xludf.DUMMYFUNCTION("""COMPUTED_VALUE"""),"Nam")</f>
        <v>Nam</v>
      </c>
      <c r="J39" s="17">
        <f>IFERROR(__xludf.DUMMYFUNCTION("""COMPUTED_VALUE"""),28187.0)</f>
        <v>28187</v>
      </c>
      <c r="K39" s="7" t="str">
        <f>IFERROR(__xludf.DUMMYFUNCTION("""COMPUTED_VALUE"""),"Xã Quảng Hưng - Thành phố Thanh Hóa")</f>
        <v>Xã Quảng Hưng - Thành phố Thanh Hóa</v>
      </c>
      <c r="L39" s="20" t="str">
        <f>IFERROR(__xludf.DUMMYFUNCTION("""COMPUTED_VALUE"""),"0394370161")</f>
        <v>0394370161</v>
      </c>
      <c r="M39" s="7" t="str">
        <f>IFERROR(__xludf.DUMMYFUNCTION("""COMPUTED_VALUE"""),"038077019652")</f>
        <v>038077019652</v>
      </c>
      <c r="N39" s="18">
        <f>IFERROR(__xludf.DUMMYFUNCTION("""COMPUTED_VALUE"""),44326.0)</f>
        <v>44326</v>
      </c>
      <c r="O39" s="7" t="str">
        <f>IFERROR(__xludf.DUMMYFUNCTION("""COMPUTED_VALUE"""),"Cục Cảnh sát QLHC về TTXH")</f>
        <v>Cục Cảnh sát QLHC về TTXH</v>
      </c>
      <c r="P39" s="7" t="str">
        <f>IFERROR(__xludf.DUMMYFUNCTION("""COMPUTED_VALUE"""),"LĐPT")</f>
        <v>LĐPT</v>
      </c>
      <c r="Q39" s="7" t="str">
        <f>IFERROR(__xludf.DUMMYFUNCTION("""COMPUTED_VALUE"""),"Lao động phổ thông")</f>
        <v>Lao động phổ thông</v>
      </c>
      <c r="R39" s="17">
        <f>IFERROR(__xludf.DUMMYFUNCTION("""COMPUTED_VALUE"""),41541.0)</f>
        <v>41541</v>
      </c>
      <c r="S39" s="19">
        <f>IFERROR(__xludf.DUMMYFUNCTION("""COMPUTED_VALUE"""),41541.0)</f>
        <v>41541</v>
      </c>
      <c r="T39" s="7" t="str">
        <f>IFERROR(__xludf.DUMMYFUNCTION("""COMPUTED_VALUE"""),"Chính thức")</f>
        <v>Chính thức</v>
      </c>
      <c r="U39" s="7"/>
      <c r="V39" s="7" t="str">
        <f>IFERROR(__xludf.DUMMYFUNCTION("""COMPUTED_VALUE"""),"Chính thức")</f>
        <v>Chính thức</v>
      </c>
      <c r="W39" s="7" t="str">
        <f>IFERROR(__xludf.DUMMYFUNCTION("""COMPUTED_VALUE"""),"12 năm 3 tháng")</f>
        <v>12 năm 3 tháng</v>
      </c>
      <c r="X39" s="7"/>
      <c r="Y39" s="7"/>
      <c r="Z39" s="7"/>
    </row>
    <row r="40">
      <c r="A40" s="7">
        <f>IFERROR(__xludf.DUMMYFUNCTION("""COMPUTED_VALUE"""),2.0)</f>
        <v>2</v>
      </c>
      <c r="B40" s="7" t="str">
        <f>IFERROR(__xludf.DUMMYFUNCTION("""COMPUTED_VALUE"""),"Văn phòng")</f>
        <v>Văn phòng</v>
      </c>
      <c r="C40" s="7" t="str">
        <f>IFERROR(__xludf.DUMMYFUNCTION("""COMPUTED_VALUE"""),"Phòng Tổ chức - Hành chính")</f>
        <v>Phòng Tổ chức - Hành chính</v>
      </c>
      <c r="D40" s="7" t="str">
        <f>IFERROR(__xludf.DUMMYFUNCTION("""COMPUTED_VALUE"""),"Tổ Bảo vệ")</f>
        <v>Tổ Bảo vệ</v>
      </c>
      <c r="E40" s="7" t="str">
        <f>IFERROR(__xludf.DUMMYFUNCTION("""COMPUTED_VALUE"""),"Bảo vệ kiêm xuất hàng")</f>
        <v>Bảo vệ kiêm xuất hàng</v>
      </c>
      <c r="F40" s="7" t="str">
        <f>IFERROR(__xludf.DUMMYFUNCTION("""COMPUTED_VALUE"""),"NV0694")</f>
        <v>NV0694</v>
      </c>
      <c r="G40" s="7">
        <f>IFERROR(__xludf.DUMMYFUNCTION("""COMPUTED_VALUE"""),752.0)</f>
        <v>752</v>
      </c>
      <c r="H40" s="7" t="str">
        <f>IFERROR(__xludf.DUMMYFUNCTION("""COMPUTED_VALUE"""),"Nguyễn Đức Lâm")</f>
        <v>Nguyễn Đức Lâm</v>
      </c>
      <c r="I40" s="7" t="str">
        <f>IFERROR(__xludf.DUMMYFUNCTION("""COMPUTED_VALUE"""),"Nam")</f>
        <v>Nam</v>
      </c>
      <c r="J40" s="17">
        <f>IFERROR(__xludf.DUMMYFUNCTION("""COMPUTED_VALUE"""),27591.0)</f>
        <v>27591</v>
      </c>
      <c r="K40" s="7" t="str">
        <f>IFERROR(__xludf.DUMMYFUNCTION("""COMPUTED_VALUE"""),"Thôn 2 - Quảng Hưng - Thành phố Thanh Hóa")</f>
        <v>Thôn 2 - Quảng Hưng - Thành phố Thanh Hóa</v>
      </c>
      <c r="L40" s="20" t="str">
        <f>IFERROR(__xludf.DUMMYFUNCTION("""COMPUTED_VALUE"""),"0378608842")</f>
        <v>0378608842</v>
      </c>
      <c r="M40" s="7" t="str">
        <f>IFERROR(__xludf.DUMMYFUNCTION("""COMPUTED_VALUE"""),"038075010273")</f>
        <v>038075010273</v>
      </c>
      <c r="N40" s="18">
        <f>IFERROR(__xludf.DUMMYFUNCTION("""COMPUTED_VALUE"""),44419.0)</f>
        <v>44419</v>
      </c>
      <c r="O40" s="7" t="str">
        <f>IFERROR(__xludf.DUMMYFUNCTION("""COMPUTED_VALUE"""),"Cục Cảnh sát QLHC về TTXH")</f>
        <v>Cục Cảnh sát QLHC về TTXH</v>
      </c>
      <c r="P40" s="7" t="str">
        <f>IFERROR(__xludf.DUMMYFUNCTION("""COMPUTED_VALUE"""),"LĐPT")</f>
        <v>LĐPT</v>
      </c>
      <c r="Q40" s="7" t="str">
        <f>IFERROR(__xludf.DUMMYFUNCTION("""COMPUTED_VALUE"""),"Lao động phổ thông")</f>
        <v>Lao động phổ thông</v>
      </c>
      <c r="R40" s="17">
        <f>IFERROR(__xludf.DUMMYFUNCTION("""COMPUTED_VALUE"""),39600.0)</f>
        <v>39600</v>
      </c>
      <c r="S40" s="19">
        <f>IFERROR(__xludf.DUMMYFUNCTION("""COMPUTED_VALUE"""),39600.0)</f>
        <v>39600</v>
      </c>
      <c r="T40" s="7" t="str">
        <f>IFERROR(__xludf.DUMMYFUNCTION("""COMPUTED_VALUE"""),"Chính thức")</f>
        <v>Chính thức</v>
      </c>
      <c r="U40" s="7"/>
      <c r="V40" s="7" t="str">
        <f>IFERROR(__xludf.DUMMYFUNCTION("""COMPUTED_VALUE"""),"Chính thức")</f>
        <v>Chính thức</v>
      </c>
      <c r="W40" s="7" t="str">
        <f>IFERROR(__xludf.DUMMYFUNCTION("""COMPUTED_VALUE"""),"17 năm 6 tháng")</f>
        <v>17 năm 6 tháng</v>
      </c>
      <c r="X40" s="7"/>
      <c r="Y40" s="7"/>
      <c r="Z40" s="7"/>
    </row>
    <row r="41">
      <c r="A41" s="7">
        <f>IFERROR(__xludf.DUMMYFUNCTION("""COMPUTED_VALUE"""),3.0)</f>
        <v>3</v>
      </c>
      <c r="B41" s="7" t="str">
        <f>IFERROR(__xludf.DUMMYFUNCTION("""COMPUTED_VALUE"""),"Văn phòng")</f>
        <v>Văn phòng</v>
      </c>
      <c r="C41" s="7" t="str">
        <f>IFERROR(__xludf.DUMMYFUNCTION("""COMPUTED_VALUE"""),"Phòng Tổ chức - Hành chính")</f>
        <v>Phòng Tổ chức - Hành chính</v>
      </c>
      <c r="D41" s="7" t="str">
        <f>IFERROR(__xludf.DUMMYFUNCTION("""COMPUTED_VALUE"""),"Tổ Bảo vệ")</f>
        <v>Tổ Bảo vệ</v>
      </c>
      <c r="E41" s="7" t="str">
        <f>IFERROR(__xludf.DUMMYFUNCTION("""COMPUTED_VALUE"""),"Bảo vệ kiêm xuất hàng")</f>
        <v>Bảo vệ kiêm xuất hàng</v>
      </c>
      <c r="F41" s="7" t="str">
        <f>IFERROR(__xludf.DUMMYFUNCTION("""COMPUTED_VALUE"""),"NV0700")</f>
        <v>NV0700</v>
      </c>
      <c r="G41" s="7">
        <f>IFERROR(__xludf.DUMMYFUNCTION("""COMPUTED_VALUE"""),76.0)</f>
        <v>76</v>
      </c>
      <c r="H41" s="7" t="str">
        <f>IFERROR(__xludf.DUMMYFUNCTION("""COMPUTED_VALUE"""),"Trương Ngọc Sơn")</f>
        <v>Trương Ngọc Sơn</v>
      </c>
      <c r="I41" s="7" t="str">
        <f>IFERROR(__xludf.DUMMYFUNCTION("""COMPUTED_VALUE"""),"Nam")</f>
        <v>Nam</v>
      </c>
      <c r="J41" s="17">
        <f>IFERROR(__xludf.DUMMYFUNCTION("""COMPUTED_VALUE"""),27412.0)</f>
        <v>27412</v>
      </c>
      <c r="K41" s="7" t="str">
        <f>IFERROR(__xludf.DUMMYFUNCTION("""COMPUTED_VALUE"""),"Hoằng Phong - Hoằng Hóa - Thanh Hóa")</f>
        <v>Hoằng Phong - Hoằng Hóa - Thanh Hóa</v>
      </c>
      <c r="L41" s="20" t="str">
        <f>IFERROR(__xludf.DUMMYFUNCTION("""COMPUTED_VALUE"""),"0383358289")</f>
        <v>0383358289</v>
      </c>
      <c r="M41" s="7" t="str">
        <f>IFERROR(__xludf.DUMMYFUNCTION("""COMPUTED_VALUE"""),"038075008187")</f>
        <v>038075008187</v>
      </c>
      <c r="N41" s="18">
        <f>IFERROR(__xludf.DUMMYFUNCTION("""COMPUTED_VALUE"""),45523.0)</f>
        <v>45523</v>
      </c>
      <c r="O41" s="7" t="str">
        <f>IFERROR(__xludf.DUMMYFUNCTION("""COMPUTED_VALUE"""),"Cục Cảnh sát QLHC về TTXH")</f>
        <v>Cục Cảnh sát QLHC về TTXH</v>
      </c>
      <c r="P41" s="7" t="str">
        <f>IFERROR(__xludf.DUMMYFUNCTION("""COMPUTED_VALUE"""),"LĐPT")</f>
        <v>LĐPT</v>
      </c>
      <c r="Q41" s="7" t="str">
        <f>IFERROR(__xludf.DUMMYFUNCTION("""COMPUTED_VALUE"""),"Lao động phổ thông")</f>
        <v>Lao động phổ thông</v>
      </c>
      <c r="R41" s="17">
        <f>IFERROR(__xludf.DUMMYFUNCTION("""COMPUTED_VALUE"""),42086.0)</f>
        <v>42086</v>
      </c>
      <c r="S41" s="19">
        <f>IFERROR(__xludf.DUMMYFUNCTION("""COMPUTED_VALUE"""),42086.0)</f>
        <v>42086</v>
      </c>
      <c r="T41" s="7" t="str">
        <f>IFERROR(__xludf.DUMMYFUNCTION("""COMPUTED_VALUE"""),"Chính thức")</f>
        <v>Chính thức</v>
      </c>
      <c r="U41" s="7"/>
      <c r="V41" s="7" t="str">
        <f>IFERROR(__xludf.DUMMYFUNCTION("""COMPUTED_VALUE"""),"Chính thức")</f>
        <v>Chính thức</v>
      </c>
      <c r="W41" s="7" t="str">
        <f>IFERROR(__xludf.DUMMYFUNCTION("""COMPUTED_VALUE"""),"10 năm 9 tháng")</f>
        <v>10 năm 9 tháng</v>
      </c>
      <c r="X41" s="7"/>
      <c r="Y41" s="7"/>
      <c r="Z41" s="7"/>
    </row>
    <row r="42">
      <c r="A42" s="7">
        <f>IFERROR(__xludf.DUMMYFUNCTION("""COMPUTED_VALUE"""),4.0)</f>
        <v>4</v>
      </c>
      <c r="B42" s="7" t="str">
        <f>IFERROR(__xludf.DUMMYFUNCTION("""COMPUTED_VALUE"""),"Văn phòng")</f>
        <v>Văn phòng</v>
      </c>
      <c r="C42" s="7" t="str">
        <f>IFERROR(__xludf.DUMMYFUNCTION("""COMPUTED_VALUE"""),"Phòng Tổ chức - Hành chính")</f>
        <v>Phòng Tổ chức - Hành chính</v>
      </c>
      <c r="D42" s="7" t="str">
        <f>IFERROR(__xludf.DUMMYFUNCTION("""COMPUTED_VALUE"""),"Tổ Bảo vệ")</f>
        <v>Tổ Bảo vệ</v>
      </c>
      <c r="E42" s="7" t="str">
        <f>IFERROR(__xludf.DUMMYFUNCTION("""COMPUTED_VALUE"""),"Bảo vệ kiêm xuất hàng")</f>
        <v>Bảo vệ kiêm xuất hàng</v>
      </c>
      <c r="F42" s="7" t="str">
        <f>IFERROR(__xludf.DUMMYFUNCTION("""COMPUTED_VALUE"""),"NV1689")</f>
        <v>NV1689</v>
      </c>
      <c r="G42" s="7">
        <f>IFERROR(__xludf.DUMMYFUNCTION("""COMPUTED_VALUE"""),67.0)</f>
        <v>67</v>
      </c>
      <c r="H42" s="7" t="str">
        <f>IFERROR(__xludf.DUMMYFUNCTION("""COMPUTED_VALUE"""),"Lê Văn Hào")</f>
        <v>Lê Văn Hào</v>
      </c>
      <c r="I42" s="7" t="str">
        <f>IFERROR(__xludf.DUMMYFUNCTION("""COMPUTED_VALUE"""),"Nam")</f>
        <v>Nam</v>
      </c>
      <c r="J42" s="17">
        <f>IFERROR(__xludf.DUMMYFUNCTION("""COMPUTED_VALUE"""),27143.0)</f>
        <v>27143</v>
      </c>
      <c r="K42" s="7" t="str">
        <f>IFERROR(__xludf.DUMMYFUNCTION("""COMPUTED_VALUE"""),"Phố 1 - Phường Quảng Hưng - Thành Phố Thanh Hóa")</f>
        <v>Phố 1 - Phường Quảng Hưng - Thành Phố Thanh Hóa</v>
      </c>
      <c r="L42" s="20" t="str">
        <f>IFERROR(__xludf.DUMMYFUNCTION("""COMPUTED_VALUE"""),"0941954675")</f>
        <v>0941954675</v>
      </c>
      <c r="M42" s="7" t="str">
        <f>IFERROR(__xludf.DUMMYFUNCTION("""COMPUTED_VALUE"""),"038074004945")</f>
        <v>038074004945</v>
      </c>
      <c r="N42" s="18">
        <f>IFERROR(__xludf.DUMMYFUNCTION("""COMPUTED_VALUE"""),44419.0)</f>
        <v>44419</v>
      </c>
      <c r="O42" s="7" t="str">
        <f>IFERROR(__xludf.DUMMYFUNCTION("""COMPUTED_VALUE"""),"Cục Cảnh sát QLHC về TTXH")</f>
        <v>Cục Cảnh sát QLHC về TTXH</v>
      </c>
      <c r="P42" s="7" t="str">
        <f>IFERROR(__xludf.DUMMYFUNCTION("""COMPUTED_VALUE"""),"LĐPT")</f>
        <v>LĐPT</v>
      </c>
      <c r="Q42" s="7" t="str">
        <f>IFERROR(__xludf.DUMMYFUNCTION("""COMPUTED_VALUE"""),"Lao động phổ thông")</f>
        <v>Lao động phổ thông</v>
      </c>
      <c r="R42" s="17">
        <f>IFERROR(__xludf.DUMMYFUNCTION("""COMPUTED_VALUE"""),43335.0)</f>
        <v>43335</v>
      </c>
      <c r="S42" s="19">
        <f>IFERROR(__xludf.DUMMYFUNCTION("""COMPUTED_VALUE"""),43678.0)</f>
        <v>43678</v>
      </c>
      <c r="T42" s="7" t="str">
        <f>IFERROR(__xludf.DUMMYFUNCTION("""COMPUTED_VALUE"""),"Chính thức")</f>
        <v>Chính thức</v>
      </c>
      <c r="U42" s="7"/>
      <c r="V42" s="7" t="str">
        <f>IFERROR(__xludf.DUMMYFUNCTION("""COMPUTED_VALUE"""),"Chính thức")</f>
        <v>Chính thức</v>
      </c>
      <c r="W42" s="7" t="str">
        <f>IFERROR(__xludf.DUMMYFUNCTION("""COMPUTED_VALUE"""),"7 năm 4 tháng")</f>
        <v>7 năm 4 tháng</v>
      </c>
      <c r="X42" s="7"/>
      <c r="Y42" s="7"/>
      <c r="Z42" s="7"/>
    </row>
    <row r="43">
      <c r="A43" s="7">
        <f>IFERROR(__xludf.DUMMYFUNCTION("""COMPUTED_VALUE"""),5.0)</f>
        <v>5</v>
      </c>
      <c r="B43" s="7" t="str">
        <f>IFERROR(__xludf.DUMMYFUNCTION("""COMPUTED_VALUE"""),"Văn phòng")</f>
        <v>Văn phòng</v>
      </c>
      <c r="C43" s="7" t="str">
        <f>IFERROR(__xludf.DUMMYFUNCTION("""COMPUTED_VALUE"""),"Phòng Tổ chức - Hành chính")</f>
        <v>Phòng Tổ chức - Hành chính</v>
      </c>
      <c r="D43" s="7" t="str">
        <f>IFERROR(__xludf.DUMMYFUNCTION("""COMPUTED_VALUE"""),"Tổ Bảo vệ")</f>
        <v>Tổ Bảo vệ</v>
      </c>
      <c r="E43" s="7" t="str">
        <f>IFERROR(__xludf.DUMMYFUNCTION("""COMPUTED_VALUE"""),"Bảo vệ kiêm xuất hàng")</f>
        <v>Bảo vệ kiêm xuất hàng</v>
      </c>
      <c r="F43" s="7" t="str">
        <f>IFERROR(__xludf.DUMMYFUNCTION("""COMPUTED_VALUE"""),"NV1295")</f>
        <v>NV1295</v>
      </c>
      <c r="G43" s="7">
        <f>IFERROR(__xludf.DUMMYFUNCTION("""COMPUTED_VALUE"""),603.0)</f>
        <v>603</v>
      </c>
      <c r="H43" s="7" t="str">
        <f>IFERROR(__xludf.DUMMYFUNCTION("""COMPUTED_VALUE"""),"Trịnh Sỹ Thiết")</f>
        <v>Trịnh Sỹ Thiết</v>
      </c>
      <c r="I43" s="7" t="str">
        <f>IFERROR(__xludf.DUMMYFUNCTION("""COMPUTED_VALUE"""),"Nam")</f>
        <v>Nam</v>
      </c>
      <c r="J43" s="17">
        <f>IFERROR(__xludf.DUMMYFUNCTION("""COMPUTED_VALUE"""),27020.0)</f>
        <v>27020</v>
      </c>
      <c r="K43" s="7" t="str">
        <f>IFERROR(__xludf.DUMMYFUNCTION("""COMPUTED_VALUE"""),"Phố 4 - Phường Quảng Hưng - Thành Phố")</f>
        <v>Phố 4 - Phường Quảng Hưng - Thành Phố</v>
      </c>
      <c r="L43" s="20" t="str">
        <f>IFERROR(__xludf.DUMMYFUNCTION("""COMPUTED_VALUE"""),"0944340036")</f>
        <v>0944340036</v>
      </c>
      <c r="M43" s="7" t="str">
        <f>IFERROR(__xludf.DUMMYFUNCTION("""COMPUTED_VALUE"""),"038073007463")</f>
        <v>038073007463</v>
      </c>
      <c r="N43" s="18">
        <f>IFERROR(__xludf.DUMMYFUNCTION("""COMPUTED_VALUE"""),44320.0)</f>
        <v>44320</v>
      </c>
      <c r="O43" s="7" t="str">
        <f>IFERROR(__xludf.DUMMYFUNCTION("""COMPUTED_VALUE"""),"Cục Cảnh sát QLHC về TTXH")</f>
        <v>Cục Cảnh sát QLHC về TTXH</v>
      </c>
      <c r="P43" s="7" t="str">
        <f>IFERROR(__xludf.DUMMYFUNCTION("""COMPUTED_VALUE"""),"LĐPT")</f>
        <v>LĐPT</v>
      </c>
      <c r="Q43" s="7" t="str">
        <f>IFERROR(__xludf.DUMMYFUNCTION("""COMPUTED_VALUE"""),"Lao động phổ thông")</f>
        <v>Lao động phổ thông</v>
      </c>
      <c r="R43" s="17">
        <f>IFERROR(__xludf.DUMMYFUNCTION("""COMPUTED_VALUE"""),43179.0)</f>
        <v>43179</v>
      </c>
      <c r="S43" s="19">
        <f>IFERROR(__xludf.DUMMYFUNCTION("""COMPUTED_VALUE"""),43466.0)</f>
        <v>43466</v>
      </c>
      <c r="T43" s="7" t="str">
        <f>IFERROR(__xludf.DUMMYFUNCTION("""COMPUTED_VALUE"""),"Chính thức")</f>
        <v>Chính thức</v>
      </c>
      <c r="U43" s="7"/>
      <c r="V43" s="7" t="str">
        <f>IFERROR(__xludf.DUMMYFUNCTION("""COMPUTED_VALUE"""),"Chính thức")</f>
        <v>Chính thức</v>
      </c>
      <c r="W43" s="7" t="str">
        <f>IFERROR(__xludf.DUMMYFUNCTION("""COMPUTED_VALUE"""),"7 năm 9 tháng")</f>
        <v>7 năm 9 tháng</v>
      </c>
      <c r="X43" s="7"/>
      <c r="Y43" s="7"/>
      <c r="Z43" s="7"/>
    </row>
    <row r="44">
      <c r="A44" s="7">
        <f>IFERROR(__xludf.DUMMYFUNCTION("""COMPUTED_VALUE"""),6.0)</f>
        <v>6</v>
      </c>
      <c r="B44" s="7" t="str">
        <f>IFERROR(__xludf.DUMMYFUNCTION("""COMPUTED_VALUE"""),"Văn phòng")</f>
        <v>Văn phòng</v>
      </c>
      <c r="C44" s="7" t="str">
        <f>IFERROR(__xludf.DUMMYFUNCTION("""COMPUTED_VALUE"""),"Phòng Tổ chức - Hành chính")</f>
        <v>Phòng Tổ chức - Hành chính</v>
      </c>
      <c r="D44" s="7" t="str">
        <f>IFERROR(__xludf.DUMMYFUNCTION("""COMPUTED_VALUE"""),"Tổ Bảo vệ")</f>
        <v>Tổ Bảo vệ</v>
      </c>
      <c r="E44" s="7" t="str">
        <f>IFERROR(__xludf.DUMMYFUNCTION("""COMPUTED_VALUE"""),"Bảo vệ kiêm xuất hàng")</f>
        <v>Bảo vệ kiêm xuất hàng</v>
      </c>
      <c r="F44" s="7" t="str">
        <f>IFERROR(__xludf.DUMMYFUNCTION("""COMPUTED_VALUE"""),"NV3197")</f>
        <v>NV3197</v>
      </c>
      <c r="G44" s="7">
        <f>IFERROR(__xludf.DUMMYFUNCTION("""COMPUTED_VALUE"""),570.0)</f>
        <v>570</v>
      </c>
      <c r="H44" s="7" t="str">
        <f>IFERROR(__xludf.DUMMYFUNCTION("""COMPUTED_VALUE"""),"Nguyễn Văn Trung")</f>
        <v>Nguyễn Văn Trung</v>
      </c>
      <c r="I44" s="7" t="str">
        <f>IFERROR(__xludf.DUMMYFUNCTION("""COMPUTED_VALUE"""),"Nam")</f>
        <v>Nam</v>
      </c>
      <c r="J44" s="17">
        <f>IFERROR(__xludf.DUMMYFUNCTION("""COMPUTED_VALUE"""),26356.0)</f>
        <v>26356</v>
      </c>
      <c r="K44" s="7" t="str">
        <f>IFERROR(__xludf.DUMMYFUNCTION("""COMPUTED_VALUE"""),"Quảng Hưng - Thành Phố Thanh Hóa")</f>
        <v>Quảng Hưng - Thành Phố Thanh Hóa</v>
      </c>
      <c r="L44" s="20" t="str">
        <f>IFERROR(__xludf.DUMMYFUNCTION("""COMPUTED_VALUE"""),"0965006225")</f>
        <v>0965006225</v>
      </c>
      <c r="M44" s="7" t="str">
        <f>IFERROR(__xludf.DUMMYFUNCTION("""COMPUTED_VALUE"""),"038072009393")</f>
        <v>038072009393</v>
      </c>
      <c r="N44" s="18">
        <f>IFERROR(__xludf.DUMMYFUNCTION("""COMPUTED_VALUE"""),44305.0)</f>
        <v>44305</v>
      </c>
      <c r="O44" s="7" t="str">
        <f>IFERROR(__xludf.DUMMYFUNCTION("""COMPUTED_VALUE"""),"Cục Cảnh sát QLHC về TTXH")</f>
        <v>Cục Cảnh sát QLHC về TTXH</v>
      </c>
      <c r="P44" s="7" t="str">
        <f>IFERROR(__xludf.DUMMYFUNCTION("""COMPUTED_VALUE"""),"LĐPT")</f>
        <v>LĐPT</v>
      </c>
      <c r="Q44" s="7" t="str">
        <f>IFERROR(__xludf.DUMMYFUNCTION("""COMPUTED_VALUE"""),"Lao động phổ thông")</f>
        <v>Lao động phổ thông</v>
      </c>
      <c r="R44" s="17">
        <f>IFERROR(__xludf.DUMMYFUNCTION("""COMPUTED_VALUE"""),44052.0)</f>
        <v>44052</v>
      </c>
      <c r="S44" s="19">
        <f>IFERROR(__xludf.DUMMYFUNCTION("""COMPUTED_VALUE"""),44348.0)</f>
        <v>44348</v>
      </c>
      <c r="T44" s="7" t="str">
        <f>IFERROR(__xludf.DUMMYFUNCTION("""COMPUTED_VALUE"""),"Chính thức")</f>
        <v>Chính thức</v>
      </c>
      <c r="U44" s="7"/>
      <c r="V44" s="7" t="str">
        <f>IFERROR(__xludf.DUMMYFUNCTION("""COMPUTED_VALUE"""),"Chính thức")</f>
        <v>Chính thức</v>
      </c>
      <c r="W44" s="7" t="str">
        <f>IFERROR(__xludf.DUMMYFUNCTION("""COMPUTED_VALUE"""),"5 năm 4 tháng")</f>
        <v>5 năm 4 tháng</v>
      </c>
      <c r="X44" s="7"/>
      <c r="Y44" s="7"/>
      <c r="Z44" s="7"/>
    </row>
    <row r="45">
      <c r="A45" s="7">
        <f>IFERROR(__xludf.DUMMYFUNCTION("""COMPUTED_VALUE"""),7.0)</f>
        <v>7</v>
      </c>
      <c r="B45" s="7" t="str">
        <f>IFERROR(__xludf.DUMMYFUNCTION("""COMPUTED_VALUE"""),"Văn phòng")</f>
        <v>Văn phòng</v>
      </c>
      <c r="C45" s="7" t="str">
        <f>IFERROR(__xludf.DUMMYFUNCTION("""COMPUTED_VALUE"""),"Phòng Tổ chức - Hành chính")</f>
        <v>Phòng Tổ chức - Hành chính</v>
      </c>
      <c r="D45" s="7" t="str">
        <f>IFERROR(__xludf.DUMMYFUNCTION("""COMPUTED_VALUE"""),"Tổ Bảo vệ")</f>
        <v>Tổ Bảo vệ</v>
      </c>
      <c r="E45" s="7" t="str">
        <f>IFERROR(__xludf.DUMMYFUNCTION("""COMPUTED_VALUE"""),"Nhân viên bảo vệ")</f>
        <v>Nhân viên bảo vệ</v>
      </c>
      <c r="F45" s="7" t="str">
        <f>IFERROR(__xludf.DUMMYFUNCTION("""COMPUTED_VALUE"""),"NV3422")</f>
        <v>NV3422</v>
      </c>
      <c r="G45" s="7">
        <f>IFERROR(__xludf.DUMMYFUNCTION("""COMPUTED_VALUE"""),601.0)</f>
        <v>601</v>
      </c>
      <c r="H45" s="7" t="str">
        <f>IFERROR(__xludf.DUMMYFUNCTION("""COMPUTED_VALUE"""),"Lê Văn Phương")</f>
        <v>Lê Văn Phương</v>
      </c>
      <c r="I45" s="7" t="str">
        <f>IFERROR(__xludf.DUMMYFUNCTION("""COMPUTED_VALUE"""),"Nam")</f>
        <v>Nam</v>
      </c>
      <c r="J45" s="17">
        <f>IFERROR(__xludf.DUMMYFUNCTION("""COMPUTED_VALUE"""),23987.0)</f>
        <v>23987</v>
      </c>
      <c r="K45" s="7" t="str">
        <f>IFERROR(__xludf.DUMMYFUNCTION("""COMPUTED_VALUE"""),"Quảng Hợp - Quảng Xương - Thanh Hóa")</f>
        <v>Quảng Hợp - Quảng Xương - Thanh Hóa</v>
      </c>
      <c r="L45" s="20" t="str">
        <f>IFERROR(__xludf.DUMMYFUNCTION("""COMPUTED_VALUE"""),"0963133662")</f>
        <v>0963133662</v>
      </c>
      <c r="M45" s="7" t="str">
        <f>IFERROR(__xludf.DUMMYFUNCTION("""COMPUTED_VALUE"""),"038065033082")</f>
        <v>038065033082</v>
      </c>
      <c r="N45" s="18">
        <f>IFERROR(__xludf.DUMMYFUNCTION("""COMPUTED_VALUE"""),44423.0)</f>
        <v>44423</v>
      </c>
      <c r="O45" s="7" t="str">
        <f>IFERROR(__xludf.DUMMYFUNCTION("""COMPUTED_VALUE"""),"Cục Cảnh sát QLHC về TTXH")</f>
        <v>Cục Cảnh sát QLHC về TTXH</v>
      </c>
      <c r="P45" s="7" t="str">
        <f>IFERROR(__xludf.DUMMYFUNCTION("""COMPUTED_VALUE"""),"LĐPT")</f>
        <v>LĐPT</v>
      </c>
      <c r="Q45" s="7" t="str">
        <f>IFERROR(__xludf.DUMMYFUNCTION("""COMPUTED_VALUE"""),"Lao động phổ thông")</f>
        <v>Lao động phổ thông</v>
      </c>
      <c r="R45" s="17">
        <f>IFERROR(__xludf.DUMMYFUNCTION("""COMPUTED_VALUE"""),44191.0)</f>
        <v>44191</v>
      </c>
      <c r="S45" s="19">
        <f>IFERROR(__xludf.DUMMYFUNCTION("""COMPUTED_VALUE"""),44348.0)</f>
        <v>44348</v>
      </c>
      <c r="T45" s="7" t="str">
        <f>IFERROR(__xludf.DUMMYFUNCTION("""COMPUTED_VALUE"""),"Chính thức")</f>
        <v>Chính thức</v>
      </c>
      <c r="U45" s="7"/>
      <c r="V45" s="7" t="str">
        <f>IFERROR(__xludf.DUMMYFUNCTION("""COMPUTED_VALUE"""),"Chính thức")</f>
        <v>Chính thức</v>
      </c>
      <c r="W45" s="7" t="str">
        <f>IFERROR(__xludf.DUMMYFUNCTION("""COMPUTED_VALUE"""),"5 năm 0 tháng")</f>
        <v>5 năm 0 tháng</v>
      </c>
      <c r="X45" s="7"/>
      <c r="Y45" s="7"/>
      <c r="Z45" s="7"/>
    </row>
    <row r="46">
      <c r="A46" s="7">
        <f>IFERROR(__xludf.DUMMYFUNCTION("""COMPUTED_VALUE"""),8.0)</f>
        <v>8</v>
      </c>
      <c r="B46" s="7" t="str">
        <f>IFERROR(__xludf.DUMMYFUNCTION("""COMPUTED_VALUE"""),"Văn phòng")</f>
        <v>Văn phòng</v>
      </c>
      <c r="C46" s="7" t="str">
        <f>IFERROR(__xludf.DUMMYFUNCTION("""COMPUTED_VALUE"""),"Phòng Tổ chức - Hành chính")</f>
        <v>Phòng Tổ chức - Hành chính</v>
      </c>
      <c r="D46" s="7" t="str">
        <f>IFERROR(__xludf.DUMMYFUNCTION("""COMPUTED_VALUE"""),"Tổ Bảo vệ")</f>
        <v>Tổ Bảo vệ</v>
      </c>
      <c r="E46" s="7" t="str">
        <f>IFERROR(__xludf.DUMMYFUNCTION("""COMPUTED_VALUE"""),"Tổ trưởng bảo vệ")</f>
        <v>Tổ trưởng bảo vệ</v>
      </c>
      <c r="F46" s="7" t="str">
        <f>IFERROR(__xludf.DUMMYFUNCTION("""COMPUTED_VALUE"""),"NV0690")</f>
        <v>NV0690</v>
      </c>
      <c r="G46" s="7">
        <f>IFERROR(__xludf.DUMMYFUNCTION("""COMPUTED_VALUE"""),58.0)</f>
        <v>58</v>
      </c>
      <c r="H46" s="7" t="str">
        <f>IFERROR(__xludf.DUMMYFUNCTION("""COMPUTED_VALUE"""),"Đỗ Văn Thạnh")</f>
        <v>Đỗ Văn Thạnh</v>
      </c>
      <c r="I46" s="7" t="str">
        <f>IFERROR(__xludf.DUMMYFUNCTION("""COMPUTED_VALUE"""),"Nam")</f>
        <v>Nam</v>
      </c>
      <c r="J46" s="17">
        <f>IFERROR(__xludf.DUMMYFUNCTION("""COMPUTED_VALUE"""),28413.0)</f>
        <v>28413</v>
      </c>
      <c r="K46" s="7" t="str">
        <f>IFERROR(__xludf.DUMMYFUNCTION("""COMPUTED_VALUE"""),"Đội 8 - Hoằng Trạch - Hoằng Hóa - Thanh Hóa")</f>
        <v>Đội 8 - Hoằng Trạch - Hoằng Hóa - Thanh Hóa</v>
      </c>
      <c r="L46" s="20" t="str">
        <f>IFERROR(__xludf.DUMMYFUNCTION("""COMPUTED_VALUE"""),"0916631858")</f>
        <v>0916631858</v>
      </c>
      <c r="M46" s="7" t="str">
        <f>IFERROR(__xludf.DUMMYFUNCTION("""COMPUTED_VALUE"""),"038077015580")</f>
        <v>038077015580</v>
      </c>
      <c r="N46" s="18">
        <f>IFERROR(__xludf.DUMMYFUNCTION("""COMPUTED_VALUE"""),45131.0)</f>
        <v>45131</v>
      </c>
      <c r="O46" s="7" t="str">
        <f>IFERROR(__xludf.DUMMYFUNCTION("""COMPUTED_VALUE"""),"Cục Cảnh sát QLHC về TTXH")</f>
        <v>Cục Cảnh sát QLHC về TTXH</v>
      </c>
      <c r="P46" s="7" t="str">
        <f>IFERROR(__xludf.DUMMYFUNCTION("""COMPUTED_VALUE"""),"LĐPT")</f>
        <v>LĐPT</v>
      </c>
      <c r="Q46" s="7" t="str">
        <f>IFERROR(__xludf.DUMMYFUNCTION("""COMPUTED_VALUE"""),"Lao động phổ thông")</f>
        <v>Lao động phổ thông</v>
      </c>
      <c r="R46" s="17">
        <f>IFERROR(__xludf.DUMMYFUNCTION("""COMPUTED_VALUE"""),37347.0)</f>
        <v>37347</v>
      </c>
      <c r="S46" s="19">
        <f>IFERROR(__xludf.DUMMYFUNCTION("""COMPUTED_VALUE"""),37347.0)</f>
        <v>37347</v>
      </c>
      <c r="T46" s="7" t="str">
        <f>IFERROR(__xludf.DUMMYFUNCTION("""COMPUTED_VALUE"""),"Chính thức")</f>
        <v>Chính thức</v>
      </c>
      <c r="U46" s="7"/>
      <c r="V46" s="7" t="str">
        <f>IFERROR(__xludf.DUMMYFUNCTION("""COMPUTED_VALUE"""),"Chính thức")</f>
        <v>Chính thức</v>
      </c>
      <c r="W46" s="7" t="str">
        <f>IFERROR(__xludf.DUMMYFUNCTION("""COMPUTED_VALUE"""),"23 năm 8 tháng")</f>
        <v>23 năm 8 tháng</v>
      </c>
      <c r="X46" s="7"/>
      <c r="Y46" s="7"/>
      <c r="Z46" s="7"/>
    </row>
    <row r="47">
      <c r="A47" s="7">
        <f>IFERROR(__xludf.DUMMYFUNCTION("""COMPUTED_VALUE"""),9.0)</f>
        <v>9</v>
      </c>
      <c r="B47" s="7" t="str">
        <f>IFERROR(__xludf.DUMMYFUNCTION("""COMPUTED_VALUE"""),"Văn phòng")</f>
        <v>Văn phòng</v>
      </c>
      <c r="C47" s="7" t="str">
        <f>IFERROR(__xludf.DUMMYFUNCTION("""COMPUTED_VALUE"""),"Phòng Tổ chức - Hành chính")</f>
        <v>Phòng Tổ chức - Hành chính</v>
      </c>
      <c r="D47" s="7" t="str">
        <f>IFERROR(__xludf.DUMMYFUNCTION("""COMPUTED_VALUE"""),"Tổ Bảo vệ")</f>
        <v>Tổ Bảo vệ</v>
      </c>
      <c r="E47" s="7" t="str">
        <f>IFERROR(__xludf.DUMMYFUNCTION("""COMPUTED_VALUE"""),"Bảo vệ kiêm xuất hàng")</f>
        <v>Bảo vệ kiêm xuất hàng</v>
      </c>
      <c r="F47" s="7" t="str">
        <f>IFERROR(__xludf.DUMMYFUNCTION("""COMPUTED_VALUE"""),"NV0361")</f>
        <v>NV0361</v>
      </c>
      <c r="G47" s="7">
        <f>IFERROR(__xludf.DUMMYFUNCTION("""COMPUTED_VALUE"""),801.0)</f>
        <v>801</v>
      </c>
      <c r="H47" s="7" t="str">
        <f>IFERROR(__xludf.DUMMYFUNCTION("""COMPUTED_VALUE"""),"Đỗ Văn Hán")</f>
        <v>Đỗ Văn Hán</v>
      </c>
      <c r="I47" s="7" t="str">
        <f>IFERROR(__xludf.DUMMYFUNCTION("""COMPUTED_VALUE"""),"Nam")</f>
        <v>Nam</v>
      </c>
      <c r="J47" s="17">
        <f>IFERROR(__xludf.DUMMYFUNCTION("""COMPUTED_VALUE"""),26094.0)</f>
        <v>26094</v>
      </c>
      <c r="K47" s="7" t="str">
        <f>IFERROR(__xludf.DUMMYFUNCTION("""COMPUTED_VALUE"""),"Xã Hoằng Trạch - Hoằng Hóa - Thanh Hóa")</f>
        <v>Xã Hoằng Trạch - Hoằng Hóa - Thanh Hóa</v>
      </c>
      <c r="L47" s="20" t="str">
        <f>IFERROR(__xludf.DUMMYFUNCTION("""COMPUTED_VALUE"""),"0943414478")</f>
        <v>0943414478</v>
      </c>
      <c r="M47" s="7" t="str">
        <f>IFERROR(__xludf.DUMMYFUNCTION("""COMPUTED_VALUE"""),"038071037155")</f>
        <v>038071037155</v>
      </c>
      <c r="N47" s="18">
        <f>IFERROR(__xludf.DUMMYFUNCTION("""COMPUTED_VALUE"""),44428.0)</f>
        <v>44428</v>
      </c>
      <c r="O47" s="7" t="str">
        <f>IFERROR(__xludf.DUMMYFUNCTION("""COMPUTED_VALUE"""),"Cục Cảnh sát QLHC về TTXH")</f>
        <v>Cục Cảnh sát QLHC về TTXH</v>
      </c>
      <c r="P47" s="7" t="str">
        <f>IFERROR(__xludf.DUMMYFUNCTION("""COMPUTED_VALUE"""),"LĐPT")</f>
        <v>LĐPT</v>
      </c>
      <c r="Q47" s="7" t="str">
        <f>IFERROR(__xludf.DUMMYFUNCTION("""COMPUTED_VALUE"""),"Lao động phổ thông")</f>
        <v>Lao động phổ thông</v>
      </c>
      <c r="R47" s="17">
        <f>IFERROR(__xludf.DUMMYFUNCTION("""COMPUTED_VALUE"""),39083.0)</f>
        <v>39083</v>
      </c>
      <c r="S47" s="19">
        <f>IFERROR(__xludf.DUMMYFUNCTION("""COMPUTED_VALUE"""),39083.0)</f>
        <v>39083</v>
      </c>
      <c r="T47" s="7" t="str">
        <f>IFERROR(__xludf.DUMMYFUNCTION("""COMPUTED_VALUE"""),"Chính thức")</f>
        <v>Chính thức</v>
      </c>
      <c r="U47" s="7"/>
      <c r="V47" s="7" t="str">
        <f>IFERROR(__xludf.DUMMYFUNCTION("""COMPUTED_VALUE"""),"Chính thức")</f>
        <v>Chính thức</v>
      </c>
      <c r="W47" s="7" t="str">
        <f>IFERROR(__xludf.DUMMYFUNCTION("""COMPUTED_VALUE"""),"18 năm 11 tháng")</f>
        <v>18 năm 11 tháng</v>
      </c>
      <c r="X47" s="7"/>
      <c r="Y47" s="7"/>
      <c r="Z47" s="7"/>
    </row>
    <row r="48">
      <c r="A48" s="7">
        <f>IFERROR(__xludf.DUMMYFUNCTION("""COMPUTED_VALUE"""),10.0)</f>
        <v>10</v>
      </c>
      <c r="B48" s="7" t="str">
        <f>IFERROR(__xludf.DUMMYFUNCTION("""COMPUTED_VALUE"""),"Văn phòng")</f>
        <v>Văn phòng</v>
      </c>
      <c r="C48" s="7" t="str">
        <f>IFERROR(__xludf.DUMMYFUNCTION("""COMPUTED_VALUE"""),"Phòng Tổ chức - Hành chính")</f>
        <v>Phòng Tổ chức - Hành chính</v>
      </c>
      <c r="D48" s="7" t="str">
        <f>IFERROR(__xludf.DUMMYFUNCTION("""COMPUTED_VALUE"""),"Tổ Bảo vệ")</f>
        <v>Tổ Bảo vệ</v>
      </c>
      <c r="E48" s="7" t="str">
        <f>IFERROR(__xludf.DUMMYFUNCTION("""COMPUTED_VALUE"""),"Bảo vệ kiêm xuất hàng")</f>
        <v>Bảo vệ kiêm xuất hàng</v>
      </c>
      <c r="F48" s="7" t="str">
        <f>IFERROR(__xludf.DUMMYFUNCTION("""COMPUTED_VALUE"""),"NV0366")</f>
        <v>NV0366</v>
      </c>
      <c r="G48" s="7">
        <f>IFERROR(__xludf.DUMMYFUNCTION("""COMPUTED_VALUE"""),184.0)</f>
        <v>184</v>
      </c>
      <c r="H48" s="7" t="str">
        <f>IFERROR(__xludf.DUMMYFUNCTION("""COMPUTED_VALUE"""),"Nguyễn Trọng Hội")</f>
        <v>Nguyễn Trọng Hội</v>
      </c>
      <c r="I48" s="7" t="str">
        <f>IFERROR(__xludf.DUMMYFUNCTION("""COMPUTED_VALUE"""),"Nam")</f>
        <v>Nam</v>
      </c>
      <c r="J48" s="17">
        <f>IFERROR(__xludf.DUMMYFUNCTION("""COMPUTED_VALUE"""),25096.0)</f>
        <v>25096</v>
      </c>
      <c r="K48" s="7" t="str">
        <f>IFERROR(__xludf.DUMMYFUNCTION("""COMPUTED_VALUE"""),"Phố 7, Xã Quảng Phú, TP Thanh Hóa")</f>
        <v>Phố 7, Xã Quảng Phú, TP Thanh Hóa</v>
      </c>
      <c r="L48" s="20" t="str">
        <f>IFERROR(__xludf.DUMMYFUNCTION("""COMPUTED_VALUE"""),"0919267860")</f>
        <v>0919267860</v>
      </c>
      <c r="M48" s="7" t="str">
        <f>IFERROR(__xludf.DUMMYFUNCTION("""COMPUTED_VALUE"""),"038068002942")</f>
        <v>038068002942</v>
      </c>
      <c r="N48" s="18">
        <f>IFERROR(__xludf.DUMMYFUNCTION("""COMPUTED_VALUE"""),44419.0)</f>
        <v>44419</v>
      </c>
      <c r="O48" s="7" t="str">
        <f>IFERROR(__xludf.DUMMYFUNCTION("""COMPUTED_VALUE"""),"Cục Cảnh sát QLHC về TTXH")</f>
        <v>Cục Cảnh sát QLHC về TTXH</v>
      </c>
      <c r="P48" s="7" t="str">
        <f>IFERROR(__xludf.DUMMYFUNCTION("""COMPUTED_VALUE"""),"LĐPT")</f>
        <v>LĐPT</v>
      </c>
      <c r="Q48" s="7" t="str">
        <f>IFERROR(__xludf.DUMMYFUNCTION("""COMPUTED_VALUE"""),"Lao động phổ thông")</f>
        <v>Lao động phổ thông</v>
      </c>
      <c r="R48" s="17">
        <f>IFERROR(__xludf.DUMMYFUNCTION("""COMPUTED_VALUE"""),42265.0)</f>
        <v>42265</v>
      </c>
      <c r="S48" s="19">
        <f>IFERROR(__xludf.DUMMYFUNCTION("""COMPUTED_VALUE"""),42265.0)</f>
        <v>42265</v>
      </c>
      <c r="T48" s="7" t="str">
        <f>IFERROR(__xludf.DUMMYFUNCTION("""COMPUTED_VALUE"""),"Chính thức")</f>
        <v>Chính thức</v>
      </c>
      <c r="U48" s="7"/>
      <c r="V48" s="7" t="str">
        <f>IFERROR(__xludf.DUMMYFUNCTION("""COMPUTED_VALUE"""),"Chính thức")</f>
        <v>Chính thức</v>
      </c>
      <c r="W48" s="7" t="str">
        <f>IFERROR(__xludf.DUMMYFUNCTION("""COMPUTED_VALUE"""),"10 năm 3 tháng")</f>
        <v>10 năm 3 tháng</v>
      </c>
      <c r="X48" s="7"/>
      <c r="Y48" s="7"/>
      <c r="Z48" s="7"/>
    </row>
    <row r="49">
      <c r="A49" s="7">
        <f>IFERROR(__xludf.DUMMYFUNCTION("""COMPUTED_VALUE"""),11.0)</f>
        <v>11</v>
      </c>
      <c r="B49" s="7" t="str">
        <f>IFERROR(__xludf.DUMMYFUNCTION("""COMPUTED_VALUE"""),"Văn phòng")</f>
        <v>Văn phòng</v>
      </c>
      <c r="C49" s="7" t="str">
        <f>IFERROR(__xludf.DUMMYFUNCTION("""COMPUTED_VALUE"""),"Phòng Tổ chức - Hành chính")</f>
        <v>Phòng Tổ chức - Hành chính</v>
      </c>
      <c r="D49" s="7" t="str">
        <f>IFERROR(__xludf.DUMMYFUNCTION("""COMPUTED_VALUE"""),"Tổ Bảo vệ")</f>
        <v>Tổ Bảo vệ</v>
      </c>
      <c r="E49" s="7" t="str">
        <f>IFERROR(__xludf.DUMMYFUNCTION("""COMPUTED_VALUE"""),"Nhân viên bảo vệ")</f>
        <v>Nhân viên bảo vệ</v>
      </c>
      <c r="F49" s="7" t="str">
        <f>IFERROR(__xludf.DUMMYFUNCTION("""COMPUTED_VALUE"""),"NV0362")</f>
        <v>NV0362</v>
      </c>
      <c r="G49" s="7">
        <f>IFERROR(__xludf.DUMMYFUNCTION("""COMPUTED_VALUE"""),689.0)</f>
        <v>689</v>
      </c>
      <c r="H49" s="7" t="str">
        <f>IFERROR(__xludf.DUMMYFUNCTION("""COMPUTED_VALUE"""),"Nguyễn Xuân Nam")</f>
        <v>Nguyễn Xuân Nam</v>
      </c>
      <c r="I49" s="7" t="str">
        <f>IFERROR(__xludf.DUMMYFUNCTION("""COMPUTED_VALUE"""),"Nam")</f>
        <v>Nam</v>
      </c>
      <c r="J49" s="17">
        <f>IFERROR(__xludf.DUMMYFUNCTION("""COMPUTED_VALUE"""),26482.0)</f>
        <v>26482</v>
      </c>
      <c r="K49" s="7" t="str">
        <f>IFERROR(__xludf.DUMMYFUNCTION("""COMPUTED_VALUE"""),"Nguyệt Viên 2 - Hoằng Quang - TP.Thanh Hóa")</f>
        <v>Nguyệt Viên 2 - Hoằng Quang - TP.Thanh Hóa</v>
      </c>
      <c r="L49" s="20" t="str">
        <f>IFERROR(__xludf.DUMMYFUNCTION("""COMPUTED_VALUE"""),"0393574089")</f>
        <v>0393574089</v>
      </c>
      <c r="M49" s="7" t="str">
        <f>IFERROR(__xludf.DUMMYFUNCTION("""COMPUTED_VALUE"""),"038072001775")</f>
        <v>038072001775</v>
      </c>
      <c r="N49" s="18">
        <f>IFERROR(__xludf.DUMMYFUNCTION("""COMPUTED_VALUE"""),44508.0)</f>
        <v>44508</v>
      </c>
      <c r="O49" s="7" t="str">
        <f>IFERROR(__xludf.DUMMYFUNCTION("""COMPUTED_VALUE"""),"Cục Cảnh sát QLHC về TTXH")</f>
        <v>Cục Cảnh sát QLHC về TTXH</v>
      </c>
      <c r="P49" s="7" t="str">
        <f>IFERROR(__xludf.DUMMYFUNCTION("""COMPUTED_VALUE"""),"LĐPT")</f>
        <v>LĐPT</v>
      </c>
      <c r="Q49" s="7" t="str">
        <f>IFERROR(__xludf.DUMMYFUNCTION("""COMPUTED_VALUE"""),"Lao động phổ thông")</f>
        <v>Lao động phổ thông</v>
      </c>
      <c r="R49" s="17">
        <f>IFERROR(__xludf.DUMMYFUNCTION("""COMPUTED_VALUE"""),40360.0)</f>
        <v>40360</v>
      </c>
      <c r="S49" s="19">
        <f>IFERROR(__xludf.DUMMYFUNCTION("""COMPUTED_VALUE"""),40360.0)</f>
        <v>40360</v>
      </c>
      <c r="T49" s="7" t="str">
        <f>IFERROR(__xludf.DUMMYFUNCTION("""COMPUTED_VALUE"""),"Chính thức")</f>
        <v>Chính thức</v>
      </c>
      <c r="U49" s="7"/>
      <c r="V49" s="7" t="str">
        <f>IFERROR(__xludf.DUMMYFUNCTION("""COMPUTED_VALUE"""),"Chính thức")</f>
        <v>Chính thức</v>
      </c>
      <c r="W49" s="7" t="str">
        <f>IFERROR(__xludf.DUMMYFUNCTION("""COMPUTED_VALUE"""),"15 năm 5 tháng")</f>
        <v>15 năm 5 tháng</v>
      </c>
      <c r="X49" s="7"/>
      <c r="Y49" s="7"/>
      <c r="Z49" s="7"/>
    </row>
    <row r="50">
      <c r="A50" s="7">
        <f>IFERROR(__xludf.DUMMYFUNCTION("""COMPUTED_VALUE"""),12.0)</f>
        <v>12</v>
      </c>
      <c r="B50" s="7" t="str">
        <f>IFERROR(__xludf.DUMMYFUNCTION("""COMPUTED_VALUE"""),"Văn phòng")</f>
        <v>Văn phòng</v>
      </c>
      <c r="C50" s="7" t="str">
        <f>IFERROR(__xludf.DUMMYFUNCTION("""COMPUTED_VALUE"""),"Phòng Tổ chức - Hành chính")</f>
        <v>Phòng Tổ chức - Hành chính</v>
      </c>
      <c r="D50" s="7" t="str">
        <f>IFERROR(__xludf.DUMMYFUNCTION("""COMPUTED_VALUE"""),"Tổ Bảo vệ")</f>
        <v>Tổ Bảo vệ</v>
      </c>
      <c r="E50" s="7" t="str">
        <f>IFERROR(__xludf.DUMMYFUNCTION("""COMPUTED_VALUE"""),"Nhân viên bảo vệ")</f>
        <v>Nhân viên bảo vệ</v>
      </c>
      <c r="F50" s="7" t="str">
        <f>IFERROR(__xludf.DUMMYFUNCTION("""COMPUTED_VALUE"""),"NV0357")</f>
        <v>NV0357</v>
      </c>
      <c r="G50" s="7">
        <f>IFERROR(__xludf.DUMMYFUNCTION("""COMPUTED_VALUE"""),641.0)</f>
        <v>641</v>
      </c>
      <c r="H50" s="7" t="str">
        <f>IFERROR(__xludf.DUMMYFUNCTION("""COMPUTED_VALUE"""),"Nguyễn Quốc Nghĩa")</f>
        <v>Nguyễn Quốc Nghĩa</v>
      </c>
      <c r="I50" s="7" t="str">
        <f>IFERROR(__xludf.DUMMYFUNCTION("""COMPUTED_VALUE"""),"Nam")</f>
        <v>Nam</v>
      </c>
      <c r="J50" s="17">
        <f>IFERROR(__xludf.DUMMYFUNCTION("""COMPUTED_VALUE"""),26063.0)</f>
        <v>26063</v>
      </c>
      <c r="K50" s="7" t="str">
        <f>IFERROR(__xludf.DUMMYFUNCTION("""COMPUTED_VALUE"""),"Nguyệt Viên 2, Xã Hoằng Quang, Thành phố Thanh Hóa,")</f>
        <v>Nguyệt Viên 2, Xã Hoằng Quang, Thành phố Thanh Hóa,</v>
      </c>
      <c r="L50" s="20" t="str">
        <f>IFERROR(__xludf.DUMMYFUNCTION("""COMPUTED_VALUE"""),"0989213769")</f>
        <v>0989213769</v>
      </c>
      <c r="M50" s="7" t="str">
        <f>IFERROR(__xludf.DUMMYFUNCTION("""COMPUTED_VALUE"""),"038071034608")</f>
        <v>038071034608</v>
      </c>
      <c r="N50" s="18">
        <f>IFERROR(__xludf.DUMMYFUNCTION("""COMPUTED_VALUE"""),44348.0)</f>
        <v>44348</v>
      </c>
      <c r="O50" s="7" t="str">
        <f>IFERROR(__xludf.DUMMYFUNCTION("""COMPUTED_VALUE"""),"Cục Cảnh sát QLHC về TTXH")</f>
        <v>Cục Cảnh sát QLHC về TTXH</v>
      </c>
      <c r="P50" s="7" t="str">
        <f>IFERROR(__xludf.DUMMYFUNCTION("""COMPUTED_VALUE"""),"LĐPT")</f>
        <v>LĐPT</v>
      </c>
      <c r="Q50" s="7" t="str">
        <f>IFERROR(__xludf.DUMMYFUNCTION("""COMPUTED_VALUE"""),"Lao động phổ thông")</f>
        <v>Lao động phổ thông</v>
      </c>
      <c r="R50" s="17">
        <f>IFERROR(__xludf.DUMMYFUNCTION("""COMPUTED_VALUE"""),39114.0)</f>
        <v>39114</v>
      </c>
      <c r="S50" s="19">
        <f>IFERROR(__xludf.DUMMYFUNCTION("""COMPUTED_VALUE"""),39114.0)</f>
        <v>39114</v>
      </c>
      <c r="T50" s="7" t="str">
        <f>IFERROR(__xludf.DUMMYFUNCTION("""COMPUTED_VALUE"""),"Chính thức")</f>
        <v>Chính thức</v>
      </c>
      <c r="U50" s="7"/>
      <c r="V50" s="7" t="str">
        <f>IFERROR(__xludf.DUMMYFUNCTION("""COMPUTED_VALUE"""),"Chính thức")</f>
        <v>Chính thức</v>
      </c>
      <c r="W50" s="7" t="str">
        <f>IFERROR(__xludf.DUMMYFUNCTION("""COMPUTED_VALUE"""),"18 năm 10 tháng")</f>
        <v>18 năm 10 tháng</v>
      </c>
      <c r="X50" s="7"/>
      <c r="Y50" s="7"/>
      <c r="Z50" s="7"/>
    </row>
    <row r="51">
      <c r="A51" s="7">
        <f>IFERROR(__xludf.DUMMYFUNCTION("""COMPUTED_VALUE"""),13.0)</f>
        <v>13</v>
      </c>
      <c r="B51" s="7" t="str">
        <f>IFERROR(__xludf.DUMMYFUNCTION("""COMPUTED_VALUE"""),"Văn phòng")</f>
        <v>Văn phòng</v>
      </c>
      <c r="C51" s="7" t="str">
        <f>IFERROR(__xludf.DUMMYFUNCTION("""COMPUTED_VALUE"""),"Phòng Tổ chức - Hành chính")</f>
        <v>Phòng Tổ chức - Hành chính</v>
      </c>
      <c r="D51" s="7" t="str">
        <f>IFERROR(__xludf.DUMMYFUNCTION("""COMPUTED_VALUE"""),"Tổ Bảo vệ")</f>
        <v>Tổ Bảo vệ</v>
      </c>
      <c r="E51" s="7" t="str">
        <f>IFERROR(__xludf.DUMMYFUNCTION("""COMPUTED_VALUE"""),"Bảo vệ kiêm xuất hàng")</f>
        <v>Bảo vệ kiêm xuất hàng</v>
      </c>
      <c r="F51" s="7" t="str">
        <f>IFERROR(__xludf.DUMMYFUNCTION("""COMPUTED_VALUE"""),"NV2579")</f>
        <v>NV2579</v>
      </c>
      <c r="G51" s="7">
        <f>IFERROR(__xludf.DUMMYFUNCTION("""COMPUTED_VALUE"""),198.0)</f>
        <v>198</v>
      </c>
      <c r="H51" s="7" t="str">
        <f>IFERROR(__xludf.DUMMYFUNCTION("""COMPUTED_VALUE"""),"Lê Văn Chính")</f>
        <v>Lê Văn Chính</v>
      </c>
      <c r="I51" s="7" t="str">
        <f>IFERROR(__xludf.DUMMYFUNCTION("""COMPUTED_VALUE"""),"Nam")</f>
        <v>Nam</v>
      </c>
      <c r="J51" s="17">
        <f>IFERROR(__xludf.DUMMYFUNCTION("""COMPUTED_VALUE"""),26334.0)</f>
        <v>26334</v>
      </c>
      <c r="K51" s="7" t="str">
        <f>IFERROR(__xludf.DUMMYFUNCTION("""COMPUTED_VALUE"""),"Thôn Định Thanh - Quảng Định - Quảng Xương - Thanh Hoá")</f>
        <v>Thôn Định Thanh - Quảng Định - Quảng Xương - Thanh Hoá</v>
      </c>
      <c r="L51" s="20" t="str">
        <f>IFERROR(__xludf.DUMMYFUNCTION("""COMPUTED_VALUE"""),"0987249346")</f>
        <v>0987249346</v>
      </c>
      <c r="M51" s="7" t="str">
        <f>IFERROR(__xludf.DUMMYFUNCTION("""COMPUTED_VALUE"""),"038072030650")</f>
        <v>038072030650</v>
      </c>
      <c r="N51" s="18">
        <f>IFERROR(__xludf.DUMMYFUNCTION("""COMPUTED_VALUE"""),44423.0)</f>
        <v>44423</v>
      </c>
      <c r="O51" s="7" t="str">
        <f>IFERROR(__xludf.DUMMYFUNCTION("""COMPUTED_VALUE"""),"Cục Cảnh sát QLHC về TTXH")</f>
        <v>Cục Cảnh sát QLHC về TTXH</v>
      </c>
      <c r="P51" s="7" t="str">
        <f>IFERROR(__xludf.DUMMYFUNCTION("""COMPUTED_VALUE"""),"LĐPT")</f>
        <v>LĐPT</v>
      </c>
      <c r="Q51" s="7" t="str">
        <f>IFERROR(__xludf.DUMMYFUNCTION("""COMPUTED_VALUE"""),"Lao động phổ thông")</f>
        <v>Lao động phổ thông</v>
      </c>
      <c r="R51" s="17">
        <f>IFERROR(__xludf.DUMMYFUNCTION("""COMPUTED_VALUE"""),43735.0)</f>
        <v>43735</v>
      </c>
      <c r="S51" s="19">
        <f>IFERROR(__xludf.DUMMYFUNCTION("""COMPUTED_VALUE"""),44044.0)</f>
        <v>44044</v>
      </c>
      <c r="T51" s="7" t="str">
        <f>IFERROR(__xludf.DUMMYFUNCTION("""COMPUTED_VALUE"""),"Chính thức")</f>
        <v>Chính thức</v>
      </c>
      <c r="U51" s="7"/>
      <c r="V51" s="7" t="str">
        <f>IFERROR(__xludf.DUMMYFUNCTION("""COMPUTED_VALUE"""),"Chính thức")</f>
        <v>Chính thức</v>
      </c>
      <c r="W51" s="7" t="str">
        <f>IFERROR(__xludf.DUMMYFUNCTION("""COMPUTED_VALUE"""),"6 năm 3 tháng")</f>
        <v>6 năm 3 tháng</v>
      </c>
      <c r="X51" s="7"/>
      <c r="Y51" s="7"/>
      <c r="Z51" s="7"/>
    </row>
    <row r="52">
      <c r="A52" s="7">
        <f>IFERROR(__xludf.DUMMYFUNCTION("""COMPUTED_VALUE"""),14.0)</f>
        <v>14</v>
      </c>
      <c r="B52" s="7" t="str">
        <f>IFERROR(__xludf.DUMMYFUNCTION("""COMPUTED_VALUE"""),"Văn phòng")</f>
        <v>Văn phòng</v>
      </c>
      <c r="C52" s="7" t="str">
        <f>IFERROR(__xludf.DUMMYFUNCTION("""COMPUTED_VALUE"""),"Phòng Tổ chức - Hành chính")</f>
        <v>Phòng Tổ chức - Hành chính</v>
      </c>
      <c r="D52" s="7" t="str">
        <f>IFERROR(__xludf.DUMMYFUNCTION("""COMPUTED_VALUE"""),"Tổ Bảo vệ")</f>
        <v>Tổ Bảo vệ</v>
      </c>
      <c r="E52" s="7" t="str">
        <f>IFERROR(__xludf.DUMMYFUNCTION("""COMPUTED_VALUE"""),"Bảo vệ kiêm xuất hàng")</f>
        <v>Bảo vệ kiêm xuất hàng</v>
      </c>
      <c r="F52" s="7" t="str">
        <f>IFERROR(__xludf.DUMMYFUNCTION("""COMPUTED_VALUE"""),"NV2800")</f>
        <v>NV2800</v>
      </c>
      <c r="G52" s="7">
        <f>IFERROR(__xludf.DUMMYFUNCTION("""COMPUTED_VALUE"""),219.0)</f>
        <v>219</v>
      </c>
      <c r="H52" s="7" t="str">
        <f>IFERROR(__xludf.DUMMYFUNCTION("""COMPUTED_VALUE"""),"Đoàn Thế Nhân")</f>
        <v>Đoàn Thế Nhân</v>
      </c>
      <c r="I52" s="7" t="str">
        <f>IFERROR(__xludf.DUMMYFUNCTION("""COMPUTED_VALUE"""),"Nam")</f>
        <v>Nam</v>
      </c>
      <c r="J52" s="17">
        <f>IFERROR(__xludf.DUMMYFUNCTION("""COMPUTED_VALUE"""),26946.0)</f>
        <v>26946</v>
      </c>
      <c r="K52" s="7" t="str">
        <f>IFERROR(__xludf.DUMMYFUNCTION("""COMPUTED_VALUE"""),"Quảng Định - Quảng Xương - Thanh Hóa")</f>
        <v>Quảng Định - Quảng Xương - Thanh Hóa</v>
      </c>
      <c r="L52" s="20" t="str">
        <f>IFERROR(__xludf.DUMMYFUNCTION("""COMPUTED_VALUE"""),"0944840399")</f>
        <v>0944840399</v>
      </c>
      <c r="M52" s="7" t="str">
        <f>IFERROR(__xludf.DUMMYFUNCTION("""COMPUTED_VALUE"""),"038073020361")</f>
        <v>038073020361</v>
      </c>
      <c r="N52" s="18">
        <f>IFERROR(__xludf.DUMMYFUNCTION("""COMPUTED_VALUE"""),44419.0)</f>
        <v>44419</v>
      </c>
      <c r="O52" s="7" t="str">
        <f>IFERROR(__xludf.DUMMYFUNCTION("""COMPUTED_VALUE"""),"Cục Cảnh sát QLHC về TTXH")</f>
        <v>Cục Cảnh sát QLHC về TTXH</v>
      </c>
      <c r="P52" s="7" t="str">
        <f>IFERROR(__xludf.DUMMYFUNCTION("""COMPUTED_VALUE"""),"LĐPT")</f>
        <v>LĐPT</v>
      </c>
      <c r="Q52" s="7" t="str">
        <f>IFERROR(__xludf.DUMMYFUNCTION("""COMPUTED_VALUE"""),"Lao động phổ thông")</f>
        <v>Lao động phổ thông</v>
      </c>
      <c r="R52" s="17">
        <f>IFERROR(__xludf.DUMMYFUNCTION("""COMPUTED_VALUE"""),43880.0)</f>
        <v>43880</v>
      </c>
      <c r="S52" s="19">
        <f>IFERROR(__xludf.DUMMYFUNCTION("""COMPUTED_VALUE"""),44166.0)</f>
        <v>44166</v>
      </c>
      <c r="T52" s="7" t="str">
        <f>IFERROR(__xludf.DUMMYFUNCTION("""COMPUTED_VALUE"""),"Chính thức")</f>
        <v>Chính thức</v>
      </c>
      <c r="U52" s="7"/>
      <c r="V52" s="7" t="str">
        <f>IFERROR(__xludf.DUMMYFUNCTION("""COMPUTED_VALUE"""),"Chính thức")</f>
        <v>Chính thức</v>
      </c>
      <c r="W52" s="7" t="str">
        <f>IFERROR(__xludf.DUMMYFUNCTION("""COMPUTED_VALUE"""),"5 năm 10 tháng")</f>
        <v>5 năm 10 tháng</v>
      </c>
      <c r="X52" s="7"/>
      <c r="Y52" s="7"/>
      <c r="Z52" s="7"/>
    </row>
    <row r="53">
      <c r="A53" s="7">
        <f>IFERROR(__xludf.DUMMYFUNCTION("""COMPUTED_VALUE"""),15.0)</f>
        <v>15</v>
      </c>
      <c r="B53" s="7" t="str">
        <f>IFERROR(__xludf.DUMMYFUNCTION("""COMPUTED_VALUE"""),"Văn phòng")</f>
        <v>Văn phòng</v>
      </c>
      <c r="C53" s="7" t="str">
        <f>IFERROR(__xludf.DUMMYFUNCTION("""COMPUTED_VALUE"""),"Phòng Tổ chức - Hành chính")</f>
        <v>Phòng Tổ chức - Hành chính</v>
      </c>
      <c r="D53" s="7" t="str">
        <f>IFERROR(__xludf.DUMMYFUNCTION("""COMPUTED_VALUE"""),"Tổ Bảo vệ")</f>
        <v>Tổ Bảo vệ</v>
      </c>
      <c r="E53" s="7" t="str">
        <f>IFERROR(__xludf.DUMMYFUNCTION("""COMPUTED_VALUE"""),"Bảo vệ kiêm xuất hàng")</f>
        <v>Bảo vệ kiêm xuất hàng</v>
      </c>
      <c r="F53" s="7" t="str">
        <f>IFERROR(__xludf.DUMMYFUNCTION("""COMPUTED_VALUE"""),"NV0412")</f>
        <v>NV0412</v>
      </c>
      <c r="G53" s="7">
        <f>IFERROR(__xludf.DUMMYFUNCTION("""COMPUTED_VALUE"""),805.0)</f>
        <v>805</v>
      </c>
      <c r="H53" s="7" t="str">
        <f>IFERROR(__xludf.DUMMYFUNCTION("""COMPUTED_VALUE"""),"Trần Đức Đảm")</f>
        <v>Trần Đức Đảm</v>
      </c>
      <c r="I53" s="7" t="str">
        <f>IFERROR(__xludf.DUMMYFUNCTION("""COMPUTED_VALUE"""),"Nam")</f>
        <v>Nam</v>
      </c>
      <c r="J53" s="17">
        <f>IFERROR(__xludf.DUMMYFUNCTION("""COMPUTED_VALUE"""),22841.0)</f>
        <v>22841</v>
      </c>
      <c r="K53" s="7" t="str">
        <f>IFERROR(__xludf.DUMMYFUNCTION("""COMPUTED_VALUE"""),"Thôn Tiến Đức, Xã Hoằng Châu, Huyện Hoằng Hóa, Thanh Hóa")</f>
        <v>Thôn Tiến Đức, Xã Hoằng Châu, Huyện Hoằng Hóa, Thanh Hóa</v>
      </c>
      <c r="L53" s="20" t="str">
        <f>IFERROR(__xludf.DUMMYFUNCTION("""COMPUTED_VALUE"""),"0359919069")</f>
        <v>0359919069</v>
      </c>
      <c r="M53" s="7" t="str">
        <f>IFERROR(__xludf.DUMMYFUNCTION("""COMPUTED_VALUE"""),"038062000974")</f>
        <v>038062000974</v>
      </c>
      <c r="N53" s="18">
        <f>IFERROR(__xludf.DUMMYFUNCTION("""COMPUTED_VALUE"""),45125.0)</f>
        <v>45125</v>
      </c>
      <c r="O53" s="7" t="str">
        <f>IFERROR(__xludf.DUMMYFUNCTION("""COMPUTED_VALUE"""),"Cục Cảnh sát QLHC về TTXH")</f>
        <v>Cục Cảnh sát QLHC về TTXH</v>
      </c>
      <c r="P53" s="7" t="str">
        <f>IFERROR(__xludf.DUMMYFUNCTION("""COMPUTED_VALUE"""),"LĐPT")</f>
        <v>LĐPT</v>
      </c>
      <c r="Q53" s="7" t="str">
        <f>IFERROR(__xludf.DUMMYFUNCTION("""COMPUTED_VALUE"""),"Lao động phổ thông")</f>
        <v>Lao động phổ thông</v>
      </c>
      <c r="R53" s="17">
        <f>IFERROR(__xludf.DUMMYFUNCTION("""COMPUTED_VALUE"""),39173.0)</f>
        <v>39173</v>
      </c>
      <c r="S53" s="19">
        <f>IFERROR(__xludf.DUMMYFUNCTION("""COMPUTED_VALUE"""),39173.0)</f>
        <v>39173</v>
      </c>
      <c r="T53" s="7" t="str">
        <f>IFERROR(__xludf.DUMMYFUNCTION("""COMPUTED_VALUE"""),"Chính thức")</f>
        <v>Chính thức</v>
      </c>
      <c r="U53" s="7"/>
      <c r="V53" s="7" t="str">
        <f>IFERROR(__xludf.DUMMYFUNCTION("""COMPUTED_VALUE"""),"Chính thức")</f>
        <v>Chính thức</v>
      </c>
      <c r="W53" s="7" t="str">
        <f>IFERROR(__xludf.DUMMYFUNCTION("""COMPUTED_VALUE"""),"18 năm 8 tháng")</f>
        <v>18 năm 8 tháng</v>
      </c>
      <c r="X53" s="7"/>
      <c r="Y53" s="7"/>
      <c r="Z53" s="7"/>
    </row>
    <row r="54">
      <c r="A54" s="7">
        <f>IFERROR(__xludf.DUMMYFUNCTION("""COMPUTED_VALUE"""),16.0)</f>
        <v>16</v>
      </c>
      <c r="B54" s="7" t="str">
        <f>IFERROR(__xludf.DUMMYFUNCTION("""COMPUTED_VALUE"""),"Văn phòng")</f>
        <v>Văn phòng</v>
      </c>
      <c r="C54" s="7" t="str">
        <f>IFERROR(__xludf.DUMMYFUNCTION("""COMPUTED_VALUE"""),"Phòng Tổ chức - Hành chính")</f>
        <v>Phòng Tổ chức - Hành chính</v>
      </c>
      <c r="D54" s="7" t="str">
        <f>IFERROR(__xludf.DUMMYFUNCTION("""COMPUTED_VALUE"""),"Tổ Bảo vệ")</f>
        <v>Tổ Bảo vệ</v>
      </c>
      <c r="E54" s="7" t="str">
        <f>IFERROR(__xludf.DUMMYFUNCTION("""COMPUTED_VALUE"""),"Bảo vệ kiêm xuất hàng")</f>
        <v>Bảo vệ kiêm xuất hàng</v>
      </c>
      <c r="F54" s="7" t="str">
        <f>IFERROR(__xludf.DUMMYFUNCTION("""COMPUTED_VALUE"""),"NV2756")</f>
        <v>NV2756</v>
      </c>
      <c r="G54" s="7">
        <f>IFERROR(__xludf.DUMMYFUNCTION("""COMPUTED_VALUE"""),193.0)</f>
        <v>193</v>
      </c>
      <c r="H54" s="7" t="str">
        <f>IFERROR(__xludf.DUMMYFUNCTION("""COMPUTED_VALUE"""),"Lê Ngọc Hải")</f>
        <v>Lê Ngọc Hải</v>
      </c>
      <c r="I54" s="7" t="str">
        <f>IFERROR(__xludf.DUMMYFUNCTION("""COMPUTED_VALUE"""),"Nam")</f>
        <v>Nam</v>
      </c>
      <c r="J54" s="17">
        <f>IFERROR(__xludf.DUMMYFUNCTION("""COMPUTED_VALUE"""),27443.0)</f>
        <v>27443</v>
      </c>
      <c r="K54" s="7" t="str">
        <f>IFERROR(__xludf.DUMMYFUNCTION("""COMPUTED_VALUE"""),"Sn31 Yết Kiêu Phương - Đông Sơn - Thành Phố Thanh Hóa")</f>
        <v>Sn31 Yết Kiêu Phương - Đông Sơn - Thành Phố Thanh Hóa</v>
      </c>
      <c r="L54" s="20" t="str">
        <f>IFERROR(__xludf.DUMMYFUNCTION("""COMPUTED_VALUE"""),"0974175405")</f>
        <v>0974175405</v>
      </c>
      <c r="M54" s="7" t="str">
        <f>IFERROR(__xludf.DUMMYFUNCTION("""COMPUTED_VALUE"""),"038075035498")</f>
        <v>038075035498</v>
      </c>
      <c r="N54" s="18">
        <f>IFERROR(__xludf.DUMMYFUNCTION("""COMPUTED_VALUE"""),44440.0)</f>
        <v>44440</v>
      </c>
      <c r="O54" s="7" t="str">
        <f>IFERROR(__xludf.DUMMYFUNCTION("""COMPUTED_VALUE"""),"Cục Cảnh sát QLHC về TTXH")</f>
        <v>Cục Cảnh sát QLHC về TTXH</v>
      </c>
      <c r="P54" s="7" t="str">
        <f>IFERROR(__xludf.DUMMYFUNCTION("""COMPUTED_VALUE"""),"LĐPT")</f>
        <v>LĐPT</v>
      </c>
      <c r="Q54" s="7" t="str">
        <f>IFERROR(__xludf.DUMMYFUNCTION("""COMPUTED_VALUE"""),"Lao động phổ thông")</f>
        <v>Lao động phổ thông</v>
      </c>
      <c r="R54" s="17">
        <f>IFERROR(__xludf.DUMMYFUNCTION("""COMPUTED_VALUE"""),43875.0)</f>
        <v>43875</v>
      </c>
      <c r="S54" s="19">
        <f>IFERROR(__xludf.DUMMYFUNCTION("""COMPUTED_VALUE"""),44166.0)</f>
        <v>44166</v>
      </c>
      <c r="T54" s="7" t="str">
        <f>IFERROR(__xludf.DUMMYFUNCTION("""COMPUTED_VALUE"""),"Chính thức")</f>
        <v>Chính thức</v>
      </c>
      <c r="U54" s="7"/>
      <c r="V54" s="7" t="str">
        <f>IFERROR(__xludf.DUMMYFUNCTION("""COMPUTED_VALUE"""),"Chính thức")</f>
        <v>Chính thức</v>
      </c>
      <c r="W54" s="7" t="str">
        <f>IFERROR(__xludf.DUMMYFUNCTION("""COMPUTED_VALUE"""),"5 năm 10 tháng")</f>
        <v>5 năm 10 tháng</v>
      </c>
      <c r="X54" s="7"/>
      <c r="Y54" s="7"/>
      <c r="Z54" s="7"/>
    </row>
    <row r="55">
      <c r="A55" s="7">
        <f>IFERROR(__xludf.DUMMYFUNCTION("""COMPUTED_VALUE"""),17.0)</f>
        <v>17</v>
      </c>
      <c r="B55" s="7" t="str">
        <f>IFERROR(__xludf.DUMMYFUNCTION("""COMPUTED_VALUE"""),"Văn phòng")</f>
        <v>Văn phòng</v>
      </c>
      <c r="C55" s="7" t="str">
        <f>IFERROR(__xludf.DUMMYFUNCTION("""COMPUTED_VALUE"""),"Phòng Tổ chức - Hành chính")</f>
        <v>Phòng Tổ chức - Hành chính</v>
      </c>
      <c r="D55" s="7" t="str">
        <f>IFERROR(__xludf.DUMMYFUNCTION("""COMPUTED_VALUE"""),"Tổ Bảo vệ")</f>
        <v>Tổ Bảo vệ</v>
      </c>
      <c r="E55" s="7" t="str">
        <f>IFERROR(__xludf.DUMMYFUNCTION("""COMPUTED_VALUE"""),"Bảo vệ kiêm xuất hàng")</f>
        <v>Bảo vệ kiêm xuất hàng</v>
      </c>
      <c r="F55" s="7" t="str">
        <f>IFERROR(__xludf.DUMMYFUNCTION("""COMPUTED_VALUE"""),"NV4129")</f>
        <v>NV4129</v>
      </c>
      <c r="G55" s="7">
        <f>IFERROR(__xludf.DUMMYFUNCTION("""COMPUTED_VALUE"""),258.0)</f>
        <v>258</v>
      </c>
      <c r="H55" s="7" t="str">
        <f>IFERROR(__xludf.DUMMYFUNCTION("""COMPUTED_VALUE"""),"Nguyễn Xuân Lợi")</f>
        <v>Nguyễn Xuân Lợi</v>
      </c>
      <c r="I55" s="7" t="str">
        <f>IFERROR(__xludf.DUMMYFUNCTION("""COMPUTED_VALUE"""),"Nam")</f>
        <v>Nam</v>
      </c>
      <c r="J55" s="17">
        <f>IFERROR(__xludf.DUMMYFUNCTION("""COMPUTED_VALUE"""),28043.0)</f>
        <v>28043</v>
      </c>
      <c r="K55" s="7" t="str">
        <f>IFERROR(__xludf.DUMMYFUNCTION("""COMPUTED_VALUE"""),"Thành Yên - Quảng Thành - Thành Phố Thanh Hóa")</f>
        <v>Thành Yên - Quảng Thành - Thành Phố Thanh Hóa</v>
      </c>
      <c r="L55" s="20" t="str">
        <f>IFERROR(__xludf.DUMMYFUNCTION("""COMPUTED_VALUE"""),"0948714948")</f>
        <v>0948714948</v>
      </c>
      <c r="M55" s="7" t="str">
        <f>IFERROR(__xludf.DUMMYFUNCTION("""COMPUTED_VALUE"""),"038076033489")</f>
        <v>038076033489</v>
      </c>
      <c r="N55" s="18">
        <f>IFERROR(__xludf.DUMMYFUNCTION("""COMPUTED_VALUE"""),44422.0)</f>
        <v>44422</v>
      </c>
      <c r="O55" s="7" t="str">
        <f>IFERROR(__xludf.DUMMYFUNCTION("""COMPUTED_VALUE"""),"Cục Cảnh sát QLHC về TTXH")</f>
        <v>Cục Cảnh sát QLHC về TTXH</v>
      </c>
      <c r="P55" s="7" t="str">
        <f>IFERROR(__xludf.DUMMYFUNCTION("""COMPUTED_VALUE"""),"LĐPT")</f>
        <v>LĐPT</v>
      </c>
      <c r="Q55" s="7" t="str">
        <f>IFERROR(__xludf.DUMMYFUNCTION("""COMPUTED_VALUE"""),"Lao động phổ thông")</f>
        <v>Lao động phổ thông</v>
      </c>
      <c r="R55" s="17">
        <f>IFERROR(__xludf.DUMMYFUNCTION("""COMPUTED_VALUE"""),44666.0)</f>
        <v>44666</v>
      </c>
      <c r="S55" s="19">
        <f>IFERROR(__xludf.DUMMYFUNCTION("""COMPUTED_VALUE"""),45383.0)</f>
        <v>45383</v>
      </c>
      <c r="T55" s="7" t="str">
        <f>IFERROR(__xludf.DUMMYFUNCTION("""COMPUTED_VALUE"""),"Chính thức")</f>
        <v>Chính thức</v>
      </c>
      <c r="U55" s="7"/>
      <c r="V55" s="7" t="str">
        <f>IFERROR(__xludf.DUMMYFUNCTION("""COMPUTED_VALUE"""),"Chính thức")</f>
        <v>Chính thức</v>
      </c>
      <c r="W55" s="7" t="str">
        <f>IFERROR(__xludf.DUMMYFUNCTION("""COMPUTED_VALUE"""),"3 năm 8 tháng")</f>
        <v>3 năm 8 tháng</v>
      </c>
      <c r="X55" s="7"/>
      <c r="Y55" s="7"/>
      <c r="Z55" s="7"/>
    </row>
    <row r="56">
      <c r="A56" s="7">
        <f>IFERROR(__xludf.DUMMYFUNCTION("""COMPUTED_VALUE"""),18.0)</f>
        <v>18</v>
      </c>
      <c r="B56" s="7" t="str">
        <f>IFERROR(__xludf.DUMMYFUNCTION("""COMPUTED_VALUE"""),"Văn phòng")</f>
        <v>Văn phòng</v>
      </c>
      <c r="C56" s="7" t="str">
        <f>IFERROR(__xludf.DUMMYFUNCTION("""COMPUTED_VALUE"""),"Phòng Tổ chức - Hành chính")</f>
        <v>Phòng Tổ chức - Hành chính</v>
      </c>
      <c r="D56" s="7" t="str">
        <f>IFERROR(__xludf.DUMMYFUNCTION("""COMPUTED_VALUE"""),"Tổ Bảo vệ")</f>
        <v>Tổ Bảo vệ</v>
      </c>
      <c r="E56" s="7" t="str">
        <f>IFERROR(__xludf.DUMMYFUNCTION("""COMPUTED_VALUE"""),"Nhân viên bảo vệ")</f>
        <v>Nhân viên bảo vệ</v>
      </c>
      <c r="F56" s="7" t="str">
        <f>IFERROR(__xludf.DUMMYFUNCTION("""COMPUTED_VALUE"""),"NV3683")</f>
        <v>NV3683</v>
      </c>
      <c r="G56" s="7">
        <f>IFERROR(__xludf.DUMMYFUNCTION("""COMPUTED_VALUE"""),52.0)</f>
        <v>52</v>
      </c>
      <c r="H56" s="7" t="str">
        <f>IFERROR(__xludf.DUMMYFUNCTION("""COMPUTED_VALUE"""),"Trịnh Thanh Hà")</f>
        <v>Trịnh Thanh Hà</v>
      </c>
      <c r="I56" s="7" t="str">
        <f>IFERROR(__xludf.DUMMYFUNCTION("""COMPUTED_VALUE"""),"Nam")</f>
        <v>Nam</v>
      </c>
      <c r="J56" s="17">
        <f>IFERROR(__xludf.DUMMYFUNCTION("""COMPUTED_VALUE"""),27898.0)</f>
        <v>27898</v>
      </c>
      <c r="K56" s="7" t="str">
        <f>IFERROR(__xludf.DUMMYFUNCTION("""COMPUTED_VALUE"""),"Phổ 6, Xã Quảng Phú, Thành phố Thanh Hóa, Thanh Hóa")</f>
        <v>Phổ 6, Xã Quảng Phú, Thành phố Thanh Hóa, Thanh Hóa</v>
      </c>
      <c r="L56" s="20" t="str">
        <f>IFERROR(__xludf.DUMMYFUNCTION("""COMPUTED_VALUE"""),"0948011403")</f>
        <v>0948011403</v>
      </c>
      <c r="M56" s="7" t="str">
        <f>IFERROR(__xludf.DUMMYFUNCTION("""COMPUTED_VALUE"""),"038076008786")</f>
        <v>038076008786</v>
      </c>
      <c r="N56" s="18">
        <f>IFERROR(__xludf.DUMMYFUNCTION("""COMPUTED_VALUE"""),44445.0)</f>
        <v>44445</v>
      </c>
      <c r="O56" s="7" t="str">
        <f>IFERROR(__xludf.DUMMYFUNCTION("""COMPUTED_VALUE"""),"Cục Cảnh sát QLHC về TTXH")</f>
        <v>Cục Cảnh sát QLHC về TTXH</v>
      </c>
      <c r="P56" s="7" t="str">
        <f>IFERROR(__xludf.DUMMYFUNCTION("""COMPUTED_VALUE"""),"LĐPT")</f>
        <v>LĐPT</v>
      </c>
      <c r="Q56" s="7" t="str">
        <f>IFERROR(__xludf.DUMMYFUNCTION("""COMPUTED_VALUE"""),"Lao động phổ thông")</f>
        <v>Lao động phổ thông</v>
      </c>
      <c r="R56" s="17">
        <f>IFERROR(__xludf.DUMMYFUNCTION("""COMPUTED_VALUE"""),44344.0)</f>
        <v>44344</v>
      </c>
      <c r="S56" s="19">
        <f>IFERROR(__xludf.DUMMYFUNCTION("""COMPUTED_VALUE"""),44621.0)</f>
        <v>44621</v>
      </c>
      <c r="T56" s="7" t="str">
        <f>IFERROR(__xludf.DUMMYFUNCTION("""COMPUTED_VALUE"""),"Chính thức")</f>
        <v>Chính thức</v>
      </c>
      <c r="U56" s="7"/>
      <c r="V56" s="7" t="str">
        <f>IFERROR(__xludf.DUMMYFUNCTION("""COMPUTED_VALUE"""),"Chính thức")</f>
        <v>Chính thức</v>
      </c>
      <c r="W56" s="7" t="str">
        <f>IFERROR(__xludf.DUMMYFUNCTION("""COMPUTED_VALUE"""),"4 năm 7 tháng")</f>
        <v>4 năm 7 tháng</v>
      </c>
      <c r="X56" s="7"/>
      <c r="Y56" s="7"/>
      <c r="Z56" s="7"/>
    </row>
    <row r="57">
      <c r="A57" s="7">
        <f>IFERROR(__xludf.DUMMYFUNCTION("""COMPUTED_VALUE"""),19.0)</f>
        <v>19</v>
      </c>
      <c r="B57" s="7" t="str">
        <f>IFERROR(__xludf.DUMMYFUNCTION("""COMPUTED_VALUE"""),"Văn phòng")</f>
        <v>Văn phòng</v>
      </c>
      <c r="C57" s="7" t="str">
        <f>IFERROR(__xludf.DUMMYFUNCTION("""COMPUTED_VALUE"""),"Phòng Tổ chức - Hành chính")</f>
        <v>Phòng Tổ chức - Hành chính</v>
      </c>
      <c r="D57" s="7" t="str">
        <f>IFERROR(__xludf.DUMMYFUNCTION("""COMPUTED_VALUE"""),"Tổ Bảo vệ")</f>
        <v>Tổ Bảo vệ</v>
      </c>
      <c r="E57" s="7" t="str">
        <f>IFERROR(__xludf.DUMMYFUNCTION("""COMPUTED_VALUE"""),"Nhân viên bảo vệ")</f>
        <v>Nhân viên bảo vệ</v>
      </c>
      <c r="F57" s="7" t="str">
        <f>IFERROR(__xludf.DUMMYFUNCTION("""COMPUTED_VALUE"""),"NV0918")</f>
        <v>NV0918</v>
      </c>
      <c r="G57" s="7">
        <f>IFERROR(__xludf.DUMMYFUNCTION("""COMPUTED_VALUE"""),633.0)</f>
        <v>633</v>
      </c>
      <c r="H57" s="7" t="str">
        <f>IFERROR(__xludf.DUMMYFUNCTION("""COMPUTED_VALUE"""),"Trần Công Đua")</f>
        <v>Trần Công Đua</v>
      </c>
      <c r="I57" s="7" t="str">
        <f>IFERROR(__xludf.DUMMYFUNCTION("""COMPUTED_VALUE"""),"Nam")</f>
        <v>Nam</v>
      </c>
      <c r="J57" s="17">
        <f>IFERROR(__xludf.DUMMYFUNCTION("""COMPUTED_VALUE"""),24929.0)</f>
        <v>24929</v>
      </c>
      <c r="K57" s="7" t="str">
        <f>IFERROR(__xludf.DUMMYFUNCTION("""COMPUTED_VALUE"""),"Thôn 2 -  Phường Quảng Phú - Tỉnh Thanh Hóa")</f>
        <v>Thôn 2 -  Phường Quảng Phú - Tỉnh Thanh Hóa</v>
      </c>
      <c r="L57" s="20" t="str">
        <f>IFERROR(__xludf.DUMMYFUNCTION("""COMPUTED_VALUE"""),"0359900396")</f>
        <v>0359900396</v>
      </c>
      <c r="M57" s="7" t="str">
        <f>IFERROR(__xludf.DUMMYFUNCTION("""COMPUTED_VALUE"""),"038068033068")</f>
        <v>038068033068</v>
      </c>
      <c r="N57" s="18">
        <f>IFERROR(__xludf.DUMMYFUNCTION("""COMPUTED_VALUE"""),44422.0)</f>
        <v>44422</v>
      </c>
      <c r="O57" s="7" t="str">
        <f>IFERROR(__xludf.DUMMYFUNCTION("""COMPUTED_VALUE"""),"Cục Cảnh sát QLHC về TTXH")</f>
        <v>Cục Cảnh sát QLHC về TTXH</v>
      </c>
      <c r="P57" s="7" t="str">
        <f>IFERROR(__xludf.DUMMYFUNCTION("""COMPUTED_VALUE"""),"LĐPT")</f>
        <v>LĐPT</v>
      </c>
      <c r="Q57" s="7" t="str">
        <f>IFERROR(__xludf.DUMMYFUNCTION("""COMPUTED_VALUE"""),"Lao động phổ thông")</f>
        <v>Lao động phổ thông</v>
      </c>
      <c r="R57" s="17">
        <f>IFERROR(__xludf.DUMMYFUNCTION("""COMPUTED_VALUE"""),45397.0)</f>
        <v>45397</v>
      </c>
      <c r="S57" s="19">
        <f>IFERROR(__xludf.DUMMYFUNCTION("""COMPUTED_VALUE"""),45427.0)</f>
        <v>45427</v>
      </c>
      <c r="T57" s="7" t="str">
        <f>IFERROR(__xludf.DUMMYFUNCTION("""COMPUTED_VALUE"""),"Chính thức")</f>
        <v>Chính thức</v>
      </c>
      <c r="U57" s="7"/>
      <c r="V57" s="7" t="str">
        <f>IFERROR(__xludf.DUMMYFUNCTION("""COMPUTED_VALUE"""),"Chính thức")</f>
        <v>Chính thức</v>
      </c>
      <c r="W57" s="7" t="str">
        <f>IFERROR(__xludf.DUMMYFUNCTION("""COMPUTED_VALUE"""),"1 năm 8 tháng")</f>
        <v>1 năm 8 tháng</v>
      </c>
      <c r="X57" s="7"/>
      <c r="Y57" s="7"/>
      <c r="Z57" s="7"/>
    </row>
    <row r="58">
      <c r="A58" s="7">
        <f>IFERROR(__xludf.DUMMYFUNCTION("""COMPUTED_VALUE"""),20.0)</f>
        <v>20</v>
      </c>
      <c r="B58" s="7" t="str">
        <f>IFERROR(__xludf.DUMMYFUNCTION("""COMPUTED_VALUE"""),"Văn phòng")</f>
        <v>Văn phòng</v>
      </c>
      <c r="C58" s="7" t="str">
        <f>IFERROR(__xludf.DUMMYFUNCTION("""COMPUTED_VALUE"""),"Phòng Tổ chức - Hành chính")</f>
        <v>Phòng Tổ chức - Hành chính</v>
      </c>
      <c r="D58" s="7" t="str">
        <f>IFERROR(__xludf.DUMMYFUNCTION("""COMPUTED_VALUE"""),"Tổ Bảo vệ")</f>
        <v>Tổ Bảo vệ</v>
      </c>
      <c r="E58" s="7" t="str">
        <f>IFERROR(__xludf.DUMMYFUNCTION("""COMPUTED_VALUE"""),"Bảo vệ kiêm xuất hàng")</f>
        <v>Bảo vệ kiêm xuất hàng</v>
      </c>
      <c r="F58" s="7" t="str">
        <f>IFERROR(__xludf.DUMMYFUNCTION("""COMPUTED_VALUE"""),"NV2486")</f>
        <v>NV2486</v>
      </c>
      <c r="G58" s="7">
        <f>IFERROR(__xludf.DUMMYFUNCTION("""COMPUTED_VALUE"""),201.0)</f>
        <v>201</v>
      </c>
      <c r="H58" s="7" t="str">
        <f>IFERROR(__xludf.DUMMYFUNCTION("""COMPUTED_VALUE"""),"Lê Đình Tuấn")</f>
        <v>Lê Đình Tuấn</v>
      </c>
      <c r="I58" s="7" t="str">
        <f>IFERROR(__xludf.DUMMYFUNCTION("""COMPUTED_VALUE"""),"Nam")</f>
        <v>Nam</v>
      </c>
      <c r="J58" s="17">
        <f>IFERROR(__xludf.DUMMYFUNCTION("""COMPUTED_VALUE"""),23135.0)</f>
        <v>23135</v>
      </c>
      <c r="K58" s="7" t="str">
        <f>IFERROR(__xludf.DUMMYFUNCTION("""COMPUTED_VALUE"""),"Thôn 5 - Phường Quảng Phú - Tỉnh Thanh Hóa")</f>
        <v>Thôn 5 - Phường Quảng Phú - Tỉnh Thanh Hóa</v>
      </c>
      <c r="L58" s="20" t="str">
        <f>IFERROR(__xludf.DUMMYFUNCTION("""COMPUTED_VALUE"""),"0978879626")</f>
        <v>0978879626</v>
      </c>
      <c r="M58" s="7" t="str">
        <f>IFERROR(__xludf.DUMMYFUNCTION("""COMPUTED_VALUE"""),"038063028970")</f>
        <v>038063028970</v>
      </c>
      <c r="N58" s="18">
        <f>IFERROR(__xludf.DUMMYFUNCTION("""COMPUTED_VALUE"""),44412.0)</f>
        <v>44412</v>
      </c>
      <c r="O58" s="7" t="str">
        <f>IFERROR(__xludf.DUMMYFUNCTION("""COMPUTED_VALUE"""),"Cục Cảnh sát QLHC về TTXH")</f>
        <v>Cục Cảnh sát QLHC về TTXH</v>
      </c>
      <c r="P58" s="7" t="str">
        <f>IFERROR(__xludf.DUMMYFUNCTION("""COMPUTED_VALUE"""),"LĐPT")</f>
        <v>LĐPT</v>
      </c>
      <c r="Q58" s="7" t="str">
        <f>IFERROR(__xludf.DUMMYFUNCTION("""COMPUTED_VALUE"""),"Lao động phổ thông")</f>
        <v>Lao động phổ thông</v>
      </c>
      <c r="R58" s="17">
        <f>IFERROR(__xludf.DUMMYFUNCTION("""COMPUTED_VALUE"""),43643.0)</f>
        <v>43643</v>
      </c>
      <c r="S58" s="19">
        <f>IFERROR(__xludf.DUMMYFUNCTION("""COMPUTED_VALUE"""),44013.0)</f>
        <v>44013</v>
      </c>
      <c r="T58" s="7" t="str">
        <f>IFERROR(__xludf.DUMMYFUNCTION("""COMPUTED_VALUE"""),"Chính thức")</f>
        <v>Chính thức</v>
      </c>
      <c r="U58" s="7"/>
      <c r="V58" s="7" t="str">
        <f>IFERROR(__xludf.DUMMYFUNCTION("""COMPUTED_VALUE"""),"Chính thức")</f>
        <v>Chính thức</v>
      </c>
      <c r="W58" s="7" t="str">
        <f>IFERROR(__xludf.DUMMYFUNCTION("""COMPUTED_VALUE"""),"6 năm 6 tháng")</f>
        <v>6 năm 6 tháng</v>
      </c>
      <c r="X58" s="7"/>
      <c r="Y58" s="7"/>
      <c r="Z58" s="7"/>
    </row>
    <row r="59">
      <c r="A59" s="7">
        <f>IFERROR(__xludf.DUMMYFUNCTION("""COMPUTED_VALUE"""),21.0)</f>
        <v>21</v>
      </c>
      <c r="B59" s="7" t="str">
        <f>IFERROR(__xludf.DUMMYFUNCTION("""COMPUTED_VALUE"""),"Văn phòng")</f>
        <v>Văn phòng</v>
      </c>
      <c r="C59" s="7" t="str">
        <f>IFERROR(__xludf.DUMMYFUNCTION("""COMPUTED_VALUE"""),"Phòng Tổ chức - Hành chính")</f>
        <v>Phòng Tổ chức - Hành chính</v>
      </c>
      <c r="D59" s="7" t="str">
        <f>IFERROR(__xludf.DUMMYFUNCTION("""COMPUTED_VALUE"""),"Tổ Bảo vệ")</f>
        <v>Tổ Bảo vệ</v>
      </c>
      <c r="E59" s="7" t="str">
        <f>IFERROR(__xludf.DUMMYFUNCTION("""COMPUTED_VALUE"""),"Bảo vệ kiêm xuất hàng")</f>
        <v>Bảo vệ kiêm xuất hàng</v>
      </c>
      <c r="F59" s="7" t="str">
        <f>IFERROR(__xludf.DUMMYFUNCTION("""COMPUTED_VALUE"""),"NV0369")</f>
        <v>NV0369</v>
      </c>
      <c r="G59" s="7">
        <f>IFERROR(__xludf.DUMMYFUNCTION("""COMPUTED_VALUE"""),1043.0)</f>
        <v>1043</v>
      </c>
      <c r="H59" s="7" t="str">
        <f>IFERROR(__xludf.DUMMYFUNCTION("""COMPUTED_VALUE"""),"Nguyễn Xuân Biền")</f>
        <v>Nguyễn Xuân Biền</v>
      </c>
      <c r="I59" s="7" t="str">
        <f>IFERROR(__xludf.DUMMYFUNCTION("""COMPUTED_VALUE"""),"Nam")</f>
        <v>Nam</v>
      </c>
      <c r="J59" s="17">
        <f>IFERROR(__xludf.DUMMYFUNCTION("""COMPUTED_VALUE"""),22929.0)</f>
        <v>22929</v>
      </c>
      <c r="K59" s="7" t="str">
        <f>IFERROR(__xludf.DUMMYFUNCTION("""COMPUTED_VALUE"""),"Phường Hạc Thành – Tỉnh Thanh Hóa")</f>
        <v>Phường Hạc Thành – Tỉnh Thanh Hóa</v>
      </c>
      <c r="L59" s="20" t="str">
        <f>IFERROR(__xludf.DUMMYFUNCTION("""COMPUTED_VALUE"""),"0369005469")</f>
        <v>0369005469</v>
      </c>
      <c r="M59" s="7" t="str">
        <f>IFERROR(__xludf.DUMMYFUNCTION("""COMPUTED_VALUE"""),"038062024783")</f>
        <v>038062024783</v>
      </c>
      <c r="N59" s="18">
        <f>IFERROR(__xludf.DUMMYFUNCTION("""COMPUTED_VALUE"""),44326.0)</f>
        <v>44326</v>
      </c>
      <c r="O59" s="7" t="str">
        <f>IFERROR(__xludf.DUMMYFUNCTION("""COMPUTED_VALUE"""),"Cục Cảnh sát QLHC về TTXH")</f>
        <v>Cục Cảnh sát QLHC về TTXH</v>
      </c>
      <c r="P59" s="7" t="str">
        <f>IFERROR(__xludf.DUMMYFUNCTION("""COMPUTED_VALUE"""),"LĐPT")</f>
        <v>LĐPT</v>
      </c>
      <c r="Q59" s="7" t="str">
        <f>IFERROR(__xludf.DUMMYFUNCTION("""COMPUTED_VALUE"""),"Lao động phổ thông")</f>
        <v>Lao động phổ thông</v>
      </c>
      <c r="R59" s="17">
        <f>IFERROR(__xludf.DUMMYFUNCTION("""COMPUTED_VALUE"""),45831.0)</f>
        <v>45831</v>
      </c>
      <c r="S59" s="19">
        <f>IFERROR(__xludf.DUMMYFUNCTION("""COMPUTED_VALUE"""),45831.0)</f>
        <v>45831</v>
      </c>
      <c r="T59" s="7" t="str">
        <f>IFERROR(__xludf.DUMMYFUNCTION("""COMPUTED_VALUE"""),"Chính thức")</f>
        <v>Chính thức</v>
      </c>
      <c r="U59" s="7"/>
      <c r="V59" s="7" t="str">
        <f>IFERROR(__xludf.DUMMYFUNCTION("""COMPUTED_VALUE"""),"Chính thức")</f>
        <v>Chính thức</v>
      </c>
      <c r="W59" s="7" t="str">
        <f>IFERROR(__xludf.DUMMYFUNCTION("""COMPUTED_VALUE"""),"0 năm 6 tháng")</f>
        <v>0 năm 6 tháng</v>
      </c>
      <c r="X59" s="7"/>
      <c r="Y59" s="7"/>
      <c r="Z59" s="7"/>
    </row>
    <row r="60">
      <c r="A60" s="7">
        <f>IFERROR(__xludf.DUMMYFUNCTION("""COMPUTED_VALUE"""),22.0)</f>
        <v>22</v>
      </c>
      <c r="B60" s="7" t="str">
        <f>IFERROR(__xludf.DUMMYFUNCTION("""COMPUTED_VALUE"""),"Văn phòng")</f>
        <v>Văn phòng</v>
      </c>
      <c r="C60" s="7" t="str">
        <f>IFERROR(__xludf.DUMMYFUNCTION("""COMPUTED_VALUE"""),"Phòng Tổ chức - Hành chính")</f>
        <v>Phòng Tổ chức - Hành chính</v>
      </c>
      <c r="D60" s="7" t="str">
        <f>IFERROR(__xludf.DUMMYFUNCTION("""COMPUTED_VALUE"""),"Tổ Bảo vệ")</f>
        <v>Tổ Bảo vệ</v>
      </c>
      <c r="E60" s="7" t="str">
        <f>IFERROR(__xludf.DUMMYFUNCTION("""COMPUTED_VALUE"""),"Nhân viên bảo vệ")</f>
        <v>Nhân viên bảo vệ</v>
      </c>
      <c r="F60" s="7" t="str">
        <f>IFERROR(__xludf.DUMMYFUNCTION("""COMPUTED_VALUE"""),"NV2480")</f>
        <v>NV2480</v>
      </c>
      <c r="G60" s="7">
        <f>IFERROR(__xludf.DUMMYFUNCTION("""COMPUTED_VALUE"""),802.0)</f>
        <v>802</v>
      </c>
      <c r="H60" s="7" t="str">
        <f>IFERROR(__xludf.DUMMYFUNCTION("""COMPUTED_VALUE"""),"Nguyễn Xuân Thượng")</f>
        <v>Nguyễn Xuân Thượng</v>
      </c>
      <c r="I60" s="7" t="str">
        <f>IFERROR(__xludf.DUMMYFUNCTION("""COMPUTED_VALUE"""),"Nam")</f>
        <v>Nam</v>
      </c>
      <c r="J60" s="17">
        <f>IFERROR(__xludf.DUMMYFUNCTION("""COMPUTED_VALUE"""),22209.0)</f>
        <v>22209</v>
      </c>
      <c r="K60" s="7" t="str">
        <f>IFERROR(__xludf.DUMMYFUNCTION("""COMPUTED_VALUE"""),"Phố 6 - Phường Quảng Phú - Tỉnh Thanh Hóa")</f>
        <v>Phố 6 - Phường Quảng Phú - Tỉnh Thanh Hóa</v>
      </c>
      <c r="L60" s="20" t="str">
        <f>IFERROR(__xludf.DUMMYFUNCTION("""COMPUTED_VALUE"""),"0366931060")</f>
        <v>0366931060</v>
      </c>
      <c r="M60" s="7" t="str">
        <f>IFERROR(__xludf.DUMMYFUNCTION("""COMPUTED_VALUE"""),"038060005433")</f>
        <v>038060005433</v>
      </c>
      <c r="N60" s="18">
        <f>IFERROR(__xludf.DUMMYFUNCTION("""COMPUTED_VALUE"""),44435.0)</f>
        <v>44435</v>
      </c>
      <c r="O60" s="7" t="str">
        <f>IFERROR(__xludf.DUMMYFUNCTION("""COMPUTED_VALUE"""),"Cục Cảnh sát QLHC về TTXH")</f>
        <v>Cục Cảnh sát QLHC về TTXH</v>
      </c>
      <c r="P60" s="7" t="str">
        <f>IFERROR(__xludf.DUMMYFUNCTION("""COMPUTED_VALUE"""),"LĐPT")</f>
        <v>LĐPT</v>
      </c>
      <c r="Q60" s="7" t="str">
        <f>IFERROR(__xludf.DUMMYFUNCTION("""COMPUTED_VALUE"""),"Lao động phổ thông")</f>
        <v>Lao động phổ thông</v>
      </c>
      <c r="R60" s="17">
        <f>IFERROR(__xludf.DUMMYFUNCTION("""COMPUTED_VALUE"""),45836.0)</f>
        <v>45836</v>
      </c>
      <c r="S60" s="19">
        <f>IFERROR(__xludf.DUMMYFUNCTION("""COMPUTED_VALUE"""),45866.0)</f>
        <v>45866</v>
      </c>
      <c r="T60" s="7" t="str">
        <f>IFERROR(__xludf.DUMMYFUNCTION("""COMPUTED_VALUE"""),"Chính thức")</f>
        <v>Chính thức</v>
      </c>
      <c r="U60" s="7"/>
      <c r="V60" s="7" t="str">
        <f>IFERROR(__xludf.DUMMYFUNCTION("""COMPUTED_VALUE"""),"Chính thức")</f>
        <v>Chính thức</v>
      </c>
      <c r="W60" s="7" t="str">
        <f>IFERROR(__xludf.DUMMYFUNCTION("""COMPUTED_VALUE"""),"0 năm 6 tháng")</f>
        <v>0 năm 6 tháng</v>
      </c>
      <c r="X60" s="7"/>
      <c r="Y60" s="7"/>
      <c r="Z60" s="7"/>
    </row>
    <row r="61">
      <c r="A61" s="7">
        <f>IFERROR(__xludf.DUMMYFUNCTION("""COMPUTED_VALUE"""),23.0)</f>
        <v>23</v>
      </c>
      <c r="B61" s="7" t="str">
        <f>IFERROR(__xludf.DUMMYFUNCTION("""COMPUTED_VALUE"""),"Văn phòng")</f>
        <v>Văn phòng</v>
      </c>
      <c r="C61" s="7" t="str">
        <f>IFERROR(__xludf.DUMMYFUNCTION("""COMPUTED_VALUE"""),"Phòng Tổ chức - Hành chính")</f>
        <v>Phòng Tổ chức - Hành chính</v>
      </c>
      <c r="D61" s="7" t="str">
        <f>IFERROR(__xludf.DUMMYFUNCTION("""COMPUTED_VALUE"""),"Tổ Bảo vệ")</f>
        <v>Tổ Bảo vệ</v>
      </c>
      <c r="E61" s="7" t="str">
        <f>IFERROR(__xludf.DUMMYFUNCTION("""COMPUTED_VALUE"""),"Bảo vệ kiêm xuất hàng")</f>
        <v>Bảo vệ kiêm xuất hàng</v>
      </c>
      <c r="F61" s="7" t="str">
        <f>IFERROR(__xludf.DUMMYFUNCTION("""COMPUTED_VALUE"""),"NV5691")</f>
        <v>NV5691</v>
      </c>
      <c r="G61" s="7">
        <f>IFERROR(__xludf.DUMMYFUNCTION("""COMPUTED_VALUE"""),1178.0)</f>
        <v>1178</v>
      </c>
      <c r="H61" s="7" t="str">
        <f>IFERROR(__xludf.DUMMYFUNCTION("""COMPUTED_VALUE"""),"Lê Bá Thắng")</f>
        <v>Lê Bá Thắng</v>
      </c>
      <c r="I61" s="7" t="str">
        <f>IFERROR(__xludf.DUMMYFUNCTION("""COMPUTED_VALUE"""),"Nam")</f>
        <v>Nam</v>
      </c>
      <c r="J61" s="17">
        <f>IFERROR(__xludf.DUMMYFUNCTION("""COMPUTED_VALUE"""),27718.0)</f>
        <v>27718</v>
      </c>
      <c r="K61" s="7" t="str">
        <f>IFERROR(__xludf.DUMMYFUNCTION("""COMPUTED_VALUE"""),"Viên Khê 1 - Phường Đông Sơn - Tỉnh Thanh Hóa")</f>
        <v>Viên Khê 1 - Phường Đông Sơn - Tỉnh Thanh Hóa</v>
      </c>
      <c r="L61" s="20" t="str">
        <f>IFERROR(__xludf.DUMMYFUNCTION("""COMPUTED_VALUE"""),"0975343658")</f>
        <v>0975343658</v>
      </c>
      <c r="M61" s="7" t="str">
        <f>IFERROR(__xludf.DUMMYFUNCTION("""COMPUTED_VALUE"""),"038075004616")</f>
        <v>038075004616</v>
      </c>
      <c r="N61" s="18">
        <f>IFERROR(__xludf.DUMMYFUNCTION("""COMPUTED_VALUE"""),44326.0)</f>
        <v>44326</v>
      </c>
      <c r="O61" s="7" t="str">
        <f>IFERROR(__xludf.DUMMYFUNCTION("""COMPUTED_VALUE"""),"Cục Cảnh sát QLHC về TTXH")</f>
        <v>Cục Cảnh sát QLHC về TTXH</v>
      </c>
      <c r="P61" s="7" t="str">
        <f>IFERROR(__xludf.DUMMYFUNCTION("""COMPUTED_VALUE"""),"Trung cấp")</f>
        <v>Trung cấp</v>
      </c>
      <c r="Q61" s="7" t="str">
        <f>IFERROR(__xludf.DUMMYFUNCTION("""COMPUTED_VALUE"""),"Trung cấp sư phạm 
GD Thể chất")</f>
        <v>Trung cấp sư phạm 
GD Thể chất</v>
      </c>
      <c r="R61" s="17">
        <f>IFERROR(__xludf.DUMMYFUNCTION("""COMPUTED_VALUE"""),45906.0)</f>
        <v>45906</v>
      </c>
      <c r="S61" s="19">
        <f>IFERROR(__xludf.DUMMYFUNCTION("""COMPUTED_VALUE"""),45936.0)</f>
        <v>45936</v>
      </c>
      <c r="T61" s="7" t="str">
        <f>IFERROR(__xludf.DUMMYFUNCTION("""COMPUTED_VALUE"""),"Chính thức")</f>
        <v>Chính thức</v>
      </c>
      <c r="U61" s="7"/>
      <c r="V61" s="7" t="str">
        <f>IFERROR(__xludf.DUMMYFUNCTION("""COMPUTED_VALUE"""),"Chính thức")</f>
        <v>Chính thức</v>
      </c>
      <c r="W61" s="7" t="str">
        <f>IFERROR(__xludf.DUMMYFUNCTION("""COMPUTED_VALUE"""),"0 năm 3 tháng")</f>
        <v>0 năm 3 tháng</v>
      </c>
      <c r="X61" s="7"/>
      <c r="Y61" s="7"/>
      <c r="Z61" s="7"/>
    </row>
    <row r="62">
      <c r="A62" s="7">
        <f>IFERROR(__xludf.DUMMYFUNCTION("""COMPUTED_VALUE"""),24.0)</f>
        <v>24</v>
      </c>
      <c r="B62" s="7" t="str">
        <f>IFERROR(__xludf.DUMMYFUNCTION("""COMPUTED_VALUE"""),"Văn phòng")</f>
        <v>Văn phòng</v>
      </c>
      <c r="C62" s="7" t="str">
        <f>IFERROR(__xludf.DUMMYFUNCTION("""COMPUTED_VALUE"""),"Phòng Tổ chức - Hành chính")</f>
        <v>Phòng Tổ chức - Hành chính</v>
      </c>
      <c r="D62" s="7" t="str">
        <f>IFERROR(__xludf.DUMMYFUNCTION("""COMPUTED_VALUE"""),"Tổ Bảo vệ")</f>
        <v>Tổ Bảo vệ</v>
      </c>
      <c r="E62" s="7" t="str">
        <f>IFERROR(__xludf.DUMMYFUNCTION("""COMPUTED_VALUE"""),"Nhân viên bảo vệ")</f>
        <v>Nhân viên bảo vệ</v>
      </c>
      <c r="F62" s="7" t="str">
        <f>IFERROR(__xludf.DUMMYFUNCTION("""COMPUTED_VALUE"""),"NV5773")</f>
        <v>NV5773</v>
      </c>
      <c r="G62" s="7">
        <f>IFERROR(__xludf.DUMMYFUNCTION("""COMPUTED_VALUE"""),1254.0)</f>
        <v>1254</v>
      </c>
      <c r="H62" s="7" t="str">
        <f>IFERROR(__xludf.DUMMYFUNCTION("""COMPUTED_VALUE"""),"Phạm Văn Tiến")</f>
        <v>Phạm Văn Tiến</v>
      </c>
      <c r="I62" s="7" t="str">
        <f>IFERROR(__xludf.DUMMYFUNCTION("""COMPUTED_VALUE"""),"Nam")</f>
        <v>Nam</v>
      </c>
      <c r="J62" s="17">
        <f>IFERROR(__xludf.DUMMYFUNCTION("""COMPUTED_VALUE"""),22929.0)</f>
        <v>22929</v>
      </c>
      <c r="K62" s="7" t="str">
        <f>IFERROR(__xludf.DUMMYFUNCTION("""COMPUTED_VALUE"""),"Phố Đức Sơn - xã Hoằng Hóa - tỉnh Thanh Hoá")</f>
        <v>Phố Đức Sơn - xã Hoằng Hóa - tỉnh Thanh Hoá</v>
      </c>
      <c r="L62" s="20" t="str">
        <f>IFERROR(__xludf.DUMMYFUNCTION("""COMPUTED_VALUE"""),"0385564805")</f>
        <v>0385564805</v>
      </c>
      <c r="M62" s="7" t="str">
        <f>IFERROR(__xludf.DUMMYFUNCTION("""COMPUTED_VALUE"""),"038062025035")</f>
        <v>038062025035</v>
      </c>
      <c r="N62" s="18">
        <f>IFERROR(__xludf.DUMMYFUNCTION("""COMPUTED_VALUE"""),44914.0)</f>
        <v>44914</v>
      </c>
      <c r="O62" s="7" t="str">
        <f>IFERROR(__xludf.DUMMYFUNCTION("""COMPUTED_VALUE"""),"Cục Cảnh sát QLHC về TTXH")</f>
        <v>Cục Cảnh sát QLHC về TTXH</v>
      </c>
      <c r="P62" s="7" t="str">
        <f>IFERROR(__xludf.DUMMYFUNCTION("""COMPUTED_VALUE"""),"LĐPT")</f>
        <v>LĐPT</v>
      </c>
      <c r="Q62" s="7" t="str">
        <f>IFERROR(__xludf.DUMMYFUNCTION("""COMPUTED_VALUE"""),"Lao động phổ thông")</f>
        <v>Lao động phổ thông</v>
      </c>
      <c r="R62" s="17">
        <f>IFERROR(__xludf.DUMMYFUNCTION("""COMPUTED_VALUE"""),45951.0)</f>
        <v>45951</v>
      </c>
      <c r="S62" s="19">
        <f>IFERROR(__xludf.DUMMYFUNCTION("""COMPUTED_VALUE"""),45982.0)</f>
        <v>45982</v>
      </c>
      <c r="T62" s="7" t="str">
        <f>IFERROR(__xludf.DUMMYFUNCTION("""COMPUTED_VALUE"""),"Thử việc")</f>
        <v>Thử việc</v>
      </c>
      <c r="U62" s="7"/>
      <c r="V62" s="7" t="str">
        <f>IFERROR(__xludf.DUMMYFUNCTION("""COMPUTED_VALUE"""),"Thử việc")</f>
        <v>Thử việc</v>
      </c>
      <c r="W62" s="7" t="str">
        <f>IFERROR(__xludf.DUMMYFUNCTION("""COMPUTED_VALUE"""),"0 năm 2 tháng")</f>
        <v>0 năm 2 tháng</v>
      </c>
      <c r="X62" s="7"/>
      <c r="Y62" s="7"/>
      <c r="Z62" s="7"/>
    </row>
    <row r="63">
      <c r="A63" s="7">
        <f>IFERROR(__xludf.DUMMYFUNCTION("""COMPUTED_VALUE"""),25.0)</f>
        <v>25</v>
      </c>
      <c r="B63" s="7" t="str">
        <f>IFERROR(__xludf.DUMMYFUNCTION("""COMPUTED_VALUE"""),"Văn phòng")</f>
        <v>Văn phòng</v>
      </c>
      <c r="C63" s="7" t="str">
        <f>IFERROR(__xludf.DUMMYFUNCTION("""COMPUTED_VALUE"""),"Phòng Tổ chức - Hành chính")</f>
        <v>Phòng Tổ chức - Hành chính</v>
      </c>
      <c r="D63" s="7" t="str">
        <f>IFERROR(__xludf.DUMMYFUNCTION("""COMPUTED_VALUE"""),"Tổ Bảo vệ")</f>
        <v>Tổ Bảo vệ</v>
      </c>
      <c r="E63" s="7" t="str">
        <f>IFERROR(__xludf.DUMMYFUNCTION("""COMPUTED_VALUE"""),"Nhân viên bảo vệ")</f>
        <v>Nhân viên bảo vệ</v>
      </c>
      <c r="F63" s="7" t="str">
        <f>IFERROR(__xludf.DUMMYFUNCTION("""COMPUTED_VALUE"""),"NV5797")</f>
        <v>NV5797</v>
      </c>
      <c r="G63" s="7">
        <f>IFERROR(__xludf.DUMMYFUNCTION("""COMPUTED_VALUE"""),1279.0)</f>
        <v>1279</v>
      </c>
      <c r="H63" s="7" t="str">
        <f>IFERROR(__xludf.DUMMYFUNCTION("""COMPUTED_VALUE"""),"Lê Văn Thọ")</f>
        <v>Lê Văn Thọ</v>
      </c>
      <c r="I63" s="7" t="str">
        <f>IFERROR(__xludf.DUMMYFUNCTION("""COMPUTED_VALUE"""),"Nam")</f>
        <v>Nam</v>
      </c>
      <c r="J63" s="17">
        <f>IFERROR(__xludf.DUMMYFUNCTION("""COMPUTED_VALUE"""),23795.0)</f>
        <v>23795</v>
      </c>
      <c r="K63" s="7" t="str">
        <f>IFERROR(__xludf.DUMMYFUNCTION("""COMPUTED_VALUE"""),"TDP Thạch khê Thượng - phường Đông Sơn - Tỉnh Thanh Hóa")</f>
        <v>TDP Thạch khê Thượng - phường Đông Sơn - Tỉnh Thanh Hóa</v>
      </c>
      <c r="L63" s="20" t="str">
        <f>IFERROR(__xludf.DUMMYFUNCTION("""COMPUTED_VALUE"""),"0337170122")</f>
        <v>0337170122</v>
      </c>
      <c r="M63" s="7" t="str">
        <f>IFERROR(__xludf.DUMMYFUNCTION("""COMPUTED_VALUE"""),"038065002890")</f>
        <v>038065002890</v>
      </c>
      <c r="N63" s="18">
        <f>IFERROR(__xludf.DUMMYFUNCTION("""COMPUTED_VALUE"""),45677.0)</f>
        <v>45677</v>
      </c>
      <c r="O63" s="7" t="str">
        <f>IFERROR(__xludf.DUMMYFUNCTION("""COMPUTED_VALUE"""),"Bộ công an")</f>
        <v>Bộ công an</v>
      </c>
      <c r="P63" s="7" t="str">
        <f>IFERROR(__xludf.DUMMYFUNCTION("""COMPUTED_VALUE"""),"LĐPT")</f>
        <v>LĐPT</v>
      </c>
      <c r="Q63" s="7" t="str">
        <f>IFERROR(__xludf.DUMMYFUNCTION("""COMPUTED_VALUE"""),"Lao động phổ thông")</f>
        <v>Lao động phổ thông</v>
      </c>
      <c r="R63" s="17">
        <f>IFERROR(__xludf.DUMMYFUNCTION("""COMPUTED_VALUE"""),45971.0)</f>
        <v>45971</v>
      </c>
      <c r="S63" s="19">
        <f>IFERROR(__xludf.DUMMYFUNCTION("""COMPUTED_VALUE"""),46001.0)</f>
        <v>46001</v>
      </c>
      <c r="T63" s="7" t="str">
        <f>IFERROR(__xludf.DUMMYFUNCTION("""COMPUTED_VALUE"""),"Chính thức")</f>
        <v>Chính thức</v>
      </c>
      <c r="U63" s="7"/>
      <c r="V63" s="7" t="str">
        <f>IFERROR(__xludf.DUMMYFUNCTION("""COMPUTED_VALUE"""),"Chính thức")</f>
        <v>Chính thức</v>
      </c>
      <c r="W63" s="7" t="str">
        <f>IFERROR(__xludf.DUMMYFUNCTION("""COMPUTED_VALUE"""),"0 năm 1 tháng")</f>
        <v>0 năm 1 tháng</v>
      </c>
      <c r="X63" s="7"/>
      <c r="Y63" s="7"/>
      <c r="Z63" s="7"/>
    </row>
    <row r="64">
      <c r="A64" s="7">
        <f>IFERROR(__xludf.DUMMYFUNCTION("""COMPUTED_VALUE"""),26.0)</f>
        <v>26</v>
      </c>
      <c r="B64" s="7" t="str">
        <f>IFERROR(__xludf.DUMMYFUNCTION("""COMPUTED_VALUE"""),"Văn phòng")</f>
        <v>Văn phòng</v>
      </c>
      <c r="C64" s="7" t="str">
        <f>IFERROR(__xludf.DUMMYFUNCTION("""COMPUTED_VALUE"""),"Phòng Tổ chức - Hành chính")</f>
        <v>Phòng Tổ chức - Hành chính</v>
      </c>
      <c r="D64" s="7" t="str">
        <f>IFERROR(__xludf.DUMMYFUNCTION("""COMPUTED_VALUE"""),"Tổ Bảo vệ")</f>
        <v>Tổ Bảo vệ</v>
      </c>
      <c r="E64" s="7" t="str">
        <f>IFERROR(__xludf.DUMMYFUNCTION("""COMPUTED_VALUE"""),"Nhân viên bảo vệ")</f>
        <v>Nhân viên bảo vệ</v>
      </c>
      <c r="F64" s="7" t="str">
        <f>IFERROR(__xludf.DUMMYFUNCTION("""COMPUTED_VALUE"""),"NV1675")</f>
        <v>NV1675</v>
      </c>
      <c r="G64" s="7"/>
      <c r="H64" s="7" t="str">
        <f>IFERROR(__xludf.DUMMYFUNCTION("""COMPUTED_VALUE"""),"Trịnh Văn Luyện")</f>
        <v>Trịnh Văn Luyện</v>
      </c>
      <c r="I64" s="7" t="str">
        <f>IFERROR(__xludf.DUMMYFUNCTION("""COMPUTED_VALUE"""),"Nam")</f>
        <v>Nam</v>
      </c>
      <c r="J64" s="17">
        <f>IFERROR(__xludf.DUMMYFUNCTION("""COMPUTED_VALUE"""),22924.0)</f>
        <v>22924</v>
      </c>
      <c r="K64" s="7" t="str">
        <f>IFERROR(__xludf.DUMMYFUNCTION("""COMPUTED_VALUE"""),"Thôn Hàm Ninh - Xã Hoằng Trạch - Tỉnh Thanh Hóa")</f>
        <v>Thôn Hàm Ninh - Xã Hoằng Trạch - Tỉnh Thanh Hóa</v>
      </c>
      <c r="L64" s="20" t="str">
        <f>IFERROR(__xludf.DUMMYFUNCTION("""COMPUTED_VALUE"""),"0944902138")</f>
        <v>0944902138</v>
      </c>
      <c r="M64" s="7" t="str">
        <f>IFERROR(__xludf.DUMMYFUNCTION("""COMPUTED_VALUE"""),"038062022352")</f>
        <v>038062022352</v>
      </c>
      <c r="N64" s="18">
        <f>IFERROR(__xludf.DUMMYFUNCTION("""COMPUTED_VALUE"""),44419.0)</f>
        <v>44419</v>
      </c>
      <c r="O64" s="7" t="str">
        <f>IFERROR(__xludf.DUMMYFUNCTION("""COMPUTED_VALUE"""),"Cục Cảnh sát QLHC về TTXH")</f>
        <v>Cục Cảnh sát QLHC về TTXH</v>
      </c>
      <c r="P64" s="7" t="str">
        <f>IFERROR(__xludf.DUMMYFUNCTION("""COMPUTED_VALUE"""),"LĐPT")</f>
        <v>LĐPT</v>
      </c>
      <c r="Q64" s="7" t="str">
        <f>IFERROR(__xludf.DUMMYFUNCTION("""COMPUTED_VALUE"""),"Lao động phổ thông")</f>
        <v>Lao động phổ thông</v>
      </c>
      <c r="R64" s="17">
        <f>IFERROR(__xludf.DUMMYFUNCTION("""COMPUTED_VALUE"""),45873.0)</f>
        <v>45873</v>
      </c>
      <c r="S64" s="19">
        <f>IFERROR(__xludf.DUMMYFUNCTION("""COMPUTED_VALUE"""),45873.0)</f>
        <v>45873</v>
      </c>
      <c r="T64" s="7" t="str">
        <f>IFERROR(__xludf.DUMMYFUNCTION("""COMPUTED_VALUE"""),"Chính thức")</f>
        <v>Chính thức</v>
      </c>
      <c r="U64" s="7"/>
      <c r="V64" s="7" t="str">
        <f>IFERROR(__xludf.DUMMYFUNCTION("""COMPUTED_VALUE"""),"Chính thức")</f>
        <v>Chính thức</v>
      </c>
      <c r="W64" s="7" t="str">
        <f>IFERROR(__xludf.DUMMYFUNCTION("""COMPUTED_VALUE"""),"0 năm 4 tháng")</f>
        <v>0 năm 4 tháng</v>
      </c>
      <c r="X64" s="7"/>
      <c r="Y64" s="7"/>
      <c r="Z64" s="7"/>
    </row>
    <row r="65">
      <c r="A65" s="7">
        <f>IFERROR(__xludf.DUMMYFUNCTION("""COMPUTED_VALUE"""),1.0)</f>
        <v>1</v>
      </c>
      <c r="B65" s="7" t="str">
        <f>IFERROR(__xludf.DUMMYFUNCTION("""COMPUTED_VALUE"""),"Văn phòng")</f>
        <v>Văn phòng</v>
      </c>
      <c r="C65" s="7" t="str">
        <f>IFERROR(__xludf.DUMMYFUNCTION("""COMPUTED_VALUE"""),"Ban đầu tư")</f>
        <v>Ban đầu tư</v>
      </c>
      <c r="D65" s="7" t="str">
        <f>IFERROR(__xludf.DUMMYFUNCTION("""COMPUTED_VALUE"""),"Bộ phận hành chính")</f>
        <v>Bộ phận hành chính</v>
      </c>
      <c r="E65" s="7" t="str">
        <f>IFERROR(__xludf.DUMMYFUNCTION("""COMPUTED_VALUE"""),"Cán bộ kỹ thuật")</f>
        <v>Cán bộ kỹ thuật</v>
      </c>
      <c r="F65" s="7" t="str">
        <f>IFERROR(__xludf.DUMMYFUNCTION("""COMPUTED_VALUE"""),"NV0092")</f>
        <v>NV0092</v>
      </c>
      <c r="G65" s="7">
        <f>IFERROR(__xludf.DUMMYFUNCTION("""COMPUTED_VALUE"""),49.0)</f>
        <v>49</v>
      </c>
      <c r="H65" s="7" t="str">
        <f>IFERROR(__xludf.DUMMYFUNCTION("""COMPUTED_VALUE"""),"Mai Văn Thanh")</f>
        <v>Mai Văn Thanh</v>
      </c>
      <c r="I65" s="7" t="str">
        <f>IFERROR(__xludf.DUMMYFUNCTION("""COMPUTED_VALUE"""),"Nam")</f>
        <v>Nam</v>
      </c>
      <c r="J65" s="17">
        <f>IFERROR(__xludf.DUMMYFUNCTION("""COMPUTED_VALUE"""),27329.0)</f>
        <v>27329</v>
      </c>
      <c r="K65" s="7" t="str">
        <f>IFERROR(__xludf.DUMMYFUNCTION("""COMPUTED_VALUE"""),"68 Trần Nguyên Hãn - Phường Hạc Thành - Tỉnh Thanh Hóa")</f>
        <v>68 Trần Nguyên Hãn - Phường Hạc Thành - Tỉnh Thanh Hóa</v>
      </c>
      <c r="L65" s="7" t="str">
        <f>IFERROR(__xludf.DUMMYFUNCTION("""COMPUTED_VALUE"""),"0989312933")</f>
        <v>0989312933</v>
      </c>
      <c r="M65" s="7" t="str">
        <f>IFERROR(__xludf.DUMMYFUNCTION("""COMPUTED_VALUE"""),"038074027851")</f>
        <v>038074027851</v>
      </c>
      <c r="N65" s="18">
        <f>IFERROR(__xludf.DUMMYFUNCTION("""COMPUTED_VALUE"""),44422.0)</f>
        <v>44422</v>
      </c>
      <c r="O65" s="7" t="str">
        <f>IFERROR(__xludf.DUMMYFUNCTION("""COMPUTED_VALUE"""),"Cục Cảnh sát QLHC về TTXH")</f>
        <v>Cục Cảnh sát QLHC về TTXH</v>
      </c>
      <c r="P65" s="7" t="str">
        <f>IFERROR(__xludf.DUMMYFUNCTION("""COMPUTED_VALUE"""),"Kỹ sư")</f>
        <v>Kỹ sư</v>
      </c>
      <c r="Q65" s="7" t="str">
        <f>IFERROR(__xludf.DUMMYFUNCTION("""COMPUTED_VALUE"""),"KS - Cầu đường")</f>
        <v>KS - Cầu đường</v>
      </c>
      <c r="R65" s="17">
        <f>IFERROR(__xludf.DUMMYFUNCTION("""COMPUTED_VALUE"""),38044.0)</f>
        <v>38044</v>
      </c>
      <c r="S65" s="17">
        <f>IFERROR(__xludf.DUMMYFUNCTION("""COMPUTED_VALUE"""),38044.0)</f>
        <v>38044</v>
      </c>
      <c r="T65" s="7" t="str">
        <f>IFERROR(__xludf.DUMMYFUNCTION("""COMPUTED_VALUE"""),"Chính thức")</f>
        <v>Chính thức</v>
      </c>
      <c r="U65" s="7"/>
      <c r="V65" s="7" t="str">
        <f>IFERROR(__xludf.DUMMYFUNCTION("""COMPUTED_VALUE"""),"Chính thức")</f>
        <v>Chính thức</v>
      </c>
      <c r="W65" s="7" t="str">
        <f>IFERROR(__xludf.DUMMYFUNCTION("""COMPUTED_VALUE"""),"21 năm 10 tháng")</f>
        <v>21 năm 10 tháng</v>
      </c>
      <c r="X65" s="7"/>
      <c r="Y65" s="7"/>
      <c r="Z65" s="7"/>
    </row>
    <row r="66">
      <c r="A66" s="7">
        <f>IFERROR(__xludf.DUMMYFUNCTION("""COMPUTED_VALUE"""),2.0)</f>
        <v>2</v>
      </c>
      <c r="B66" s="7" t="str">
        <f>IFERROR(__xludf.DUMMYFUNCTION("""COMPUTED_VALUE"""),"Văn phòng")</f>
        <v>Văn phòng</v>
      </c>
      <c r="C66" s="7" t="str">
        <f>IFERROR(__xludf.DUMMYFUNCTION("""COMPUTED_VALUE"""),"Ban đầu tư")</f>
        <v>Ban đầu tư</v>
      </c>
      <c r="D66" s="7" t="str">
        <f>IFERROR(__xludf.DUMMYFUNCTION("""COMPUTED_VALUE"""),"Bộ phận hành chính")</f>
        <v>Bộ phận hành chính</v>
      </c>
      <c r="E66" s="7" t="str">
        <f>IFERROR(__xludf.DUMMYFUNCTION("""COMPUTED_VALUE"""),"Giám đốc dự án")</f>
        <v>Giám đốc dự án</v>
      </c>
      <c r="F66" s="7" t="str">
        <f>IFERROR(__xludf.DUMMYFUNCTION("""COMPUTED_VALUE"""),"NV0802")</f>
        <v>NV0802</v>
      </c>
      <c r="G66" s="7"/>
      <c r="H66" s="7" t="str">
        <f>IFERROR(__xludf.DUMMYFUNCTION("""COMPUTED_VALUE"""),"Trần Đức Phương")</f>
        <v>Trần Đức Phương</v>
      </c>
      <c r="I66" s="7" t="str">
        <f>IFERROR(__xludf.DUMMYFUNCTION("""COMPUTED_VALUE"""),"Nam")</f>
        <v>Nam</v>
      </c>
      <c r="J66" s="17">
        <f>IFERROR(__xludf.DUMMYFUNCTION("""COMPUTED_VALUE"""),30045.0)</f>
        <v>30045</v>
      </c>
      <c r="K66" s="7" t="str">
        <f>IFERROR(__xludf.DUMMYFUNCTION("""COMPUTED_VALUE"""),"34/14 - Trần Bình Trọng - Phường Hạc Thành - Tỉnh Thanh Hóa")</f>
        <v>34/14 - Trần Bình Trọng - Phường Hạc Thành - Tỉnh Thanh Hóa</v>
      </c>
      <c r="L66" s="7" t="str">
        <f>IFERROR(__xludf.DUMMYFUNCTION("""COMPUTED_VALUE"""),"0906261535")</f>
        <v>0906261535</v>
      </c>
      <c r="M66" s="7" t="str">
        <f>IFERROR(__xludf.DUMMYFUNCTION("""COMPUTED_VALUE"""),"038082048940")</f>
        <v>038082048940</v>
      </c>
      <c r="N66" s="18">
        <f>IFERROR(__xludf.DUMMYFUNCTION("""COMPUTED_VALUE"""),44419.0)</f>
        <v>44419</v>
      </c>
      <c r="O66" s="7" t="str">
        <f>IFERROR(__xludf.DUMMYFUNCTION("""COMPUTED_VALUE"""),"Cục Cảnh sát QLHC về TTXH")</f>
        <v>Cục Cảnh sát QLHC về TTXH</v>
      </c>
      <c r="P66" s="7" t="str">
        <f>IFERROR(__xludf.DUMMYFUNCTION("""COMPUTED_VALUE"""),"Kỹ sư")</f>
        <v>Kỹ sư</v>
      </c>
      <c r="Q66" s="7" t="str">
        <f>IFERROR(__xludf.DUMMYFUNCTION("""COMPUTED_VALUE"""),"KS - Thủy Lợi")</f>
        <v>KS - Thủy Lợi</v>
      </c>
      <c r="R66" s="17">
        <f>IFERROR(__xludf.DUMMYFUNCTION("""COMPUTED_VALUE"""),40096.0)</f>
        <v>40096</v>
      </c>
      <c r="S66" s="17">
        <f>IFERROR(__xludf.DUMMYFUNCTION("""COMPUTED_VALUE"""),40096.0)</f>
        <v>40096</v>
      </c>
      <c r="T66" s="7" t="str">
        <f>IFERROR(__xludf.DUMMYFUNCTION("""COMPUTED_VALUE"""),"Chính thức")</f>
        <v>Chính thức</v>
      </c>
      <c r="U66" s="7"/>
      <c r="V66" s="7" t="str">
        <f>IFERROR(__xludf.DUMMYFUNCTION("""COMPUTED_VALUE"""),"Chính thức")</f>
        <v>Chính thức</v>
      </c>
      <c r="W66" s="7" t="str">
        <f>IFERROR(__xludf.DUMMYFUNCTION("""COMPUTED_VALUE"""),"16 năm 2 tháng")</f>
        <v>16 năm 2 tháng</v>
      </c>
      <c r="X66" s="7"/>
      <c r="Y66" s="7"/>
      <c r="Z66" s="7"/>
    </row>
    <row r="67">
      <c r="A67" s="7">
        <f>IFERROR(__xludf.DUMMYFUNCTION("""COMPUTED_VALUE"""),3.0)</f>
        <v>3</v>
      </c>
      <c r="B67" s="7" t="str">
        <f>IFERROR(__xludf.DUMMYFUNCTION("""COMPUTED_VALUE"""),"Văn phòng")</f>
        <v>Văn phòng</v>
      </c>
      <c r="C67" s="7" t="str">
        <f>IFERROR(__xludf.DUMMYFUNCTION("""COMPUTED_VALUE"""),"Ban đầu tư")</f>
        <v>Ban đầu tư</v>
      </c>
      <c r="D67" s="7" t="str">
        <f>IFERROR(__xludf.DUMMYFUNCTION("""COMPUTED_VALUE"""),"Bộ phận hành chính")</f>
        <v>Bộ phận hành chính</v>
      </c>
      <c r="E67" s="7" t="str">
        <f>IFERROR(__xludf.DUMMYFUNCTION("""COMPUTED_VALUE"""),"Phó giám đốc dự án")</f>
        <v>Phó giám đốc dự án</v>
      </c>
      <c r="F67" s="7" t="str">
        <f>IFERROR(__xludf.DUMMYFUNCTION("""COMPUTED_VALUE"""),"NV0987")</f>
        <v>NV0987</v>
      </c>
      <c r="G67" s="7">
        <f>IFERROR(__xludf.DUMMYFUNCTION("""COMPUTED_VALUE"""),668.0)</f>
        <v>668</v>
      </c>
      <c r="H67" s="7" t="str">
        <f>IFERROR(__xludf.DUMMYFUNCTION("""COMPUTED_VALUE"""),"Lê Bình Nguyên")</f>
        <v>Lê Bình Nguyên</v>
      </c>
      <c r="I67" s="7" t="str">
        <f>IFERROR(__xludf.DUMMYFUNCTION("""COMPUTED_VALUE"""),"Nam")</f>
        <v>Nam</v>
      </c>
      <c r="J67" s="17">
        <f>IFERROR(__xludf.DUMMYFUNCTION("""COMPUTED_VALUE"""),29888.0)</f>
        <v>29888</v>
      </c>
      <c r="K67" s="7" t="str">
        <f>IFERROR(__xludf.DUMMYFUNCTION("""COMPUTED_VALUE"""),"31 Lý Đạo Thành - Phường Hạc Thành - Tỉnh Thanh Hóa")</f>
        <v>31 Lý Đạo Thành - Phường Hạc Thành - Tỉnh Thanh Hóa</v>
      </c>
      <c r="L67" s="7" t="str">
        <f>IFERROR(__xludf.DUMMYFUNCTION("""COMPUTED_VALUE"""),"0943666382")</f>
        <v>0943666382</v>
      </c>
      <c r="M67" s="7" t="str">
        <f>IFERROR(__xludf.DUMMYFUNCTION("""COMPUTED_VALUE"""),"040081000489")</f>
        <v>040081000489</v>
      </c>
      <c r="N67" s="18">
        <f>IFERROR(__xludf.DUMMYFUNCTION("""COMPUTED_VALUE"""),44420.0)</f>
        <v>44420</v>
      </c>
      <c r="O67" s="7" t="str">
        <f>IFERROR(__xludf.DUMMYFUNCTION("""COMPUTED_VALUE"""),"Cục Cảnh sát QLHC về TTXH")</f>
        <v>Cục Cảnh sát QLHC về TTXH</v>
      </c>
      <c r="P67" s="7" t="str">
        <f>IFERROR(__xludf.DUMMYFUNCTION("""COMPUTED_VALUE"""),"Kỹ sư")</f>
        <v>Kỹ sư</v>
      </c>
      <c r="Q67" s="7" t="str">
        <f>IFERROR(__xludf.DUMMYFUNCTION("""COMPUTED_VALUE"""),"KS - Xây dựng")</f>
        <v>KS - Xây dựng</v>
      </c>
      <c r="R67" s="17">
        <f>IFERROR(__xludf.DUMMYFUNCTION("""COMPUTED_VALUE"""),42870.0)</f>
        <v>42870</v>
      </c>
      <c r="S67" s="17">
        <f>IFERROR(__xludf.DUMMYFUNCTION("""COMPUTED_VALUE"""),42870.0)</f>
        <v>42870</v>
      </c>
      <c r="T67" s="7" t="str">
        <f>IFERROR(__xludf.DUMMYFUNCTION("""COMPUTED_VALUE"""),"Chính thức")</f>
        <v>Chính thức</v>
      </c>
      <c r="U67" s="7"/>
      <c r="V67" s="7" t="str">
        <f>IFERROR(__xludf.DUMMYFUNCTION("""COMPUTED_VALUE"""),"Chính thức")</f>
        <v>Chính thức</v>
      </c>
      <c r="W67" s="7" t="str">
        <f>IFERROR(__xludf.DUMMYFUNCTION("""COMPUTED_VALUE"""),"8 năm 7 tháng")</f>
        <v>8 năm 7 tháng</v>
      </c>
      <c r="X67" s="7"/>
      <c r="Y67" s="7"/>
      <c r="Z67" s="7"/>
    </row>
    <row r="68">
      <c r="A68" s="7">
        <f>IFERROR(__xludf.DUMMYFUNCTION("""COMPUTED_VALUE"""),4.0)</f>
        <v>4</v>
      </c>
      <c r="B68" s="7" t="str">
        <f>IFERROR(__xludf.DUMMYFUNCTION("""COMPUTED_VALUE"""),"Văn phòng")</f>
        <v>Văn phòng</v>
      </c>
      <c r="C68" s="7" t="str">
        <f>IFERROR(__xludf.DUMMYFUNCTION("""COMPUTED_VALUE"""),"Ban đầu tư")</f>
        <v>Ban đầu tư</v>
      </c>
      <c r="D68" s="7" t="str">
        <f>IFERROR(__xludf.DUMMYFUNCTION("""COMPUTED_VALUE"""),"Bộ phận hành chính")</f>
        <v>Bộ phận hành chính</v>
      </c>
      <c r="E68" s="7" t="str">
        <f>IFERROR(__xludf.DUMMYFUNCTION("""COMPUTED_VALUE"""),"Cán bộ kỹ thuật")</f>
        <v>Cán bộ kỹ thuật</v>
      </c>
      <c r="F68" s="7" t="str">
        <f>IFERROR(__xludf.DUMMYFUNCTION("""COMPUTED_VALUE"""),"NV0096")</f>
        <v>NV0096</v>
      </c>
      <c r="G68" s="7">
        <f>IFERROR(__xludf.DUMMYFUNCTION("""COMPUTED_VALUE"""),678.0)</f>
        <v>678</v>
      </c>
      <c r="H68" s="7" t="str">
        <f>IFERROR(__xludf.DUMMYFUNCTION("""COMPUTED_VALUE"""),"Nguyễn Văn Tuấn")</f>
        <v>Nguyễn Văn Tuấn</v>
      </c>
      <c r="I68" s="7" t="str">
        <f>IFERROR(__xludf.DUMMYFUNCTION("""COMPUTED_VALUE"""),"Nam")</f>
        <v>Nam</v>
      </c>
      <c r="J68" s="17">
        <f>IFERROR(__xludf.DUMMYFUNCTION("""COMPUTED_VALUE"""),30445.0)</f>
        <v>30445</v>
      </c>
      <c r="K68" s="7" t="str">
        <f>IFERROR(__xludf.DUMMYFUNCTION("""COMPUTED_VALUE"""),"Căn 4.11 Chung cư 379 phố Bào Ngoại - Phường Hạc Thành - Tỉnh Thanh Hóa")</f>
        <v>Căn 4.11 Chung cư 379 phố Bào Ngoại - Phường Hạc Thành - Tỉnh Thanh Hóa</v>
      </c>
      <c r="L68" s="7" t="str">
        <f>IFERROR(__xludf.DUMMYFUNCTION("""COMPUTED_VALUE"""),"0904903829")</f>
        <v>0904903829</v>
      </c>
      <c r="M68" s="7" t="str">
        <f>IFERROR(__xludf.DUMMYFUNCTION("""COMPUTED_VALUE"""),"038083033571")</f>
        <v>038083033571</v>
      </c>
      <c r="N68" s="18">
        <f>IFERROR(__xludf.DUMMYFUNCTION("""COMPUTED_VALUE"""),44418.0)</f>
        <v>44418</v>
      </c>
      <c r="O68" s="7" t="str">
        <f>IFERROR(__xludf.DUMMYFUNCTION("""COMPUTED_VALUE"""),"Cục Cảnh sát QLHC về TTXH")</f>
        <v>Cục Cảnh sát QLHC về TTXH</v>
      </c>
      <c r="P68" s="7" t="str">
        <f>IFERROR(__xludf.DUMMYFUNCTION("""COMPUTED_VALUE"""),"Kỹ sư")</f>
        <v>Kỹ sư</v>
      </c>
      <c r="Q68" s="7" t="str">
        <f>IFERROR(__xludf.DUMMYFUNCTION("""COMPUTED_VALUE"""),"KS - Giao thông")</f>
        <v>KS - Giao thông</v>
      </c>
      <c r="R68" s="17">
        <f>IFERROR(__xludf.DUMMYFUNCTION("""COMPUTED_VALUE"""),39522.0)</f>
        <v>39522</v>
      </c>
      <c r="S68" s="17">
        <f>IFERROR(__xludf.DUMMYFUNCTION("""COMPUTED_VALUE"""),39522.0)</f>
        <v>39522</v>
      </c>
      <c r="T68" s="7" t="str">
        <f>IFERROR(__xludf.DUMMYFUNCTION("""COMPUTED_VALUE"""),"Chính thức")</f>
        <v>Chính thức</v>
      </c>
      <c r="U68" s="7"/>
      <c r="V68" s="7" t="str">
        <f>IFERROR(__xludf.DUMMYFUNCTION("""COMPUTED_VALUE"""),"Chính thức")</f>
        <v>Chính thức</v>
      </c>
      <c r="W68" s="7" t="str">
        <f>IFERROR(__xludf.DUMMYFUNCTION("""COMPUTED_VALUE"""),"17 năm 9 tháng")</f>
        <v>17 năm 9 tháng</v>
      </c>
      <c r="X68" s="7"/>
      <c r="Y68" s="7"/>
      <c r="Z68" s="7"/>
    </row>
    <row r="69">
      <c r="A69" s="7">
        <f>IFERROR(__xludf.DUMMYFUNCTION("""COMPUTED_VALUE"""),5.0)</f>
        <v>5</v>
      </c>
      <c r="B69" s="7" t="str">
        <f>IFERROR(__xludf.DUMMYFUNCTION("""COMPUTED_VALUE"""),"Văn phòng")</f>
        <v>Văn phòng</v>
      </c>
      <c r="C69" s="7" t="str">
        <f>IFERROR(__xludf.DUMMYFUNCTION("""COMPUTED_VALUE"""),"Ban đầu tư")</f>
        <v>Ban đầu tư</v>
      </c>
      <c r="D69" s="7" t="str">
        <f>IFERROR(__xludf.DUMMYFUNCTION("""COMPUTED_VALUE"""),"Bộ phận hành chính")</f>
        <v>Bộ phận hành chính</v>
      </c>
      <c r="E69" s="7" t="str">
        <f>IFERROR(__xludf.DUMMYFUNCTION("""COMPUTED_VALUE"""),"Nhân viên nội nghiệp")</f>
        <v>Nhân viên nội nghiệp</v>
      </c>
      <c r="F69" s="7" t="str">
        <f>IFERROR(__xludf.DUMMYFUNCTION("""COMPUTED_VALUE"""),"NV3426")</f>
        <v>NV3426</v>
      </c>
      <c r="G69" s="7">
        <f>IFERROR(__xludf.DUMMYFUNCTION("""COMPUTED_VALUE"""),50.0)</f>
        <v>50</v>
      </c>
      <c r="H69" s="7" t="str">
        <f>IFERROR(__xludf.DUMMYFUNCTION("""COMPUTED_VALUE"""),"Lê Thị Hương")</f>
        <v>Lê Thị Hương</v>
      </c>
      <c r="I69" s="7" t="str">
        <f>IFERROR(__xludf.DUMMYFUNCTION("""COMPUTED_VALUE"""),"Nữ")</f>
        <v>Nữ</v>
      </c>
      <c r="J69" s="17">
        <f>IFERROR(__xludf.DUMMYFUNCTION("""COMPUTED_VALUE"""),30377.0)</f>
        <v>30377</v>
      </c>
      <c r="K69" s="7" t="str">
        <f>IFERROR(__xludf.DUMMYFUNCTION("""COMPUTED_VALUE"""),"19A/39 Nguyễn Văn Trỗi - Phường Hạc Thành - Tỉnh Thanh Hóa")</f>
        <v>19A/39 Nguyễn Văn Trỗi - Phường Hạc Thành - Tỉnh Thanh Hóa</v>
      </c>
      <c r="L69" s="7" t="str">
        <f>IFERROR(__xludf.DUMMYFUNCTION("""COMPUTED_VALUE"""),"0972559329")</f>
        <v>0972559329</v>
      </c>
      <c r="M69" s="7" t="str">
        <f>IFERROR(__xludf.DUMMYFUNCTION("""COMPUTED_VALUE"""),"038183002370")</f>
        <v>038183002370</v>
      </c>
      <c r="N69" s="18">
        <f>IFERROR(__xludf.DUMMYFUNCTION("""COMPUTED_VALUE"""),44418.0)</f>
        <v>44418</v>
      </c>
      <c r="O69" s="7" t="str">
        <f>IFERROR(__xludf.DUMMYFUNCTION("""COMPUTED_VALUE"""),"Cục Cảnh sát QLHC về TTXH")</f>
        <v>Cục Cảnh sát QLHC về TTXH</v>
      </c>
      <c r="P69" s="7" t="str">
        <f>IFERROR(__xludf.DUMMYFUNCTION("""COMPUTED_VALUE"""),"Kỹ sư")</f>
        <v>Kỹ sư</v>
      </c>
      <c r="Q69" s="7" t="str">
        <f>IFERROR(__xludf.DUMMYFUNCTION("""COMPUTED_VALUE"""),"Thủy lợi")</f>
        <v>Thủy lợi</v>
      </c>
      <c r="R69" s="17">
        <f>IFERROR(__xludf.DUMMYFUNCTION("""COMPUTED_VALUE"""),44244.0)</f>
        <v>44244</v>
      </c>
      <c r="S69" s="17">
        <f>IFERROR(__xludf.DUMMYFUNCTION("""COMPUTED_VALUE"""),44287.0)</f>
        <v>44287</v>
      </c>
      <c r="T69" s="7" t="str">
        <f>IFERROR(__xludf.DUMMYFUNCTION("""COMPUTED_VALUE"""),"Chính thức")</f>
        <v>Chính thức</v>
      </c>
      <c r="U69" s="7"/>
      <c r="V69" s="7" t="str">
        <f>IFERROR(__xludf.DUMMYFUNCTION("""COMPUTED_VALUE"""),"Chính thức")</f>
        <v>Chính thức</v>
      </c>
      <c r="W69" s="7" t="str">
        <f>IFERROR(__xludf.DUMMYFUNCTION("""COMPUTED_VALUE"""),"4 năm 10 tháng")</f>
        <v>4 năm 10 tháng</v>
      </c>
      <c r="X69" s="7"/>
      <c r="Y69" s="7"/>
      <c r="Z69" s="7"/>
    </row>
    <row r="70">
      <c r="A70" s="7">
        <f>IFERROR(__xludf.DUMMYFUNCTION("""COMPUTED_VALUE"""),6.0)</f>
        <v>6</v>
      </c>
      <c r="B70" s="7" t="str">
        <f>IFERROR(__xludf.DUMMYFUNCTION("""COMPUTED_VALUE"""),"Văn phòng")</f>
        <v>Văn phòng</v>
      </c>
      <c r="C70" s="7" t="str">
        <f>IFERROR(__xludf.DUMMYFUNCTION("""COMPUTED_VALUE"""),"Ban đầu tư")</f>
        <v>Ban đầu tư</v>
      </c>
      <c r="D70" s="7" t="str">
        <f>IFERROR(__xludf.DUMMYFUNCTION("""COMPUTED_VALUE"""),"Bộ phận hành chính")</f>
        <v>Bộ phận hành chính</v>
      </c>
      <c r="E70" s="7" t="str">
        <f>IFERROR(__xludf.DUMMYFUNCTION("""COMPUTED_VALUE"""),"Nhân viên kỹ thuật")</f>
        <v>Nhân viên kỹ thuật</v>
      </c>
      <c r="F70" s="7" t="str">
        <f>IFERROR(__xludf.DUMMYFUNCTION("""COMPUTED_VALUE"""),"NV1179")</f>
        <v>NV1179</v>
      </c>
      <c r="G70" s="7"/>
      <c r="H70" s="7" t="str">
        <f>IFERROR(__xludf.DUMMYFUNCTION("""COMPUTED_VALUE"""),"Lê Văn Công")</f>
        <v>Lê Văn Công</v>
      </c>
      <c r="I70" s="7" t="str">
        <f>IFERROR(__xludf.DUMMYFUNCTION("""COMPUTED_VALUE"""),"Nam")</f>
        <v>Nam</v>
      </c>
      <c r="J70" s="17">
        <f>IFERROR(__xludf.DUMMYFUNCTION("""COMPUTED_VALUE"""),29133.0)</f>
        <v>29133</v>
      </c>
      <c r="K70" s="7" t="str">
        <f>IFERROR(__xludf.DUMMYFUNCTION("""COMPUTED_VALUE"""),"Phúc Tiên - Xã Hoằng Giang - Tỉnh Thanh hóa")</f>
        <v>Phúc Tiên - Xã Hoằng Giang - Tỉnh Thanh hóa</v>
      </c>
      <c r="L70" s="7" t="str">
        <f>IFERROR(__xludf.DUMMYFUNCTION("""COMPUTED_VALUE"""),"0914769178")</f>
        <v>0914769178</v>
      </c>
      <c r="M70" s="7" t="str">
        <f>IFERROR(__xludf.DUMMYFUNCTION("""COMPUTED_VALUE"""),"038079017805")</f>
        <v>038079017805</v>
      </c>
      <c r="N70" s="18">
        <f>IFERROR(__xludf.DUMMYFUNCTION("""COMPUTED_VALUE"""),44420.0)</f>
        <v>44420</v>
      </c>
      <c r="O70" s="7" t="str">
        <f>IFERROR(__xludf.DUMMYFUNCTION("""COMPUTED_VALUE"""),"Cục Cảnh sát QLHC về TTXH")</f>
        <v>Cục Cảnh sát QLHC về TTXH</v>
      </c>
      <c r="P70" s="7" t="str">
        <f>IFERROR(__xludf.DUMMYFUNCTION("""COMPUTED_VALUE"""),"Đại học")</f>
        <v>Đại học</v>
      </c>
      <c r="Q70" s="7" t="str">
        <f>IFERROR(__xludf.DUMMYFUNCTION("""COMPUTED_VALUE"""),"Kỹ sư giao thông")</f>
        <v>Kỹ sư giao thông</v>
      </c>
      <c r="R70" s="17">
        <f>IFERROR(__xludf.DUMMYFUNCTION("""COMPUTED_VALUE"""),37712.0)</f>
        <v>37712</v>
      </c>
      <c r="S70" s="17">
        <f>IFERROR(__xludf.DUMMYFUNCTION("""COMPUTED_VALUE"""),37712.0)</f>
        <v>37712</v>
      </c>
      <c r="T70" s="7" t="str">
        <f>IFERROR(__xludf.DUMMYFUNCTION("""COMPUTED_VALUE"""),"Chính thức")</f>
        <v>Chính thức</v>
      </c>
      <c r="U70" s="7"/>
      <c r="V70" s="7" t="str">
        <f>IFERROR(__xludf.DUMMYFUNCTION("""COMPUTED_VALUE"""),"Chính thức")</f>
        <v>Chính thức</v>
      </c>
      <c r="W70" s="7" t="str">
        <f>IFERROR(__xludf.DUMMYFUNCTION("""COMPUTED_VALUE"""),"22 năm 8 tháng")</f>
        <v>22 năm 8 tháng</v>
      </c>
      <c r="X70" s="7"/>
      <c r="Y70" s="7"/>
      <c r="Z70" s="7"/>
    </row>
    <row r="71">
      <c r="A71" s="7">
        <f>IFERROR(__xludf.DUMMYFUNCTION("""COMPUTED_VALUE"""),7.0)</f>
        <v>7</v>
      </c>
      <c r="B71" s="7" t="str">
        <f>IFERROR(__xludf.DUMMYFUNCTION("""COMPUTED_VALUE"""),"Văn phòng")</f>
        <v>Văn phòng</v>
      </c>
      <c r="C71" s="7" t="str">
        <f>IFERROR(__xludf.DUMMYFUNCTION("""COMPUTED_VALUE"""),"Ban đầu tư")</f>
        <v>Ban đầu tư</v>
      </c>
      <c r="D71" s="7" t="str">
        <f>IFERROR(__xludf.DUMMYFUNCTION("""COMPUTED_VALUE"""),"Bộ phận hành chính")</f>
        <v>Bộ phận hành chính</v>
      </c>
      <c r="E71" s="7" t="str">
        <f>IFERROR(__xludf.DUMMYFUNCTION("""COMPUTED_VALUE"""),"Phó giám đốc dự án")</f>
        <v>Phó giám đốc dự án</v>
      </c>
      <c r="F71" s="7" t="str">
        <f>IFERROR(__xludf.DUMMYFUNCTION("""COMPUTED_VALUE"""),"NV5198")</f>
        <v>NV5198</v>
      </c>
      <c r="G71" s="7">
        <f>IFERROR(__xludf.DUMMYFUNCTION("""COMPUTED_VALUE"""),73.0)</f>
        <v>73</v>
      </c>
      <c r="H71" s="7" t="str">
        <f>IFERROR(__xludf.DUMMYFUNCTION("""COMPUTED_VALUE"""),"Hoàng Văn Tỉnh")</f>
        <v>Hoàng Văn Tỉnh</v>
      </c>
      <c r="I71" s="7" t="str">
        <f>IFERROR(__xludf.DUMMYFUNCTION("""COMPUTED_VALUE"""),"Nam")</f>
        <v>Nam</v>
      </c>
      <c r="J71" s="17">
        <f>IFERROR(__xludf.DUMMYFUNCTION("""COMPUTED_VALUE"""),29016.0)</f>
        <v>29016</v>
      </c>
      <c r="K71" s="7" t="str">
        <f>IFERROR(__xludf.DUMMYFUNCTION("""COMPUTED_VALUE"""),"Nhà 17 CC Đông Phát - Phường Hạc Thành - Tỉnh Thanh Hóa")</f>
        <v>Nhà 17 CC Đông Phát - Phường Hạc Thành - Tỉnh Thanh Hóa</v>
      </c>
      <c r="L71" s="7" t="str">
        <f>IFERROR(__xludf.DUMMYFUNCTION("""COMPUTED_VALUE"""),"0904214602")</f>
        <v>0904214602</v>
      </c>
      <c r="M71" s="7" t="str">
        <f>IFERROR(__xludf.DUMMYFUNCTION("""COMPUTED_VALUE"""),"038079022407")</f>
        <v>038079022407</v>
      </c>
      <c r="N71" s="18">
        <f>IFERROR(__xludf.DUMMYFUNCTION("""COMPUTED_VALUE"""),44205.0)</f>
        <v>44205</v>
      </c>
      <c r="O71" s="7" t="str">
        <f>IFERROR(__xludf.DUMMYFUNCTION("""COMPUTED_VALUE"""),"Cục Cảnh sát QLHC về TTXH")</f>
        <v>Cục Cảnh sát QLHC về TTXH</v>
      </c>
      <c r="P71" s="7" t="str">
        <f>IFERROR(__xludf.DUMMYFUNCTION("""COMPUTED_VALUE"""),"Kỹ sư")</f>
        <v>Kỹ sư</v>
      </c>
      <c r="Q71" s="7" t="str">
        <f>IFERROR(__xludf.DUMMYFUNCTION("""COMPUTED_VALUE"""),"Xây dựng")</f>
        <v>Xây dựng</v>
      </c>
      <c r="R71" s="17">
        <f>IFERROR(__xludf.DUMMYFUNCTION("""COMPUTED_VALUE"""),45425.0)</f>
        <v>45425</v>
      </c>
      <c r="S71" s="17">
        <f>IFERROR(__xludf.DUMMYFUNCTION("""COMPUTED_VALUE"""),45536.0)</f>
        <v>45536</v>
      </c>
      <c r="T71" s="7" t="str">
        <f>IFERROR(__xludf.DUMMYFUNCTION("""COMPUTED_VALUE"""),"Chính thức")</f>
        <v>Chính thức</v>
      </c>
      <c r="U71" s="7"/>
      <c r="V71" s="7" t="str">
        <f>IFERROR(__xludf.DUMMYFUNCTION("""COMPUTED_VALUE"""),"Chính thức")</f>
        <v>Chính thức</v>
      </c>
      <c r="W71" s="7" t="str">
        <f>IFERROR(__xludf.DUMMYFUNCTION("""COMPUTED_VALUE"""),"1 năm 7 tháng")</f>
        <v>1 năm 7 tháng</v>
      </c>
      <c r="X71" s="7"/>
      <c r="Y71" s="7"/>
      <c r="Z71" s="7"/>
    </row>
    <row r="72">
      <c r="A72" s="7">
        <f>IFERROR(__xludf.DUMMYFUNCTION("""COMPUTED_VALUE"""),8.0)</f>
        <v>8</v>
      </c>
      <c r="B72" s="7" t="str">
        <f>IFERROR(__xludf.DUMMYFUNCTION("""COMPUTED_VALUE"""),"Văn phòng")</f>
        <v>Văn phòng</v>
      </c>
      <c r="C72" s="7" t="str">
        <f>IFERROR(__xludf.DUMMYFUNCTION("""COMPUTED_VALUE"""),"Ban đầu tư")</f>
        <v>Ban đầu tư</v>
      </c>
      <c r="D72" s="7" t="str">
        <f>IFERROR(__xludf.DUMMYFUNCTION("""COMPUTED_VALUE"""),"Bộ phận hành chính")</f>
        <v>Bộ phận hành chính</v>
      </c>
      <c r="E72" s="7" t="str">
        <f>IFERROR(__xludf.DUMMYFUNCTION("""COMPUTED_VALUE"""),"Cán bộ kỹ thuật")</f>
        <v>Cán bộ kỹ thuật</v>
      </c>
      <c r="F72" s="7" t="str">
        <f>IFERROR(__xludf.DUMMYFUNCTION("""COMPUTED_VALUE"""),"NV1159")</f>
        <v>NV1159</v>
      </c>
      <c r="G72" s="7">
        <f>IFERROR(__xludf.DUMMYFUNCTION("""COMPUTED_VALUE"""),28.0)</f>
        <v>28</v>
      </c>
      <c r="H72" s="7" t="str">
        <f>IFERROR(__xludf.DUMMYFUNCTION("""COMPUTED_VALUE"""),"Nguyễn Huy Dũng")</f>
        <v>Nguyễn Huy Dũng</v>
      </c>
      <c r="I72" s="7" t="str">
        <f>IFERROR(__xludf.DUMMYFUNCTION("""COMPUTED_VALUE"""),"Nam")</f>
        <v>Nam</v>
      </c>
      <c r="J72" s="17">
        <f>IFERROR(__xludf.DUMMYFUNCTION("""COMPUTED_VALUE"""),33152.0)</f>
        <v>33152</v>
      </c>
      <c r="K72" s="7" t="str">
        <f>IFERROR(__xludf.DUMMYFUNCTION("""COMPUTED_VALUE"""),"Thôn Hà Đồ - Xã Hoằng Lộc - Tỉnh Thanh Hóa")</f>
        <v>Thôn Hà Đồ - Xã Hoằng Lộc - Tỉnh Thanh Hóa</v>
      </c>
      <c r="L72" s="7" t="str">
        <f>IFERROR(__xludf.DUMMYFUNCTION("""COMPUTED_VALUE"""),"0988486246")</f>
        <v>0988486246</v>
      </c>
      <c r="M72" s="7" t="str">
        <f>IFERROR(__xludf.DUMMYFUNCTION("""COMPUTED_VALUE"""),"038090008337")</f>
        <v>038090008337</v>
      </c>
      <c r="N72" s="18">
        <f>IFERROR(__xludf.DUMMYFUNCTION("""COMPUTED_VALUE"""),45593.0)</f>
        <v>45593</v>
      </c>
      <c r="O72" s="7" t="str">
        <f>IFERROR(__xludf.DUMMYFUNCTION("""COMPUTED_VALUE"""),"Cục Cảnh sát QLHC về TTXH")</f>
        <v>Cục Cảnh sát QLHC về TTXH</v>
      </c>
      <c r="P72" s="7" t="str">
        <f>IFERROR(__xludf.DUMMYFUNCTION("""COMPUTED_VALUE"""),"Đại học")</f>
        <v>Đại học</v>
      </c>
      <c r="Q72" s="7" t="str">
        <f>IFERROR(__xludf.DUMMYFUNCTION("""COMPUTED_VALUE"""),"Xây dựng")</f>
        <v>Xây dựng</v>
      </c>
      <c r="R72" s="17">
        <f>IFERROR(__xludf.DUMMYFUNCTION("""COMPUTED_VALUE"""),43080.0)</f>
        <v>43080</v>
      </c>
      <c r="S72" s="17">
        <f>IFERROR(__xludf.DUMMYFUNCTION("""COMPUTED_VALUE"""),44743.0)</f>
        <v>44743</v>
      </c>
      <c r="T72" s="7" t="str">
        <f>IFERROR(__xludf.DUMMYFUNCTION("""COMPUTED_VALUE"""),"Chính thức")</f>
        <v>Chính thức</v>
      </c>
      <c r="U72" s="7"/>
      <c r="V72" s="7" t="str">
        <f>IFERROR(__xludf.DUMMYFUNCTION("""COMPUTED_VALUE"""),"Chính thức")</f>
        <v>Chính thức</v>
      </c>
      <c r="W72" s="7" t="str">
        <f>IFERROR(__xludf.DUMMYFUNCTION("""COMPUTED_VALUE"""),"8 năm 0 tháng")</f>
        <v>8 năm 0 tháng</v>
      </c>
      <c r="X72" s="7"/>
      <c r="Y72" s="7"/>
      <c r="Z72" s="7"/>
    </row>
    <row r="73">
      <c r="A73" s="7">
        <f>IFERROR(__xludf.DUMMYFUNCTION("""COMPUTED_VALUE"""),9.0)</f>
        <v>9</v>
      </c>
      <c r="B73" s="7" t="str">
        <f>IFERROR(__xludf.DUMMYFUNCTION("""COMPUTED_VALUE"""),"Văn phòng")</f>
        <v>Văn phòng</v>
      </c>
      <c r="C73" s="7" t="str">
        <f>IFERROR(__xludf.DUMMYFUNCTION("""COMPUTED_VALUE"""),"Ban đầu tư")</f>
        <v>Ban đầu tư</v>
      </c>
      <c r="D73" s="7" t="str">
        <f>IFERROR(__xludf.DUMMYFUNCTION("""COMPUTED_VALUE"""),"Bộ phận hành chính")</f>
        <v>Bộ phận hành chính</v>
      </c>
      <c r="E73" s="7" t="str">
        <f>IFERROR(__xludf.DUMMYFUNCTION("""COMPUTED_VALUE"""),"Nhân viên lái máy")</f>
        <v>Nhân viên lái máy</v>
      </c>
      <c r="F73" s="7" t="str">
        <f>IFERROR(__xludf.DUMMYFUNCTION("""COMPUTED_VALUE"""),"NV5143")</f>
        <v>NV5143</v>
      </c>
      <c r="G73" s="7"/>
      <c r="H73" s="7" t="str">
        <f>IFERROR(__xludf.DUMMYFUNCTION("""COMPUTED_VALUE"""),"Phạm Công Điện")</f>
        <v>Phạm Công Điện</v>
      </c>
      <c r="I73" s="7" t="str">
        <f>IFERROR(__xludf.DUMMYFUNCTION("""COMPUTED_VALUE"""),"Nam")</f>
        <v>Nam</v>
      </c>
      <c r="J73" s="17">
        <f>IFERROR(__xludf.DUMMYFUNCTION("""COMPUTED_VALUE"""),23940.0)</f>
        <v>23940</v>
      </c>
      <c r="K73" s="7" t="str">
        <f>IFERROR(__xludf.DUMMYFUNCTION("""COMPUTED_VALUE"""),"Thôn 13 - Phố Thiều - Xã Triệu Sơn - Tỉnh Thanh Hóa")</f>
        <v>Thôn 13 - Phố Thiều - Xã Triệu Sơn - Tỉnh Thanh Hóa</v>
      </c>
      <c r="L73" s="7"/>
      <c r="M73" s="7" t="str">
        <f>IFERROR(__xludf.DUMMYFUNCTION("""COMPUTED_VALUE"""),"038065028042")</f>
        <v>038065028042</v>
      </c>
      <c r="N73" s="18">
        <f>IFERROR(__xludf.DUMMYFUNCTION("""COMPUTED_VALUE"""),44435.0)</f>
        <v>44435</v>
      </c>
      <c r="O73" s="7" t="str">
        <f>IFERROR(__xludf.DUMMYFUNCTION("""COMPUTED_VALUE"""),"Cục Cảnh sát QLHC về TTXH")</f>
        <v>Cục Cảnh sát QLHC về TTXH</v>
      </c>
      <c r="P73" s="7" t="str">
        <f>IFERROR(__xludf.DUMMYFUNCTION("""COMPUTED_VALUE"""),"Chứng chỉ nghề")</f>
        <v>Chứng chỉ nghề</v>
      </c>
      <c r="Q73" s="7" t="str">
        <f>IFERROR(__xludf.DUMMYFUNCTION("""COMPUTED_VALUE"""),"Lái máy ủi")</f>
        <v>Lái máy ủi</v>
      </c>
      <c r="R73" s="17">
        <f>IFERROR(__xludf.DUMMYFUNCTION("""COMPUTED_VALUE"""),45908.0)</f>
        <v>45908</v>
      </c>
      <c r="S73" s="17">
        <f>IFERROR(__xludf.DUMMYFUNCTION("""COMPUTED_VALUE"""),45908.0)</f>
        <v>45908</v>
      </c>
      <c r="T73" s="7" t="str">
        <f>IFERROR(__xludf.DUMMYFUNCTION("""COMPUTED_VALUE"""),"Chính thức")</f>
        <v>Chính thức</v>
      </c>
      <c r="U73" s="7"/>
      <c r="V73" s="7" t="str">
        <f>IFERROR(__xludf.DUMMYFUNCTION("""COMPUTED_VALUE"""),"Chính thức")</f>
        <v>Chính thức</v>
      </c>
      <c r="W73" s="7" t="str">
        <f>IFERROR(__xludf.DUMMYFUNCTION("""COMPUTED_VALUE"""),"0 năm 3 tháng")</f>
        <v>0 năm 3 tháng</v>
      </c>
      <c r="X73" s="7"/>
      <c r="Y73" s="7"/>
      <c r="Z73" s="7"/>
    </row>
    <row r="74">
      <c r="A74" s="7">
        <f>IFERROR(__xludf.DUMMYFUNCTION("""COMPUTED_VALUE"""),10.0)</f>
        <v>10</v>
      </c>
      <c r="B74" s="7" t="str">
        <f>IFERROR(__xludf.DUMMYFUNCTION("""COMPUTED_VALUE"""),"Văn phòng")</f>
        <v>Văn phòng</v>
      </c>
      <c r="C74" s="7" t="str">
        <f>IFERROR(__xludf.DUMMYFUNCTION("""COMPUTED_VALUE"""),"Ban đầu tư")</f>
        <v>Ban đầu tư</v>
      </c>
      <c r="D74" s="7" t="str">
        <f>IFERROR(__xludf.DUMMYFUNCTION("""COMPUTED_VALUE"""),"Bộ phận hành chính")</f>
        <v>Bộ phận hành chính</v>
      </c>
      <c r="E74" s="7" t="str">
        <f>IFERROR(__xludf.DUMMYFUNCTION("""COMPUTED_VALUE"""),"Bảo vệ - kiêm thủ kho")</f>
        <v>Bảo vệ - kiêm thủ kho</v>
      </c>
      <c r="F74" s="7"/>
      <c r="G74" s="7"/>
      <c r="H74" s="7" t="str">
        <f>IFERROR(__xludf.DUMMYFUNCTION("""COMPUTED_VALUE"""),"Nguyễn Đình Cảnh")</f>
        <v>Nguyễn Đình Cảnh</v>
      </c>
      <c r="I74" s="7" t="str">
        <f>IFERROR(__xludf.DUMMYFUNCTION("""COMPUTED_VALUE"""),"Nam")</f>
        <v>Nam</v>
      </c>
      <c r="J74" s="17">
        <f>IFERROR(__xludf.DUMMYFUNCTION("""COMPUTED_VALUE"""),23608.0)</f>
        <v>23608</v>
      </c>
      <c r="K74" s="7" t="str">
        <f>IFERROR(__xludf.DUMMYFUNCTION("""COMPUTED_VALUE"""),"Hưng Hóa - Tam Nông - Phú Thọ")</f>
        <v>Hưng Hóa - Tam Nông - Phú Thọ</v>
      </c>
      <c r="L74" s="7"/>
      <c r="M74" s="7" t="str">
        <f>IFERROR(__xludf.DUMMYFUNCTION("""COMPUTED_VALUE"""),"025064011055")</f>
        <v>025064011055</v>
      </c>
      <c r="N74" s="18">
        <f>IFERROR(__xludf.DUMMYFUNCTION("""COMPUTED_VALUE"""),45617.0)</f>
        <v>45617</v>
      </c>
      <c r="O74" s="7" t="str">
        <f>IFERROR(__xludf.DUMMYFUNCTION("""COMPUTED_VALUE"""),"Bộ Công an")</f>
        <v>Bộ Công an</v>
      </c>
      <c r="P74" s="7" t="str">
        <f>IFERROR(__xludf.DUMMYFUNCTION("""COMPUTED_VALUE"""),"LĐPT")</f>
        <v>LĐPT</v>
      </c>
      <c r="Q74" s="7" t="str">
        <f>IFERROR(__xludf.DUMMYFUNCTION("""COMPUTED_VALUE"""),"Lao động phổ thông")</f>
        <v>Lao động phổ thông</v>
      </c>
      <c r="R74" s="17">
        <f>IFERROR(__xludf.DUMMYFUNCTION("""COMPUTED_VALUE"""),45916.0)</f>
        <v>45916</v>
      </c>
      <c r="S74" s="7"/>
      <c r="T74" s="7" t="str">
        <f>IFERROR(__xludf.DUMMYFUNCTION("""COMPUTED_VALUE"""),"Chính thức")</f>
        <v>Chính thức</v>
      </c>
      <c r="U74" s="7"/>
      <c r="V74" s="7" t="str">
        <f>IFERROR(__xludf.DUMMYFUNCTION("""COMPUTED_VALUE"""),"Chính thức")</f>
        <v>Chính thức</v>
      </c>
      <c r="W74" s="7" t="str">
        <f>IFERROR(__xludf.DUMMYFUNCTION("""COMPUTED_VALUE"""),"0 năm 3 tháng")</f>
        <v>0 năm 3 tháng</v>
      </c>
      <c r="X74" s="7"/>
      <c r="Y74" s="7"/>
      <c r="Z74" s="7"/>
    </row>
    <row r="75">
      <c r="A75" s="7">
        <f>IFERROR(__xludf.DUMMYFUNCTION("""COMPUTED_VALUE"""),11.0)</f>
        <v>11</v>
      </c>
      <c r="B75" s="7" t="str">
        <f>IFERROR(__xludf.DUMMYFUNCTION("""COMPUTED_VALUE"""),"Văn phòng")</f>
        <v>Văn phòng</v>
      </c>
      <c r="C75" s="7" t="str">
        <f>IFERROR(__xludf.DUMMYFUNCTION("""COMPUTED_VALUE"""),"Ban đầu tư")</f>
        <v>Ban đầu tư</v>
      </c>
      <c r="D75" s="7" t="str">
        <f>IFERROR(__xludf.DUMMYFUNCTION("""COMPUTED_VALUE"""),"Bộ phận hành chính")</f>
        <v>Bộ phận hành chính</v>
      </c>
      <c r="E75" s="7" t="str">
        <f>IFERROR(__xludf.DUMMYFUNCTION("""COMPUTED_VALUE"""),"Nhân viên lái máy")</f>
        <v>Nhân viên lái máy</v>
      </c>
      <c r="F75" s="7" t="str">
        <f>IFERROR(__xludf.DUMMYFUNCTION("""COMPUTED_VALUE"""),"NV0821")</f>
        <v>NV0821</v>
      </c>
      <c r="G75" s="7"/>
      <c r="H75" s="7" t="str">
        <f>IFERROR(__xludf.DUMMYFUNCTION("""COMPUTED_VALUE"""),"Nguyễn Văn Bình")</f>
        <v>Nguyễn Văn Bình</v>
      </c>
      <c r="I75" s="7" t="str">
        <f>IFERROR(__xludf.DUMMYFUNCTION("""COMPUTED_VALUE"""),"Nam")</f>
        <v>Nam</v>
      </c>
      <c r="J75" s="17">
        <f>IFERROR(__xludf.DUMMYFUNCTION("""COMPUTED_VALUE"""),26988.0)</f>
        <v>26988</v>
      </c>
      <c r="K75" s="7" t="str">
        <f>IFERROR(__xludf.DUMMYFUNCTION("""COMPUTED_VALUE"""),"Xã Hoằng Sơn - Tỉnh Thanh Hóa")</f>
        <v>Xã Hoằng Sơn - Tỉnh Thanh Hóa</v>
      </c>
      <c r="L75" s="7" t="str">
        <f>IFERROR(__xludf.DUMMYFUNCTION("""COMPUTED_VALUE"""),"0393802771")</f>
        <v>0393802771</v>
      </c>
      <c r="M75" s="7" t="str">
        <f>IFERROR(__xludf.DUMMYFUNCTION("""COMPUTED_VALUE"""),"038073028655")</f>
        <v>038073028655</v>
      </c>
      <c r="N75" s="18">
        <f>IFERROR(__xludf.DUMMYFUNCTION("""COMPUTED_VALUE"""),44420.0)</f>
        <v>44420</v>
      </c>
      <c r="O75" s="7" t="str">
        <f>IFERROR(__xludf.DUMMYFUNCTION("""COMPUTED_VALUE"""),"Cục Cảnh sát QLHC về TTXH")</f>
        <v>Cục Cảnh sát QLHC về TTXH</v>
      </c>
      <c r="P75" s="7" t="str">
        <f>IFERROR(__xludf.DUMMYFUNCTION("""COMPUTED_VALUE"""),"Bằng nghề")</f>
        <v>Bằng nghề</v>
      </c>
      <c r="Q75" s="7" t="str">
        <f>IFERROR(__xludf.DUMMYFUNCTION("""COMPUTED_VALUE"""),"Lái máy xúc")</f>
        <v>Lái máy xúc</v>
      </c>
      <c r="R75" s="17">
        <f>IFERROR(__xludf.DUMMYFUNCTION("""COMPUTED_VALUE"""),45917.0)</f>
        <v>45917</v>
      </c>
      <c r="S75" s="17">
        <f>IFERROR(__xludf.DUMMYFUNCTION("""COMPUTED_VALUE"""),45917.0)</f>
        <v>45917</v>
      </c>
      <c r="T75" s="7" t="str">
        <f>IFERROR(__xludf.DUMMYFUNCTION("""COMPUTED_VALUE"""),"Chính thức")</f>
        <v>Chính thức</v>
      </c>
      <c r="U75" s="7"/>
      <c r="V75" s="7" t="str">
        <f>IFERROR(__xludf.DUMMYFUNCTION("""COMPUTED_VALUE"""),"Chính thức")</f>
        <v>Chính thức</v>
      </c>
      <c r="W75" s="7" t="str">
        <f>IFERROR(__xludf.DUMMYFUNCTION("""COMPUTED_VALUE"""),"0 năm 3 tháng")</f>
        <v>0 năm 3 tháng</v>
      </c>
      <c r="X75" s="7"/>
      <c r="Y75" s="7"/>
      <c r="Z75" s="7"/>
    </row>
    <row r="76">
      <c r="A76" s="7">
        <f>IFERROR(__xludf.DUMMYFUNCTION("""COMPUTED_VALUE"""),12.0)</f>
        <v>12</v>
      </c>
      <c r="B76" s="7" t="str">
        <f>IFERROR(__xludf.DUMMYFUNCTION("""COMPUTED_VALUE"""),"Văn phòng")</f>
        <v>Văn phòng</v>
      </c>
      <c r="C76" s="7" t="str">
        <f>IFERROR(__xludf.DUMMYFUNCTION("""COMPUTED_VALUE"""),"Ban đầu tư")</f>
        <v>Ban đầu tư</v>
      </c>
      <c r="D76" s="7" t="str">
        <f>IFERROR(__xludf.DUMMYFUNCTION("""COMPUTED_VALUE"""),"Bộ phận hành chính")</f>
        <v>Bộ phận hành chính</v>
      </c>
      <c r="E76" s="7" t="str">
        <f>IFERROR(__xludf.DUMMYFUNCTION("""COMPUTED_VALUE"""),"Chỉ huy trưởng Dự án Cống Trúc")</f>
        <v>Chỉ huy trưởng Dự án Cống Trúc</v>
      </c>
      <c r="F76" s="7" t="str">
        <f>IFERROR(__xludf.DUMMYFUNCTION("""COMPUTED_VALUE"""),"NV5814")</f>
        <v>NV5814</v>
      </c>
      <c r="G76" s="7"/>
      <c r="H76" s="7" t="str">
        <f>IFERROR(__xludf.DUMMYFUNCTION("""COMPUTED_VALUE"""),"Nguyễn Trọng Kiều")</f>
        <v>Nguyễn Trọng Kiều</v>
      </c>
      <c r="I76" s="7" t="str">
        <f>IFERROR(__xludf.DUMMYFUNCTION("""COMPUTED_VALUE"""),"Nam")</f>
        <v>Nam</v>
      </c>
      <c r="J76" s="17">
        <f>IFERROR(__xludf.DUMMYFUNCTION("""COMPUTED_VALUE"""),23978.0)</f>
        <v>23978</v>
      </c>
      <c r="K76" s="7" t="str">
        <f>IFERROR(__xludf.DUMMYFUNCTION("""COMPUTED_VALUE"""),"SN 51/141 Lý Nhân Tông – phường Hạc Thành - tỉnh Thanh Hóa")</f>
        <v>SN 51/141 Lý Nhân Tông – phường Hạc Thành - tỉnh Thanh Hóa</v>
      </c>
      <c r="L76" s="7" t="str">
        <f>IFERROR(__xludf.DUMMYFUNCTION("""COMPUTED_VALUE"""),"0964117036")</f>
        <v>0964117036</v>
      </c>
      <c r="M76" s="7" t="str">
        <f>IFERROR(__xludf.DUMMYFUNCTION("""COMPUTED_VALUE"""),"038065003867")</f>
        <v>038065003867</v>
      </c>
      <c r="N76" s="18">
        <f>IFERROR(__xludf.DUMMYFUNCTION("""COMPUTED_VALUE"""),45859.0)</f>
        <v>45859</v>
      </c>
      <c r="O76" s="7" t="str">
        <f>IFERROR(__xludf.DUMMYFUNCTION("""COMPUTED_VALUE"""),"Bộ công an")</f>
        <v>Bộ công an</v>
      </c>
      <c r="P76" s="7" t="str">
        <f>IFERROR(__xludf.DUMMYFUNCTION("""COMPUTED_VALUE"""),"Đại học")</f>
        <v>Đại học</v>
      </c>
      <c r="Q76" s="7" t="str">
        <f>IFERROR(__xludf.DUMMYFUNCTION("""COMPUTED_VALUE"""),"Kỹ sư xây dựng cầu đường bộ")</f>
        <v>Kỹ sư xây dựng cầu đường bộ</v>
      </c>
      <c r="R76" s="17">
        <f>IFERROR(__xludf.DUMMYFUNCTION("""COMPUTED_VALUE"""),45997.0)</f>
        <v>45997</v>
      </c>
      <c r="S76" s="17">
        <f>IFERROR(__xludf.DUMMYFUNCTION("""COMPUTED_VALUE"""),45997.0)</f>
        <v>45997</v>
      </c>
      <c r="T76" s="7" t="str">
        <f>IFERROR(__xludf.DUMMYFUNCTION("""COMPUTED_VALUE"""),"Chính thức")</f>
        <v>Chính thức</v>
      </c>
      <c r="U76" s="7"/>
      <c r="V76" s="7" t="str">
        <f>IFERROR(__xludf.DUMMYFUNCTION("""COMPUTED_VALUE"""),"Chính thức")</f>
        <v>Chính thức</v>
      </c>
      <c r="W76" s="7" t="str">
        <f>IFERROR(__xludf.DUMMYFUNCTION("""COMPUTED_VALUE"""),"0 năm 0 tháng")</f>
        <v>0 năm 0 tháng</v>
      </c>
      <c r="X76" s="7"/>
      <c r="Y76" s="7"/>
      <c r="Z76" s="7"/>
    </row>
    <row r="77">
      <c r="A77" s="7">
        <f>IFERROR(__xludf.DUMMYFUNCTION("""COMPUTED_VALUE"""),1.0)</f>
        <v>1</v>
      </c>
      <c r="B77" s="7" t="str">
        <f>IFERROR(__xludf.DUMMYFUNCTION("""COMPUTED_VALUE"""),"Văn phòng")</f>
        <v>Văn phòng</v>
      </c>
      <c r="C77" s="7" t="str">
        <f>IFERROR(__xludf.DUMMYFUNCTION("""COMPUTED_VALUE"""),"Phòng khai thác")</f>
        <v>Phòng khai thác</v>
      </c>
      <c r="D77" s="7" t="str">
        <f>IFERROR(__xludf.DUMMYFUNCTION("""COMPUTED_VALUE"""),"Tổ khai thác mỏ")</f>
        <v>Tổ khai thác mỏ</v>
      </c>
      <c r="E77" s="7" t="str">
        <f>IFERROR(__xludf.DUMMYFUNCTION("""COMPUTED_VALUE"""),"Phó phòng ")</f>
        <v>Phó phòng </v>
      </c>
      <c r="F77" s="7" t="str">
        <f>IFERROR(__xludf.DUMMYFUNCTION("""COMPUTED_VALUE"""),"NV0410")</f>
        <v>NV0410</v>
      </c>
      <c r="G77" s="7">
        <f>IFERROR(__xludf.DUMMYFUNCTION("""COMPUTED_VALUE"""),7.0)</f>
        <v>7</v>
      </c>
      <c r="H77" s="7" t="str">
        <f>IFERROR(__xludf.DUMMYFUNCTION("""COMPUTED_VALUE"""),"Nguyễn Anh Hải")</f>
        <v>Nguyễn Anh Hải</v>
      </c>
      <c r="I77" s="7" t="str">
        <f>IFERROR(__xludf.DUMMYFUNCTION("""COMPUTED_VALUE"""),"Nam")</f>
        <v>Nam</v>
      </c>
      <c r="J77" s="17">
        <f>IFERROR(__xludf.DUMMYFUNCTION("""COMPUTED_VALUE"""),29078.0)</f>
        <v>29078</v>
      </c>
      <c r="K77" s="7" t="str">
        <f>IFERROR(__xludf.DUMMYFUNCTION("""COMPUTED_VALUE"""),"Thị Trấn Bút Sơn - Tỉnh Thanh Hóa")</f>
        <v>Thị Trấn Bút Sơn - Tỉnh Thanh Hóa</v>
      </c>
      <c r="L77" s="7" t="str">
        <f>IFERROR(__xludf.DUMMYFUNCTION("""COMPUTED_VALUE"""),"0904518569")</f>
        <v>0904518569</v>
      </c>
      <c r="M77" s="7" t="str">
        <f>IFERROR(__xludf.DUMMYFUNCTION("""COMPUTED_VALUE"""),"038079007775")</f>
        <v>038079007775</v>
      </c>
      <c r="N77" s="18">
        <f>IFERROR(__xludf.DUMMYFUNCTION("""COMPUTED_VALUE"""),45093.0)</f>
        <v>45093</v>
      </c>
      <c r="O77" s="7" t="str">
        <f>IFERROR(__xludf.DUMMYFUNCTION("""COMPUTED_VALUE"""),"Cục Cảnh sát QLHC về TTXH")</f>
        <v>Cục Cảnh sát QLHC về TTXH</v>
      </c>
      <c r="P77" s="7" t="str">
        <f>IFERROR(__xludf.DUMMYFUNCTION("""COMPUTED_VALUE"""),"Đại học")</f>
        <v>Đại học</v>
      </c>
      <c r="Q77" s="7" t="str">
        <f>IFERROR(__xludf.DUMMYFUNCTION("""COMPUTED_VALUE"""),"KS - Cơ khí")</f>
        <v>KS - Cơ khí</v>
      </c>
      <c r="R77" s="17">
        <f>IFERROR(__xludf.DUMMYFUNCTION("""COMPUTED_VALUE"""),38904.0)</f>
        <v>38904</v>
      </c>
      <c r="S77" s="17">
        <f>IFERROR(__xludf.DUMMYFUNCTION("""COMPUTED_VALUE"""),38904.0)</f>
        <v>38904</v>
      </c>
      <c r="T77" s="7" t="str">
        <f>IFERROR(__xludf.DUMMYFUNCTION("""COMPUTED_VALUE"""),"Chính thức")</f>
        <v>Chính thức</v>
      </c>
      <c r="U77" s="7"/>
      <c r="V77" s="7" t="str">
        <f>IFERROR(__xludf.DUMMYFUNCTION("""COMPUTED_VALUE"""),"Chính thức")</f>
        <v>Chính thức</v>
      </c>
      <c r="W77" s="7" t="str">
        <f>IFERROR(__xludf.DUMMYFUNCTION("""COMPUTED_VALUE"""),"19 năm 5 tháng")</f>
        <v>19 năm 5 tháng</v>
      </c>
      <c r="X77" s="7"/>
      <c r="Y77" s="7"/>
      <c r="Z77" s="7"/>
    </row>
    <row r="78">
      <c r="A78" s="7">
        <f>IFERROR(__xludf.DUMMYFUNCTION("""COMPUTED_VALUE"""),2.0)</f>
        <v>2</v>
      </c>
      <c r="B78" s="7" t="str">
        <f>IFERROR(__xludf.DUMMYFUNCTION("""COMPUTED_VALUE"""),"Văn phòng")</f>
        <v>Văn phòng</v>
      </c>
      <c r="C78" s="7" t="str">
        <f>IFERROR(__xludf.DUMMYFUNCTION("""COMPUTED_VALUE"""),"Phòng khai thác")</f>
        <v>Phòng khai thác</v>
      </c>
      <c r="D78" s="7" t="str">
        <f>IFERROR(__xludf.DUMMYFUNCTION("""COMPUTED_VALUE"""),"Tổ khai thác mỏ")</f>
        <v>Tổ khai thác mỏ</v>
      </c>
      <c r="E78" s="7" t="str">
        <f>IFERROR(__xludf.DUMMYFUNCTION("""COMPUTED_VALUE"""),"Chuyên viên khai thác mỏ")</f>
        <v>Chuyên viên khai thác mỏ</v>
      </c>
      <c r="F78" s="7" t="str">
        <f>IFERROR(__xludf.DUMMYFUNCTION("""COMPUTED_VALUE"""),"NV1069")</f>
        <v>NV1069</v>
      </c>
      <c r="G78" s="7">
        <f>IFERROR(__xludf.DUMMYFUNCTION("""COMPUTED_VALUE"""),34.0)</f>
        <v>34</v>
      </c>
      <c r="H78" s="7" t="str">
        <f>IFERROR(__xludf.DUMMYFUNCTION("""COMPUTED_VALUE"""),"Lê Xuân Lộc")</f>
        <v>Lê Xuân Lộc</v>
      </c>
      <c r="I78" s="7" t="str">
        <f>IFERROR(__xludf.DUMMYFUNCTION("""COMPUTED_VALUE"""),"Nam")</f>
        <v>Nam</v>
      </c>
      <c r="J78" s="17">
        <f>IFERROR(__xludf.DUMMYFUNCTION("""COMPUTED_VALUE"""),34618.0)</f>
        <v>34618</v>
      </c>
      <c r="K78" s="7" t="str">
        <f>IFERROR(__xludf.DUMMYFUNCTION("""COMPUTED_VALUE"""),"Thôn 2 - Trinh Hà - Hoằng Trung - Hoằng Hóa - Thanh Hóa")</f>
        <v>Thôn 2 - Trinh Hà - Hoằng Trung - Hoằng Hóa - Thanh Hóa</v>
      </c>
      <c r="L78" s="7" t="str">
        <f>IFERROR(__xludf.DUMMYFUNCTION("""COMPUTED_VALUE"""),"0848989236")</f>
        <v>0848989236</v>
      </c>
      <c r="M78" s="7" t="str">
        <f>IFERROR(__xludf.DUMMYFUNCTION("""COMPUTED_VALUE"""),"038094036279")</f>
        <v>038094036279</v>
      </c>
      <c r="N78" s="18">
        <f>IFERROR(__xludf.DUMMYFUNCTION("""COMPUTED_VALUE"""),44427.0)</f>
        <v>44427</v>
      </c>
      <c r="O78" s="7" t="str">
        <f>IFERROR(__xludf.DUMMYFUNCTION("""COMPUTED_VALUE"""),"Cục Cảnh sát QLHC về TTXH")</f>
        <v>Cục Cảnh sát QLHC về TTXH</v>
      </c>
      <c r="P78" s="7" t="str">
        <f>IFERROR(__xludf.DUMMYFUNCTION("""COMPUTED_VALUE"""),"Đại học")</f>
        <v>Đại học</v>
      </c>
      <c r="Q78" s="7" t="str">
        <f>IFERROR(__xludf.DUMMYFUNCTION("""COMPUTED_VALUE"""),"Kỹ thuật khai thác mỏ")</f>
        <v>Kỹ thuật khai thác mỏ</v>
      </c>
      <c r="R78" s="17">
        <f>IFERROR(__xludf.DUMMYFUNCTION("""COMPUTED_VALUE"""),43327.0)</f>
        <v>43327</v>
      </c>
      <c r="S78" s="17">
        <f>IFERROR(__xludf.DUMMYFUNCTION("""COMPUTED_VALUE"""),43466.0)</f>
        <v>43466</v>
      </c>
      <c r="T78" s="7" t="str">
        <f>IFERROR(__xludf.DUMMYFUNCTION("""COMPUTED_VALUE"""),"Chính thức")</f>
        <v>Chính thức</v>
      </c>
      <c r="U78" s="7"/>
      <c r="V78" s="7" t="str">
        <f>IFERROR(__xludf.DUMMYFUNCTION("""COMPUTED_VALUE"""),"Chính thức")</f>
        <v>Chính thức</v>
      </c>
      <c r="W78" s="7" t="str">
        <f>IFERROR(__xludf.DUMMYFUNCTION("""COMPUTED_VALUE"""),"7 năm 4 tháng")</f>
        <v>7 năm 4 tháng</v>
      </c>
      <c r="X78" s="7"/>
      <c r="Y78" s="7"/>
      <c r="Z78" s="7"/>
    </row>
    <row r="79">
      <c r="A79" s="7">
        <f>IFERROR(__xludf.DUMMYFUNCTION("""COMPUTED_VALUE"""),3.0)</f>
        <v>3</v>
      </c>
      <c r="B79" s="7" t="str">
        <f>IFERROR(__xludf.DUMMYFUNCTION("""COMPUTED_VALUE"""),"Văn phòng")</f>
        <v>Văn phòng</v>
      </c>
      <c r="C79" s="7" t="str">
        <f>IFERROR(__xludf.DUMMYFUNCTION("""COMPUTED_VALUE"""),"Phòng khai thác")</f>
        <v>Phòng khai thác</v>
      </c>
      <c r="D79" s="7" t="str">
        <f>IFERROR(__xludf.DUMMYFUNCTION("""COMPUTED_VALUE"""),"Tổ khai thác mỏ")</f>
        <v>Tổ khai thác mỏ</v>
      </c>
      <c r="E79" s="7" t="str">
        <f>IFERROR(__xludf.DUMMYFUNCTION("""COMPUTED_VALUE"""),"Nhân viên bảo vệ kho Đông Văn")</f>
        <v>Nhân viên bảo vệ kho Đông Văn</v>
      </c>
      <c r="F79" s="7" t="str">
        <f>IFERROR(__xludf.DUMMYFUNCTION("""COMPUTED_VALUE"""),"NV3301")</f>
        <v>NV3301</v>
      </c>
      <c r="G79" s="7"/>
      <c r="H79" s="7" t="str">
        <f>IFERROR(__xludf.DUMMYFUNCTION("""COMPUTED_VALUE"""),"Nguyễn Hữu Chung")</f>
        <v>Nguyễn Hữu Chung</v>
      </c>
      <c r="I79" s="7" t="str">
        <f>IFERROR(__xludf.DUMMYFUNCTION("""COMPUTED_VALUE"""),"Nam")</f>
        <v>Nam</v>
      </c>
      <c r="J79" s="17">
        <f>IFERROR(__xludf.DUMMYFUNCTION("""COMPUTED_VALUE"""),29953.0)</f>
        <v>29953</v>
      </c>
      <c r="K79" s="7" t="str">
        <f>IFERROR(__xludf.DUMMYFUNCTION("""COMPUTED_VALUE"""),"Thôn Văn Châu - Đông Văn - Đông Sơn - Thanh Hóa")</f>
        <v>Thôn Văn Châu - Đông Văn - Đông Sơn - Thanh Hóa</v>
      </c>
      <c r="L79" s="7" t="str">
        <f>IFERROR(__xludf.DUMMYFUNCTION("""COMPUTED_VALUE"""),"0395443821")</f>
        <v>0395443821</v>
      </c>
      <c r="M79" s="7" t="str">
        <f>IFERROR(__xludf.DUMMYFUNCTION("""COMPUTED_VALUE"""),"038082008226")</f>
        <v>038082008226</v>
      </c>
      <c r="N79" s="18">
        <f>IFERROR(__xludf.DUMMYFUNCTION("""COMPUTED_VALUE"""),44325.0)</f>
        <v>44325</v>
      </c>
      <c r="O79" s="7" t="str">
        <f>IFERROR(__xludf.DUMMYFUNCTION("""COMPUTED_VALUE"""),"Cục Cảnh sát QLHC về TTXH")</f>
        <v>Cục Cảnh sát QLHC về TTXH</v>
      </c>
      <c r="P79" s="7" t="str">
        <f>IFERROR(__xludf.DUMMYFUNCTION("""COMPUTED_VALUE"""),"LĐPT")</f>
        <v>LĐPT</v>
      </c>
      <c r="Q79" s="7" t="str">
        <f>IFERROR(__xludf.DUMMYFUNCTION("""COMPUTED_VALUE"""),"Lao động phổ thông")</f>
        <v>Lao động phổ thông</v>
      </c>
      <c r="R79" s="17">
        <f>IFERROR(__xludf.DUMMYFUNCTION("""COMPUTED_VALUE"""),44092.0)</f>
        <v>44092</v>
      </c>
      <c r="S79" s="17">
        <f>IFERROR(__xludf.DUMMYFUNCTION("""COMPUTED_VALUE"""),44092.0)</f>
        <v>44092</v>
      </c>
      <c r="T79" s="7" t="str">
        <f>IFERROR(__xludf.DUMMYFUNCTION("""COMPUTED_VALUE"""),"Chính thức")</f>
        <v>Chính thức</v>
      </c>
      <c r="U79" s="7"/>
      <c r="V79" s="7" t="str">
        <f>IFERROR(__xludf.DUMMYFUNCTION("""COMPUTED_VALUE"""),"Chính thức")</f>
        <v>Chính thức</v>
      </c>
      <c r="W79" s="7" t="str">
        <f>IFERROR(__xludf.DUMMYFUNCTION("""COMPUTED_VALUE"""),"5 năm 3 tháng")</f>
        <v>5 năm 3 tháng</v>
      </c>
      <c r="X79" s="7"/>
      <c r="Y79" s="7"/>
      <c r="Z79" s="7"/>
    </row>
    <row r="80">
      <c r="A80" s="7">
        <f>IFERROR(__xludf.DUMMYFUNCTION("""COMPUTED_VALUE"""),4.0)</f>
        <v>4</v>
      </c>
      <c r="B80" s="7" t="str">
        <f>IFERROR(__xludf.DUMMYFUNCTION("""COMPUTED_VALUE"""),"Văn phòng")</f>
        <v>Văn phòng</v>
      </c>
      <c r="C80" s="7" t="str">
        <f>IFERROR(__xludf.DUMMYFUNCTION("""COMPUTED_VALUE"""),"Phòng khai thác")</f>
        <v>Phòng khai thác</v>
      </c>
      <c r="D80" s="7" t="str">
        <f>IFERROR(__xludf.DUMMYFUNCTION("""COMPUTED_VALUE"""),"Tổ khai thác mỏ")</f>
        <v>Tổ khai thác mỏ</v>
      </c>
      <c r="E80" s="7" t="str">
        <f>IFERROR(__xludf.DUMMYFUNCTION("""COMPUTED_VALUE"""),"Nhân viên")</f>
        <v>Nhân viên</v>
      </c>
      <c r="F80" s="7" t="str">
        <f>IFERROR(__xludf.DUMMYFUNCTION("""COMPUTED_VALUE"""),"NV5532")</f>
        <v>NV5532</v>
      </c>
      <c r="G80" s="7">
        <f>IFERROR(__xludf.DUMMYFUNCTION("""COMPUTED_VALUE"""),926.0)</f>
        <v>926</v>
      </c>
      <c r="H80" s="7" t="str">
        <f>IFERROR(__xludf.DUMMYFUNCTION("""COMPUTED_VALUE"""),"Hà Trường Giang")</f>
        <v>Hà Trường Giang</v>
      </c>
      <c r="I80" s="7" t="str">
        <f>IFERROR(__xludf.DUMMYFUNCTION("""COMPUTED_VALUE"""),"Nam")</f>
        <v>Nam</v>
      </c>
      <c r="J80" s="17">
        <f>IFERROR(__xludf.DUMMYFUNCTION("""COMPUTED_VALUE"""),31350.0)</f>
        <v>31350</v>
      </c>
      <c r="K80" s="7" t="str">
        <f>IFERROR(__xludf.DUMMYFUNCTION("""COMPUTED_VALUE"""),"Xã Linh Sơn - Tỉnh Thanh Hóa")</f>
        <v>Xã Linh Sơn - Tỉnh Thanh Hóa</v>
      </c>
      <c r="L80" s="7" t="str">
        <f>IFERROR(__xludf.DUMMYFUNCTION("""COMPUTED_VALUE"""),"0979967764")</f>
        <v>0979967764</v>
      </c>
      <c r="M80" s="7" t="str">
        <f>IFERROR(__xludf.DUMMYFUNCTION("""COMPUTED_VALUE"""),"038085005220")</f>
        <v>038085005220</v>
      </c>
      <c r="N80" s="18">
        <f>IFERROR(__xludf.DUMMYFUNCTION("""COMPUTED_VALUE"""),45077.0)</f>
        <v>45077</v>
      </c>
      <c r="O80" s="7" t="str">
        <f>IFERROR(__xludf.DUMMYFUNCTION("""COMPUTED_VALUE"""),"Cục Cảnh sát QLHC về TTXH")</f>
        <v>Cục Cảnh sát QLHC về TTXH</v>
      </c>
      <c r="P80" s="7" t="str">
        <f>IFERROR(__xludf.DUMMYFUNCTION("""COMPUTED_VALUE"""),"LĐPT")</f>
        <v>LĐPT</v>
      </c>
      <c r="Q80" s="7" t="str">
        <f>IFERROR(__xludf.DUMMYFUNCTION("""COMPUTED_VALUE"""),"Lao động phổ thông")</f>
        <v>Lao động phổ thông</v>
      </c>
      <c r="R80" s="17">
        <f>IFERROR(__xludf.DUMMYFUNCTION("""COMPUTED_VALUE"""),45819.0)</f>
        <v>45819</v>
      </c>
      <c r="S80" s="17">
        <f>IFERROR(__xludf.DUMMYFUNCTION("""COMPUTED_VALUE"""),45849.0)</f>
        <v>45849</v>
      </c>
      <c r="T80" s="7" t="str">
        <f>IFERROR(__xludf.DUMMYFUNCTION("""COMPUTED_VALUE"""),"Chính thức")</f>
        <v>Chính thức</v>
      </c>
      <c r="U80" s="7"/>
      <c r="V80" s="7" t="str">
        <f>IFERROR(__xludf.DUMMYFUNCTION("""COMPUTED_VALUE"""),"Chính thức")</f>
        <v>Chính thức</v>
      </c>
      <c r="W80" s="7" t="str">
        <f>IFERROR(__xludf.DUMMYFUNCTION("""COMPUTED_VALUE"""),"0 năm 6 tháng")</f>
        <v>0 năm 6 tháng</v>
      </c>
      <c r="X80" s="7"/>
      <c r="Y80" s="7"/>
      <c r="Z80" s="7"/>
    </row>
    <row r="81">
      <c r="A81" s="7">
        <f>IFERROR(__xludf.DUMMYFUNCTION("""COMPUTED_VALUE"""),5.0)</f>
        <v>5</v>
      </c>
      <c r="B81" s="7" t="str">
        <f>IFERROR(__xludf.DUMMYFUNCTION("""COMPUTED_VALUE"""),"Văn phòng")</f>
        <v>Văn phòng</v>
      </c>
      <c r="C81" s="7" t="str">
        <f>IFERROR(__xludf.DUMMYFUNCTION("""COMPUTED_VALUE"""),"Phòng khai thác")</f>
        <v>Phòng khai thác</v>
      </c>
      <c r="D81" s="7" t="str">
        <f>IFERROR(__xludf.DUMMYFUNCTION("""COMPUTED_VALUE"""),"Tổ khai thác mỏ")</f>
        <v>Tổ khai thác mỏ</v>
      </c>
      <c r="E81" s="7" t="str">
        <f>IFERROR(__xludf.DUMMYFUNCTION("""COMPUTED_VALUE"""),"Kế toán thống kê")</f>
        <v>Kế toán thống kê</v>
      </c>
      <c r="F81" s="7" t="str">
        <f>IFERROR(__xludf.DUMMYFUNCTION("""COMPUTED_VALUE"""),"NV5608")</f>
        <v>NV5608</v>
      </c>
      <c r="G81" s="7">
        <f>IFERROR(__xludf.DUMMYFUNCTION("""COMPUTED_VALUE"""),1096.0)</f>
        <v>1096</v>
      </c>
      <c r="H81" s="7" t="str">
        <f>IFERROR(__xludf.DUMMYFUNCTION("""COMPUTED_VALUE"""),"Lê Thị Hoài")</f>
        <v>Lê Thị Hoài</v>
      </c>
      <c r="I81" s="7" t="str">
        <f>IFERROR(__xludf.DUMMYFUNCTION("""COMPUTED_VALUE"""),"Nữ")</f>
        <v>Nữ</v>
      </c>
      <c r="J81" s="17">
        <f>IFERROR(__xludf.DUMMYFUNCTION("""COMPUTED_VALUE"""),33120.0)</f>
        <v>33120</v>
      </c>
      <c r="K81" s="7" t="str">
        <f>IFERROR(__xludf.DUMMYFUNCTION("""COMPUTED_VALUE"""),"Khu phố Sơn Hải - Phường Sầm Sơn - Tỉnh Thanh Hóa")</f>
        <v>Khu phố Sơn Hải - Phường Sầm Sơn - Tỉnh Thanh Hóa</v>
      </c>
      <c r="L81" s="7" t="str">
        <f>IFERROR(__xludf.DUMMYFUNCTION("""COMPUTED_VALUE"""),"0977280167")</f>
        <v>0977280167</v>
      </c>
      <c r="M81" s="7" t="str">
        <f>IFERROR(__xludf.DUMMYFUNCTION("""COMPUTED_VALUE"""),"038190001738")</f>
        <v>038190001738</v>
      </c>
      <c r="N81" s="18">
        <f>IFERROR(__xludf.DUMMYFUNCTION("""COMPUTED_VALUE"""),44825.0)</f>
        <v>44825</v>
      </c>
      <c r="O81" s="7" t="str">
        <f>IFERROR(__xludf.DUMMYFUNCTION("""COMPUTED_VALUE"""),"Cục Cảnh sát QLHC về TTXH")</f>
        <v>Cục Cảnh sát QLHC về TTXH</v>
      </c>
      <c r="P81" s="7" t="str">
        <f>IFERROR(__xludf.DUMMYFUNCTION("""COMPUTED_VALUE"""),"Đại học")</f>
        <v>Đại học</v>
      </c>
      <c r="Q81" s="7" t="str">
        <f>IFERROR(__xludf.DUMMYFUNCTION("""COMPUTED_VALUE"""),"Cử nhân kế toán")</f>
        <v>Cử nhân kế toán</v>
      </c>
      <c r="R81" s="17">
        <f>IFERROR(__xludf.DUMMYFUNCTION("""COMPUTED_VALUE"""),45845.0)</f>
        <v>45845</v>
      </c>
      <c r="S81" s="17">
        <f>IFERROR(__xludf.DUMMYFUNCTION("""COMPUTED_VALUE"""),45876.0)</f>
        <v>45876</v>
      </c>
      <c r="T81" s="7" t="str">
        <f>IFERROR(__xludf.DUMMYFUNCTION("""COMPUTED_VALUE"""),"Chính thức")</f>
        <v>Chính thức</v>
      </c>
      <c r="U81" s="7"/>
      <c r="V81" s="7" t="str">
        <f>IFERROR(__xludf.DUMMYFUNCTION("""COMPUTED_VALUE"""),"Chính thức")</f>
        <v>Chính thức</v>
      </c>
      <c r="W81" s="7" t="str">
        <f>IFERROR(__xludf.DUMMYFUNCTION("""COMPUTED_VALUE"""),"0 năm 5 tháng")</f>
        <v>0 năm 5 tháng</v>
      </c>
      <c r="X81" s="7"/>
      <c r="Y81" s="7"/>
      <c r="Z81" s="7"/>
    </row>
    <row r="82">
      <c r="A82" s="7">
        <f>IFERROR(__xludf.DUMMYFUNCTION("""COMPUTED_VALUE"""),1.0)</f>
        <v>1</v>
      </c>
      <c r="B82" s="7" t="str">
        <f>IFERROR(__xludf.DUMMYFUNCTION("""COMPUTED_VALUE"""),"Văn phòng")</f>
        <v>Văn phòng</v>
      </c>
      <c r="C82" s="7" t="str">
        <f>IFERROR(__xludf.DUMMYFUNCTION("""COMPUTED_VALUE"""),"Phòng khai thác")</f>
        <v>Phòng khai thác</v>
      </c>
      <c r="D82" s="7" t="str">
        <f>IFERROR(__xludf.DUMMYFUNCTION("""COMPUTED_VALUE"""),"Tổ Đội xe máy")</f>
        <v>Tổ Đội xe máy</v>
      </c>
      <c r="E82" s="7" t="str">
        <f>IFERROR(__xludf.DUMMYFUNCTION("""COMPUTED_VALUE"""),"Nhân viên Lái máy xúc đào")</f>
        <v>Nhân viên Lái máy xúc đào</v>
      </c>
      <c r="F82" s="7" t="str">
        <f>IFERROR(__xludf.DUMMYFUNCTION("""COMPUTED_VALUE"""),"NV5237")</f>
        <v>NV5237</v>
      </c>
      <c r="G82" s="7"/>
      <c r="H82" s="7" t="str">
        <f>IFERROR(__xludf.DUMMYFUNCTION("""COMPUTED_VALUE"""),"Hoàng Văn Hải")</f>
        <v>Hoàng Văn Hải</v>
      </c>
      <c r="I82" s="7" t="str">
        <f>IFERROR(__xludf.DUMMYFUNCTION("""COMPUTED_VALUE"""),"Nam")</f>
        <v>Nam</v>
      </c>
      <c r="J82" s="17">
        <f>IFERROR(__xludf.DUMMYFUNCTION("""COMPUTED_VALUE"""),31185.0)</f>
        <v>31185</v>
      </c>
      <c r="K82" s="7" t="str">
        <f>IFERROR(__xludf.DUMMYFUNCTION("""COMPUTED_VALUE"""),"Xã Hoằng Châu - Tỉnh Thanh Hóa")</f>
        <v>Xã Hoằng Châu - Tỉnh Thanh Hóa</v>
      </c>
      <c r="L82" s="7" t="str">
        <f>IFERROR(__xludf.DUMMYFUNCTION("""COMPUTED_VALUE"""),"0978505568")</f>
        <v>0978505568</v>
      </c>
      <c r="M82" s="7" t="str">
        <f>IFERROR(__xludf.DUMMYFUNCTION("""COMPUTED_VALUE"""),"038085002274")</f>
        <v>038085002274</v>
      </c>
      <c r="N82" s="18">
        <f>IFERROR(__xludf.DUMMYFUNCTION("""COMPUTED_VALUE"""),45698.0)</f>
        <v>45698</v>
      </c>
      <c r="O82" s="7" t="str">
        <f>IFERROR(__xludf.DUMMYFUNCTION("""COMPUTED_VALUE"""),"Bộ Công an")</f>
        <v>Bộ Công an</v>
      </c>
      <c r="P82" s="7" t="str">
        <f>IFERROR(__xludf.DUMMYFUNCTION("""COMPUTED_VALUE"""),"Bằng nghề")</f>
        <v>Bằng nghề</v>
      </c>
      <c r="Q82" s="7" t="str">
        <f>IFERROR(__xludf.DUMMYFUNCTION("""COMPUTED_VALUE"""),"Vận hành máy xúc")</f>
        <v>Vận hành máy xúc</v>
      </c>
      <c r="R82" s="17">
        <f>IFERROR(__xludf.DUMMYFUNCTION("""COMPUTED_VALUE"""),45446.0)</f>
        <v>45446</v>
      </c>
      <c r="S82" s="17">
        <f>IFERROR(__xludf.DUMMYFUNCTION("""COMPUTED_VALUE"""),45536.0)</f>
        <v>45536</v>
      </c>
      <c r="T82" s="7" t="str">
        <f>IFERROR(__xludf.DUMMYFUNCTION("""COMPUTED_VALUE"""),"Chính thức")</f>
        <v>Chính thức</v>
      </c>
      <c r="U82" s="7"/>
      <c r="V82" s="7" t="str">
        <f>IFERROR(__xludf.DUMMYFUNCTION("""COMPUTED_VALUE"""),"Chính thức")</f>
        <v>Chính thức</v>
      </c>
      <c r="W82" s="7" t="str">
        <f>IFERROR(__xludf.DUMMYFUNCTION("""COMPUTED_VALUE"""),"1 năm 6 tháng")</f>
        <v>1 năm 6 tháng</v>
      </c>
      <c r="X82" s="7"/>
      <c r="Y82" s="7"/>
      <c r="Z82" s="7"/>
    </row>
    <row r="83">
      <c r="A83" s="7">
        <f>IFERROR(__xludf.DUMMYFUNCTION("""COMPUTED_VALUE"""),2.0)</f>
        <v>2</v>
      </c>
      <c r="B83" s="7" t="str">
        <f>IFERROR(__xludf.DUMMYFUNCTION("""COMPUTED_VALUE"""),"Văn phòng")</f>
        <v>Văn phòng</v>
      </c>
      <c r="C83" s="7" t="str">
        <f>IFERROR(__xludf.DUMMYFUNCTION("""COMPUTED_VALUE"""),"Phòng khai thác")</f>
        <v>Phòng khai thác</v>
      </c>
      <c r="D83" s="7" t="str">
        <f>IFERROR(__xludf.DUMMYFUNCTION("""COMPUTED_VALUE"""),"Tổ Đội xe máy")</f>
        <v>Tổ Đội xe máy</v>
      </c>
      <c r="E83" s="7" t="str">
        <f>IFERROR(__xludf.DUMMYFUNCTION("""COMPUTED_VALUE"""),"Trưởng bộ phận kho Đông Văn")</f>
        <v>Trưởng bộ phận kho Đông Văn</v>
      </c>
      <c r="F83" s="7" t="str">
        <f>IFERROR(__xludf.DUMMYFUNCTION("""COMPUTED_VALUE"""),"NV0340")</f>
        <v>NV0340</v>
      </c>
      <c r="G83" s="7"/>
      <c r="H83" s="7" t="str">
        <f>IFERROR(__xludf.DUMMYFUNCTION("""COMPUTED_VALUE"""),"Đỗ Đức Tùng")</f>
        <v>Đỗ Đức Tùng</v>
      </c>
      <c r="I83" s="7" t="str">
        <f>IFERROR(__xludf.DUMMYFUNCTION("""COMPUTED_VALUE"""),"Nam")</f>
        <v>Nam</v>
      </c>
      <c r="J83" s="17">
        <f>IFERROR(__xludf.DUMMYFUNCTION("""COMPUTED_VALUE"""),28254.0)</f>
        <v>28254</v>
      </c>
      <c r="K83" s="7" t="str">
        <f>IFERROR(__xludf.DUMMYFUNCTION("""COMPUTED_VALUE"""),"Hoằng Trạch- Hoằng Hóa- Thanh Hóa")</f>
        <v>Hoằng Trạch- Hoằng Hóa- Thanh Hóa</v>
      </c>
      <c r="L83" s="7" t="str">
        <f>IFERROR(__xludf.DUMMYFUNCTION("""COMPUTED_VALUE"""),"0823849222")</f>
        <v>0823849222</v>
      </c>
      <c r="M83" s="7" t="str">
        <f>IFERROR(__xludf.DUMMYFUNCTION("""COMPUTED_VALUE"""),"038077022254")</f>
        <v>038077022254</v>
      </c>
      <c r="N83" s="18">
        <f>IFERROR(__xludf.DUMMYFUNCTION("""COMPUTED_VALUE"""),44471.0)</f>
        <v>44471</v>
      </c>
      <c r="O83" s="7" t="str">
        <f>IFERROR(__xludf.DUMMYFUNCTION("""COMPUTED_VALUE"""),"Cục Cảnh sát QLHC về TTXH")</f>
        <v>Cục Cảnh sát QLHC về TTXH</v>
      </c>
      <c r="P83" s="7" t="str">
        <f>IFERROR(__xludf.DUMMYFUNCTION("""COMPUTED_VALUE"""),"Bằng Nghề")</f>
        <v>Bằng Nghề</v>
      </c>
      <c r="Q83" s="7" t="str">
        <f>IFERROR(__xludf.DUMMYFUNCTION("""COMPUTED_VALUE"""),"Lái máy")</f>
        <v>Lái máy</v>
      </c>
      <c r="R83" s="17">
        <f>IFERROR(__xludf.DUMMYFUNCTION("""COMPUTED_VALUE"""),36260.0)</f>
        <v>36260</v>
      </c>
      <c r="S83" s="17">
        <f>IFERROR(__xludf.DUMMYFUNCTION("""COMPUTED_VALUE"""),36260.0)</f>
        <v>36260</v>
      </c>
      <c r="T83" s="7" t="str">
        <f>IFERROR(__xludf.DUMMYFUNCTION("""COMPUTED_VALUE"""),"Chính thức")</f>
        <v>Chính thức</v>
      </c>
      <c r="U83" s="7"/>
      <c r="V83" s="7" t="str">
        <f>IFERROR(__xludf.DUMMYFUNCTION("""COMPUTED_VALUE"""),"Chính thức")</f>
        <v>Chính thức</v>
      </c>
      <c r="W83" s="7" t="str">
        <f>IFERROR(__xludf.DUMMYFUNCTION("""COMPUTED_VALUE"""),"26 năm 8 tháng")</f>
        <v>26 năm 8 tháng</v>
      </c>
      <c r="X83" s="7"/>
      <c r="Y83" s="7"/>
      <c r="Z83" s="7"/>
    </row>
    <row r="84">
      <c r="A84" s="7">
        <f>IFERROR(__xludf.DUMMYFUNCTION("""COMPUTED_VALUE"""),3.0)</f>
        <v>3</v>
      </c>
      <c r="B84" s="7" t="str">
        <f>IFERROR(__xludf.DUMMYFUNCTION("""COMPUTED_VALUE"""),"Văn phòng")</f>
        <v>Văn phòng</v>
      </c>
      <c r="C84" s="7" t="str">
        <f>IFERROR(__xludf.DUMMYFUNCTION("""COMPUTED_VALUE"""),"Phòng khai thác")</f>
        <v>Phòng khai thác</v>
      </c>
      <c r="D84" s="7" t="str">
        <f>IFERROR(__xludf.DUMMYFUNCTION("""COMPUTED_VALUE"""),"Tổ Đội xe máy")</f>
        <v>Tổ Đội xe máy</v>
      </c>
      <c r="E84" s="7" t="str">
        <f>IFERROR(__xludf.DUMMYFUNCTION("""COMPUTED_VALUE"""),"Nhân viên Lái máy xúc đào")</f>
        <v>Nhân viên Lái máy xúc đào</v>
      </c>
      <c r="F84" s="7" t="str">
        <f>IFERROR(__xludf.DUMMYFUNCTION("""COMPUTED_VALUE"""),"NV1229")</f>
        <v>NV1229</v>
      </c>
      <c r="G84" s="7">
        <f>IFERROR(__xludf.DUMMYFUNCTION("""COMPUTED_VALUE"""),106.0)</f>
        <v>106</v>
      </c>
      <c r="H84" s="7" t="str">
        <f>IFERROR(__xludf.DUMMYFUNCTION("""COMPUTED_VALUE"""),"Trương Quốc Hoàn")</f>
        <v>Trương Quốc Hoàn</v>
      </c>
      <c r="I84" s="7" t="str">
        <f>IFERROR(__xludf.DUMMYFUNCTION("""COMPUTED_VALUE"""),"Nam")</f>
        <v>Nam</v>
      </c>
      <c r="J84" s="17">
        <f>IFERROR(__xludf.DUMMYFUNCTION("""COMPUTED_VALUE"""),30853.0)</f>
        <v>30853</v>
      </c>
      <c r="K84" s="7" t="str">
        <f>IFERROR(__xludf.DUMMYFUNCTION("""COMPUTED_VALUE"""),"Phòng 407 Chung cư Tân Thành, Phường Đông Vệ, Thành phố Thanh Hóa")</f>
        <v>Phòng 407 Chung cư Tân Thành, Phường Đông Vệ, Thành phố Thanh Hóa</v>
      </c>
      <c r="L84" s="7" t="str">
        <f>IFERROR(__xludf.DUMMYFUNCTION("""COMPUTED_VALUE"""),"0988177363")</f>
        <v>0988177363</v>
      </c>
      <c r="M84" s="7" t="str">
        <f>IFERROR(__xludf.DUMMYFUNCTION("""COMPUTED_VALUE"""),"038084031311")</f>
        <v>038084031311</v>
      </c>
      <c r="N84" s="18">
        <f>IFERROR(__xludf.DUMMYFUNCTION("""COMPUTED_VALUE"""),45557.0)</f>
        <v>45557</v>
      </c>
      <c r="O84" s="7" t="str">
        <f>IFERROR(__xludf.DUMMYFUNCTION("""COMPUTED_VALUE"""),"Bộ Công An")</f>
        <v>Bộ Công An</v>
      </c>
      <c r="P84" s="7" t="str">
        <f>IFERROR(__xludf.DUMMYFUNCTION("""COMPUTED_VALUE"""),"Bằng Nghề")</f>
        <v>Bằng Nghề</v>
      </c>
      <c r="Q84" s="7" t="str">
        <f>IFERROR(__xludf.DUMMYFUNCTION("""COMPUTED_VALUE"""),"Lái máy xúc")</f>
        <v>Lái máy xúc</v>
      </c>
      <c r="R84" s="17">
        <f>IFERROR(__xludf.DUMMYFUNCTION("""COMPUTED_VALUE"""),43167.0)</f>
        <v>43167</v>
      </c>
      <c r="S84" s="17">
        <f>IFERROR(__xludf.DUMMYFUNCTION("""COMPUTED_VALUE"""),43167.0)</f>
        <v>43167</v>
      </c>
      <c r="T84" s="7" t="str">
        <f>IFERROR(__xludf.DUMMYFUNCTION("""COMPUTED_VALUE"""),"Chính thức")</f>
        <v>Chính thức</v>
      </c>
      <c r="U84" s="7"/>
      <c r="V84" s="7" t="str">
        <f>IFERROR(__xludf.DUMMYFUNCTION("""COMPUTED_VALUE"""),"Chính thức")</f>
        <v>Chính thức</v>
      </c>
      <c r="W84" s="7" t="str">
        <f>IFERROR(__xludf.DUMMYFUNCTION("""COMPUTED_VALUE"""),"7 năm 9 tháng")</f>
        <v>7 năm 9 tháng</v>
      </c>
      <c r="X84" s="7"/>
      <c r="Y84" s="7"/>
      <c r="Z84" s="7"/>
    </row>
    <row r="85">
      <c r="A85" s="7">
        <f>IFERROR(__xludf.DUMMYFUNCTION("""COMPUTED_VALUE"""),4.0)</f>
        <v>4</v>
      </c>
      <c r="B85" s="7" t="str">
        <f>IFERROR(__xludf.DUMMYFUNCTION("""COMPUTED_VALUE"""),"Văn phòng")</f>
        <v>Văn phòng</v>
      </c>
      <c r="C85" s="7" t="str">
        <f>IFERROR(__xludf.DUMMYFUNCTION("""COMPUTED_VALUE"""),"Phòng khai thác")</f>
        <v>Phòng khai thác</v>
      </c>
      <c r="D85" s="7" t="str">
        <f>IFERROR(__xludf.DUMMYFUNCTION("""COMPUTED_VALUE"""),"Tổ Đội xe máy")</f>
        <v>Tổ Đội xe máy</v>
      </c>
      <c r="E85" s="7" t="str">
        <f>IFERROR(__xludf.DUMMYFUNCTION("""COMPUTED_VALUE"""),"Nhân viên Lái máy xúc đào")</f>
        <v>Nhân viên Lái máy xúc đào</v>
      </c>
      <c r="F85" s="7" t="str">
        <f>IFERROR(__xludf.DUMMYFUNCTION("""COMPUTED_VALUE"""),"NV0375")</f>
        <v>NV0375</v>
      </c>
      <c r="G85" s="7">
        <f>IFERROR(__xludf.DUMMYFUNCTION("""COMPUTED_VALUE"""),61.0)</f>
        <v>61</v>
      </c>
      <c r="H85" s="7" t="str">
        <f>IFERROR(__xludf.DUMMYFUNCTION("""COMPUTED_VALUE"""),"Lê Xuân Toán")</f>
        <v>Lê Xuân Toán</v>
      </c>
      <c r="I85" s="7" t="str">
        <f>IFERROR(__xludf.DUMMYFUNCTION("""COMPUTED_VALUE"""),"Nam")</f>
        <v>Nam</v>
      </c>
      <c r="J85" s="17">
        <f>IFERROR(__xludf.DUMMYFUNCTION("""COMPUTED_VALUE"""),28903.0)</f>
        <v>28903</v>
      </c>
      <c r="K85" s="7" t="str">
        <f>IFERROR(__xludf.DUMMYFUNCTION("""COMPUTED_VALUE"""),"Quan Nội 2, Xã Hoằng Anh, Thành phố Thanh Hóa")</f>
        <v>Quan Nội 2, Xã Hoằng Anh, Thành phố Thanh Hóa</v>
      </c>
      <c r="L85" s="7" t="str">
        <f>IFERROR(__xludf.DUMMYFUNCTION("""COMPUTED_VALUE"""),"0987250542")</f>
        <v>0987250542</v>
      </c>
      <c r="M85" s="7" t="str">
        <f>IFERROR(__xludf.DUMMYFUNCTION("""COMPUTED_VALUE"""),"038079026144")</f>
        <v>038079026144</v>
      </c>
      <c r="N85" s="18">
        <f>IFERROR(__xludf.DUMMYFUNCTION("""COMPUTED_VALUE"""),44435.0)</f>
        <v>44435</v>
      </c>
      <c r="O85" s="7" t="str">
        <f>IFERROR(__xludf.DUMMYFUNCTION("""COMPUTED_VALUE"""),"Cục Cảnh sát QLHC về TTXH")</f>
        <v>Cục Cảnh sát QLHC về TTXH</v>
      </c>
      <c r="P85" s="7" t="str">
        <f>IFERROR(__xludf.DUMMYFUNCTION("""COMPUTED_VALUE"""),"Trung cấp, nghề")</f>
        <v>Trung cấp, nghề</v>
      </c>
      <c r="Q85" s="7" t="str">
        <f>IFERROR(__xludf.DUMMYFUNCTION("""COMPUTED_VALUE"""),"Lái máy")</f>
        <v>Lái máy</v>
      </c>
      <c r="R85" s="17">
        <f>IFERROR(__xludf.DUMMYFUNCTION("""COMPUTED_VALUE"""),41913.0)</f>
        <v>41913</v>
      </c>
      <c r="S85" s="17">
        <f>IFERROR(__xludf.DUMMYFUNCTION("""COMPUTED_VALUE"""),41913.0)</f>
        <v>41913</v>
      </c>
      <c r="T85" s="7" t="str">
        <f>IFERROR(__xludf.DUMMYFUNCTION("""COMPUTED_VALUE"""),"Chính thức")</f>
        <v>Chính thức</v>
      </c>
      <c r="U85" s="7"/>
      <c r="V85" s="7" t="str">
        <f>IFERROR(__xludf.DUMMYFUNCTION("""COMPUTED_VALUE"""),"Chính thức")</f>
        <v>Chính thức</v>
      </c>
      <c r="W85" s="7" t="str">
        <f>IFERROR(__xludf.DUMMYFUNCTION("""COMPUTED_VALUE"""),"11 năm 2 tháng")</f>
        <v>11 năm 2 tháng</v>
      </c>
      <c r="X85" s="7"/>
      <c r="Y85" s="7"/>
      <c r="Z85" s="7"/>
    </row>
    <row r="86">
      <c r="A86" s="7">
        <f>IFERROR(__xludf.DUMMYFUNCTION("""COMPUTED_VALUE"""),5.0)</f>
        <v>5</v>
      </c>
      <c r="B86" s="7" t="str">
        <f>IFERROR(__xludf.DUMMYFUNCTION("""COMPUTED_VALUE"""),"Văn phòng")</f>
        <v>Văn phòng</v>
      </c>
      <c r="C86" s="7" t="str">
        <f>IFERROR(__xludf.DUMMYFUNCTION("""COMPUTED_VALUE"""),"Phòng khai thác")</f>
        <v>Phòng khai thác</v>
      </c>
      <c r="D86" s="7" t="str">
        <f>IFERROR(__xludf.DUMMYFUNCTION("""COMPUTED_VALUE"""),"Tổ Đội xe máy")</f>
        <v>Tổ Đội xe máy</v>
      </c>
      <c r="E86" s="7" t="str">
        <f>IFERROR(__xludf.DUMMYFUNCTION("""COMPUTED_VALUE"""),"Nhân viên Lái máy xúc đào")</f>
        <v>Nhân viên Lái máy xúc đào</v>
      </c>
      <c r="F86" s="7" t="str">
        <f>IFERROR(__xludf.DUMMYFUNCTION("""COMPUTED_VALUE"""),"NV0378")</f>
        <v>NV0378</v>
      </c>
      <c r="G86" s="7"/>
      <c r="H86" s="7" t="str">
        <f>IFERROR(__xludf.DUMMYFUNCTION("""COMPUTED_VALUE"""),"Phạm Quang Hưng")</f>
        <v>Phạm Quang Hưng</v>
      </c>
      <c r="I86" s="7" t="str">
        <f>IFERROR(__xludf.DUMMYFUNCTION("""COMPUTED_VALUE"""),"Nam")</f>
        <v>Nam</v>
      </c>
      <c r="J86" s="17">
        <f>IFERROR(__xludf.DUMMYFUNCTION("""COMPUTED_VALUE"""),29241.0)</f>
        <v>29241</v>
      </c>
      <c r="K86" s="7" t="str">
        <f>IFERROR(__xludf.DUMMYFUNCTION("""COMPUTED_VALUE"""),"82 Duy Tân, Phường Nam Ngạn, Thành phố Thanh Hóa,")</f>
        <v>82 Duy Tân, Phường Nam Ngạn, Thành phố Thanh Hóa,</v>
      </c>
      <c r="L86" s="7" t="str">
        <f>IFERROR(__xludf.DUMMYFUNCTION("""COMPUTED_VALUE"""),"0976924343")</f>
        <v>0976924343</v>
      </c>
      <c r="M86" s="7" t="str">
        <f>IFERROR(__xludf.DUMMYFUNCTION("""COMPUTED_VALUE"""),"038080003232")</f>
        <v>038080003232</v>
      </c>
      <c r="N86" s="18">
        <f>IFERROR(__xludf.DUMMYFUNCTION("""COMPUTED_VALUE"""),44418.0)</f>
        <v>44418</v>
      </c>
      <c r="O86" s="7" t="str">
        <f>IFERROR(__xludf.DUMMYFUNCTION("""COMPUTED_VALUE"""),"Cục Cảnh sát QLHC về TTXH")</f>
        <v>Cục Cảnh sát QLHC về TTXH</v>
      </c>
      <c r="P86" s="7" t="str">
        <f>IFERROR(__xludf.DUMMYFUNCTION("""COMPUTED_VALUE"""),"Trung cấp")</f>
        <v>Trung cấp</v>
      </c>
      <c r="Q86" s="7" t="str">
        <f>IFERROR(__xludf.DUMMYFUNCTION("""COMPUTED_VALUE"""),"Lái máy xúc")</f>
        <v>Lái máy xúc</v>
      </c>
      <c r="R86" s="17">
        <f>IFERROR(__xludf.DUMMYFUNCTION("""COMPUTED_VALUE"""),42033.0)</f>
        <v>42033</v>
      </c>
      <c r="S86" s="17">
        <f>IFERROR(__xludf.DUMMYFUNCTION("""COMPUTED_VALUE"""),42033.0)</f>
        <v>42033</v>
      </c>
      <c r="T86" s="7" t="str">
        <f>IFERROR(__xludf.DUMMYFUNCTION("""COMPUTED_VALUE"""),"Chính thức")</f>
        <v>Chính thức</v>
      </c>
      <c r="U86" s="7"/>
      <c r="V86" s="7" t="str">
        <f>IFERROR(__xludf.DUMMYFUNCTION("""COMPUTED_VALUE"""),"Chính thức")</f>
        <v>Chính thức</v>
      </c>
      <c r="W86" s="7" t="str">
        <f>IFERROR(__xludf.DUMMYFUNCTION("""COMPUTED_VALUE"""),"10 năm 11 tháng")</f>
        <v>10 năm 11 tháng</v>
      </c>
      <c r="X86" s="7"/>
      <c r="Y86" s="7"/>
      <c r="Z86" s="7"/>
    </row>
    <row r="87">
      <c r="A87" s="7">
        <f>IFERROR(__xludf.DUMMYFUNCTION("""COMPUTED_VALUE"""),6.0)</f>
        <v>6</v>
      </c>
      <c r="B87" s="7" t="str">
        <f>IFERROR(__xludf.DUMMYFUNCTION("""COMPUTED_VALUE"""),"Văn phòng")</f>
        <v>Văn phòng</v>
      </c>
      <c r="C87" s="7" t="str">
        <f>IFERROR(__xludf.DUMMYFUNCTION("""COMPUTED_VALUE"""),"Phòng khai thác")</f>
        <v>Phòng khai thác</v>
      </c>
      <c r="D87" s="7" t="str">
        <f>IFERROR(__xludf.DUMMYFUNCTION("""COMPUTED_VALUE"""),"Tổ Đội xe máy")</f>
        <v>Tổ Đội xe máy</v>
      </c>
      <c r="E87" s="7" t="str">
        <f>IFERROR(__xludf.DUMMYFUNCTION("""COMPUTED_VALUE"""),"Nhân viên Lái máy xúc đào")</f>
        <v>Nhân viên Lái máy xúc đào</v>
      </c>
      <c r="F87" s="7" t="str">
        <f>IFERROR(__xludf.DUMMYFUNCTION("""COMPUTED_VALUE"""),"NV0716")</f>
        <v>NV0716</v>
      </c>
      <c r="G87" s="7">
        <f>IFERROR(__xludf.DUMMYFUNCTION("""COMPUTED_VALUE"""),727.0)</f>
        <v>727</v>
      </c>
      <c r="H87" s="7" t="str">
        <f>IFERROR(__xludf.DUMMYFUNCTION("""COMPUTED_VALUE"""),"Lê Đức Kiệm")</f>
        <v>Lê Đức Kiệm</v>
      </c>
      <c r="I87" s="7" t="str">
        <f>IFERROR(__xludf.DUMMYFUNCTION("""COMPUTED_VALUE"""),"Nam")</f>
        <v>Nam</v>
      </c>
      <c r="J87" s="17">
        <f>IFERROR(__xludf.DUMMYFUNCTION("""COMPUTED_VALUE"""),31584.0)</f>
        <v>31584</v>
      </c>
      <c r="K87" s="7" t="str">
        <f>IFERROR(__xludf.DUMMYFUNCTION("""COMPUTED_VALUE"""),"Phố Yên Thành, Xã Quảng Thành, Thành phố Thanh Hóa")</f>
        <v>Phố Yên Thành, Xã Quảng Thành, Thành phố Thanh Hóa</v>
      </c>
      <c r="L87" s="7" t="str">
        <f>IFERROR(__xludf.DUMMYFUNCTION("""COMPUTED_VALUE"""),"0987770486")</f>
        <v>0987770486</v>
      </c>
      <c r="M87" s="7" t="str">
        <f>IFERROR(__xludf.DUMMYFUNCTION("""COMPUTED_VALUE"""),"038086028012")</f>
        <v>038086028012</v>
      </c>
      <c r="N87" s="18">
        <f>IFERROR(__xludf.DUMMYFUNCTION("""COMPUTED_VALUE"""),44350.0)</f>
        <v>44350</v>
      </c>
      <c r="O87" s="7" t="str">
        <f>IFERROR(__xludf.DUMMYFUNCTION("""COMPUTED_VALUE"""),"Cục Cảnh sát QLHC về TTXH")</f>
        <v>Cục Cảnh sát QLHC về TTXH</v>
      </c>
      <c r="P87" s="7" t="str">
        <f>IFERROR(__xludf.DUMMYFUNCTION("""COMPUTED_VALUE"""),"Công nhân kỹ thuật")</f>
        <v>Công nhân kỹ thuật</v>
      </c>
      <c r="Q87" s="7" t="str">
        <f>IFERROR(__xludf.DUMMYFUNCTION("""COMPUTED_VALUE"""),"Lái máy Xúc")</f>
        <v>Lái máy Xúc</v>
      </c>
      <c r="R87" s="17">
        <f>IFERROR(__xludf.DUMMYFUNCTION("""COMPUTED_VALUE"""),42417.0)</f>
        <v>42417</v>
      </c>
      <c r="S87" s="17">
        <f>IFERROR(__xludf.DUMMYFUNCTION("""COMPUTED_VALUE"""),42417.0)</f>
        <v>42417</v>
      </c>
      <c r="T87" s="7" t="str">
        <f>IFERROR(__xludf.DUMMYFUNCTION("""COMPUTED_VALUE"""),"Chính thức")</f>
        <v>Chính thức</v>
      </c>
      <c r="U87" s="7"/>
      <c r="V87" s="7" t="str">
        <f>IFERROR(__xludf.DUMMYFUNCTION("""COMPUTED_VALUE"""),"Chính thức")</f>
        <v>Chính thức</v>
      </c>
      <c r="W87" s="7" t="str">
        <f>IFERROR(__xludf.DUMMYFUNCTION("""COMPUTED_VALUE"""),"9 năm 10 tháng")</f>
        <v>9 năm 10 tháng</v>
      </c>
      <c r="X87" s="7"/>
      <c r="Y87" s="7"/>
      <c r="Z87" s="7"/>
    </row>
    <row r="88">
      <c r="A88" s="7">
        <f>IFERROR(__xludf.DUMMYFUNCTION("""COMPUTED_VALUE"""),7.0)</f>
        <v>7</v>
      </c>
      <c r="B88" s="7" t="str">
        <f>IFERROR(__xludf.DUMMYFUNCTION("""COMPUTED_VALUE"""),"Văn phòng")</f>
        <v>Văn phòng</v>
      </c>
      <c r="C88" s="7" t="str">
        <f>IFERROR(__xludf.DUMMYFUNCTION("""COMPUTED_VALUE"""),"Phòng khai thác")</f>
        <v>Phòng khai thác</v>
      </c>
      <c r="D88" s="7" t="str">
        <f>IFERROR(__xludf.DUMMYFUNCTION("""COMPUTED_VALUE"""),"Tổ Đội xe máy")</f>
        <v>Tổ Đội xe máy</v>
      </c>
      <c r="E88" s="7" t="str">
        <f>IFERROR(__xludf.DUMMYFUNCTION("""COMPUTED_VALUE"""),"Nhân viên lái xe mỏ")</f>
        <v>Nhân viên lái xe mỏ</v>
      </c>
      <c r="F88" s="7" t="str">
        <f>IFERROR(__xludf.DUMMYFUNCTION("""COMPUTED_VALUE"""),"NV0145")</f>
        <v>NV0145</v>
      </c>
      <c r="G88" s="7"/>
      <c r="H88" s="7" t="str">
        <f>IFERROR(__xludf.DUMMYFUNCTION("""COMPUTED_VALUE"""),"Nguyễn Xuân Thanh")</f>
        <v>Nguyễn Xuân Thanh</v>
      </c>
      <c r="I88" s="7" t="str">
        <f>IFERROR(__xludf.DUMMYFUNCTION("""COMPUTED_VALUE"""),"Nam")</f>
        <v>Nam</v>
      </c>
      <c r="J88" s="17">
        <f>IFERROR(__xludf.DUMMYFUNCTION("""COMPUTED_VALUE"""),32242.0)</f>
        <v>32242</v>
      </c>
      <c r="K88" s="7" t="str">
        <f>IFERROR(__xludf.DUMMYFUNCTION("""COMPUTED_VALUE"""),"Thôn An Hảo, Xã Hoằng Trạch, Huyện Hoằng Hóa, Tỉnh Thanh Hóa,")</f>
        <v>Thôn An Hảo, Xã Hoằng Trạch, Huyện Hoằng Hóa, Tỉnh Thanh Hóa,</v>
      </c>
      <c r="L88" s="7" t="str">
        <f>IFERROR(__xludf.DUMMYFUNCTION("""COMPUTED_VALUE"""),"0326499389")</f>
        <v>0326499389</v>
      </c>
      <c r="M88" s="7" t="str">
        <f>IFERROR(__xludf.DUMMYFUNCTION("""COMPUTED_VALUE"""),"038088045244")</f>
        <v>038088045244</v>
      </c>
      <c r="N88" s="18">
        <f>IFERROR(__xludf.DUMMYFUNCTION("""COMPUTED_VALUE"""),44418.0)</f>
        <v>44418</v>
      </c>
      <c r="O88" s="7" t="str">
        <f>IFERROR(__xludf.DUMMYFUNCTION("""COMPUTED_VALUE"""),"Cục Cảnh sát QLHC về TTXH")</f>
        <v>Cục Cảnh sát QLHC về TTXH</v>
      </c>
      <c r="P88" s="7" t="str">
        <f>IFERROR(__xludf.DUMMYFUNCTION("""COMPUTED_VALUE"""),"Bằng Nghề")</f>
        <v>Bằng Nghề</v>
      </c>
      <c r="Q88" s="7" t="str">
        <f>IFERROR(__xludf.DUMMYFUNCTION("""COMPUTED_VALUE"""),"Lái máy")</f>
        <v>Lái máy</v>
      </c>
      <c r="R88" s="17">
        <f>IFERROR(__xludf.DUMMYFUNCTION("""COMPUTED_VALUE"""),42452.0)</f>
        <v>42452</v>
      </c>
      <c r="S88" s="17">
        <f>IFERROR(__xludf.DUMMYFUNCTION("""COMPUTED_VALUE"""),42452.0)</f>
        <v>42452</v>
      </c>
      <c r="T88" s="7" t="str">
        <f>IFERROR(__xludf.DUMMYFUNCTION("""COMPUTED_VALUE"""),"Chính thức")</f>
        <v>Chính thức</v>
      </c>
      <c r="U88" s="7"/>
      <c r="V88" s="7" t="str">
        <f>IFERROR(__xludf.DUMMYFUNCTION("""COMPUTED_VALUE"""),"Chính thức")</f>
        <v>Chính thức</v>
      </c>
      <c r="W88" s="7" t="str">
        <f>IFERROR(__xludf.DUMMYFUNCTION("""COMPUTED_VALUE"""),"9 năm 9 tháng")</f>
        <v>9 năm 9 tháng</v>
      </c>
      <c r="X88" s="7"/>
      <c r="Y88" s="7"/>
      <c r="Z88" s="7"/>
    </row>
    <row r="89">
      <c r="A89" s="7">
        <f>IFERROR(__xludf.DUMMYFUNCTION("""COMPUTED_VALUE"""),8.0)</f>
        <v>8</v>
      </c>
      <c r="B89" s="7" t="str">
        <f>IFERROR(__xludf.DUMMYFUNCTION("""COMPUTED_VALUE"""),"Văn phòng")</f>
        <v>Văn phòng</v>
      </c>
      <c r="C89" s="7" t="str">
        <f>IFERROR(__xludf.DUMMYFUNCTION("""COMPUTED_VALUE"""),"Phòng khai thác")</f>
        <v>Phòng khai thác</v>
      </c>
      <c r="D89" s="7" t="str">
        <f>IFERROR(__xludf.DUMMYFUNCTION("""COMPUTED_VALUE"""),"Tổ Đội xe máy")</f>
        <v>Tổ Đội xe máy</v>
      </c>
      <c r="E89" s="7" t="str">
        <f>IFERROR(__xludf.DUMMYFUNCTION("""COMPUTED_VALUE"""),"Nhân viên lái xe mỏ")</f>
        <v>Nhân viên lái xe mỏ</v>
      </c>
      <c r="F89" s="7" t="str">
        <f>IFERROR(__xludf.DUMMYFUNCTION("""COMPUTED_VALUE"""),"NV0379")</f>
        <v>NV0379</v>
      </c>
      <c r="G89" s="7"/>
      <c r="H89" s="7" t="str">
        <f>IFERROR(__xludf.DUMMYFUNCTION("""COMPUTED_VALUE"""),"Nguyễn Hữu Nhâm")</f>
        <v>Nguyễn Hữu Nhâm</v>
      </c>
      <c r="I89" s="7" t="str">
        <f>IFERROR(__xludf.DUMMYFUNCTION("""COMPUTED_VALUE"""),"Nam")</f>
        <v>Nam</v>
      </c>
      <c r="J89" s="17">
        <f>IFERROR(__xludf.DUMMYFUNCTION("""COMPUTED_VALUE"""),30498.0)</f>
        <v>30498</v>
      </c>
      <c r="K89" s="7" t="str">
        <f>IFERROR(__xludf.DUMMYFUNCTION("""COMPUTED_VALUE"""),"Đội 6 - Hoằng Trạch - Hoằng Hóa - Thanh Hóa")</f>
        <v>Đội 6 - Hoằng Trạch - Hoằng Hóa - Thanh Hóa</v>
      </c>
      <c r="L89" s="7" t="str">
        <f>IFERROR(__xludf.DUMMYFUNCTION("""COMPUTED_VALUE"""),"0981883756")</f>
        <v>0981883756</v>
      </c>
      <c r="M89" s="7" t="str">
        <f>IFERROR(__xludf.DUMMYFUNCTION("""COMPUTED_VALUE"""),"038083014182")</f>
        <v>038083014182</v>
      </c>
      <c r="N89" s="18">
        <f>IFERROR(__xludf.DUMMYFUNCTION("""COMPUTED_VALUE"""),44974.0)</f>
        <v>44974</v>
      </c>
      <c r="O89" s="7" t="str">
        <f>IFERROR(__xludf.DUMMYFUNCTION("""COMPUTED_VALUE"""),"Cục Cảnh sát QLHC về TTXH")</f>
        <v>Cục Cảnh sát QLHC về TTXH</v>
      </c>
      <c r="P89" s="7" t="str">
        <f>IFERROR(__xludf.DUMMYFUNCTION("""COMPUTED_VALUE"""),"Bằng Nghề")</f>
        <v>Bằng Nghề</v>
      </c>
      <c r="Q89" s="7" t="str">
        <f>IFERROR(__xludf.DUMMYFUNCTION("""COMPUTED_VALUE"""),"Lái xe hạng C")</f>
        <v>Lái xe hạng C</v>
      </c>
      <c r="R89" s="17">
        <f>IFERROR(__xludf.DUMMYFUNCTION("""COMPUTED_VALUE"""),44659.0)</f>
        <v>44659</v>
      </c>
      <c r="S89" s="17">
        <f>IFERROR(__xludf.DUMMYFUNCTION("""COMPUTED_VALUE"""),44743.0)</f>
        <v>44743</v>
      </c>
      <c r="T89" s="7" t="str">
        <f>IFERROR(__xludf.DUMMYFUNCTION("""COMPUTED_VALUE"""),"Chính thức")</f>
        <v>Chính thức</v>
      </c>
      <c r="U89" s="7"/>
      <c r="V89" s="7" t="str">
        <f>IFERROR(__xludf.DUMMYFUNCTION("""COMPUTED_VALUE"""),"Chính thức")</f>
        <v>Chính thức</v>
      </c>
      <c r="W89" s="7" t="str">
        <f>IFERROR(__xludf.DUMMYFUNCTION("""COMPUTED_VALUE"""),"3 năm 8 tháng")</f>
        <v>3 năm 8 tháng</v>
      </c>
      <c r="X89" s="7"/>
      <c r="Y89" s="7"/>
      <c r="Z89" s="7"/>
    </row>
    <row r="90">
      <c r="A90" s="7">
        <f>IFERROR(__xludf.DUMMYFUNCTION("""COMPUTED_VALUE"""),9.0)</f>
        <v>9</v>
      </c>
      <c r="B90" s="7" t="str">
        <f>IFERROR(__xludf.DUMMYFUNCTION("""COMPUTED_VALUE"""),"Văn phòng")</f>
        <v>Văn phòng</v>
      </c>
      <c r="C90" s="7" t="str">
        <f>IFERROR(__xludf.DUMMYFUNCTION("""COMPUTED_VALUE"""),"Phòng khai thác")</f>
        <v>Phòng khai thác</v>
      </c>
      <c r="D90" s="7" t="str">
        <f>IFERROR(__xludf.DUMMYFUNCTION("""COMPUTED_VALUE"""),"Tổ Đội xe máy")</f>
        <v>Tổ Đội xe máy</v>
      </c>
      <c r="E90" s="7" t="str">
        <f>IFERROR(__xludf.DUMMYFUNCTION("""COMPUTED_VALUE"""),"Nhân viên lái xe nội bộ")</f>
        <v>Nhân viên lái xe nội bộ</v>
      </c>
      <c r="F90" s="7" t="str">
        <f>IFERROR(__xludf.DUMMYFUNCTION("""COMPUTED_VALUE"""),"NV3373")</f>
        <v>NV3373</v>
      </c>
      <c r="G90" s="7">
        <f>IFERROR(__xludf.DUMMYFUNCTION("""COMPUTED_VALUE"""),736.0)</f>
        <v>736</v>
      </c>
      <c r="H90" s="7" t="str">
        <f>IFERROR(__xludf.DUMMYFUNCTION("""COMPUTED_VALUE"""),"Đào Duy Nam")</f>
        <v>Đào Duy Nam</v>
      </c>
      <c r="I90" s="7" t="str">
        <f>IFERROR(__xludf.DUMMYFUNCTION("""COMPUTED_VALUE"""),"Nam")</f>
        <v>Nam</v>
      </c>
      <c r="J90" s="17">
        <f>IFERROR(__xludf.DUMMYFUNCTION("""COMPUTED_VALUE"""),23422.0)</f>
        <v>23422</v>
      </c>
      <c r="K90" s="7" t="str">
        <f>IFERROR(__xludf.DUMMYFUNCTION("""COMPUTED_VALUE"""),"43/33 Đường thọ hạc - Phường đông thọ - tp thanh hoá")</f>
        <v>43/33 Đường thọ hạc - Phường đông thọ - tp thanh hoá</v>
      </c>
      <c r="L90" s="7" t="str">
        <f>IFERROR(__xludf.DUMMYFUNCTION("""COMPUTED_VALUE"""),"0989632611")</f>
        <v>0989632611</v>
      </c>
      <c r="M90" s="7" t="str">
        <f>IFERROR(__xludf.DUMMYFUNCTION("""COMPUTED_VALUE"""),"038064024112")</f>
        <v>038064024112</v>
      </c>
      <c r="N90" s="18">
        <f>IFERROR(__xludf.DUMMYFUNCTION("""COMPUTED_VALUE"""),45392.0)</f>
        <v>45392</v>
      </c>
      <c r="O90" s="7" t="str">
        <f>IFERROR(__xludf.DUMMYFUNCTION("""COMPUTED_VALUE"""),"Cục Cảnh sát QLHC về TTXH")</f>
        <v>Cục Cảnh sát QLHC về TTXH</v>
      </c>
      <c r="P90" s="7" t="str">
        <f>IFERROR(__xludf.DUMMYFUNCTION("""COMPUTED_VALUE"""),"Bằng nghề")</f>
        <v>Bằng nghề</v>
      </c>
      <c r="Q90" s="7" t="str">
        <f>IFERROR(__xludf.DUMMYFUNCTION("""COMPUTED_VALUE"""),"Lái xe hạng C")</f>
        <v>Lái xe hạng C</v>
      </c>
      <c r="R90" s="17">
        <f>IFERROR(__xludf.DUMMYFUNCTION("""COMPUTED_VALUE"""),44141.0)</f>
        <v>44141</v>
      </c>
      <c r="S90" s="17">
        <f>IFERROR(__xludf.DUMMYFUNCTION("""COMPUTED_VALUE"""),44409.0)</f>
        <v>44409</v>
      </c>
      <c r="T90" s="7" t="str">
        <f>IFERROR(__xludf.DUMMYFUNCTION("""COMPUTED_VALUE"""),"Chính thức")</f>
        <v>Chính thức</v>
      </c>
      <c r="U90" s="7"/>
      <c r="V90" s="7" t="str">
        <f>IFERROR(__xludf.DUMMYFUNCTION("""COMPUTED_VALUE"""),"Chính thức")</f>
        <v>Chính thức</v>
      </c>
      <c r="W90" s="7" t="str">
        <f>IFERROR(__xludf.DUMMYFUNCTION("""COMPUTED_VALUE"""),"5 năm 1 tháng")</f>
        <v>5 năm 1 tháng</v>
      </c>
      <c r="X90" s="7"/>
      <c r="Y90" s="7"/>
      <c r="Z90" s="7"/>
    </row>
    <row r="91">
      <c r="A91" s="7">
        <f>IFERROR(__xludf.DUMMYFUNCTION("""COMPUTED_VALUE"""),10.0)</f>
        <v>10</v>
      </c>
      <c r="B91" s="7" t="str">
        <f>IFERROR(__xludf.DUMMYFUNCTION("""COMPUTED_VALUE"""),"Văn phòng")</f>
        <v>Văn phòng</v>
      </c>
      <c r="C91" s="7" t="str">
        <f>IFERROR(__xludf.DUMMYFUNCTION("""COMPUTED_VALUE"""),"Phòng khai thác")</f>
        <v>Phòng khai thác</v>
      </c>
      <c r="D91" s="7" t="str">
        <f>IFERROR(__xludf.DUMMYFUNCTION("""COMPUTED_VALUE"""),"Tổ Đội xe máy")</f>
        <v>Tổ Đội xe máy</v>
      </c>
      <c r="E91" s="7" t="str">
        <f>IFERROR(__xludf.DUMMYFUNCTION("""COMPUTED_VALUE"""),"Nhân viên lái xe nội bộ")</f>
        <v>Nhân viên lái xe nội bộ</v>
      </c>
      <c r="F91" s="7" t="str">
        <f>IFERROR(__xludf.DUMMYFUNCTION("""COMPUTED_VALUE"""),"NV3183")</f>
        <v>NV3183</v>
      </c>
      <c r="G91" s="7">
        <f>IFERROR(__xludf.DUMMYFUNCTION("""COMPUTED_VALUE"""),740.0)</f>
        <v>740</v>
      </c>
      <c r="H91" s="7" t="str">
        <f>IFERROR(__xludf.DUMMYFUNCTION("""COMPUTED_VALUE"""),"Lê Xuân Thanh")</f>
        <v>Lê Xuân Thanh</v>
      </c>
      <c r="I91" s="7" t="str">
        <f>IFERROR(__xludf.DUMMYFUNCTION("""COMPUTED_VALUE"""),"Nam")</f>
        <v>Nam</v>
      </c>
      <c r="J91" s="17">
        <f>IFERROR(__xludf.DUMMYFUNCTION("""COMPUTED_VALUE"""),26021.0)</f>
        <v>26021</v>
      </c>
      <c r="K91" s="7" t="str">
        <f>IFERROR(__xludf.DUMMYFUNCTION("""COMPUTED_VALUE"""),"32/91 Nguyễn Thiếp - P. Ngọc Trạo - Thành Phố Thanh Hóa")</f>
        <v>32/91 Nguyễn Thiếp - P. Ngọc Trạo - Thành Phố Thanh Hóa</v>
      </c>
      <c r="L91" s="7" t="str">
        <f>IFERROR(__xludf.DUMMYFUNCTION("""COMPUTED_VALUE"""),"0978422778")</f>
        <v>0978422778</v>
      </c>
      <c r="M91" s="7" t="str">
        <f>IFERROR(__xludf.DUMMYFUNCTION("""COMPUTED_VALUE"""),"038071010873")</f>
        <v>038071010873</v>
      </c>
      <c r="N91" s="18">
        <f>IFERROR(__xludf.DUMMYFUNCTION("""COMPUTED_VALUE"""),44418.0)</f>
        <v>44418</v>
      </c>
      <c r="O91" s="7" t="str">
        <f>IFERROR(__xludf.DUMMYFUNCTION("""COMPUTED_VALUE"""),"Cục Cảnh sát QLHC về TTXH")</f>
        <v>Cục Cảnh sát QLHC về TTXH</v>
      </c>
      <c r="P91" s="7" t="str">
        <f>IFERROR(__xludf.DUMMYFUNCTION("""COMPUTED_VALUE"""),"Bằng nghề")</f>
        <v>Bằng nghề</v>
      </c>
      <c r="Q91" s="7" t="str">
        <f>IFERROR(__xludf.DUMMYFUNCTION("""COMPUTED_VALUE"""),"Lái xe hạng C")</f>
        <v>Lái xe hạng C</v>
      </c>
      <c r="R91" s="17">
        <f>IFERROR(__xludf.DUMMYFUNCTION("""COMPUTED_VALUE"""),44047.0)</f>
        <v>44047</v>
      </c>
      <c r="S91" s="17">
        <f>IFERROR(__xludf.DUMMYFUNCTION("""COMPUTED_VALUE"""),44348.0)</f>
        <v>44348</v>
      </c>
      <c r="T91" s="7" t="str">
        <f>IFERROR(__xludf.DUMMYFUNCTION("""COMPUTED_VALUE"""),"Chính thức")</f>
        <v>Chính thức</v>
      </c>
      <c r="U91" s="7"/>
      <c r="V91" s="7" t="str">
        <f>IFERROR(__xludf.DUMMYFUNCTION("""COMPUTED_VALUE"""),"Chính thức")</f>
        <v>Chính thức</v>
      </c>
      <c r="W91" s="7" t="str">
        <f>IFERROR(__xludf.DUMMYFUNCTION("""COMPUTED_VALUE"""),"5 năm 4 tháng")</f>
        <v>5 năm 4 tháng</v>
      </c>
      <c r="X91" s="7"/>
      <c r="Y91" s="7"/>
      <c r="Z91" s="7"/>
    </row>
    <row r="92">
      <c r="A92" s="7">
        <f>IFERROR(__xludf.DUMMYFUNCTION("""COMPUTED_VALUE"""),11.0)</f>
        <v>11</v>
      </c>
      <c r="B92" s="7" t="str">
        <f>IFERROR(__xludf.DUMMYFUNCTION("""COMPUTED_VALUE"""),"Văn phòng")</f>
        <v>Văn phòng</v>
      </c>
      <c r="C92" s="7" t="str">
        <f>IFERROR(__xludf.DUMMYFUNCTION("""COMPUTED_VALUE"""),"Phòng khai thác")</f>
        <v>Phòng khai thác</v>
      </c>
      <c r="D92" s="7" t="str">
        <f>IFERROR(__xludf.DUMMYFUNCTION("""COMPUTED_VALUE"""),"Tổ Đội xe máy")</f>
        <v>Tổ Đội xe máy</v>
      </c>
      <c r="E92" s="7" t="str">
        <f>IFERROR(__xludf.DUMMYFUNCTION("""COMPUTED_VALUE"""),"Nhân viên lái xe mỏ")</f>
        <v>Nhân viên lái xe mỏ</v>
      </c>
      <c r="F92" s="7" t="str">
        <f>IFERROR(__xludf.DUMMYFUNCTION("""COMPUTED_VALUE"""),"NV1158")</f>
        <v>NV1158</v>
      </c>
      <c r="G92" s="7">
        <f>IFERROR(__xludf.DUMMYFUNCTION("""COMPUTED_VALUE"""),735.0)</f>
        <v>735</v>
      </c>
      <c r="H92" s="7" t="str">
        <f>IFERROR(__xludf.DUMMYFUNCTION("""COMPUTED_VALUE"""),"Đỗ Văn Hòe")</f>
        <v>Đỗ Văn Hòe</v>
      </c>
      <c r="I92" s="7" t="str">
        <f>IFERROR(__xludf.DUMMYFUNCTION("""COMPUTED_VALUE"""),"Nam")</f>
        <v>Nam</v>
      </c>
      <c r="J92" s="17">
        <f>IFERROR(__xludf.DUMMYFUNCTION("""COMPUTED_VALUE"""),32396.0)</f>
        <v>32396</v>
      </c>
      <c r="K92" s="7" t="str">
        <f>IFERROR(__xludf.DUMMYFUNCTION("""COMPUTED_VALUE"""),"KP.Hải Ninh, Thị trấn Bến Sung, Huyện Như Thanh, Thanh Hóa")</f>
        <v>KP.Hải Ninh, Thị trấn Bến Sung, Huyện Như Thanh, Thanh Hóa</v>
      </c>
      <c r="L92" s="7" t="str">
        <f>IFERROR(__xludf.DUMMYFUNCTION("""COMPUTED_VALUE"""),"0988315099")</f>
        <v>0988315099</v>
      </c>
      <c r="M92" s="7" t="str">
        <f>IFERROR(__xludf.DUMMYFUNCTION("""COMPUTED_VALUE"""),"038088048409")</f>
        <v>038088048409</v>
      </c>
      <c r="N92" s="18">
        <f>IFERROR(__xludf.DUMMYFUNCTION("""COMPUTED_VALUE"""),44423.0)</f>
        <v>44423</v>
      </c>
      <c r="O92" s="7" t="str">
        <f>IFERROR(__xludf.DUMMYFUNCTION("""COMPUTED_VALUE"""),"Cục Cảnh sát QLHC về TTXH")</f>
        <v>Cục Cảnh sát QLHC về TTXH</v>
      </c>
      <c r="P92" s="7" t="str">
        <f>IFERROR(__xludf.DUMMYFUNCTION("""COMPUTED_VALUE"""),"Bằng nghề")</f>
        <v>Bằng nghề</v>
      </c>
      <c r="Q92" s="7" t="str">
        <f>IFERROR(__xludf.DUMMYFUNCTION("""COMPUTED_VALUE"""),"Lái xe hạng C")</f>
        <v>Lái xe hạng C</v>
      </c>
      <c r="R92" s="17">
        <f>IFERROR(__xludf.DUMMYFUNCTION("""COMPUTED_VALUE"""),45128.0)</f>
        <v>45128</v>
      </c>
      <c r="S92" s="17">
        <f>IFERROR(__xludf.DUMMYFUNCTION("""COMPUTED_VALUE"""),45292.0)</f>
        <v>45292</v>
      </c>
      <c r="T92" s="7" t="str">
        <f>IFERROR(__xludf.DUMMYFUNCTION("""COMPUTED_VALUE"""),"Chính thức")</f>
        <v>Chính thức</v>
      </c>
      <c r="U92" s="7"/>
      <c r="V92" s="7" t="str">
        <f>IFERROR(__xludf.DUMMYFUNCTION("""COMPUTED_VALUE"""),"Chính thức")</f>
        <v>Chính thức</v>
      </c>
      <c r="W92" s="7" t="str">
        <f>IFERROR(__xludf.DUMMYFUNCTION("""COMPUTED_VALUE"""),"2 năm 5 tháng")</f>
        <v>2 năm 5 tháng</v>
      </c>
      <c r="X92" s="7"/>
      <c r="Y92" s="7"/>
      <c r="Z92" s="7"/>
    </row>
    <row r="93">
      <c r="A93" s="7">
        <f>IFERROR(__xludf.DUMMYFUNCTION("""COMPUTED_VALUE"""),12.0)</f>
        <v>12</v>
      </c>
      <c r="B93" s="7" t="str">
        <f>IFERROR(__xludf.DUMMYFUNCTION("""COMPUTED_VALUE"""),"Văn phòng")</f>
        <v>Văn phòng</v>
      </c>
      <c r="C93" s="7" t="str">
        <f>IFERROR(__xludf.DUMMYFUNCTION("""COMPUTED_VALUE"""),"Phòng khai thác")</f>
        <v>Phòng khai thác</v>
      </c>
      <c r="D93" s="7" t="str">
        <f>IFERROR(__xludf.DUMMYFUNCTION("""COMPUTED_VALUE"""),"Tổ Đội xe máy")</f>
        <v>Tổ Đội xe máy</v>
      </c>
      <c r="E93" s="7" t="str">
        <f>IFERROR(__xludf.DUMMYFUNCTION("""COMPUTED_VALUE"""),"Nhân viên lái xe mỏ")</f>
        <v>Nhân viên lái xe mỏ</v>
      </c>
      <c r="F93" s="7" t="str">
        <f>IFERROR(__xludf.DUMMYFUNCTION("""COMPUTED_VALUE"""),"NV1032")</f>
        <v>NV1032</v>
      </c>
      <c r="G93" s="7"/>
      <c r="H93" s="7" t="str">
        <f>IFERROR(__xludf.DUMMYFUNCTION("""COMPUTED_VALUE"""),"Nguyễn Hữu Hiếu")</f>
        <v>Nguyễn Hữu Hiếu</v>
      </c>
      <c r="I93" s="7" t="str">
        <f>IFERROR(__xludf.DUMMYFUNCTION("""COMPUTED_VALUE"""),"Nam")</f>
        <v>Nam</v>
      </c>
      <c r="J93" s="17">
        <f>IFERROR(__xludf.DUMMYFUNCTION("""COMPUTED_VALUE"""),33066.0)</f>
        <v>33066</v>
      </c>
      <c r="K93" s="7" t="str">
        <f>IFERROR(__xludf.DUMMYFUNCTION("""COMPUTED_VALUE"""),"Vĩnh Trị 3, Xã Hoằng Quang, Thành phố Thanh Hóa")</f>
        <v>Vĩnh Trị 3, Xã Hoằng Quang, Thành phố Thanh Hóa</v>
      </c>
      <c r="L93" s="7" t="str">
        <f>IFERROR(__xludf.DUMMYFUNCTION("""COMPUTED_VALUE"""),"0981185486")</f>
        <v>0981185486</v>
      </c>
      <c r="M93" s="7" t="str">
        <f>IFERROR(__xludf.DUMMYFUNCTION("""COMPUTED_VALUE"""),"038090040250")</f>
        <v>038090040250</v>
      </c>
      <c r="N93" s="18">
        <f>IFERROR(__xludf.DUMMYFUNCTION("""COMPUTED_VALUE"""),44427.0)</f>
        <v>44427</v>
      </c>
      <c r="O93" s="7" t="str">
        <f>IFERROR(__xludf.DUMMYFUNCTION("""COMPUTED_VALUE"""),"Cục Cảnh sát QLHC về TTXH")</f>
        <v>Cục Cảnh sát QLHC về TTXH</v>
      </c>
      <c r="P93" s="7" t="str">
        <f>IFERROR(__xludf.DUMMYFUNCTION("""COMPUTED_VALUE"""),"Bằng Nghề")</f>
        <v>Bằng Nghề</v>
      </c>
      <c r="Q93" s="7" t="str">
        <f>IFERROR(__xludf.DUMMYFUNCTION("""COMPUTED_VALUE"""),"Lái xe hạng C")</f>
        <v>Lái xe hạng C</v>
      </c>
      <c r="R93" s="17">
        <f>IFERROR(__xludf.DUMMYFUNCTION("""COMPUTED_VALUE"""),42921.0)</f>
        <v>42921</v>
      </c>
      <c r="S93" s="17">
        <f>IFERROR(__xludf.DUMMYFUNCTION("""COMPUTED_VALUE"""),43466.0)</f>
        <v>43466</v>
      </c>
      <c r="T93" s="7" t="str">
        <f>IFERROR(__xludf.DUMMYFUNCTION("""COMPUTED_VALUE"""),"Chính thức")</f>
        <v>Chính thức</v>
      </c>
      <c r="U93" s="7"/>
      <c r="V93" s="7" t="str">
        <f>IFERROR(__xludf.DUMMYFUNCTION("""COMPUTED_VALUE"""),"Chính thức")</f>
        <v>Chính thức</v>
      </c>
      <c r="W93" s="7" t="str">
        <f>IFERROR(__xludf.DUMMYFUNCTION("""COMPUTED_VALUE"""),"8 năm 5 tháng")</f>
        <v>8 năm 5 tháng</v>
      </c>
      <c r="X93" s="7"/>
      <c r="Y93" s="7"/>
      <c r="Z93" s="7"/>
    </row>
    <row r="94">
      <c r="A94" s="7">
        <f>IFERROR(__xludf.DUMMYFUNCTION("""COMPUTED_VALUE"""),13.0)</f>
        <v>13</v>
      </c>
      <c r="B94" s="7" t="str">
        <f>IFERROR(__xludf.DUMMYFUNCTION("""COMPUTED_VALUE"""),"Văn phòng")</f>
        <v>Văn phòng</v>
      </c>
      <c r="C94" s="7" t="str">
        <f>IFERROR(__xludf.DUMMYFUNCTION("""COMPUTED_VALUE"""),"Phòng khai thác")</f>
        <v>Phòng khai thác</v>
      </c>
      <c r="D94" s="7" t="str">
        <f>IFERROR(__xludf.DUMMYFUNCTION("""COMPUTED_VALUE"""),"Tổ Đội xe máy")</f>
        <v>Tổ Đội xe máy</v>
      </c>
      <c r="E94" s="7" t="str">
        <f>IFERROR(__xludf.DUMMYFUNCTION("""COMPUTED_VALUE"""),"Nhân viên lái xe mỏ")</f>
        <v>Nhân viên lái xe mỏ</v>
      </c>
      <c r="F94" s="7" t="str">
        <f>IFERROR(__xludf.DUMMYFUNCTION("""COMPUTED_VALUE"""),"NV0330")</f>
        <v>NV0330</v>
      </c>
      <c r="G94" s="7"/>
      <c r="H94" s="7" t="str">
        <f>IFERROR(__xludf.DUMMYFUNCTION("""COMPUTED_VALUE"""),"Lê Thế Dương")</f>
        <v>Lê Thế Dương</v>
      </c>
      <c r="I94" s="7" t="str">
        <f>IFERROR(__xludf.DUMMYFUNCTION("""COMPUTED_VALUE"""),"Nam")</f>
        <v>Nam</v>
      </c>
      <c r="J94" s="17">
        <f>IFERROR(__xludf.DUMMYFUNCTION("""COMPUTED_VALUE"""),28374.0)</f>
        <v>28374</v>
      </c>
      <c r="K94" s="7" t="str">
        <f>IFERROR(__xludf.DUMMYFUNCTION("""COMPUTED_VALUE"""),"Thôn Trung Tây, Xã Hoằng Quỳ, Huyện Hoằng Hóa, Tỉnh Thanh Hó")</f>
        <v>Thôn Trung Tây, Xã Hoằng Quỳ, Huyện Hoằng Hóa, Tỉnh Thanh Hó</v>
      </c>
      <c r="L94" s="7" t="str">
        <f>IFERROR(__xludf.DUMMYFUNCTION("""COMPUTED_VALUE"""),"0912987018")</f>
        <v>0912987018</v>
      </c>
      <c r="M94" s="7" t="str">
        <f>IFERROR(__xludf.DUMMYFUNCTION("""COMPUTED_VALUE"""),"038077004545")</f>
        <v>038077004545</v>
      </c>
      <c r="N94" s="18">
        <f>IFERROR(__xludf.DUMMYFUNCTION("""COMPUTED_VALUE"""),44427.0)</f>
        <v>44427</v>
      </c>
      <c r="O94" s="7" t="str">
        <f>IFERROR(__xludf.DUMMYFUNCTION("""COMPUTED_VALUE"""),"Cục Cảnh sát QLHC về TTXH")</f>
        <v>Cục Cảnh sát QLHC về TTXH</v>
      </c>
      <c r="P94" s="7" t="str">
        <f>IFERROR(__xludf.DUMMYFUNCTION("""COMPUTED_VALUE"""),"Bằng Nghề")</f>
        <v>Bằng Nghề</v>
      </c>
      <c r="Q94" s="7" t="str">
        <f>IFERROR(__xludf.DUMMYFUNCTION("""COMPUTED_VALUE"""),"Lái xe hạng C")</f>
        <v>Lái xe hạng C</v>
      </c>
      <c r="R94" s="17">
        <f>IFERROR(__xludf.DUMMYFUNCTION("""COMPUTED_VALUE"""),42135.0)</f>
        <v>42135</v>
      </c>
      <c r="S94" s="17">
        <f>IFERROR(__xludf.DUMMYFUNCTION("""COMPUTED_VALUE"""),42135.0)</f>
        <v>42135</v>
      </c>
      <c r="T94" s="7" t="str">
        <f>IFERROR(__xludf.DUMMYFUNCTION("""COMPUTED_VALUE"""),"Chính thức")</f>
        <v>Chính thức</v>
      </c>
      <c r="U94" s="7"/>
      <c r="V94" s="7" t="str">
        <f>IFERROR(__xludf.DUMMYFUNCTION("""COMPUTED_VALUE"""),"Chính thức")</f>
        <v>Chính thức</v>
      </c>
      <c r="W94" s="7" t="str">
        <f>IFERROR(__xludf.DUMMYFUNCTION("""COMPUTED_VALUE"""),"10 năm 7 tháng")</f>
        <v>10 năm 7 tháng</v>
      </c>
      <c r="X94" s="7"/>
      <c r="Y94" s="7"/>
      <c r="Z94" s="7"/>
    </row>
    <row r="95">
      <c r="A95" s="7">
        <f>IFERROR(__xludf.DUMMYFUNCTION("""COMPUTED_VALUE"""),14.0)</f>
        <v>14</v>
      </c>
      <c r="B95" s="7" t="str">
        <f>IFERROR(__xludf.DUMMYFUNCTION("""COMPUTED_VALUE"""),"Văn phòng")</f>
        <v>Văn phòng</v>
      </c>
      <c r="C95" s="7" t="str">
        <f>IFERROR(__xludf.DUMMYFUNCTION("""COMPUTED_VALUE"""),"Phòng khai thác")</f>
        <v>Phòng khai thác</v>
      </c>
      <c r="D95" s="7" t="str">
        <f>IFERROR(__xludf.DUMMYFUNCTION("""COMPUTED_VALUE"""),"Tổ Đội xe máy")</f>
        <v>Tổ Đội xe máy</v>
      </c>
      <c r="E95" s="7" t="str">
        <f>IFERROR(__xludf.DUMMYFUNCTION("""COMPUTED_VALUE"""),"Nhân viên lái xe mỏ")</f>
        <v>Nhân viên lái xe mỏ</v>
      </c>
      <c r="F95" s="7" t="str">
        <f>IFERROR(__xludf.DUMMYFUNCTION("""COMPUTED_VALUE"""),"NV0325")</f>
        <v>NV0325</v>
      </c>
      <c r="G95" s="7"/>
      <c r="H95" s="7" t="str">
        <f>IFERROR(__xludf.DUMMYFUNCTION("""COMPUTED_VALUE"""),"Nguyễn Văn Thành")</f>
        <v>Nguyễn Văn Thành</v>
      </c>
      <c r="I95" s="7" t="str">
        <f>IFERROR(__xludf.DUMMYFUNCTION("""COMPUTED_VALUE"""),"Nam")</f>
        <v>Nam</v>
      </c>
      <c r="J95" s="17">
        <f>IFERROR(__xludf.DUMMYFUNCTION("""COMPUTED_VALUE"""),30722.0)</f>
        <v>30722</v>
      </c>
      <c r="K95" s="7" t="str">
        <f>IFERROR(__xludf.DUMMYFUNCTION("""COMPUTED_VALUE"""),"Thôn An Hảo, Xã Hoằng Trạch, Huyện Hoằng Hóa, Tỉnh Thanh Hóa")</f>
        <v>Thôn An Hảo, Xã Hoằng Trạch, Huyện Hoằng Hóa, Tỉnh Thanh Hóa</v>
      </c>
      <c r="L95" s="7" t="str">
        <f>IFERROR(__xludf.DUMMYFUNCTION("""COMPUTED_VALUE"""),"0984686129")</f>
        <v>0984686129</v>
      </c>
      <c r="M95" s="7" t="str">
        <f>IFERROR(__xludf.DUMMYFUNCTION("""COMPUTED_VALUE"""),"038084041404")</f>
        <v>038084041404</v>
      </c>
      <c r="N95" s="18">
        <f>IFERROR(__xludf.DUMMYFUNCTION("""COMPUTED_VALUE"""),44419.0)</f>
        <v>44419</v>
      </c>
      <c r="O95" s="7" t="str">
        <f>IFERROR(__xludf.DUMMYFUNCTION("""COMPUTED_VALUE"""),"Cục Cảnh sát QLHC về TTXH")</f>
        <v>Cục Cảnh sát QLHC về TTXH</v>
      </c>
      <c r="P95" s="7" t="str">
        <f>IFERROR(__xludf.DUMMYFUNCTION("""COMPUTED_VALUE"""),"Bằng Nghề")</f>
        <v>Bằng Nghề</v>
      </c>
      <c r="Q95" s="7" t="str">
        <f>IFERROR(__xludf.DUMMYFUNCTION("""COMPUTED_VALUE"""),"Lái xe hạng C")</f>
        <v>Lái xe hạng C</v>
      </c>
      <c r="R95" s="17">
        <f>IFERROR(__xludf.DUMMYFUNCTION("""COMPUTED_VALUE"""),39052.0)</f>
        <v>39052</v>
      </c>
      <c r="S95" s="17">
        <f>IFERROR(__xludf.DUMMYFUNCTION("""COMPUTED_VALUE"""),39052.0)</f>
        <v>39052</v>
      </c>
      <c r="T95" s="7" t="str">
        <f>IFERROR(__xludf.DUMMYFUNCTION("""COMPUTED_VALUE"""),"Chính thức")</f>
        <v>Chính thức</v>
      </c>
      <c r="U95" s="7"/>
      <c r="V95" s="7" t="str">
        <f>IFERROR(__xludf.DUMMYFUNCTION("""COMPUTED_VALUE"""),"Chính thức")</f>
        <v>Chính thức</v>
      </c>
      <c r="W95" s="7" t="str">
        <f>IFERROR(__xludf.DUMMYFUNCTION("""COMPUTED_VALUE"""),"19 năm 0 tháng")</f>
        <v>19 năm 0 tháng</v>
      </c>
      <c r="X95" s="7"/>
      <c r="Y95" s="7"/>
      <c r="Z95" s="7"/>
    </row>
    <row r="96">
      <c r="A96" s="7">
        <f>IFERROR(__xludf.DUMMYFUNCTION("""COMPUTED_VALUE"""),15.0)</f>
        <v>15</v>
      </c>
      <c r="B96" s="7" t="str">
        <f>IFERROR(__xludf.DUMMYFUNCTION("""COMPUTED_VALUE"""),"Văn phòng")</f>
        <v>Văn phòng</v>
      </c>
      <c r="C96" s="7" t="str">
        <f>IFERROR(__xludf.DUMMYFUNCTION("""COMPUTED_VALUE"""),"Phòng khai thác")</f>
        <v>Phòng khai thác</v>
      </c>
      <c r="D96" s="7" t="str">
        <f>IFERROR(__xludf.DUMMYFUNCTION("""COMPUTED_VALUE"""),"Tổ Đội xe máy")</f>
        <v>Tổ Đội xe máy</v>
      </c>
      <c r="E96" s="7" t="str">
        <f>IFERROR(__xludf.DUMMYFUNCTION("""COMPUTED_VALUE"""),"Nhân viên lái xe mỏ")</f>
        <v>Nhân viên lái xe mỏ</v>
      </c>
      <c r="F96" s="7" t="str">
        <f>IFERROR(__xludf.DUMMYFUNCTION("""COMPUTED_VALUE"""),"NV0335")</f>
        <v>NV0335</v>
      </c>
      <c r="G96" s="7"/>
      <c r="H96" s="7" t="str">
        <f>IFERROR(__xludf.DUMMYFUNCTION("""COMPUTED_VALUE"""),"Lương Xuân Thăng")</f>
        <v>Lương Xuân Thăng</v>
      </c>
      <c r="I96" s="7" t="str">
        <f>IFERROR(__xludf.DUMMYFUNCTION("""COMPUTED_VALUE"""),"Nam")</f>
        <v>Nam</v>
      </c>
      <c r="J96" s="17">
        <f>IFERROR(__xludf.DUMMYFUNCTION("""COMPUTED_VALUE"""),26733.0)</f>
        <v>26733</v>
      </c>
      <c r="K96" s="7" t="str">
        <f>IFERROR(__xludf.DUMMYFUNCTION("""COMPUTED_VALUE"""),"Hoằng Thành - Hoằng Hóa - Thanh Hóa")</f>
        <v>Hoằng Thành - Hoằng Hóa - Thanh Hóa</v>
      </c>
      <c r="L96" s="7" t="str">
        <f>IFERROR(__xludf.DUMMYFUNCTION("""COMPUTED_VALUE"""),"0375693781")</f>
        <v>0375693781</v>
      </c>
      <c r="M96" s="7" t="str">
        <f>IFERROR(__xludf.DUMMYFUNCTION("""COMPUTED_VALUE"""),"038073003561")</f>
        <v>038073003561</v>
      </c>
      <c r="N96" s="18">
        <f>IFERROR(__xludf.DUMMYFUNCTION("""COMPUTED_VALUE"""),45020.0)</f>
        <v>45020</v>
      </c>
      <c r="O96" s="7" t="str">
        <f>IFERROR(__xludf.DUMMYFUNCTION("""COMPUTED_VALUE"""),"Cục Cảnh sát QLHC về TTXH")</f>
        <v>Cục Cảnh sát QLHC về TTXH</v>
      </c>
      <c r="P96" s="7" t="str">
        <f>IFERROR(__xludf.DUMMYFUNCTION("""COMPUTED_VALUE"""),"Bằng Nghề")</f>
        <v>Bằng Nghề</v>
      </c>
      <c r="Q96" s="7" t="str">
        <f>IFERROR(__xludf.DUMMYFUNCTION("""COMPUTED_VALUE"""),"Lái xe hạng C")</f>
        <v>Lái xe hạng C</v>
      </c>
      <c r="R96" s="17">
        <f>IFERROR(__xludf.DUMMYFUNCTION("""COMPUTED_VALUE"""),42520.0)</f>
        <v>42520</v>
      </c>
      <c r="S96" s="17">
        <f>IFERROR(__xludf.DUMMYFUNCTION("""COMPUTED_VALUE"""),42520.0)</f>
        <v>42520</v>
      </c>
      <c r="T96" s="7" t="str">
        <f>IFERROR(__xludf.DUMMYFUNCTION("""COMPUTED_VALUE"""),"Chính thức")</f>
        <v>Chính thức</v>
      </c>
      <c r="U96" s="7"/>
      <c r="V96" s="7" t="str">
        <f>IFERROR(__xludf.DUMMYFUNCTION("""COMPUTED_VALUE"""),"Chính thức")</f>
        <v>Chính thức</v>
      </c>
      <c r="W96" s="7" t="str">
        <f>IFERROR(__xludf.DUMMYFUNCTION("""COMPUTED_VALUE"""),"9 năm 7 tháng")</f>
        <v>9 năm 7 tháng</v>
      </c>
      <c r="X96" s="7"/>
      <c r="Y96" s="7"/>
      <c r="Z96" s="7"/>
    </row>
    <row r="97">
      <c r="A97" s="7">
        <f>IFERROR(__xludf.DUMMYFUNCTION("""COMPUTED_VALUE"""),16.0)</f>
        <v>16</v>
      </c>
      <c r="B97" s="7" t="str">
        <f>IFERROR(__xludf.DUMMYFUNCTION("""COMPUTED_VALUE"""),"Văn phòng")</f>
        <v>Văn phòng</v>
      </c>
      <c r="C97" s="7" t="str">
        <f>IFERROR(__xludf.DUMMYFUNCTION("""COMPUTED_VALUE"""),"Phòng khai thác")</f>
        <v>Phòng khai thác</v>
      </c>
      <c r="D97" s="7" t="str">
        <f>IFERROR(__xludf.DUMMYFUNCTION("""COMPUTED_VALUE"""),"Tổ Đội xe máy")</f>
        <v>Tổ Đội xe máy</v>
      </c>
      <c r="E97" s="7" t="str">
        <f>IFERROR(__xludf.DUMMYFUNCTION("""COMPUTED_VALUE"""),"Nhân viên lái xe mỏ")</f>
        <v>Nhân viên lái xe mỏ</v>
      </c>
      <c r="F97" s="7" t="str">
        <f>IFERROR(__xludf.DUMMYFUNCTION("""COMPUTED_VALUE"""),"NV2509")</f>
        <v>NV2509</v>
      </c>
      <c r="G97" s="7"/>
      <c r="H97" s="7" t="str">
        <f>IFERROR(__xludf.DUMMYFUNCTION("""COMPUTED_VALUE"""),"Nguyễn Văn Hải")</f>
        <v>Nguyễn Văn Hải</v>
      </c>
      <c r="I97" s="7" t="str">
        <f>IFERROR(__xludf.DUMMYFUNCTION("""COMPUTED_VALUE"""),"Nam")</f>
        <v>Nam</v>
      </c>
      <c r="J97" s="17">
        <f>IFERROR(__xludf.DUMMYFUNCTION("""COMPUTED_VALUE"""),29952.0)</f>
        <v>29952</v>
      </c>
      <c r="K97" s="7" t="str">
        <f>IFERROR(__xludf.DUMMYFUNCTION("""COMPUTED_VALUE"""),"Thành Công - Quảng Thành - Thành Phố Thanh Hóa")</f>
        <v>Thành Công - Quảng Thành - Thành Phố Thanh Hóa</v>
      </c>
      <c r="L97" s="7" t="str">
        <f>IFERROR(__xludf.DUMMYFUNCTION("""COMPUTED_VALUE"""),"0908518823")</f>
        <v>0908518823</v>
      </c>
      <c r="M97" s="7" t="str">
        <f>IFERROR(__xludf.DUMMYFUNCTION("""COMPUTED_VALUE"""),"038082031379")</f>
        <v>038082031379</v>
      </c>
      <c r="N97" s="18">
        <f>IFERROR(__xludf.DUMMYFUNCTION("""COMPUTED_VALUE"""),44453.0)</f>
        <v>44453</v>
      </c>
      <c r="O97" s="7" t="str">
        <f>IFERROR(__xludf.DUMMYFUNCTION("""COMPUTED_VALUE"""),"Cục Cảnh sát QLHC về TTXH")</f>
        <v>Cục Cảnh sát QLHC về TTXH</v>
      </c>
      <c r="P97" s="7" t="str">
        <f>IFERROR(__xludf.DUMMYFUNCTION("""COMPUTED_VALUE"""),"LĐPT")</f>
        <v>LĐPT</v>
      </c>
      <c r="Q97" s="7" t="str">
        <f>IFERROR(__xludf.DUMMYFUNCTION("""COMPUTED_VALUE"""),"Lao động phổ thông")</f>
        <v>Lao động phổ thông</v>
      </c>
      <c r="R97" s="7"/>
      <c r="S97" s="17">
        <f>IFERROR(__xludf.DUMMYFUNCTION("""COMPUTED_VALUE"""),43983.0)</f>
        <v>43983</v>
      </c>
      <c r="T97" s="7" t="str">
        <f>IFERROR(__xludf.DUMMYFUNCTION("""COMPUTED_VALUE"""),"Chính thức")</f>
        <v>Chính thức</v>
      </c>
      <c r="U97" s="7"/>
      <c r="V97" s="7" t="str">
        <f>IFERROR(__xludf.DUMMYFUNCTION("""COMPUTED_VALUE"""),"Chính thức")</f>
        <v>Chính thức</v>
      </c>
      <c r="W97" s="7" t="str">
        <f>IFERROR(__xludf.DUMMYFUNCTION("""COMPUTED_VALUE"""),"5 năm 6 tháng")</f>
        <v>5 năm 6 tháng</v>
      </c>
      <c r="X97" s="7"/>
      <c r="Y97" s="7"/>
      <c r="Z97" s="7"/>
    </row>
    <row r="98">
      <c r="A98" s="7">
        <f>IFERROR(__xludf.DUMMYFUNCTION("""COMPUTED_VALUE"""),17.0)</f>
        <v>17</v>
      </c>
      <c r="B98" s="7" t="str">
        <f>IFERROR(__xludf.DUMMYFUNCTION("""COMPUTED_VALUE"""),"Văn phòng")</f>
        <v>Văn phòng</v>
      </c>
      <c r="C98" s="7" t="str">
        <f>IFERROR(__xludf.DUMMYFUNCTION("""COMPUTED_VALUE"""),"Phòng khai thác")</f>
        <v>Phòng khai thác</v>
      </c>
      <c r="D98" s="7" t="str">
        <f>IFERROR(__xludf.DUMMYFUNCTION("""COMPUTED_VALUE"""),"Tổ Đội xe máy")</f>
        <v>Tổ Đội xe máy</v>
      </c>
      <c r="E98" s="7" t="str">
        <f>IFERROR(__xludf.DUMMYFUNCTION("""COMPUTED_VALUE"""),"Nhân viên lái xe mỏ")</f>
        <v>Nhân viên lái xe mỏ</v>
      </c>
      <c r="F98" s="7" t="str">
        <f>IFERROR(__xludf.DUMMYFUNCTION("""COMPUTED_VALUE"""),"NV1896")</f>
        <v>NV1896</v>
      </c>
      <c r="G98" s="7"/>
      <c r="H98" s="7" t="str">
        <f>IFERROR(__xludf.DUMMYFUNCTION("""COMPUTED_VALUE"""),"Nguyễn Xuân Chương")</f>
        <v>Nguyễn Xuân Chương</v>
      </c>
      <c r="I98" s="7" t="str">
        <f>IFERROR(__xludf.DUMMYFUNCTION("""COMPUTED_VALUE"""),"Nam")</f>
        <v>Nam</v>
      </c>
      <c r="J98" s="17">
        <f>IFERROR(__xludf.DUMMYFUNCTION("""COMPUTED_VALUE"""),31150.0)</f>
        <v>31150</v>
      </c>
      <c r="K98" s="7" t="str">
        <f>IFERROR(__xludf.DUMMYFUNCTION("""COMPUTED_VALUE"""),"Đội 4 - Hà Lâm - Hà Trung - Thanh Hóa")</f>
        <v>Đội 4 - Hà Lâm - Hà Trung - Thanh Hóa</v>
      </c>
      <c r="L98" s="7" t="str">
        <f>IFERROR(__xludf.DUMMYFUNCTION("""COMPUTED_VALUE"""),"0383575789")</f>
        <v>0383575789</v>
      </c>
      <c r="M98" s="7" t="str">
        <f>IFERROR(__xludf.DUMMYFUNCTION("""COMPUTED_VALUE"""),"038085029703")</f>
        <v>038085029703</v>
      </c>
      <c r="N98" s="18">
        <f>IFERROR(__xludf.DUMMYFUNCTION("""COMPUTED_VALUE"""),45733.0)</f>
        <v>45733</v>
      </c>
      <c r="O98" s="7" t="str">
        <f>IFERROR(__xludf.DUMMYFUNCTION("""COMPUTED_VALUE"""),"Bộ Công An")</f>
        <v>Bộ Công An</v>
      </c>
      <c r="P98" s="7" t="str">
        <f>IFERROR(__xludf.DUMMYFUNCTION("""COMPUTED_VALUE"""),"Bằng Nghề")</f>
        <v>Bằng Nghề</v>
      </c>
      <c r="Q98" s="7" t="str">
        <f>IFERROR(__xludf.DUMMYFUNCTION("""COMPUTED_VALUE"""),"Lái xe hạng C")</f>
        <v>Lái xe hạng C</v>
      </c>
      <c r="R98" s="17">
        <f>IFERROR(__xludf.DUMMYFUNCTION("""COMPUTED_VALUE"""),43358.0)</f>
        <v>43358</v>
      </c>
      <c r="S98" s="17">
        <f>IFERROR(__xludf.DUMMYFUNCTION("""COMPUTED_VALUE"""),43358.0)</f>
        <v>43358</v>
      </c>
      <c r="T98" s="7" t="str">
        <f>IFERROR(__xludf.DUMMYFUNCTION("""COMPUTED_VALUE"""),"Chính thức")</f>
        <v>Chính thức</v>
      </c>
      <c r="U98" s="7"/>
      <c r="V98" s="7" t="str">
        <f>IFERROR(__xludf.DUMMYFUNCTION("""COMPUTED_VALUE"""),"Chính thức")</f>
        <v>Chính thức</v>
      </c>
      <c r="W98" s="7" t="str">
        <f>IFERROR(__xludf.DUMMYFUNCTION("""COMPUTED_VALUE"""),"7 năm 3 tháng")</f>
        <v>7 năm 3 tháng</v>
      </c>
      <c r="X98" s="7"/>
      <c r="Y98" s="7"/>
      <c r="Z98" s="7"/>
    </row>
    <row r="99">
      <c r="A99" s="7">
        <f>IFERROR(__xludf.DUMMYFUNCTION("""COMPUTED_VALUE"""),18.0)</f>
        <v>18</v>
      </c>
      <c r="B99" s="7" t="str">
        <f>IFERROR(__xludf.DUMMYFUNCTION("""COMPUTED_VALUE"""),"Văn phòng")</f>
        <v>Văn phòng</v>
      </c>
      <c r="C99" s="7" t="str">
        <f>IFERROR(__xludf.DUMMYFUNCTION("""COMPUTED_VALUE"""),"Phòng khai thác")</f>
        <v>Phòng khai thác</v>
      </c>
      <c r="D99" s="7" t="str">
        <f>IFERROR(__xludf.DUMMYFUNCTION("""COMPUTED_VALUE"""),"Tổ Đội xe máy")</f>
        <v>Tổ Đội xe máy</v>
      </c>
      <c r="E99" s="7" t="str">
        <f>IFERROR(__xludf.DUMMYFUNCTION("""COMPUTED_VALUE"""),"Nhân viên lái xe đầu kéo")</f>
        <v>Nhân viên lái xe đầu kéo</v>
      </c>
      <c r="F99" s="7" t="str">
        <f>IFERROR(__xludf.DUMMYFUNCTION("""COMPUTED_VALUE"""),"NV4509")</f>
        <v>NV4509</v>
      </c>
      <c r="G99" s="7">
        <f>IFERROR(__xludf.DUMMYFUNCTION("""COMPUTED_VALUE"""),692.0)</f>
        <v>692</v>
      </c>
      <c r="H99" s="7" t="str">
        <f>IFERROR(__xludf.DUMMYFUNCTION("""COMPUTED_VALUE"""),"Nguyễn Đình Dũng")</f>
        <v>Nguyễn Đình Dũng</v>
      </c>
      <c r="I99" s="7" t="str">
        <f>IFERROR(__xludf.DUMMYFUNCTION("""COMPUTED_VALUE"""),"Nam")</f>
        <v>Nam</v>
      </c>
      <c r="J99" s="17">
        <f>IFERROR(__xludf.DUMMYFUNCTION("""COMPUTED_VALUE"""),30072.0)</f>
        <v>30072</v>
      </c>
      <c r="K99" s="7" t="str">
        <f>IFERROR(__xludf.DUMMYFUNCTION("""COMPUTED_VALUE"""),"Thôn 1 xã Hoằng Thái, huyện Hoằng Hóa, tỉnh Thanh Hóa")</f>
        <v>Thôn 1 xã Hoằng Thái, huyện Hoằng Hóa, tỉnh Thanh Hóa</v>
      </c>
      <c r="L99" s="7" t="str">
        <f>IFERROR(__xludf.DUMMYFUNCTION("""COMPUTED_VALUE"""),"0918401507")</f>
        <v>0918401507</v>
      </c>
      <c r="M99" s="7" t="str">
        <f>IFERROR(__xludf.DUMMYFUNCTION("""COMPUTED_VALUE"""),"038082019478")</f>
        <v>038082019478</v>
      </c>
      <c r="N99" s="18">
        <f>IFERROR(__xludf.DUMMYFUNCTION("""COMPUTED_VALUE"""),44783.0)</f>
        <v>44783</v>
      </c>
      <c r="O99" s="7" t="str">
        <f>IFERROR(__xludf.DUMMYFUNCTION("""COMPUTED_VALUE"""),"Cục Cảnh sát QLHC về TTXH")</f>
        <v>Cục Cảnh sát QLHC về TTXH</v>
      </c>
      <c r="P99" s="7" t="str">
        <f>IFERROR(__xludf.DUMMYFUNCTION("""COMPUTED_VALUE"""),"Bằng nghề")</f>
        <v>Bằng nghề</v>
      </c>
      <c r="Q99" s="7" t="str">
        <f>IFERROR(__xludf.DUMMYFUNCTION("""COMPUTED_VALUE"""),"Lái xe hạng FC")</f>
        <v>Lái xe hạng FC</v>
      </c>
      <c r="R99" s="17">
        <f>IFERROR(__xludf.DUMMYFUNCTION("""COMPUTED_VALUE"""),44867.0)</f>
        <v>44867</v>
      </c>
      <c r="S99" s="17">
        <f>IFERROR(__xludf.DUMMYFUNCTION("""COMPUTED_VALUE"""),45078.0)</f>
        <v>45078</v>
      </c>
      <c r="T99" s="7" t="str">
        <f>IFERROR(__xludf.DUMMYFUNCTION("""COMPUTED_VALUE"""),"Chính thức")</f>
        <v>Chính thức</v>
      </c>
      <c r="U99" s="7"/>
      <c r="V99" s="7" t="str">
        <f>IFERROR(__xludf.DUMMYFUNCTION("""COMPUTED_VALUE"""),"Chính thức")</f>
        <v>Chính thức</v>
      </c>
      <c r="W99" s="7" t="str">
        <f>IFERROR(__xludf.DUMMYFUNCTION("""COMPUTED_VALUE"""),"3 năm 1 tháng")</f>
        <v>3 năm 1 tháng</v>
      </c>
      <c r="X99" s="7"/>
      <c r="Y99" s="7"/>
      <c r="Z99" s="7"/>
    </row>
    <row r="100">
      <c r="A100" s="7">
        <f>IFERROR(__xludf.DUMMYFUNCTION("""COMPUTED_VALUE"""),19.0)</f>
        <v>19</v>
      </c>
      <c r="B100" s="7" t="str">
        <f>IFERROR(__xludf.DUMMYFUNCTION("""COMPUTED_VALUE"""),"Văn phòng")</f>
        <v>Văn phòng</v>
      </c>
      <c r="C100" s="7" t="str">
        <f>IFERROR(__xludf.DUMMYFUNCTION("""COMPUTED_VALUE"""),"Phòng khai thác")</f>
        <v>Phòng khai thác</v>
      </c>
      <c r="D100" s="7" t="str">
        <f>IFERROR(__xludf.DUMMYFUNCTION("""COMPUTED_VALUE"""),"Tổ Đội xe máy")</f>
        <v>Tổ Đội xe máy</v>
      </c>
      <c r="E100" s="7" t="str">
        <f>IFERROR(__xludf.DUMMYFUNCTION("""COMPUTED_VALUE"""),"Nhân viên lái xe đầu kéo")</f>
        <v>Nhân viên lái xe đầu kéo</v>
      </c>
      <c r="F100" s="7" t="str">
        <f>IFERROR(__xludf.DUMMYFUNCTION("""COMPUTED_VALUE"""),"NV4890")</f>
        <v>NV4890</v>
      </c>
      <c r="G100" s="7">
        <f>IFERROR(__xludf.DUMMYFUNCTION("""COMPUTED_VALUE"""),827.0)</f>
        <v>827</v>
      </c>
      <c r="H100" s="7" t="str">
        <f>IFERROR(__xludf.DUMMYFUNCTION("""COMPUTED_VALUE"""),"Đỗ Xuân Chinh")</f>
        <v>Đỗ Xuân Chinh</v>
      </c>
      <c r="I100" s="7" t="str">
        <f>IFERROR(__xludf.DUMMYFUNCTION("""COMPUTED_VALUE"""),"Nam")</f>
        <v>Nam</v>
      </c>
      <c r="J100" s="17">
        <f>IFERROR(__xludf.DUMMYFUNCTION("""COMPUTED_VALUE"""),31522.0)</f>
        <v>31522</v>
      </c>
      <c r="K100" s="7" t="str">
        <f>IFERROR(__xludf.DUMMYFUNCTION("""COMPUTED_VALUE"""),"Quảng Đức - Quảng Xương - Thanh Hóa")</f>
        <v>Quảng Đức - Quảng Xương - Thanh Hóa</v>
      </c>
      <c r="L100" s="7" t="str">
        <f>IFERROR(__xludf.DUMMYFUNCTION("""COMPUTED_VALUE"""),"0975807608")</f>
        <v>0975807608</v>
      </c>
      <c r="M100" s="7" t="str">
        <f>IFERROR(__xludf.DUMMYFUNCTION("""COMPUTED_VALUE"""),"038086002066")</f>
        <v>038086002066</v>
      </c>
      <c r="N100" s="18">
        <f>IFERROR(__xludf.DUMMYFUNCTION("""COMPUTED_VALUE"""),44515.0)</f>
        <v>44515</v>
      </c>
      <c r="O100" s="7" t="str">
        <f>IFERROR(__xludf.DUMMYFUNCTION("""COMPUTED_VALUE"""),"Cục Cảnh sát QLHC về TTXH")</f>
        <v>Cục Cảnh sát QLHC về TTXH</v>
      </c>
      <c r="P100" s="7" t="str">
        <f>IFERROR(__xludf.DUMMYFUNCTION("""COMPUTED_VALUE"""),"Bằng nghề")</f>
        <v>Bằng nghề</v>
      </c>
      <c r="Q100" s="7" t="str">
        <f>IFERROR(__xludf.DUMMYFUNCTION("""COMPUTED_VALUE"""),"Lái xe Bằng FC")</f>
        <v>Lái xe Bằng FC</v>
      </c>
      <c r="R100" s="17">
        <f>IFERROR(__xludf.DUMMYFUNCTION("""COMPUTED_VALUE"""),45079.0)</f>
        <v>45079</v>
      </c>
      <c r="S100" s="17">
        <f>IFERROR(__xludf.DUMMYFUNCTION("""COMPUTED_VALUE"""),45292.0)</f>
        <v>45292</v>
      </c>
      <c r="T100" s="7" t="str">
        <f>IFERROR(__xludf.DUMMYFUNCTION("""COMPUTED_VALUE"""),"Chính thức")</f>
        <v>Chính thức</v>
      </c>
      <c r="U100" s="7"/>
      <c r="V100" s="7" t="str">
        <f>IFERROR(__xludf.DUMMYFUNCTION("""COMPUTED_VALUE"""),"Chính thức")</f>
        <v>Chính thức</v>
      </c>
      <c r="W100" s="7" t="str">
        <f>IFERROR(__xludf.DUMMYFUNCTION("""COMPUTED_VALUE"""),"2 năm 6 tháng")</f>
        <v>2 năm 6 tháng</v>
      </c>
      <c r="X100" s="7"/>
      <c r="Y100" s="7"/>
      <c r="Z100" s="7"/>
    </row>
    <row r="101">
      <c r="A101" s="7">
        <f>IFERROR(__xludf.DUMMYFUNCTION("""COMPUTED_VALUE"""),20.0)</f>
        <v>20</v>
      </c>
      <c r="B101" s="7" t="str">
        <f>IFERROR(__xludf.DUMMYFUNCTION("""COMPUTED_VALUE"""),"Văn phòng")</f>
        <v>Văn phòng</v>
      </c>
      <c r="C101" s="7" t="str">
        <f>IFERROR(__xludf.DUMMYFUNCTION("""COMPUTED_VALUE"""),"Phòng khai thác")</f>
        <v>Phòng khai thác</v>
      </c>
      <c r="D101" s="7" t="str">
        <f>IFERROR(__xludf.DUMMYFUNCTION("""COMPUTED_VALUE"""),"Tổ Đội xe máy")</f>
        <v>Tổ Đội xe máy</v>
      </c>
      <c r="E101" s="7" t="str">
        <f>IFERROR(__xludf.DUMMYFUNCTION("""COMPUTED_VALUE"""),"Nhân viên lái xe mỏ")</f>
        <v>Nhân viên lái xe mỏ</v>
      </c>
      <c r="F101" s="7" t="str">
        <f>IFERROR(__xludf.DUMMYFUNCTION("""COMPUTED_VALUE"""),"NV5014")</f>
        <v>NV5014</v>
      </c>
      <c r="G101" s="7"/>
      <c r="H101" s="7" t="str">
        <f>IFERROR(__xludf.DUMMYFUNCTION("""COMPUTED_VALUE"""),"Nguyễn Đình Vũ")</f>
        <v>Nguyễn Đình Vũ</v>
      </c>
      <c r="I101" s="7" t="str">
        <f>IFERROR(__xludf.DUMMYFUNCTION("""COMPUTED_VALUE"""),"Nam")</f>
        <v>Nam</v>
      </c>
      <c r="J101" s="17">
        <f>IFERROR(__xludf.DUMMYFUNCTION("""COMPUTED_VALUE"""),34982.0)</f>
        <v>34982</v>
      </c>
      <c r="K101" s="7" t="str">
        <f>IFERROR(__xludf.DUMMYFUNCTION("""COMPUTED_VALUE"""),"Xã Tân Bình, Huyện Như Xuân, Thanh Hóa")</f>
        <v>Xã Tân Bình, Huyện Như Xuân, Thanh Hóa</v>
      </c>
      <c r="L101" s="7" t="str">
        <f>IFERROR(__xludf.DUMMYFUNCTION("""COMPUTED_VALUE"""),"0978483657")</f>
        <v>0978483657</v>
      </c>
      <c r="M101" s="7" t="str">
        <f>IFERROR(__xludf.DUMMYFUNCTION("""COMPUTED_VALUE"""),"038095022165")</f>
        <v>038095022165</v>
      </c>
      <c r="N101" s="18">
        <f>IFERROR(__xludf.DUMMYFUNCTION("""COMPUTED_VALUE"""),44536.0)</f>
        <v>44536</v>
      </c>
      <c r="O101" s="7" t="str">
        <f>IFERROR(__xludf.DUMMYFUNCTION("""COMPUTED_VALUE"""),"Cục Cảnh sát QLHC về TTXH")</f>
        <v>Cục Cảnh sát QLHC về TTXH</v>
      </c>
      <c r="P101" s="7" t="str">
        <f>IFERROR(__xludf.DUMMYFUNCTION("""COMPUTED_VALUE"""),"Bằng nghề")</f>
        <v>Bằng nghề</v>
      </c>
      <c r="Q101" s="7" t="str">
        <f>IFERROR(__xludf.DUMMYFUNCTION("""COMPUTED_VALUE"""),"Lái xe hạng C")</f>
        <v>Lái xe hạng C</v>
      </c>
      <c r="R101" s="17">
        <f>IFERROR(__xludf.DUMMYFUNCTION("""COMPUTED_VALUE"""),45349.0)</f>
        <v>45349</v>
      </c>
      <c r="S101" s="17">
        <f>IFERROR(__xludf.DUMMYFUNCTION("""COMPUTED_VALUE"""),45444.0)</f>
        <v>45444</v>
      </c>
      <c r="T101" s="7" t="str">
        <f>IFERROR(__xludf.DUMMYFUNCTION("""COMPUTED_VALUE"""),"Chính thức")</f>
        <v>Chính thức</v>
      </c>
      <c r="U101" s="7"/>
      <c r="V101" s="7" t="str">
        <f>IFERROR(__xludf.DUMMYFUNCTION("""COMPUTED_VALUE"""),"Chính thức")</f>
        <v>Chính thức</v>
      </c>
      <c r="W101" s="7" t="str">
        <f>IFERROR(__xludf.DUMMYFUNCTION("""COMPUTED_VALUE"""),"1 năm 10 tháng")</f>
        <v>1 năm 10 tháng</v>
      </c>
      <c r="X101" s="7"/>
      <c r="Y101" s="7"/>
      <c r="Z101" s="7"/>
    </row>
    <row r="102">
      <c r="A102" s="7">
        <f>IFERROR(__xludf.DUMMYFUNCTION("""COMPUTED_VALUE"""),21.0)</f>
        <v>21</v>
      </c>
      <c r="B102" s="7" t="str">
        <f>IFERROR(__xludf.DUMMYFUNCTION("""COMPUTED_VALUE"""),"Văn phòng")</f>
        <v>Văn phòng</v>
      </c>
      <c r="C102" s="7" t="str">
        <f>IFERROR(__xludf.DUMMYFUNCTION("""COMPUTED_VALUE"""),"Phòng khai thác")</f>
        <v>Phòng khai thác</v>
      </c>
      <c r="D102" s="7" t="str">
        <f>IFERROR(__xludf.DUMMYFUNCTION("""COMPUTED_VALUE"""),"Tổ Đội xe máy")</f>
        <v>Tổ Đội xe máy</v>
      </c>
      <c r="E102" s="7" t="str">
        <f>IFERROR(__xludf.DUMMYFUNCTION("""COMPUTED_VALUE"""),"Nhân viên lái xe mỏ")</f>
        <v>Nhân viên lái xe mỏ</v>
      </c>
      <c r="F102" s="7" t="str">
        <f>IFERROR(__xludf.DUMMYFUNCTION("""COMPUTED_VALUE"""),"NV5019")</f>
        <v>NV5019</v>
      </c>
      <c r="G102" s="7"/>
      <c r="H102" s="7" t="str">
        <f>IFERROR(__xludf.DUMMYFUNCTION("""COMPUTED_VALUE"""),"Nguyễn Xuân Thủy")</f>
        <v>Nguyễn Xuân Thủy</v>
      </c>
      <c r="I102" s="7" t="str">
        <f>IFERROR(__xludf.DUMMYFUNCTION("""COMPUTED_VALUE"""),"Nam")</f>
        <v>Nam</v>
      </c>
      <c r="J102" s="17">
        <f>IFERROR(__xludf.DUMMYFUNCTION("""COMPUTED_VALUE"""),31695.0)</f>
        <v>31695</v>
      </c>
      <c r="K102" s="7" t="str">
        <f>IFERROR(__xludf.DUMMYFUNCTION("""COMPUTED_VALUE"""),"Xã Tân Bình, Huyện Như Xuân, Thanh Hóa")</f>
        <v>Xã Tân Bình, Huyện Như Xuân, Thanh Hóa</v>
      </c>
      <c r="L102" s="7" t="str">
        <f>IFERROR(__xludf.DUMMYFUNCTION("""COMPUTED_VALUE"""),"0398439385")</f>
        <v>0398439385</v>
      </c>
      <c r="M102" s="7" t="str">
        <f>IFERROR(__xludf.DUMMYFUNCTION("""COMPUTED_VALUE"""),"038086015413")</f>
        <v>038086015413</v>
      </c>
      <c r="N102" s="18">
        <f>IFERROR(__xludf.DUMMYFUNCTION("""COMPUTED_VALUE"""),44389.0)</f>
        <v>44389</v>
      </c>
      <c r="O102" s="7" t="str">
        <f>IFERROR(__xludf.DUMMYFUNCTION("""COMPUTED_VALUE"""),"Cục Cảnh sát QLHC về TTXH")</f>
        <v>Cục Cảnh sát QLHC về TTXH</v>
      </c>
      <c r="P102" s="7" t="str">
        <f>IFERROR(__xludf.DUMMYFUNCTION("""COMPUTED_VALUE"""),"Bằng nghề")</f>
        <v>Bằng nghề</v>
      </c>
      <c r="Q102" s="7" t="str">
        <f>IFERROR(__xludf.DUMMYFUNCTION("""COMPUTED_VALUE"""),"Lái xe hạng C")</f>
        <v>Lái xe hạng C</v>
      </c>
      <c r="R102" s="17">
        <f>IFERROR(__xludf.DUMMYFUNCTION("""COMPUTED_VALUE"""),45350.0)</f>
        <v>45350</v>
      </c>
      <c r="S102" s="17">
        <f>IFERROR(__xludf.DUMMYFUNCTION("""COMPUTED_VALUE"""),45444.0)</f>
        <v>45444</v>
      </c>
      <c r="T102" s="7" t="str">
        <f>IFERROR(__xludf.DUMMYFUNCTION("""COMPUTED_VALUE"""),"Chính thức")</f>
        <v>Chính thức</v>
      </c>
      <c r="U102" s="7"/>
      <c r="V102" s="7" t="str">
        <f>IFERROR(__xludf.DUMMYFUNCTION("""COMPUTED_VALUE"""),"Chính thức")</f>
        <v>Chính thức</v>
      </c>
      <c r="W102" s="7" t="str">
        <f>IFERROR(__xludf.DUMMYFUNCTION("""COMPUTED_VALUE"""),"1 năm 10 tháng")</f>
        <v>1 năm 10 tháng</v>
      </c>
      <c r="X102" s="7"/>
      <c r="Y102" s="7"/>
      <c r="Z102" s="7"/>
    </row>
    <row r="103">
      <c r="A103" s="7">
        <f>IFERROR(__xludf.DUMMYFUNCTION("""COMPUTED_VALUE"""),22.0)</f>
        <v>22</v>
      </c>
      <c r="B103" s="7" t="str">
        <f>IFERROR(__xludf.DUMMYFUNCTION("""COMPUTED_VALUE"""),"Văn phòng")</f>
        <v>Văn phòng</v>
      </c>
      <c r="C103" s="7" t="str">
        <f>IFERROR(__xludf.DUMMYFUNCTION("""COMPUTED_VALUE"""),"Phòng khai thác")</f>
        <v>Phòng khai thác</v>
      </c>
      <c r="D103" s="7" t="str">
        <f>IFERROR(__xludf.DUMMYFUNCTION("""COMPUTED_VALUE"""),"Tổ Đội xe máy")</f>
        <v>Tổ Đội xe máy</v>
      </c>
      <c r="E103" s="7" t="str">
        <f>IFERROR(__xludf.DUMMYFUNCTION("""COMPUTED_VALUE"""),"Nhân viên lái xe đầu kéo")</f>
        <v>Nhân viên lái xe đầu kéo</v>
      </c>
      <c r="F103" s="7" t="str">
        <f>IFERROR(__xludf.DUMMYFUNCTION("""COMPUTED_VALUE"""),"NV5273")</f>
        <v>NV5273</v>
      </c>
      <c r="G103" s="7">
        <f>IFERROR(__xludf.DUMMYFUNCTION("""COMPUTED_VALUE"""),734.0)</f>
        <v>734</v>
      </c>
      <c r="H103" s="7" t="str">
        <f>IFERROR(__xludf.DUMMYFUNCTION("""COMPUTED_VALUE"""),"Lê Bá Cần")</f>
        <v>Lê Bá Cần</v>
      </c>
      <c r="I103" s="7" t="str">
        <f>IFERROR(__xludf.DUMMYFUNCTION("""COMPUTED_VALUE"""),"Nam")</f>
        <v>Nam</v>
      </c>
      <c r="J103" s="17">
        <f>IFERROR(__xludf.DUMMYFUNCTION("""COMPUTED_VALUE"""),29495.0)</f>
        <v>29495</v>
      </c>
      <c r="K103" s="7" t="str">
        <f>IFERROR(__xludf.DUMMYFUNCTION("""COMPUTED_VALUE"""),"Đông Hoàng, Đông Sơn, Thanh Hóa")</f>
        <v>Đông Hoàng, Đông Sơn, Thanh Hóa</v>
      </c>
      <c r="L103" s="7" t="str">
        <f>IFERROR(__xludf.DUMMYFUNCTION("""COMPUTED_VALUE"""),"0902231170")</f>
        <v>0902231170</v>
      </c>
      <c r="M103" s="7" t="str">
        <f>IFERROR(__xludf.DUMMYFUNCTION("""COMPUTED_VALUE"""),"038080028456")</f>
        <v>038080028456</v>
      </c>
      <c r="N103" s="18">
        <f>IFERROR(__xludf.DUMMYFUNCTION("""COMPUTED_VALUE"""),44675.0)</f>
        <v>44675</v>
      </c>
      <c r="O103" s="7" t="str">
        <f>IFERROR(__xludf.DUMMYFUNCTION("""COMPUTED_VALUE"""),"Cục Cảnh sát QLHC về TTXH")</f>
        <v>Cục Cảnh sát QLHC về TTXH</v>
      </c>
      <c r="P103" s="7" t="str">
        <f>IFERROR(__xludf.DUMMYFUNCTION("""COMPUTED_VALUE"""),"Bằng nghề")</f>
        <v>Bằng nghề</v>
      </c>
      <c r="Q103" s="7" t="str">
        <f>IFERROR(__xludf.DUMMYFUNCTION("""COMPUTED_VALUE"""),"Lái xe Hạng FC")</f>
        <v>Lái xe Hạng FC</v>
      </c>
      <c r="R103" s="17">
        <f>IFERROR(__xludf.DUMMYFUNCTION("""COMPUTED_VALUE"""),45456.0)</f>
        <v>45456</v>
      </c>
      <c r="S103" s="17">
        <f>IFERROR(__xludf.DUMMYFUNCTION("""COMPUTED_VALUE"""),45536.0)</f>
        <v>45536</v>
      </c>
      <c r="T103" s="7" t="str">
        <f>IFERROR(__xludf.DUMMYFUNCTION("""COMPUTED_VALUE"""),"Chính thức")</f>
        <v>Chính thức</v>
      </c>
      <c r="U103" s="7"/>
      <c r="V103" s="7" t="str">
        <f>IFERROR(__xludf.DUMMYFUNCTION("""COMPUTED_VALUE"""),"Chính thức")</f>
        <v>Chính thức</v>
      </c>
      <c r="W103" s="7" t="str">
        <f>IFERROR(__xludf.DUMMYFUNCTION("""COMPUTED_VALUE"""),"1 năm 6 tháng")</f>
        <v>1 năm 6 tháng</v>
      </c>
      <c r="X103" s="7"/>
      <c r="Y103" s="7"/>
      <c r="Z103" s="7"/>
    </row>
    <row r="104">
      <c r="A104" s="7">
        <f>IFERROR(__xludf.DUMMYFUNCTION("""COMPUTED_VALUE"""),23.0)</f>
        <v>23</v>
      </c>
      <c r="B104" s="7" t="str">
        <f>IFERROR(__xludf.DUMMYFUNCTION("""COMPUTED_VALUE"""),"Văn phòng")</f>
        <v>Văn phòng</v>
      </c>
      <c r="C104" s="7" t="str">
        <f>IFERROR(__xludf.DUMMYFUNCTION("""COMPUTED_VALUE"""),"Phòng khai thác")</f>
        <v>Phòng khai thác</v>
      </c>
      <c r="D104" s="7" t="str">
        <f>IFERROR(__xludf.DUMMYFUNCTION("""COMPUTED_VALUE"""),"Tổ Đội xe máy")</f>
        <v>Tổ Đội xe máy</v>
      </c>
      <c r="E104" s="7" t="str">
        <f>IFERROR(__xludf.DUMMYFUNCTION("""COMPUTED_VALUE"""),"Nhân viên lái xe mỏ")</f>
        <v>Nhân viên lái xe mỏ</v>
      </c>
      <c r="F104" s="7" t="str">
        <f>IFERROR(__xludf.DUMMYFUNCTION("""COMPUTED_VALUE"""),"NV3953")</f>
        <v>NV3953</v>
      </c>
      <c r="G104" s="7">
        <f>IFERROR(__xludf.DUMMYFUNCTION("""COMPUTED_VALUE"""),854.0)</f>
        <v>854</v>
      </c>
      <c r="H104" s="7" t="str">
        <f>IFERROR(__xludf.DUMMYFUNCTION("""COMPUTED_VALUE"""),"Trịnh Văn Viên")</f>
        <v>Trịnh Văn Viên</v>
      </c>
      <c r="I104" s="7" t="str">
        <f>IFERROR(__xludf.DUMMYFUNCTION("""COMPUTED_VALUE"""),"Nam")</f>
        <v>Nam</v>
      </c>
      <c r="J104" s="17">
        <f>IFERROR(__xludf.DUMMYFUNCTION("""COMPUTED_VALUE"""),30112.0)</f>
        <v>30112</v>
      </c>
      <c r="K104" s="7" t="str">
        <f>IFERROR(__xludf.DUMMYFUNCTION("""COMPUTED_VALUE"""),"Thôn Hàm Ninh - Xã Hoằng Lộc - Tỉnh Thanh Hóa")</f>
        <v>Thôn Hàm Ninh - Xã Hoằng Lộc - Tỉnh Thanh Hóa</v>
      </c>
      <c r="L104" s="7" t="str">
        <f>IFERROR(__xludf.DUMMYFUNCTION("""COMPUTED_VALUE"""),"0979637345")</f>
        <v>0979637345</v>
      </c>
      <c r="M104" s="7" t="str">
        <f>IFERROR(__xludf.DUMMYFUNCTION("""COMPUTED_VALUE"""),"038082025150")</f>
        <v>038082025150</v>
      </c>
      <c r="N104" s="18">
        <f>IFERROR(__xludf.DUMMYFUNCTION("""COMPUTED_VALUE"""),44410.0)</f>
        <v>44410</v>
      </c>
      <c r="O104" s="7" t="str">
        <f>IFERROR(__xludf.DUMMYFUNCTION("""COMPUTED_VALUE"""),"Cục Cảnh sát QLHC về TTXH")</f>
        <v>Cục Cảnh sát QLHC về TTXH</v>
      </c>
      <c r="P104" s="7" t="str">
        <f>IFERROR(__xludf.DUMMYFUNCTION("""COMPUTED_VALUE"""),"Bằng nghề")</f>
        <v>Bằng nghề</v>
      </c>
      <c r="Q104" s="7" t="str">
        <f>IFERROR(__xludf.DUMMYFUNCTION("""COMPUTED_VALUE"""),"Lái xe hạng FC")</f>
        <v>Lái xe hạng FC</v>
      </c>
      <c r="R104" s="17">
        <f>IFERROR(__xludf.DUMMYFUNCTION("""COMPUTED_VALUE"""),45708.0)</f>
        <v>45708</v>
      </c>
      <c r="S104" s="17">
        <f>IFERROR(__xludf.DUMMYFUNCTION("""COMPUTED_VALUE"""),45708.0)</f>
        <v>45708</v>
      </c>
      <c r="T104" s="7" t="str">
        <f>IFERROR(__xludf.DUMMYFUNCTION("""COMPUTED_VALUE"""),"Chính thức")</f>
        <v>Chính thức</v>
      </c>
      <c r="U104" s="7"/>
      <c r="V104" s="7" t="str">
        <f>IFERROR(__xludf.DUMMYFUNCTION("""COMPUTED_VALUE"""),"Chính thức")</f>
        <v>Chính thức</v>
      </c>
      <c r="W104" s="7" t="str">
        <f>IFERROR(__xludf.DUMMYFUNCTION("""COMPUTED_VALUE"""),"0 năm 10 tháng")</f>
        <v>0 năm 10 tháng</v>
      </c>
      <c r="X104" s="7"/>
      <c r="Y104" s="7"/>
      <c r="Z104" s="7"/>
    </row>
    <row r="105">
      <c r="A105" s="7">
        <f>IFERROR(__xludf.DUMMYFUNCTION("""COMPUTED_VALUE"""),24.0)</f>
        <v>24</v>
      </c>
      <c r="B105" s="7" t="str">
        <f>IFERROR(__xludf.DUMMYFUNCTION("""COMPUTED_VALUE"""),"Văn phòng")</f>
        <v>Văn phòng</v>
      </c>
      <c r="C105" s="7" t="str">
        <f>IFERROR(__xludf.DUMMYFUNCTION("""COMPUTED_VALUE"""),"Phòng khai thác")</f>
        <v>Phòng khai thác</v>
      </c>
      <c r="D105" s="7" t="str">
        <f>IFERROR(__xludf.DUMMYFUNCTION("""COMPUTED_VALUE"""),"Tổ Đội xe máy")</f>
        <v>Tổ Đội xe máy</v>
      </c>
      <c r="E105" s="7" t="str">
        <f>IFERROR(__xludf.DUMMYFUNCTION("""COMPUTED_VALUE"""),"Nhân viên lái xe mỏ")</f>
        <v>Nhân viên lái xe mỏ</v>
      </c>
      <c r="F105" s="7" t="str">
        <f>IFERROR(__xludf.DUMMYFUNCTION("""COMPUTED_VALUE"""),"NV3530")</f>
        <v>NV3530</v>
      </c>
      <c r="G105" s="7">
        <f>IFERROR(__xludf.DUMMYFUNCTION("""COMPUTED_VALUE"""),864.0)</f>
        <v>864</v>
      </c>
      <c r="H105" s="7" t="str">
        <f>IFERROR(__xludf.DUMMYFUNCTION("""COMPUTED_VALUE"""),"Lê Trọng Tấn")</f>
        <v>Lê Trọng Tấn</v>
      </c>
      <c r="I105" s="7" t="str">
        <f>IFERROR(__xludf.DUMMYFUNCTION("""COMPUTED_VALUE"""),"Nam")</f>
        <v>Nam</v>
      </c>
      <c r="J105" s="17">
        <f>IFERROR(__xludf.DUMMYFUNCTION("""COMPUTED_VALUE"""),32164.0)</f>
        <v>32164</v>
      </c>
      <c r="K105" s="7" t="str">
        <f>IFERROR(__xludf.DUMMYFUNCTION("""COMPUTED_VALUE"""),"Thôn Thái Tây - Xã Lĩnh Toại - Tỉnh Thanh Hóa")</f>
        <v>Thôn Thái Tây - Xã Lĩnh Toại - Tỉnh Thanh Hóa</v>
      </c>
      <c r="L105" s="7" t="str">
        <f>IFERROR(__xludf.DUMMYFUNCTION("""COMPUTED_VALUE"""),"0964439890")</f>
        <v>0964439890</v>
      </c>
      <c r="M105" s="7" t="str">
        <f>IFERROR(__xludf.DUMMYFUNCTION("""COMPUTED_VALUE"""),"038088043166")</f>
        <v>038088043166</v>
      </c>
      <c r="N105" s="18">
        <f>IFERROR(__xludf.DUMMYFUNCTION("""COMPUTED_VALUE"""),45623.0)</f>
        <v>45623</v>
      </c>
      <c r="O105" s="7" t="str">
        <f>IFERROR(__xludf.DUMMYFUNCTION("""COMPUTED_VALUE"""),"Bộ Công An")</f>
        <v>Bộ Công An</v>
      </c>
      <c r="P105" s="7" t="str">
        <f>IFERROR(__xludf.DUMMYFUNCTION("""COMPUTED_VALUE"""),"Bằng nghề")</f>
        <v>Bằng nghề</v>
      </c>
      <c r="Q105" s="7" t="str">
        <f>IFERROR(__xludf.DUMMYFUNCTION("""COMPUTED_VALUE"""),"Lái máy xúc đào")</f>
        <v>Lái máy xúc đào</v>
      </c>
      <c r="R105" s="17">
        <f>IFERROR(__xludf.DUMMYFUNCTION("""COMPUTED_VALUE"""),45717.0)</f>
        <v>45717</v>
      </c>
      <c r="S105" s="17">
        <f>IFERROR(__xludf.DUMMYFUNCTION("""COMPUTED_VALUE"""),45717.0)</f>
        <v>45717</v>
      </c>
      <c r="T105" s="7" t="str">
        <f>IFERROR(__xludf.DUMMYFUNCTION("""COMPUTED_VALUE"""),"Chính thức")</f>
        <v>Chính thức</v>
      </c>
      <c r="U105" s="7"/>
      <c r="V105" s="7" t="str">
        <f>IFERROR(__xludf.DUMMYFUNCTION("""COMPUTED_VALUE"""),"Chính thức")</f>
        <v>Chính thức</v>
      </c>
      <c r="W105" s="7" t="str">
        <f>IFERROR(__xludf.DUMMYFUNCTION("""COMPUTED_VALUE"""),"0 năm 9 tháng")</f>
        <v>0 năm 9 tháng</v>
      </c>
      <c r="X105" s="7"/>
      <c r="Y105" s="7"/>
      <c r="Z105" s="7"/>
    </row>
    <row r="106">
      <c r="A106" s="7">
        <f>IFERROR(__xludf.DUMMYFUNCTION("""COMPUTED_VALUE"""),25.0)</f>
        <v>25</v>
      </c>
      <c r="B106" s="7" t="str">
        <f>IFERROR(__xludf.DUMMYFUNCTION("""COMPUTED_VALUE"""),"Văn phòng")</f>
        <v>Văn phòng</v>
      </c>
      <c r="C106" s="7" t="str">
        <f>IFERROR(__xludf.DUMMYFUNCTION("""COMPUTED_VALUE"""),"Phòng khai thác")</f>
        <v>Phòng khai thác</v>
      </c>
      <c r="D106" s="7" t="str">
        <f>IFERROR(__xludf.DUMMYFUNCTION("""COMPUTED_VALUE"""),"Tổ Đội xe máy")</f>
        <v>Tổ Đội xe máy</v>
      </c>
      <c r="E106" s="7" t="str">
        <f>IFERROR(__xludf.DUMMYFUNCTION("""COMPUTED_VALUE"""),"Nhân viên")</f>
        <v>Nhân viên</v>
      </c>
      <c r="F106" s="7" t="str">
        <f>IFERROR(__xludf.DUMMYFUNCTION("""COMPUTED_VALUE"""),"NV4515")</f>
        <v>NV4515</v>
      </c>
      <c r="G106" s="7">
        <f>IFERROR(__xludf.DUMMYFUNCTION("""COMPUTED_VALUE"""),737.0)</f>
        <v>737</v>
      </c>
      <c r="H106" s="7" t="str">
        <f>IFERROR(__xludf.DUMMYFUNCTION("""COMPUTED_VALUE"""),"Lê Hữu Phước")</f>
        <v>Lê Hữu Phước</v>
      </c>
      <c r="I106" s="7" t="str">
        <f>IFERROR(__xludf.DUMMYFUNCTION("""COMPUTED_VALUE"""),"Nam")</f>
        <v>Nam</v>
      </c>
      <c r="J106" s="17">
        <f>IFERROR(__xludf.DUMMYFUNCTION("""COMPUTED_VALUE"""),30619.0)</f>
        <v>30619</v>
      </c>
      <c r="K106" s="7" t="str">
        <f>IFERROR(__xludf.DUMMYFUNCTION("""COMPUTED_VALUE"""),"Tân lập, Xã Chiềng Khương, Huyện Sông Mã, Sơn La")</f>
        <v>Tân lập, Xã Chiềng Khương, Huyện Sông Mã, Sơn La</v>
      </c>
      <c r="L106" s="7" t="str">
        <f>IFERROR(__xludf.DUMMYFUNCTION("""COMPUTED_VALUE"""),"0373552962")</f>
        <v>0373552962</v>
      </c>
      <c r="M106" s="7" t="str">
        <f>IFERROR(__xludf.DUMMYFUNCTION("""COMPUTED_VALUE"""),"014083014795")</f>
        <v>014083014795</v>
      </c>
      <c r="N106" s="18">
        <f>IFERROR(__xludf.DUMMYFUNCTION("""COMPUTED_VALUE"""),44545.0)</f>
        <v>44545</v>
      </c>
      <c r="O106" s="7" t="str">
        <f>IFERROR(__xludf.DUMMYFUNCTION("""COMPUTED_VALUE"""),"Cục Cảnh sát QLHC về TTXH")</f>
        <v>Cục Cảnh sát QLHC về TTXH</v>
      </c>
      <c r="P106" s="7" t="str">
        <f>IFERROR(__xludf.DUMMYFUNCTION("""COMPUTED_VALUE"""),"THPT")</f>
        <v>THPT</v>
      </c>
      <c r="Q106" s="7" t="str">
        <f>IFERROR(__xludf.DUMMYFUNCTION("""COMPUTED_VALUE"""),"Lái xe hạng C")</f>
        <v>Lái xe hạng C</v>
      </c>
      <c r="R106" s="17">
        <f>IFERROR(__xludf.DUMMYFUNCTION("""COMPUTED_VALUE"""),44882.0)</f>
        <v>44882</v>
      </c>
      <c r="S106" s="17">
        <f>IFERROR(__xludf.DUMMYFUNCTION("""COMPUTED_VALUE"""),45078.0)</f>
        <v>45078</v>
      </c>
      <c r="T106" s="7" t="str">
        <f>IFERROR(__xludf.DUMMYFUNCTION("""COMPUTED_VALUE"""),"Chính thức")</f>
        <v>Chính thức</v>
      </c>
      <c r="U106" s="7"/>
      <c r="V106" s="7" t="str">
        <f>IFERROR(__xludf.DUMMYFUNCTION("""COMPUTED_VALUE"""),"Chính thức")</f>
        <v>Chính thức</v>
      </c>
      <c r="W106" s="7" t="str">
        <f>IFERROR(__xludf.DUMMYFUNCTION("""COMPUTED_VALUE"""),"3 năm 1 tháng")</f>
        <v>3 năm 1 tháng</v>
      </c>
      <c r="X106" s="7"/>
      <c r="Y106" s="7"/>
      <c r="Z106" s="7"/>
    </row>
    <row r="107">
      <c r="A107" s="7">
        <f>IFERROR(__xludf.DUMMYFUNCTION("""COMPUTED_VALUE"""),26.0)</f>
        <v>26</v>
      </c>
      <c r="B107" s="7" t="str">
        <f>IFERROR(__xludf.DUMMYFUNCTION("""COMPUTED_VALUE"""),"Văn phòng")</f>
        <v>Văn phòng</v>
      </c>
      <c r="C107" s="7" t="str">
        <f>IFERROR(__xludf.DUMMYFUNCTION("""COMPUTED_VALUE"""),"Phòng khai thác")</f>
        <v>Phòng khai thác</v>
      </c>
      <c r="D107" s="7" t="str">
        <f>IFERROR(__xludf.DUMMYFUNCTION("""COMPUTED_VALUE"""),"Tổ Đội xe máy")</f>
        <v>Tổ Đội xe máy</v>
      </c>
      <c r="E107" s="7" t="str">
        <f>IFERROR(__xludf.DUMMYFUNCTION("""COMPUTED_VALUE"""),"Nhân viên lái xe mỏ")</f>
        <v>Nhân viên lái xe mỏ</v>
      </c>
      <c r="F107" s="7" t="str">
        <f>IFERROR(__xludf.DUMMYFUNCTION("""COMPUTED_VALUE"""),"NV4586")</f>
        <v>NV4586</v>
      </c>
      <c r="G107" s="7">
        <f>IFERROR(__xludf.DUMMYFUNCTION("""COMPUTED_VALUE"""),825.0)</f>
        <v>825</v>
      </c>
      <c r="H107" s="7" t="str">
        <f>IFERROR(__xludf.DUMMYFUNCTION("""COMPUTED_VALUE"""),"Lê Quang Dũng")</f>
        <v>Lê Quang Dũng</v>
      </c>
      <c r="I107" s="7" t="str">
        <f>IFERROR(__xludf.DUMMYFUNCTION("""COMPUTED_VALUE"""),"Nam")</f>
        <v>Nam</v>
      </c>
      <c r="J107" s="17">
        <f>IFERROR(__xludf.DUMMYFUNCTION("""COMPUTED_VALUE"""),34439.0)</f>
        <v>34439</v>
      </c>
      <c r="K107" s="7" t="str">
        <f>IFERROR(__xludf.DUMMYFUNCTION("""COMPUTED_VALUE"""),"Xã Xuân Du - Huyện Như Thanh - Tỉnh Thanh Hóa")</f>
        <v>Xã Xuân Du - Huyện Như Thanh - Tỉnh Thanh Hóa</v>
      </c>
      <c r="L107" s="7" t="str">
        <f>IFERROR(__xludf.DUMMYFUNCTION("""COMPUTED_VALUE"""),"0966581235")</f>
        <v>0966581235</v>
      </c>
      <c r="M107" s="7" t="str">
        <f>IFERROR(__xludf.DUMMYFUNCTION("""COMPUTED_VALUE"""),"038094002015")</f>
        <v>038094002015</v>
      </c>
      <c r="N107" s="18">
        <f>IFERROR(__xludf.DUMMYFUNCTION("""COMPUTED_VALUE"""),44801.0)</f>
        <v>44801</v>
      </c>
      <c r="O107" s="7" t="str">
        <f>IFERROR(__xludf.DUMMYFUNCTION("""COMPUTED_VALUE"""),"Cục Cảnh sát QLHC về TTXH")</f>
        <v>Cục Cảnh sát QLHC về TTXH</v>
      </c>
      <c r="P107" s="7" t="str">
        <f>IFERROR(__xludf.DUMMYFUNCTION("""COMPUTED_VALUE"""),"Bằng nghề")</f>
        <v>Bằng nghề</v>
      </c>
      <c r="Q107" s="7" t="str">
        <f>IFERROR(__xludf.DUMMYFUNCTION("""COMPUTED_VALUE"""),"Lái xe hạng C")</f>
        <v>Lái xe hạng C</v>
      </c>
      <c r="R107" s="17">
        <f>IFERROR(__xludf.DUMMYFUNCTION("""COMPUTED_VALUE"""),45804.0)</f>
        <v>45804</v>
      </c>
      <c r="S107" s="17">
        <f>IFERROR(__xludf.DUMMYFUNCTION("""COMPUTED_VALUE"""),45804.0)</f>
        <v>45804</v>
      </c>
      <c r="T107" s="7" t="str">
        <f>IFERROR(__xludf.DUMMYFUNCTION("""COMPUTED_VALUE"""),"Chính thức")</f>
        <v>Chính thức</v>
      </c>
      <c r="U107" s="7"/>
      <c r="V107" s="7" t="str">
        <f>IFERROR(__xludf.DUMMYFUNCTION("""COMPUTED_VALUE"""),"Chính thức")</f>
        <v>Chính thức</v>
      </c>
      <c r="W107" s="7" t="str">
        <f>IFERROR(__xludf.DUMMYFUNCTION("""COMPUTED_VALUE"""),"0 năm 7 tháng")</f>
        <v>0 năm 7 tháng</v>
      </c>
      <c r="X107" s="7"/>
      <c r="Y107" s="7"/>
      <c r="Z107" s="7"/>
    </row>
    <row r="108">
      <c r="A108" s="7">
        <f>IFERROR(__xludf.DUMMYFUNCTION("""COMPUTED_VALUE"""),27.0)</f>
        <v>27</v>
      </c>
      <c r="B108" s="7" t="str">
        <f>IFERROR(__xludf.DUMMYFUNCTION("""COMPUTED_VALUE"""),"Văn phòng")</f>
        <v>Văn phòng</v>
      </c>
      <c r="C108" s="7" t="str">
        <f>IFERROR(__xludf.DUMMYFUNCTION("""COMPUTED_VALUE"""),"Phòng khai thác")</f>
        <v>Phòng khai thác</v>
      </c>
      <c r="D108" s="7" t="str">
        <f>IFERROR(__xludf.DUMMYFUNCTION("""COMPUTED_VALUE"""),"Tổ Đội xe máy")</f>
        <v>Tổ Đội xe máy</v>
      </c>
      <c r="E108" s="7" t="str">
        <f>IFERROR(__xludf.DUMMYFUNCTION("""COMPUTED_VALUE"""),"Nhân viên Lái máy xúc đào")</f>
        <v>Nhân viên Lái máy xúc đào</v>
      </c>
      <c r="F108" s="7" t="str">
        <f>IFERROR(__xludf.DUMMYFUNCTION("""COMPUTED_VALUE"""),"NV5549")</f>
        <v>NV5549</v>
      </c>
      <c r="G108" s="7">
        <f>IFERROR(__xludf.DUMMYFUNCTION("""COMPUTED_VALUE"""),1032.0)</f>
        <v>1032</v>
      </c>
      <c r="H108" s="7" t="str">
        <f>IFERROR(__xludf.DUMMYFUNCTION("""COMPUTED_VALUE"""),"Lê Duy Dũng")</f>
        <v>Lê Duy Dũng</v>
      </c>
      <c r="I108" s="7" t="str">
        <f>IFERROR(__xludf.DUMMYFUNCTION("""COMPUTED_VALUE"""),"Nam")</f>
        <v>Nam</v>
      </c>
      <c r="J108" s="17">
        <f>IFERROR(__xludf.DUMMYFUNCTION("""COMPUTED_VALUE"""),30472.0)</f>
        <v>30472</v>
      </c>
      <c r="K108" s="7" t="str">
        <f>IFERROR(__xludf.DUMMYFUNCTION("""COMPUTED_VALUE"""),"Phường Sầm Sơn - Tỉnh Thanh Hóa")</f>
        <v>Phường Sầm Sơn - Tỉnh Thanh Hóa</v>
      </c>
      <c r="L108" s="7" t="str">
        <f>IFERROR(__xludf.DUMMYFUNCTION("""COMPUTED_VALUE"""),"0949082622")</f>
        <v>0949082622</v>
      </c>
      <c r="M108" s="7" t="str">
        <f>IFERROR(__xludf.DUMMYFUNCTION("""COMPUTED_VALUE"""),"038083030393")</f>
        <v>038083030393</v>
      </c>
      <c r="N108" s="18">
        <f>IFERROR(__xludf.DUMMYFUNCTION("""COMPUTED_VALUE"""),44419.0)</f>
        <v>44419</v>
      </c>
      <c r="O108" s="7" t="str">
        <f>IFERROR(__xludf.DUMMYFUNCTION("""COMPUTED_VALUE"""),"Cục Cảnh sát QLHC về TTXH")</f>
        <v>Cục Cảnh sát QLHC về TTXH</v>
      </c>
      <c r="P108" s="7" t="str">
        <f>IFERROR(__xludf.DUMMYFUNCTION("""COMPUTED_VALUE"""),"Bằng nghề")</f>
        <v>Bằng nghề</v>
      </c>
      <c r="Q108" s="7" t="str">
        <f>IFERROR(__xludf.DUMMYFUNCTION("""COMPUTED_VALUE"""),"Lái máy xúc đào")</f>
        <v>Lái máy xúc đào</v>
      </c>
      <c r="R108" s="17">
        <f>IFERROR(__xludf.DUMMYFUNCTION("""COMPUTED_VALUE"""),45892.0)</f>
        <v>45892</v>
      </c>
      <c r="S108" s="17">
        <f>IFERROR(__xludf.DUMMYFUNCTION("""COMPUTED_VALUE"""),45892.0)</f>
        <v>45892</v>
      </c>
      <c r="T108" s="7" t="str">
        <f>IFERROR(__xludf.DUMMYFUNCTION("""COMPUTED_VALUE"""),"Chính thức")</f>
        <v>Chính thức</v>
      </c>
      <c r="U108" s="7"/>
      <c r="V108" s="7" t="str">
        <f>IFERROR(__xludf.DUMMYFUNCTION("""COMPUTED_VALUE"""),"Chính thức")</f>
        <v>Chính thức</v>
      </c>
      <c r="W108" s="7" t="str">
        <f>IFERROR(__xludf.DUMMYFUNCTION("""COMPUTED_VALUE"""),"0 năm 4 tháng")</f>
        <v>0 năm 4 tháng</v>
      </c>
      <c r="X108" s="7"/>
      <c r="Y108" s="7"/>
      <c r="Z108" s="7"/>
    </row>
    <row r="109">
      <c r="A109" s="7">
        <f>IFERROR(__xludf.DUMMYFUNCTION("""COMPUTED_VALUE"""),28.0)</f>
        <v>28</v>
      </c>
      <c r="B109" s="7" t="str">
        <f>IFERROR(__xludf.DUMMYFUNCTION("""COMPUTED_VALUE"""),"Văn phòng")</f>
        <v>Văn phòng</v>
      </c>
      <c r="C109" s="7" t="str">
        <f>IFERROR(__xludf.DUMMYFUNCTION("""COMPUTED_VALUE"""),"Phòng khai thác")</f>
        <v>Phòng khai thác</v>
      </c>
      <c r="D109" s="7" t="str">
        <f>IFERROR(__xludf.DUMMYFUNCTION("""COMPUTED_VALUE"""),"Tổ Đội xe máy")</f>
        <v>Tổ Đội xe máy</v>
      </c>
      <c r="E109" s="7" t="str">
        <f>IFERROR(__xludf.DUMMYFUNCTION("""COMPUTED_VALUE"""),"Nhân viên Lái máy xúc đào")</f>
        <v>Nhân viên Lái máy xúc đào</v>
      </c>
      <c r="F109" s="7" t="str">
        <f>IFERROR(__xludf.DUMMYFUNCTION("""COMPUTED_VALUE"""),"NV5667")</f>
        <v>NV5667</v>
      </c>
      <c r="G109" s="7">
        <f>IFERROR(__xludf.DUMMYFUNCTION("""COMPUTED_VALUE"""),1161.0)</f>
        <v>1161</v>
      </c>
      <c r="H109" s="7" t="str">
        <f>IFERROR(__xludf.DUMMYFUNCTION("""COMPUTED_VALUE"""),"Lê Văn Nam")</f>
        <v>Lê Văn Nam</v>
      </c>
      <c r="I109" s="7" t="str">
        <f>IFERROR(__xludf.DUMMYFUNCTION("""COMPUTED_VALUE"""),"Nam")</f>
        <v>Nam</v>
      </c>
      <c r="J109" s="17">
        <f>IFERROR(__xludf.DUMMYFUNCTION("""COMPUTED_VALUE"""),35585.0)</f>
        <v>35585</v>
      </c>
      <c r="K109" s="7" t="str">
        <f>IFERROR(__xludf.DUMMYFUNCTION("""COMPUTED_VALUE"""),"Thôn Phúc Thượng - Xã Thọ Long -
  Tỉnh Thanh Hóa")</f>
        <v>Thôn Phúc Thượng - Xã Thọ Long -
  Tỉnh Thanh Hóa</v>
      </c>
      <c r="L109" s="7" t="str">
        <f>IFERROR(__xludf.DUMMYFUNCTION("""COMPUTED_VALUE"""),"0338560695")</f>
        <v>0338560695</v>
      </c>
      <c r="M109" s="7" t="str">
        <f>IFERROR(__xludf.DUMMYFUNCTION("""COMPUTED_VALUE"""),"038097023444")</f>
        <v>038097023444</v>
      </c>
      <c r="N109" s="18">
        <f>IFERROR(__xludf.DUMMYFUNCTION("""COMPUTED_VALUE"""),44461.0)</f>
        <v>44461</v>
      </c>
      <c r="O109" s="7" t="str">
        <f>IFERROR(__xludf.DUMMYFUNCTION("""COMPUTED_VALUE"""),"Cục Cảnh sát QLHC về TTXH")</f>
        <v>Cục Cảnh sát QLHC về TTXH</v>
      </c>
      <c r="P109" s="7" t="str">
        <f>IFERROR(__xludf.DUMMYFUNCTION("""COMPUTED_VALUE"""),"Chứng chỉ nghề")</f>
        <v>Chứng chỉ nghề</v>
      </c>
      <c r="Q109" s="7" t="str">
        <f>IFERROR(__xludf.DUMMYFUNCTION("""COMPUTED_VALUE"""),"Lái xúc đào")</f>
        <v>Lái xúc đào</v>
      </c>
      <c r="R109" s="17">
        <f>IFERROR(__xludf.DUMMYFUNCTION("""COMPUTED_VALUE"""),45897.0)</f>
        <v>45897</v>
      </c>
      <c r="S109" s="17">
        <f>IFERROR(__xludf.DUMMYFUNCTION("""COMPUTED_VALUE"""),45928.0)</f>
        <v>45928</v>
      </c>
      <c r="T109" s="7" t="str">
        <f>IFERROR(__xludf.DUMMYFUNCTION("""COMPUTED_VALUE"""),"Chính thức")</f>
        <v>Chính thức</v>
      </c>
      <c r="U109" s="7"/>
      <c r="V109" s="7" t="str">
        <f>IFERROR(__xludf.DUMMYFUNCTION("""COMPUTED_VALUE"""),"Chính thức")</f>
        <v>Chính thức</v>
      </c>
      <c r="W109" s="7" t="str">
        <f>IFERROR(__xludf.DUMMYFUNCTION("""COMPUTED_VALUE"""),"0 năm 4 tháng")</f>
        <v>0 năm 4 tháng</v>
      </c>
      <c r="X109" s="7"/>
      <c r="Y109" s="7"/>
      <c r="Z109" s="7"/>
    </row>
    <row r="110">
      <c r="A110" s="7">
        <f>IFERROR(__xludf.DUMMYFUNCTION("""COMPUTED_VALUE"""),29.0)</f>
        <v>29</v>
      </c>
      <c r="B110" s="7" t="str">
        <f>IFERROR(__xludf.DUMMYFUNCTION("""COMPUTED_VALUE"""),"Văn phòng")</f>
        <v>Văn phòng</v>
      </c>
      <c r="C110" s="7" t="str">
        <f>IFERROR(__xludf.DUMMYFUNCTION("""COMPUTED_VALUE"""),"Phòng khai thác")</f>
        <v>Phòng khai thác</v>
      </c>
      <c r="D110" s="7" t="str">
        <f>IFERROR(__xludf.DUMMYFUNCTION("""COMPUTED_VALUE"""),"Tổ Đội xe máy")</f>
        <v>Tổ Đội xe máy</v>
      </c>
      <c r="E110" s="7" t="str">
        <f>IFERROR(__xludf.DUMMYFUNCTION("""COMPUTED_VALUE"""),"Lái xe")</f>
        <v>Lái xe</v>
      </c>
      <c r="F110" s="7" t="str">
        <f>IFERROR(__xludf.DUMMYFUNCTION("""COMPUTED_VALUE"""),"NV5675")</f>
        <v>NV5675</v>
      </c>
      <c r="G110" s="7">
        <f>IFERROR(__xludf.DUMMYFUNCTION("""COMPUTED_VALUE"""),1169.0)</f>
        <v>1169</v>
      </c>
      <c r="H110" s="7" t="str">
        <f>IFERROR(__xludf.DUMMYFUNCTION("""COMPUTED_VALUE"""),"Lê Văn Dương")</f>
        <v>Lê Văn Dương</v>
      </c>
      <c r="I110" s="7" t="str">
        <f>IFERROR(__xludf.DUMMYFUNCTION("""COMPUTED_VALUE"""),"Nam")</f>
        <v>Nam</v>
      </c>
      <c r="J110" s="17">
        <f>IFERROR(__xludf.DUMMYFUNCTION("""COMPUTED_VALUE"""),36432.0)</f>
        <v>36432</v>
      </c>
      <c r="K110" s="7" t="str">
        <f>IFERROR(__xludf.DUMMYFUNCTION("""COMPUTED_VALUE"""),"Thôn Hà Đồ - Xã Hoằng Lộc - Tỉnh Thanh Hóa")</f>
        <v>Thôn Hà Đồ - Xã Hoằng Lộc - Tỉnh Thanh Hóa</v>
      </c>
      <c r="L110" s="7" t="str">
        <f>IFERROR(__xludf.DUMMYFUNCTION("""COMPUTED_VALUE"""),"0375021789")</f>
        <v>0375021789</v>
      </c>
      <c r="M110" s="7" t="str">
        <f>IFERROR(__xludf.DUMMYFUNCTION("""COMPUTED_VALUE"""),"038099015107")</f>
        <v>038099015107</v>
      </c>
      <c r="N110" s="18">
        <f>IFERROR(__xludf.DUMMYFUNCTION("""COMPUTED_VALUE"""),45575.0)</f>
        <v>45575</v>
      </c>
      <c r="O110" s="7" t="str">
        <f>IFERROR(__xludf.DUMMYFUNCTION("""COMPUTED_VALUE"""),"Cục Cảnh sát QLHC về TTXH")</f>
        <v>Cục Cảnh sát QLHC về TTXH</v>
      </c>
      <c r="P110" s="7" t="str">
        <f>IFERROR(__xludf.DUMMYFUNCTION("""COMPUTED_VALUE"""),"Chứng chỉ nghề")</f>
        <v>Chứng chỉ nghề</v>
      </c>
      <c r="Q110" s="7" t="str">
        <f>IFERROR(__xludf.DUMMYFUNCTION("""COMPUTED_VALUE"""),"Lái xe ô tô tải hạng C")</f>
        <v>Lái xe ô tô tải hạng C</v>
      </c>
      <c r="R110" s="17">
        <f>IFERROR(__xludf.DUMMYFUNCTION("""COMPUTED_VALUE"""),45904.0)</f>
        <v>45904</v>
      </c>
      <c r="S110" s="17">
        <f>IFERROR(__xludf.DUMMYFUNCTION("""COMPUTED_VALUE"""),45934.0)</f>
        <v>45934</v>
      </c>
      <c r="T110" s="7" t="str">
        <f>IFERROR(__xludf.DUMMYFUNCTION("""COMPUTED_VALUE"""),"Chính thức")</f>
        <v>Chính thức</v>
      </c>
      <c r="U110" s="7"/>
      <c r="V110" s="7" t="str">
        <f>IFERROR(__xludf.DUMMYFUNCTION("""COMPUTED_VALUE"""),"Chính thức")</f>
        <v>Chính thức</v>
      </c>
      <c r="W110" s="7" t="str">
        <f>IFERROR(__xludf.DUMMYFUNCTION("""COMPUTED_VALUE"""),"0 năm 3 tháng")</f>
        <v>0 năm 3 tháng</v>
      </c>
      <c r="X110" s="7"/>
      <c r="Y110" s="7"/>
      <c r="Z110" s="7"/>
    </row>
    <row r="111">
      <c r="A111" s="7">
        <f>IFERROR(__xludf.DUMMYFUNCTION("""COMPUTED_VALUE"""),30.0)</f>
        <v>30</v>
      </c>
      <c r="B111" s="7" t="str">
        <f>IFERROR(__xludf.DUMMYFUNCTION("""COMPUTED_VALUE"""),"Văn phòng")</f>
        <v>Văn phòng</v>
      </c>
      <c r="C111" s="7" t="str">
        <f>IFERROR(__xludf.DUMMYFUNCTION("""COMPUTED_VALUE"""),"Phòng khai thác")</f>
        <v>Phòng khai thác</v>
      </c>
      <c r="D111" s="7" t="str">
        <f>IFERROR(__xludf.DUMMYFUNCTION("""COMPUTED_VALUE"""),"Tổ Đội xe máy")</f>
        <v>Tổ Đội xe máy</v>
      </c>
      <c r="E111" s="7" t="str">
        <f>IFERROR(__xludf.DUMMYFUNCTION("""COMPUTED_VALUE"""),"Nhân viên lái máy")</f>
        <v>Nhân viên lái máy</v>
      </c>
      <c r="F111" s="7" t="str">
        <f>IFERROR(__xludf.DUMMYFUNCTION("""COMPUTED_VALUE"""),"NV5779")</f>
        <v>NV5779</v>
      </c>
      <c r="G111" s="7">
        <f>IFERROR(__xludf.DUMMYFUNCTION("""COMPUTED_VALUE"""),1260.0)</f>
        <v>1260</v>
      </c>
      <c r="H111" s="7" t="str">
        <f>IFERROR(__xludf.DUMMYFUNCTION("""COMPUTED_VALUE"""),"Nguyễn Đình Tứ")</f>
        <v>Nguyễn Đình Tứ</v>
      </c>
      <c r="I111" s="7" t="str">
        <f>IFERROR(__xludf.DUMMYFUNCTION("""COMPUTED_VALUE"""),"Nam")</f>
        <v>Nam</v>
      </c>
      <c r="J111" s="17">
        <f>IFERROR(__xludf.DUMMYFUNCTION("""COMPUTED_VALUE"""),35984.0)</f>
        <v>35984</v>
      </c>
      <c r="K111" s="7" t="str">
        <f>IFERROR(__xludf.DUMMYFUNCTION("""COMPUTED_VALUE"""),"Thôn Kim Lâm Đồng - xã Quảng Ngọc - Tỉnh Thanh Hóa")</f>
        <v>Thôn Kim Lâm Đồng - xã Quảng Ngọc - Tỉnh Thanh Hóa</v>
      </c>
      <c r="L111" s="7" t="str">
        <f>IFERROR(__xludf.DUMMYFUNCTION("""COMPUTED_VALUE"""),"0358065494")</f>
        <v>0358065494</v>
      </c>
      <c r="M111" s="7" t="str">
        <f>IFERROR(__xludf.DUMMYFUNCTION("""COMPUTED_VALUE"""),"038098008926")</f>
        <v>038098008926</v>
      </c>
      <c r="N111" s="18">
        <f>IFERROR(__xludf.DUMMYFUNCTION("""COMPUTED_VALUE"""),45782.0)</f>
        <v>45782</v>
      </c>
      <c r="O111" s="7" t="str">
        <f>IFERROR(__xludf.DUMMYFUNCTION("""COMPUTED_VALUE"""),"Bộ công an")</f>
        <v>Bộ công an</v>
      </c>
      <c r="P111" s="7" t="str">
        <f>IFERROR(__xludf.DUMMYFUNCTION("""COMPUTED_VALUE"""),"Chứng chỉ nghề")</f>
        <v>Chứng chỉ nghề</v>
      </c>
      <c r="Q111" s="7" t="str">
        <f>IFERROR(__xludf.DUMMYFUNCTION("""COMPUTED_VALUE"""),"Vận hành máy CT ( xúc đào)")</f>
        <v>Vận hành máy CT ( xúc đào)</v>
      </c>
      <c r="R111" s="17">
        <f>IFERROR(__xludf.DUMMYFUNCTION("""COMPUTED_VALUE"""),45959.0)</f>
        <v>45959</v>
      </c>
      <c r="S111" s="17">
        <f>IFERROR(__xludf.DUMMYFUNCTION("""COMPUTED_VALUE"""),45990.0)</f>
        <v>45990</v>
      </c>
      <c r="T111" s="7" t="str">
        <f>IFERROR(__xludf.DUMMYFUNCTION("""COMPUTED_VALUE"""),"Chính thức")</f>
        <v>Chính thức</v>
      </c>
      <c r="U111" s="7"/>
      <c r="V111" s="7" t="str">
        <f>IFERROR(__xludf.DUMMYFUNCTION("""COMPUTED_VALUE"""),"Chính thức")</f>
        <v>Chính thức</v>
      </c>
      <c r="W111" s="7" t="str">
        <f>IFERROR(__xludf.DUMMYFUNCTION("""COMPUTED_VALUE"""),"0 năm 2 tháng")</f>
        <v>0 năm 2 tháng</v>
      </c>
      <c r="X111" s="7"/>
      <c r="Y111" s="7"/>
      <c r="Z111" s="7"/>
    </row>
    <row r="112">
      <c r="A112" s="7">
        <f>IFERROR(__xludf.DUMMYFUNCTION("""COMPUTED_VALUE"""),1.0)</f>
        <v>1</v>
      </c>
      <c r="B112" s="7" t="str">
        <f>IFERROR(__xludf.DUMMYFUNCTION("""COMPUTED_VALUE"""),"Văn phòng")</f>
        <v>Văn phòng</v>
      </c>
      <c r="C112" s="7" t="str">
        <f>IFERROR(__xludf.DUMMYFUNCTION("""COMPUTED_VALUE"""),"Phòng khai thác")</f>
        <v>Phòng khai thác</v>
      </c>
      <c r="D112" s="7" t="str">
        <f>IFERROR(__xludf.DUMMYFUNCTION("""COMPUTED_VALUE"""),"Đội sửa chữa")</f>
        <v>Đội sửa chữa</v>
      </c>
      <c r="E112" s="7" t="str">
        <f>IFERROR(__xludf.DUMMYFUNCTION("""COMPUTED_VALUE"""),"Nhân viên")</f>
        <v>Nhân viên</v>
      </c>
      <c r="F112" s="7" t="str">
        <f>IFERROR(__xludf.DUMMYFUNCTION("""COMPUTED_VALUE"""),"NV0750")</f>
        <v>NV0750</v>
      </c>
      <c r="G112" s="7">
        <f>IFERROR(__xludf.DUMMYFUNCTION("""COMPUTED_VALUE"""),72.0)</f>
        <v>72</v>
      </c>
      <c r="H112" s="7" t="str">
        <f>IFERROR(__xludf.DUMMYFUNCTION("""COMPUTED_VALUE"""),"Phạm Văn Hậu")</f>
        <v>Phạm Văn Hậu</v>
      </c>
      <c r="I112" s="7" t="str">
        <f>IFERROR(__xludf.DUMMYFUNCTION("""COMPUTED_VALUE"""),"Nam")</f>
        <v>Nam</v>
      </c>
      <c r="J112" s="17">
        <f>IFERROR(__xludf.DUMMYFUNCTION("""COMPUTED_VALUE"""),32616.0)</f>
        <v>32616</v>
      </c>
      <c r="K112" s="7" t="str">
        <f>IFERROR(__xludf.DUMMYFUNCTION("""COMPUTED_VALUE"""),"Phố 3, Xã Quảng Hưng, Thành phố Thanh Hóa, Thanh Hóa, Việt Nam")</f>
        <v>Phố 3, Xã Quảng Hưng, Thành phố Thanh Hóa, Thanh Hóa, Việt Nam</v>
      </c>
      <c r="L112" s="7" t="str">
        <f>IFERROR(__xludf.DUMMYFUNCTION("""COMPUTED_VALUE"""),"0366684955")</f>
        <v>0366684955</v>
      </c>
      <c r="M112" s="7" t="str">
        <f>IFERROR(__xludf.DUMMYFUNCTION("""COMPUTED_VALUE"""),"038089011558")</f>
        <v>038089011558</v>
      </c>
      <c r="N112" s="18">
        <f>IFERROR(__xludf.DUMMYFUNCTION("""COMPUTED_VALUE"""),44320.0)</f>
        <v>44320</v>
      </c>
      <c r="O112" s="7" t="str">
        <f>IFERROR(__xludf.DUMMYFUNCTION("""COMPUTED_VALUE"""),"Cục Cảnh sát QLHC về TTXH")</f>
        <v>Cục Cảnh sát QLHC về TTXH</v>
      </c>
      <c r="P112" s="7" t="str">
        <f>IFERROR(__xludf.DUMMYFUNCTION("""COMPUTED_VALUE"""),"Cao đẳng")</f>
        <v>Cao đẳng</v>
      </c>
      <c r="Q112" s="7" t="str">
        <f>IFERROR(__xludf.DUMMYFUNCTION("""COMPUTED_VALUE"""),"Công nghệ kỹ thuật Ô tô")</f>
        <v>Công nghệ kỹ thuật Ô tô</v>
      </c>
      <c r="R112" s="17">
        <f>IFERROR(__xludf.DUMMYFUNCTION("""COMPUTED_VALUE"""),42475.0)</f>
        <v>42475</v>
      </c>
      <c r="S112" s="19">
        <f>IFERROR(__xludf.DUMMYFUNCTION("""COMPUTED_VALUE"""),42475.0)</f>
        <v>42475</v>
      </c>
      <c r="T112" s="7" t="str">
        <f>IFERROR(__xludf.DUMMYFUNCTION("""COMPUTED_VALUE"""),"Chính thức")</f>
        <v>Chính thức</v>
      </c>
      <c r="U112" s="7"/>
      <c r="V112" s="7" t="str">
        <f>IFERROR(__xludf.DUMMYFUNCTION("""COMPUTED_VALUE"""),"Chính thức")</f>
        <v>Chính thức</v>
      </c>
      <c r="W112" s="7" t="str">
        <f>IFERROR(__xludf.DUMMYFUNCTION("""COMPUTED_VALUE"""),"9 năm 8 tháng")</f>
        <v>9 năm 8 tháng</v>
      </c>
      <c r="X112" s="7"/>
      <c r="Y112" s="7"/>
      <c r="Z112" s="7"/>
    </row>
    <row r="113">
      <c r="A113" s="7">
        <f>IFERROR(__xludf.DUMMYFUNCTION("""COMPUTED_VALUE"""),2.0)</f>
        <v>2</v>
      </c>
      <c r="B113" s="7" t="str">
        <f>IFERROR(__xludf.DUMMYFUNCTION("""COMPUTED_VALUE"""),"Văn phòng")</f>
        <v>Văn phòng</v>
      </c>
      <c r="C113" s="7" t="str">
        <f>IFERROR(__xludf.DUMMYFUNCTION("""COMPUTED_VALUE"""),"Phòng khai thác")</f>
        <v>Phòng khai thác</v>
      </c>
      <c r="D113" s="7" t="str">
        <f>IFERROR(__xludf.DUMMYFUNCTION("""COMPUTED_VALUE"""),"Đội sửa chữa")</f>
        <v>Đội sửa chữa</v>
      </c>
      <c r="E113" s="7" t="str">
        <f>IFERROR(__xludf.DUMMYFUNCTION("""COMPUTED_VALUE"""),"Nhân viên")</f>
        <v>Nhân viên</v>
      </c>
      <c r="F113" s="7" t="str">
        <f>IFERROR(__xludf.DUMMYFUNCTION("""COMPUTED_VALUE"""),"NV0746")</f>
        <v>NV0746</v>
      </c>
      <c r="G113" s="7">
        <f>IFERROR(__xludf.DUMMYFUNCTION("""COMPUTED_VALUE"""),35.0)</f>
        <v>35</v>
      </c>
      <c r="H113" s="7" t="str">
        <f>IFERROR(__xludf.DUMMYFUNCTION("""COMPUTED_VALUE"""),"Nguyễn Như Toàn")</f>
        <v>Nguyễn Như Toàn</v>
      </c>
      <c r="I113" s="7" t="str">
        <f>IFERROR(__xludf.DUMMYFUNCTION("""COMPUTED_VALUE"""),"Nam")</f>
        <v>Nam</v>
      </c>
      <c r="J113" s="17">
        <f>IFERROR(__xludf.DUMMYFUNCTION("""COMPUTED_VALUE"""),29224.0)</f>
        <v>29224</v>
      </c>
      <c r="K113" s="7" t="str">
        <f>IFERROR(__xludf.DUMMYFUNCTION("""COMPUTED_VALUE"""),"SN12 Cột Cờ, Phường Tân Sơn, Thành phố Thanh Hóa, Thanh Hóa, Việt Nam")</f>
        <v>SN12 Cột Cờ, Phường Tân Sơn, Thành phố Thanh Hóa, Thanh Hóa, Việt Nam</v>
      </c>
      <c r="L113" s="7" t="str">
        <f>IFERROR(__xludf.DUMMYFUNCTION("""COMPUTED_VALUE"""),"0971316338")</f>
        <v>0971316338</v>
      </c>
      <c r="M113" s="7" t="str">
        <f>IFERROR(__xludf.DUMMYFUNCTION("""COMPUTED_VALUE"""),"038080021597")</f>
        <v>038080021597</v>
      </c>
      <c r="N113" s="18">
        <f>IFERROR(__xludf.DUMMYFUNCTION("""COMPUTED_VALUE"""),44418.0)</f>
        <v>44418</v>
      </c>
      <c r="O113" s="7" t="str">
        <f>IFERROR(__xludf.DUMMYFUNCTION("""COMPUTED_VALUE"""),"Cục Cảnh sát QLHC về TTXH")</f>
        <v>Cục Cảnh sát QLHC về TTXH</v>
      </c>
      <c r="P113" s="7" t="str">
        <f>IFERROR(__xludf.DUMMYFUNCTION("""COMPUTED_VALUE"""),"Cao đẳng")</f>
        <v>Cao đẳng</v>
      </c>
      <c r="Q113" s="7" t="str">
        <f>IFERROR(__xludf.DUMMYFUNCTION("""COMPUTED_VALUE"""),"Công nghệ kỹ thuật Ô tô")</f>
        <v>Công nghệ kỹ thuật Ô tô</v>
      </c>
      <c r="R113" s="17">
        <f>IFERROR(__xludf.DUMMYFUNCTION("""COMPUTED_VALUE"""),42063.0)</f>
        <v>42063</v>
      </c>
      <c r="S113" s="19">
        <f>IFERROR(__xludf.DUMMYFUNCTION("""COMPUTED_VALUE"""),42063.0)</f>
        <v>42063</v>
      </c>
      <c r="T113" s="7" t="str">
        <f>IFERROR(__xludf.DUMMYFUNCTION("""COMPUTED_VALUE"""),"Chính thức")</f>
        <v>Chính thức</v>
      </c>
      <c r="U113" s="7"/>
      <c r="V113" s="7" t="str">
        <f>IFERROR(__xludf.DUMMYFUNCTION("""COMPUTED_VALUE"""),"Chính thức")</f>
        <v>Chính thức</v>
      </c>
      <c r="W113" s="7" t="str">
        <f>IFERROR(__xludf.DUMMYFUNCTION("""COMPUTED_VALUE"""),"10 năm 10 tháng")</f>
        <v>10 năm 10 tháng</v>
      </c>
      <c r="X113" s="7"/>
      <c r="Y113" s="7"/>
      <c r="Z113" s="7"/>
    </row>
    <row r="114">
      <c r="A114" s="7">
        <f>IFERROR(__xludf.DUMMYFUNCTION("""COMPUTED_VALUE"""),3.0)</f>
        <v>3</v>
      </c>
      <c r="B114" s="7" t="str">
        <f>IFERROR(__xludf.DUMMYFUNCTION("""COMPUTED_VALUE"""),"Văn phòng")</f>
        <v>Văn phòng</v>
      </c>
      <c r="C114" s="7" t="str">
        <f>IFERROR(__xludf.DUMMYFUNCTION("""COMPUTED_VALUE"""),"Phòng khai thác")</f>
        <v>Phòng khai thác</v>
      </c>
      <c r="D114" s="7" t="str">
        <f>IFERROR(__xludf.DUMMYFUNCTION("""COMPUTED_VALUE"""),"Đội sửa chữa")</f>
        <v>Đội sửa chữa</v>
      </c>
      <c r="E114" s="7" t="str">
        <f>IFERROR(__xludf.DUMMYFUNCTION("""COMPUTED_VALUE"""),"Đội phó")</f>
        <v>Đội phó</v>
      </c>
      <c r="F114" s="7" t="str">
        <f>IFERROR(__xludf.DUMMYFUNCTION("""COMPUTED_VALUE"""),"NV0744")</f>
        <v>NV0744</v>
      </c>
      <c r="G114" s="7">
        <f>IFERROR(__xludf.DUMMYFUNCTION("""COMPUTED_VALUE"""),71.0)</f>
        <v>71</v>
      </c>
      <c r="H114" s="7" t="str">
        <f>IFERROR(__xludf.DUMMYFUNCTION("""COMPUTED_VALUE"""),"Nguyễn Đình Lĩnh")</f>
        <v>Nguyễn Đình Lĩnh</v>
      </c>
      <c r="I114" s="7" t="str">
        <f>IFERROR(__xludf.DUMMYFUNCTION("""COMPUTED_VALUE"""),"Nam")</f>
        <v>Nam</v>
      </c>
      <c r="J114" s="17">
        <f>IFERROR(__xludf.DUMMYFUNCTION("""COMPUTED_VALUE"""),30112.0)</f>
        <v>30112</v>
      </c>
      <c r="K114" s="7" t="str">
        <f>IFERROR(__xludf.DUMMYFUNCTION("""COMPUTED_VALUE"""),"Xã Hoằng Trạch, Huyện Hoằng Hóa, Thanh Hóa, Việt Nam")</f>
        <v>Xã Hoằng Trạch, Huyện Hoằng Hóa, Thanh Hóa, Việt Nam</v>
      </c>
      <c r="L114" s="7" t="str">
        <f>IFERROR(__xludf.DUMMYFUNCTION("""COMPUTED_VALUE"""),"0974346675")</f>
        <v>0974346675</v>
      </c>
      <c r="M114" s="7" t="str">
        <f>IFERROR(__xludf.DUMMYFUNCTION("""COMPUTED_VALUE"""),"038082034152")</f>
        <v>038082034152</v>
      </c>
      <c r="N114" s="18">
        <f>IFERROR(__xludf.DUMMYFUNCTION("""COMPUTED_VALUE"""),44357.0)</f>
        <v>44357</v>
      </c>
      <c r="O114" s="7" t="str">
        <f>IFERROR(__xludf.DUMMYFUNCTION("""COMPUTED_VALUE"""),"Cục Cảnh sát QLHC về TTXH")</f>
        <v>Cục Cảnh sát QLHC về TTXH</v>
      </c>
      <c r="P114" s="7" t="str">
        <f>IFERROR(__xludf.DUMMYFUNCTION("""COMPUTED_VALUE"""),"Trung cấp")</f>
        <v>Trung cấp</v>
      </c>
      <c r="Q114" s="7" t="str">
        <f>IFERROR(__xludf.DUMMYFUNCTION("""COMPUTED_VALUE"""),"Sửa chữa xe máy")</f>
        <v>Sửa chữa xe máy</v>
      </c>
      <c r="R114" s="17">
        <f>IFERROR(__xludf.DUMMYFUNCTION("""COMPUTED_VALUE"""),41699.0)</f>
        <v>41699</v>
      </c>
      <c r="S114" s="19">
        <f>IFERROR(__xludf.DUMMYFUNCTION("""COMPUTED_VALUE"""),41699.0)</f>
        <v>41699</v>
      </c>
      <c r="T114" s="7" t="str">
        <f>IFERROR(__xludf.DUMMYFUNCTION("""COMPUTED_VALUE"""),"Chính thức")</f>
        <v>Chính thức</v>
      </c>
      <c r="U114" s="7"/>
      <c r="V114" s="7" t="str">
        <f>IFERROR(__xludf.DUMMYFUNCTION("""COMPUTED_VALUE"""),"Chính thức")</f>
        <v>Chính thức</v>
      </c>
      <c r="W114" s="7" t="str">
        <f>IFERROR(__xludf.DUMMYFUNCTION("""COMPUTED_VALUE"""),"11 năm 9 tháng")</f>
        <v>11 năm 9 tháng</v>
      </c>
      <c r="X114" s="7"/>
      <c r="Y114" s="7"/>
      <c r="Z114" s="7"/>
    </row>
    <row r="115">
      <c r="A115" s="7">
        <f>IFERROR(__xludf.DUMMYFUNCTION("""COMPUTED_VALUE"""),4.0)</f>
        <v>4</v>
      </c>
      <c r="B115" s="7" t="str">
        <f>IFERROR(__xludf.DUMMYFUNCTION("""COMPUTED_VALUE"""),"Văn phòng")</f>
        <v>Văn phòng</v>
      </c>
      <c r="C115" s="7" t="str">
        <f>IFERROR(__xludf.DUMMYFUNCTION("""COMPUTED_VALUE"""),"Phòng khai thác")</f>
        <v>Phòng khai thác</v>
      </c>
      <c r="D115" s="7" t="str">
        <f>IFERROR(__xludf.DUMMYFUNCTION("""COMPUTED_VALUE"""),"Đội sửa chữa")</f>
        <v>Đội sửa chữa</v>
      </c>
      <c r="E115" s="7" t="str">
        <f>IFERROR(__xludf.DUMMYFUNCTION("""COMPUTED_VALUE"""),"Đội trưởng")</f>
        <v>Đội trưởng</v>
      </c>
      <c r="F115" s="7" t="str">
        <f>IFERROR(__xludf.DUMMYFUNCTION("""COMPUTED_VALUE"""),"NV0741")</f>
        <v>NV0741</v>
      </c>
      <c r="G115" s="7">
        <f>IFERROR(__xludf.DUMMYFUNCTION("""COMPUTED_VALUE"""),77.0)</f>
        <v>77</v>
      </c>
      <c r="H115" s="7" t="str">
        <f>IFERROR(__xludf.DUMMYFUNCTION("""COMPUTED_VALUE"""),"Phạm Văn Thiện")</f>
        <v>Phạm Văn Thiện</v>
      </c>
      <c r="I115" s="7" t="str">
        <f>IFERROR(__xludf.DUMMYFUNCTION("""COMPUTED_VALUE"""),"Nam")</f>
        <v>Nam</v>
      </c>
      <c r="J115" s="17">
        <f>IFERROR(__xludf.DUMMYFUNCTION("""COMPUTED_VALUE"""),30104.0)</f>
        <v>30104</v>
      </c>
      <c r="K115" s="7" t="str">
        <f>IFERROR(__xludf.DUMMYFUNCTION("""COMPUTED_VALUE"""),"Thôn 4, Xã Quảng Hưng, Thành phố Thanh Hóa, Thanh Hóa, Việt Nam")</f>
        <v>Thôn 4, Xã Quảng Hưng, Thành phố Thanh Hóa, Thanh Hóa, Việt Nam</v>
      </c>
      <c r="L115" s="7" t="str">
        <f>IFERROR(__xludf.DUMMYFUNCTION("""COMPUTED_VALUE"""),"0898618066")</f>
        <v>0898618066</v>
      </c>
      <c r="M115" s="7" t="str">
        <f>IFERROR(__xludf.DUMMYFUNCTION("""COMPUTED_VALUE"""),"038082023606")</f>
        <v>038082023606</v>
      </c>
      <c r="N115" s="18">
        <f>IFERROR(__xludf.DUMMYFUNCTION("""COMPUTED_VALUE"""),44317.0)</f>
        <v>44317</v>
      </c>
      <c r="O115" s="7" t="str">
        <f>IFERROR(__xludf.DUMMYFUNCTION("""COMPUTED_VALUE"""),"Cục Cảnh sát QLHC về TTXH")</f>
        <v>Cục Cảnh sát QLHC về TTXH</v>
      </c>
      <c r="P115" s="7" t="str">
        <f>IFERROR(__xludf.DUMMYFUNCTION("""COMPUTED_VALUE"""),"Cao đẳng")</f>
        <v>Cao đẳng</v>
      </c>
      <c r="Q115" s="7" t="str">
        <f>IFERROR(__xludf.DUMMYFUNCTION("""COMPUTED_VALUE"""),"Ngành động lực")</f>
        <v>Ngành động lực</v>
      </c>
      <c r="R115" s="17">
        <f>IFERROR(__xludf.DUMMYFUNCTION("""COMPUTED_VALUE"""),41051.0)</f>
        <v>41051</v>
      </c>
      <c r="S115" s="19">
        <f>IFERROR(__xludf.DUMMYFUNCTION("""COMPUTED_VALUE"""),41051.0)</f>
        <v>41051</v>
      </c>
      <c r="T115" s="7" t="str">
        <f>IFERROR(__xludf.DUMMYFUNCTION("""COMPUTED_VALUE"""),"Chính thức")</f>
        <v>Chính thức</v>
      </c>
      <c r="U115" s="7"/>
      <c r="V115" s="7" t="str">
        <f>IFERROR(__xludf.DUMMYFUNCTION("""COMPUTED_VALUE"""),"Chính thức")</f>
        <v>Chính thức</v>
      </c>
      <c r="W115" s="7" t="str">
        <f>IFERROR(__xludf.DUMMYFUNCTION("""COMPUTED_VALUE"""),"13 năm 7 tháng")</f>
        <v>13 năm 7 tháng</v>
      </c>
      <c r="X115" s="7"/>
      <c r="Y115" s="7"/>
      <c r="Z115" s="7"/>
    </row>
    <row r="116">
      <c r="A116" s="7">
        <f>IFERROR(__xludf.DUMMYFUNCTION("""COMPUTED_VALUE"""),5.0)</f>
        <v>5</v>
      </c>
      <c r="B116" s="7" t="str">
        <f>IFERROR(__xludf.DUMMYFUNCTION("""COMPUTED_VALUE"""),"Văn phòng")</f>
        <v>Văn phòng</v>
      </c>
      <c r="C116" s="7" t="str">
        <f>IFERROR(__xludf.DUMMYFUNCTION("""COMPUTED_VALUE"""),"Phòng khai thác")</f>
        <v>Phòng khai thác</v>
      </c>
      <c r="D116" s="7" t="str">
        <f>IFERROR(__xludf.DUMMYFUNCTION("""COMPUTED_VALUE"""),"Đội sửa chữa")</f>
        <v>Đội sửa chữa</v>
      </c>
      <c r="E116" s="7" t="str">
        <f>IFERROR(__xludf.DUMMYFUNCTION("""COMPUTED_VALUE"""),"Nhân viên")</f>
        <v>Nhân viên</v>
      </c>
      <c r="F116" s="7" t="str">
        <f>IFERROR(__xludf.DUMMYFUNCTION("""COMPUTED_VALUE"""),"NV0740")</f>
        <v>NV0740</v>
      </c>
      <c r="G116" s="7">
        <f>IFERROR(__xludf.DUMMYFUNCTION("""COMPUTED_VALUE"""),69.0)</f>
        <v>69</v>
      </c>
      <c r="H116" s="7" t="str">
        <f>IFERROR(__xludf.DUMMYFUNCTION("""COMPUTED_VALUE"""),"Trần Văn Hùng")</f>
        <v>Trần Văn Hùng</v>
      </c>
      <c r="I116" s="7" t="str">
        <f>IFERROR(__xludf.DUMMYFUNCTION("""COMPUTED_VALUE"""),"Nam")</f>
        <v>Nam</v>
      </c>
      <c r="J116" s="17">
        <f>IFERROR(__xludf.DUMMYFUNCTION("""COMPUTED_VALUE"""),30960.0)</f>
        <v>30960</v>
      </c>
      <c r="K116" s="7" t="str">
        <f>IFERROR(__xludf.DUMMYFUNCTION("""COMPUTED_VALUE"""),"Quang Trung, Xã Hoằng Châu, Huyện Hoằng Hóa, Thanh Hóa, Việt Nam")</f>
        <v>Quang Trung, Xã Hoằng Châu, Huyện Hoằng Hóa, Thanh Hóa, Việt Nam</v>
      </c>
      <c r="L116" s="7" t="str">
        <f>IFERROR(__xludf.DUMMYFUNCTION("""COMPUTED_VALUE"""),"0977401615")</f>
        <v>0977401615</v>
      </c>
      <c r="M116" s="7" t="str">
        <f>IFERROR(__xludf.DUMMYFUNCTION("""COMPUTED_VALUE"""),"038084021850")</f>
        <v>038084021850</v>
      </c>
      <c r="N116" s="18">
        <f>IFERROR(__xludf.DUMMYFUNCTION("""COMPUTED_VALUE"""),45670.0)</f>
        <v>45670</v>
      </c>
      <c r="O116" s="7" t="str">
        <f>IFERROR(__xludf.DUMMYFUNCTION("""COMPUTED_VALUE"""),"Bộ Công An")</f>
        <v>Bộ Công An</v>
      </c>
      <c r="P116" s="7" t="str">
        <f>IFERROR(__xludf.DUMMYFUNCTION("""COMPUTED_VALUE"""),"Sơ cấp nghề")</f>
        <v>Sơ cấp nghề</v>
      </c>
      <c r="Q116" s="7" t="str">
        <f>IFERROR(__xludf.DUMMYFUNCTION("""COMPUTED_VALUE"""),"Thợ sửa chữa Ô tô")</f>
        <v>Thợ sửa chữa Ô tô</v>
      </c>
      <c r="R116" s="17">
        <f>IFERROR(__xludf.DUMMYFUNCTION("""COMPUTED_VALUE"""),40575.0)</f>
        <v>40575</v>
      </c>
      <c r="S116" s="19">
        <f>IFERROR(__xludf.DUMMYFUNCTION("""COMPUTED_VALUE"""),40575.0)</f>
        <v>40575</v>
      </c>
      <c r="T116" s="7" t="str">
        <f>IFERROR(__xludf.DUMMYFUNCTION("""COMPUTED_VALUE"""),"Chính thức")</f>
        <v>Chính thức</v>
      </c>
      <c r="U116" s="7"/>
      <c r="V116" s="7" t="str">
        <f>IFERROR(__xludf.DUMMYFUNCTION("""COMPUTED_VALUE"""),"Chính thức")</f>
        <v>Chính thức</v>
      </c>
      <c r="W116" s="7" t="str">
        <f>IFERROR(__xludf.DUMMYFUNCTION("""COMPUTED_VALUE"""),"14 năm 10 tháng")</f>
        <v>14 năm 10 tháng</v>
      </c>
      <c r="X116" s="7"/>
      <c r="Y116" s="7"/>
      <c r="Z116" s="7"/>
    </row>
    <row r="117">
      <c r="A117" s="7">
        <f>IFERROR(__xludf.DUMMYFUNCTION("""COMPUTED_VALUE"""),6.0)</f>
        <v>6</v>
      </c>
      <c r="B117" s="7" t="str">
        <f>IFERROR(__xludf.DUMMYFUNCTION("""COMPUTED_VALUE"""),"Văn phòng")</f>
        <v>Văn phòng</v>
      </c>
      <c r="C117" s="7" t="str">
        <f>IFERROR(__xludf.DUMMYFUNCTION("""COMPUTED_VALUE"""),"Phòng khai thác")</f>
        <v>Phòng khai thác</v>
      </c>
      <c r="D117" s="7" t="str">
        <f>IFERROR(__xludf.DUMMYFUNCTION("""COMPUTED_VALUE"""),"Đội sửa chữa")</f>
        <v>Đội sửa chữa</v>
      </c>
      <c r="E117" s="7" t="str">
        <f>IFERROR(__xludf.DUMMYFUNCTION("""COMPUTED_VALUE"""),"Nhân viên")</f>
        <v>Nhân viên</v>
      </c>
      <c r="F117" s="7" t="str">
        <f>IFERROR(__xludf.DUMMYFUNCTION("""COMPUTED_VALUE"""),"NV4028")</f>
        <v>NV4028</v>
      </c>
      <c r="G117" s="7">
        <f>IFERROR(__xludf.DUMMYFUNCTION("""COMPUTED_VALUE"""),68.0)</f>
        <v>68</v>
      </c>
      <c r="H117" s="7" t="str">
        <f>IFERROR(__xludf.DUMMYFUNCTION("""COMPUTED_VALUE"""),"Vũ Bá Minh")</f>
        <v>Vũ Bá Minh</v>
      </c>
      <c r="I117" s="7" t="str">
        <f>IFERROR(__xludf.DUMMYFUNCTION("""COMPUTED_VALUE"""),"Nam")</f>
        <v>Nam</v>
      </c>
      <c r="J117" s="17">
        <f>IFERROR(__xludf.DUMMYFUNCTION("""COMPUTED_VALUE"""),36512.0)</f>
        <v>36512</v>
      </c>
      <c r="K117" s="7" t="str">
        <f>IFERROR(__xludf.DUMMYFUNCTION("""COMPUTED_VALUE"""),"Hoằng châu- Hoằng Hóa - Thanh Hóa")</f>
        <v>Hoằng châu- Hoằng Hóa - Thanh Hóa</v>
      </c>
      <c r="L117" s="7" t="str">
        <f>IFERROR(__xludf.DUMMYFUNCTION("""COMPUTED_VALUE"""),"0877147526")</f>
        <v>0877147526</v>
      </c>
      <c r="M117" s="7" t="str">
        <f>IFERROR(__xludf.DUMMYFUNCTION("""COMPUTED_VALUE"""),"038099010639")</f>
        <v>038099010639</v>
      </c>
      <c r="N117" s="18">
        <f>IFERROR(__xludf.DUMMYFUNCTION("""COMPUTED_VALUE"""),45670.0)</f>
        <v>45670</v>
      </c>
      <c r="O117" s="7" t="str">
        <f>IFERROR(__xludf.DUMMYFUNCTION("""COMPUTED_VALUE"""),"Bộ Công An")</f>
        <v>Bộ Công An</v>
      </c>
      <c r="P117" s="7" t="str">
        <f>IFERROR(__xludf.DUMMYFUNCTION("""COMPUTED_VALUE"""),"Cao đẳng")</f>
        <v>Cao đẳng</v>
      </c>
      <c r="Q117" s="7" t="str">
        <f>IFERROR(__xludf.DUMMYFUNCTION("""COMPUTED_VALUE"""),"Công nghệ kỹ thuật Ô tô")</f>
        <v>Công nghệ kỹ thuật Ô tô</v>
      </c>
      <c r="R117" s="17">
        <f>IFERROR(__xludf.DUMMYFUNCTION("""COMPUTED_VALUE"""),44615.0)</f>
        <v>44615</v>
      </c>
      <c r="S117" s="19">
        <f>IFERROR(__xludf.DUMMYFUNCTION("""COMPUTED_VALUE"""),44986.0)</f>
        <v>44986</v>
      </c>
      <c r="T117" s="7" t="str">
        <f>IFERROR(__xludf.DUMMYFUNCTION("""COMPUTED_VALUE"""),"Chính thức")</f>
        <v>Chính thức</v>
      </c>
      <c r="U117" s="7"/>
      <c r="V117" s="7" t="str">
        <f>IFERROR(__xludf.DUMMYFUNCTION("""COMPUTED_VALUE"""),"Chính thức")</f>
        <v>Chính thức</v>
      </c>
      <c r="W117" s="7" t="str">
        <f>IFERROR(__xludf.DUMMYFUNCTION("""COMPUTED_VALUE"""),"3 năm 10 tháng")</f>
        <v>3 năm 10 tháng</v>
      </c>
      <c r="X117" s="7"/>
      <c r="Y117" s="7"/>
      <c r="Z117" s="7"/>
    </row>
    <row r="118">
      <c r="A118" s="7">
        <f>IFERROR(__xludf.DUMMYFUNCTION("""COMPUTED_VALUE"""),7.0)</f>
        <v>7</v>
      </c>
      <c r="B118" s="7" t="str">
        <f>IFERROR(__xludf.DUMMYFUNCTION("""COMPUTED_VALUE"""),"Văn phòng")</f>
        <v>Văn phòng</v>
      </c>
      <c r="C118" s="7" t="str">
        <f>IFERROR(__xludf.DUMMYFUNCTION("""COMPUTED_VALUE"""),"Phòng khai thác")</f>
        <v>Phòng khai thác</v>
      </c>
      <c r="D118" s="7" t="str">
        <f>IFERROR(__xludf.DUMMYFUNCTION("""COMPUTED_VALUE"""),"Đội sửa chữa")</f>
        <v>Đội sửa chữa</v>
      </c>
      <c r="E118" s="7" t="str">
        <f>IFERROR(__xludf.DUMMYFUNCTION("""COMPUTED_VALUE"""),"Nhân viên")</f>
        <v>Nhân viên</v>
      </c>
      <c r="F118" s="7" t="str">
        <f>IFERROR(__xludf.DUMMYFUNCTION("""COMPUTED_VALUE"""),"NV0142")</f>
        <v>NV0142</v>
      </c>
      <c r="G118" s="7">
        <f>IFERROR(__xludf.DUMMYFUNCTION("""COMPUTED_VALUE"""),40.0)</f>
        <v>40</v>
      </c>
      <c r="H118" s="7" t="str">
        <f>IFERROR(__xludf.DUMMYFUNCTION("""COMPUTED_VALUE"""),"Nguyễn Viết Minh")</f>
        <v>Nguyễn Viết Minh</v>
      </c>
      <c r="I118" s="7" t="str">
        <f>IFERROR(__xludf.DUMMYFUNCTION("""COMPUTED_VALUE"""),"Nam")</f>
        <v>Nam</v>
      </c>
      <c r="J118" s="17">
        <f>IFERROR(__xludf.DUMMYFUNCTION("""COMPUTED_VALUE"""),30355.0)</f>
        <v>30355</v>
      </c>
      <c r="K118" s="7" t="str">
        <f>IFERROR(__xludf.DUMMYFUNCTION("""COMPUTED_VALUE"""),"Phố 5, Xã Quảng Phú, Thành phố Thanh Hóa, Tỉnh Thanh Hóa")</f>
        <v>Phố 5, Xã Quảng Phú, Thành phố Thanh Hóa, Tỉnh Thanh Hóa</v>
      </c>
      <c r="L118" s="7" t="str">
        <f>IFERROR(__xludf.DUMMYFUNCTION("""COMPUTED_VALUE"""),"0352559961")</f>
        <v>0352559961</v>
      </c>
      <c r="M118" s="7" t="str">
        <f>IFERROR(__xludf.DUMMYFUNCTION("""COMPUTED_VALUE"""),"038083039320")</f>
        <v>038083039320</v>
      </c>
      <c r="N118" s="18">
        <f>IFERROR(__xludf.DUMMYFUNCTION("""COMPUTED_VALUE"""),44422.0)</f>
        <v>44422</v>
      </c>
      <c r="O118" s="7" t="str">
        <f>IFERROR(__xludf.DUMMYFUNCTION("""COMPUTED_VALUE"""),"Cục Cảnh sát QLHC về TTXH")</f>
        <v>Cục Cảnh sát QLHC về TTXH</v>
      </c>
      <c r="P118" s="7" t="str">
        <f>IFERROR(__xludf.DUMMYFUNCTION("""COMPUTED_VALUE"""),"LĐPT")</f>
        <v>LĐPT</v>
      </c>
      <c r="Q118" s="7" t="str">
        <f>IFERROR(__xludf.DUMMYFUNCTION("""COMPUTED_VALUE"""),"Lao động phổ thông")</f>
        <v>Lao động phổ thông</v>
      </c>
      <c r="R118" s="17">
        <f>IFERROR(__xludf.DUMMYFUNCTION("""COMPUTED_VALUE"""),42545.0)</f>
        <v>42545</v>
      </c>
      <c r="S118" s="19">
        <f>IFERROR(__xludf.DUMMYFUNCTION("""COMPUTED_VALUE"""),42948.0)</f>
        <v>42948</v>
      </c>
      <c r="T118" s="7" t="str">
        <f>IFERROR(__xludf.DUMMYFUNCTION("""COMPUTED_VALUE"""),"Chính thức")</f>
        <v>Chính thức</v>
      </c>
      <c r="U118" s="7"/>
      <c r="V118" s="7" t="str">
        <f>IFERROR(__xludf.DUMMYFUNCTION("""COMPUTED_VALUE"""),"Chính thức")</f>
        <v>Chính thức</v>
      </c>
      <c r="W118" s="7" t="str">
        <f>IFERROR(__xludf.DUMMYFUNCTION("""COMPUTED_VALUE"""),"9 năm 6 tháng")</f>
        <v>9 năm 6 tháng</v>
      </c>
      <c r="X118" s="7"/>
      <c r="Y118" s="7"/>
      <c r="Z118" s="7"/>
    </row>
    <row r="119">
      <c r="A119" s="7">
        <f>IFERROR(__xludf.DUMMYFUNCTION("""COMPUTED_VALUE"""),8.0)</f>
        <v>8</v>
      </c>
      <c r="B119" s="7" t="str">
        <f>IFERROR(__xludf.DUMMYFUNCTION("""COMPUTED_VALUE"""),"Văn phòng")</f>
        <v>Văn phòng</v>
      </c>
      <c r="C119" s="7" t="str">
        <f>IFERROR(__xludf.DUMMYFUNCTION("""COMPUTED_VALUE"""),"Phòng khai thác")</f>
        <v>Phòng khai thác</v>
      </c>
      <c r="D119" s="7" t="str">
        <f>IFERROR(__xludf.DUMMYFUNCTION("""COMPUTED_VALUE"""),"Đội sửa chữa")</f>
        <v>Đội sửa chữa</v>
      </c>
      <c r="E119" s="7" t="str">
        <f>IFERROR(__xludf.DUMMYFUNCTION("""COMPUTED_VALUE"""),"Nhân viên")</f>
        <v>Nhân viên</v>
      </c>
      <c r="F119" s="7" t="str">
        <f>IFERROR(__xludf.DUMMYFUNCTION("""COMPUTED_VALUE"""),"NV5127")</f>
        <v>NV5127</v>
      </c>
      <c r="G119" s="7">
        <f>IFERROR(__xludf.DUMMYFUNCTION("""COMPUTED_VALUE"""),41.0)</f>
        <v>41</v>
      </c>
      <c r="H119" s="7" t="str">
        <f>IFERROR(__xludf.DUMMYFUNCTION("""COMPUTED_VALUE"""),"Lê Trọng Lâm")</f>
        <v>Lê Trọng Lâm</v>
      </c>
      <c r="I119" s="7" t="str">
        <f>IFERROR(__xludf.DUMMYFUNCTION("""COMPUTED_VALUE"""),"Nam")</f>
        <v>Nam</v>
      </c>
      <c r="J119" s="17">
        <f>IFERROR(__xludf.DUMMYFUNCTION("""COMPUTED_VALUE"""),26494.0)</f>
        <v>26494</v>
      </c>
      <c r="K119" s="7" t="str">
        <f>IFERROR(__xludf.DUMMYFUNCTION("""COMPUTED_VALUE"""),"Đông Hoàng, Đông Sơn, Thanh Hóa")</f>
        <v>Đông Hoàng, Đông Sơn, Thanh Hóa</v>
      </c>
      <c r="L119" s="7" t="str">
        <f>IFERROR(__xludf.DUMMYFUNCTION("""COMPUTED_VALUE"""),"0705366318")</f>
        <v>0705366318</v>
      </c>
      <c r="M119" s="7" t="str">
        <f>IFERROR(__xludf.DUMMYFUNCTION("""COMPUTED_VALUE"""),"038072038850")</f>
        <v>038072038850</v>
      </c>
      <c r="N119" s="18">
        <f>IFERROR(__xludf.DUMMYFUNCTION("""COMPUTED_VALUE"""),45076.0)</f>
        <v>45076</v>
      </c>
      <c r="O119" s="7" t="str">
        <f>IFERROR(__xludf.DUMMYFUNCTION("""COMPUTED_VALUE"""),"Cục Cảnh sát QLHC về TTXH")</f>
        <v>Cục Cảnh sát QLHC về TTXH</v>
      </c>
      <c r="P119" s="7" t="str">
        <f>IFERROR(__xludf.DUMMYFUNCTION("""COMPUTED_VALUE"""),"Chứng chỉ nghề")</f>
        <v>Chứng chỉ nghề</v>
      </c>
      <c r="Q119" s="7" t="str">
        <f>IFERROR(__xludf.DUMMYFUNCTION("""COMPUTED_VALUE"""),"Điện tử ")</f>
        <v>Điện tử </v>
      </c>
      <c r="R119" s="17">
        <f>IFERROR(__xludf.DUMMYFUNCTION("""COMPUTED_VALUE"""),45391.0)</f>
        <v>45391</v>
      </c>
      <c r="S119" s="19">
        <f>IFERROR(__xludf.DUMMYFUNCTION("""COMPUTED_VALUE"""),45444.0)</f>
        <v>45444</v>
      </c>
      <c r="T119" s="7" t="str">
        <f>IFERROR(__xludf.DUMMYFUNCTION("""COMPUTED_VALUE"""),"Chính thức")</f>
        <v>Chính thức</v>
      </c>
      <c r="U119" s="7"/>
      <c r="V119" s="7" t="str">
        <f>IFERROR(__xludf.DUMMYFUNCTION("""COMPUTED_VALUE"""),"Chính thức")</f>
        <v>Chính thức</v>
      </c>
      <c r="W119" s="7" t="str">
        <f>IFERROR(__xludf.DUMMYFUNCTION("""COMPUTED_VALUE"""),"1 năm 8 tháng")</f>
        <v>1 năm 8 tháng</v>
      </c>
      <c r="X119" s="7"/>
      <c r="Y119" s="7"/>
      <c r="Z119" s="7"/>
    </row>
    <row r="120">
      <c r="A120" s="7">
        <f>IFERROR(__xludf.DUMMYFUNCTION("""COMPUTED_VALUE"""),9.0)</f>
        <v>9</v>
      </c>
      <c r="B120" s="7" t="str">
        <f>IFERROR(__xludf.DUMMYFUNCTION("""COMPUTED_VALUE"""),"Văn phòng")</f>
        <v>Văn phòng</v>
      </c>
      <c r="C120" s="7" t="str">
        <f>IFERROR(__xludf.DUMMYFUNCTION("""COMPUTED_VALUE"""),"Phòng khai thác")</f>
        <v>Phòng khai thác</v>
      </c>
      <c r="D120" s="7" t="str">
        <f>IFERROR(__xludf.DUMMYFUNCTION("""COMPUTED_VALUE"""),"Đội sửa chữa")</f>
        <v>Đội sửa chữa</v>
      </c>
      <c r="E120" s="7" t="str">
        <f>IFERROR(__xludf.DUMMYFUNCTION("""COMPUTED_VALUE"""),"Nhân viên")</f>
        <v>Nhân viên</v>
      </c>
      <c r="F120" s="7" t="str">
        <f>IFERROR(__xludf.DUMMYFUNCTION("""COMPUTED_VALUE"""),"NV5122")</f>
        <v>NV5122</v>
      </c>
      <c r="G120" s="7">
        <f>IFERROR(__xludf.DUMMYFUNCTION("""COMPUTED_VALUE"""),42.0)</f>
        <v>42</v>
      </c>
      <c r="H120" s="7" t="str">
        <f>IFERROR(__xludf.DUMMYFUNCTION("""COMPUTED_VALUE"""),"Lê Phú Tuấn")</f>
        <v>Lê Phú Tuấn</v>
      </c>
      <c r="I120" s="7" t="str">
        <f>IFERROR(__xludf.DUMMYFUNCTION("""COMPUTED_VALUE"""),"Nam")</f>
        <v>Nam</v>
      </c>
      <c r="J120" s="17">
        <f>IFERROR(__xludf.DUMMYFUNCTION("""COMPUTED_VALUE"""),30069.0)</f>
        <v>30069</v>
      </c>
      <c r="K120" s="7" t="str">
        <f>IFERROR(__xludf.DUMMYFUNCTION("""COMPUTED_VALUE"""),"Quảng Phú, Thành Phố Thanh Hóa")</f>
        <v>Quảng Phú, Thành Phố Thanh Hóa</v>
      </c>
      <c r="L120" s="7" t="str">
        <f>IFERROR(__xludf.DUMMYFUNCTION("""COMPUTED_VALUE"""),"0972678946")</f>
        <v>0972678946</v>
      </c>
      <c r="M120" s="7" t="str">
        <f>IFERROR(__xludf.DUMMYFUNCTION("""COMPUTED_VALUE"""),"038082026313")</f>
        <v>038082026313</v>
      </c>
      <c r="N120" s="18">
        <f>IFERROR(__xludf.DUMMYFUNCTION("""COMPUTED_VALUE"""),44422.0)</f>
        <v>44422</v>
      </c>
      <c r="O120" s="7" t="str">
        <f>IFERROR(__xludf.DUMMYFUNCTION("""COMPUTED_VALUE"""),"Cục Cảnh sát QLHC về TTXH")</f>
        <v>Cục Cảnh sát QLHC về TTXH</v>
      </c>
      <c r="P120" s="7" t="str">
        <f>IFERROR(__xludf.DUMMYFUNCTION("""COMPUTED_VALUE"""),"LĐPT")</f>
        <v>LĐPT</v>
      </c>
      <c r="Q120" s="7" t="str">
        <f>IFERROR(__xludf.DUMMYFUNCTION("""COMPUTED_VALUE"""),"Lao động phổ thông")</f>
        <v>Lao động phổ thông</v>
      </c>
      <c r="R120" s="17">
        <f>IFERROR(__xludf.DUMMYFUNCTION("""COMPUTED_VALUE"""),45387.0)</f>
        <v>45387</v>
      </c>
      <c r="S120" s="19">
        <f>IFERROR(__xludf.DUMMYFUNCTION("""COMPUTED_VALUE"""),45444.0)</f>
        <v>45444</v>
      </c>
      <c r="T120" s="7" t="str">
        <f>IFERROR(__xludf.DUMMYFUNCTION("""COMPUTED_VALUE"""),"Chính thức")</f>
        <v>Chính thức</v>
      </c>
      <c r="U120" s="7"/>
      <c r="V120" s="7" t="str">
        <f>IFERROR(__xludf.DUMMYFUNCTION("""COMPUTED_VALUE"""),"Chính thức")</f>
        <v>Chính thức</v>
      </c>
      <c r="W120" s="7" t="str">
        <f>IFERROR(__xludf.DUMMYFUNCTION("""COMPUTED_VALUE"""),"1 năm 8 tháng")</f>
        <v>1 năm 8 tháng</v>
      </c>
      <c r="X120" s="7"/>
      <c r="Y120" s="7"/>
      <c r="Z120" s="7"/>
    </row>
    <row r="121">
      <c r="A121" s="7">
        <f>IFERROR(__xludf.DUMMYFUNCTION("""COMPUTED_VALUE"""),1.0)</f>
        <v>1</v>
      </c>
      <c r="B121" s="7" t="str">
        <f>IFERROR(__xludf.DUMMYFUNCTION("""COMPUTED_VALUE"""),"Văn phòng")</f>
        <v>Văn phòng</v>
      </c>
      <c r="C121" s="7" t="str">
        <f>IFERROR(__xludf.DUMMYFUNCTION("""COMPUTED_VALUE"""),"Phòng khai thác")</f>
        <v>Phòng khai thác</v>
      </c>
      <c r="D121" s="7" t="str">
        <f>IFERROR(__xludf.DUMMYFUNCTION("""COMPUTED_VALUE"""),"Phân xưởng CBNL")</f>
        <v>Phân xưởng CBNL</v>
      </c>
      <c r="E121" s="7" t="str">
        <f>IFERROR(__xludf.DUMMYFUNCTION("""COMPUTED_VALUE"""),"Vận hành")</f>
        <v>Vận hành</v>
      </c>
      <c r="F121" s="7" t="str">
        <f>IFERROR(__xludf.DUMMYFUNCTION("""COMPUTED_VALUE"""),"NV0733")</f>
        <v>NV0733</v>
      </c>
      <c r="G121" s="7">
        <f>IFERROR(__xludf.DUMMYFUNCTION("""COMPUTED_VALUE"""),665.0)</f>
        <v>665</v>
      </c>
      <c r="H121" s="7" t="str">
        <f>IFERROR(__xludf.DUMMYFUNCTION("""COMPUTED_VALUE"""),"Phạm Thị Loan")</f>
        <v>Phạm Thị Loan</v>
      </c>
      <c r="I121" s="7" t="str">
        <f>IFERROR(__xludf.DUMMYFUNCTION("""COMPUTED_VALUE"""),"Nữ")</f>
        <v>Nữ</v>
      </c>
      <c r="J121" s="17">
        <f>IFERROR(__xludf.DUMMYFUNCTION("""COMPUTED_VALUE"""),28023.0)</f>
        <v>28023</v>
      </c>
      <c r="K121" s="7" t="str">
        <f>IFERROR(__xludf.DUMMYFUNCTION("""COMPUTED_VALUE"""),"25/62 Chi Lăng - Phường Quảng Phú - Tỉnh Thanh Hóa")</f>
        <v>25/62 Chi Lăng - Phường Quảng Phú - Tỉnh Thanh Hóa</v>
      </c>
      <c r="L121" s="7" t="str">
        <f>IFERROR(__xludf.DUMMYFUNCTION("""COMPUTED_VALUE"""),"0989935813")</f>
        <v>0989935813</v>
      </c>
      <c r="M121" s="7" t="str">
        <f>IFERROR(__xludf.DUMMYFUNCTION("""COMPUTED_VALUE"""),"038176030473")</f>
        <v>038176030473</v>
      </c>
      <c r="N121" s="18">
        <f>IFERROR(__xludf.DUMMYFUNCTION("""COMPUTED_VALUE"""),44459.0)</f>
        <v>44459</v>
      </c>
      <c r="O121" s="7" t="str">
        <f>IFERROR(__xludf.DUMMYFUNCTION("""COMPUTED_VALUE"""),"Cục Cảnh sát QLHC về TTXH")</f>
        <v>Cục Cảnh sát QLHC về TTXH</v>
      </c>
      <c r="P121" s="7" t="str">
        <f>IFERROR(__xludf.DUMMYFUNCTION("""COMPUTED_VALUE"""),"THPT")</f>
        <v>THPT</v>
      </c>
      <c r="Q121" s="7" t="str">
        <f>IFERROR(__xludf.DUMMYFUNCTION("""COMPUTED_VALUE"""),"Lao động phổ thông")</f>
        <v>Lao động phổ thông</v>
      </c>
      <c r="R121" s="17">
        <f>IFERROR(__xludf.DUMMYFUNCTION("""COMPUTED_VALUE"""),40965.0)</f>
        <v>40965</v>
      </c>
      <c r="S121" s="19">
        <f>IFERROR(__xludf.DUMMYFUNCTION("""COMPUTED_VALUE"""),40965.0)</f>
        <v>40965</v>
      </c>
      <c r="T121" s="7" t="str">
        <f>IFERROR(__xludf.DUMMYFUNCTION("""COMPUTED_VALUE"""),"Chính thức")</f>
        <v>Chính thức</v>
      </c>
      <c r="U121" s="7"/>
      <c r="V121" s="7" t="str">
        <f>IFERROR(__xludf.DUMMYFUNCTION("""COMPUTED_VALUE"""),"Chính thức")</f>
        <v>Chính thức</v>
      </c>
      <c r="W121" s="7" t="str">
        <f>IFERROR(__xludf.DUMMYFUNCTION("""COMPUTED_VALUE"""),"13 năm 10 tháng")</f>
        <v>13 năm 10 tháng</v>
      </c>
      <c r="X121" s="7"/>
      <c r="Y121" s="7"/>
      <c r="Z121" s="7"/>
    </row>
    <row r="122">
      <c r="A122" s="7">
        <f>IFERROR(__xludf.DUMMYFUNCTION("""COMPUTED_VALUE"""),2.0)</f>
        <v>2</v>
      </c>
      <c r="B122" s="7" t="str">
        <f>IFERROR(__xludf.DUMMYFUNCTION("""COMPUTED_VALUE"""),"Văn phòng")</f>
        <v>Văn phòng</v>
      </c>
      <c r="C122" s="7" t="str">
        <f>IFERROR(__xludf.DUMMYFUNCTION("""COMPUTED_VALUE"""),"Phòng khai thác")</f>
        <v>Phòng khai thác</v>
      </c>
      <c r="D122" s="7" t="str">
        <f>IFERROR(__xludf.DUMMYFUNCTION("""COMPUTED_VALUE"""),"Phân xưởng CBNL")</f>
        <v>Phân xưởng CBNL</v>
      </c>
      <c r="E122" s="7" t="str">
        <f>IFERROR(__xludf.DUMMYFUNCTION("""COMPUTED_VALUE"""),"Cơ điện")</f>
        <v>Cơ điện</v>
      </c>
      <c r="F122" s="7" t="str">
        <f>IFERROR(__xludf.DUMMYFUNCTION("""COMPUTED_VALUE"""),"NV0667")</f>
        <v>NV0667</v>
      </c>
      <c r="G122" s="7">
        <f>IFERROR(__xludf.DUMMYFUNCTION("""COMPUTED_VALUE"""),647.0)</f>
        <v>647</v>
      </c>
      <c r="H122" s="7" t="str">
        <f>IFERROR(__xludf.DUMMYFUNCTION("""COMPUTED_VALUE"""),"Nguyễn Văn Chánh")</f>
        <v>Nguyễn Văn Chánh</v>
      </c>
      <c r="I122" s="7" t="str">
        <f>IFERROR(__xludf.DUMMYFUNCTION("""COMPUTED_VALUE"""),"Nam")</f>
        <v>Nam</v>
      </c>
      <c r="J122" s="17">
        <f>IFERROR(__xludf.DUMMYFUNCTION("""COMPUTED_VALUE"""),24757.0)</f>
        <v>24757</v>
      </c>
      <c r="K122" s="7" t="str">
        <f>IFERROR(__xludf.DUMMYFUNCTION("""COMPUTED_VALUE"""),"Thôn Đoài Đông - Xã Quảng Yên - Tỉnh Thanh Hóa")</f>
        <v>Thôn Đoài Đông - Xã Quảng Yên - Tỉnh Thanh Hóa</v>
      </c>
      <c r="L122" s="7" t="str">
        <f>IFERROR(__xludf.DUMMYFUNCTION("""COMPUTED_VALUE"""),"0355692033")</f>
        <v>0355692033</v>
      </c>
      <c r="M122" s="7" t="str">
        <f>IFERROR(__xludf.DUMMYFUNCTION("""COMPUTED_VALUE"""),"038067001811")</f>
        <v>038067001811</v>
      </c>
      <c r="N122" s="18">
        <f>IFERROR(__xludf.DUMMYFUNCTION("""COMPUTED_VALUE"""),44375.0)</f>
        <v>44375</v>
      </c>
      <c r="O122" s="7" t="str">
        <f>IFERROR(__xludf.DUMMYFUNCTION("""COMPUTED_VALUE"""),"Cục Cảnh sát QLHC về TTXH")</f>
        <v>Cục Cảnh sát QLHC về TTXH</v>
      </c>
      <c r="P122" s="7" t="str">
        <f>IFERROR(__xludf.DUMMYFUNCTION("""COMPUTED_VALUE"""),"Công nhân kỹ thuật")</f>
        <v>Công nhân kỹ thuật</v>
      </c>
      <c r="Q122" s="7" t="str">
        <f>IFERROR(__xludf.DUMMYFUNCTION("""COMPUTED_VALUE"""),"Thợ lắp đặt máy")</f>
        <v>Thợ lắp đặt máy</v>
      </c>
      <c r="R122" s="17">
        <f>IFERROR(__xludf.DUMMYFUNCTION("""COMPUTED_VALUE"""),39356.0)</f>
        <v>39356</v>
      </c>
      <c r="S122" s="19">
        <f>IFERROR(__xludf.DUMMYFUNCTION("""COMPUTED_VALUE"""),39356.0)</f>
        <v>39356</v>
      </c>
      <c r="T122" s="7" t="str">
        <f>IFERROR(__xludf.DUMMYFUNCTION("""COMPUTED_VALUE"""),"Chính thức")</f>
        <v>Chính thức</v>
      </c>
      <c r="U122" s="7"/>
      <c r="V122" s="7" t="str">
        <f>IFERROR(__xludf.DUMMYFUNCTION("""COMPUTED_VALUE"""),"Chính thức")</f>
        <v>Chính thức</v>
      </c>
      <c r="W122" s="7" t="str">
        <f>IFERROR(__xludf.DUMMYFUNCTION("""COMPUTED_VALUE"""),"18 năm 2 tháng")</f>
        <v>18 năm 2 tháng</v>
      </c>
      <c r="X122" s="7"/>
      <c r="Y122" s="7"/>
      <c r="Z122" s="7"/>
    </row>
    <row r="123">
      <c r="A123" s="7">
        <f>IFERROR(__xludf.DUMMYFUNCTION("""COMPUTED_VALUE"""),3.0)</f>
        <v>3</v>
      </c>
      <c r="B123" s="7" t="str">
        <f>IFERROR(__xludf.DUMMYFUNCTION("""COMPUTED_VALUE"""),"Văn phòng")</f>
        <v>Văn phòng</v>
      </c>
      <c r="C123" s="7" t="str">
        <f>IFERROR(__xludf.DUMMYFUNCTION("""COMPUTED_VALUE"""),"Phòng khai thác")</f>
        <v>Phòng khai thác</v>
      </c>
      <c r="D123" s="7" t="str">
        <f>IFERROR(__xludf.DUMMYFUNCTION("""COMPUTED_VALUE"""),"Phân xưởng CBNL")</f>
        <v>Phân xưởng CBNL</v>
      </c>
      <c r="E123" s="7" t="str">
        <f>IFERROR(__xludf.DUMMYFUNCTION("""COMPUTED_VALUE"""),"Tổ trưởng")</f>
        <v>Tổ trưởng</v>
      </c>
      <c r="F123" s="7" t="str">
        <f>IFERROR(__xludf.DUMMYFUNCTION("""COMPUTED_VALUE"""),"NV2587")</f>
        <v>NV2587</v>
      </c>
      <c r="G123" s="7">
        <f>IFERROR(__xludf.DUMMYFUNCTION("""COMPUTED_VALUE"""),667.0)</f>
        <v>667</v>
      </c>
      <c r="H123" s="7" t="str">
        <f>IFERROR(__xludf.DUMMYFUNCTION("""COMPUTED_VALUE"""),"Nguyễn Anh Dũng")</f>
        <v>Nguyễn Anh Dũng</v>
      </c>
      <c r="I123" s="7" t="str">
        <f>IFERROR(__xludf.DUMMYFUNCTION("""COMPUTED_VALUE"""),"Nam")</f>
        <v>Nam</v>
      </c>
      <c r="J123" s="17">
        <f>IFERROR(__xludf.DUMMYFUNCTION("""COMPUTED_VALUE"""),29259.0)</f>
        <v>29259</v>
      </c>
      <c r="K123" s="7" t="str">
        <f>IFERROR(__xludf.DUMMYFUNCTION("""COMPUTED_VALUE"""),"Thôn Minh Thiện - Phường Nam Sầm Sơn - Tỉnh Thanh Hóa")</f>
        <v>Thôn Minh Thiện - Phường Nam Sầm Sơn - Tỉnh Thanh Hóa</v>
      </c>
      <c r="L123" s="7" t="str">
        <f>IFERROR(__xludf.DUMMYFUNCTION("""COMPUTED_VALUE"""),"0909906454")</f>
        <v>0909906454</v>
      </c>
      <c r="M123" s="7" t="str">
        <f>IFERROR(__xludf.DUMMYFUNCTION("""COMPUTED_VALUE"""),"038080000644")</f>
        <v>038080000644</v>
      </c>
      <c r="N123" s="18">
        <f>IFERROR(__xludf.DUMMYFUNCTION("""COMPUTED_VALUE"""),44425.0)</f>
        <v>44425</v>
      </c>
      <c r="O123" s="7" t="str">
        <f>IFERROR(__xludf.DUMMYFUNCTION("""COMPUTED_VALUE"""),"Cục Cảnh sát QLHC về TTXH")</f>
        <v>Cục Cảnh sát QLHC về TTXH</v>
      </c>
      <c r="P123" s="7" t="str">
        <f>IFERROR(__xludf.DUMMYFUNCTION("""COMPUTED_VALUE"""),"THPT")</f>
        <v>THPT</v>
      </c>
      <c r="Q123" s="7" t="str">
        <f>IFERROR(__xludf.DUMMYFUNCTION("""COMPUTED_VALUE"""),"Lao động phổ thông")</f>
        <v>Lao động phổ thông</v>
      </c>
      <c r="R123" s="17">
        <f>IFERROR(__xludf.DUMMYFUNCTION("""COMPUTED_VALUE"""),43741.0)</f>
        <v>43741</v>
      </c>
      <c r="S123" s="19">
        <f>IFERROR(__xludf.DUMMYFUNCTION("""COMPUTED_VALUE"""),44044.0)</f>
        <v>44044</v>
      </c>
      <c r="T123" s="7" t="str">
        <f>IFERROR(__xludf.DUMMYFUNCTION("""COMPUTED_VALUE"""),"Chính thức")</f>
        <v>Chính thức</v>
      </c>
      <c r="U123" s="7"/>
      <c r="V123" s="7" t="str">
        <f>IFERROR(__xludf.DUMMYFUNCTION("""COMPUTED_VALUE"""),"Chính thức")</f>
        <v>Chính thức</v>
      </c>
      <c r="W123" s="7" t="str">
        <f>IFERROR(__xludf.DUMMYFUNCTION("""COMPUTED_VALUE"""),"6 năm 2 tháng")</f>
        <v>6 năm 2 tháng</v>
      </c>
      <c r="X123" s="7"/>
      <c r="Y123" s="7"/>
      <c r="Z123" s="7"/>
    </row>
    <row r="124">
      <c r="A124" s="7">
        <f>IFERROR(__xludf.DUMMYFUNCTION("""COMPUTED_VALUE"""),4.0)</f>
        <v>4</v>
      </c>
      <c r="B124" s="7" t="str">
        <f>IFERROR(__xludf.DUMMYFUNCTION("""COMPUTED_VALUE"""),"Văn phòng")</f>
        <v>Văn phòng</v>
      </c>
      <c r="C124" s="7" t="str">
        <f>IFERROR(__xludf.DUMMYFUNCTION("""COMPUTED_VALUE"""),"Phòng khai thác")</f>
        <v>Phòng khai thác</v>
      </c>
      <c r="D124" s="7" t="str">
        <f>IFERROR(__xludf.DUMMYFUNCTION("""COMPUTED_VALUE"""),"Phân xưởng CBNL")</f>
        <v>Phân xưởng CBNL</v>
      </c>
      <c r="E124" s="7" t="str">
        <f>IFERROR(__xludf.DUMMYFUNCTION("""COMPUTED_VALUE"""),"Cơ điện")</f>
        <v>Cơ điện</v>
      </c>
      <c r="F124" s="7" t="str">
        <f>IFERROR(__xludf.DUMMYFUNCTION("""COMPUTED_VALUE"""),"NV1370")</f>
        <v>NV1370</v>
      </c>
      <c r="G124" s="7">
        <f>IFERROR(__xludf.DUMMYFUNCTION("""COMPUTED_VALUE"""),669.0)</f>
        <v>669</v>
      </c>
      <c r="H124" s="7" t="str">
        <f>IFERROR(__xludf.DUMMYFUNCTION("""COMPUTED_VALUE"""),"Nguyễn Văn Định")</f>
        <v>Nguyễn Văn Định</v>
      </c>
      <c r="I124" s="7" t="str">
        <f>IFERROR(__xludf.DUMMYFUNCTION("""COMPUTED_VALUE"""),"Nam")</f>
        <v>Nam</v>
      </c>
      <c r="J124" s="17">
        <f>IFERROR(__xludf.DUMMYFUNCTION("""COMPUTED_VALUE"""),32617.0)</f>
        <v>32617</v>
      </c>
      <c r="K124" s="7" t="str">
        <f>IFERROR(__xludf.DUMMYFUNCTION("""COMPUTED_VALUE"""),"Đội 3 - Phú Thượng 1 - Xã Hoằng Phú - Tỉnh Thanh Hóa")</f>
        <v>Đội 3 - Phú Thượng 1 - Xã Hoằng Phú - Tỉnh Thanh Hóa</v>
      </c>
      <c r="L124" s="7" t="str">
        <f>IFERROR(__xludf.DUMMYFUNCTION("""COMPUTED_VALUE"""),"0964651045")</f>
        <v>0964651045</v>
      </c>
      <c r="M124" s="7" t="str">
        <f>IFERROR(__xludf.DUMMYFUNCTION("""COMPUTED_VALUE"""),"038089053483")</f>
        <v>038089053483</v>
      </c>
      <c r="N124" s="18">
        <f>IFERROR(__xludf.DUMMYFUNCTION("""COMPUTED_VALUE"""),44428.0)</f>
        <v>44428</v>
      </c>
      <c r="O124" s="7" t="str">
        <f>IFERROR(__xludf.DUMMYFUNCTION("""COMPUTED_VALUE"""),"Cục Cảnh sát QLHC về TTXH")</f>
        <v>Cục Cảnh sát QLHC về TTXH</v>
      </c>
      <c r="P124" s="7" t="str">
        <f>IFERROR(__xludf.DUMMYFUNCTION("""COMPUTED_VALUE"""),"Trung cấp nghề")</f>
        <v>Trung cấp nghề</v>
      </c>
      <c r="Q124" s="7" t="str">
        <f>IFERROR(__xludf.DUMMYFUNCTION("""COMPUTED_VALUE"""),"Kỹ thuật máy lạnh và điều hòa không khí")</f>
        <v>Kỹ thuật máy lạnh và điều hòa không khí</v>
      </c>
      <c r="R124" s="17">
        <f>IFERROR(__xludf.DUMMYFUNCTION("""COMPUTED_VALUE"""),43229.0)</f>
        <v>43229</v>
      </c>
      <c r="S124" s="19">
        <f>IFERROR(__xludf.DUMMYFUNCTION("""COMPUTED_VALUE"""),43586.0)</f>
        <v>43586</v>
      </c>
      <c r="T124" s="7" t="str">
        <f>IFERROR(__xludf.DUMMYFUNCTION("""COMPUTED_VALUE"""),"Chính thức")</f>
        <v>Chính thức</v>
      </c>
      <c r="U124" s="7"/>
      <c r="V124" s="7" t="str">
        <f>IFERROR(__xludf.DUMMYFUNCTION("""COMPUTED_VALUE"""),"Chính thức")</f>
        <v>Chính thức</v>
      </c>
      <c r="W124" s="7" t="str">
        <f>IFERROR(__xludf.DUMMYFUNCTION("""COMPUTED_VALUE"""),"7 năm 7 tháng")</f>
        <v>7 năm 7 tháng</v>
      </c>
      <c r="X124" s="7"/>
      <c r="Y124" s="7"/>
      <c r="Z124" s="7"/>
    </row>
    <row r="125">
      <c r="A125" s="7">
        <f>IFERROR(__xludf.DUMMYFUNCTION("""COMPUTED_VALUE"""),5.0)</f>
        <v>5</v>
      </c>
      <c r="B125" s="7" t="str">
        <f>IFERROR(__xludf.DUMMYFUNCTION("""COMPUTED_VALUE"""),"Văn phòng")</f>
        <v>Văn phòng</v>
      </c>
      <c r="C125" s="7" t="str">
        <f>IFERROR(__xludf.DUMMYFUNCTION("""COMPUTED_VALUE"""),"Phòng khai thác")</f>
        <v>Phòng khai thác</v>
      </c>
      <c r="D125" s="7" t="str">
        <f>IFERROR(__xludf.DUMMYFUNCTION("""COMPUTED_VALUE"""),"Phân xưởng CBNL")</f>
        <v>Phân xưởng CBNL</v>
      </c>
      <c r="E125" s="7" t="str">
        <f>IFERROR(__xludf.DUMMYFUNCTION("""COMPUTED_VALUE"""),"Lái xúc lật")</f>
        <v>Lái xúc lật</v>
      </c>
      <c r="F125" s="7" t="str">
        <f>IFERROR(__xludf.DUMMYFUNCTION("""COMPUTED_VALUE"""),"NV4966")</f>
        <v>NV4966</v>
      </c>
      <c r="G125" s="7">
        <f>IFERROR(__xludf.DUMMYFUNCTION("""COMPUTED_VALUE"""),658.0)</f>
        <v>658</v>
      </c>
      <c r="H125" s="7" t="str">
        <f>IFERROR(__xludf.DUMMYFUNCTION("""COMPUTED_VALUE"""),"Lê Văn Giáp")</f>
        <v>Lê Văn Giáp</v>
      </c>
      <c r="I125" s="7" t="str">
        <f>IFERROR(__xludf.DUMMYFUNCTION("""COMPUTED_VALUE"""),"Nam")</f>
        <v>Nam</v>
      </c>
      <c r="J125" s="17">
        <f>IFERROR(__xludf.DUMMYFUNCTION("""COMPUTED_VALUE"""),34501.0)</f>
        <v>34501</v>
      </c>
      <c r="K125" s="7" t="str">
        <f>IFERROR(__xludf.DUMMYFUNCTION("""COMPUTED_VALUE"""),"KP Đông Đức - Phường Nam Sầm Sơn - Tỉnh Thanh Hóa")</f>
        <v>KP Đông Đức - Phường Nam Sầm Sơn - Tỉnh Thanh Hóa</v>
      </c>
      <c r="L125" s="7" t="str">
        <f>IFERROR(__xludf.DUMMYFUNCTION("""COMPUTED_VALUE"""),"0869769622")</f>
        <v>0869769622</v>
      </c>
      <c r="M125" s="7" t="str">
        <f>IFERROR(__xludf.DUMMYFUNCTION("""COMPUTED_VALUE"""),"038094012212")</f>
        <v>038094012212</v>
      </c>
      <c r="N125" s="18">
        <f>IFERROR(__xludf.DUMMYFUNCTION("""COMPUTED_VALUE"""),44428.0)</f>
        <v>44428</v>
      </c>
      <c r="O125" s="7" t="str">
        <f>IFERROR(__xludf.DUMMYFUNCTION("""COMPUTED_VALUE"""),"Cục Cảnh sát QLHC về TTXH")</f>
        <v>Cục Cảnh sát QLHC về TTXH</v>
      </c>
      <c r="P125" s="7" t="str">
        <f>IFERROR(__xludf.DUMMYFUNCTION("""COMPUTED_VALUE"""),"Chứng chỉ nghề")</f>
        <v>Chứng chỉ nghề</v>
      </c>
      <c r="Q125" s="7" t="str">
        <f>IFERROR(__xludf.DUMMYFUNCTION("""COMPUTED_VALUE"""),"Vận hành xúc lật")</f>
        <v>Vận hành xúc lật</v>
      </c>
      <c r="R125" s="17">
        <f>IFERROR(__xludf.DUMMYFUNCTION("""COMPUTED_VALUE"""),45348.0)</f>
        <v>45348</v>
      </c>
      <c r="S125" s="19">
        <f>IFERROR(__xludf.DUMMYFUNCTION("""COMPUTED_VALUE"""),45444.0)</f>
        <v>45444</v>
      </c>
      <c r="T125" s="7" t="str">
        <f>IFERROR(__xludf.DUMMYFUNCTION("""COMPUTED_VALUE"""),"Chính thức")</f>
        <v>Chính thức</v>
      </c>
      <c r="U125" s="7"/>
      <c r="V125" s="7" t="str">
        <f>IFERROR(__xludf.DUMMYFUNCTION("""COMPUTED_VALUE"""),"Chính thức")</f>
        <v>Chính thức</v>
      </c>
      <c r="W125" s="7" t="str">
        <f>IFERROR(__xludf.DUMMYFUNCTION("""COMPUTED_VALUE"""),"1 năm 10 tháng")</f>
        <v>1 năm 10 tháng</v>
      </c>
      <c r="X125" s="7"/>
      <c r="Y125" s="7"/>
      <c r="Z125" s="7"/>
    </row>
    <row r="126">
      <c r="A126" s="7">
        <f>IFERROR(__xludf.DUMMYFUNCTION("""COMPUTED_VALUE"""),6.0)</f>
        <v>6</v>
      </c>
      <c r="B126" s="7" t="str">
        <f>IFERROR(__xludf.DUMMYFUNCTION("""COMPUTED_VALUE"""),"Văn phòng")</f>
        <v>Văn phòng</v>
      </c>
      <c r="C126" s="7" t="str">
        <f>IFERROR(__xludf.DUMMYFUNCTION("""COMPUTED_VALUE"""),"Phòng khai thác")</f>
        <v>Phòng khai thác</v>
      </c>
      <c r="D126" s="7" t="str">
        <f>IFERROR(__xludf.DUMMYFUNCTION("""COMPUTED_VALUE"""),"Phân xưởng CBNL")</f>
        <v>Phân xưởng CBNL</v>
      </c>
      <c r="E126" s="7" t="str">
        <f>IFERROR(__xludf.DUMMYFUNCTION("""COMPUTED_VALUE"""),"Lái xúc lật")</f>
        <v>Lái xúc lật</v>
      </c>
      <c r="F126" s="7" t="str">
        <f>IFERROR(__xludf.DUMMYFUNCTION("""COMPUTED_VALUE"""),"NV1554")</f>
        <v>NV1554</v>
      </c>
      <c r="G126" s="7">
        <f>IFERROR(__xludf.DUMMYFUNCTION("""COMPUTED_VALUE"""),739.0)</f>
        <v>739</v>
      </c>
      <c r="H126" s="7" t="str">
        <f>IFERROR(__xludf.DUMMYFUNCTION("""COMPUTED_VALUE"""),"Trần Thế Anh")</f>
        <v>Trần Thế Anh</v>
      </c>
      <c r="I126" s="7" t="str">
        <f>IFERROR(__xludf.DUMMYFUNCTION("""COMPUTED_VALUE"""),"Nam")</f>
        <v>Nam</v>
      </c>
      <c r="J126" s="17">
        <f>IFERROR(__xludf.DUMMYFUNCTION("""COMPUTED_VALUE"""),27946.0)</f>
        <v>27946</v>
      </c>
      <c r="K126" s="7" t="str">
        <f>IFERROR(__xludf.DUMMYFUNCTION("""COMPUTED_VALUE"""),"Phố 4 - Phường Quảng Phú - Tỉnh Thanh Hóa")</f>
        <v>Phố 4 - Phường Quảng Phú - Tỉnh Thanh Hóa</v>
      </c>
      <c r="L126" s="7" t="str">
        <f>IFERROR(__xludf.DUMMYFUNCTION("""COMPUTED_VALUE"""),"0914936453")</f>
        <v>0914936453</v>
      </c>
      <c r="M126" s="7" t="str">
        <f>IFERROR(__xludf.DUMMYFUNCTION("""COMPUTED_VALUE"""),"038076007877")</f>
        <v>038076007877</v>
      </c>
      <c r="N126" s="18">
        <f>IFERROR(__xludf.DUMMYFUNCTION("""COMPUTED_VALUE"""),44375.0)</f>
        <v>44375</v>
      </c>
      <c r="O126" s="7" t="str">
        <f>IFERROR(__xludf.DUMMYFUNCTION("""COMPUTED_VALUE"""),"Cục Cảnh sát QLHC về TTXH")</f>
        <v>Cục Cảnh sát QLHC về TTXH</v>
      </c>
      <c r="P126" s="7" t="str">
        <f>IFERROR(__xludf.DUMMYFUNCTION("""COMPUTED_VALUE"""),"Bằng nghề")</f>
        <v>Bằng nghề</v>
      </c>
      <c r="Q126" s="7" t="str">
        <f>IFERROR(__xludf.DUMMYFUNCTION("""COMPUTED_VALUE"""),"Lái máy xúc")</f>
        <v>Lái máy xúc</v>
      </c>
      <c r="R126" s="17">
        <f>IFERROR(__xludf.DUMMYFUNCTION("""COMPUTED_VALUE"""),43284.0)</f>
        <v>43284</v>
      </c>
      <c r="S126" s="19">
        <f>IFERROR(__xludf.DUMMYFUNCTION("""COMPUTED_VALUE"""),43647.0)</f>
        <v>43647</v>
      </c>
      <c r="T126" s="7" t="str">
        <f>IFERROR(__xludf.DUMMYFUNCTION("""COMPUTED_VALUE"""),"Chính thức")</f>
        <v>Chính thức</v>
      </c>
      <c r="U126" s="7"/>
      <c r="V126" s="7" t="str">
        <f>IFERROR(__xludf.DUMMYFUNCTION("""COMPUTED_VALUE"""),"Chính thức")</f>
        <v>Chính thức</v>
      </c>
      <c r="W126" s="7" t="str">
        <f>IFERROR(__xludf.DUMMYFUNCTION("""COMPUTED_VALUE"""),"7 năm 5 tháng")</f>
        <v>7 năm 5 tháng</v>
      </c>
      <c r="X126" s="7"/>
      <c r="Y126" s="7"/>
      <c r="Z126" s="7"/>
    </row>
    <row r="127">
      <c r="A127" s="7">
        <f>IFERROR(__xludf.DUMMYFUNCTION("""COMPUTED_VALUE"""),7.0)</f>
        <v>7</v>
      </c>
      <c r="B127" s="7" t="str">
        <f>IFERROR(__xludf.DUMMYFUNCTION("""COMPUTED_VALUE"""),"Văn phòng")</f>
        <v>Văn phòng</v>
      </c>
      <c r="C127" s="7" t="str">
        <f>IFERROR(__xludf.DUMMYFUNCTION("""COMPUTED_VALUE"""),"Phòng khai thác")</f>
        <v>Phòng khai thác</v>
      </c>
      <c r="D127" s="7" t="str">
        <f>IFERROR(__xludf.DUMMYFUNCTION("""COMPUTED_VALUE"""),"Phân xưởng CBNL")</f>
        <v>Phân xưởng CBNL</v>
      </c>
      <c r="E127" s="7" t="str">
        <f>IFERROR(__xludf.DUMMYFUNCTION("""COMPUTED_VALUE"""),"Tổ trưởng")</f>
        <v>Tổ trưởng</v>
      </c>
      <c r="F127" s="7" t="str">
        <f>IFERROR(__xludf.DUMMYFUNCTION("""COMPUTED_VALUE"""),"NV2286")</f>
        <v>NV2286</v>
      </c>
      <c r="G127" s="7">
        <f>IFERROR(__xludf.DUMMYFUNCTION("""COMPUTED_VALUE"""),743.0)</f>
        <v>743</v>
      </c>
      <c r="H127" s="7" t="str">
        <f>IFERROR(__xludf.DUMMYFUNCTION("""COMPUTED_VALUE"""),"Lê Văn Hưng")</f>
        <v>Lê Văn Hưng</v>
      </c>
      <c r="I127" s="7" t="str">
        <f>IFERROR(__xludf.DUMMYFUNCTION("""COMPUTED_VALUE"""),"Nam")</f>
        <v>Nam</v>
      </c>
      <c r="J127" s="17">
        <f>IFERROR(__xludf.DUMMYFUNCTION("""COMPUTED_VALUE"""),33274.0)</f>
        <v>33274</v>
      </c>
      <c r="K127" s="7" t="str">
        <f>IFERROR(__xludf.DUMMYFUNCTION("""COMPUTED_VALUE"""),"Thôn 2 - Xã Quảng Ninh - Tỉnh Thanh Hóa")</f>
        <v>Thôn 2 - Xã Quảng Ninh - Tỉnh Thanh Hóa</v>
      </c>
      <c r="L127" s="7" t="str">
        <f>IFERROR(__xludf.DUMMYFUNCTION("""COMPUTED_VALUE"""),"0979783992")</f>
        <v>0979783992</v>
      </c>
      <c r="M127" s="7" t="str">
        <f>IFERROR(__xludf.DUMMYFUNCTION("""COMPUTED_VALUE"""),"038091044894")</f>
        <v>038091044894</v>
      </c>
      <c r="N127" s="18">
        <f>IFERROR(__xludf.DUMMYFUNCTION("""COMPUTED_VALUE"""),45519.0)</f>
        <v>45519</v>
      </c>
      <c r="O127" s="7" t="str">
        <f>IFERROR(__xludf.DUMMYFUNCTION("""COMPUTED_VALUE"""),"Cục Cảnh sát QLHC về TTXH")</f>
        <v>Cục Cảnh sát QLHC về TTXH</v>
      </c>
      <c r="P127" s="7" t="str">
        <f>IFERROR(__xludf.DUMMYFUNCTION("""COMPUTED_VALUE"""),"THPT")</f>
        <v>THPT</v>
      </c>
      <c r="Q127" s="7" t="str">
        <f>IFERROR(__xludf.DUMMYFUNCTION("""COMPUTED_VALUE"""),"Lao động phổ thông")</f>
        <v>Lao động phổ thông</v>
      </c>
      <c r="R127" s="17">
        <f>IFERROR(__xludf.DUMMYFUNCTION("""COMPUTED_VALUE"""),43559.0)</f>
        <v>43559</v>
      </c>
      <c r="S127" s="19">
        <f>IFERROR(__xludf.DUMMYFUNCTION("""COMPUTED_VALUE"""),43983.0)</f>
        <v>43983</v>
      </c>
      <c r="T127" s="7" t="str">
        <f>IFERROR(__xludf.DUMMYFUNCTION("""COMPUTED_VALUE"""),"Chính thức")</f>
        <v>Chính thức</v>
      </c>
      <c r="U127" s="7"/>
      <c r="V127" s="7" t="str">
        <f>IFERROR(__xludf.DUMMYFUNCTION("""COMPUTED_VALUE"""),"Chính thức")</f>
        <v>Chính thức</v>
      </c>
      <c r="W127" s="7" t="str">
        <f>IFERROR(__xludf.DUMMYFUNCTION("""COMPUTED_VALUE"""),"6 năm 8 tháng")</f>
        <v>6 năm 8 tháng</v>
      </c>
      <c r="X127" s="7"/>
      <c r="Y127" s="7"/>
      <c r="Z127" s="7"/>
    </row>
    <row r="128">
      <c r="A128" s="7">
        <f>IFERROR(__xludf.DUMMYFUNCTION("""COMPUTED_VALUE"""),8.0)</f>
        <v>8</v>
      </c>
      <c r="B128" s="7" t="str">
        <f>IFERROR(__xludf.DUMMYFUNCTION("""COMPUTED_VALUE"""),"Văn phòng")</f>
        <v>Văn phòng</v>
      </c>
      <c r="C128" s="7" t="str">
        <f>IFERROR(__xludf.DUMMYFUNCTION("""COMPUTED_VALUE"""),"Phòng khai thác")</f>
        <v>Phòng khai thác</v>
      </c>
      <c r="D128" s="7" t="str">
        <f>IFERROR(__xludf.DUMMYFUNCTION("""COMPUTED_VALUE"""),"Phân xưởng CBNL")</f>
        <v>Phân xưởng CBNL</v>
      </c>
      <c r="E128" s="7" t="str">
        <f>IFERROR(__xludf.DUMMYFUNCTION("""COMPUTED_VALUE"""),"Cơ điện")</f>
        <v>Cơ điện</v>
      </c>
      <c r="F128" s="7" t="str">
        <f>IFERROR(__xludf.DUMMYFUNCTION("""COMPUTED_VALUE"""),"NV4526")</f>
        <v>NV4526</v>
      </c>
      <c r="G128" s="7">
        <f>IFERROR(__xludf.DUMMYFUNCTION("""COMPUTED_VALUE"""),766.0)</f>
        <v>766</v>
      </c>
      <c r="H128" s="7" t="str">
        <f>IFERROR(__xludf.DUMMYFUNCTION("""COMPUTED_VALUE"""),"Hoàng Đình Cương")</f>
        <v>Hoàng Đình Cương</v>
      </c>
      <c r="I128" s="7" t="str">
        <f>IFERROR(__xludf.DUMMYFUNCTION("""COMPUTED_VALUE"""),"Nam")</f>
        <v>Nam</v>
      </c>
      <c r="J128" s="17">
        <f>IFERROR(__xludf.DUMMYFUNCTION("""COMPUTED_VALUE"""),33007.0)</f>
        <v>33007</v>
      </c>
      <c r="K128" s="7" t="str">
        <f>IFERROR(__xludf.DUMMYFUNCTION("""COMPUTED_VALUE"""),"An Chính - Phường Nam Sầm Sơn - Tỉnh Thanh Hóa")</f>
        <v>An Chính - Phường Nam Sầm Sơn - Tỉnh Thanh Hóa</v>
      </c>
      <c r="L128" s="7" t="str">
        <f>IFERROR(__xludf.DUMMYFUNCTION("""COMPUTED_VALUE"""),"0968678690")</f>
        <v>0968678690</v>
      </c>
      <c r="M128" s="7" t="str">
        <f>IFERROR(__xludf.DUMMYFUNCTION("""COMPUTED_VALUE"""),"038090054674")</f>
        <v>038090054674</v>
      </c>
      <c r="N128" s="18">
        <f>IFERROR(__xludf.DUMMYFUNCTION("""COMPUTED_VALUE"""),44944.0)</f>
        <v>44944</v>
      </c>
      <c r="O128" s="7" t="str">
        <f>IFERROR(__xludf.DUMMYFUNCTION("""COMPUTED_VALUE"""),"Cục Cảnh sát QLHC về TTXH")</f>
        <v>Cục Cảnh sát QLHC về TTXH</v>
      </c>
      <c r="P128" s="7" t="str">
        <f>IFERROR(__xludf.DUMMYFUNCTION("""COMPUTED_VALUE"""),"Cao đẳng")</f>
        <v>Cao đẳng</v>
      </c>
      <c r="Q128" s="7" t="str">
        <f>IFERROR(__xludf.DUMMYFUNCTION("""COMPUTED_VALUE"""),"Điện tử công nghiệp")</f>
        <v>Điện tử công nghiệp</v>
      </c>
      <c r="R128" s="17">
        <f>IFERROR(__xludf.DUMMYFUNCTION("""COMPUTED_VALUE"""),44959.0)</f>
        <v>44959</v>
      </c>
      <c r="S128" s="19">
        <f>IFERROR(__xludf.DUMMYFUNCTION("""COMPUTED_VALUE"""),45292.0)</f>
        <v>45292</v>
      </c>
      <c r="T128" s="7" t="str">
        <f>IFERROR(__xludf.DUMMYFUNCTION("""COMPUTED_VALUE"""),"Chính thức")</f>
        <v>Chính thức</v>
      </c>
      <c r="U128" s="7"/>
      <c r="V128" s="7" t="str">
        <f>IFERROR(__xludf.DUMMYFUNCTION("""COMPUTED_VALUE"""),"Chính thức")</f>
        <v>Chính thức</v>
      </c>
      <c r="W128" s="7" t="str">
        <f>IFERROR(__xludf.DUMMYFUNCTION("""COMPUTED_VALUE"""),"2 năm 10 tháng")</f>
        <v>2 năm 10 tháng</v>
      </c>
      <c r="X128" s="7"/>
      <c r="Y128" s="7"/>
      <c r="Z128" s="7"/>
    </row>
    <row r="129">
      <c r="A129" s="7">
        <f>IFERROR(__xludf.DUMMYFUNCTION("""COMPUTED_VALUE"""),9.0)</f>
        <v>9</v>
      </c>
      <c r="B129" s="7" t="str">
        <f>IFERROR(__xludf.DUMMYFUNCTION("""COMPUTED_VALUE"""),"Văn phòng")</f>
        <v>Văn phòng</v>
      </c>
      <c r="C129" s="7" t="str">
        <f>IFERROR(__xludf.DUMMYFUNCTION("""COMPUTED_VALUE"""),"Phòng khai thác")</f>
        <v>Phòng khai thác</v>
      </c>
      <c r="D129" s="7" t="str">
        <f>IFERROR(__xludf.DUMMYFUNCTION("""COMPUTED_VALUE"""),"Phân xưởng CBNL")</f>
        <v>Phân xưởng CBNL</v>
      </c>
      <c r="E129" s="7" t="str">
        <f>IFERROR(__xludf.DUMMYFUNCTION("""COMPUTED_VALUE"""),"Vận hành chính")</f>
        <v>Vận hành chính</v>
      </c>
      <c r="F129" s="7" t="str">
        <f>IFERROR(__xludf.DUMMYFUNCTION("""COMPUTED_VALUE"""),"NV0865")</f>
        <v>NV0865</v>
      </c>
      <c r="G129" s="7">
        <f>IFERROR(__xludf.DUMMYFUNCTION("""COMPUTED_VALUE"""),760.0)</f>
        <v>760</v>
      </c>
      <c r="H129" s="7" t="str">
        <f>IFERROR(__xludf.DUMMYFUNCTION("""COMPUTED_VALUE"""),"Phạm Anh Thọ")</f>
        <v>Phạm Anh Thọ</v>
      </c>
      <c r="I129" s="7" t="str">
        <f>IFERROR(__xludf.DUMMYFUNCTION("""COMPUTED_VALUE"""),"Nam")</f>
        <v>Nam</v>
      </c>
      <c r="J129" s="17">
        <f>IFERROR(__xludf.DUMMYFUNCTION("""COMPUTED_VALUE"""),27852.0)</f>
        <v>27852</v>
      </c>
      <c r="K129" s="7" t="str">
        <f>IFERROR(__xludf.DUMMYFUNCTION("""COMPUTED_VALUE"""),"Phường Đông Quang - Tỉnh Thanh Hóa")</f>
        <v>Phường Đông Quang - Tỉnh Thanh Hóa</v>
      </c>
      <c r="L129" s="7" t="str">
        <f>IFERROR(__xludf.DUMMYFUNCTION("""COMPUTED_VALUE"""),"0904708507")</f>
        <v>0904708507</v>
      </c>
      <c r="M129" s="7" t="str">
        <f>IFERROR(__xludf.DUMMYFUNCTION("""COMPUTED_VALUE"""),"038076001595")</f>
        <v>038076001595</v>
      </c>
      <c r="N129" s="18">
        <f>IFERROR(__xludf.DUMMYFUNCTION("""COMPUTED_VALUE"""),42613.0)</f>
        <v>42613</v>
      </c>
      <c r="O129" s="7" t="str">
        <f>IFERROR(__xludf.DUMMYFUNCTION("""COMPUTED_VALUE"""),"Cục Cảnh sát QLHC về TTXH")</f>
        <v>Cục Cảnh sát QLHC về TTXH</v>
      </c>
      <c r="P129" s="7" t="str">
        <f>IFERROR(__xludf.DUMMYFUNCTION("""COMPUTED_VALUE"""),"THPT")</f>
        <v>THPT</v>
      </c>
      <c r="Q129" s="7" t="str">
        <f>IFERROR(__xludf.DUMMYFUNCTION("""COMPUTED_VALUE"""),"Trung học phổ thông")</f>
        <v>Trung học phổ thông</v>
      </c>
      <c r="R129" s="17">
        <f>IFERROR(__xludf.DUMMYFUNCTION("""COMPUTED_VALUE"""),42827.0)</f>
        <v>42827</v>
      </c>
      <c r="S129" s="19">
        <f>IFERROR(__xludf.DUMMYFUNCTION("""COMPUTED_VALUE"""),42827.0)</f>
        <v>42827</v>
      </c>
      <c r="T129" s="7" t="str">
        <f>IFERROR(__xludf.DUMMYFUNCTION("""COMPUTED_VALUE"""),"Chính thức")</f>
        <v>Chính thức</v>
      </c>
      <c r="U129" s="7"/>
      <c r="V129" s="7" t="str">
        <f>IFERROR(__xludf.DUMMYFUNCTION("""COMPUTED_VALUE"""),"Chính thức")</f>
        <v>Chính thức</v>
      </c>
      <c r="W129" s="7" t="str">
        <f>IFERROR(__xludf.DUMMYFUNCTION("""COMPUTED_VALUE"""),"8 năm 8 tháng")</f>
        <v>8 năm 8 tháng</v>
      </c>
      <c r="X129" s="7"/>
      <c r="Y129" s="7"/>
      <c r="Z129" s="7"/>
    </row>
    <row r="130">
      <c r="A130" s="7">
        <f>IFERROR(__xludf.DUMMYFUNCTION("""COMPUTED_VALUE"""),10.0)</f>
        <v>10</v>
      </c>
      <c r="B130" s="7" t="str">
        <f>IFERROR(__xludf.DUMMYFUNCTION("""COMPUTED_VALUE"""),"Văn phòng")</f>
        <v>Văn phòng</v>
      </c>
      <c r="C130" s="7" t="str">
        <f>IFERROR(__xludf.DUMMYFUNCTION("""COMPUTED_VALUE"""),"Phòng khai thác")</f>
        <v>Phòng khai thác</v>
      </c>
      <c r="D130" s="7" t="str">
        <f>IFERROR(__xludf.DUMMYFUNCTION("""COMPUTED_VALUE"""),"Phân xưởng CBNL")</f>
        <v>Phân xưởng CBNL</v>
      </c>
      <c r="E130" s="7" t="str">
        <f>IFERROR(__xludf.DUMMYFUNCTION("""COMPUTED_VALUE"""),"Tổ trưởng")</f>
        <v>Tổ trưởng</v>
      </c>
      <c r="F130" s="7" t="str">
        <f>IFERROR(__xludf.DUMMYFUNCTION("""COMPUTED_VALUE"""),"NV0126")</f>
        <v>NV0126</v>
      </c>
      <c r="G130" s="7">
        <f>IFERROR(__xludf.DUMMYFUNCTION("""COMPUTED_VALUE"""),761.0)</f>
        <v>761</v>
      </c>
      <c r="H130" s="7" t="str">
        <f>IFERROR(__xludf.DUMMYFUNCTION("""COMPUTED_VALUE"""),"Lê Văn Hùng")</f>
        <v>Lê Văn Hùng</v>
      </c>
      <c r="I130" s="7" t="str">
        <f>IFERROR(__xludf.DUMMYFUNCTION("""COMPUTED_VALUE"""),"Nam")</f>
        <v>Nam</v>
      </c>
      <c r="J130" s="17">
        <f>IFERROR(__xludf.DUMMYFUNCTION("""COMPUTED_VALUE"""),31715.0)</f>
        <v>31715</v>
      </c>
      <c r="K130" s="7" t="str">
        <f>IFERROR(__xludf.DUMMYFUNCTION("""COMPUTED_VALUE"""),"Thôn 6 - Xã Quảng Yên - Tỉnh Thanh Hóa")</f>
        <v>Thôn 6 - Xã Quảng Yên - Tỉnh Thanh Hóa</v>
      </c>
      <c r="L130" s="7" t="str">
        <f>IFERROR(__xludf.DUMMYFUNCTION("""COMPUTED_VALUE"""),"0357487537")</f>
        <v>0357487537</v>
      </c>
      <c r="M130" s="7" t="str">
        <f>IFERROR(__xludf.DUMMYFUNCTION("""COMPUTED_VALUE"""),"038086002441")</f>
        <v>038086002441</v>
      </c>
      <c r="N130" s="18">
        <f>IFERROR(__xludf.DUMMYFUNCTION("""COMPUTED_VALUE"""),44375.0)</f>
        <v>44375</v>
      </c>
      <c r="O130" s="7" t="str">
        <f>IFERROR(__xludf.DUMMYFUNCTION("""COMPUTED_VALUE"""),"Cục Cảnh sát QLHC về TTXH")</f>
        <v>Cục Cảnh sát QLHC về TTXH</v>
      </c>
      <c r="P130" s="7" t="str">
        <f>IFERROR(__xludf.DUMMYFUNCTION("""COMPUTED_VALUE"""),"Cao đẳng")</f>
        <v>Cao đẳng</v>
      </c>
      <c r="Q130" s="7" t="str">
        <f>IFERROR(__xludf.DUMMYFUNCTION("""COMPUTED_VALUE"""),"Thủy sản")</f>
        <v>Thủy sản</v>
      </c>
      <c r="R130" s="17">
        <f>IFERROR(__xludf.DUMMYFUNCTION("""COMPUTED_VALUE"""),41753.0)</f>
        <v>41753</v>
      </c>
      <c r="S130" s="19">
        <f>IFERROR(__xludf.DUMMYFUNCTION("""COMPUTED_VALUE"""),41753.0)</f>
        <v>41753</v>
      </c>
      <c r="T130" s="7" t="str">
        <f>IFERROR(__xludf.DUMMYFUNCTION("""COMPUTED_VALUE"""),"Chính thức")</f>
        <v>Chính thức</v>
      </c>
      <c r="U130" s="7"/>
      <c r="V130" s="7" t="str">
        <f>IFERROR(__xludf.DUMMYFUNCTION("""COMPUTED_VALUE"""),"Chính thức")</f>
        <v>Chính thức</v>
      </c>
      <c r="W130" s="7" t="str">
        <f>IFERROR(__xludf.DUMMYFUNCTION("""COMPUTED_VALUE"""),"11 năm 8 tháng")</f>
        <v>11 năm 8 tháng</v>
      </c>
      <c r="X130" s="7"/>
      <c r="Y130" s="7"/>
      <c r="Z130" s="7"/>
    </row>
    <row r="131">
      <c r="A131" s="7">
        <f>IFERROR(__xludf.DUMMYFUNCTION("""COMPUTED_VALUE"""),11.0)</f>
        <v>11</v>
      </c>
      <c r="B131" s="7" t="str">
        <f>IFERROR(__xludf.DUMMYFUNCTION("""COMPUTED_VALUE"""),"Văn phòng")</f>
        <v>Văn phòng</v>
      </c>
      <c r="C131" s="7" t="str">
        <f>IFERROR(__xludf.DUMMYFUNCTION("""COMPUTED_VALUE"""),"Phòng khai thác")</f>
        <v>Phòng khai thác</v>
      </c>
      <c r="D131" s="7" t="str">
        <f>IFERROR(__xludf.DUMMYFUNCTION("""COMPUTED_VALUE"""),"Phân xưởng CBNL")</f>
        <v>Phân xưởng CBNL</v>
      </c>
      <c r="E131" s="7" t="str">
        <f>IFERROR(__xludf.DUMMYFUNCTION("""COMPUTED_VALUE"""),"Vận hành lò đốt")</f>
        <v>Vận hành lò đốt</v>
      </c>
      <c r="F131" s="7" t="str">
        <f>IFERROR(__xludf.DUMMYFUNCTION("""COMPUTED_VALUE"""),"NV5167")</f>
        <v>NV5167</v>
      </c>
      <c r="G131" s="7">
        <f>IFERROR(__xludf.DUMMYFUNCTION("""COMPUTED_VALUE"""),596.0)</f>
        <v>596</v>
      </c>
      <c r="H131" s="7" t="str">
        <f>IFERROR(__xludf.DUMMYFUNCTION("""COMPUTED_VALUE"""),"Lê Văn Huy")</f>
        <v>Lê Văn Huy</v>
      </c>
      <c r="I131" s="7" t="str">
        <f>IFERROR(__xludf.DUMMYFUNCTION("""COMPUTED_VALUE"""),"Nam")</f>
        <v>Nam</v>
      </c>
      <c r="J131" s="17">
        <f>IFERROR(__xludf.DUMMYFUNCTION("""COMPUTED_VALUE"""),25851.0)</f>
        <v>25851</v>
      </c>
      <c r="K131" s="7" t="str">
        <f>IFERROR(__xludf.DUMMYFUNCTION("""COMPUTED_VALUE"""),"Thôn Ngọc Bình - Xã Quảng Ngọc - Tỉnh Thanh Hóa")</f>
        <v>Thôn Ngọc Bình - Xã Quảng Ngọc - Tỉnh Thanh Hóa</v>
      </c>
      <c r="L131" s="7" t="str">
        <f>IFERROR(__xludf.DUMMYFUNCTION("""COMPUTED_VALUE"""),"0399976337")</f>
        <v>0399976337</v>
      </c>
      <c r="M131" s="7" t="str">
        <f>IFERROR(__xludf.DUMMYFUNCTION("""COMPUTED_VALUE"""),"038070007611")</f>
        <v>038070007611</v>
      </c>
      <c r="N131" s="18">
        <f>IFERROR(__xludf.DUMMYFUNCTION("""COMPUTED_VALUE"""),44678.0)</f>
        <v>44678</v>
      </c>
      <c r="O131" s="7" t="str">
        <f>IFERROR(__xludf.DUMMYFUNCTION("""COMPUTED_VALUE"""),"Cục Cảnh sát QLHC về TTXH")</f>
        <v>Cục Cảnh sát QLHC về TTXH</v>
      </c>
      <c r="P131" s="7" t="str">
        <f>IFERROR(__xludf.DUMMYFUNCTION("""COMPUTED_VALUE"""),"THPT")</f>
        <v>THPT</v>
      </c>
      <c r="Q131" s="7" t="str">
        <f>IFERROR(__xludf.DUMMYFUNCTION("""COMPUTED_VALUE"""),"Lao động phổ thông")</f>
        <v>Lao động phổ thông</v>
      </c>
      <c r="R131" s="17">
        <f>IFERROR(__xludf.DUMMYFUNCTION("""COMPUTED_VALUE"""),45418.0)</f>
        <v>45418</v>
      </c>
      <c r="S131" s="19">
        <f>IFERROR(__xludf.DUMMYFUNCTION("""COMPUTED_VALUE"""),45505.0)</f>
        <v>45505</v>
      </c>
      <c r="T131" s="7" t="str">
        <f>IFERROR(__xludf.DUMMYFUNCTION("""COMPUTED_VALUE"""),"Chính thức")</f>
        <v>Chính thức</v>
      </c>
      <c r="U131" s="7"/>
      <c r="V131" s="7" t="str">
        <f>IFERROR(__xludf.DUMMYFUNCTION("""COMPUTED_VALUE"""),"Chính thức")</f>
        <v>Chính thức</v>
      </c>
      <c r="W131" s="7" t="str">
        <f>IFERROR(__xludf.DUMMYFUNCTION("""COMPUTED_VALUE"""),"1 năm 7 tháng")</f>
        <v>1 năm 7 tháng</v>
      </c>
      <c r="X131" s="7"/>
      <c r="Y131" s="7"/>
      <c r="Z131" s="7"/>
    </row>
    <row r="132">
      <c r="A132" s="7">
        <f>IFERROR(__xludf.DUMMYFUNCTION("""COMPUTED_VALUE"""),12.0)</f>
        <v>12</v>
      </c>
      <c r="B132" s="7" t="str">
        <f>IFERROR(__xludf.DUMMYFUNCTION("""COMPUTED_VALUE"""),"Văn phòng")</f>
        <v>Văn phòng</v>
      </c>
      <c r="C132" s="7" t="str">
        <f>IFERROR(__xludf.DUMMYFUNCTION("""COMPUTED_VALUE"""),"Phòng khai thác")</f>
        <v>Phòng khai thác</v>
      </c>
      <c r="D132" s="7" t="str">
        <f>IFERROR(__xludf.DUMMYFUNCTION("""COMPUTED_VALUE"""),"Phân xưởng CBNL")</f>
        <v>Phân xưởng CBNL</v>
      </c>
      <c r="E132" s="7" t="str">
        <f>IFERROR(__xludf.DUMMYFUNCTION("""COMPUTED_VALUE"""),"Lái xúc lật")</f>
        <v>Lái xúc lật</v>
      </c>
      <c r="F132" s="7" t="str">
        <f>IFERROR(__xludf.DUMMYFUNCTION("""COMPUTED_VALUE"""),"NV4037")</f>
        <v>NV4037</v>
      </c>
      <c r="G132" s="7">
        <f>IFERROR(__xludf.DUMMYFUNCTION("""COMPUTED_VALUE"""),853.0)</f>
        <v>853</v>
      </c>
      <c r="H132" s="7" t="str">
        <f>IFERROR(__xludf.DUMMYFUNCTION("""COMPUTED_VALUE"""),"Dương Văn Thanh")</f>
        <v>Dương Văn Thanh</v>
      </c>
      <c r="I132" s="7" t="str">
        <f>IFERROR(__xludf.DUMMYFUNCTION("""COMPUTED_VALUE"""),"Nam")</f>
        <v>Nam</v>
      </c>
      <c r="J132" s="17">
        <f>IFERROR(__xludf.DUMMYFUNCTION("""COMPUTED_VALUE"""),28251.0)</f>
        <v>28251</v>
      </c>
      <c r="K132" s="7" t="str">
        <f>IFERROR(__xludf.DUMMYFUNCTION("""COMPUTED_VALUE"""),"Phố 4 - Phường Hàm Rồng - Tỉnh Thanh Hóa")</f>
        <v>Phố 4 - Phường Hàm Rồng - Tỉnh Thanh Hóa</v>
      </c>
      <c r="L132" s="7" t="str">
        <f>IFERROR(__xludf.DUMMYFUNCTION("""COMPUTED_VALUE"""),"0985932874")</f>
        <v>0985932874</v>
      </c>
      <c r="M132" s="7" t="str">
        <f>IFERROR(__xludf.DUMMYFUNCTION("""COMPUTED_VALUE"""),"038077008929")</f>
        <v>038077008929</v>
      </c>
      <c r="N132" s="18">
        <f>IFERROR(__xludf.DUMMYFUNCTION("""COMPUTED_VALUE"""),44375.0)</f>
        <v>44375</v>
      </c>
      <c r="O132" s="7" t="str">
        <f>IFERROR(__xludf.DUMMYFUNCTION("""COMPUTED_VALUE"""),"Cục Cảnh sát QLHC về TTXH")</f>
        <v>Cục Cảnh sát QLHC về TTXH</v>
      </c>
      <c r="P132" s="7" t="str">
        <f>IFERROR(__xludf.DUMMYFUNCTION("""COMPUTED_VALUE"""),"Bằng nghề")</f>
        <v>Bằng nghề</v>
      </c>
      <c r="Q132" s="7" t="str">
        <f>IFERROR(__xludf.DUMMYFUNCTION("""COMPUTED_VALUE"""),"Vận hành máy xúc thủy lực")</f>
        <v>Vận hành máy xúc thủy lực</v>
      </c>
      <c r="R132" s="17">
        <f>IFERROR(__xludf.DUMMYFUNCTION("""COMPUTED_VALUE"""),45707.0)</f>
        <v>45707</v>
      </c>
      <c r="S132" s="19">
        <f>IFERROR(__xludf.DUMMYFUNCTION("""COMPUTED_VALUE"""),45707.0)</f>
        <v>45707</v>
      </c>
      <c r="T132" s="7" t="str">
        <f>IFERROR(__xludf.DUMMYFUNCTION("""COMPUTED_VALUE"""),"Chính thức")</f>
        <v>Chính thức</v>
      </c>
      <c r="U132" s="7"/>
      <c r="V132" s="7" t="str">
        <f>IFERROR(__xludf.DUMMYFUNCTION("""COMPUTED_VALUE"""),"Chính thức")</f>
        <v>Chính thức</v>
      </c>
      <c r="W132" s="7" t="str">
        <f>IFERROR(__xludf.DUMMYFUNCTION("""COMPUTED_VALUE"""),"0 năm 10 tháng")</f>
        <v>0 năm 10 tháng</v>
      </c>
      <c r="X132" s="7"/>
      <c r="Y132" s="7"/>
      <c r="Z132" s="7"/>
    </row>
    <row r="133">
      <c r="A133" s="7">
        <f>IFERROR(__xludf.DUMMYFUNCTION("""COMPUTED_VALUE"""),13.0)</f>
        <v>13</v>
      </c>
      <c r="B133" s="7" t="str">
        <f>IFERROR(__xludf.DUMMYFUNCTION("""COMPUTED_VALUE"""),"Văn phòng")</f>
        <v>Văn phòng</v>
      </c>
      <c r="C133" s="7" t="str">
        <f>IFERROR(__xludf.DUMMYFUNCTION("""COMPUTED_VALUE"""),"Phòng khai thác")</f>
        <v>Phòng khai thác</v>
      </c>
      <c r="D133" s="7" t="str">
        <f>IFERROR(__xludf.DUMMYFUNCTION("""COMPUTED_VALUE"""),"Phân xưởng CBNL")</f>
        <v>Phân xưởng CBNL</v>
      </c>
      <c r="E133" s="7" t="str">
        <f>IFERROR(__xludf.DUMMYFUNCTION("""COMPUTED_VALUE"""),"VHC Lò đốt")</f>
        <v>VHC Lò đốt</v>
      </c>
      <c r="F133" s="7" t="str">
        <f>IFERROR(__xludf.DUMMYFUNCTION("""COMPUTED_VALUE"""),"NV0638")</f>
        <v>NV0638</v>
      </c>
      <c r="G133" s="7">
        <f>IFERROR(__xludf.DUMMYFUNCTION("""COMPUTED_VALUE"""),429.0)</f>
        <v>429</v>
      </c>
      <c r="H133" s="7" t="str">
        <f>IFERROR(__xludf.DUMMYFUNCTION("""COMPUTED_VALUE"""),"Nguyễn Văn Thìn")</f>
        <v>Nguyễn Văn Thìn</v>
      </c>
      <c r="I133" s="7" t="str">
        <f>IFERROR(__xludf.DUMMYFUNCTION("""COMPUTED_VALUE"""),"Nam")</f>
        <v>Nam</v>
      </c>
      <c r="J133" s="17">
        <f>IFERROR(__xludf.DUMMYFUNCTION("""COMPUTED_VALUE"""),32446.0)</f>
        <v>32446</v>
      </c>
      <c r="K133" s="7" t="str">
        <f>IFERROR(__xludf.DUMMYFUNCTION("""COMPUTED_VALUE"""),"Xã Lưu Vệ - Tỉnh Thanh Hóa")</f>
        <v>Xã Lưu Vệ - Tỉnh Thanh Hóa</v>
      </c>
      <c r="L133" s="7" t="str">
        <f>IFERROR(__xludf.DUMMYFUNCTION("""COMPUTED_VALUE"""),"0832950176; 0971376522")</f>
        <v>0832950176; 0971376522</v>
      </c>
      <c r="M133" s="7" t="str">
        <f>IFERROR(__xludf.DUMMYFUNCTION("""COMPUTED_VALUE"""),"038088018629")</f>
        <v>038088018629</v>
      </c>
      <c r="N133" s="18">
        <f>IFERROR(__xludf.DUMMYFUNCTION("""COMPUTED_VALUE"""),44308.0)</f>
        <v>44308</v>
      </c>
      <c r="O133" s="7" t="str">
        <f>IFERROR(__xludf.DUMMYFUNCTION("""COMPUTED_VALUE"""),"Cục Cảnh sát QLHC về TTXH")</f>
        <v>Cục Cảnh sát QLHC về TTXH</v>
      </c>
      <c r="P133" s="7" t="str">
        <f>IFERROR(__xludf.DUMMYFUNCTION("""COMPUTED_VALUE"""),"Sơ cấp nghề")</f>
        <v>Sơ cấp nghề</v>
      </c>
      <c r="Q133" s="7" t="str">
        <f>IFERROR(__xludf.DUMMYFUNCTION("""COMPUTED_VALUE"""),"Sửa chữa xe máy")</f>
        <v>Sửa chữa xe máy</v>
      </c>
      <c r="R133" s="17">
        <f>IFERROR(__xludf.DUMMYFUNCTION("""COMPUTED_VALUE"""),42019.0)</f>
        <v>42019</v>
      </c>
      <c r="S133" s="19">
        <f>IFERROR(__xludf.DUMMYFUNCTION("""COMPUTED_VALUE"""),42019.0)</f>
        <v>42019</v>
      </c>
      <c r="T133" s="7" t="str">
        <f>IFERROR(__xludf.DUMMYFUNCTION("""COMPUTED_VALUE"""),"Chính thức")</f>
        <v>Chính thức</v>
      </c>
      <c r="U133" s="7"/>
      <c r="V133" s="7" t="str">
        <f>IFERROR(__xludf.DUMMYFUNCTION("""COMPUTED_VALUE"""),"Chính thức")</f>
        <v>Chính thức</v>
      </c>
      <c r="W133" s="7" t="str">
        <f>IFERROR(__xludf.DUMMYFUNCTION("""COMPUTED_VALUE"""),"10 năm 11 tháng")</f>
        <v>10 năm 11 tháng</v>
      </c>
      <c r="X133" s="7"/>
      <c r="Y133" s="7"/>
      <c r="Z133" s="7"/>
    </row>
    <row r="134">
      <c r="A134" s="7">
        <f>IFERROR(__xludf.DUMMYFUNCTION("""COMPUTED_VALUE"""),14.0)</f>
        <v>14</v>
      </c>
      <c r="B134" s="7" t="str">
        <f>IFERROR(__xludf.DUMMYFUNCTION("""COMPUTED_VALUE"""),"Văn phòng")</f>
        <v>Văn phòng</v>
      </c>
      <c r="C134" s="7" t="str">
        <f>IFERROR(__xludf.DUMMYFUNCTION("""COMPUTED_VALUE"""),"Phòng khai thác")</f>
        <v>Phòng khai thác</v>
      </c>
      <c r="D134" s="7" t="str">
        <f>IFERROR(__xludf.DUMMYFUNCTION("""COMPUTED_VALUE"""),"Phân xưởng CBNL")</f>
        <v>Phân xưởng CBNL</v>
      </c>
      <c r="E134" s="7" t="str">
        <f>IFERROR(__xludf.DUMMYFUNCTION("""COMPUTED_VALUE"""),"Vận hành")</f>
        <v>Vận hành</v>
      </c>
      <c r="F134" s="7" t="str">
        <f>IFERROR(__xludf.DUMMYFUNCTION("""COMPUTED_VALUE"""),"NV0728")</f>
        <v>NV0728</v>
      </c>
      <c r="G134" s="7">
        <f>IFERROR(__xludf.DUMMYFUNCTION("""COMPUTED_VALUE"""),240.0)</f>
        <v>240</v>
      </c>
      <c r="H134" s="7" t="str">
        <f>IFERROR(__xludf.DUMMYFUNCTION("""COMPUTED_VALUE"""),"Nguyễn Mạnh Hùng")</f>
        <v>Nguyễn Mạnh Hùng</v>
      </c>
      <c r="I134" s="7" t="str">
        <f>IFERROR(__xludf.DUMMYFUNCTION("""COMPUTED_VALUE"""),"Nam")</f>
        <v>Nam</v>
      </c>
      <c r="J134" s="17">
        <f>IFERROR(__xludf.DUMMYFUNCTION("""COMPUTED_VALUE"""),26921.0)</f>
        <v>26921</v>
      </c>
      <c r="K134" s="7" t="str">
        <f>IFERROR(__xludf.DUMMYFUNCTION("""COMPUTED_VALUE"""),"01/214 Nguyễn Tĩnh - Phường Hạc Thành - Tỉnh Thanh Hóa")</f>
        <v>01/214 Nguyễn Tĩnh - Phường Hạc Thành - Tỉnh Thanh Hóa</v>
      </c>
      <c r="L134" s="7" t="str">
        <f>IFERROR(__xludf.DUMMYFUNCTION("""COMPUTED_VALUE"""),"0394284266")</f>
        <v>0394284266</v>
      </c>
      <c r="M134" s="7" t="str">
        <f>IFERROR(__xludf.DUMMYFUNCTION("""COMPUTED_VALUE"""),"038073006536")</f>
        <v>038073006536</v>
      </c>
      <c r="N134" s="18">
        <f>IFERROR(__xludf.DUMMYFUNCTION("""COMPUTED_VALUE"""),44422.0)</f>
        <v>44422</v>
      </c>
      <c r="O134" s="7" t="str">
        <f>IFERROR(__xludf.DUMMYFUNCTION("""COMPUTED_VALUE"""),"Cục Cảnh sát QLHC về TTXH")</f>
        <v>Cục Cảnh sát QLHC về TTXH</v>
      </c>
      <c r="P134" s="7" t="str">
        <f>IFERROR(__xludf.DUMMYFUNCTION("""COMPUTED_VALUE"""),"THPT")</f>
        <v>THPT</v>
      </c>
      <c r="Q134" s="7" t="str">
        <f>IFERROR(__xludf.DUMMYFUNCTION("""COMPUTED_VALUE"""),"Lao động phổ thông")</f>
        <v>Lao động phổ thông</v>
      </c>
      <c r="R134" s="17">
        <f>IFERROR(__xludf.DUMMYFUNCTION("""COMPUTED_VALUE"""),41687.0)</f>
        <v>41687</v>
      </c>
      <c r="S134" s="19">
        <f>IFERROR(__xludf.DUMMYFUNCTION("""COMPUTED_VALUE"""),41687.0)</f>
        <v>41687</v>
      </c>
      <c r="T134" s="7" t="str">
        <f>IFERROR(__xludf.DUMMYFUNCTION("""COMPUTED_VALUE"""),"Chính thức")</f>
        <v>Chính thức</v>
      </c>
      <c r="U134" s="7"/>
      <c r="V134" s="7" t="str">
        <f>IFERROR(__xludf.DUMMYFUNCTION("""COMPUTED_VALUE"""),"Chính thức")</f>
        <v>Chính thức</v>
      </c>
      <c r="W134" s="7" t="str">
        <f>IFERROR(__xludf.DUMMYFUNCTION("""COMPUTED_VALUE"""),"11 năm 10 tháng")</f>
        <v>11 năm 10 tháng</v>
      </c>
      <c r="X134" s="7"/>
      <c r="Y134" s="7"/>
      <c r="Z134" s="7"/>
    </row>
    <row r="135">
      <c r="A135" s="7">
        <f>IFERROR(__xludf.DUMMYFUNCTION("""COMPUTED_VALUE"""),15.0)</f>
        <v>15</v>
      </c>
      <c r="B135" s="7" t="str">
        <f>IFERROR(__xludf.DUMMYFUNCTION("""COMPUTED_VALUE"""),"Văn phòng")</f>
        <v>Văn phòng</v>
      </c>
      <c r="C135" s="7" t="str">
        <f>IFERROR(__xludf.DUMMYFUNCTION("""COMPUTED_VALUE"""),"Phòng khai thác")</f>
        <v>Phòng khai thác</v>
      </c>
      <c r="D135" s="7" t="str">
        <f>IFERROR(__xludf.DUMMYFUNCTION("""COMPUTED_VALUE"""),"Phân xưởng CBNL")</f>
        <v>Phân xưởng CBNL</v>
      </c>
      <c r="E135" s="7" t="str">
        <f>IFERROR(__xludf.DUMMYFUNCTION("""COMPUTED_VALUE"""),"Cơ điện")</f>
        <v>Cơ điện</v>
      </c>
      <c r="F135" s="7" t="str">
        <f>IFERROR(__xludf.DUMMYFUNCTION("""COMPUTED_VALUE"""),"NV1145")</f>
        <v>NV1145</v>
      </c>
      <c r="G135" s="7">
        <f>IFERROR(__xludf.DUMMYFUNCTION("""COMPUTED_VALUE"""),747.0)</f>
        <v>747</v>
      </c>
      <c r="H135" s="7" t="str">
        <f>IFERROR(__xludf.DUMMYFUNCTION("""COMPUTED_VALUE"""),"Lê Xuân Lợi")</f>
        <v>Lê Xuân Lợi</v>
      </c>
      <c r="I135" s="7" t="str">
        <f>IFERROR(__xludf.DUMMYFUNCTION("""COMPUTED_VALUE"""),"Nam")</f>
        <v>Nam</v>
      </c>
      <c r="J135" s="17">
        <f>IFERROR(__xludf.DUMMYFUNCTION("""COMPUTED_VALUE"""),30738.0)</f>
        <v>30738</v>
      </c>
      <c r="K135" s="7" t="str">
        <f>IFERROR(__xludf.DUMMYFUNCTION("""COMPUTED_VALUE"""),"Phố 2 -  Phường Hàm Rồng - Tỉnh Thanh Hóa")</f>
        <v>Phố 2 -  Phường Hàm Rồng - Tỉnh Thanh Hóa</v>
      </c>
      <c r="L135" s="7" t="str">
        <f>IFERROR(__xludf.DUMMYFUNCTION("""COMPUTED_VALUE"""),"0919011148")</f>
        <v>0919011148</v>
      </c>
      <c r="M135" s="7" t="str">
        <f>IFERROR(__xludf.DUMMYFUNCTION("""COMPUTED_VALUE"""),"038084010590")</f>
        <v>038084010590</v>
      </c>
      <c r="N135" s="18">
        <f>IFERROR(__xludf.DUMMYFUNCTION("""COMPUTED_VALUE"""),45442.0)</f>
        <v>45442</v>
      </c>
      <c r="O135" s="7" t="str">
        <f>IFERROR(__xludf.DUMMYFUNCTION("""COMPUTED_VALUE"""),"Cục Cảnh sát QLHC về TTXH")</f>
        <v>Cục Cảnh sát QLHC về TTXH</v>
      </c>
      <c r="P135" s="7" t="str">
        <f>IFERROR(__xludf.DUMMYFUNCTION("""COMPUTED_VALUE"""),"Trung học chuyên nghiệp")</f>
        <v>Trung học chuyên nghiệp</v>
      </c>
      <c r="Q135" s="7" t="str">
        <f>IFERROR(__xludf.DUMMYFUNCTION("""COMPUTED_VALUE"""),"Hệ thống điện")</f>
        <v>Hệ thống điện</v>
      </c>
      <c r="R135" s="17">
        <f>IFERROR(__xludf.DUMMYFUNCTION("""COMPUTED_VALUE"""),43061.0)</f>
        <v>43061</v>
      </c>
      <c r="S135" s="19">
        <f>IFERROR(__xludf.DUMMYFUNCTION("""COMPUTED_VALUE"""),43586.0)</f>
        <v>43586</v>
      </c>
      <c r="T135" s="7" t="str">
        <f>IFERROR(__xludf.DUMMYFUNCTION("""COMPUTED_VALUE"""),"Chính thức")</f>
        <v>Chính thức</v>
      </c>
      <c r="U135" s="7"/>
      <c r="V135" s="7" t="str">
        <f>IFERROR(__xludf.DUMMYFUNCTION("""COMPUTED_VALUE"""),"Chính thức")</f>
        <v>Chính thức</v>
      </c>
      <c r="W135" s="7" t="str">
        <f>IFERROR(__xludf.DUMMYFUNCTION("""COMPUTED_VALUE"""),"8 năm 1 tháng")</f>
        <v>8 năm 1 tháng</v>
      </c>
      <c r="X135" s="7"/>
      <c r="Y135" s="7"/>
      <c r="Z135" s="7"/>
    </row>
    <row r="136">
      <c r="A136" s="7">
        <f>IFERROR(__xludf.DUMMYFUNCTION("""COMPUTED_VALUE"""),16.0)</f>
        <v>16</v>
      </c>
      <c r="B136" s="7" t="str">
        <f>IFERROR(__xludf.DUMMYFUNCTION("""COMPUTED_VALUE"""),"Văn phòng")</f>
        <v>Văn phòng</v>
      </c>
      <c r="C136" s="7" t="str">
        <f>IFERROR(__xludf.DUMMYFUNCTION("""COMPUTED_VALUE"""),"Phòng khai thác")</f>
        <v>Phòng khai thác</v>
      </c>
      <c r="D136" s="7" t="str">
        <f>IFERROR(__xludf.DUMMYFUNCTION("""COMPUTED_VALUE"""),"Phân xưởng CBNL")</f>
        <v>Phân xưởng CBNL</v>
      </c>
      <c r="E136" s="7" t="str">
        <f>IFERROR(__xludf.DUMMYFUNCTION("""COMPUTED_VALUE"""),"Nhân viên")</f>
        <v>Nhân viên</v>
      </c>
      <c r="F136" s="7" t="str">
        <f>IFERROR(__xludf.DUMMYFUNCTION("""COMPUTED_VALUE"""),"NV5125")</f>
        <v>NV5125</v>
      </c>
      <c r="G136" s="7">
        <f>IFERROR(__xludf.DUMMYFUNCTION("""COMPUTED_VALUE"""),758.0)</f>
        <v>758</v>
      </c>
      <c r="H136" s="7" t="str">
        <f>IFERROR(__xludf.DUMMYFUNCTION("""COMPUTED_VALUE"""),"Phạm Văn Đức")</f>
        <v>Phạm Văn Đức</v>
      </c>
      <c r="I136" s="7" t="str">
        <f>IFERROR(__xludf.DUMMYFUNCTION("""COMPUTED_VALUE"""),"Nam")</f>
        <v>Nam</v>
      </c>
      <c r="J136" s="17">
        <f>IFERROR(__xludf.DUMMYFUNCTION("""COMPUTED_VALUE"""),31470.0)</f>
        <v>31470</v>
      </c>
      <c r="K136" s="7" t="str">
        <f>IFERROR(__xludf.DUMMYFUNCTION("""COMPUTED_VALUE"""),"Thạch Minh - Xã Cẩm Thạch - Tỉnh Thanh Hóa")</f>
        <v>Thạch Minh - Xã Cẩm Thạch - Tỉnh Thanh Hóa</v>
      </c>
      <c r="L136" s="7" t="str">
        <f>IFERROR(__xludf.DUMMYFUNCTION("""COMPUTED_VALUE"""),"0977143026")</f>
        <v>0977143026</v>
      </c>
      <c r="M136" s="7" t="str">
        <f>IFERROR(__xludf.DUMMYFUNCTION("""COMPUTED_VALUE"""),"038086032382")</f>
        <v>038086032382</v>
      </c>
      <c r="N136" s="18">
        <f>IFERROR(__xludf.DUMMYFUNCTION("""COMPUTED_VALUE"""),45042.0)</f>
        <v>45042</v>
      </c>
      <c r="O136" s="7" t="str">
        <f>IFERROR(__xludf.DUMMYFUNCTION("""COMPUTED_VALUE"""),"Cục Cảnh sát QLHC về TTXH")</f>
        <v>Cục Cảnh sát QLHC về TTXH</v>
      </c>
      <c r="P136" s="7" t="str">
        <f>IFERROR(__xludf.DUMMYFUNCTION("""COMPUTED_VALUE"""),"Trung học chuyên nghiệp")</f>
        <v>Trung học chuyên nghiệp</v>
      </c>
      <c r="Q136" s="7"/>
      <c r="R136" s="17">
        <f>IFERROR(__xludf.DUMMYFUNCTION("""COMPUTED_VALUE"""),45391.0)</f>
        <v>45391</v>
      </c>
      <c r="S136" s="19">
        <f>IFERROR(__xludf.DUMMYFUNCTION("""COMPUTED_VALUE"""),45474.0)</f>
        <v>45474</v>
      </c>
      <c r="T136" s="7" t="str">
        <f>IFERROR(__xludf.DUMMYFUNCTION("""COMPUTED_VALUE"""),"Chính thức")</f>
        <v>Chính thức</v>
      </c>
      <c r="U136" s="7"/>
      <c r="V136" s="7" t="str">
        <f>IFERROR(__xludf.DUMMYFUNCTION("""COMPUTED_VALUE"""),"Chính thức")</f>
        <v>Chính thức</v>
      </c>
      <c r="W136" s="7" t="str">
        <f>IFERROR(__xludf.DUMMYFUNCTION("""COMPUTED_VALUE"""),"1 năm 8 tháng")</f>
        <v>1 năm 8 tháng</v>
      </c>
      <c r="X136" s="7"/>
      <c r="Y136" s="7"/>
      <c r="Z136" s="7"/>
    </row>
    <row r="137">
      <c r="A137" s="7">
        <f>IFERROR(__xludf.DUMMYFUNCTION("""COMPUTED_VALUE"""),17.0)</f>
        <v>17</v>
      </c>
      <c r="B137" s="7" t="str">
        <f>IFERROR(__xludf.DUMMYFUNCTION("""COMPUTED_VALUE"""),"Văn phòng")</f>
        <v>Văn phòng</v>
      </c>
      <c r="C137" s="7" t="str">
        <f>IFERROR(__xludf.DUMMYFUNCTION("""COMPUTED_VALUE"""),"Phòng khai thác")</f>
        <v>Phòng khai thác</v>
      </c>
      <c r="D137" s="7" t="str">
        <f>IFERROR(__xludf.DUMMYFUNCTION("""COMPUTED_VALUE"""),"Phân xưởng CBNL")</f>
        <v>Phân xưởng CBNL</v>
      </c>
      <c r="E137" s="7" t="str">
        <f>IFERROR(__xludf.DUMMYFUNCTION("""COMPUTED_VALUE"""),"Nhân viên")</f>
        <v>Nhân viên</v>
      </c>
      <c r="F137" s="7" t="str">
        <f>IFERROR(__xludf.DUMMYFUNCTION("""COMPUTED_VALUE"""),"NV1215")</f>
        <v>NV1215</v>
      </c>
      <c r="G137" s="7">
        <f>IFERROR(__xludf.DUMMYFUNCTION("""COMPUTED_VALUE"""),745.0)</f>
        <v>745</v>
      </c>
      <c r="H137" s="7" t="str">
        <f>IFERROR(__xludf.DUMMYFUNCTION("""COMPUTED_VALUE"""),"Lê Đình Hưng")</f>
        <v>Lê Đình Hưng</v>
      </c>
      <c r="I137" s="7" t="str">
        <f>IFERROR(__xludf.DUMMYFUNCTION("""COMPUTED_VALUE"""),"Nam")</f>
        <v>Nam</v>
      </c>
      <c r="J137" s="17">
        <f>IFERROR(__xludf.DUMMYFUNCTION("""COMPUTED_VALUE"""),32334.0)</f>
        <v>32334</v>
      </c>
      <c r="K137" s="7" t="str">
        <f>IFERROR(__xludf.DUMMYFUNCTION("""COMPUTED_VALUE"""),"Thái Bình - Xã Trung Chính - Tỉnh Thanh Hóa")</f>
        <v>Thái Bình - Xã Trung Chính - Tỉnh Thanh Hóa</v>
      </c>
      <c r="L137" s="7" t="str">
        <f>IFERROR(__xludf.DUMMYFUNCTION("""COMPUTED_VALUE"""),"0838344886")</f>
        <v>0838344886</v>
      </c>
      <c r="M137" s="7" t="str">
        <f>IFERROR(__xludf.DUMMYFUNCTION("""COMPUTED_VALUE"""),"038088019198")</f>
        <v>038088019198</v>
      </c>
      <c r="N137" s="18">
        <f>IFERROR(__xludf.DUMMYFUNCTION("""COMPUTED_VALUE"""),44568.0)</f>
        <v>44568</v>
      </c>
      <c r="O137" s="7" t="str">
        <f>IFERROR(__xludf.DUMMYFUNCTION("""COMPUTED_VALUE"""),"Cục Cảnh sát QLHC về TTXH")</f>
        <v>Cục Cảnh sát QLHC về TTXH</v>
      </c>
      <c r="P137" s="7" t="str">
        <f>IFERROR(__xludf.DUMMYFUNCTION("""COMPUTED_VALUE"""),"Trung học chuyên nghiệp")</f>
        <v>Trung học chuyên nghiệp</v>
      </c>
      <c r="Q137" s="7"/>
      <c r="R137" s="17">
        <f>IFERROR(__xludf.DUMMYFUNCTION("""COMPUTED_VALUE"""),45348.0)</f>
        <v>45348</v>
      </c>
      <c r="S137" s="19">
        <f>IFERROR(__xludf.DUMMYFUNCTION("""COMPUTED_VALUE"""),45444.0)</f>
        <v>45444</v>
      </c>
      <c r="T137" s="7" t="str">
        <f>IFERROR(__xludf.DUMMYFUNCTION("""COMPUTED_VALUE"""),"Chính thức")</f>
        <v>Chính thức</v>
      </c>
      <c r="U137" s="7"/>
      <c r="V137" s="7" t="str">
        <f>IFERROR(__xludf.DUMMYFUNCTION("""COMPUTED_VALUE"""),"Chính thức")</f>
        <v>Chính thức</v>
      </c>
      <c r="W137" s="7" t="str">
        <f>IFERROR(__xludf.DUMMYFUNCTION("""COMPUTED_VALUE"""),"1 năm 10 tháng")</f>
        <v>1 năm 10 tháng</v>
      </c>
      <c r="X137" s="7"/>
      <c r="Y137" s="7"/>
      <c r="Z137" s="7"/>
    </row>
    <row r="138">
      <c r="A138" s="7">
        <f>IFERROR(__xludf.DUMMYFUNCTION("""COMPUTED_VALUE"""),18.0)</f>
        <v>18</v>
      </c>
      <c r="B138" s="7" t="str">
        <f>IFERROR(__xludf.DUMMYFUNCTION("""COMPUTED_VALUE"""),"Văn phòng")</f>
        <v>Văn phòng</v>
      </c>
      <c r="C138" s="7" t="str">
        <f>IFERROR(__xludf.DUMMYFUNCTION("""COMPUTED_VALUE"""),"Phòng khai thác")</f>
        <v>Phòng khai thác</v>
      </c>
      <c r="D138" s="7" t="str">
        <f>IFERROR(__xludf.DUMMYFUNCTION("""COMPUTED_VALUE"""),"Phân xưởng CBNL")</f>
        <v>Phân xưởng CBNL</v>
      </c>
      <c r="E138" s="7" t="str">
        <f>IFERROR(__xludf.DUMMYFUNCTION("""COMPUTED_VALUE"""),"Nhân viên")</f>
        <v>Nhân viên</v>
      </c>
      <c r="F138" s="7" t="str">
        <f>IFERROR(__xludf.DUMMYFUNCTION("""COMPUTED_VALUE"""),"NV5403")</f>
        <v>NV5403</v>
      </c>
      <c r="G138" s="7">
        <f>IFERROR(__xludf.DUMMYFUNCTION("""COMPUTED_VALUE"""),842.0)</f>
        <v>842</v>
      </c>
      <c r="H138" s="7" t="str">
        <f>IFERROR(__xludf.DUMMYFUNCTION("""COMPUTED_VALUE"""),"Nguyễn Viết Sâm")</f>
        <v>Nguyễn Viết Sâm</v>
      </c>
      <c r="I138" s="7" t="str">
        <f>IFERROR(__xludf.DUMMYFUNCTION("""COMPUTED_VALUE"""),"Nam")</f>
        <v>Nam</v>
      </c>
      <c r="J138" s="17">
        <f>IFERROR(__xludf.DUMMYFUNCTION("""COMPUTED_VALUE"""),30395.0)</f>
        <v>30395</v>
      </c>
      <c r="K138" s="7" t="str">
        <f>IFERROR(__xludf.DUMMYFUNCTION("""COMPUTED_VALUE"""),"KP Hòa Sơn - Phường Sầm Sơn - Tỉnh Thanh Hóa")</f>
        <v>KP Hòa Sơn - Phường Sầm Sơn - Tỉnh Thanh Hóa</v>
      </c>
      <c r="L138" s="7" t="str">
        <f>IFERROR(__xludf.DUMMYFUNCTION("""COMPUTED_VALUE"""),"0961629856")</f>
        <v>0961629856</v>
      </c>
      <c r="M138" s="7" t="str">
        <f>IFERROR(__xludf.DUMMYFUNCTION("""COMPUTED_VALUE"""),"038083011868")</f>
        <v>038083011868</v>
      </c>
      <c r="N138" s="18">
        <f>IFERROR(__xludf.DUMMYFUNCTION("""COMPUTED_VALUE"""),44375.0)</f>
        <v>44375</v>
      </c>
      <c r="O138" s="7" t="str">
        <f>IFERROR(__xludf.DUMMYFUNCTION("""COMPUTED_VALUE"""),"Cục Cảnh sát QLHC về TTXH")</f>
        <v>Cục Cảnh sát QLHC về TTXH</v>
      </c>
      <c r="P138" s="7" t="str">
        <f>IFERROR(__xludf.DUMMYFUNCTION("""COMPUTED_VALUE"""),"THPT")</f>
        <v>THPT</v>
      </c>
      <c r="Q138" s="7" t="str">
        <f>IFERROR(__xludf.DUMMYFUNCTION("""COMPUTED_VALUE"""),"Lao động phổ thông")</f>
        <v>Lao động phổ thông</v>
      </c>
      <c r="R138" s="17">
        <f>IFERROR(__xludf.DUMMYFUNCTION("""COMPUTED_VALUE"""),45700.0)</f>
        <v>45700</v>
      </c>
      <c r="S138" s="19">
        <f>IFERROR(__xludf.DUMMYFUNCTION("""COMPUTED_VALUE"""),45726.0)</f>
        <v>45726</v>
      </c>
      <c r="T138" s="7" t="str">
        <f>IFERROR(__xludf.DUMMYFUNCTION("""COMPUTED_VALUE"""),"Chính thức")</f>
        <v>Chính thức</v>
      </c>
      <c r="U138" s="7"/>
      <c r="V138" s="7" t="str">
        <f>IFERROR(__xludf.DUMMYFUNCTION("""COMPUTED_VALUE"""),"Chính thức")</f>
        <v>Chính thức</v>
      </c>
      <c r="W138" s="7" t="str">
        <f>IFERROR(__xludf.DUMMYFUNCTION("""COMPUTED_VALUE"""),"0 năm 10 tháng")</f>
        <v>0 năm 10 tháng</v>
      </c>
      <c r="X138" s="7"/>
      <c r="Y138" s="7"/>
      <c r="Z138" s="7"/>
    </row>
    <row r="139">
      <c r="A139" s="7">
        <f>IFERROR(__xludf.DUMMYFUNCTION("""COMPUTED_VALUE"""),19.0)</f>
        <v>19</v>
      </c>
      <c r="B139" s="7" t="str">
        <f>IFERROR(__xludf.DUMMYFUNCTION("""COMPUTED_VALUE"""),"Văn phòng")</f>
        <v>Văn phòng</v>
      </c>
      <c r="C139" s="7" t="str">
        <f>IFERROR(__xludf.DUMMYFUNCTION("""COMPUTED_VALUE"""),"Phòng khai thác")</f>
        <v>Phòng khai thác</v>
      </c>
      <c r="D139" s="7" t="str">
        <f>IFERROR(__xludf.DUMMYFUNCTION("""COMPUTED_VALUE"""),"Phân xưởng CBNL")</f>
        <v>Phân xưởng CBNL</v>
      </c>
      <c r="E139" s="7"/>
      <c r="F139" s="7" t="str">
        <f>IFERROR(__xludf.DUMMYFUNCTION("""COMPUTED_VALUE"""),"NV0726")</f>
        <v>NV0726</v>
      </c>
      <c r="G139" s="7">
        <f>IFERROR(__xludf.DUMMYFUNCTION("""COMPUTED_VALUE"""),765.0)</f>
        <v>765</v>
      </c>
      <c r="H139" s="7" t="str">
        <f>IFERROR(__xludf.DUMMYFUNCTION("""COMPUTED_VALUE"""),"Lương Văn Mạnh")</f>
        <v>Lương Văn Mạnh</v>
      </c>
      <c r="I139" s="7" t="str">
        <f>IFERROR(__xludf.DUMMYFUNCTION("""COMPUTED_VALUE"""),"Nam")</f>
        <v>Nam</v>
      </c>
      <c r="J139" s="17">
        <f>IFERROR(__xludf.DUMMYFUNCTION("""COMPUTED_VALUE"""),24871.0)</f>
        <v>24871</v>
      </c>
      <c r="K139" s="7" t="str">
        <f>IFERROR(__xludf.DUMMYFUNCTION("""COMPUTED_VALUE"""),"Thôn Trù Ninh - Xã Hoằng Hóa - Tỉnh Thanh Hóa")</f>
        <v>Thôn Trù Ninh - Xã Hoằng Hóa - Tỉnh Thanh Hóa</v>
      </c>
      <c r="L139" s="7" t="str">
        <f>IFERROR(__xludf.DUMMYFUNCTION("""COMPUTED_VALUE"""),"0917942051")</f>
        <v>0917942051</v>
      </c>
      <c r="M139" s="7" t="str">
        <f>IFERROR(__xludf.DUMMYFUNCTION("""COMPUTED_VALUE"""),"038068002411")</f>
        <v>038068002411</v>
      </c>
      <c r="N139" s="18">
        <f>IFERROR(__xludf.DUMMYFUNCTION("""COMPUTED_VALUE"""),24871.0)</f>
        <v>24871</v>
      </c>
      <c r="O139" s="7" t="str">
        <f>IFERROR(__xludf.DUMMYFUNCTION("""COMPUTED_VALUE"""),"Cục Cảnh sát QLHC về TTXH")</f>
        <v>Cục Cảnh sát QLHC về TTXH</v>
      </c>
      <c r="P139" s="7" t="str">
        <f>IFERROR(__xludf.DUMMYFUNCTION("""COMPUTED_VALUE"""),"THPT")</f>
        <v>THPT</v>
      </c>
      <c r="Q139" s="7" t="str">
        <f>IFERROR(__xludf.DUMMYFUNCTION("""COMPUTED_VALUE"""),"Lao động phổ thông")</f>
        <v>Lao động phổ thông</v>
      </c>
      <c r="R139" s="17">
        <f>IFERROR(__xludf.DUMMYFUNCTION("""COMPUTED_VALUE"""),41178.0)</f>
        <v>41178</v>
      </c>
      <c r="S139" s="19">
        <f>IFERROR(__xludf.DUMMYFUNCTION("""COMPUTED_VALUE"""),41178.0)</f>
        <v>41178</v>
      </c>
      <c r="T139" s="7" t="str">
        <f>IFERROR(__xludf.DUMMYFUNCTION("""COMPUTED_VALUE"""),"Chính thức")</f>
        <v>Chính thức</v>
      </c>
      <c r="U139" s="7"/>
      <c r="V139" s="7" t="str">
        <f>IFERROR(__xludf.DUMMYFUNCTION("""COMPUTED_VALUE"""),"Chính thức")</f>
        <v>Chính thức</v>
      </c>
      <c r="W139" s="7" t="str">
        <f>IFERROR(__xludf.DUMMYFUNCTION("""COMPUTED_VALUE"""),"13 năm 3 tháng")</f>
        <v>13 năm 3 tháng</v>
      </c>
      <c r="X139" s="7"/>
      <c r="Y139" s="7"/>
      <c r="Z139" s="7"/>
    </row>
    <row r="140">
      <c r="A140" s="7">
        <f>IFERROR(__xludf.DUMMYFUNCTION("""COMPUTED_VALUE"""),20.0)</f>
        <v>20</v>
      </c>
      <c r="B140" s="7" t="str">
        <f>IFERROR(__xludf.DUMMYFUNCTION("""COMPUTED_VALUE"""),"Văn phòng")</f>
        <v>Văn phòng</v>
      </c>
      <c r="C140" s="7" t="str">
        <f>IFERROR(__xludf.DUMMYFUNCTION("""COMPUTED_VALUE"""),"Phòng khai thác")</f>
        <v>Phòng khai thác</v>
      </c>
      <c r="D140" s="7" t="str">
        <f>IFERROR(__xludf.DUMMYFUNCTION("""COMPUTED_VALUE"""),"Phân xưởng CBNL")</f>
        <v>Phân xưởng CBNL</v>
      </c>
      <c r="E140" s="7" t="str">
        <f>IFERROR(__xludf.DUMMYFUNCTION("""COMPUTED_VALUE"""),"VHC Lò đốt")</f>
        <v>VHC Lò đốt</v>
      </c>
      <c r="F140" s="7" t="str">
        <f>IFERROR(__xludf.DUMMYFUNCTION("""COMPUTED_VALUE"""),"NV3490")</f>
        <v>NV3490</v>
      </c>
      <c r="G140" s="7">
        <f>IFERROR(__xludf.DUMMYFUNCTION("""COMPUTED_VALUE"""),759.0)</f>
        <v>759</v>
      </c>
      <c r="H140" s="7" t="str">
        <f>IFERROR(__xludf.DUMMYFUNCTION("""COMPUTED_VALUE"""),"Bùi Đình Cẩn")</f>
        <v>Bùi Đình Cẩn</v>
      </c>
      <c r="I140" s="7" t="str">
        <f>IFERROR(__xludf.DUMMYFUNCTION("""COMPUTED_VALUE"""),"Nam")</f>
        <v>Nam</v>
      </c>
      <c r="J140" s="17">
        <f>IFERROR(__xludf.DUMMYFUNCTION("""COMPUTED_VALUE"""),28831.0)</f>
        <v>28831</v>
      </c>
      <c r="K140" s="7" t="str">
        <f>IFERROR(__xludf.DUMMYFUNCTION("""COMPUTED_VALUE"""),"Thôn 2 - Xã Quảng Bình - Tỉnh Thanh Hóa")</f>
        <v>Thôn 2 - Xã Quảng Bình - Tỉnh Thanh Hóa</v>
      </c>
      <c r="L140" s="7" t="str">
        <f>IFERROR(__xludf.DUMMYFUNCTION("""COMPUTED_VALUE"""),"0972467055")</f>
        <v>0972467055</v>
      </c>
      <c r="M140" s="7" t="str">
        <f>IFERROR(__xludf.DUMMYFUNCTION("""COMPUTED_VALUE"""),"038078005495")</f>
        <v>038078005495</v>
      </c>
      <c r="N140" s="18">
        <f>IFERROR(__xludf.DUMMYFUNCTION("""COMPUTED_VALUE"""),44326.0)</f>
        <v>44326</v>
      </c>
      <c r="O140" s="7" t="str">
        <f>IFERROR(__xludf.DUMMYFUNCTION("""COMPUTED_VALUE"""),"Cục Cảnh sát QLHC về TTXH")</f>
        <v>Cục Cảnh sát QLHC về TTXH</v>
      </c>
      <c r="P140" s="7" t="str">
        <f>IFERROR(__xludf.DUMMYFUNCTION("""COMPUTED_VALUE"""),"LĐPT")</f>
        <v>LĐPT</v>
      </c>
      <c r="Q140" s="7" t="str">
        <f>IFERROR(__xludf.DUMMYFUNCTION("""COMPUTED_VALUE"""),"Lao động phổ thông")</f>
        <v>Lao động phổ thông</v>
      </c>
      <c r="R140" s="17">
        <f>IFERROR(__xludf.DUMMYFUNCTION("""COMPUTED_VALUE"""),45484.0)</f>
        <v>45484</v>
      </c>
      <c r="S140" s="19">
        <f>IFERROR(__xludf.DUMMYFUNCTION("""COMPUTED_VALUE"""),45566.0)</f>
        <v>45566</v>
      </c>
      <c r="T140" s="7" t="str">
        <f>IFERROR(__xludf.DUMMYFUNCTION("""COMPUTED_VALUE"""),"Chính thức")</f>
        <v>Chính thức</v>
      </c>
      <c r="U140" s="7"/>
      <c r="V140" s="7" t="str">
        <f>IFERROR(__xludf.DUMMYFUNCTION("""COMPUTED_VALUE"""),"Chính thức")</f>
        <v>Chính thức</v>
      </c>
      <c r="W140" s="7" t="str">
        <f>IFERROR(__xludf.DUMMYFUNCTION("""COMPUTED_VALUE"""),"1 năm 5 tháng")</f>
        <v>1 năm 5 tháng</v>
      </c>
      <c r="X140" s="7"/>
      <c r="Y140" s="7"/>
      <c r="Z140" s="7"/>
    </row>
    <row r="141">
      <c r="A141" s="7">
        <f>IFERROR(__xludf.DUMMYFUNCTION("""COMPUTED_VALUE"""),21.0)</f>
        <v>21</v>
      </c>
      <c r="B141" s="7" t="str">
        <f>IFERROR(__xludf.DUMMYFUNCTION("""COMPUTED_VALUE"""),"Văn phòng")</f>
        <v>Văn phòng</v>
      </c>
      <c r="C141" s="7" t="str">
        <f>IFERROR(__xludf.DUMMYFUNCTION("""COMPUTED_VALUE"""),"Phòng khai thác")</f>
        <v>Phòng khai thác</v>
      </c>
      <c r="D141" s="7" t="str">
        <f>IFERROR(__xludf.DUMMYFUNCTION("""COMPUTED_VALUE"""),"Phân xưởng CBNL")</f>
        <v>Phân xưởng CBNL</v>
      </c>
      <c r="E141" s="7"/>
      <c r="F141" s="7" t="str">
        <f>IFERROR(__xludf.DUMMYFUNCTION("""COMPUTED_VALUE"""),"NV0644")</f>
        <v>NV0644</v>
      </c>
      <c r="G141" s="7">
        <f>IFERROR(__xludf.DUMMYFUNCTION("""COMPUTED_VALUE"""),657.0)</f>
        <v>657</v>
      </c>
      <c r="H141" s="7" t="str">
        <f>IFERROR(__xludf.DUMMYFUNCTION("""COMPUTED_VALUE"""),"Lê Văn Hiệu")</f>
        <v>Lê Văn Hiệu</v>
      </c>
      <c r="I141" s="7" t="str">
        <f>IFERROR(__xludf.DUMMYFUNCTION("""COMPUTED_VALUE"""),"Nam")</f>
        <v>Nam</v>
      </c>
      <c r="J141" s="17">
        <f>IFERROR(__xludf.DUMMYFUNCTION("""COMPUTED_VALUE"""),31076.0)</f>
        <v>31076</v>
      </c>
      <c r="K141" s="7" t="str">
        <f>IFERROR(__xludf.DUMMYFUNCTION("""COMPUTED_VALUE"""),"Xã Quảng Bình - Tỉnh Thanh Hóa")</f>
        <v>Xã Quảng Bình - Tỉnh Thanh Hóa</v>
      </c>
      <c r="L141" s="7" t="str">
        <f>IFERROR(__xludf.DUMMYFUNCTION("""COMPUTED_VALUE"""),"0834764714")</f>
        <v>0834764714</v>
      </c>
      <c r="M141" s="7" t="str">
        <f>IFERROR(__xludf.DUMMYFUNCTION("""COMPUTED_VALUE"""),"038085006942")</f>
        <v>038085006942</v>
      </c>
      <c r="N141" s="18">
        <f>IFERROR(__xludf.DUMMYFUNCTION("""COMPUTED_VALUE"""),45708.0)</f>
        <v>45708</v>
      </c>
      <c r="O141" s="7" t="str">
        <f>IFERROR(__xludf.DUMMYFUNCTION("""COMPUTED_VALUE"""),"Bộ công an")</f>
        <v>Bộ công an</v>
      </c>
      <c r="P141" s="7" t="str">
        <f>IFERROR(__xludf.DUMMYFUNCTION("""COMPUTED_VALUE"""),"THPT")</f>
        <v>THPT</v>
      </c>
      <c r="Q141" s="7" t="str">
        <f>IFERROR(__xludf.DUMMYFUNCTION("""COMPUTED_VALUE"""),"Lao động phổ thông")</f>
        <v>Lao động phổ thông</v>
      </c>
      <c r="R141" s="17">
        <f>IFERROR(__xludf.DUMMYFUNCTION("""COMPUTED_VALUE"""),45371.0)</f>
        <v>45371</v>
      </c>
      <c r="S141" s="19">
        <f>IFERROR(__xludf.DUMMYFUNCTION("""COMPUTED_VALUE"""),45444.0)</f>
        <v>45444</v>
      </c>
      <c r="T141" s="7" t="str">
        <f>IFERROR(__xludf.DUMMYFUNCTION("""COMPUTED_VALUE"""),"Chính thức")</f>
        <v>Chính thức</v>
      </c>
      <c r="U141" s="7"/>
      <c r="V141" s="7" t="str">
        <f>IFERROR(__xludf.DUMMYFUNCTION("""COMPUTED_VALUE"""),"Chính thức")</f>
        <v>Chính thức</v>
      </c>
      <c r="W141" s="7" t="str">
        <f>IFERROR(__xludf.DUMMYFUNCTION("""COMPUTED_VALUE"""),"1 năm 9 tháng")</f>
        <v>1 năm 9 tháng</v>
      </c>
      <c r="X141" s="7"/>
      <c r="Y141" s="7"/>
      <c r="Z141" s="7"/>
    </row>
    <row r="142">
      <c r="A142" s="7">
        <f>IFERROR(__xludf.DUMMYFUNCTION("""COMPUTED_VALUE"""),22.0)</f>
        <v>22</v>
      </c>
      <c r="B142" s="7" t="str">
        <f>IFERROR(__xludf.DUMMYFUNCTION("""COMPUTED_VALUE"""),"Văn phòng")</f>
        <v>Văn phòng</v>
      </c>
      <c r="C142" s="7" t="str">
        <f>IFERROR(__xludf.DUMMYFUNCTION("""COMPUTED_VALUE"""),"Phòng khai thác")</f>
        <v>Phòng khai thác</v>
      </c>
      <c r="D142" s="7" t="str">
        <f>IFERROR(__xludf.DUMMYFUNCTION("""COMPUTED_VALUE"""),"Phân xưởng CBNL")</f>
        <v>Phân xưởng CBNL</v>
      </c>
      <c r="E142" s="7" t="str">
        <f>IFERROR(__xludf.DUMMYFUNCTION("""COMPUTED_VALUE"""),"Lái xúc lật")</f>
        <v>Lái xúc lật</v>
      </c>
      <c r="F142" s="7" t="str">
        <f>IFERROR(__xludf.DUMMYFUNCTION("""COMPUTED_VALUE"""),"NV0384")</f>
        <v>NV0384</v>
      </c>
      <c r="G142" s="7">
        <f>IFERROR(__xludf.DUMMYFUNCTION("""COMPUTED_VALUE"""),1088.0)</f>
        <v>1088</v>
      </c>
      <c r="H142" s="7" t="str">
        <f>IFERROR(__xludf.DUMMYFUNCTION("""COMPUTED_VALUE"""),"Nguyễn Hữu Nhân ")</f>
        <v>Nguyễn Hữu Nhân </v>
      </c>
      <c r="I142" s="7" t="str">
        <f>IFERROR(__xludf.DUMMYFUNCTION("""COMPUTED_VALUE"""),"Nam")</f>
        <v>Nam</v>
      </c>
      <c r="J142" s="17">
        <f>IFERROR(__xludf.DUMMYFUNCTION("""COMPUTED_VALUE"""),32934.0)</f>
        <v>32934</v>
      </c>
      <c r="K142" s="7" t="str">
        <f>IFERROR(__xludf.DUMMYFUNCTION("""COMPUTED_VALUE"""),"Phố Chính Hảo - Phường Quảng Phú - Tỉnh Thanh Hóa")</f>
        <v>Phố Chính Hảo - Phường Quảng Phú - Tỉnh Thanh Hóa</v>
      </c>
      <c r="L142" s="7" t="str">
        <f>IFERROR(__xludf.DUMMYFUNCTION("""COMPUTED_VALUE"""),"0931029222")</f>
        <v>0931029222</v>
      </c>
      <c r="M142" s="7" t="str">
        <f>IFERROR(__xludf.DUMMYFUNCTION("""COMPUTED_VALUE"""),"038090000512")</f>
        <v>038090000512</v>
      </c>
      <c r="N142" s="18">
        <f>IFERROR(__xludf.DUMMYFUNCTION("""COMPUTED_VALUE"""),42481.0)</f>
        <v>42481</v>
      </c>
      <c r="O142" s="7" t="str">
        <f>IFERROR(__xludf.DUMMYFUNCTION("""COMPUTED_VALUE"""),"Cục Cảnh sát QLHC về TTXH")</f>
        <v>Cục Cảnh sát QLHC về TTXH</v>
      </c>
      <c r="P142" s="7" t="str">
        <f>IFERROR(__xludf.DUMMYFUNCTION("""COMPUTED_VALUE"""),"Bằng nghề")</f>
        <v>Bằng nghề</v>
      </c>
      <c r="Q142" s="7" t="str">
        <f>IFERROR(__xludf.DUMMYFUNCTION("""COMPUTED_VALUE"""),"Lái xúc lật")</f>
        <v>Lái xúc lật</v>
      </c>
      <c r="R142" s="17">
        <f>IFERROR(__xludf.DUMMYFUNCTION("""COMPUTED_VALUE"""),45840.0)</f>
        <v>45840</v>
      </c>
      <c r="S142" s="19">
        <f>IFERROR(__xludf.DUMMYFUNCTION("""COMPUTED_VALUE"""),45840.0)</f>
        <v>45840</v>
      </c>
      <c r="T142" s="7" t="str">
        <f>IFERROR(__xludf.DUMMYFUNCTION("""COMPUTED_VALUE"""),"Chính thức")</f>
        <v>Chính thức</v>
      </c>
      <c r="U142" s="7"/>
      <c r="V142" s="7" t="str">
        <f>IFERROR(__xludf.DUMMYFUNCTION("""COMPUTED_VALUE"""),"Chính thức")</f>
        <v>Chính thức</v>
      </c>
      <c r="W142" s="7" t="str">
        <f>IFERROR(__xludf.DUMMYFUNCTION("""COMPUTED_VALUE"""),"0 năm 5 tháng")</f>
        <v>0 năm 5 tháng</v>
      </c>
      <c r="X142" s="7"/>
      <c r="Y142" s="7"/>
      <c r="Z142" s="7"/>
    </row>
    <row r="143">
      <c r="A143" s="7">
        <f>IFERROR(__xludf.DUMMYFUNCTION("""COMPUTED_VALUE"""),23.0)</f>
        <v>23</v>
      </c>
      <c r="B143" s="7" t="str">
        <f>IFERROR(__xludf.DUMMYFUNCTION("""COMPUTED_VALUE"""),"Văn phòng")</f>
        <v>Văn phòng</v>
      </c>
      <c r="C143" s="7" t="str">
        <f>IFERROR(__xludf.DUMMYFUNCTION("""COMPUTED_VALUE"""),"Phòng khai thác")</f>
        <v>Phòng khai thác</v>
      </c>
      <c r="D143" s="7" t="str">
        <f>IFERROR(__xludf.DUMMYFUNCTION("""COMPUTED_VALUE"""),"Phân xưởng CBNL")</f>
        <v>Phân xưởng CBNL</v>
      </c>
      <c r="E143" s="7" t="str">
        <f>IFERROR(__xludf.DUMMYFUNCTION("""COMPUTED_VALUE"""),"Vận hành")</f>
        <v>Vận hành</v>
      </c>
      <c r="F143" s="7" t="str">
        <f>IFERROR(__xludf.DUMMYFUNCTION("""COMPUTED_VALUE"""),"NV5708")</f>
        <v>NV5708</v>
      </c>
      <c r="G143" s="7">
        <f>IFERROR(__xludf.DUMMYFUNCTION("""COMPUTED_VALUE"""),1199.0)</f>
        <v>1199</v>
      </c>
      <c r="H143" s="7" t="str">
        <f>IFERROR(__xludf.DUMMYFUNCTION("""COMPUTED_VALUE"""),"Đỗ Viết Minh")</f>
        <v>Đỗ Viết Minh</v>
      </c>
      <c r="I143" s="7" t="str">
        <f>IFERROR(__xludf.DUMMYFUNCTION("""COMPUTED_VALUE"""),"Nam")</f>
        <v>Nam</v>
      </c>
      <c r="J143" s="17">
        <f>IFERROR(__xludf.DUMMYFUNCTION("""COMPUTED_VALUE"""),37662.0)</f>
        <v>37662</v>
      </c>
      <c r="K143" s="7" t="str">
        <f>IFERROR(__xludf.DUMMYFUNCTION("""COMPUTED_VALUE"""),"TDP Phượng Cát - Phường Ngọc Sơn - Tỉnh Thanh Hóa")</f>
        <v>TDP Phượng Cát - Phường Ngọc Sơn - Tỉnh Thanh Hóa</v>
      </c>
      <c r="L143" s="7" t="str">
        <f>IFERROR(__xludf.DUMMYFUNCTION("""COMPUTED_VALUE"""),"0345184016")</f>
        <v>0345184016</v>
      </c>
      <c r="M143" s="7" t="str">
        <f>IFERROR(__xludf.DUMMYFUNCTION("""COMPUTED_VALUE"""),"038203016610")</f>
        <v>038203016610</v>
      </c>
      <c r="N143" s="18">
        <f>IFERROR(__xludf.DUMMYFUNCTION("""COMPUTED_VALUE"""),44379.0)</f>
        <v>44379</v>
      </c>
      <c r="O143" s="7" t="str">
        <f>IFERROR(__xludf.DUMMYFUNCTION("""COMPUTED_VALUE"""),"Cục Cảnh sát QLHC về TTXH")</f>
        <v>Cục Cảnh sát QLHC về TTXH</v>
      </c>
      <c r="P143" s="7" t="str">
        <f>IFERROR(__xludf.DUMMYFUNCTION("""COMPUTED_VALUE"""),"Cao đẳng")</f>
        <v>Cao đẳng</v>
      </c>
      <c r="Q143" s="7" t="str">
        <f>IFERROR(__xludf.DUMMYFUNCTION("""COMPUTED_VALUE"""),"Công nghệ kỹ thuật điện điện tử")</f>
        <v>Công nghệ kỹ thuật điện điện tử</v>
      </c>
      <c r="R143" s="17">
        <f>IFERROR(__xludf.DUMMYFUNCTION("""COMPUTED_VALUE"""),45916.0)</f>
        <v>45916</v>
      </c>
      <c r="S143" s="19">
        <f>IFERROR(__xludf.DUMMYFUNCTION("""COMPUTED_VALUE"""),45946.0)</f>
        <v>45946</v>
      </c>
      <c r="T143" s="7" t="str">
        <f>IFERROR(__xludf.DUMMYFUNCTION("""COMPUTED_VALUE"""),"Chính thức")</f>
        <v>Chính thức</v>
      </c>
      <c r="U143" s="7"/>
      <c r="V143" s="7" t="str">
        <f>IFERROR(__xludf.DUMMYFUNCTION("""COMPUTED_VALUE"""),"Thử việc")</f>
        <v>Thử việc</v>
      </c>
      <c r="W143" s="7" t="str">
        <f>IFERROR(__xludf.DUMMYFUNCTION("""COMPUTED_VALUE"""),"0 năm 3 tháng")</f>
        <v>0 năm 3 tháng</v>
      </c>
      <c r="X143" s="7"/>
      <c r="Y143" s="7"/>
      <c r="Z143" s="7"/>
    </row>
    <row r="144">
      <c r="A144" s="7">
        <f>IFERROR(__xludf.DUMMYFUNCTION("""COMPUTED_VALUE"""),24.0)</f>
        <v>24</v>
      </c>
      <c r="B144" s="7" t="str">
        <f>IFERROR(__xludf.DUMMYFUNCTION("""COMPUTED_VALUE"""),"Văn phòng")</f>
        <v>Văn phòng</v>
      </c>
      <c r="C144" s="7" t="str">
        <f>IFERROR(__xludf.DUMMYFUNCTION("""COMPUTED_VALUE"""),"Phòng khai thác")</f>
        <v>Phòng khai thác</v>
      </c>
      <c r="D144" s="7" t="str">
        <f>IFERROR(__xludf.DUMMYFUNCTION("""COMPUTED_VALUE"""),"Phân xưởng CBNL")</f>
        <v>Phân xưởng CBNL</v>
      </c>
      <c r="E144" s="7" t="str">
        <f>IFERROR(__xludf.DUMMYFUNCTION("""COMPUTED_VALUE"""),"Công nhân vận hành")</f>
        <v>Công nhân vận hành</v>
      </c>
      <c r="F144" s="7" t="str">
        <f>IFERROR(__xludf.DUMMYFUNCTION("""COMPUTED_VALUE"""),"NV0640")</f>
        <v>NV0640</v>
      </c>
      <c r="G144" s="7">
        <f>IFERROR(__xludf.DUMMYFUNCTION("""COMPUTED_VALUE"""),404.0)</f>
        <v>404</v>
      </c>
      <c r="H144" s="7" t="str">
        <f>IFERROR(__xludf.DUMMYFUNCTION("""COMPUTED_VALUE"""),"Bùi Đình Vịnh")</f>
        <v>Bùi Đình Vịnh</v>
      </c>
      <c r="I144" s="7" t="str">
        <f>IFERROR(__xludf.DUMMYFUNCTION("""COMPUTED_VALUE"""),"Nam")</f>
        <v>Nam</v>
      </c>
      <c r="J144" s="17">
        <f>IFERROR(__xludf.DUMMYFUNCTION("""COMPUTED_VALUE"""),29199.0)</f>
        <v>29199</v>
      </c>
      <c r="K144" s="7" t="str">
        <f>IFERROR(__xludf.DUMMYFUNCTION("""COMPUTED_VALUE"""),"Xã Quảng Bình - Tỉnh Thanh Hóa")</f>
        <v>Xã Quảng Bình - Tỉnh Thanh Hóa</v>
      </c>
      <c r="L144" s="7" t="str">
        <f>IFERROR(__xludf.DUMMYFUNCTION("""COMPUTED_VALUE"""),"0385153907")</f>
        <v>0385153907</v>
      </c>
      <c r="M144" s="7" t="str">
        <f>IFERROR(__xludf.DUMMYFUNCTION("""COMPUTED_VALUE"""),"038079000999")</f>
        <v>038079000999</v>
      </c>
      <c r="N144" s="18">
        <f>IFERROR(__xludf.DUMMYFUNCTION("""COMPUTED_VALUE"""),44326.0)</f>
        <v>44326</v>
      </c>
      <c r="O144" s="7" t="str">
        <f>IFERROR(__xludf.DUMMYFUNCTION("""COMPUTED_VALUE"""),"Cục Cảnh sát QLHC về TTXH")</f>
        <v>Cục Cảnh sát QLHC về TTXH</v>
      </c>
      <c r="P144" s="7" t="str">
        <f>IFERROR(__xludf.DUMMYFUNCTION("""COMPUTED_VALUE"""),"LĐPT")</f>
        <v>LĐPT</v>
      </c>
      <c r="Q144" s="7" t="str">
        <f>IFERROR(__xludf.DUMMYFUNCTION("""COMPUTED_VALUE"""),"Lao động phổ thông")</f>
        <v>Lao động phổ thông</v>
      </c>
      <c r="R144" s="17">
        <f>IFERROR(__xludf.DUMMYFUNCTION("""COMPUTED_VALUE"""),42534.0)</f>
        <v>42534</v>
      </c>
      <c r="S144" s="19">
        <f>IFERROR(__xludf.DUMMYFUNCTION("""COMPUTED_VALUE"""),42948.0)</f>
        <v>42948</v>
      </c>
      <c r="T144" s="7" t="str">
        <f>IFERROR(__xludf.DUMMYFUNCTION("""COMPUTED_VALUE"""),"Chính thức")</f>
        <v>Chính thức</v>
      </c>
      <c r="U144" s="7"/>
      <c r="V144" s="7" t="str">
        <f>IFERROR(__xludf.DUMMYFUNCTION("""COMPUTED_VALUE"""),"Chính thức")</f>
        <v>Chính thức</v>
      </c>
      <c r="W144" s="7" t="str">
        <f>IFERROR(__xludf.DUMMYFUNCTION("""COMPUTED_VALUE"""),"9 năm 6 tháng")</f>
        <v>9 năm 6 tháng</v>
      </c>
      <c r="X144" s="7"/>
      <c r="Y144" s="7"/>
      <c r="Z144" s="7"/>
    </row>
    <row r="145">
      <c r="A145" s="7">
        <f>IFERROR(__xludf.DUMMYFUNCTION("""COMPUTED_VALUE"""),25.0)</f>
        <v>25</v>
      </c>
      <c r="B145" s="7" t="str">
        <f>IFERROR(__xludf.DUMMYFUNCTION("""COMPUTED_VALUE"""),"Văn phòng")</f>
        <v>Văn phòng</v>
      </c>
      <c r="C145" s="7" t="str">
        <f>IFERROR(__xludf.DUMMYFUNCTION("""COMPUTED_VALUE"""),"Phòng khai thác")</f>
        <v>Phòng khai thác</v>
      </c>
      <c r="D145" s="7" t="str">
        <f>IFERROR(__xludf.DUMMYFUNCTION("""COMPUTED_VALUE"""),"Phân xưởng CBNL")</f>
        <v>Phân xưởng CBNL</v>
      </c>
      <c r="E145" s="7" t="str">
        <f>IFERROR(__xludf.DUMMYFUNCTION("""COMPUTED_VALUE"""),"Công nhân vận hành")</f>
        <v>Công nhân vận hành</v>
      </c>
      <c r="F145" s="7" t="str">
        <f>IFERROR(__xludf.DUMMYFUNCTION("""COMPUTED_VALUE"""),"NV5347")</f>
        <v>NV5347</v>
      </c>
      <c r="G145" s="7">
        <f>IFERROR(__xludf.DUMMYFUNCTION("""COMPUTED_VALUE"""),671.0)</f>
        <v>671</v>
      </c>
      <c r="H145" s="7" t="str">
        <f>IFERROR(__xludf.DUMMYFUNCTION("""COMPUTED_VALUE"""),"Nguyễn Đức Thanh")</f>
        <v>Nguyễn Đức Thanh</v>
      </c>
      <c r="I145" s="7" t="str">
        <f>IFERROR(__xludf.DUMMYFUNCTION("""COMPUTED_VALUE"""),"Nam")</f>
        <v>Nam</v>
      </c>
      <c r="J145" s="17">
        <f>IFERROR(__xludf.DUMMYFUNCTION("""COMPUTED_VALUE"""),28970.0)</f>
        <v>28970</v>
      </c>
      <c r="K145" s="7" t="str">
        <f>IFERROR(__xludf.DUMMYFUNCTION("""COMPUTED_VALUE"""),"Phố Phan Đình Phùng - Phường Hạc Thành - Tỉnh Thanh Hóa")</f>
        <v>Phố Phan Đình Phùng - Phường Hạc Thành - Tỉnh Thanh Hóa</v>
      </c>
      <c r="L145" s="7" t="str">
        <f>IFERROR(__xludf.DUMMYFUNCTION("""COMPUTED_VALUE"""),"0962385537")</f>
        <v>0962385537</v>
      </c>
      <c r="M145" s="7" t="str">
        <f>IFERROR(__xludf.DUMMYFUNCTION("""COMPUTED_VALUE"""),"038079011949")</f>
        <v>038079011949</v>
      </c>
      <c r="N145" s="18">
        <f>IFERROR(__xludf.DUMMYFUNCTION("""COMPUTED_VALUE"""),45366.0)</f>
        <v>45366</v>
      </c>
      <c r="O145" s="7" t="str">
        <f>IFERROR(__xludf.DUMMYFUNCTION("""COMPUTED_VALUE"""),"Cục Cảnh sát QLHC về TTXH")</f>
        <v>Cục Cảnh sát QLHC về TTXH</v>
      </c>
      <c r="P145" s="7" t="str">
        <f>IFERROR(__xludf.DUMMYFUNCTION("""COMPUTED_VALUE"""),"Lao động phổ thông")</f>
        <v>Lao động phổ thông</v>
      </c>
      <c r="Q145" s="7" t="str">
        <f>IFERROR(__xludf.DUMMYFUNCTION("""COMPUTED_VALUE"""),"Lao động phổ thông")</f>
        <v>Lao động phổ thông</v>
      </c>
      <c r="R145" s="17">
        <f>IFERROR(__xludf.DUMMYFUNCTION("""COMPUTED_VALUE"""),45809.0)</f>
        <v>45809</v>
      </c>
      <c r="S145" s="19">
        <f>IFERROR(__xludf.DUMMYFUNCTION("""COMPUTED_VALUE"""),45809.0)</f>
        <v>45809</v>
      </c>
      <c r="T145" s="7" t="str">
        <f>IFERROR(__xludf.DUMMYFUNCTION("""COMPUTED_VALUE"""),"Chính thức")</f>
        <v>Chính thức</v>
      </c>
      <c r="U145" s="7"/>
      <c r="V145" s="7" t="str">
        <f>IFERROR(__xludf.DUMMYFUNCTION("""COMPUTED_VALUE"""),"Chính thức")</f>
        <v>Chính thức</v>
      </c>
      <c r="W145" s="7" t="str">
        <f>IFERROR(__xludf.DUMMYFUNCTION("""COMPUTED_VALUE"""),"0 năm 6 tháng")</f>
        <v>0 năm 6 tháng</v>
      </c>
      <c r="X145" s="7"/>
      <c r="Y145" s="7"/>
      <c r="Z145" s="7"/>
    </row>
    <row r="146">
      <c r="A146" s="7">
        <f>IFERROR(__xludf.DUMMYFUNCTION("""COMPUTED_VALUE"""),26.0)</f>
        <v>26</v>
      </c>
      <c r="B146" s="7" t="str">
        <f>IFERROR(__xludf.DUMMYFUNCTION("""COMPUTED_VALUE"""),"Văn phòng")</f>
        <v>Văn phòng</v>
      </c>
      <c r="C146" s="7" t="str">
        <f>IFERROR(__xludf.DUMMYFUNCTION("""COMPUTED_VALUE"""),"Phòng khai thác")</f>
        <v>Phòng khai thác</v>
      </c>
      <c r="D146" s="7" t="str">
        <f>IFERROR(__xludf.DUMMYFUNCTION("""COMPUTED_VALUE"""),"Phân xưởng CBNL")</f>
        <v>Phân xưởng CBNL</v>
      </c>
      <c r="E146" s="7" t="str">
        <f>IFERROR(__xludf.DUMMYFUNCTION("""COMPUTED_VALUE"""),"Công nhân vận hành")</f>
        <v>Công nhân vận hành</v>
      </c>
      <c r="F146" s="7" t="str">
        <f>IFERROR(__xludf.DUMMYFUNCTION("""COMPUTED_VALUE"""),"NV5294")</f>
        <v>NV5294</v>
      </c>
      <c r="G146" s="7">
        <f>IFERROR(__xludf.DUMMYFUNCTION("""COMPUTED_VALUE"""),661.0)</f>
        <v>661</v>
      </c>
      <c r="H146" s="7" t="str">
        <f>IFERROR(__xludf.DUMMYFUNCTION("""COMPUTED_VALUE"""),"Đinh Sỹ Hải")</f>
        <v>Đinh Sỹ Hải</v>
      </c>
      <c r="I146" s="7" t="str">
        <f>IFERROR(__xludf.DUMMYFUNCTION("""COMPUTED_VALUE"""),"Nam")</f>
        <v>Nam</v>
      </c>
      <c r="J146" s="17">
        <f>IFERROR(__xludf.DUMMYFUNCTION("""COMPUTED_VALUE"""),33902.0)</f>
        <v>33902</v>
      </c>
      <c r="K146" s="7" t="str">
        <f>IFERROR(__xludf.DUMMYFUNCTION("""COMPUTED_VALUE"""),"Phường Nam Sầm Sơn - Tỉnh Thanh Hóa")</f>
        <v>Phường Nam Sầm Sơn - Tỉnh Thanh Hóa</v>
      </c>
      <c r="L146" s="7" t="str">
        <f>IFERROR(__xludf.DUMMYFUNCTION("""COMPUTED_VALUE"""),"0965626238")</f>
        <v>0965626238</v>
      </c>
      <c r="M146" s="7" t="str">
        <f>IFERROR(__xludf.DUMMYFUNCTION("""COMPUTED_VALUE"""),"038092034167")</f>
        <v>038092034167</v>
      </c>
      <c r="N146" s="18">
        <f>IFERROR(__xludf.DUMMYFUNCTION("""COMPUTED_VALUE"""),44427.0)</f>
        <v>44427</v>
      </c>
      <c r="O146" s="7" t="str">
        <f>IFERROR(__xludf.DUMMYFUNCTION("""COMPUTED_VALUE"""),"Cục Cảnh sát QLHC về TTXH")</f>
        <v>Cục Cảnh sát QLHC về TTXH</v>
      </c>
      <c r="P146" s="7" t="str">
        <f>IFERROR(__xludf.DUMMYFUNCTION("""COMPUTED_VALUE"""),"LĐPT")</f>
        <v>LĐPT</v>
      </c>
      <c r="Q146" s="7" t="str">
        <f>IFERROR(__xludf.DUMMYFUNCTION("""COMPUTED_VALUE"""),"Lao động phổ thông")</f>
        <v>Lao động phổ thông</v>
      </c>
      <c r="R146" s="17">
        <f>IFERROR(__xludf.DUMMYFUNCTION("""COMPUTED_VALUE"""),45806.0)</f>
        <v>45806</v>
      </c>
      <c r="S146" s="7"/>
      <c r="T146" s="7" t="str">
        <f>IFERROR(__xludf.DUMMYFUNCTION("""COMPUTED_VALUE"""),"Chính thức")</f>
        <v>Chính thức</v>
      </c>
      <c r="U146" s="7"/>
      <c r="V146" s="7" t="str">
        <f>IFERROR(__xludf.DUMMYFUNCTION("""COMPUTED_VALUE"""),"Chính thức")</f>
        <v>Chính thức</v>
      </c>
      <c r="W146" s="7" t="str">
        <f>IFERROR(__xludf.DUMMYFUNCTION("""COMPUTED_VALUE"""),"0 năm 7 tháng")</f>
        <v>0 năm 7 tháng</v>
      </c>
      <c r="X146" s="7"/>
      <c r="Y146" s="7"/>
      <c r="Z146" s="7"/>
    </row>
    <row r="147">
      <c r="A147" s="7">
        <f>IFERROR(__xludf.DUMMYFUNCTION("""COMPUTED_VALUE"""),27.0)</f>
        <v>27</v>
      </c>
      <c r="B147" s="7" t="str">
        <f>IFERROR(__xludf.DUMMYFUNCTION("""COMPUTED_VALUE"""),"Văn phòng")</f>
        <v>Văn phòng</v>
      </c>
      <c r="C147" s="7" t="str">
        <f>IFERROR(__xludf.DUMMYFUNCTION("""COMPUTED_VALUE"""),"Phòng khai thác")</f>
        <v>Phòng khai thác</v>
      </c>
      <c r="D147" s="7" t="str">
        <f>IFERROR(__xludf.DUMMYFUNCTION("""COMPUTED_VALUE"""),"Phân xưởng CBNL")</f>
        <v>Phân xưởng CBNL</v>
      </c>
      <c r="E147" s="7" t="str">
        <f>IFERROR(__xludf.DUMMYFUNCTION("""COMPUTED_VALUE"""),"Công nhân vận hành")</f>
        <v>Công nhân vận hành</v>
      </c>
      <c r="F147" s="7" t="str">
        <f>IFERROR(__xludf.DUMMYFUNCTION("""COMPUTED_VALUE"""),"NV2411")</f>
        <v>NV2411</v>
      </c>
      <c r="G147" s="7">
        <f>IFERROR(__xludf.DUMMYFUNCTION("""COMPUTED_VALUE"""),243.0)</f>
        <v>243</v>
      </c>
      <c r="H147" s="7" t="str">
        <f>IFERROR(__xludf.DUMMYFUNCTION("""COMPUTED_VALUE"""),"Phạm Hữu Huy")</f>
        <v>Phạm Hữu Huy</v>
      </c>
      <c r="I147" s="7" t="str">
        <f>IFERROR(__xludf.DUMMYFUNCTION("""COMPUTED_VALUE"""),"Nam")</f>
        <v>Nam</v>
      </c>
      <c r="J147" s="17">
        <f>IFERROR(__xludf.DUMMYFUNCTION("""COMPUTED_VALUE"""),28984.0)</f>
        <v>28984</v>
      </c>
      <c r="K147" s="7" t="str">
        <f>IFERROR(__xludf.DUMMYFUNCTION("""COMPUTED_VALUE"""),"Phố 2 - Xã Lưu Vệ - Tỉnh Thanh Hóa")</f>
        <v>Phố 2 - Xã Lưu Vệ - Tỉnh Thanh Hóa</v>
      </c>
      <c r="L147" s="7" t="str">
        <f>IFERROR(__xludf.DUMMYFUNCTION("""COMPUTED_VALUE"""),"0975804659")</f>
        <v>0975804659</v>
      </c>
      <c r="M147" s="7" t="str">
        <f>IFERROR(__xludf.DUMMYFUNCTION("""COMPUTED_VALUE"""),"038079010127")</f>
        <v>038079010127</v>
      </c>
      <c r="N147" s="18">
        <f>IFERROR(__xludf.DUMMYFUNCTION("""COMPUTED_VALUE"""),44419.0)</f>
        <v>44419</v>
      </c>
      <c r="O147" s="7" t="str">
        <f>IFERROR(__xludf.DUMMYFUNCTION("""COMPUTED_VALUE"""),"Cục Cảnh sát QLHC về TTXH")</f>
        <v>Cục Cảnh sát QLHC về TTXH</v>
      </c>
      <c r="P147" s="7" t="str">
        <f>IFERROR(__xludf.DUMMYFUNCTION("""COMPUTED_VALUE"""),"LĐPT")</f>
        <v>LĐPT</v>
      </c>
      <c r="Q147" s="7" t="str">
        <f>IFERROR(__xludf.DUMMYFUNCTION("""COMPUTED_VALUE"""),"Lao động phổ thông")</f>
        <v>Lao động phổ thông</v>
      </c>
      <c r="R147" s="17">
        <f>IFERROR(__xludf.DUMMYFUNCTION("""COMPUTED_VALUE"""),43617.0)</f>
        <v>43617</v>
      </c>
      <c r="S147" s="19">
        <f>IFERROR(__xludf.DUMMYFUNCTION("""COMPUTED_VALUE"""),44013.0)</f>
        <v>44013</v>
      </c>
      <c r="T147" s="7" t="str">
        <f>IFERROR(__xludf.DUMMYFUNCTION("""COMPUTED_VALUE"""),"Chính thức")</f>
        <v>Chính thức</v>
      </c>
      <c r="U147" s="7"/>
      <c r="V147" s="7" t="str">
        <f>IFERROR(__xludf.DUMMYFUNCTION("""COMPUTED_VALUE"""),"Chính thức")</f>
        <v>Chính thức</v>
      </c>
      <c r="W147" s="7" t="str">
        <f>IFERROR(__xludf.DUMMYFUNCTION("""COMPUTED_VALUE"""),"6 năm 6 tháng")</f>
        <v>6 năm 6 tháng</v>
      </c>
      <c r="X147" s="7"/>
      <c r="Y147" s="7"/>
      <c r="Z147" s="7"/>
    </row>
    <row r="148">
      <c r="A148" s="7">
        <f>IFERROR(__xludf.DUMMYFUNCTION("""COMPUTED_VALUE"""),28.0)</f>
        <v>28</v>
      </c>
      <c r="B148" s="7" t="str">
        <f>IFERROR(__xludf.DUMMYFUNCTION("""COMPUTED_VALUE"""),"Văn phòng")</f>
        <v>Văn phòng</v>
      </c>
      <c r="C148" s="7" t="str">
        <f>IFERROR(__xludf.DUMMYFUNCTION("""COMPUTED_VALUE"""),"Phòng khai thác")</f>
        <v>Phòng khai thác</v>
      </c>
      <c r="D148" s="7" t="str">
        <f>IFERROR(__xludf.DUMMYFUNCTION("""COMPUTED_VALUE"""),"Phân xưởng CBNL")</f>
        <v>Phân xưởng CBNL</v>
      </c>
      <c r="E148" s="7" t="str">
        <f>IFERROR(__xludf.DUMMYFUNCTION("""COMPUTED_VALUE"""),"Công nhân vận hành")</f>
        <v>Công nhân vận hành</v>
      </c>
      <c r="F148" s="7" t="str">
        <f>IFERROR(__xludf.DUMMYFUNCTION("""COMPUTED_VALUE"""),"NV4189")</f>
        <v>NV4189</v>
      </c>
      <c r="G148" s="7">
        <f>IFERROR(__xludf.DUMMYFUNCTION("""COMPUTED_VALUE"""),228.0)</f>
        <v>228</v>
      </c>
      <c r="H148" s="7" t="str">
        <f>IFERROR(__xludf.DUMMYFUNCTION("""COMPUTED_VALUE"""),"Khúc Xuân Ngọc")</f>
        <v>Khúc Xuân Ngọc</v>
      </c>
      <c r="I148" s="7" t="str">
        <f>IFERROR(__xludf.DUMMYFUNCTION("""COMPUTED_VALUE"""),"Nam")</f>
        <v>Nam</v>
      </c>
      <c r="J148" s="17">
        <f>IFERROR(__xludf.DUMMYFUNCTION("""COMPUTED_VALUE"""),34036.0)</f>
        <v>34036</v>
      </c>
      <c r="K148" s="7" t="str">
        <f>IFERROR(__xludf.DUMMYFUNCTION("""COMPUTED_VALUE"""),"Thôn Trạch Hồng - Xã Quảng Yên - Tỉnh Thanh Hóa")</f>
        <v>Thôn Trạch Hồng - Xã Quảng Yên - Tỉnh Thanh Hóa</v>
      </c>
      <c r="L148" s="7" t="str">
        <f>IFERROR(__xludf.DUMMYFUNCTION("""COMPUTED_VALUE"""),"0849527666")</f>
        <v>0849527666</v>
      </c>
      <c r="M148" s="7" t="str">
        <f>IFERROR(__xludf.DUMMYFUNCTION("""COMPUTED_VALUE"""),"038093014059")</f>
        <v>038093014059</v>
      </c>
      <c r="N148" s="18">
        <f>IFERROR(__xludf.DUMMYFUNCTION("""COMPUTED_VALUE"""),44461.0)</f>
        <v>44461</v>
      </c>
      <c r="O148" s="7" t="str">
        <f>IFERROR(__xludf.DUMMYFUNCTION("""COMPUTED_VALUE"""),"Cục Cảnh sát QLHC về TTXH")</f>
        <v>Cục Cảnh sát QLHC về TTXH</v>
      </c>
      <c r="P148" s="7" t="str">
        <f>IFERROR(__xludf.DUMMYFUNCTION("""COMPUTED_VALUE"""),"LĐPT")</f>
        <v>LĐPT</v>
      </c>
      <c r="Q148" s="7" t="str">
        <f>IFERROR(__xludf.DUMMYFUNCTION("""COMPUTED_VALUE"""),"Lao động phổ thông")</f>
        <v>Lao động phổ thông</v>
      </c>
      <c r="R148" s="17">
        <f>IFERROR(__xludf.DUMMYFUNCTION("""COMPUTED_VALUE"""),44695.0)</f>
        <v>44695</v>
      </c>
      <c r="S148" s="19">
        <f>IFERROR(__xludf.DUMMYFUNCTION("""COMPUTED_VALUE"""),44986.0)</f>
        <v>44986</v>
      </c>
      <c r="T148" s="7" t="str">
        <f>IFERROR(__xludf.DUMMYFUNCTION("""COMPUTED_VALUE"""),"Chính thức")</f>
        <v>Chính thức</v>
      </c>
      <c r="U148" s="7"/>
      <c r="V148" s="7" t="str">
        <f>IFERROR(__xludf.DUMMYFUNCTION("""COMPUTED_VALUE"""),"Chính thức")</f>
        <v>Chính thức</v>
      </c>
      <c r="W148" s="7" t="str">
        <f>IFERROR(__xludf.DUMMYFUNCTION("""COMPUTED_VALUE"""),"3 năm 7 tháng")</f>
        <v>3 năm 7 tháng</v>
      </c>
      <c r="X148" s="7"/>
      <c r="Y148" s="7"/>
      <c r="Z148" s="7"/>
    </row>
    <row r="149">
      <c r="A149" s="7">
        <f>IFERROR(__xludf.DUMMYFUNCTION("""COMPUTED_VALUE"""),29.0)</f>
        <v>29</v>
      </c>
      <c r="B149" s="7" t="str">
        <f>IFERROR(__xludf.DUMMYFUNCTION("""COMPUTED_VALUE"""),"Văn phòng")</f>
        <v>Văn phòng</v>
      </c>
      <c r="C149" s="7" t="str">
        <f>IFERROR(__xludf.DUMMYFUNCTION("""COMPUTED_VALUE"""),"Phòng khai thác")</f>
        <v>Phòng khai thác</v>
      </c>
      <c r="D149" s="7" t="str">
        <f>IFERROR(__xludf.DUMMYFUNCTION("""COMPUTED_VALUE"""),"Phân xưởng CBNL")</f>
        <v>Phân xưởng CBNL</v>
      </c>
      <c r="E149" s="7" t="str">
        <f>IFERROR(__xludf.DUMMYFUNCTION("""COMPUTED_VALUE"""),"Công nhân vận hành")</f>
        <v>Công nhân vận hành</v>
      </c>
      <c r="F149" s="7" t="str">
        <f>IFERROR(__xludf.DUMMYFUNCTION("""COMPUTED_VALUE"""),"NV5669")</f>
        <v>NV5669</v>
      </c>
      <c r="G149" s="7">
        <f>IFERROR(__xludf.DUMMYFUNCTION("""COMPUTED_VALUE"""),1163.0)</f>
        <v>1163</v>
      </c>
      <c r="H149" s="7" t="str">
        <f>IFERROR(__xludf.DUMMYFUNCTION("""COMPUTED_VALUE"""),"Nguyễn Thìn Long")</f>
        <v>Nguyễn Thìn Long</v>
      </c>
      <c r="I149" s="7" t="str">
        <f>IFERROR(__xludf.DUMMYFUNCTION("""COMPUTED_VALUE"""),"Nam")</f>
        <v>Nam</v>
      </c>
      <c r="J149" s="17">
        <f>IFERROR(__xludf.DUMMYFUNCTION("""COMPUTED_VALUE"""),25126.0)</f>
        <v>25126</v>
      </c>
      <c r="K149" s="7" t="str">
        <f>IFERROR(__xludf.DUMMYFUNCTION("""COMPUTED_VALUE"""),"Thôn Hiền Thư - Phường Đông Sơn - 
 Tỉnh Thanh Hóa")</f>
        <v>Thôn Hiền Thư - Phường Đông Sơn - 
 Tỉnh Thanh Hóa</v>
      </c>
      <c r="L149" s="7" t="str">
        <f>IFERROR(__xludf.DUMMYFUNCTION("""COMPUTED_VALUE"""),"0965882349")</f>
        <v>0965882349</v>
      </c>
      <c r="M149" s="7" t="str">
        <f>IFERROR(__xludf.DUMMYFUNCTION("""COMPUTED_VALUE"""),"038068005140")</f>
        <v>038068005140</v>
      </c>
      <c r="N149" s="18">
        <f>IFERROR(__xludf.DUMMYFUNCTION("""COMPUTED_VALUE"""),44427.0)</f>
        <v>44427</v>
      </c>
      <c r="O149" s="7" t="str">
        <f>IFERROR(__xludf.DUMMYFUNCTION("""COMPUTED_VALUE"""),"Cục Cảnh sát QLHC về TTXH")</f>
        <v>Cục Cảnh sát QLHC về TTXH</v>
      </c>
      <c r="P149" s="7" t="str">
        <f>IFERROR(__xludf.DUMMYFUNCTION("""COMPUTED_VALUE"""),"LĐPT")</f>
        <v>LĐPT</v>
      </c>
      <c r="Q149" s="7" t="str">
        <f>IFERROR(__xludf.DUMMYFUNCTION("""COMPUTED_VALUE"""),"Lao động phổ thông")</f>
        <v>Lao động phổ thông</v>
      </c>
      <c r="R149" s="17">
        <f>IFERROR(__xludf.DUMMYFUNCTION("""COMPUTED_VALUE"""),45897.0)</f>
        <v>45897</v>
      </c>
      <c r="S149" s="19">
        <f>IFERROR(__xludf.DUMMYFUNCTION("""COMPUTED_VALUE"""),45928.0)</f>
        <v>45928</v>
      </c>
      <c r="T149" s="7" t="str">
        <f>IFERROR(__xludf.DUMMYFUNCTION("""COMPUTED_VALUE"""),"Chính thức")</f>
        <v>Chính thức</v>
      </c>
      <c r="U149" s="7"/>
      <c r="V149" s="7" t="str">
        <f>IFERROR(__xludf.DUMMYFUNCTION("""COMPUTED_VALUE"""),"Chính thức")</f>
        <v>Chính thức</v>
      </c>
      <c r="W149" s="7" t="str">
        <f>IFERROR(__xludf.DUMMYFUNCTION("""COMPUTED_VALUE"""),"0 năm 4 tháng")</f>
        <v>0 năm 4 tháng</v>
      </c>
      <c r="X149" s="7"/>
      <c r="Y149" s="7"/>
      <c r="Z149" s="7"/>
    </row>
    <row r="150">
      <c r="A150" s="7">
        <f>IFERROR(__xludf.DUMMYFUNCTION("""COMPUTED_VALUE"""),30.0)</f>
        <v>30</v>
      </c>
      <c r="B150" s="7" t="str">
        <f>IFERROR(__xludf.DUMMYFUNCTION("""COMPUTED_VALUE"""),"Văn phòng")</f>
        <v>Văn phòng</v>
      </c>
      <c r="C150" s="7" t="str">
        <f>IFERROR(__xludf.DUMMYFUNCTION("""COMPUTED_VALUE"""),"Phòng khai thác")</f>
        <v>Phòng khai thác</v>
      </c>
      <c r="D150" s="7" t="str">
        <f>IFERROR(__xludf.DUMMYFUNCTION("""COMPUTED_VALUE"""),"Phân xưởng CBNL")</f>
        <v>Phân xưởng CBNL</v>
      </c>
      <c r="E150" s="7" t="str">
        <f>IFERROR(__xludf.DUMMYFUNCTION("""COMPUTED_VALUE"""),"Công nhân vận hành")</f>
        <v>Công nhân vận hành</v>
      </c>
      <c r="F150" s="7" t="str">
        <f>IFERROR(__xludf.DUMMYFUNCTION("""COMPUTED_VALUE"""),"NV5035")</f>
        <v>NV5035</v>
      </c>
      <c r="G150" s="7">
        <f>IFERROR(__xludf.DUMMYFUNCTION("""COMPUTED_VALUE"""),355.0)</f>
        <v>355</v>
      </c>
      <c r="H150" s="7" t="str">
        <f>IFERROR(__xludf.DUMMYFUNCTION("""COMPUTED_VALUE"""),"Nguyễn Văn Năm")</f>
        <v>Nguyễn Văn Năm</v>
      </c>
      <c r="I150" s="7" t="str">
        <f>IFERROR(__xludf.DUMMYFUNCTION("""COMPUTED_VALUE"""),"Nam")</f>
        <v>Nam</v>
      </c>
      <c r="J150" s="17">
        <f>IFERROR(__xludf.DUMMYFUNCTION("""COMPUTED_VALUE"""),29994.0)</f>
        <v>29994</v>
      </c>
      <c r="K150" s="7" t="str">
        <f>IFERROR(__xludf.DUMMYFUNCTION("""COMPUTED_VALUE"""),"Phường Quảng Phú - Tỉnh Thanh Hóa")</f>
        <v>Phường Quảng Phú - Tỉnh Thanh Hóa</v>
      </c>
      <c r="L150" s="7" t="str">
        <f>IFERROR(__xludf.DUMMYFUNCTION("""COMPUTED_VALUE"""),"0962068278")</f>
        <v>0962068278</v>
      </c>
      <c r="M150" s="7" t="str">
        <f>IFERROR(__xludf.DUMMYFUNCTION("""COMPUTED_VALUE"""),"038082013542")</f>
        <v>038082013542</v>
      </c>
      <c r="N150" s="18">
        <f>IFERROR(__xludf.DUMMYFUNCTION("""COMPUTED_VALUE"""),44418.0)</f>
        <v>44418</v>
      </c>
      <c r="O150" s="7" t="str">
        <f>IFERROR(__xludf.DUMMYFUNCTION("""COMPUTED_VALUE"""),"Cục Cảnh sát QLHC về TTXH")</f>
        <v>Cục Cảnh sát QLHC về TTXH</v>
      </c>
      <c r="P150" s="7" t="str">
        <f>IFERROR(__xludf.DUMMYFUNCTION("""COMPUTED_VALUE"""),"LĐPT")</f>
        <v>LĐPT</v>
      </c>
      <c r="Q150" s="7" t="str">
        <f>IFERROR(__xludf.DUMMYFUNCTION("""COMPUTED_VALUE"""),"Lao động phổ thông")</f>
        <v>Lao động phổ thông</v>
      </c>
      <c r="R150" s="17">
        <f>IFERROR(__xludf.DUMMYFUNCTION("""COMPUTED_VALUE"""),45356.0)</f>
        <v>45356</v>
      </c>
      <c r="S150" s="19">
        <f>IFERROR(__xludf.DUMMYFUNCTION("""COMPUTED_VALUE"""),45444.0)</f>
        <v>45444</v>
      </c>
      <c r="T150" s="7" t="str">
        <f>IFERROR(__xludf.DUMMYFUNCTION("""COMPUTED_VALUE"""),"Chính thức")</f>
        <v>Chính thức</v>
      </c>
      <c r="U150" s="7"/>
      <c r="V150" s="7" t="str">
        <f>IFERROR(__xludf.DUMMYFUNCTION("""COMPUTED_VALUE"""),"Chính thức")</f>
        <v>Chính thức</v>
      </c>
      <c r="W150" s="7" t="str">
        <f>IFERROR(__xludf.DUMMYFUNCTION("""COMPUTED_VALUE"""),"1 năm 9 tháng")</f>
        <v>1 năm 9 tháng</v>
      </c>
      <c r="X150" s="7"/>
      <c r="Y150" s="7"/>
      <c r="Z150" s="7"/>
    </row>
    <row r="151">
      <c r="A151" s="7">
        <f>IFERROR(__xludf.DUMMYFUNCTION("""COMPUTED_VALUE"""),31.0)</f>
        <v>31</v>
      </c>
      <c r="B151" s="7" t="str">
        <f>IFERROR(__xludf.DUMMYFUNCTION("""COMPUTED_VALUE"""),"Văn phòng")</f>
        <v>Văn phòng</v>
      </c>
      <c r="C151" s="7" t="str">
        <f>IFERROR(__xludf.DUMMYFUNCTION("""COMPUTED_VALUE"""),"Phòng khai thác")</f>
        <v>Phòng khai thác</v>
      </c>
      <c r="D151" s="7" t="str">
        <f>IFERROR(__xludf.DUMMYFUNCTION("""COMPUTED_VALUE"""),"Phân xưởng CBNL")</f>
        <v>Phân xưởng CBNL</v>
      </c>
      <c r="E151" s="7" t="str">
        <f>IFERROR(__xludf.DUMMYFUNCTION("""COMPUTED_VALUE"""),"Công nhân vận hành")</f>
        <v>Công nhân vận hành</v>
      </c>
      <c r="F151" s="7" t="str">
        <f>IFERROR(__xludf.DUMMYFUNCTION("""COMPUTED_VALUE"""),"NV5674")</f>
        <v>NV5674</v>
      </c>
      <c r="G151" s="7">
        <f>IFERROR(__xludf.DUMMYFUNCTION("""COMPUTED_VALUE"""),1168.0)</f>
        <v>1168</v>
      </c>
      <c r="H151" s="7" t="str">
        <f>IFERROR(__xludf.DUMMYFUNCTION("""COMPUTED_VALUE"""),"Vũ Đình Lương")</f>
        <v>Vũ Đình Lương</v>
      </c>
      <c r="I151" s="7" t="str">
        <f>IFERROR(__xludf.DUMMYFUNCTION("""COMPUTED_VALUE"""),"Nam")</f>
        <v>Nam</v>
      </c>
      <c r="J151" s="17">
        <f>IFERROR(__xludf.DUMMYFUNCTION("""COMPUTED_VALUE"""),37111.0)</f>
        <v>37111</v>
      </c>
      <c r="K151" s="7" t="str">
        <f>IFERROR(__xludf.DUMMYFUNCTION("""COMPUTED_VALUE"""),"Thôn Chi Cường- Xã Thiệu Quang- Tỉnh Thanh Hóa")</f>
        <v>Thôn Chi Cường- Xã Thiệu Quang- Tỉnh Thanh Hóa</v>
      </c>
      <c r="L151" s="7" t="str">
        <f>IFERROR(__xludf.DUMMYFUNCTION("""COMPUTED_VALUE"""),"0969297194")</f>
        <v>0969297194</v>
      </c>
      <c r="M151" s="7" t="str">
        <f>IFERROR(__xludf.DUMMYFUNCTION("""COMPUTED_VALUE"""),"038201013006")</f>
        <v>038201013006</v>
      </c>
      <c r="N151" s="18">
        <f>IFERROR(__xludf.DUMMYFUNCTION("""COMPUTED_VALUE"""),44313.0)</f>
        <v>44313</v>
      </c>
      <c r="O151" s="7" t="str">
        <f>IFERROR(__xludf.DUMMYFUNCTION("""COMPUTED_VALUE"""),"Cục Cảnh sát QLHC về TTXH")</f>
        <v>Cục Cảnh sát QLHC về TTXH</v>
      </c>
      <c r="P151" s="7" t="str">
        <f>IFERROR(__xludf.DUMMYFUNCTION("""COMPUTED_VALUE"""),"Chứng chỉ nghề")</f>
        <v>Chứng chỉ nghề</v>
      </c>
      <c r="Q151" s="7" t="str">
        <f>IFERROR(__xludf.DUMMYFUNCTION("""COMPUTED_VALUE"""),"Lái máy xúc lật")</f>
        <v>Lái máy xúc lật</v>
      </c>
      <c r="R151" s="17">
        <f>IFERROR(__xludf.DUMMYFUNCTION("""COMPUTED_VALUE"""),45904.0)</f>
        <v>45904</v>
      </c>
      <c r="S151" s="19">
        <f>IFERROR(__xludf.DUMMYFUNCTION("""COMPUTED_VALUE"""),45934.0)</f>
        <v>45934</v>
      </c>
      <c r="T151" s="7" t="str">
        <f>IFERROR(__xludf.DUMMYFUNCTION("""COMPUTED_VALUE"""),"Chính thức")</f>
        <v>Chính thức</v>
      </c>
      <c r="U151" s="7"/>
      <c r="V151" s="7" t="str">
        <f>IFERROR(__xludf.DUMMYFUNCTION("""COMPUTED_VALUE"""),"Chính thức")</f>
        <v>Chính thức</v>
      </c>
      <c r="W151" s="7" t="str">
        <f>IFERROR(__xludf.DUMMYFUNCTION("""COMPUTED_VALUE"""),"0 năm 3 tháng")</f>
        <v>0 năm 3 tháng</v>
      </c>
      <c r="X151" s="7"/>
      <c r="Y151" s="7"/>
      <c r="Z151" s="7"/>
    </row>
    <row r="152">
      <c r="A152" s="7">
        <f>IFERROR(__xludf.DUMMYFUNCTION("""COMPUTED_VALUE"""),1.0)</f>
        <v>1</v>
      </c>
      <c r="B152" s="7" t="str">
        <f>IFERROR(__xludf.DUMMYFUNCTION("""COMPUTED_VALUE"""),"Văn phòng")</f>
        <v>Văn phòng</v>
      </c>
      <c r="C152" s="7" t="str">
        <f>IFERROR(__xludf.DUMMYFUNCTION("""COMPUTED_VALUE"""),"Ban kinh doanh")</f>
        <v>Ban kinh doanh</v>
      </c>
      <c r="D152" s="7" t="str">
        <f>IFERROR(__xludf.DUMMYFUNCTION("""COMPUTED_VALUE"""),"Ban giám đốc")</f>
        <v>Ban giám đốc</v>
      </c>
      <c r="E152" s="7" t="str">
        <f>IFERROR(__xludf.DUMMYFUNCTION("""COMPUTED_VALUE"""),"Giám đốc Ban")</f>
        <v>Giám đốc Ban</v>
      </c>
      <c r="F152" s="7" t="str">
        <f>IFERROR(__xludf.DUMMYFUNCTION("""COMPUTED_VALUE"""),"NV0041")</f>
        <v>NV0041</v>
      </c>
      <c r="G152" s="7"/>
      <c r="H152" s="7" t="str">
        <f>IFERROR(__xludf.DUMMYFUNCTION("""COMPUTED_VALUE"""),"Nguyễn Thị Bích Hường")</f>
        <v>Nguyễn Thị Bích Hường</v>
      </c>
      <c r="I152" s="7" t="str">
        <f>IFERROR(__xludf.DUMMYFUNCTION("""COMPUTED_VALUE"""),"Nữ")</f>
        <v>Nữ</v>
      </c>
      <c r="J152" s="17">
        <f>IFERROR(__xludf.DUMMYFUNCTION("""COMPUTED_VALUE"""),26374.0)</f>
        <v>26374</v>
      </c>
      <c r="K152" s="7" t="str">
        <f>IFERROR(__xludf.DUMMYFUNCTION("""COMPUTED_VALUE"""),"Số nhà 634 Lê Lai - Phường Quảng Phú - TỈnh Thanh Hóa")</f>
        <v>Số nhà 634 Lê Lai - Phường Quảng Phú - TỈnh Thanh Hóa</v>
      </c>
      <c r="L152" s="7" t="str">
        <f>IFERROR(__xludf.DUMMYFUNCTION("""COMPUTED_VALUE"""),"0902016372")</f>
        <v>0902016372</v>
      </c>
      <c r="M152" s="7" t="str">
        <f>IFERROR(__xludf.DUMMYFUNCTION("""COMPUTED_VALUE"""),"038172036890")</f>
        <v>038172036890</v>
      </c>
      <c r="N152" s="18">
        <f>IFERROR(__xludf.DUMMYFUNCTION("""COMPUTED_VALUE"""),44440.0)</f>
        <v>44440</v>
      </c>
      <c r="O152" s="7" t="str">
        <f>IFERROR(__xludf.DUMMYFUNCTION("""COMPUTED_VALUE"""),"Cục Cảnh sát QLHC về TTXH")</f>
        <v>Cục Cảnh sát QLHC về TTXH</v>
      </c>
      <c r="P152" s="7" t="str">
        <f>IFERROR(__xludf.DUMMYFUNCTION("""COMPUTED_VALUE"""),"Đại học")</f>
        <v>Đại học</v>
      </c>
      <c r="Q152" s="7" t="str">
        <f>IFERROR(__xludf.DUMMYFUNCTION("""COMPUTED_VALUE"""),"Kế toán tổng hợp")</f>
        <v>Kế toán tổng hợp</v>
      </c>
      <c r="R152" s="17">
        <f>IFERROR(__xludf.DUMMYFUNCTION("""COMPUTED_VALUE"""),36493.0)</f>
        <v>36493</v>
      </c>
      <c r="S152" s="17">
        <f>IFERROR(__xludf.DUMMYFUNCTION("""COMPUTED_VALUE"""),36493.0)</f>
        <v>36493</v>
      </c>
      <c r="T152" s="7" t="str">
        <f>IFERROR(__xludf.DUMMYFUNCTION("""COMPUTED_VALUE"""),"Chính thức")</f>
        <v>Chính thức</v>
      </c>
      <c r="U152" s="7"/>
      <c r="V152" s="7" t="str">
        <f>IFERROR(__xludf.DUMMYFUNCTION("""COMPUTED_VALUE"""),"Chính thức")</f>
        <v>Chính thức</v>
      </c>
      <c r="W152" s="7" t="str">
        <f>IFERROR(__xludf.DUMMYFUNCTION("""COMPUTED_VALUE"""),"26 năm 1 tháng")</f>
        <v>26 năm 1 tháng</v>
      </c>
      <c r="X152" s="7"/>
      <c r="Y152" s="7"/>
      <c r="Z152" s="7"/>
    </row>
    <row r="153">
      <c r="A153" s="7">
        <f>IFERROR(__xludf.DUMMYFUNCTION("""COMPUTED_VALUE"""),2.0)</f>
        <v>2</v>
      </c>
      <c r="B153" s="7" t="str">
        <f>IFERROR(__xludf.DUMMYFUNCTION("""COMPUTED_VALUE"""),"Văn phòng")</f>
        <v>Văn phòng</v>
      </c>
      <c r="C153" s="7" t="str">
        <f>IFERROR(__xludf.DUMMYFUNCTION("""COMPUTED_VALUE"""),"Ban kinh doanh")</f>
        <v>Ban kinh doanh</v>
      </c>
      <c r="D153" s="7" t="str">
        <f>IFERROR(__xludf.DUMMYFUNCTION("""COMPUTED_VALUE"""),"Ban giám đốc")</f>
        <v>Ban giám đốc</v>
      </c>
      <c r="E153" s="7" t="str">
        <f>IFERROR(__xludf.DUMMYFUNCTION("""COMPUTED_VALUE"""),"Trưởng bộ phận Kế hoạch sản xuất")</f>
        <v>Trưởng bộ phận Kế hoạch sản xuất</v>
      </c>
      <c r="F153" s="7" t="str">
        <f>IFERROR(__xludf.DUMMYFUNCTION("""COMPUTED_VALUE"""),"NV3214")</f>
        <v>NV3214</v>
      </c>
      <c r="G153" s="7">
        <f>IFERROR(__xludf.DUMMYFUNCTION("""COMPUTED_VALUE"""),65.0)</f>
        <v>65</v>
      </c>
      <c r="H153" s="7" t="str">
        <f>IFERROR(__xludf.DUMMYFUNCTION("""COMPUTED_VALUE"""),"Nguyễn Mạnh Uyên")</f>
        <v>Nguyễn Mạnh Uyên</v>
      </c>
      <c r="I153" s="7" t="str">
        <f>IFERROR(__xludf.DUMMYFUNCTION("""COMPUTED_VALUE"""),"Nam")</f>
        <v>Nam</v>
      </c>
      <c r="J153" s="17">
        <f>IFERROR(__xludf.DUMMYFUNCTION("""COMPUTED_VALUE"""),30989.0)</f>
        <v>30989</v>
      </c>
      <c r="K153" s="7" t="str">
        <f>IFERROR(__xludf.DUMMYFUNCTION("""COMPUTED_VALUE"""),"4C/38 Trần Bình Trọng - Phường Hạc Thành - Tỉnh Thanh Hóa")</f>
        <v>4C/38 Trần Bình Trọng - Phường Hạc Thành - Tỉnh Thanh Hóa</v>
      </c>
      <c r="L153" s="7" t="str">
        <f>IFERROR(__xludf.DUMMYFUNCTION("""COMPUTED_VALUE"""),"0339649112")</f>
        <v>0339649112</v>
      </c>
      <c r="M153" s="7" t="str">
        <f>IFERROR(__xludf.DUMMYFUNCTION("""COMPUTED_VALUE"""),"038084021664")</f>
        <v>038084021664</v>
      </c>
      <c r="N153" s="18">
        <f>IFERROR(__xludf.DUMMYFUNCTION("""COMPUTED_VALUE"""),45646.0)</f>
        <v>45646</v>
      </c>
      <c r="O153" s="7" t="str">
        <f>IFERROR(__xludf.DUMMYFUNCTION("""COMPUTED_VALUE"""),"Bộ Công an")</f>
        <v>Bộ Công an</v>
      </c>
      <c r="P153" s="7" t="str">
        <f>IFERROR(__xludf.DUMMYFUNCTION("""COMPUTED_VALUE"""),"Cao đẳng")</f>
        <v>Cao đẳng</v>
      </c>
      <c r="Q153" s="7" t="str">
        <f>IFERROR(__xludf.DUMMYFUNCTION("""COMPUTED_VALUE"""),"Kỹ thuật máy lạnh và điều hòa không khí")</f>
        <v>Kỹ thuật máy lạnh và điều hòa không khí</v>
      </c>
      <c r="R153" s="17">
        <f>IFERROR(__xludf.DUMMYFUNCTION("""COMPUTED_VALUE"""),44060.0)</f>
        <v>44060</v>
      </c>
      <c r="S153" s="17">
        <f>IFERROR(__xludf.DUMMYFUNCTION("""COMPUTED_VALUE"""),44317.0)</f>
        <v>44317</v>
      </c>
      <c r="T153" s="7" t="str">
        <f>IFERROR(__xludf.DUMMYFUNCTION("""COMPUTED_VALUE"""),"Chính thức")</f>
        <v>Chính thức</v>
      </c>
      <c r="U153" s="7"/>
      <c r="V153" s="7" t="str">
        <f>IFERROR(__xludf.DUMMYFUNCTION("""COMPUTED_VALUE"""),"Chính thức")</f>
        <v>Chính thức</v>
      </c>
      <c r="W153" s="7" t="str">
        <f>IFERROR(__xludf.DUMMYFUNCTION("""COMPUTED_VALUE"""),"5 năm 4 tháng")</f>
        <v>5 năm 4 tháng</v>
      </c>
      <c r="X153" s="7"/>
      <c r="Y153" s="7"/>
      <c r="Z153" s="7"/>
    </row>
    <row r="154">
      <c r="A154" s="7">
        <f>IFERROR(__xludf.DUMMYFUNCTION("""COMPUTED_VALUE"""),3.0)</f>
        <v>3</v>
      </c>
      <c r="B154" s="7" t="str">
        <f>IFERROR(__xludf.DUMMYFUNCTION("""COMPUTED_VALUE"""),"Văn phòng")</f>
        <v>Văn phòng</v>
      </c>
      <c r="C154" s="7" t="str">
        <f>IFERROR(__xludf.DUMMYFUNCTION("""COMPUTED_VALUE"""),"Ban kinh doanh")</f>
        <v>Ban kinh doanh</v>
      </c>
      <c r="D154" s="7" t="str">
        <f>IFERROR(__xludf.DUMMYFUNCTION("""COMPUTED_VALUE"""),"Ban giám đốc")</f>
        <v>Ban giám đốc</v>
      </c>
      <c r="E154" s="7" t="str">
        <f>IFERROR(__xludf.DUMMYFUNCTION("""COMPUTED_VALUE"""),"Phó Giám đốc Ban")</f>
        <v>Phó Giám đốc Ban</v>
      </c>
      <c r="F154" s="7" t="str">
        <f>IFERROR(__xludf.DUMMYFUNCTION("""COMPUTED_VALUE"""),"NV0005")</f>
        <v>NV0005</v>
      </c>
      <c r="G154" s="7">
        <f>IFERROR(__xludf.DUMMYFUNCTION("""COMPUTED_VALUE"""),2.0)</f>
        <v>2</v>
      </c>
      <c r="H154" s="7" t="str">
        <f>IFERROR(__xludf.DUMMYFUNCTION("""COMPUTED_VALUE"""),"Nguyễn Văn Dương")</f>
        <v>Nguyễn Văn Dương</v>
      </c>
      <c r="I154" s="7" t="str">
        <f>IFERROR(__xludf.DUMMYFUNCTION("""COMPUTED_VALUE"""),"Nam")</f>
        <v>Nam</v>
      </c>
      <c r="J154" s="17">
        <f>IFERROR(__xludf.DUMMYFUNCTION("""COMPUTED_VALUE"""),33117.0)</f>
        <v>33117</v>
      </c>
      <c r="K154" s="7" t="str">
        <f>IFERROR(__xludf.DUMMYFUNCTION("""COMPUTED_VALUE"""),"Phố 8 - Phường Quảng Phú - Tỉnh Thanh Hóa")</f>
        <v>Phố 8 - Phường Quảng Phú - Tỉnh Thanh Hóa</v>
      </c>
      <c r="L154" s="7" t="str">
        <f>IFERROR(__xludf.DUMMYFUNCTION("""COMPUTED_VALUE"""),"0931361999")</f>
        <v>0931361999</v>
      </c>
      <c r="M154" s="7" t="str">
        <f>IFERROR(__xludf.DUMMYFUNCTION("""COMPUTED_VALUE"""),"038090017347")</f>
        <v>038090017347</v>
      </c>
      <c r="N154" s="18">
        <f>IFERROR(__xludf.DUMMYFUNCTION("""COMPUTED_VALUE"""),44543.0)</f>
        <v>44543</v>
      </c>
      <c r="O154" s="7" t="str">
        <f>IFERROR(__xludf.DUMMYFUNCTION("""COMPUTED_VALUE"""),"Cục Cảnh sát QLHC về TTXH")</f>
        <v>Cục Cảnh sát QLHC về TTXH</v>
      </c>
      <c r="P154" s="7" t="str">
        <f>IFERROR(__xludf.DUMMYFUNCTION("""COMPUTED_VALUE"""),"Đại học")</f>
        <v>Đại học</v>
      </c>
      <c r="Q154" s="7" t="str">
        <f>IFERROR(__xludf.DUMMYFUNCTION("""COMPUTED_VALUE"""),"Công nghệ thông tin")</f>
        <v>Công nghệ thông tin</v>
      </c>
      <c r="R154" s="17">
        <f>IFERROR(__xludf.DUMMYFUNCTION("""COMPUTED_VALUE"""),41901.0)</f>
        <v>41901</v>
      </c>
      <c r="S154" s="17">
        <f>IFERROR(__xludf.DUMMYFUNCTION("""COMPUTED_VALUE"""),41901.0)</f>
        <v>41901</v>
      </c>
      <c r="T154" s="7" t="str">
        <f>IFERROR(__xludf.DUMMYFUNCTION("""COMPUTED_VALUE"""),"Chính thức")</f>
        <v>Chính thức</v>
      </c>
      <c r="U154" s="7"/>
      <c r="V154" s="7" t="str">
        <f>IFERROR(__xludf.DUMMYFUNCTION("""COMPUTED_VALUE"""),"Chính thức")</f>
        <v>Chính thức</v>
      </c>
      <c r="W154" s="7" t="str">
        <f>IFERROR(__xludf.DUMMYFUNCTION("""COMPUTED_VALUE"""),"11 năm 3 tháng")</f>
        <v>11 năm 3 tháng</v>
      </c>
      <c r="X154" s="7"/>
      <c r="Y154" s="7"/>
      <c r="Z154" s="7"/>
    </row>
    <row r="155">
      <c r="A155" s="7">
        <f>IFERROR(__xludf.DUMMYFUNCTION("""COMPUTED_VALUE"""),1.0)</f>
        <v>1</v>
      </c>
      <c r="B155" s="7" t="str">
        <f>IFERROR(__xludf.DUMMYFUNCTION("""COMPUTED_VALUE"""),"Văn phòng")</f>
        <v>Văn phòng</v>
      </c>
      <c r="C155" s="7" t="str">
        <f>IFERROR(__xludf.DUMMYFUNCTION("""COMPUTED_VALUE"""),"Ban kinh doanh")</f>
        <v>Ban kinh doanh</v>
      </c>
      <c r="D155" s="7" t="str">
        <f>IFERROR(__xludf.DUMMYFUNCTION("""COMPUTED_VALUE"""),"Văn phòng Miền Bắc")</f>
        <v>Văn phòng Miền Bắc</v>
      </c>
      <c r="E155" s="7" t="str">
        <f>IFERROR(__xludf.DUMMYFUNCTION("""COMPUTED_VALUE"""),"Giám đốc Văn phòng Miền Bắc")</f>
        <v>Giám đốc Văn phòng Miền Bắc</v>
      </c>
      <c r="F155" s="7" t="str">
        <f>IFERROR(__xludf.DUMMYFUNCTION("""COMPUTED_VALUE"""),"NV0075")</f>
        <v>NV0075</v>
      </c>
      <c r="G155" s="7">
        <f>IFERROR(__xludf.DUMMYFUNCTION("""COMPUTED_VALUE"""),45.0)</f>
        <v>45</v>
      </c>
      <c r="H155" s="7" t="str">
        <f>IFERROR(__xludf.DUMMYFUNCTION("""COMPUTED_VALUE"""),"Trịnh Minh Hải")</f>
        <v>Trịnh Minh Hải</v>
      </c>
      <c r="I155" s="7" t="str">
        <f>IFERROR(__xludf.DUMMYFUNCTION("""COMPUTED_VALUE"""),"Nam")</f>
        <v>Nam</v>
      </c>
      <c r="J155" s="17">
        <f>IFERROR(__xludf.DUMMYFUNCTION("""COMPUTED_VALUE"""),29284.0)</f>
        <v>29284</v>
      </c>
      <c r="K155" s="7" t="str">
        <f>IFERROR(__xludf.DUMMYFUNCTION("""COMPUTED_VALUE"""),"Lô 261 - Mặt Bằng Quy Hoạch 121- Phường Hạc Thành - Tỉnh Thanh Hóa")</f>
        <v>Lô 261 - Mặt Bằng Quy Hoạch 121- Phường Hạc Thành - Tỉnh Thanh Hóa</v>
      </c>
      <c r="L155" s="7" t="str">
        <f>IFERROR(__xludf.DUMMYFUNCTION("""COMPUTED_VALUE"""),"0983434347")</f>
        <v>0983434347</v>
      </c>
      <c r="M155" s="7" t="str">
        <f>IFERROR(__xludf.DUMMYFUNCTION("""COMPUTED_VALUE"""),"038080037712")</f>
        <v>038080037712</v>
      </c>
      <c r="N155" s="18">
        <f>IFERROR(__xludf.DUMMYFUNCTION("""COMPUTED_VALUE"""),44794.0)</f>
        <v>44794</v>
      </c>
      <c r="O155" s="7" t="str">
        <f>IFERROR(__xludf.DUMMYFUNCTION("""COMPUTED_VALUE"""),"Cục Cảnh sát QLHC về TTXH")</f>
        <v>Cục Cảnh sát QLHC về TTXH</v>
      </c>
      <c r="P155" s="7" t="str">
        <f>IFERROR(__xludf.DUMMYFUNCTION("""COMPUTED_VALUE"""),"Đại học")</f>
        <v>Đại học</v>
      </c>
      <c r="Q155" s="7" t="str">
        <f>IFERROR(__xludf.DUMMYFUNCTION("""COMPUTED_VALUE"""),"Quản trị kinh doanh")</f>
        <v>Quản trị kinh doanh</v>
      </c>
      <c r="R155" s="17">
        <f>IFERROR(__xludf.DUMMYFUNCTION("""COMPUTED_VALUE"""),37653.0)</f>
        <v>37653</v>
      </c>
      <c r="S155" s="19">
        <f>IFERROR(__xludf.DUMMYFUNCTION("""COMPUTED_VALUE"""),37653.0)</f>
        <v>37653</v>
      </c>
      <c r="T155" s="7" t="str">
        <f>IFERROR(__xludf.DUMMYFUNCTION("""COMPUTED_VALUE"""),"Chính thức")</f>
        <v>Chính thức</v>
      </c>
      <c r="U155" s="7"/>
      <c r="V155" s="7" t="str">
        <f>IFERROR(__xludf.DUMMYFUNCTION("""COMPUTED_VALUE"""),"Chính thức")</f>
        <v>Chính thức</v>
      </c>
      <c r="W155" s="7" t="str">
        <f>IFERROR(__xludf.DUMMYFUNCTION("""COMPUTED_VALUE"""),"22 năm 10 tháng")</f>
        <v>22 năm 10 tháng</v>
      </c>
      <c r="X155" s="7"/>
      <c r="Y155" s="7"/>
      <c r="Z155" s="7"/>
    </row>
    <row r="156">
      <c r="A156" s="7">
        <f>IFERROR(__xludf.DUMMYFUNCTION("""COMPUTED_VALUE"""),2.0)</f>
        <v>2</v>
      </c>
      <c r="B156" s="7" t="str">
        <f>IFERROR(__xludf.DUMMYFUNCTION("""COMPUTED_VALUE"""),"Văn phòng")</f>
        <v>Văn phòng</v>
      </c>
      <c r="C156" s="7" t="str">
        <f>IFERROR(__xludf.DUMMYFUNCTION("""COMPUTED_VALUE"""),"Ban kinh doanh")</f>
        <v>Ban kinh doanh</v>
      </c>
      <c r="D156" s="7" t="str">
        <f>IFERROR(__xludf.DUMMYFUNCTION("""COMPUTED_VALUE"""),"Văn phòng Miền Bắc")</f>
        <v>Văn phòng Miền Bắc</v>
      </c>
      <c r="E156" s="7" t="str">
        <f>IFERROR(__xludf.DUMMYFUNCTION("""COMPUTED_VALUE"""),"Trưởng tuyến 2")</f>
        <v>Trưởng tuyến 2</v>
      </c>
      <c r="F156" s="7" t="str">
        <f>IFERROR(__xludf.DUMMYFUNCTION("""COMPUTED_VALUE"""),"NV2715")</f>
        <v>NV2715</v>
      </c>
      <c r="G156" s="7">
        <f>IFERROR(__xludf.DUMMYFUNCTION("""COMPUTED_VALUE"""),742.0)</f>
        <v>742</v>
      </c>
      <c r="H156" s="7" t="str">
        <f>IFERROR(__xludf.DUMMYFUNCTION("""COMPUTED_VALUE"""),"Hoàng Anh Việt")</f>
        <v>Hoàng Anh Việt</v>
      </c>
      <c r="I156" s="7" t="str">
        <f>IFERROR(__xludf.DUMMYFUNCTION("""COMPUTED_VALUE"""),"Nam")</f>
        <v>Nam</v>
      </c>
      <c r="J156" s="17">
        <f>IFERROR(__xludf.DUMMYFUNCTION("""COMPUTED_VALUE"""),31876.0)</f>
        <v>31876</v>
      </c>
      <c r="K156" s="7" t="str">
        <f>IFERROR(__xludf.DUMMYFUNCTION("""COMPUTED_VALUE"""),"SN 58 Đường Nguyễn Tuệ - Phố Cấm - P. Gia Viễn - Q.Ngô Quyền - Hải Phòng")</f>
        <v>SN 58 Đường Nguyễn Tuệ - Phố Cấm - P. Gia Viễn - Q.Ngô Quyền - Hải Phòng</v>
      </c>
      <c r="L156" s="7" t="str">
        <f>IFERROR(__xludf.DUMMYFUNCTION("""COMPUTED_VALUE"""),"0946009009")</f>
        <v>0946009009</v>
      </c>
      <c r="M156" s="7" t="str">
        <f>IFERROR(__xludf.DUMMYFUNCTION("""COMPUTED_VALUE"""),"031087011528")</f>
        <v>031087011528</v>
      </c>
      <c r="N156" s="18">
        <f>IFERROR(__xludf.DUMMYFUNCTION("""COMPUTED_VALUE"""),43622.0)</f>
        <v>43622</v>
      </c>
      <c r="O156" s="7" t="str">
        <f>IFERROR(__xludf.DUMMYFUNCTION("""COMPUTED_VALUE"""),"Cục Cảnh sát QLHC về TTXH")</f>
        <v>Cục Cảnh sát QLHC về TTXH</v>
      </c>
      <c r="P156" s="7" t="str">
        <f>IFERROR(__xludf.DUMMYFUNCTION("""COMPUTED_VALUE"""),"LĐPT")</f>
        <v>LĐPT</v>
      </c>
      <c r="Q156" s="7" t="str">
        <f>IFERROR(__xludf.DUMMYFUNCTION("""COMPUTED_VALUE"""),"Lao động phổ thông")</f>
        <v>Lao động phổ thông</v>
      </c>
      <c r="R156" s="17">
        <f>IFERROR(__xludf.DUMMYFUNCTION("""COMPUTED_VALUE"""),45471.0)</f>
        <v>45471</v>
      </c>
      <c r="S156" s="19">
        <f>IFERROR(__xludf.DUMMYFUNCTION("""COMPUTED_VALUE"""),45566.0)</f>
        <v>45566</v>
      </c>
      <c r="T156" s="7" t="str">
        <f>IFERROR(__xludf.DUMMYFUNCTION("""COMPUTED_VALUE"""),"Chính thức")</f>
        <v>Chính thức</v>
      </c>
      <c r="U156" s="7"/>
      <c r="V156" s="7" t="str">
        <f>IFERROR(__xludf.DUMMYFUNCTION("""COMPUTED_VALUE"""),"Chính thức")</f>
        <v>Chính thức</v>
      </c>
      <c r="W156" s="7" t="str">
        <f>IFERROR(__xludf.DUMMYFUNCTION("""COMPUTED_VALUE"""),"1 năm 6 tháng")</f>
        <v>1 năm 6 tháng</v>
      </c>
      <c r="X156" s="7"/>
      <c r="Y156" s="7"/>
      <c r="Z156" s="7"/>
    </row>
    <row r="157">
      <c r="A157" s="7">
        <f>IFERROR(__xludf.DUMMYFUNCTION("""COMPUTED_VALUE"""),1.0)</f>
        <v>1</v>
      </c>
      <c r="B157" s="7" t="str">
        <f>IFERROR(__xludf.DUMMYFUNCTION("""COMPUTED_VALUE"""),"Văn phòng")</f>
        <v>Văn phòng</v>
      </c>
      <c r="C157" s="7" t="str">
        <f>IFERROR(__xludf.DUMMYFUNCTION("""COMPUTED_VALUE"""),"Ban kinh doanh")</f>
        <v>Ban kinh doanh</v>
      </c>
      <c r="D157" s="7" t="str">
        <f>IFERROR(__xludf.DUMMYFUNCTION("""COMPUTED_VALUE"""),"Văn phòng Miền Trung")</f>
        <v>Văn phòng Miền Trung</v>
      </c>
      <c r="E157" s="7" t="str">
        <f>IFERROR(__xludf.DUMMYFUNCTION("""COMPUTED_VALUE"""),"Giám đốc vùng 3")</f>
        <v>Giám đốc vùng 3</v>
      </c>
      <c r="F157" s="7" t="str">
        <f>IFERROR(__xludf.DUMMYFUNCTION("""COMPUTED_VALUE"""),"NV0851")</f>
        <v>NV0851</v>
      </c>
      <c r="G157" s="7">
        <f>IFERROR(__xludf.DUMMYFUNCTION("""COMPUTED_VALUE"""),750.0)</f>
        <v>750</v>
      </c>
      <c r="H157" s="7" t="str">
        <f>IFERROR(__xludf.DUMMYFUNCTION("""COMPUTED_VALUE"""),"Nguyễn Đình Việt")</f>
        <v>Nguyễn Đình Việt</v>
      </c>
      <c r="I157" s="7" t="str">
        <f>IFERROR(__xludf.DUMMYFUNCTION("""COMPUTED_VALUE"""),"Nam")</f>
        <v>Nam</v>
      </c>
      <c r="J157" s="17">
        <f>IFERROR(__xludf.DUMMYFUNCTION("""COMPUTED_VALUE"""),29884.0)</f>
        <v>29884</v>
      </c>
      <c r="K157" s="7" t="str">
        <f>IFERROR(__xludf.DUMMYFUNCTION("""COMPUTED_VALUE"""),"SN01 LK03 Khu đô thị mới Đông Sơn, Phường An Hưng, Thành phố Thanh Hóa,")</f>
        <v>SN01 LK03 Khu đô thị mới Đông Sơn, Phường An Hưng, Thành phố Thanh Hóa,</v>
      </c>
      <c r="L157" s="7" t="str">
        <f>IFERROR(__xludf.DUMMYFUNCTION("""COMPUTED_VALUE"""),"0946009009")</f>
        <v>0946009009</v>
      </c>
      <c r="M157" s="7" t="str">
        <f>IFERROR(__xludf.DUMMYFUNCTION("""COMPUTED_VALUE"""),"038081005182")</f>
        <v>038081005182</v>
      </c>
      <c r="N157" s="18">
        <f>IFERROR(__xludf.DUMMYFUNCTION("""COMPUTED_VALUE"""),44810.0)</f>
        <v>44810</v>
      </c>
      <c r="O157" s="7" t="str">
        <f>IFERROR(__xludf.DUMMYFUNCTION("""COMPUTED_VALUE"""),"Cục Cảnh sát QLHC về TTXH")</f>
        <v>Cục Cảnh sát QLHC về TTXH</v>
      </c>
      <c r="P157" s="7" t="str">
        <f>IFERROR(__xludf.DUMMYFUNCTION("""COMPUTED_VALUE"""),"Đại học")</f>
        <v>Đại học</v>
      </c>
      <c r="Q157" s="7" t="str">
        <f>IFERROR(__xludf.DUMMYFUNCTION("""COMPUTED_VALUE"""),"Quản trị kinh doanh")</f>
        <v>Quản trị kinh doanh</v>
      </c>
      <c r="R157" s="17">
        <f>IFERROR(__xludf.DUMMYFUNCTION("""COMPUTED_VALUE"""),42515.0)</f>
        <v>42515</v>
      </c>
      <c r="S157" s="19">
        <f>IFERROR(__xludf.DUMMYFUNCTION("""COMPUTED_VALUE"""),42515.0)</f>
        <v>42515</v>
      </c>
      <c r="T157" s="7" t="str">
        <f>IFERROR(__xludf.DUMMYFUNCTION("""COMPUTED_VALUE"""),"Chính thức")</f>
        <v>Chính thức</v>
      </c>
      <c r="U157" s="7"/>
      <c r="V157" s="7" t="str">
        <f>IFERROR(__xludf.DUMMYFUNCTION("""COMPUTED_VALUE"""),"Chính thức")</f>
        <v>Chính thức</v>
      </c>
      <c r="W157" s="7" t="str">
        <f>IFERROR(__xludf.DUMMYFUNCTION("""COMPUTED_VALUE"""),"9 năm 7 tháng")</f>
        <v>9 năm 7 tháng</v>
      </c>
      <c r="X157" s="7"/>
      <c r="Y157" s="7"/>
      <c r="Z157" s="7"/>
    </row>
    <row r="158">
      <c r="A158" s="7">
        <f>IFERROR(__xludf.DUMMYFUNCTION("""COMPUTED_VALUE"""),2.0)</f>
        <v>2</v>
      </c>
      <c r="B158" s="7" t="str">
        <f>IFERROR(__xludf.DUMMYFUNCTION("""COMPUTED_VALUE"""),"Văn phòng")</f>
        <v>Văn phòng</v>
      </c>
      <c r="C158" s="7" t="str">
        <f>IFERROR(__xludf.DUMMYFUNCTION("""COMPUTED_VALUE"""),"Ban kinh doanh")</f>
        <v>Ban kinh doanh</v>
      </c>
      <c r="D158" s="7" t="str">
        <f>IFERROR(__xludf.DUMMYFUNCTION("""COMPUTED_VALUE"""),"Văn phòng Miền Trung")</f>
        <v>Văn phòng Miền Trung</v>
      </c>
      <c r="E158" s="7" t="str">
        <f>IFERROR(__xludf.DUMMYFUNCTION("""COMPUTED_VALUE"""),"Giám đốc vùng 5")</f>
        <v>Giám đốc vùng 5</v>
      </c>
      <c r="F158" s="7" t="str">
        <f>IFERROR(__xludf.DUMMYFUNCTION("""COMPUTED_VALUE"""),"NV2744")</f>
        <v>NV2744</v>
      </c>
      <c r="G158" s="7">
        <f>IFERROR(__xludf.DUMMYFUNCTION("""COMPUTED_VALUE"""),741.0)</f>
        <v>741</v>
      </c>
      <c r="H158" s="7" t="str">
        <f>IFERROR(__xludf.DUMMYFUNCTION("""COMPUTED_VALUE"""),"Nguyễn Văn Thiều")</f>
        <v>Nguyễn Văn Thiều</v>
      </c>
      <c r="I158" s="7" t="str">
        <f>IFERROR(__xludf.DUMMYFUNCTION("""COMPUTED_VALUE"""),"Nam")</f>
        <v>Nam</v>
      </c>
      <c r="J158" s="17">
        <f>IFERROR(__xludf.DUMMYFUNCTION("""COMPUTED_VALUE"""),33512.0)</f>
        <v>33512</v>
      </c>
      <c r="K158" s="7" t="str">
        <f>IFERROR(__xludf.DUMMYFUNCTION("""COMPUTED_VALUE"""),"Thôn 11 - Tế Nông - Nông Cống - Thanh Hóa")</f>
        <v>Thôn 11 - Tế Nông - Nông Cống - Thanh Hóa</v>
      </c>
      <c r="L158" s="7" t="str">
        <f>IFERROR(__xludf.DUMMYFUNCTION("""COMPUTED_VALUE"""),"0825126686")</f>
        <v>0825126686</v>
      </c>
      <c r="M158" s="7" t="str">
        <f>IFERROR(__xludf.DUMMYFUNCTION("""COMPUTED_VALUE"""),"038091017407")</f>
        <v>038091017407</v>
      </c>
      <c r="N158" s="18">
        <f>IFERROR(__xludf.DUMMYFUNCTION("""COMPUTED_VALUE"""),44812.0)</f>
        <v>44812</v>
      </c>
      <c r="O158" s="7" t="str">
        <f>IFERROR(__xludf.DUMMYFUNCTION("""COMPUTED_VALUE"""),"Cục Cảnh sát QLHC về TTXH")</f>
        <v>Cục Cảnh sát QLHC về TTXH</v>
      </c>
      <c r="P158" s="7" t="str">
        <f>IFERROR(__xludf.DUMMYFUNCTION("""COMPUTED_VALUE"""),"Đại học")</f>
        <v>Đại học</v>
      </c>
      <c r="Q158" s="7" t="str">
        <f>IFERROR(__xludf.DUMMYFUNCTION("""COMPUTED_VALUE"""),"Văn hóa dân tộc tiểu số")</f>
        <v>Văn hóa dân tộc tiểu số</v>
      </c>
      <c r="R158" s="17">
        <f>IFERROR(__xludf.DUMMYFUNCTION("""COMPUTED_VALUE"""),43873.0)</f>
        <v>43873</v>
      </c>
      <c r="S158" s="19">
        <f>IFERROR(__xludf.DUMMYFUNCTION("""COMPUTED_VALUE"""),44013.0)</f>
        <v>44013</v>
      </c>
      <c r="T158" s="7" t="str">
        <f>IFERROR(__xludf.DUMMYFUNCTION("""COMPUTED_VALUE"""),"Chính thức")</f>
        <v>Chính thức</v>
      </c>
      <c r="U158" s="7"/>
      <c r="V158" s="7" t="str">
        <f>IFERROR(__xludf.DUMMYFUNCTION("""COMPUTED_VALUE"""),"Chính thức")</f>
        <v>Chính thức</v>
      </c>
      <c r="W158" s="7" t="str">
        <f>IFERROR(__xludf.DUMMYFUNCTION("""COMPUTED_VALUE"""),"5 năm 10 tháng")</f>
        <v>5 năm 10 tháng</v>
      </c>
      <c r="X158" s="7"/>
      <c r="Y158" s="7"/>
      <c r="Z158" s="7"/>
    </row>
    <row r="159">
      <c r="A159" s="7">
        <f>IFERROR(__xludf.DUMMYFUNCTION("""COMPUTED_VALUE"""),3.0)</f>
        <v>3</v>
      </c>
      <c r="B159" s="7" t="str">
        <f>IFERROR(__xludf.DUMMYFUNCTION("""COMPUTED_VALUE"""),"Văn phòng")</f>
        <v>Văn phòng</v>
      </c>
      <c r="C159" s="7" t="str">
        <f>IFERROR(__xludf.DUMMYFUNCTION("""COMPUTED_VALUE"""),"Ban kinh doanh")</f>
        <v>Ban kinh doanh</v>
      </c>
      <c r="D159" s="7" t="str">
        <f>IFERROR(__xludf.DUMMYFUNCTION("""COMPUTED_VALUE"""),"Văn phòng Miền Trung")</f>
        <v>Văn phòng Miền Trung</v>
      </c>
      <c r="E159" s="7" t="str">
        <f>IFERROR(__xludf.DUMMYFUNCTION("""COMPUTED_VALUE"""),"Giám đốc vùng 6")</f>
        <v>Giám đốc vùng 6</v>
      </c>
      <c r="F159" s="7" t="str">
        <f>IFERROR(__xludf.DUMMYFUNCTION("""COMPUTED_VALUE"""),"NV0071")</f>
        <v>NV0071</v>
      </c>
      <c r="G159" s="7">
        <f>IFERROR(__xludf.DUMMYFUNCTION("""COMPUTED_VALUE"""),908.0)</f>
        <v>908</v>
      </c>
      <c r="H159" s="7" t="str">
        <f>IFERROR(__xludf.DUMMYFUNCTION("""COMPUTED_VALUE"""),"Nguyễn Đình Ngọ")</f>
        <v>Nguyễn Đình Ngọ</v>
      </c>
      <c r="I159" s="7" t="str">
        <f>IFERROR(__xludf.DUMMYFUNCTION("""COMPUTED_VALUE"""),"Nam")</f>
        <v>Nam</v>
      </c>
      <c r="J159" s="17">
        <f>IFERROR(__xludf.DUMMYFUNCTION("""COMPUTED_VALUE"""),33102.0)</f>
        <v>33102</v>
      </c>
      <c r="K159" s="7" t="str">
        <f>IFERROR(__xludf.DUMMYFUNCTION("""COMPUTED_VALUE"""),"KP. Quảng Đông - Quảng Phú - Tỉnh Thanh Hóa")</f>
        <v>KP. Quảng Đông - Quảng Phú - Tỉnh Thanh Hóa</v>
      </c>
      <c r="L159" s="7" t="str">
        <f>IFERROR(__xludf.DUMMYFUNCTION("""COMPUTED_VALUE"""),"0969989809")</f>
        <v>0969989809</v>
      </c>
      <c r="M159" s="7" t="str">
        <f>IFERROR(__xludf.DUMMYFUNCTION("""COMPUTED_VALUE"""),"038090039144")</f>
        <v>038090039144</v>
      </c>
      <c r="N159" s="18">
        <f>IFERROR(__xludf.DUMMYFUNCTION("""COMPUTED_VALUE"""),44564.0)</f>
        <v>44564</v>
      </c>
      <c r="O159" s="7" t="str">
        <f>IFERROR(__xludf.DUMMYFUNCTION("""COMPUTED_VALUE"""),"Cục Cảnh sát QLHC về TTXH")</f>
        <v>Cục Cảnh sát QLHC về TTXH</v>
      </c>
      <c r="P159" s="7" t="str">
        <f>IFERROR(__xludf.DUMMYFUNCTION("""COMPUTED_VALUE"""),"Cử nhân")</f>
        <v>Cử nhân</v>
      </c>
      <c r="Q159" s="7" t="str">
        <f>IFERROR(__xludf.DUMMYFUNCTION("""COMPUTED_VALUE"""),"Du lịch")</f>
        <v>Du lịch</v>
      </c>
      <c r="R159" s="17">
        <f>IFERROR(__xludf.DUMMYFUNCTION("""COMPUTED_VALUE"""),45749.0)</f>
        <v>45749</v>
      </c>
      <c r="S159" s="19">
        <f>IFERROR(__xludf.DUMMYFUNCTION("""COMPUTED_VALUE"""),45749.0)</f>
        <v>45749</v>
      </c>
      <c r="T159" s="7" t="str">
        <f>IFERROR(__xludf.DUMMYFUNCTION("""COMPUTED_VALUE"""),"Chính thức")</f>
        <v>Chính thức</v>
      </c>
      <c r="U159" s="7"/>
      <c r="V159" s="7" t="str">
        <f>IFERROR(__xludf.DUMMYFUNCTION("""COMPUTED_VALUE"""),"Chính thức")</f>
        <v>Chính thức</v>
      </c>
      <c r="W159" s="7" t="str">
        <f>IFERROR(__xludf.DUMMYFUNCTION("""COMPUTED_VALUE"""),"0 năm 8 tháng")</f>
        <v>0 năm 8 tháng</v>
      </c>
      <c r="X159" s="7"/>
      <c r="Y159" s="7"/>
      <c r="Z159" s="7"/>
    </row>
    <row r="160">
      <c r="A160" s="7">
        <f>IFERROR(__xludf.DUMMYFUNCTION("""COMPUTED_VALUE"""),1.0)</f>
        <v>1</v>
      </c>
      <c r="B160" s="7" t="str">
        <f>IFERROR(__xludf.DUMMYFUNCTION("""COMPUTED_VALUE"""),"Văn phòng")</f>
        <v>Văn phòng</v>
      </c>
      <c r="C160" s="7" t="str">
        <f>IFERROR(__xludf.DUMMYFUNCTION("""COMPUTED_VALUE"""),"Ban kinh doanh")</f>
        <v>Ban kinh doanh</v>
      </c>
      <c r="D160" s="7" t="str">
        <f>IFERROR(__xludf.DUMMYFUNCTION("""COMPUTED_VALUE"""),"Văn phòng Miền Nam")</f>
        <v>Văn phòng Miền Nam</v>
      </c>
      <c r="E160" s="7" t="str">
        <f>IFERROR(__xludf.DUMMYFUNCTION("""COMPUTED_VALUE"""),"Giám đốc Văn phòng Miền Nam")</f>
        <v>Giám đốc Văn phòng Miền Nam</v>
      </c>
      <c r="F160" s="7" t="str">
        <f>IFERROR(__xludf.DUMMYFUNCTION("""COMPUTED_VALUE"""),"NV5040")</f>
        <v>NV5040</v>
      </c>
      <c r="G160" s="7"/>
      <c r="H160" s="7" t="str">
        <f>IFERROR(__xludf.DUMMYFUNCTION("""COMPUTED_VALUE"""),"Nguyễn Tiến Dũng")</f>
        <v>Nguyễn Tiến Dũng</v>
      </c>
      <c r="I160" s="7" t="str">
        <f>IFERROR(__xludf.DUMMYFUNCTION("""COMPUTED_VALUE"""),"Nam")</f>
        <v>Nam</v>
      </c>
      <c r="J160" s="17">
        <f>IFERROR(__xludf.DUMMYFUNCTION("""COMPUTED_VALUE"""),32355.0)</f>
        <v>32355</v>
      </c>
      <c r="K160" s="7" t="str">
        <f>IFERROR(__xludf.DUMMYFUNCTION("""COMPUTED_VALUE"""),"257 Phan Chu Trinh - Phường Lộc Tiến - Tỉnh Lâm Đồng")</f>
        <v>257 Phan Chu Trinh - Phường Lộc Tiến - Tỉnh Lâm Đồng</v>
      </c>
      <c r="L160" s="7" t="str">
        <f>IFERROR(__xludf.DUMMYFUNCTION("""COMPUTED_VALUE"""),"0938079569")</f>
        <v>0938079569</v>
      </c>
      <c r="M160" s="7" t="str">
        <f>IFERROR(__xludf.DUMMYFUNCTION("""COMPUTED_VALUE"""),"068088003399")</f>
        <v>068088003399</v>
      </c>
      <c r="N160" s="18">
        <f>IFERROR(__xludf.DUMMYFUNCTION("""COMPUTED_VALUE"""),44790.0)</f>
        <v>44790</v>
      </c>
      <c r="O160" s="7" t="str">
        <f>IFERROR(__xludf.DUMMYFUNCTION("""COMPUTED_VALUE"""),"Cục Cảnh sát QLHC về TTXH")</f>
        <v>Cục Cảnh sát QLHC về TTXH</v>
      </c>
      <c r="P160" s="7" t="str">
        <f>IFERROR(__xludf.DUMMYFUNCTION("""COMPUTED_VALUE"""),"Kỹ sư")</f>
        <v>Kỹ sư</v>
      </c>
      <c r="Q160" s="7" t="str">
        <f>IFERROR(__xludf.DUMMYFUNCTION("""COMPUTED_VALUE"""),"Công nghệ kỹ thuật Ô tô")</f>
        <v>Công nghệ kỹ thuật Ô tô</v>
      </c>
      <c r="R160" s="17">
        <f>IFERROR(__xludf.DUMMYFUNCTION("""COMPUTED_VALUE"""),45352.0)</f>
        <v>45352</v>
      </c>
      <c r="S160" s="19">
        <f>IFERROR(__xludf.DUMMYFUNCTION("""COMPUTED_VALUE"""),45474.0)</f>
        <v>45474</v>
      </c>
      <c r="T160" s="7" t="str">
        <f>IFERROR(__xludf.DUMMYFUNCTION("""COMPUTED_VALUE"""),"Chính thức")</f>
        <v>Chính thức</v>
      </c>
      <c r="U160" s="7"/>
      <c r="V160" s="7" t="str">
        <f>IFERROR(__xludf.DUMMYFUNCTION("""COMPUTED_VALUE"""),"Chính thức")</f>
        <v>Chính thức</v>
      </c>
      <c r="W160" s="7" t="str">
        <f>IFERROR(__xludf.DUMMYFUNCTION("""COMPUTED_VALUE"""),"1 năm 9 tháng")</f>
        <v>1 năm 9 tháng</v>
      </c>
      <c r="X160" s="7"/>
      <c r="Y160" s="7"/>
      <c r="Z160" s="7"/>
    </row>
    <row r="161">
      <c r="A161" s="7">
        <f>IFERROR(__xludf.DUMMYFUNCTION("""COMPUTED_VALUE"""),2.0)</f>
        <v>2</v>
      </c>
      <c r="B161" s="7" t="str">
        <f>IFERROR(__xludf.DUMMYFUNCTION("""COMPUTED_VALUE"""),"Văn phòng")</f>
        <v>Văn phòng</v>
      </c>
      <c r="C161" s="7" t="str">
        <f>IFERROR(__xludf.DUMMYFUNCTION("""COMPUTED_VALUE"""),"Ban kinh doanh")</f>
        <v>Ban kinh doanh</v>
      </c>
      <c r="D161" s="7" t="str">
        <f>IFERROR(__xludf.DUMMYFUNCTION("""COMPUTED_VALUE"""),"Văn phòng Miền Nam")</f>
        <v>Văn phòng Miền Nam</v>
      </c>
      <c r="E161" s="7" t="str">
        <f>IFERROR(__xludf.DUMMYFUNCTION("""COMPUTED_VALUE"""),"Trợ lý giám đốc VPMN")</f>
        <v>Trợ lý giám đốc VPMN</v>
      </c>
      <c r="F161" s="7" t="str">
        <f>IFERROR(__xludf.DUMMYFUNCTION("""COMPUTED_VALUE"""),"NV5058")</f>
        <v>NV5058</v>
      </c>
      <c r="G161" s="7"/>
      <c r="H161" s="7" t="str">
        <f>IFERROR(__xludf.DUMMYFUNCTION("""COMPUTED_VALUE"""),"Trương Thị Mỹ Duyên")</f>
        <v>Trương Thị Mỹ Duyên</v>
      </c>
      <c r="I161" s="7" t="str">
        <f>IFERROR(__xludf.DUMMYFUNCTION("""COMPUTED_VALUE"""),"Nữ")</f>
        <v>Nữ</v>
      </c>
      <c r="J161" s="17">
        <f>IFERROR(__xludf.DUMMYFUNCTION("""COMPUTED_VALUE"""),34124.0)</f>
        <v>34124</v>
      </c>
      <c r="K161" s="7" t="str">
        <f>IFERROR(__xludf.DUMMYFUNCTION("""COMPUTED_VALUE"""),"99 Ấp Phú Thọ - Xã Châu Thành - Tỉnh Đồng Tháp")</f>
        <v>99 Ấp Phú Thọ - Xã Châu Thành - Tỉnh Đồng Tháp</v>
      </c>
      <c r="L161" s="7" t="str">
        <f>IFERROR(__xludf.DUMMYFUNCTION("""COMPUTED_VALUE"""),"0979042025")</f>
        <v>0979042025</v>
      </c>
      <c r="M161" s="7" t="str">
        <f>IFERROR(__xludf.DUMMYFUNCTION("""COMPUTED_VALUE"""),"087193005634")</f>
        <v>087193005634</v>
      </c>
      <c r="N161" s="18">
        <f>IFERROR(__xludf.DUMMYFUNCTION("""COMPUTED_VALUE"""),44417.0)</f>
        <v>44417</v>
      </c>
      <c r="O161" s="7" t="str">
        <f>IFERROR(__xludf.DUMMYFUNCTION("""COMPUTED_VALUE"""),"Cục Cảnh sát QLHC về TTXH")</f>
        <v>Cục Cảnh sát QLHC về TTXH</v>
      </c>
      <c r="P161" s="7" t="str">
        <f>IFERROR(__xludf.DUMMYFUNCTION("""COMPUTED_VALUE"""),"Cao đẳng")</f>
        <v>Cao đẳng</v>
      </c>
      <c r="Q161" s="7" t="str">
        <f>IFERROR(__xludf.DUMMYFUNCTION("""COMPUTED_VALUE"""),"Kỹ sư công nghệ thực phẩm")</f>
        <v>Kỹ sư công nghệ thực phẩm</v>
      </c>
      <c r="R161" s="17">
        <f>IFERROR(__xludf.DUMMYFUNCTION("""COMPUTED_VALUE"""),45356.0)</f>
        <v>45356</v>
      </c>
      <c r="S161" s="19">
        <f>IFERROR(__xludf.DUMMYFUNCTION("""COMPUTED_VALUE"""),45474.0)</f>
        <v>45474</v>
      </c>
      <c r="T161" s="7" t="str">
        <f>IFERROR(__xludf.DUMMYFUNCTION("""COMPUTED_VALUE"""),"Chính thức")</f>
        <v>Chính thức</v>
      </c>
      <c r="U161" s="7"/>
      <c r="V161" s="7" t="str">
        <f>IFERROR(__xludf.DUMMYFUNCTION("""COMPUTED_VALUE"""),"Chính thức")</f>
        <v>Chính thức</v>
      </c>
      <c r="W161" s="7" t="str">
        <f>IFERROR(__xludf.DUMMYFUNCTION("""COMPUTED_VALUE"""),"1 năm 9 tháng")</f>
        <v>1 năm 9 tháng</v>
      </c>
      <c r="X161" s="7"/>
      <c r="Y161" s="7"/>
      <c r="Z161" s="7"/>
    </row>
    <row r="162">
      <c r="A162" s="7">
        <f>IFERROR(__xludf.DUMMYFUNCTION("""COMPUTED_VALUE"""),3.0)</f>
        <v>3</v>
      </c>
      <c r="B162" s="7" t="str">
        <f>IFERROR(__xludf.DUMMYFUNCTION("""COMPUTED_VALUE"""),"Văn phòng")</f>
        <v>Văn phòng</v>
      </c>
      <c r="C162" s="7" t="str">
        <f>IFERROR(__xludf.DUMMYFUNCTION("""COMPUTED_VALUE"""),"Ban kinh doanh")</f>
        <v>Ban kinh doanh</v>
      </c>
      <c r="D162" s="7" t="str">
        <f>IFERROR(__xludf.DUMMYFUNCTION("""COMPUTED_VALUE"""),"Văn phòng Miền Nam")</f>
        <v>Văn phòng Miền Nam</v>
      </c>
      <c r="E162" s="7" t="str">
        <f>IFERROR(__xludf.DUMMYFUNCTION("""COMPUTED_VALUE"""),"Lái xe")</f>
        <v>Lái xe</v>
      </c>
      <c r="F162" s="7" t="str">
        <f>IFERROR(__xludf.DUMMYFUNCTION("""COMPUTED_VALUE"""),"NV5156")</f>
        <v>NV5156</v>
      </c>
      <c r="G162" s="7"/>
      <c r="H162" s="7" t="str">
        <f>IFERROR(__xludf.DUMMYFUNCTION("""COMPUTED_VALUE"""),"Lê Quốc Thắng")</f>
        <v>Lê Quốc Thắng</v>
      </c>
      <c r="I162" s="7" t="str">
        <f>IFERROR(__xludf.DUMMYFUNCTION("""COMPUTED_VALUE"""),"Nam")</f>
        <v>Nam</v>
      </c>
      <c r="J162" s="17">
        <f>IFERROR(__xludf.DUMMYFUNCTION("""COMPUTED_VALUE"""),35199.0)</f>
        <v>35199</v>
      </c>
      <c r="K162" s="7" t="str">
        <f>IFERROR(__xludf.DUMMYFUNCTION("""COMPUTED_VALUE"""),"104 Đường 3 - Khu phố 2 - Phường Phước Long - TP Hồ Chí Minh")</f>
        <v>104 Đường 3 - Khu phố 2 - Phường Phước Long - TP Hồ Chí Minh</v>
      </c>
      <c r="L162" s="7" t="str">
        <f>IFERROR(__xludf.DUMMYFUNCTION("""COMPUTED_VALUE"""),"0903771371")</f>
        <v>0903771371</v>
      </c>
      <c r="M162" s="7" t="str">
        <f>IFERROR(__xludf.DUMMYFUNCTION("""COMPUTED_VALUE"""),"079096038975")</f>
        <v>079096038975</v>
      </c>
      <c r="N162" s="18">
        <f>IFERROR(__xludf.DUMMYFUNCTION("""COMPUTED_VALUE"""),44423.0)</f>
        <v>44423</v>
      </c>
      <c r="O162" s="7" t="str">
        <f>IFERROR(__xludf.DUMMYFUNCTION("""COMPUTED_VALUE"""),"Cục Cảnh sát QLHC về TTXH")</f>
        <v>Cục Cảnh sát QLHC về TTXH</v>
      </c>
      <c r="P162" s="7" t="str">
        <f>IFERROR(__xludf.DUMMYFUNCTION("""COMPUTED_VALUE"""),"Bằng nghề")</f>
        <v>Bằng nghề</v>
      </c>
      <c r="Q162" s="7" t="str">
        <f>IFERROR(__xludf.DUMMYFUNCTION("""COMPUTED_VALUE"""),"Lái xe Hạng B2")</f>
        <v>Lái xe Hạng B2</v>
      </c>
      <c r="R162" s="17">
        <f>IFERROR(__xludf.DUMMYFUNCTION("""COMPUTED_VALUE"""),45383.0)</f>
        <v>45383</v>
      </c>
      <c r="S162" s="19">
        <f>IFERROR(__xludf.DUMMYFUNCTION("""COMPUTED_VALUE"""),45505.0)</f>
        <v>45505</v>
      </c>
      <c r="T162" s="7" t="str">
        <f>IFERROR(__xludf.DUMMYFUNCTION("""COMPUTED_VALUE"""),"Chính thức")</f>
        <v>Chính thức</v>
      </c>
      <c r="U162" s="7"/>
      <c r="V162" s="7" t="str">
        <f>IFERROR(__xludf.DUMMYFUNCTION("""COMPUTED_VALUE"""),"Chính thức")</f>
        <v>Chính thức</v>
      </c>
      <c r="W162" s="7" t="str">
        <f>IFERROR(__xludf.DUMMYFUNCTION("""COMPUTED_VALUE"""),"1 năm 8 tháng")</f>
        <v>1 năm 8 tháng</v>
      </c>
      <c r="X162" s="7"/>
      <c r="Y162" s="7"/>
      <c r="Z162" s="7"/>
    </row>
    <row r="163">
      <c r="A163" s="7">
        <f>IFERROR(__xludf.DUMMYFUNCTION("""COMPUTED_VALUE"""),4.0)</f>
        <v>4</v>
      </c>
      <c r="B163" s="7" t="str">
        <f>IFERROR(__xludf.DUMMYFUNCTION("""COMPUTED_VALUE"""),"Văn phòng")</f>
        <v>Văn phòng</v>
      </c>
      <c r="C163" s="7" t="str">
        <f>IFERROR(__xludf.DUMMYFUNCTION("""COMPUTED_VALUE"""),"Ban kinh doanh")</f>
        <v>Ban kinh doanh</v>
      </c>
      <c r="D163" s="7" t="str">
        <f>IFERROR(__xludf.DUMMYFUNCTION("""COMPUTED_VALUE"""),"Văn phòng Miền Nam")</f>
        <v>Văn phòng Miền Nam</v>
      </c>
      <c r="E163" s="7" t="str">
        <f>IFERROR(__xludf.DUMMYFUNCTION("""COMPUTED_VALUE"""),"Giám đốc vùng 9 tuyến 1")</f>
        <v>Giám đốc vùng 9 tuyến 1</v>
      </c>
      <c r="F163" s="7" t="str">
        <f>IFERROR(__xludf.DUMMYFUNCTION("""COMPUTED_VALUE"""),"NV5157")</f>
        <v>NV5157</v>
      </c>
      <c r="G163" s="7"/>
      <c r="H163" s="7" t="str">
        <f>IFERROR(__xludf.DUMMYFUNCTION("""COMPUTED_VALUE"""),"Hoàng Phú Đạt")</f>
        <v>Hoàng Phú Đạt</v>
      </c>
      <c r="I163" s="7" t="str">
        <f>IFERROR(__xludf.DUMMYFUNCTION("""COMPUTED_VALUE"""),"Nam")</f>
        <v>Nam</v>
      </c>
      <c r="J163" s="17">
        <f>IFERROR(__xludf.DUMMYFUNCTION("""COMPUTED_VALUE"""),34209.0)</f>
        <v>34209</v>
      </c>
      <c r="K163" s="7" t="str">
        <f>IFERROR(__xludf.DUMMYFUNCTION("""COMPUTED_VALUE"""),"B1 3b KP5. phường Tân Hiệp, Biên Hòa, Đồng Nai")</f>
        <v>B1 3b KP5. phường Tân Hiệp, Biên Hòa, Đồng Nai</v>
      </c>
      <c r="L163" s="7" t="str">
        <f>IFERROR(__xludf.DUMMYFUNCTION("""COMPUTED_VALUE"""),"0334189983")</f>
        <v>0334189983</v>
      </c>
      <c r="M163" s="7" t="str">
        <f>IFERROR(__xludf.DUMMYFUNCTION("""COMPUTED_VALUE"""),"068093008693")</f>
        <v>068093008693</v>
      </c>
      <c r="N163" s="18">
        <f>IFERROR(__xludf.DUMMYFUNCTION("""COMPUTED_VALUE"""),44782.0)</f>
        <v>44782</v>
      </c>
      <c r="O163" s="7" t="str">
        <f>IFERROR(__xludf.DUMMYFUNCTION("""COMPUTED_VALUE"""),"Cục Cảnh sát QLHC về TTXH")</f>
        <v>Cục Cảnh sát QLHC về TTXH</v>
      </c>
      <c r="P163" s="7" t="str">
        <f>IFERROR(__xludf.DUMMYFUNCTION("""COMPUTED_VALUE"""),"Cử nhân")</f>
        <v>Cử nhân</v>
      </c>
      <c r="Q163" s="7" t="str">
        <f>IFERROR(__xludf.DUMMYFUNCTION("""COMPUTED_VALUE"""),"Quản trị kinh doanh")</f>
        <v>Quản trị kinh doanh</v>
      </c>
      <c r="R163" s="17">
        <f>IFERROR(__xludf.DUMMYFUNCTION("""COMPUTED_VALUE"""),45383.0)</f>
        <v>45383</v>
      </c>
      <c r="S163" s="19">
        <f>IFERROR(__xludf.DUMMYFUNCTION("""COMPUTED_VALUE"""),45474.0)</f>
        <v>45474</v>
      </c>
      <c r="T163" s="7" t="str">
        <f>IFERROR(__xludf.DUMMYFUNCTION("""COMPUTED_VALUE"""),"Chính thức")</f>
        <v>Chính thức</v>
      </c>
      <c r="U163" s="7"/>
      <c r="V163" s="7" t="str">
        <f>IFERROR(__xludf.DUMMYFUNCTION("""COMPUTED_VALUE"""),"Chính thức")</f>
        <v>Chính thức</v>
      </c>
      <c r="W163" s="7" t="str">
        <f>IFERROR(__xludf.DUMMYFUNCTION("""COMPUTED_VALUE"""),"1 năm 8 tháng")</f>
        <v>1 năm 8 tháng</v>
      </c>
      <c r="X163" s="7"/>
      <c r="Y163" s="7"/>
      <c r="Z163" s="7"/>
    </row>
    <row r="164">
      <c r="A164" s="7">
        <f>IFERROR(__xludf.DUMMYFUNCTION("""COMPUTED_VALUE"""),5.0)</f>
        <v>5</v>
      </c>
      <c r="B164" s="7" t="str">
        <f>IFERROR(__xludf.DUMMYFUNCTION("""COMPUTED_VALUE"""),"Văn phòng")</f>
        <v>Văn phòng</v>
      </c>
      <c r="C164" s="7" t="str">
        <f>IFERROR(__xludf.DUMMYFUNCTION("""COMPUTED_VALUE"""),"Ban kinh doanh")</f>
        <v>Ban kinh doanh</v>
      </c>
      <c r="D164" s="7" t="str">
        <f>IFERROR(__xludf.DUMMYFUNCTION("""COMPUTED_VALUE"""),"Văn phòng Miền Nam")</f>
        <v>Văn phòng Miền Nam</v>
      </c>
      <c r="E164" s="7" t="str">
        <f>IFERROR(__xludf.DUMMYFUNCTION("""COMPUTED_VALUE"""),"Chăm sóc mẫu")</f>
        <v>Chăm sóc mẫu</v>
      </c>
      <c r="F164" s="7" t="str">
        <f>IFERROR(__xludf.DUMMYFUNCTION("""COMPUTED_VALUE"""),"NV5158")</f>
        <v>NV5158</v>
      </c>
      <c r="G164" s="7"/>
      <c r="H164" s="7" t="str">
        <f>IFERROR(__xludf.DUMMYFUNCTION("""COMPUTED_VALUE"""),"Nguyễn Văn Hà")</f>
        <v>Nguyễn Văn Hà</v>
      </c>
      <c r="I164" s="7" t="str">
        <f>IFERROR(__xludf.DUMMYFUNCTION("""COMPUTED_VALUE"""),"Nam")</f>
        <v>Nam</v>
      </c>
      <c r="J164" s="17">
        <f>IFERROR(__xludf.DUMMYFUNCTION("""COMPUTED_VALUE"""),35863.0)</f>
        <v>35863</v>
      </c>
      <c r="K164" s="7" t="str">
        <f>IFERROR(__xludf.DUMMYFUNCTION("""COMPUTED_VALUE"""),"B1 3b KP5. phường Tân Hiệp, Biên Hòa, Đồng Nai")</f>
        <v>B1 3b KP5. phường Tân Hiệp, Biên Hòa, Đồng Nai</v>
      </c>
      <c r="L164" s="7" t="str">
        <f>IFERROR(__xludf.DUMMYFUNCTION("""COMPUTED_VALUE"""),"0334189983")</f>
        <v>0334189983</v>
      </c>
      <c r="M164" s="7" t="str">
        <f>IFERROR(__xludf.DUMMYFUNCTION("""COMPUTED_VALUE"""),"052098001793")</f>
        <v>052098001793</v>
      </c>
      <c r="N164" s="18">
        <f>IFERROR(__xludf.DUMMYFUNCTION("""COMPUTED_VALUE"""),44887.0)</f>
        <v>44887</v>
      </c>
      <c r="O164" s="7" t="str">
        <f>IFERROR(__xludf.DUMMYFUNCTION("""COMPUTED_VALUE"""),"Cục Cảnh sát QLHC về TTXH")</f>
        <v>Cục Cảnh sát QLHC về TTXH</v>
      </c>
      <c r="P164" s="7" t="str">
        <f>IFERROR(__xludf.DUMMYFUNCTION("""COMPUTED_VALUE"""),"Cao đẳng")</f>
        <v>Cao đẳng</v>
      </c>
      <c r="Q164" s="7" t="str">
        <f>IFERROR(__xludf.DUMMYFUNCTION("""COMPUTED_VALUE"""),"Quản trị du lịch và lữ hành")</f>
        <v>Quản trị du lịch và lữ hành</v>
      </c>
      <c r="R164" s="17">
        <f>IFERROR(__xludf.DUMMYFUNCTION("""COMPUTED_VALUE"""),45383.0)</f>
        <v>45383</v>
      </c>
      <c r="S164" s="19">
        <f>IFERROR(__xludf.DUMMYFUNCTION("""COMPUTED_VALUE"""),45474.0)</f>
        <v>45474</v>
      </c>
      <c r="T164" s="7" t="str">
        <f>IFERROR(__xludf.DUMMYFUNCTION("""COMPUTED_VALUE"""),"Chính thức")</f>
        <v>Chính thức</v>
      </c>
      <c r="U164" s="7"/>
      <c r="V164" s="7" t="str">
        <f>IFERROR(__xludf.DUMMYFUNCTION("""COMPUTED_VALUE"""),"Chính thức")</f>
        <v>Chính thức</v>
      </c>
      <c r="W164" s="7" t="str">
        <f>IFERROR(__xludf.DUMMYFUNCTION("""COMPUTED_VALUE"""),"1 năm 8 tháng")</f>
        <v>1 năm 8 tháng</v>
      </c>
      <c r="X164" s="7"/>
      <c r="Y164" s="7"/>
      <c r="Z164" s="7"/>
    </row>
    <row r="165">
      <c r="A165" s="7">
        <f>IFERROR(__xludf.DUMMYFUNCTION("""COMPUTED_VALUE"""),6.0)</f>
        <v>6</v>
      </c>
      <c r="B165" s="7" t="str">
        <f>IFERROR(__xludf.DUMMYFUNCTION("""COMPUTED_VALUE"""),"Văn phòng")</f>
        <v>Văn phòng</v>
      </c>
      <c r="C165" s="7" t="str">
        <f>IFERROR(__xludf.DUMMYFUNCTION("""COMPUTED_VALUE"""),"Ban kinh doanh")</f>
        <v>Ban kinh doanh</v>
      </c>
      <c r="D165" s="7" t="str">
        <f>IFERROR(__xludf.DUMMYFUNCTION("""COMPUTED_VALUE"""),"Văn phòng Miền Nam")</f>
        <v>Văn phòng Miền Nam</v>
      </c>
      <c r="E165" s="7" t="str">
        <f>IFERROR(__xludf.DUMMYFUNCTION("""COMPUTED_VALUE"""),"Phó VPMN kiêm giám đốc vùng 9 tuyến 2")</f>
        <v>Phó VPMN kiêm giám đốc vùng 9 tuyến 2</v>
      </c>
      <c r="F165" s="7" t="str">
        <f>IFERROR(__xludf.DUMMYFUNCTION("""COMPUTED_VALUE"""),"NV5099")</f>
        <v>NV5099</v>
      </c>
      <c r="G165" s="7"/>
      <c r="H165" s="7" t="str">
        <f>IFERROR(__xludf.DUMMYFUNCTION("""COMPUTED_VALUE"""),"Ngô Duy Phương")</f>
        <v>Ngô Duy Phương</v>
      </c>
      <c r="I165" s="7" t="str">
        <f>IFERROR(__xludf.DUMMYFUNCTION("""COMPUTED_VALUE"""),"Nam")</f>
        <v>Nam</v>
      </c>
      <c r="J165" s="17">
        <f>IFERROR(__xludf.DUMMYFUNCTION("""COMPUTED_VALUE"""),32367.0)</f>
        <v>32367</v>
      </c>
      <c r="K165" s="7" t="str">
        <f>IFERROR(__xludf.DUMMYFUNCTION("""COMPUTED_VALUE"""),"B02-02-03 chung cư Gia Hòa - phường Phước Long - TP Hồ Chí Minh")</f>
        <v>B02-02-03 chung cư Gia Hòa - phường Phước Long - TP Hồ Chí Minh</v>
      </c>
      <c r="L165" s="7" t="str">
        <f>IFERROR(__xludf.DUMMYFUNCTION("""COMPUTED_VALUE"""),"0919388872")</f>
        <v>0919388872</v>
      </c>
      <c r="M165" s="7" t="str">
        <f>IFERROR(__xludf.DUMMYFUNCTION("""COMPUTED_VALUE"""),"074088000058")</f>
        <v>074088000058</v>
      </c>
      <c r="N165" s="18">
        <f>IFERROR(__xludf.DUMMYFUNCTION("""COMPUTED_VALUE"""),44573.0)</f>
        <v>44573</v>
      </c>
      <c r="O165" s="7" t="str">
        <f>IFERROR(__xludf.DUMMYFUNCTION("""COMPUTED_VALUE"""),"Cục Cảnh sát QLHC về TTXH")</f>
        <v>Cục Cảnh sát QLHC về TTXH</v>
      </c>
      <c r="P165" s="7" t="str">
        <f>IFERROR(__xludf.DUMMYFUNCTION("""COMPUTED_VALUE"""),"Cử nhân")</f>
        <v>Cử nhân</v>
      </c>
      <c r="Q165" s="7" t="str">
        <f>IFERROR(__xludf.DUMMYFUNCTION("""COMPUTED_VALUE"""),"Quản trị kinh doanh")</f>
        <v>Quản trị kinh doanh</v>
      </c>
      <c r="R165" s="17">
        <f>IFERROR(__xludf.DUMMYFUNCTION("""COMPUTED_VALUE"""),45370.0)</f>
        <v>45370</v>
      </c>
      <c r="S165" s="19">
        <f>IFERROR(__xludf.DUMMYFUNCTION("""COMPUTED_VALUE"""),45474.0)</f>
        <v>45474</v>
      </c>
      <c r="T165" s="7" t="str">
        <f>IFERROR(__xludf.DUMMYFUNCTION("""COMPUTED_VALUE"""),"Chính thức")</f>
        <v>Chính thức</v>
      </c>
      <c r="U165" s="7"/>
      <c r="V165" s="7" t="str">
        <f>IFERROR(__xludf.DUMMYFUNCTION("""COMPUTED_VALUE"""),"Chính thức")</f>
        <v>Chính thức</v>
      </c>
      <c r="W165" s="7" t="str">
        <f>IFERROR(__xludf.DUMMYFUNCTION("""COMPUTED_VALUE"""),"1 năm 9 tháng")</f>
        <v>1 năm 9 tháng</v>
      </c>
      <c r="X165" s="7"/>
      <c r="Y165" s="7"/>
      <c r="Z165" s="7"/>
    </row>
    <row r="166">
      <c r="A166" s="7">
        <f>IFERROR(__xludf.DUMMYFUNCTION("""COMPUTED_VALUE"""),7.0)</f>
        <v>7</v>
      </c>
      <c r="B166" s="7" t="str">
        <f>IFERROR(__xludf.DUMMYFUNCTION("""COMPUTED_VALUE"""),"Văn phòng")</f>
        <v>Văn phòng</v>
      </c>
      <c r="C166" s="7" t="str">
        <f>IFERROR(__xludf.DUMMYFUNCTION("""COMPUTED_VALUE"""),"Ban kinh doanh")</f>
        <v>Ban kinh doanh</v>
      </c>
      <c r="D166" s="7" t="str">
        <f>IFERROR(__xludf.DUMMYFUNCTION("""COMPUTED_VALUE"""),"Văn phòng Miền Nam")</f>
        <v>Văn phòng Miền Nam</v>
      </c>
      <c r="E166" s="7" t="str">
        <f>IFERROR(__xludf.DUMMYFUNCTION("""COMPUTED_VALUE"""),"Lái xe")</f>
        <v>Lái xe</v>
      </c>
      <c r="F166" s="7" t="str">
        <f>IFERROR(__xludf.DUMMYFUNCTION("""COMPUTED_VALUE"""),"NV5366")</f>
        <v>NV5366</v>
      </c>
      <c r="G166" s="7"/>
      <c r="H166" s="7" t="str">
        <f>IFERROR(__xludf.DUMMYFUNCTION("""COMPUTED_VALUE"""),"Lê Sỹ Toàn")</f>
        <v>Lê Sỹ Toàn</v>
      </c>
      <c r="I166" s="7" t="str">
        <f>IFERROR(__xludf.DUMMYFUNCTION("""COMPUTED_VALUE"""),"Nam")</f>
        <v>Nam</v>
      </c>
      <c r="J166" s="17">
        <f>IFERROR(__xludf.DUMMYFUNCTION("""COMPUTED_VALUE"""),29985.0)</f>
        <v>29985</v>
      </c>
      <c r="K166" s="7" t="str">
        <f>IFERROR(__xludf.DUMMYFUNCTION("""COMPUTED_VALUE"""),"Thôn Tịnh Tây, Tam Nghĩa, Núi Thành, Quảng Nam")</f>
        <v>Thôn Tịnh Tây, Tam Nghĩa, Núi Thành, Quảng Nam</v>
      </c>
      <c r="L166" s="7" t="str">
        <f>IFERROR(__xludf.DUMMYFUNCTION("""COMPUTED_VALUE"""),"0978882869")</f>
        <v>0978882869</v>
      </c>
      <c r="M166" s="7" t="str">
        <f>IFERROR(__xludf.DUMMYFUNCTION("""COMPUTED_VALUE"""),"038082018469")</f>
        <v>038082018469</v>
      </c>
      <c r="N166" s="18">
        <f>IFERROR(__xludf.DUMMYFUNCTION("""COMPUTED_VALUE"""),44768.0)</f>
        <v>44768</v>
      </c>
      <c r="O166" s="7" t="str">
        <f>IFERROR(__xludf.DUMMYFUNCTION("""COMPUTED_VALUE"""),"Cục Cảnh sát QLHC về TTXH")</f>
        <v>Cục Cảnh sát QLHC về TTXH</v>
      </c>
      <c r="P166" s="7" t="str">
        <f>IFERROR(__xludf.DUMMYFUNCTION("""COMPUTED_VALUE"""),"Bằng nghề")</f>
        <v>Bằng nghề</v>
      </c>
      <c r="Q166" s="7" t="str">
        <f>IFERROR(__xludf.DUMMYFUNCTION("""COMPUTED_VALUE"""),"Lái xe Hạng B2")</f>
        <v>Lái xe Hạng B2</v>
      </c>
      <c r="R166" s="17">
        <f>IFERROR(__xludf.DUMMYFUNCTION("""COMPUTED_VALUE"""),45489.0)</f>
        <v>45489</v>
      </c>
      <c r="S166" s="7"/>
      <c r="T166" s="7" t="str">
        <f>IFERROR(__xludf.DUMMYFUNCTION("""COMPUTED_VALUE"""),"Chính thức")</f>
        <v>Chính thức</v>
      </c>
      <c r="U166" s="7"/>
      <c r="V166" s="7" t="str">
        <f>IFERROR(__xludf.DUMMYFUNCTION("""COMPUTED_VALUE"""),"Chính thức")</f>
        <v>Chính thức</v>
      </c>
      <c r="W166" s="7" t="str">
        <f>IFERROR(__xludf.DUMMYFUNCTION("""COMPUTED_VALUE"""),"1 năm 5 tháng")</f>
        <v>1 năm 5 tháng</v>
      </c>
      <c r="X166" s="7"/>
      <c r="Y166" s="7"/>
      <c r="Z166" s="7"/>
    </row>
    <row r="167">
      <c r="A167" s="7">
        <f>IFERROR(__xludf.DUMMYFUNCTION("""COMPUTED_VALUE"""),1.0)</f>
        <v>1</v>
      </c>
      <c r="B167" s="7" t="str">
        <f>IFERROR(__xludf.DUMMYFUNCTION("""COMPUTED_VALUE"""),"Văn phòng")</f>
        <v>Văn phòng</v>
      </c>
      <c r="C167" s="7" t="str">
        <f>IFERROR(__xludf.DUMMYFUNCTION("""COMPUTED_VALUE"""),"Ban kinh doanh")</f>
        <v>Ban kinh doanh</v>
      </c>
      <c r="D167" s="7" t="str">
        <f>IFERROR(__xludf.DUMMYFUNCTION("""COMPUTED_VALUE"""),"Hỗ trợ thị trường và điều phối")</f>
        <v>Hỗ trợ thị trường và điều phối</v>
      </c>
      <c r="E167" s="7" t="str">
        <f>IFERROR(__xludf.DUMMYFUNCTION("""COMPUTED_VALUE"""),"Hỗ trợ thị trường vùng 3")</f>
        <v>Hỗ trợ thị trường vùng 3</v>
      </c>
      <c r="F167" s="7" t="str">
        <f>IFERROR(__xludf.DUMMYFUNCTION("""COMPUTED_VALUE"""),"NV2352")</f>
        <v>NV2352</v>
      </c>
      <c r="G167" s="7">
        <f>IFERROR(__xludf.DUMMYFUNCTION("""COMPUTED_VALUE"""),44.0)</f>
        <v>44</v>
      </c>
      <c r="H167" s="7" t="str">
        <f>IFERROR(__xludf.DUMMYFUNCTION("""COMPUTED_VALUE"""),"Nguyễn Thị Hà")</f>
        <v>Nguyễn Thị Hà</v>
      </c>
      <c r="I167" s="7" t="str">
        <f>IFERROR(__xludf.DUMMYFUNCTION("""COMPUTED_VALUE"""),"Nữ")</f>
        <v>Nữ</v>
      </c>
      <c r="J167" s="17">
        <f>IFERROR(__xludf.DUMMYFUNCTION("""COMPUTED_VALUE"""),33999.0)</f>
        <v>33999</v>
      </c>
      <c r="K167" s="7" t="str">
        <f>IFERROR(__xludf.DUMMYFUNCTION("""COMPUTED_VALUE"""),"SN64 Thôn Hà Đồ - Xã Hoằng Lộc - Tỉnh Thanh Hóa")</f>
        <v>SN64 Thôn Hà Đồ - Xã Hoằng Lộc - Tỉnh Thanh Hóa</v>
      </c>
      <c r="L167" s="20" t="str">
        <f>IFERROR(__xludf.DUMMYFUNCTION("""COMPUTED_VALUE"""),"0981185198")</f>
        <v>0981185198</v>
      </c>
      <c r="M167" s="7" t="str">
        <f>IFERROR(__xludf.DUMMYFUNCTION("""COMPUTED_VALUE"""),"038193001669")</f>
        <v>038193001669</v>
      </c>
      <c r="N167" s="18">
        <f>IFERROR(__xludf.DUMMYFUNCTION("""COMPUTED_VALUE"""),44534.0)</f>
        <v>44534</v>
      </c>
      <c r="O167" s="7" t="str">
        <f>IFERROR(__xludf.DUMMYFUNCTION("""COMPUTED_VALUE"""),"Cục Cảnh sát QLHC về TTXH")</f>
        <v>Cục Cảnh sát QLHC về TTXH</v>
      </c>
      <c r="P167" s="7" t="str">
        <f>IFERROR(__xludf.DUMMYFUNCTION("""COMPUTED_VALUE"""),"Cử nhân")</f>
        <v>Cử nhân</v>
      </c>
      <c r="Q167" s="7" t="str">
        <f>IFERROR(__xludf.DUMMYFUNCTION("""COMPUTED_VALUE"""),"Kế toán")</f>
        <v>Kế toán</v>
      </c>
      <c r="R167" s="17">
        <f>IFERROR(__xludf.DUMMYFUNCTION("""COMPUTED_VALUE"""),43587.0)</f>
        <v>43587</v>
      </c>
      <c r="S167" s="19">
        <f>IFERROR(__xludf.DUMMYFUNCTION("""COMPUTED_VALUE"""),43587.0)</f>
        <v>43587</v>
      </c>
      <c r="T167" s="7" t="str">
        <f>IFERROR(__xludf.DUMMYFUNCTION("""COMPUTED_VALUE"""),"Chính thức")</f>
        <v>Chính thức</v>
      </c>
      <c r="U167" s="7"/>
      <c r="V167" s="7" t="str">
        <f>IFERROR(__xludf.DUMMYFUNCTION("""COMPUTED_VALUE"""),"Chính thức")</f>
        <v>Chính thức</v>
      </c>
      <c r="W167" s="7" t="str">
        <f>IFERROR(__xludf.DUMMYFUNCTION("""COMPUTED_VALUE"""),"6 năm 7 tháng")</f>
        <v>6 năm 7 tháng</v>
      </c>
      <c r="X167" s="7"/>
      <c r="Y167" s="7"/>
      <c r="Z167" s="7"/>
    </row>
    <row r="168">
      <c r="A168" s="7">
        <f>IFERROR(__xludf.DUMMYFUNCTION("""COMPUTED_VALUE"""),2.0)</f>
        <v>2</v>
      </c>
      <c r="B168" s="7" t="str">
        <f>IFERROR(__xludf.DUMMYFUNCTION("""COMPUTED_VALUE"""),"Văn phòng")</f>
        <v>Văn phòng</v>
      </c>
      <c r="C168" s="7" t="str">
        <f>IFERROR(__xludf.DUMMYFUNCTION("""COMPUTED_VALUE"""),"Ban kinh doanh")</f>
        <v>Ban kinh doanh</v>
      </c>
      <c r="D168" s="7" t="str">
        <f>IFERROR(__xludf.DUMMYFUNCTION("""COMPUTED_VALUE"""),"Hỗ trợ thị trường và điều phối")</f>
        <v>Hỗ trợ thị trường và điều phối</v>
      </c>
      <c r="E168" s="7" t="str">
        <f>IFERROR(__xludf.DUMMYFUNCTION("""COMPUTED_VALUE"""),"Hỗ trợ thị trường vùng 68.1")</f>
        <v>Hỗ trợ thị trường vùng 68.1</v>
      </c>
      <c r="F168" s="7" t="str">
        <f>IFERROR(__xludf.DUMMYFUNCTION("""COMPUTED_VALUE"""),"NV0081")</f>
        <v>NV0081</v>
      </c>
      <c r="G168" s="7">
        <f>IFERROR(__xludf.DUMMYFUNCTION("""COMPUTED_VALUE"""),25.0)</f>
        <v>25</v>
      </c>
      <c r="H168" s="7" t="str">
        <f>IFERROR(__xludf.DUMMYFUNCTION("""COMPUTED_VALUE"""),"Lê Thị Nhung")</f>
        <v>Lê Thị Nhung</v>
      </c>
      <c r="I168" s="7" t="str">
        <f>IFERROR(__xludf.DUMMYFUNCTION("""COMPUTED_VALUE"""),"Nữ")</f>
        <v>Nữ</v>
      </c>
      <c r="J168" s="17">
        <f>IFERROR(__xludf.DUMMYFUNCTION("""COMPUTED_VALUE"""),29722.0)</f>
        <v>29722</v>
      </c>
      <c r="K168" s="7" t="str">
        <f>IFERROR(__xludf.DUMMYFUNCTION("""COMPUTED_VALUE"""),"Hoằng Trạch - Hoằng Hóa - Thanh Hóa")</f>
        <v>Hoằng Trạch - Hoằng Hóa - Thanh Hóa</v>
      </c>
      <c r="L168" s="20" t="str">
        <f>IFERROR(__xludf.DUMMYFUNCTION("""COMPUTED_VALUE"""),"0976926481")</f>
        <v>0976926481</v>
      </c>
      <c r="M168" s="7" t="str">
        <f>IFERROR(__xludf.DUMMYFUNCTION("""COMPUTED_VALUE"""),"038181009919")</f>
        <v>038181009919</v>
      </c>
      <c r="N168" s="18">
        <f>IFERROR(__xludf.DUMMYFUNCTION("""COMPUTED_VALUE"""),44427.0)</f>
        <v>44427</v>
      </c>
      <c r="O168" s="7" t="str">
        <f>IFERROR(__xludf.DUMMYFUNCTION("""COMPUTED_VALUE"""),"Cục Cảnh sát QLHC về TTXH")</f>
        <v>Cục Cảnh sát QLHC về TTXH</v>
      </c>
      <c r="P168" s="7" t="str">
        <f>IFERROR(__xludf.DUMMYFUNCTION("""COMPUTED_VALUE"""),"Cử nhân")</f>
        <v>Cử nhân</v>
      </c>
      <c r="Q168" s="7" t="str">
        <f>IFERROR(__xludf.DUMMYFUNCTION("""COMPUTED_VALUE"""),"Kế toán")</f>
        <v>Kế toán</v>
      </c>
      <c r="R168" s="17">
        <f>IFERROR(__xludf.DUMMYFUNCTION("""COMPUTED_VALUE"""),39219.0)</f>
        <v>39219</v>
      </c>
      <c r="S168" s="19">
        <f>IFERROR(__xludf.DUMMYFUNCTION("""COMPUTED_VALUE"""),39219.0)</f>
        <v>39219</v>
      </c>
      <c r="T168" s="7" t="str">
        <f>IFERROR(__xludf.DUMMYFUNCTION("""COMPUTED_VALUE"""),"Chính thức")</f>
        <v>Chính thức</v>
      </c>
      <c r="U168" s="7"/>
      <c r="V168" s="7" t="str">
        <f>IFERROR(__xludf.DUMMYFUNCTION("""COMPUTED_VALUE"""),"Chính thức")</f>
        <v>Chính thức</v>
      </c>
      <c r="W168" s="7" t="str">
        <f>IFERROR(__xludf.DUMMYFUNCTION("""COMPUTED_VALUE"""),"18 năm 7 tháng")</f>
        <v>18 năm 7 tháng</v>
      </c>
      <c r="X168" s="7"/>
      <c r="Y168" s="7"/>
      <c r="Z168" s="7"/>
    </row>
    <row r="169">
      <c r="A169" s="7">
        <f>IFERROR(__xludf.DUMMYFUNCTION("""COMPUTED_VALUE"""),3.0)</f>
        <v>3</v>
      </c>
      <c r="B169" s="7" t="str">
        <f>IFERROR(__xludf.DUMMYFUNCTION("""COMPUTED_VALUE"""),"Văn phòng")</f>
        <v>Văn phòng</v>
      </c>
      <c r="C169" s="7" t="str">
        <f>IFERROR(__xludf.DUMMYFUNCTION("""COMPUTED_VALUE"""),"Ban kinh doanh")</f>
        <v>Ban kinh doanh</v>
      </c>
      <c r="D169" s="7" t="str">
        <f>IFERROR(__xludf.DUMMYFUNCTION("""COMPUTED_VALUE"""),"Hỗ trợ thị trường và điều phối")</f>
        <v>Hỗ trợ thị trường và điều phối</v>
      </c>
      <c r="E169" s="7" t="str">
        <f>IFERROR(__xludf.DUMMYFUNCTION("""COMPUTED_VALUE"""),"Hỗ trợ thị trường vùng 68.2")</f>
        <v>Hỗ trợ thị trường vùng 68.2</v>
      </c>
      <c r="F169" s="7" t="str">
        <f>IFERROR(__xludf.DUMMYFUNCTION("""COMPUTED_VALUE"""),"NV0861")</f>
        <v>NV0861</v>
      </c>
      <c r="G169" s="7">
        <f>IFERROR(__xludf.DUMMYFUNCTION("""COMPUTED_VALUE"""),24.0)</f>
        <v>24</v>
      </c>
      <c r="H169" s="7" t="str">
        <f>IFERROR(__xludf.DUMMYFUNCTION("""COMPUTED_VALUE"""),"Lê Hữu Mạnh")</f>
        <v>Lê Hữu Mạnh</v>
      </c>
      <c r="I169" s="7" t="str">
        <f>IFERROR(__xludf.DUMMYFUNCTION("""COMPUTED_VALUE"""),"Nam")</f>
        <v>Nam</v>
      </c>
      <c r="J169" s="17">
        <f>IFERROR(__xludf.DUMMYFUNCTION("""COMPUTED_VALUE"""),33298.0)</f>
        <v>33298</v>
      </c>
      <c r="K169" s="7" t="str">
        <f>IFERROR(__xludf.DUMMYFUNCTION("""COMPUTED_VALUE"""),"145 Trần Hưng Đạo, Phường Nam Ngạn, Thành phố Thanh Hóa")</f>
        <v>145 Trần Hưng Đạo, Phường Nam Ngạn, Thành phố Thanh Hóa</v>
      </c>
      <c r="L169" s="20" t="str">
        <f>IFERROR(__xludf.DUMMYFUNCTION("""COMPUTED_VALUE"""),"0931351819")</f>
        <v>0931351819</v>
      </c>
      <c r="M169" s="7" t="str">
        <f>IFERROR(__xludf.DUMMYFUNCTION("""COMPUTED_VALUE"""),"038091027223")</f>
        <v>038091027223</v>
      </c>
      <c r="N169" s="18">
        <f>IFERROR(__xludf.DUMMYFUNCTION("""COMPUTED_VALUE"""),44435.0)</f>
        <v>44435</v>
      </c>
      <c r="O169" s="7" t="str">
        <f>IFERROR(__xludf.DUMMYFUNCTION("""COMPUTED_VALUE"""),"Cục Cảnh sát QLHC về TTXH")</f>
        <v>Cục Cảnh sát QLHC về TTXH</v>
      </c>
      <c r="P169" s="7" t="str">
        <f>IFERROR(__xludf.DUMMYFUNCTION("""COMPUTED_VALUE"""),"Đại học")</f>
        <v>Đại học</v>
      </c>
      <c r="Q169" s="7" t="str">
        <f>IFERROR(__xludf.DUMMYFUNCTION("""COMPUTED_VALUE"""),"Quản trị kinh doanh")</f>
        <v>Quản trị kinh doanh</v>
      </c>
      <c r="R169" s="17">
        <f>IFERROR(__xludf.DUMMYFUNCTION("""COMPUTED_VALUE"""),42279.0)</f>
        <v>42279</v>
      </c>
      <c r="S169" s="19">
        <f>IFERROR(__xludf.DUMMYFUNCTION("""COMPUTED_VALUE"""),42856.0)</f>
        <v>42856</v>
      </c>
      <c r="T169" s="7" t="str">
        <f>IFERROR(__xludf.DUMMYFUNCTION("""COMPUTED_VALUE"""),"Chính thức")</f>
        <v>Chính thức</v>
      </c>
      <c r="U169" s="7"/>
      <c r="V169" s="7" t="str">
        <f>IFERROR(__xludf.DUMMYFUNCTION("""COMPUTED_VALUE"""),"Chính thức")</f>
        <v>Chính thức</v>
      </c>
      <c r="W169" s="7" t="str">
        <f>IFERROR(__xludf.DUMMYFUNCTION("""COMPUTED_VALUE"""),"10 năm 2 tháng")</f>
        <v>10 năm 2 tháng</v>
      </c>
      <c r="X169" s="7"/>
      <c r="Y169" s="7"/>
      <c r="Z169" s="7"/>
    </row>
    <row r="170">
      <c r="A170" s="7">
        <f>IFERROR(__xludf.DUMMYFUNCTION("""COMPUTED_VALUE"""),4.0)</f>
        <v>4</v>
      </c>
      <c r="B170" s="7" t="str">
        <f>IFERROR(__xludf.DUMMYFUNCTION("""COMPUTED_VALUE"""),"Văn phòng")</f>
        <v>Văn phòng</v>
      </c>
      <c r="C170" s="7" t="str">
        <f>IFERROR(__xludf.DUMMYFUNCTION("""COMPUTED_VALUE"""),"Ban kinh doanh")</f>
        <v>Ban kinh doanh</v>
      </c>
      <c r="D170" s="7" t="str">
        <f>IFERROR(__xludf.DUMMYFUNCTION("""COMPUTED_VALUE"""),"Hỗ trợ thị trường và điều phối")</f>
        <v>Hỗ trợ thị trường và điều phối</v>
      </c>
      <c r="E170" s="7" t="str">
        <f>IFERROR(__xludf.DUMMYFUNCTION("""COMPUTED_VALUE"""),"Hỗ trợ thị trường vùng 1 + vùng 2")</f>
        <v>Hỗ trợ thị trường vùng 1 + vùng 2</v>
      </c>
      <c r="F170" s="7" t="str">
        <f>IFERROR(__xludf.DUMMYFUNCTION("""COMPUTED_VALUE"""),"NV0605")</f>
        <v>NV0605</v>
      </c>
      <c r="G170" s="7">
        <f>IFERROR(__xludf.DUMMYFUNCTION("""COMPUTED_VALUE"""),749.0)</f>
        <v>749</v>
      </c>
      <c r="H170" s="7" t="str">
        <f>IFERROR(__xludf.DUMMYFUNCTION("""COMPUTED_VALUE"""),"Trần Thị Hương")</f>
        <v>Trần Thị Hương</v>
      </c>
      <c r="I170" s="7" t="str">
        <f>IFERROR(__xludf.DUMMYFUNCTION("""COMPUTED_VALUE"""),"Nữ")</f>
        <v>Nữ</v>
      </c>
      <c r="J170" s="17">
        <f>IFERROR(__xludf.DUMMYFUNCTION("""COMPUTED_VALUE"""),33886.0)</f>
        <v>33886</v>
      </c>
      <c r="K170" s="7" t="str">
        <f>IFERROR(__xludf.DUMMYFUNCTION("""COMPUTED_VALUE"""),"Phố 8, Xã Quảng Hưng, Thành phố Thanh Hóa,")</f>
        <v>Phố 8, Xã Quảng Hưng, Thành phố Thanh Hóa,</v>
      </c>
      <c r="L170" s="20" t="str">
        <f>IFERROR(__xludf.DUMMYFUNCTION("""COMPUTED_VALUE"""),"0976753107")</f>
        <v>0976753107</v>
      </c>
      <c r="M170" s="7" t="str">
        <f>IFERROR(__xludf.DUMMYFUNCTION("""COMPUTED_VALUE"""),"038192046834")</f>
        <v>038192046834</v>
      </c>
      <c r="N170" s="18">
        <f>IFERROR(__xludf.DUMMYFUNCTION("""COMPUTED_VALUE"""),44326.0)</f>
        <v>44326</v>
      </c>
      <c r="O170" s="7" t="str">
        <f>IFERROR(__xludf.DUMMYFUNCTION("""COMPUTED_VALUE"""),"Cục Cảnh sát QLHC về TTXH")</f>
        <v>Cục Cảnh sát QLHC về TTXH</v>
      </c>
      <c r="P170" s="7" t="str">
        <f>IFERROR(__xludf.DUMMYFUNCTION("""COMPUTED_VALUE"""),"Đại học")</f>
        <v>Đại học</v>
      </c>
      <c r="Q170" s="7" t="str">
        <f>IFERROR(__xludf.DUMMYFUNCTION("""COMPUTED_VALUE"""),"Thiết kế đồ họa")</f>
        <v>Thiết kế đồ họa</v>
      </c>
      <c r="R170" s="17">
        <f>IFERROR(__xludf.DUMMYFUNCTION("""COMPUTED_VALUE"""),41939.0)</f>
        <v>41939</v>
      </c>
      <c r="S170" s="19">
        <f>IFERROR(__xludf.DUMMYFUNCTION("""COMPUTED_VALUE"""),41939.0)</f>
        <v>41939</v>
      </c>
      <c r="T170" s="7" t="str">
        <f>IFERROR(__xludf.DUMMYFUNCTION("""COMPUTED_VALUE"""),"Chính thức")</f>
        <v>Chính thức</v>
      </c>
      <c r="U170" s="7"/>
      <c r="V170" s="7" t="str">
        <f>IFERROR(__xludf.DUMMYFUNCTION("""COMPUTED_VALUE"""),"Chính thức")</f>
        <v>Chính thức</v>
      </c>
      <c r="W170" s="7" t="str">
        <f>IFERROR(__xludf.DUMMYFUNCTION("""COMPUTED_VALUE"""),"11 năm 2 tháng")</f>
        <v>11 năm 2 tháng</v>
      </c>
      <c r="X170" s="7"/>
      <c r="Y170" s="7"/>
      <c r="Z170" s="7"/>
    </row>
    <row r="171">
      <c r="A171" s="7">
        <f>IFERROR(__xludf.DUMMYFUNCTION("""COMPUTED_VALUE"""),5.0)</f>
        <v>5</v>
      </c>
      <c r="B171" s="7" t="str">
        <f>IFERROR(__xludf.DUMMYFUNCTION("""COMPUTED_VALUE"""),"Văn phòng")</f>
        <v>Văn phòng</v>
      </c>
      <c r="C171" s="7" t="str">
        <f>IFERROR(__xludf.DUMMYFUNCTION("""COMPUTED_VALUE"""),"Ban kinh doanh")</f>
        <v>Ban kinh doanh</v>
      </c>
      <c r="D171" s="7" t="str">
        <f>IFERROR(__xludf.DUMMYFUNCTION("""COMPUTED_VALUE"""),"Hỗ trợ thị trường và điều phối")</f>
        <v>Hỗ trợ thị trường và điều phối</v>
      </c>
      <c r="E171" s="7" t="str">
        <f>IFERROR(__xludf.DUMMYFUNCTION("""COMPUTED_VALUE"""),"Hỗ trợ thị trường vùng 5 + vùng 6 kiêm hỗ trợ thị trường vùng 8")</f>
        <v>Hỗ trợ thị trường vùng 5 + vùng 6 kiêm hỗ trợ thị trường vùng 8</v>
      </c>
      <c r="F171" s="7" t="str">
        <f>IFERROR(__xludf.DUMMYFUNCTION("""COMPUTED_VALUE"""),"NV1278")</f>
        <v>NV1278</v>
      </c>
      <c r="G171" s="7">
        <f>IFERROR(__xludf.DUMMYFUNCTION("""COMPUTED_VALUE"""),26.0)</f>
        <v>26</v>
      </c>
      <c r="H171" s="7" t="str">
        <f>IFERROR(__xludf.DUMMYFUNCTION("""COMPUTED_VALUE"""),"Đỗ Thị Hằng")</f>
        <v>Đỗ Thị Hằng</v>
      </c>
      <c r="I171" s="7" t="str">
        <f>IFERROR(__xludf.DUMMYFUNCTION("""COMPUTED_VALUE"""),"Nữ")</f>
        <v>Nữ</v>
      </c>
      <c r="J171" s="17">
        <f>IFERROR(__xludf.DUMMYFUNCTION("""COMPUTED_VALUE"""),35074.0)</f>
        <v>35074</v>
      </c>
      <c r="K171" s="7" t="str">
        <f>IFERROR(__xludf.DUMMYFUNCTION("""COMPUTED_VALUE"""),"Hoằng Trạch - Hoằng Hóa - Thanh Hóa")</f>
        <v>Hoằng Trạch - Hoằng Hóa - Thanh Hóa</v>
      </c>
      <c r="L171" s="20" t="str">
        <f>IFERROR(__xludf.DUMMYFUNCTION("""COMPUTED_VALUE"""),"0976843259")</f>
        <v>0976843259</v>
      </c>
      <c r="M171" s="7" t="str">
        <f>IFERROR(__xludf.DUMMYFUNCTION("""COMPUTED_VALUE"""),"038196024180")</f>
        <v>038196024180</v>
      </c>
      <c r="N171" s="18">
        <f>IFERROR(__xludf.DUMMYFUNCTION("""COMPUTED_VALUE"""),44453.0)</f>
        <v>44453</v>
      </c>
      <c r="O171" s="7" t="str">
        <f>IFERROR(__xludf.DUMMYFUNCTION("""COMPUTED_VALUE"""),"Cục Cảnh sát QLHC về TTXH")</f>
        <v>Cục Cảnh sát QLHC về TTXH</v>
      </c>
      <c r="P171" s="7" t="str">
        <f>IFERROR(__xludf.DUMMYFUNCTION("""COMPUTED_VALUE"""),"Đại học")</f>
        <v>Đại học</v>
      </c>
      <c r="Q171" s="7" t="str">
        <f>IFERROR(__xludf.DUMMYFUNCTION("""COMPUTED_VALUE"""),"Kế toán")</f>
        <v>Kế toán</v>
      </c>
      <c r="R171" s="17">
        <f>IFERROR(__xludf.DUMMYFUNCTION("""COMPUTED_VALUE"""),43180.0)</f>
        <v>43180</v>
      </c>
      <c r="S171" s="19">
        <f>IFERROR(__xludf.DUMMYFUNCTION("""COMPUTED_VALUE"""),43466.0)</f>
        <v>43466</v>
      </c>
      <c r="T171" s="7" t="str">
        <f>IFERROR(__xludf.DUMMYFUNCTION("""COMPUTED_VALUE"""),"Chính thức")</f>
        <v>Chính thức</v>
      </c>
      <c r="U171" s="7"/>
      <c r="V171" s="7" t="str">
        <f>IFERROR(__xludf.DUMMYFUNCTION("""COMPUTED_VALUE"""),"Chính thức")</f>
        <v>Chính thức</v>
      </c>
      <c r="W171" s="7" t="str">
        <f>IFERROR(__xludf.DUMMYFUNCTION("""COMPUTED_VALUE"""),"7 năm 9 tháng")</f>
        <v>7 năm 9 tháng</v>
      </c>
      <c r="X171" s="7"/>
      <c r="Y171" s="7"/>
      <c r="Z171" s="7"/>
    </row>
    <row r="172">
      <c r="A172" s="7">
        <f>IFERROR(__xludf.DUMMYFUNCTION("""COMPUTED_VALUE"""),6.0)</f>
        <v>6</v>
      </c>
      <c r="B172" s="7" t="str">
        <f>IFERROR(__xludf.DUMMYFUNCTION("""COMPUTED_VALUE"""),"Văn phòng")</f>
        <v>Văn phòng</v>
      </c>
      <c r="C172" s="7" t="str">
        <f>IFERROR(__xludf.DUMMYFUNCTION("""COMPUTED_VALUE"""),"Ban kinh doanh")</f>
        <v>Ban kinh doanh</v>
      </c>
      <c r="D172" s="7" t="str">
        <f>IFERROR(__xludf.DUMMYFUNCTION("""COMPUTED_VALUE"""),"Hỗ trợ thị trường và điều phối")</f>
        <v>Hỗ trợ thị trường và điều phối</v>
      </c>
      <c r="E172" s="7" t="str">
        <f>IFERROR(__xludf.DUMMYFUNCTION("""COMPUTED_VALUE"""),"Phụ trách cắt lô, bán lẻ, gạch loại, trực phiếu kiêm hỗ trợ thị trường vùng 9")</f>
        <v>Phụ trách cắt lô, bán lẻ, gạch loại, trực phiếu kiêm hỗ trợ thị trường vùng 9</v>
      </c>
      <c r="F172" s="7" t="str">
        <f>IFERROR(__xludf.DUMMYFUNCTION("""COMPUTED_VALUE"""),"NV0029")</f>
        <v>NV0029</v>
      </c>
      <c r="G172" s="7">
        <f>IFERROR(__xludf.DUMMYFUNCTION("""COMPUTED_VALUE"""),27.0)</f>
        <v>27</v>
      </c>
      <c r="H172" s="7" t="str">
        <f>IFERROR(__xludf.DUMMYFUNCTION("""COMPUTED_VALUE"""),"Trần Thị Thơm")</f>
        <v>Trần Thị Thơm</v>
      </c>
      <c r="I172" s="7" t="str">
        <f>IFERROR(__xludf.DUMMYFUNCTION("""COMPUTED_VALUE"""),"Nữ")</f>
        <v>Nữ</v>
      </c>
      <c r="J172" s="17">
        <f>IFERROR(__xludf.DUMMYFUNCTION("""COMPUTED_VALUE"""),33856.0)</f>
        <v>33856</v>
      </c>
      <c r="K172" s="7" t="str">
        <f>IFERROR(__xludf.DUMMYFUNCTION("""COMPUTED_VALUE"""),"Hoằng Châu - Hoằng Hóa - Thanh Hóa")</f>
        <v>Hoằng Châu - Hoằng Hóa - Thanh Hóa</v>
      </c>
      <c r="L172" s="20" t="str">
        <f>IFERROR(__xludf.DUMMYFUNCTION("""COMPUTED_VALUE"""),"0332410992")</f>
        <v>0332410992</v>
      </c>
      <c r="M172" s="7" t="str">
        <f>IFERROR(__xludf.DUMMYFUNCTION("""COMPUTED_VALUE"""),"038192039165")</f>
        <v>038192039165</v>
      </c>
      <c r="N172" s="18">
        <f>IFERROR(__xludf.DUMMYFUNCTION("""COMPUTED_VALUE"""),44325.0)</f>
        <v>44325</v>
      </c>
      <c r="O172" s="7" t="str">
        <f>IFERROR(__xludf.DUMMYFUNCTION("""COMPUTED_VALUE"""),"Cục Cảnh sát QLHC về TTXH")</f>
        <v>Cục Cảnh sát QLHC về TTXH</v>
      </c>
      <c r="P172" s="7" t="str">
        <f>IFERROR(__xludf.DUMMYFUNCTION("""COMPUTED_VALUE"""),"Trung cấp")</f>
        <v>Trung cấp</v>
      </c>
      <c r="Q172" s="7" t="str">
        <f>IFERROR(__xludf.DUMMYFUNCTION("""COMPUTED_VALUE"""),"Kiểm toán")</f>
        <v>Kiểm toán</v>
      </c>
      <c r="R172" s="17">
        <f>IFERROR(__xludf.DUMMYFUNCTION("""COMPUTED_VALUE"""),40739.0)</f>
        <v>40739</v>
      </c>
      <c r="S172" s="19">
        <f>IFERROR(__xludf.DUMMYFUNCTION("""COMPUTED_VALUE"""),40739.0)</f>
        <v>40739</v>
      </c>
      <c r="T172" s="7" t="str">
        <f>IFERROR(__xludf.DUMMYFUNCTION("""COMPUTED_VALUE"""),"Chính thức")</f>
        <v>Chính thức</v>
      </c>
      <c r="U172" s="7"/>
      <c r="V172" s="7" t="str">
        <f>IFERROR(__xludf.DUMMYFUNCTION("""COMPUTED_VALUE"""),"Chính thức")</f>
        <v>Chính thức</v>
      </c>
      <c r="W172" s="7" t="str">
        <f>IFERROR(__xludf.DUMMYFUNCTION("""COMPUTED_VALUE"""),"14 năm 5 tháng")</f>
        <v>14 năm 5 tháng</v>
      </c>
      <c r="X172" s="7"/>
      <c r="Y172" s="7"/>
      <c r="Z172" s="7"/>
    </row>
    <row r="173">
      <c r="A173" s="7">
        <f>IFERROR(__xludf.DUMMYFUNCTION("""COMPUTED_VALUE"""),7.0)</f>
        <v>7</v>
      </c>
      <c r="B173" s="7" t="str">
        <f>IFERROR(__xludf.DUMMYFUNCTION("""COMPUTED_VALUE"""),"Văn phòng")</f>
        <v>Văn phòng</v>
      </c>
      <c r="C173" s="7" t="str">
        <f>IFERROR(__xludf.DUMMYFUNCTION("""COMPUTED_VALUE"""),"Ban kinh doanh")</f>
        <v>Ban kinh doanh</v>
      </c>
      <c r="D173" s="7" t="str">
        <f>IFERROR(__xludf.DUMMYFUNCTION("""COMPUTED_VALUE"""),"Hỗ trợ thị trường và điều phối")</f>
        <v>Hỗ trợ thị trường và điều phối</v>
      </c>
      <c r="E173" s="7" t="str">
        <f>IFERROR(__xludf.DUMMYFUNCTION("""COMPUTED_VALUE"""),"Hỗ trợ thị trường vùng 5 + vùng 6 kiêm hỗ trợ thị trường vùng 8")</f>
        <v>Hỗ trợ thị trường vùng 5 + vùng 6 kiêm hỗ trợ thị trường vùng 8</v>
      </c>
      <c r="F173" s="7" t="str">
        <f>IFERROR(__xludf.DUMMYFUNCTION("""COMPUTED_VALUE"""),"NV1700")</f>
        <v>NV1700</v>
      </c>
      <c r="G173" s="7">
        <f>IFERROR(__xludf.DUMMYFUNCTION("""COMPUTED_VALUE"""),17.0)</f>
        <v>17</v>
      </c>
      <c r="H173" s="7" t="str">
        <f>IFERROR(__xludf.DUMMYFUNCTION("""COMPUTED_VALUE"""),"Vũ Đình Hà")</f>
        <v>Vũ Đình Hà</v>
      </c>
      <c r="I173" s="7" t="str">
        <f>IFERROR(__xludf.DUMMYFUNCTION("""COMPUTED_VALUE"""),"Nam")</f>
        <v>Nam</v>
      </c>
      <c r="J173" s="17">
        <f>IFERROR(__xludf.DUMMYFUNCTION("""COMPUTED_VALUE"""),34372.0)</f>
        <v>34372</v>
      </c>
      <c r="K173" s="7" t="str">
        <f>IFERROR(__xludf.DUMMYFUNCTION("""COMPUTED_VALUE"""),"22/15/601 Hàm Nghi, Xã Đông Hương, Thành phố Thanh Hóa, Thanh Hóa")</f>
        <v>22/15/601 Hàm Nghi, Xã Đông Hương, Thành phố Thanh Hóa, Thanh Hóa</v>
      </c>
      <c r="L173" s="20" t="str">
        <f>IFERROR(__xludf.DUMMYFUNCTION("""COMPUTED_VALUE"""),"0347817268")</f>
        <v>0347817268</v>
      </c>
      <c r="M173" s="7" t="str">
        <f>IFERROR(__xludf.DUMMYFUNCTION("""COMPUTED_VALUE"""),"038094014801")</f>
        <v>038094014801</v>
      </c>
      <c r="N173" s="18">
        <f>IFERROR(__xludf.DUMMYFUNCTION("""COMPUTED_VALUE"""),44418.0)</f>
        <v>44418</v>
      </c>
      <c r="O173" s="7" t="str">
        <f>IFERROR(__xludf.DUMMYFUNCTION("""COMPUTED_VALUE"""),"Cục Cảnh sát QLHC về TTXH")</f>
        <v>Cục Cảnh sát QLHC về TTXH</v>
      </c>
      <c r="P173" s="7" t="str">
        <f>IFERROR(__xludf.DUMMYFUNCTION("""COMPUTED_VALUE"""),"Cử nhân")</f>
        <v>Cử nhân</v>
      </c>
      <c r="Q173" s="7" t="str">
        <f>IFERROR(__xludf.DUMMYFUNCTION("""COMPUTED_VALUE"""),"Kế toán")</f>
        <v>Kế toán</v>
      </c>
      <c r="R173" s="17">
        <f>IFERROR(__xludf.DUMMYFUNCTION("""COMPUTED_VALUE"""),43340.0)</f>
        <v>43340</v>
      </c>
      <c r="S173" s="19">
        <f>IFERROR(__xludf.DUMMYFUNCTION("""COMPUTED_VALUE"""),43340.0)</f>
        <v>43340</v>
      </c>
      <c r="T173" s="7" t="str">
        <f>IFERROR(__xludf.DUMMYFUNCTION("""COMPUTED_VALUE"""),"Chính thức")</f>
        <v>Chính thức</v>
      </c>
      <c r="U173" s="7"/>
      <c r="V173" s="7" t="str">
        <f>IFERROR(__xludf.DUMMYFUNCTION("""COMPUTED_VALUE"""),"Chính thức")</f>
        <v>Chính thức</v>
      </c>
      <c r="W173" s="7" t="str">
        <f>IFERROR(__xludf.DUMMYFUNCTION("""COMPUTED_VALUE"""),"7 năm 4 tháng")</f>
        <v>7 năm 4 tháng</v>
      </c>
      <c r="X173" s="7"/>
      <c r="Y173" s="7"/>
      <c r="Z173" s="7"/>
    </row>
    <row r="174">
      <c r="A174" s="7">
        <f>IFERROR(__xludf.DUMMYFUNCTION("""COMPUTED_VALUE"""),8.0)</f>
        <v>8</v>
      </c>
      <c r="B174" s="7" t="str">
        <f>IFERROR(__xludf.DUMMYFUNCTION("""COMPUTED_VALUE"""),"Văn phòng")</f>
        <v>Văn phòng</v>
      </c>
      <c r="C174" s="7" t="str">
        <f>IFERROR(__xludf.DUMMYFUNCTION("""COMPUTED_VALUE"""),"Ban kinh doanh")</f>
        <v>Ban kinh doanh</v>
      </c>
      <c r="D174" s="7" t="str">
        <f>IFERROR(__xludf.DUMMYFUNCTION("""COMPUTED_VALUE"""),"Hỗ trợ thị trường và điều phối")</f>
        <v>Hỗ trợ thị trường và điều phối</v>
      </c>
      <c r="E174" s="7" t="str">
        <f>IFERROR(__xludf.DUMMYFUNCTION("""COMPUTED_VALUE"""),"Hỗ trợ thị trường vùng 3")</f>
        <v>Hỗ trợ thị trường vùng 3</v>
      </c>
      <c r="F174" s="7" t="str">
        <f>IFERROR(__xludf.DUMMYFUNCTION("""COMPUTED_VALUE"""),"NV0695")</f>
        <v>NV0695</v>
      </c>
      <c r="G174" s="7">
        <f>IFERROR(__xludf.DUMMYFUNCTION("""COMPUTED_VALUE"""),33.0)</f>
        <v>33</v>
      </c>
      <c r="H174" s="7" t="str">
        <f>IFERROR(__xludf.DUMMYFUNCTION("""COMPUTED_VALUE"""),"Nguyễn Huy Toàn")</f>
        <v>Nguyễn Huy Toàn</v>
      </c>
      <c r="I174" s="7" t="str">
        <f>IFERROR(__xludf.DUMMYFUNCTION("""COMPUTED_VALUE"""),"Nam")</f>
        <v>Nam</v>
      </c>
      <c r="J174" s="17">
        <f>IFERROR(__xludf.DUMMYFUNCTION("""COMPUTED_VALUE"""),31894.0)</f>
        <v>31894</v>
      </c>
      <c r="K174" s="7" t="str">
        <f>IFERROR(__xludf.DUMMYFUNCTION("""COMPUTED_VALUE"""),"SN22/233 Đường Bạch Đằng- Phố 5, Xã Quảng Hưng, Thành phố Thanh Hóa,")</f>
        <v>SN22/233 Đường Bạch Đằng- Phố 5, Xã Quảng Hưng, Thành phố Thanh Hóa,</v>
      </c>
      <c r="L174" s="20" t="str">
        <f>IFERROR(__xludf.DUMMYFUNCTION("""COMPUTED_VALUE"""),"0979426002")</f>
        <v>0979426002</v>
      </c>
      <c r="M174" s="7" t="str">
        <f>IFERROR(__xludf.DUMMYFUNCTION("""COMPUTED_VALUE"""),"038087015949")</f>
        <v>038087015949</v>
      </c>
      <c r="N174" s="18">
        <f>IFERROR(__xludf.DUMMYFUNCTION("""COMPUTED_VALUE"""),44317.0)</f>
        <v>44317</v>
      </c>
      <c r="O174" s="7" t="str">
        <f>IFERROR(__xludf.DUMMYFUNCTION("""COMPUTED_VALUE"""),"Cục Cảnh sát QLHC về TTXH")</f>
        <v>Cục Cảnh sát QLHC về TTXH</v>
      </c>
      <c r="P174" s="7" t="str">
        <f>IFERROR(__xludf.DUMMYFUNCTION("""COMPUTED_VALUE"""),"Cao đẳng")</f>
        <v>Cao đẳng</v>
      </c>
      <c r="Q174" s="7" t="str">
        <f>IFERROR(__xludf.DUMMYFUNCTION("""COMPUTED_VALUE"""),"Hóa chất")</f>
        <v>Hóa chất</v>
      </c>
      <c r="R174" s="17">
        <f>IFERROR(__xludf.DUMMYFUNCTION("""COMPUTED_VALUE"""),40780.0)</f>
        <v>40780</v>
      </c>
      <c r="S174" s="19">
        <f>IFERROR(__xludf.DUMMYFUNCTION("""COMPUTED_VALUE"""),40780.0)</f>
        <v>40780</v>
      </c>
      <c r="T174" s="7" t="str">
        <f>IFERROR(__xludf.DUMMYFUNCTION("""COMPUTED_VALUE"""),"Chính thức")</f>
        <v>Chính thức</v>
      </c>
      <c r="U174" s="7"/>
      <c r="V174" s="7" t="str">
        <f>IFERROR(__xludf.DUMMYFUNCTION("""COMPUTED_VALUE"""),"Chính thức")</f>
        <v>Chính thức</v>
      </c>
      <c r="W174" s="7" t="str">
        <f>IFERROR(__xludf.DUMMYFUNCTION("""COMPUTED_VALUE"""),"14 năm 4 tháng")</f>
        <v>14 năm 4 tháng</v>
      </c>
      <c r="X174" s="7"/>
      <c r="Y174" s="7"/>
      <c r="Z174" s="7"/>
    </row>
    <row r="175">
      <c r="A175" s="7">
        <f>IFERROR(__xludf.DUMMYFUNCTION("""COMPUTED_VALUE"""),9.0)</f>
        <v>9</v>
      </c>
      <c r="B175" s="7" t="str">
        <f>IFERROR(__xludf.DUMMYFUNCTION("""COMPUTED_VALUE"""),"Văn phòng")</f>
        <v>Văn phòng</v>
      </c>
      <c r="C175" s="7" t="str">
        <f>IFERROR(__xludf.DUMMYFUNCTION("""COMPUTED_VALUE"""),"Ban kinh doanh")</f>
        <v>Ban kinh doanh</v>
      </c>
      <c r="D175" s="7" t="str">
        <f>IFERROR(__xludf.DUMMYFUNCTION("""COMPUTED_VALUE"""),"Hỗ trợ thị trường và điều phối")</f>
        <v>Hỗ trợ thị trường và điều phối</v>
      </c>
      <c r="E175" s="7" t="str">
        <f>IFERROR(__xludf.DUMMYFUNCTION("""COMPUTED_VALUE"""),"Hỗ trợ thị trường vùng 5")</f>
        <v>Hỗ trợ thị trường vùng 5</v>
      </c>
      <c r="F175" s="7" t="str">
        <f>IFERROR(__xludf.DUMMYFUNCTION("""COMPUTED_VALUE"""),"NV5801")</f>
        <v>NV5801</v>
      </c>
      <c r="G175" s="7">
        <f>IFERROR(__xludf.DUMMYFUNCTION("""COMPUTED_VALUE"""),1283.0)</f>
        <v>1283</v>
      </c>
      <c r="H175" s="7" t="str">
        <f>IFERROR(__xludf.DUMMYFUNCTION("""COMPUTED_VALUE"""),"Nguyễn Minh Khôi")</f>
        <v>Nguyễn Minh Khôi</v>
      </c>
      <c r="I175" s="7" t="str">
        <f>IFERROR(__xludf.DUMMYFUNCTION("""COMPUTED_VALUE"""),"Nam")</f>
        <v>Nam</v>
      </c>
      <c r="J175" s="17">
        <f>IFERROR(__xludf.DUMMYFUNCTION("""COMPUTED_VALUE"""),32456.0)</f>
        <v>32456</v>
      </c>
      <c r="K175" s="7" t="str">
        <f>IFERROR(__xludf.DUMMYFUNCTION("""COMPUTED_VALUE"""),"Đường Hòa Mỹ 2 - tổ 121 - phường Hòa Khánh - TP Đà Nẵng")</f>
        <v>Đường Hòa Mỹ 2 - tổ 121 - phường Hòa Khánh - TP Đà Nẵng</v>
      </c>
      <c r="L175" s="20" t="str">
        <f>IFERROR(__xludf.DUMMYFUNCTION("""COMPUTED_VALUE"""),"0966595150")</f>
        <v>0966595150</v>
      </c>
      <c r="M175" s="7" t="str">
        <f>IFERROR(__xludf.DUMMYFUNCTION("""COMPUTED_VALUE"""),"030088007306")</f>
        <v>030088007306</v>
      </c>
      <c r="N175" s="18">
        <f>IFERROR(__xludf.DUMMYFUNCTION("""COMPUTED_VALUE"""),44959.0)</f>
        <v>44959</v>
      </c>
      <c r="O175" s="7" t="str">
        <f>IFERROR(__xludf.DUMMYFUNCTION("""COMPUTED_VALUE"""),"Cục Cảnh sát QLHC về TTXH")</f>
        <v>Cục Cảnh sát QLHC về TTXH</v>
      </c>
      <c r="P175" s="7" t="str">
        <f>IFERROR(__xludf.DUMMYFUNCTION("""COMPUTED_VALUE"""),"Kỹ sư")</f>
        <v>Kỹ sư</v>
      </c>
      <c r="Q175" s="7" t="str">
        <f>IFERROR(__xludf.DUMMYFUNCTION("""COMPUTED_VALUE"""),"Kỹ sư cơ khí chuyên dùng")</f>
        <v>Kỹ sư cơ khí chuyên dùng</v>
      </c>
      <c r="R175" s="17">
        <f>IFERROR(__xludf.DUMMYFUNCTION("""COMPUTED_VALUE"""),45972.0)</f>
        <v>45972</v>
      </c>
      <c r="S175" s="19">
        <f>IFERROR(__xludf.DUMMYFUNCTION("""COMPUTED_VALUE"""),46002.0)</f>
        <v>46002</v>
      </c>
      <c r="T175" s="7" t="str">
        <f>IFERROR(__xludf.DUMMYFUNCTION("""COMPUTED_VALUE"""),"Chính thức")</f>
        <v>Chính thức</v>
      </c>
      <c r="U175" s="7"/>
      <c r="V175" s="7" t="str">
        <f>IFERROR(__xludf.DUMMYFUNCTION("""COMPUTED_VALUE"""),"Chính thức")</f>
        <v>Chính thức</v>
      </c>
      <c r="W175" s="7" t="str">
        <f>IFERROR(__xludf.DUMMYFUNCTION("""COMPUTED_VALUE"""),"0 năm 1 tháng")</f>
        <v>0 năm 1 tháng</v>
      </c>
      <c r="X175" s="7"/>
      <c r="Y175" s="7"/>
      <c r="Z175" s="7"/>
    </row>
    <row r="176">
      <c r="A176" s="7">
        <f>IFERROR(__xludf.DUMMYFUNCTION("""COMPUTED_VALUE"""),1.0)</f>
        <v>1</v>
      </c>
      <c r="B176" s="7" t="str">
        <f>IFERROR(__xludf.DUMMYFUNCTION("""COMPUTED_VALUE"""),"Văn phòng")</f>
        <v>Văn phòng</v>
      </c>
      <c r="C176" s="7" t="str">
        <f>IFERROR(__xludf.DUMMYFUNCTION("""COMPUTED_VALUE"""),"Ban kinh doanh")</f>
        <v>Ban kinh doanh</v>
      </c>
      <c r="D176" s="7" t="str">
        <f>IFERROR(__xludf.DUMMYFUNCTION("""COMPUTED_VALUE"""),"Bộ phận thiết kế")</f>
        <v>Bộ phận thiết kế</v>
      </c>
      <c r="E176" s="7" t="str">
        <f>IFERROR(__xludf.DUMMYFUNCTION("""COMPUTED_VALUE"""),"Trưởng bộ phận")</f>
        <v>Trưởng bộ phận</v>
      </c>
      <c r="F176" s="7" t="str">
        <f>IFERROR(__xludf.DUMMYFUNCTION("""COMPUTED_VALUE"""),"NV0066")</f>
        <v>NV0066</v>
      </c>
      <c r="G176" s="7">
        <f>IFERROR(__xludf.DUMMYFUNCTION("""COMPUTED_VALUE"""),18.0)</f>
        <v>18</v>
      </c>
      <c r="H176" s="7" t="str">
        <f>IFERROR(__xludf.DUMMYFUNCTION("""COMPUTED_VALUE"""),"Nguyễn Văn Tiến")</f>
        <v>Nguyễn Văn Tiến</v>
      </c>
      <c r="I176" s="7" t="str">
        <f>IFERROR(__xludf.DUMMYFUNCTION("""COMPUTED_VALUE"""),"Nam")</f>
        <v>Nam</v>
      </c>
      <c r="J176" s="17">
        <f>IFERROR(__xludf.DUMMYFUNCTION("""COMPUTED_VALUE"""),31229.0)</f>
        <v>31229</v>
      </c>
      <c r="K176" s="7" t="str">
        <f>IFERROR(__xludf.DUMMYFUNCTION("""COMPUTED_VALUE"""),"Phố 7, Xã Quảng Cát, Thành phố Thanh Hóa,")</f>
        <v>Phố 7, Xã Quảng Cát, Thành phố Thanh Hóa,</v>
      </c>
      <c r="L176" s="20" t="str">
        <f>IFERROR(__xludf.DUMMYFUNCTION("""COMPUTED_VALUE"""),"0976244254")</f>
        <v>0976244254</v>
      </c>
      <c r="M176" s="7" t="str">
        <f>IFERROR(__xludf.DUMMYFUNCTION("""COMPUTED_VALUE"""),"017085007152")</f>
        <v>017085007152</v>
      </c>
      <c r="N176" s="18">
        <f>IFERROR(__xludf.DUMMYFUNCTION("""COMPUTED_VALUE"""),44435.0)</f>
        <v>44435</v>
      </c>
      <c r="O176" s="7" t="str">
        <f>IFERROR(__xludf.DUMMYFUNCTION("""COMPUTED_VALUE"""),"Cục Cảnh sát QLHC về TTXH")</f>
        <v>Cục Cảnh sát QLHC về TTXH</v>
      </c>
      <c r="P176" s="7" t="str">
        <f>IFERROR(__xludf.DUMMYFUNCTION("""COMPUTED_VALUE"""),"Đại học")</f>
        <v>Đại học</v>
      </c>
      <c r="Q176" s="7" t="str">
        <f>IFERROR(__xludf.DUMMYFUNCTION("""COMPUTED_VALUE"""),"Công nghệ thông tin")</f>
        <v>Công nghệ thông tin</v>
      </c>
      <c r="R176" s="17">
        <f>IFERROR(__xludf.DUMMYFUNCTION("""COMPUTED_VALUE"""),42336.0)</f>
        <v>42336</v>
      </c>
      <c r="S176" s="19">
        <f>IFERROR(__xludf.DUMMYFUNCTION("""COMPUTED_VALUE"""),42336.0)</f>
        <v>42336</v>
      </c>
      <c r="T176" s="7" t="str">
        <f>IFERROR(__xludf.DUMMYFUNCTION("""COMPUTED_VALUE"""),"Chính thức")</f>
        <v>Chính thức</v>
      </c>
      <c r="U176" s="7"/>
      <c r="V176" s="7" t="str">
        <f>IFERROR(__xludf.DUMMYFUNCTION("""COMPUTED_VALUE"""),"Chính thức")</f>
        <v>Chính thức</v>
      </c>
      <c r="W176" s="7" t="str">
        <f>IFERROR(__xludf.DUMMYFUNCTION("""COMPUTED_VALUE"""),"10 năm 1 tháng")</f>
        <v>10 năm 1 tháng</v>
      </c>
      <c r="X176" s="7"/>
      <c r="Y176" s="7"/>
      <c r="Z176" s="7"/>
    </row>
    <row r="177">
      <c r="A177" s="7">
        <f>IFERROR(__xludf.DUMMYFUNCTION("""COMPUTED_VALUE"""),2.0)</f>
        <v>2</v>
      </c>
      <c r="B177" s="7" t="str">
        <f>IFERROR(__xludf.DUMMYFUNCTION("""COMPUTED_VALUE"""),"Văn phòng")</f>
        <v>Văn phòng</v>
      </c>
      <c r="C177" s="7" t="str">
        <f>IFERROR(__xludf.DUMMYFUNCTION("""COMPUTED_VALUE"""),"Ban kinh doanh")</f>
        <v>Ban kinh doanh</v>
      </c>
      <c r="D177" s="7" t="str">
        <f>IFERROR(__xludf.DUMMYFUNCTION("""COMPUTED_VALUE"""),"Bộ phận thiết kế")</f>
        <v>Bộ phận thiết kế</v>
      </c>
      <c r="E177" s="7" t="str">
        <f>IFERROR(__xludf.DUMMYFUNCTION("""COMPUTED_VALUE"""),"Phó bộ phận")</f>
        <v>Phó bộ phận</v>
      </c>
      <c r="F177" s="7" t="str">
        <f>IFERROR(__xludf.DUMMYFUNCTION("""COMPUTED_VALUE"""),"NV0054")</f>
        <v>NV0054</v>
      </c>
      <c r="G177" s="7">
        <f>IFERROR(__xludf.DUMMYFUNCTION("""COMPUTED_VALUE"""),20.0)</f>
        <v>20</v>
      </c>
      <c r="H177" s="7" t="str">
        <f>IFERROR(__xludf.DUMMYFUNCTION("""COMPUTED_VALUE"""),"Trịnh Kiều Giang")</f>
        <v>Trịnh Kiều Giang</v>
      </c>
      <c r="I177" s="7" t="str">
        <f>IFERROR(__xludf.DUMMYFUNCTION("""COMPUTED_VALUE"""),"Nữ")</f>
        <v>Nữ</v>
      </c>
      <c r="J177" s="17">
        <f>IFERROR(__xludf.DUMMYFUNCTION("""COMPUTED_VALUE"""),32170.0)</f>
        <v>32170</v>
      </c>
      <c r="K177" s="7" t="str">
        <f>IFERROR(__xludf.DUMMYFUNCTION("""COMPUTED_VALUE"""),"04/391, Đường Ngọc Mai, Phố Thành Mai, Xã Quảng Thành, Thành phố Thanh")</f>
        <v>04/391, Đường Ngọc Mai, Phố Thành Mai, Xã Quảng Thành, Thành phố Thanh</v>
      </c>
      <c r="L177" s="20" t="str">
        <f>IFERROR(__xludf.DUMMYFUNCTION("""COMPUTED_VALUE"""),"0975889321")</f>
        <v>0975889321</v>
      </c>
      <c r="M177" s="7" t="str">
        <f>IFERROR(__xludf.DUMMYFUNCTION("""COMPUTED_VALUE"""),"038188047547")</f>
        <v>038188047547</v>
      </c>
      <c r="N177" s="18">
        <f>IFERROR(__xludf.DUMMYFUNCTION("""COMPUTED_VALUE"""),44879.0)</f>
        <v>44879</v>
      </c>
      <c r="O177" s="7" t="str">
        <f>IFERROR(__xludf.DUMMYFUNCTION("""COMPUTED_VALUE"""),"Cục Cảnh sát QLHC về TTXH")</f>
        <v>Cục Cảnh sát QLHC về TTXH</v>
      </c>
      <c r="P177" s="7" t="str">
        <f>IFERROR(__xludf.DUMMYFUNCTION("""COMPUTED_VALUE"""),"Đại học")</f>
        <v>Đại học</v>
      </c>
      <c r="Q177" s="7" t="str">
        <f>IFERROR(__xludf.DUMMYFUNCTION("""COMPUTED_VALUE"""),"Thiết kế đồ họa")</f>
        <v>Thiết kế đồ họa</v>
      </c>
      <c r="R177" s="17">
        <f>IFERROR(__xludf.DUMMYFUNCTION("""COMPUTED_VALUE"""),41939.0)</f>
        <v>41939</v>
      </c>
      <c r="S177" s="19">
        <f>IFERROR(__xludf.DUMMYFUNCTION("""COMPUTED_VALUE"""),41939.0)</f>
        <v>41939</v>
      </c>
      <c r="T177" s="7" t="str">
        <f>IFERROR(__xludf.DUMMYFUNCTION("""COMPUTED_VALUE"""),"Chính thức")</f>
        <v>Chính thức</v>
      </c>
      <c r="U177" s="7"/>
      <c r="V177" s="7" t="str">
        <f>IFERROR(__xludf.DUMMYFUNCTION("""COMPUTED_VALUE"""),"Chính thức")</f>
        <v>Chính thức</v>
      </c>
      <c r="W177" s="7" t="str">
        <f>IFERROR(__xludf.DUMMYFUNCTION("""COMPUTED_VALUE"""),"11 năm 2 tháng")</f>
        <v>11 năm 2 tháng</v>
      </c>
      <c r="X177" s="7"/>
      <c r="Y177" s="7"/>
      <c r="Z177" s="7"/>
    </row>
    <row r="178">
      <c r="A178" s="7">
        <f>IFERROR(__xludf.DUMMYFUNCTION("""COMPUTED_VALUE"""),3.0)</f>
        <v>3</v>
      </c>
      <c r="B178" s="7" t="str">
        <f>IFERROR(__xludf.DUMMYFUNCTION("""COMPUTED_VALUE"""),"Văn phòng")</f>
        <v>Văn phòng</v>
      </c>
      <c r="C178" s="7" t="str">
        <f>IFERROR(__xludf.DUMMYFUNCTION("""COMPUTED_VALUE"""),"Ban kinh doanh")</f>
        <v>Ban kinh doanh</v>
      </c>
      <c r="D178" s="7" t="str">
        <f>IFERROR(__xludf.DUMMYFUNCTION("""COMPUTED_VALUE"""),"Bộ phận thiết kế")</f>
        <v>Bộ phận thiết kế</v>
      </c>
      <c r="E178" s="7" t="str">
        <f>IFERROR(__xludf.DUMMYFUNCTION("""COMPUTED_VALUE"""),"Nhân viên")</f>
        <v>Nhân viên</v>
      </c>
      <c r="F178" s="7" t="str">
        <f>IFERROR(__xludf.DUMMYFUNCTION("""COMPUTED_VALUE"""),"NV5452")</f>
        <v>NV5452</v>
      </c>
      <c r="G178" s="7">
        <f>IFERROR(__xludf.DUMMYFUNCTION("""COMPUTED_VALUE"""),914.0)</f>
        <v>914</v>
      </c>
      <c r="H178" s="7" t="str">
        <f>IFERROR(__xludf.DUMMYFUNCTION("""COMPUTED_VALUE"""),"Lê Tiến Trung")</f>
        <v>Lê Tiến Trung</v>
      </c>
      <c r="I178" s="7" t="str">
        <f>IFERROR(__xludf.DUMMYFUNCTION("""COMPUTED_VALUE"""),"Nam")</f>
        <v>Nam</v>
      </c>
      <c r="J178" s="17">
        <f>IFERROR(__xludf.DUMMYFUNCTION("""COMPUTED_VALUE"""),37453.0)</f>
        <v>37453</v>
      </c>
      <c r="K178" s="7" t="str">
        <f>IFERROR(__xludf.DUMMYFUNCTION("""COMPUTED_VALUE"""),"Xã Thiệu Trung - Huyện Thiệu Hóa- Tỉnh Thanh Hóa")</f>
        <v>Xã Thiệu Trung - Huyện Thiệu Hóa- Tỉnh Thanh Hóa</v>
      </c>
      <c r="L178" s="20" t="str">
        <f>IFERROR(__xludf.DUMMYFUNCTION("""COMPUTED_VALUE"""),"0899910012")</f>
        <v>0899910012</v>
      </c>
      <c r="M178" s="7" t="str">
        <f>IFERROR(__xludf.DUMMYFUNCTION("""COMPUTED_VALUE"""),"038202016157")</f>
        <v>038202016157</v>
      </c>
      <c r="N178" s="18">
        <f>IFERROR(__xludf.DUMMYFUNCTION("""COMPUTED_VALUE"""),44308.0)</f>
        <v>44308</v>
      </c>
      <c r="O178" s="7" t="str">
        <f>IFERROR(__xludf.DUMMYFUNCTION("""COMPUTED_VALUE"""),"Cục Cảnh sát QLHC về TTXH")</f>
        <v>Cục Cảnh sát QLHC về TTXH</v>
      </c>
      <c r="P178" s="7" t="str">
        <f>IFERROR(__xludf.DUMMYFUNCTION("""COMPUTED_VALUE"""),"Cử nhân")</f>
        <v>Cử nhân</v>
      </c>
      <c r="Q178" s="7" t="str">
        <f>IFERROR(__xludf.DUMMYFUNCTION("""COMPUTED_VALUE"""),"Thương mại điện tử")</f>
        <v>Thương mại điện tử</v>
      </c>
      <c r="R178" s="17">
        <f>IFERROR(__xludf.DUMMYFUNCTION("""COMPUTED_VALUE"""),45756.0)</f>
        <v>45756</v>
      </c>
      <c r="S178" s="19">
        <f>IFERROR(__xludf.DUMMYFUNCTION("""COMPUTED_VALUE"""),45839.0)</f>
        <v>45839</v>
      </c>
      <c r="T178" s="7" t="str">
        <f>IFERROR(__xludf.DUMMYFUNCTION("""COMPUTED_VALUE"""),"Chính thức")</f>
        <v>Chính thức</v>
      </c>
      <c r="U178" s="7"/>
      <c r="V178" s="7" t="str">
        <f>IFERROR(__xludf.DUMMYFUNCTION("""COMPUTED_VALUE"""),"Chính thức")</f>
        <v>Chính thức</v>
      </c>
      <c r="W178" s="7" t="str">
        <f>IFERROR(__xludf.DUMMYFUNCTION("""COMPUTED_VALUE"""),"0 năm 8 tháng")</f>
        <v>0 năm 8 tháng</v>
      </c>
      <c r="X178" s="7"/>
      <c r="Y178" s="7"/>
      <c r="Z178" s="7"/>
    </row>
    <row r="179">
      <c r="A179" s="7">
        <f>IFERROR(__xludf.DUMMYFUNCTION("""COMPUTED_VALUE"""),4.0)</f>
        <v>4</v>
      </c>
      <c r="B179" s="7" t="str">
        <f>IFERROR(__xludf.DUMMYFUNCTION("""COMPUTED_VALUE"""),"Văn phòng")</f>
        <v>Văn phòng</v>
      </c>
      <c r="C179" s="7" t="str">
        <f>IFERROR(__xludf.DUMMYFUNCTION("""COMPUTED_VALUE"""),"Ban kinh doanh")</f>
        <v>Ban kinh doanh</v>
      </c>
      <c r="D179" s="7" t="str">
        <f>IFERROR(__xludf.DUMMYFUNCTION("""COMPUTED_VALUE"""),"Bộ phận thiết kế")</f>
        <v>Bộ phận thiết kế</v>
      </c>
      <c r="E179" s="7" t="str">
        <f>IFERROR(__xludf.DUMMYFUNCTION("""COMPUTED_VALUE"""),"Nhân viên")</f>
        <v>Nhân viên</v>
      </c>
      <c r="F179" s="7" t="str">
        <f>IFERROR(__xludf.DUMMYFUNCTION("""COMPUTED_VALUE"""),"NV5696")</f>
        <v>NV5696</v>
      </c>
      <c r="G179" s="7">
        <f>IFERROR(__xludf.DUMMYFUNCTION("""COMPUTED_VALUE"""),1188.0)</f>
        <v>1188</v>
      </c>
      <c r="H179" s="7" t="str">
        <f>IFERROR(__xludf.DUMMYFUNCTION("""COMPUTED_VALUE"""),"Hoàng Thị Thu Thảo")</f>
        <v>Hoàng Thị Thu Thảo</v>
      </c>
      <c r="I179" s="7" t="str">
        <f>IFERROR(__xludf.DUMMYFUNCTION("""COMPUTED_VALUE"""),"Nữ")</f>
        <v>Nữ</v>
      </c>
      <c r="J179" s="17">
        <f>IFERROR(__xludf.DUMMYFUNCTION("""COMPUTED_VALUE"""),35116.0)</f>
        <v>35116</v>
      </c>
      <c r="K179" s="7" t="str">
        <f>IFERROR(__xludf.DUMMYFUNCTION("""COMPUTED_VALUE"""),"Phường Quảng Phú - Tỉnh Thanh Hóa")</f>
        <v>Phường Quảng Phú - Tỉnh Thanh Hóa</v>
      </c>
      <c r="L179" s="20" t="str">
        <f>IFERROR(__xludf.DUMMYFUNCTION("""COMPUTED_VALUE"""),"0326709997")</f>
        <v>0326709997</v>
      </c>
      <c r="M179" s="7" t="str">
        <f>IFERROR(__xludf.DUMMYFUNCTION("""COMPUTED_VALUE"""),"038196007663")</f>
        <v>038196007663</v>
      </c>
      <c r="N179" s="18">
        <f>IFERROR(__xludf.DUMMYFUNCTION("""COMPUTED_VALUE"""),44420.0)</f>
        <v>44420</v>
      </c>
      <c r="O179" s="7" t="str">
        <f>IFERROR(__xludf.DUMMYFUNCTION("""COMPUTED_VALUE"""),"Cục Cảnh sát QLHC về TTXH")</f>
        <v>Cục Cảnh sát QLHC về TTXH</v>
      </c>
      <c r="P179" s="7" t="str">
        <f>IFERROR(__xludf.DUMMYFUNCTION("""COMPUTED_VALUE"""),"Kỹ sư")</f>
        <v>Kỹ sư</v>
      </c>
      <c r="Q179" s="7" t="str">
        <f>IFERROR(__xludf.DUMMYFUNCTION("""COMPUTED_VALUE"""),"Kỹ sư khoa học cây trồng")</f>
        <v>Kỹ sư khoa học cây trồng</v>
      </c>
      <c r="R179" s="17">
        <f>IFERROR(__xludf.DUMMYFUNCTION("""COMPUTED_VALUE"""),45909.0)</f>
        <v>45909</v>
      </c>
      <c r="S179" s="19">
        <f>IFERROR(__xludf.DUMMYFUNCTION("""COMPUTED_VALUE"""),45939.0)</f>
        <v>45939</v>
      </c>
      <c r="T179" s="7" t="str">
        <f>IFERROR(__xludf.DUMMYFUNCTION("""COMPUTED_VALUE"""),"Chính thức")</f>
        <v>Chính thức</v>
      </c>
      <c r="U179" s="7"/>
      <c r="V179" s="7" t="str">
        <f>IFERROR(__xludf.DUMMYFUNCTION("""COMPUTED_VALUE"""),"Chính thức")</f>
        <v>Chính thức</v>
      </c>
      <c r="W179" s="7" t="str">
        <f>IFERROR(__xludf.DUMMYFUNCTION("""COMPUTED_VALUE"""),"0 năm 3 tháng")</f>
        <v>0 năm 3 tháng</v>
      </c>
      <c r="X179" s="7"/>
      <c r="Y179" s="7"/>
      <c r="Z179" s="7"/>
    </row>
    <row r="180">
      <c r="A180" s="7">
        <f>IFERROR(__xludf.DUMMYFUNCTION("""COMPUTED_VALUE"""),1.0)</f>
        <v>1</v>
      </c>
      <c r="B180" s="7" t="str">
        <f>IFERROR(__xludf.DUMMYFUNCTION("""COMPUTED_VALUE"""),"Văn phòng")</f>
        <v>Văn phòng</v>
      </c>
      <c r="C180" s="7" t="str">
        <f>IFERROR(__xludf.DUMMYFUNCTION("""COMPUTED_VALUE"""),"Ban kiểm soát")</f>
        <v>Ban kiểm soát</v>
      </c>
      <c r="D180" s="7" t="str">
        <f>IFERROR(__xludf.DUMMYFUNCTION("""COMPUTED_VALUE"""),"Bộ phận nghiệp vụ")</f>
        <v>Bộ phận nghiệp vụ</v>
      </c>
      <c r="E180" s="7" t="str">
        <f>IFERROR(__xludf.DUMMYFUNCTION("""COMPUTED_VALUE"""),"Trưởng ban ")</f>
        <v>Trưởng ban </v>
      </c>
      <c r="F180" s="7" t="str">
        <f>IFERROR(__xludf.DUMMYFUNCTION("""COMPUTED_VALUE"""),"NV0094")</f>
        <v>NV0094</v>
      </c>
      <c r="G180" s="7">
        <f>IFERROR(__xludf.DUMMYFUNCTION("""COMPUTED_VALUE"""),53.0)</f>
        <v>53</v>
      </c>
      <c r="H180" s="7" t="str">
        <f>IFERROR(__xludf.DUMMYFUNCTION("""COMPUTED_VALUE"""),"Nguyễn Thị Lệ")</f>
        <v>Nguyễn Thị Lệ</v>
      </c>
      <c r="I180" s="7" t="str">
        <f>IFERROR(__xludf.DUMMYFUNCTION("""COMPUTED_VALUE"""),"Nữ")</f>
        <v>Nữ</v>
      </c>
      <c r="J180" s="17">
        <f>IFERROR(__xludf.DUMMYFUNCTION("""COMPUTED_VALUE"""),27987.0)</f>
        <v>27987</v>
      </c>
      <c r="K180" s="7" t="str">
        <f>IFERROR(__xludf.DUMMYFUNCTION("""COMPUTED_VALUE"""),"115/1 - Tây Ga - Phường Hạc Thành - Tỉnh Thanh Hóa")</f>
        <v>115/1 - Tây Ga - Phường Hạc Thành - Tỉnh Thanh Hóa</v>
      </c>
      <c r="L180" s="7" t="str">
        <f>IFERROR(__xludf.DUMMYFUNCTION("""COMPUTED_VALUE"""),"0919087347")</f>
        <v>0919087347</v>
      </c>
      <c r="M180" s="7" t="str">
        <f>IFERROR(__xludf.DUMMYFUNCTION("""COMPUTED_VALUE"""),"038176036579")</f>
        <v>038176036579</v>
      </c>
      <c r="N180" s="18">
        <f>IFERROR(__xludf.DUMMYFUNCTION("""COMPUTED_VALUE"""),44543.0)</f>
        <v>44543</v>
      </c>
      <c r="O180" s="7" t="str">
        <f>IFERROR(__xludf.DUMMYFUNCTION("""COMPUTED_VALUE"""),"Cục Cảnh sát QLHC về TTXH")</f>
        <v>Cục Cảnh sát QLHC về TTXH</v>
      </c>
      <c r="P180" s="7" t="str">
        <f>IFERROR(__xludf.DUMMYFUNCTION("""COMPUTED_VALUE"""),"Cử nhân")</f>
        <v>Cử nhân</v>
      </c>
      <c r="Q180" s="7" t="str">
        <f>IFERROR(__xludf.DUMMYFUNCTION("""COMPUTED_VALUE"""),"Kế toán")</f>
        <v>Kế toán</v>
      </c>
      <c r="R180" s="17">
        <f>IFERROR(__xludf.DUMMYFUNCTION("""COMPUTED_VALUE"""),36271.0)</f>
        <v>36271</v>
      </c>
      <c r="S180" s="19">
        <f>IFERROR(__xludf.DUMMYFUNCTION("""COMPUTED_VALUE"""),36271.0)</f>
        <v>36271</v>
      </c>
      <c r="T180" s="7" t="str">
        <f>IFERROR(__xludf.DUMMYFUNCTION("""COMPUTED_VALUE"""),"Chính thức")</f>
        <v>Chính thức</v>
      </c>
      <c r="U180" s="7"/>
      <c r="V180" s="7" t="str">
        <f>IFERROR(__xludf.DUMMYFUNCTION("""COMPUTED_VALUE"""),"Chính thức")</f>
        <v>Chính thức</v>
      </c>
      <c r="W180" s="7" t="str">
        <f>IFERROR(__xludf.DUMMYFUNCTION("""COMPUTED_VALUE"""),"26 năm 8 tháng")</f>
        <v>26 năm 8 tháng</v>
      </c>
      <c r="X180" s="7"/>
      <c r="Y180" s="7"/>
      <c r="Z180" s="7"/>
    </row>
    <row r="181">
      <c r="A181" s="7">
        <f>IFERROR(__xludf.DUMMYFUNCTION("""COMPUTED_VALUE"""),2.0)</f>
        <v>2</v>
      </c>
      <c r="B181" s="7" t="str">
        <f>IFERROR(__xludf.DUMMYFUNCTION("""COMPUTED_VALUE"""),"Văn phòng")</f>
        <v>Văn phòng</v>
      </c>
      <c r="C181" s="7" t="str">
        <f>IFERROR(__xludf.DUMMYFUNCTION("""COMPUTED_VALUE"""),"Ban kiểm soát")</f>
        <v>Ban kiểm soát</v>
      </c>
      <c r="D181" s="7" t="str">
        <f>IFERROR(__xludf.DUMMYFUNCTION("""COMPUTED_VALUE"""),"Bộ phận nghiệp vụ")</f>
        <v>Bộ phận nghiệp vụ</v>
      </c>
      <c r="E181" s="7" t="str">
        <f>IFERROR(__xludf.DUMMYFUNCTION("""COMPUTED_VALUE"""),"Nhân viên ban kiểm soát")</f>
        <v>Nhân viên ban kiểm soát</v>
      </c>
      <c r="F181" s="7" t="str">
        <f>IFERROR(__xludf.DUMMYFUNCTION("""COMPUTED_VALUE"""),"NV1792")</f>
        <v>NV1792</v>
      </c>
      <c r="G181" s="7">
        <f>IFERROR(__xludf.DUMMYFUNCTION("""COMPUTED_VALUE"""),12.0)</f>
        <v>12</v>
      </c>
      <c r="H181" s="7" t="str">
        <f>IFERROR(__xludf.DUMMYFUNCTION("""COMPUTED_VALUE"""),"Nguyễn Thị Huyền")</f>
        <v>Nguyễn Thị Huyền</v>
      </c>
      <c r="I181" s="7" t="str">
        <f>IFERROR(__xludf.DUMMYFUNCTION("""COMPUTED_VALUE"""),"Nữ")</f>
        <v>Nữ</v>
      </c>
      <c r="J181" s="17">
        <f>IFERROR(__xludf.DUMMYFUNCTION("""COMPUTED_VALUE"""),30142.0)</f>
        <v>30142</v>
      </c>
      <c r="K181" s="7" t="str">
        <f>IFERROR(__xludf.DUMMYFUNCTION("""COMPUTED_VALUE"""),"Lô 125 - MBQH 2122 - Phường Hạc Thành - Tỉnh Thanh Hóa")</f>
        <v>Lô 125 - MBQH 2122 - Phường Hạc Thành - Tỉnh Thanh Hóa</v>
      </c>
      <c r="L181" s="7" t="str">
        <f>IFERROR(__xludf.DUMMYFUNCTION("""COMPUTED_VALUE"""),"0916949776")</f>
        <v>0916949776</v>
      </c>
      <c r="M181" s="7" t="str">
        <f>IFERROR(__xludf.DUMMYFUNCTION("""COMPUTED_VALUE"""),"038182016402")</f>
        <v>038182016402</v>
      </c>
      <c r="N181" s="18">
        <f>IFERROR(__xludf.DUMMYFUNCTION("""COMPUTED_VALUE"""),44839.0)</f>
        <v>44839</v>
      </c>
      <c r="O181" s="7" t="str">
        <f>IFERROR(__xludf.DUMMYFUNCTION("""COMPUTED_VALUE"""),"Cục Cảnh sát QLHC về TTXH")</f>
        <v>Cục Cảnh sát QLHC về TTXH</v>
      </c>
      <c r="P181" s="7" t="str">
        <f>IFERROR(__xludf.DUMMYFUNCTION("""COMPUTED_VALUE"""),"Thạc sĩ")</f>
        <v>Thạc sĩ</v>
      </c>
      <c r="Q181" s="7" t="str">
        <f>IFERROR(__xludf.DUMMYFUNCTION("""COMPUTED_VALUE"""),"Quản trị kinh doanh")</f>
        <v>Quản trị kinh doanh</v>
      </c>
      <c r="R181" s="17">
        <f>IFERROR(__xludf.DUMMYFUNCTION("""COMPUTED_VALUE"""),43358.0)</f>
        <v>43358</v>
      </c>
      <c r="S181" s="19">
        <f>IFERROR(__xludf.DUMMYFUNCTION("""COMPUTED_VALUE"""),43358.0)</f>
        <v>43358</v>
      </c>
      <c r="T181" s="7" t="str">
        <f>IFERROR(__xludf.DUMMYFUNCTION("""COMPUTED_VALUE"""),"Chính thức")</f>
        <v>Chính thức</v>
      </c>
      <c r="U181" s="7"/>
      <c r="V181" s="7" t="str">
        <f>IFERROR(__xludf.DUMMYFUNCTION("""COMPUTED_VALUE"""),"Chính thức")</f>
        <v>Chính thức</v>
      </c>
      <c r="W181" s="7" t="str">
        <f>IFERROR(__xludf.DUMMYFUNCTION("""COMPUTED_VALUE"""),"7 năm 3 tháng")</f>
        <v>7 năm 3 tháng</v>
      </c>
      <c r="X181" s="7"/>
      <c r="Y181" s="7"/>
      <c r="Z181" s="7"/>
    </row>
    <row r="182">
      <c r="A182" s="7">
        <f>IFERROR(__xludf.DUMMYFUNCTION("""COMPUTED_VALUE"""),3.0)</f>
        <v>3</v>
      </c>
      <c r="B182" s="7" t="str">
        <f>IFERROR(__xludf.DUMMYFUNCTION("""COMPUTED_VALUE"""),"Văn phòng")</f>
        <v>Văn phòng</v>
      </c>
      <c r="C182" s="7" t="str">
        <f>IFERROR(__xludf.DUMMYFUNCTION("""COMPUTED_VALUE"""),"Ban kiểm soát")</f>
        <v>Ban kiểm soát</v>
      </c>
      <c r="D182" s="7" t="str">
        <f>IFERROR(__xludf.DUMMYFUNCTION("""COMPUTED_VALUE"""),"Bộ phận nghiệp vụ")</f>
        <v>Bộ phận nghiệp vụ</v>
      </c>
      <c r="E182" s="7" t="str">
        <f>IFERROR(__xludf.DUMMYFUNCTION("""COMPUTED_VALUE"""),"Nhân viên ban kiểm soát")</f>
        <v>Nhân viên ban kiểm soát</v>
      </c>
      <c r="F182" s="7" t="str">
        <f>IFERROR(__xludf.DUMMYFUNCTION("""COMPUTED_VALUE"""),"NV4013")</f>
        <v>NV4013</v>
      </c>
      <c r="G182" s="7">
        <f>IFERROR(__xludf.DUMMYFUNCTION("""COMPUTED_VALUE"""),14.0)</f>
        <v>14</v>
      </c>
      <c r="H182" s="7" t="str">
        <f>IFERROR(__xludf.DUMMYFUNCTION("""COMPUTED_VALUE"""),"Vi Thị Hoa")</f>
        <v>Vi Thị Hoa</v>
      </c>
      <c r="I182" s="7" t="str">
        <f>IFERROR(__xludf.DUMMYFUNCTION("""COMPUTED_VALUE"""),"Nữ")</f>
        <v>Nữ</v>
      </c>
      <c r="J182" s="17">
        <f>IFERROR(__xludf.DUMMYFUNCTION("""COMPUTED_VALUE"""),31453.0)</f>
        <v>31453</v>
      </c>
      <c r="K182" s="7" t="str">
        <f>IFERROR(__xludf.DUMMYFUNCTION("""COMPUTED_VALUE"""),"Xã Hoằng Châu - Tỉnh Thanh Hóa")</f>
        <v>Xã Hoằng Châu - Tỉnh Thanh Hóa</v>
      </c>
      <c r="L182" s="7" t="str">
        <f>IFERROR(__xludf.DUMMYFUNCTION("""COMPUTED_VALUE"""),"0982534062")</f>
        <v>0982534062</v>
      </c>
      <c r="M182" s="7" t="str">
        <f>IFERROR(__xludf.DUMMYFUNCTION("""COMPUTED_VALUE"""),"024186001556")</f>
        <v>024186001556</v>
      </c>
      <c r="N182" s="18">
        <f>IFERROR(__xludf.DUMMYFUNCTION("""COMPUTED_VALUE"""),44039.0)</f>
        <v>44039</v>
      </c>
      <c r="O182" s="7" t="str">
        <f>IFERROR(__xludf.DUMMYFUNCTION("""COMPUTED_VALUE"""),"Cục Cảnh sát QLHC về TTXH")</f>
        <v>Cục Cảnh sát QLHC về TTXH</v>
      </c>
      <c r="P182" s="7" t="str">
        <f>IFERROR(__xludf.DUMMYFUNCTION("""COMPUTED_VALUE"""),"Cử nhân")</f>
        <v>Cử nhân</v>
      </c>
      <c r="Q182" s="7" t="str">
        <f>IFERROR(__xludf.DUMMYFUNCTION("""COMPUTED_VALUE"""),"Kế toán")</f>
        <v>Kế toán</v>
      </c>
      <c r="R182" s="17">
        <f>IFERROR(__xludf.DUMMYFUNCTION("""COMPUTED_VALUE"""),44606.0)</f>
        <v>44606</v>
      </c>
      <c r="S182" s="19">
        <f>IFERROR(__xludf.DUMMYFUNCTION("""COMPUTED_VALUE"""),44743.0)</f>
        <v>44743</v>
      </c>
      <c r="T182" s="7" t="str">
        <f>IFERROR(__xludf.DUMMYFUNCTION("""COMPUTED_VALUE"""),"Chính thức")</f>
        <v>Chính thức</v>
      </c>
      <c r="U182" s="7"/>
      <c r="V182" s="7" t="str">
        <f>IFERROR(__xludf.DUMMYFUNCTION("""COMPUTED_VALUE"""),"Chính thức")</f>
        <v>Chính thức</v>
      </c>
      <c r="W182" s="7" t="str">
        <f>IFERROR(__xludf.DUMMYFUNCTION("""COMPUTED_VALUE"""),"3 năm 10 tháng")</f>
        <v>3 năm 10 tháng</v>
      </c>
      <c r="X182" s="7"/>
      <c r="Y182" s="7"/>
      <c r="Z182" s="7"/>
    </row>
    <row r="183">
      <c r="A183" s="7">
        <f>IFERROR(__xludf.DUMMYFUNCTION("""COMPUTED_VALUE"""),4.0)</f>
        <v>4</v>
      </c>
      <c r="B183" s="7" t="str">
        <f>IFERROR(__xludf.DUMMYFUNCTION("""COMPUTED_VALUE"""),"Văn phòng")</f>
        <v>Văn phòng</v>
      </c>
      <c r="C183" s="7" t="str">
        <f>IFERROR(__xludf.DUMMYFUNCTION("""COMPUTED_VALUE"""),"Ban kiểm soát")</f>
        <v>Ban kiểm soát</v>
      </c>
      <c r="D183" s="7" t="str">
        <f>IFERROR(__xludf.DUMMYFUNCTION("""COMPUTED_VALUE"""),"Bộ phận nghiệp vụ")</f>
        <v>Bộ phận nghiệp vụ</v>
      </c>
      <c r="E183" s="7" t="str">
        <f>IFERROR(__xludf.DUMMYFUNCTION("""COMPUTED_VALUE"""),"Nhân viên ban kiểm soát")</f>
        <v>Nhân viên ban kiểm soát</v>
      </c>
      <c r="F183" s="7" t="str">
        <f>IFERROR(__xludf.DUMMYFUNCTION("""COMPUTED_VALUE"""),"NV0017")</f>
        <v>NV0017</v>
      </c>
      <c r="G183" s="7">
        <f>IFERROR(__xludf.DUMMYFUNCTION("""COMPUTED_VALUE"""),15.0)</f>
        <v>15</v>
      </c>
      <c r="H183" s="7" t="str">
        <f>IFERROR(__xludf.DUMMYFUNCTION("""COMPUTED_VALUE"""),"Lê Thị Kim")</f>
        <v>Lê Thị Kim</v>
      </c>
      <c r="I183" s="7" t="str">
        <f>IFERROR(__xludf.DUMMYFUNCTION("""COMPUTED_VALUE"""),"Nữ")</f>
        <v>Nữ</v>
      </c>
      <c r="J183" s="17">
        <f>IFERROR(__xludf.DUMMYFUNCTION("""COMPUTED_VALUE"""),28142.0)</f>
        <v>28142</v>
      </c>
      <c r="K183" s="7" t="str">
        <f>IFERROR(__xludf.DUMMYFUNCTION("""COMPUTED_VALUE"""),"35 Nguyễn Hiệu - Phường Hạc Thành - Tỉnh Thanh Hóa")</f>
        <v>35 Nguyễn Hiệu - Phường Hạc Thành - Tỉnh Thanh Hóa</v>
      </c>
      <c r="L183" s="7" t="str">
        <f>IFERROR(__xludf.DUMMYFUNCTION("""COMPUTED_VALUE"""),"0904963999")</f>
        <v>0904963999</v>
      </c>
      <c r="M183" s="7" t="str">
        <f>IFERROR(__xludf.DUMMYFUNCTION("""COMPUTED_VALUE"""),"038177024157")</f>
        <v>038177024157</v>
      </c>
      <c r="N183" s="18">
        <f>IFERROR(__xludf.DUMMYFUNCTION("""COMPUTED_VALUE"""),44545.0)</f>
        <v>44545</v>
      </c>
      <c r="O183" s="7" t="str">
        <f>IFERROR(__xludf.DUMMYFUNCTION("""COMPUTED_VALUE"""),"Cục Cảnh sát QLHC về TTXH")</f>
        <v>Cục Cảnh sát QLHC về TTXH</v>
      </c>
      <c r="P183" s="7" t="str">
        <f>IFERROR(__xludf.DUMMYFUNCTION("""COMPUTED_VALUE"""),"Đại học")</f>
        <v>Đại học</v>
      </c>
      <c r="Q183" s="7" t="str">
        <f>IFERROR(__xludf.DUMMYFUNCTION("""COMPUTED_VALUE"""),"Quản trị kinh doanh")</f>
        <v>Quản trị kinh doanh</v>
      </c>
      <c r="R183" s="17">
        <f>IFERROR(__xludf.DUMMYFUNCTION("""COMPUTED_VALUE"""),37135.0)</f>
        <v>37135</v>
      </c>
      <c r="S183" s="19">
        <f>IFERROR(__xludf.DUMMYFUNCTION("""COMPUTED_VALUE"""),37135.0)</f>
        <v>37135</v>
      </c>
      <c r="T183" s="7" t="str">
        <f>IFERROR(__xludf.DUMMYFUNCTION("""COMPUTED_VALUE"""),"Chính thức")</f>
        <v>Chính thức</v>
      </c>
      <c r="U183" s="7"/>
      <c r="V183" s="7" t="str">
        <f>IFERROR(__xludf.DUMMYFUNCTION("""COMPUTED_VALUE"""),"Chính thức")</f>
        <v>Chính thức</v>
      </c>
      <c r="W183" s="7" t="str">
        <f>IFERROR(__xludf.DUMMYFUNCTION("""COMPUTED_VALUE"""),"24 năm 3 tháng")</f>
        <v>24 năm 3 tháng</v>
      </c>
      <c r="X183" s="7"/>
      <c r="Y183" s="7"/>
      <c r="Z183" s="7"/>
    </row>
    <row r="184">
      <c r="A184" s="7">
        <f>IFERROR(__xludf.DUMMYFUNCTION("""COMPUTED_VALUE"""),1.0)</f>
        <v>1</v>
      </c>
      <c r="B184" s="7" t="str">
        <f>IFERROR(__xludf.DUMMYFUNCTION("""COMPUTED_VALUE"""),"Văn phòng")</f>
        <v>Văn phòng</v>
      </c>
      <c r="C184" s="7" t="str">
        <f>IFERROR(__xludf.DUMMYFUNCTION("""COMPUTED_VALUE"""),"Ban kiểm soát")</f>
        <v>Ban kiểm soát</v>
      </c>
      <c r="D184" s="7" t="str">
        <f>IFERROR(__xludf.DUMMYFUNCTION("""COMPUTED_VALUE"""),"Tổ QC ")</f>
        <v>Tổ QC </v>
      </c>
      <c r="E184" s="7" t="str">
        <f>IFERROR(__xludf.DUMMYFUNCTION("""COMPUTED_VALUE"""),"Nhân viên QC")</f>
        <v>Nhân viên QC</v>
      </c>
      <c r="F184" s="7" t="str">
        <f>IFERROR(__xludf.DUMMYFUNCTION("""COMPUTED_VALUE"""),"NV0072")</f>
        <v>NV0072</v>
      </c>
      <c r="G184" s="7">
        <f>IFERROR(__xludf.DUMMYFUNCTION("""COMPUTED_VALUE"""),21.0)</f>
        <v>21</v>
      </c>
      <c r="H184" s="7" t="str">
        <f>IFERROR(__xludf.DUMMYFUNCTION("""COMPUTED_VALUE"""),"Lê Hữu Lâm")</f>
        <v>Lê Hữu Lâm</v>
      </c>
      <c r="I184" s="7" t="str">
        <f>IFERROR(__xludf.DUMMYFUNCTION("""COMPUTED_VALUE"""),"Nam")</f>
        <v>Nam</v>
      </c>
      <c r="J184" s="17">
        <f>IFERROR(__xludf.DUMMYFUNCTION("""COMPUTED_VALUE"""),29368.0)</f>
        <v>29368</v>
      </c>
      <c r="K184" s="7" t="str">
        <f>IFERROR(__xludf.DUMMYFUNCTION("""COMPUTED_VALUE"""),"Thôn Hàm Ninh - Xã Hoằng Lộc - Tỉnh Thanh Hóa")</f>
        <v>Thôn Hàm Ninh - Xã Hoằng Lộc - Tỉnh Thanh Hóa</v>
      </c>
      <c r="L184" s="7" t="str">
        <f>IFERROR(__xludf.DUMMYFUNCTION("""COMPUTED_VALUE"""),"0963854789")</f>
        <v>0963854789</v>
      </c>
      <c r="M184" s="7" t="str">
        <f>IFERROR(__xludf.DUMMYFUNCTION("""COMPUTED_VALUE"""),"038080019845")</f>
        <v>038080019845</v>
      </c>
      <c r="N184" s="18">
        <f>IFERROR(__xludf.DUMMYFUNCTION("""COMPUTED_VALUE"""),44750.0)</f>
        <v>44750</v>
      </c>
      <c r="O184" s="7" t="str">
        <f>IFERROR(__xludf.DUMMYFUNCTION("""COMPUTED_VALUE"""),"Cục Cảnh sát QLHC về TTXH")</f>
        <v>Cục Cảnh sát QLHC về TTXH</v>
      </c>
      <c r="P184" s="7" t="str">
        <f>IFERROR(__xludf.DUMMYFUNCTION("""COMPUTED_VALUE"""),"Trung cấp")</f>
        <v>Trung cấp</v>
      </c>
      <c r="Q184" s="7" t="str">
        <f>IFERROR(__xludf.DUMMYFUNCTION("""COMPUTED_VALUE"""),"Kế toán")</f>
        <v>Kế toán</v>
      </c>
      <c r="R184" s="17">
        <f>IFERROR(__xludf.DUMMYFUNCTION("""COMPUTED_VALUE"""),36753.0)</f>
        <v>36753</v>
      </c>
      <c r="S184" s="19">
        <f>IFERROR(__xludf.DUMMYFUNCTION("""COMPUTED_VALUE"""),36753.0)</f>
        <v>36753</v>
      </c>
      <c r="T184" s="7" t="str">
        <f>IFERROR(__xludf.DUMMYFUNCTION("""COMPUTED_VALUE"""),"Chính thức")</f>
        <v>Chính thức</v>
      </c>
      <c r="U184" s="7"/>
      <c r="V184" s="7" t="str">
        <f>IFERROR(__xludf.DUMMYFUNCTION("""COMPUTED_VALUE"""),"Chính thức")</f>
        <v>Chính thức</v>
      </c>
      <c r="W184" s="7" t="str">
        <f>IFERROR(__xludf.DUMMYFUNCTION("""COMPUTED_VALUE"""),"25 năm 4 tháng")</f>
        <v>25 năm 4 tháng</v>
      </c>
      <c r="X184" s="7"/>
      <c r="Y184" s="7"/>
      <c r="Z184" s="7"/>
    </row>
    <row r="185">
      <c r="A185" s="7">
        <f>IFERROR(__xludf.DUMMYFUNCTION("""COMPUTED_VALUE"""),2.0)</f>
        <v>2</v>
      </c>
      <c r="B185" s="7" t="str">
        <f>IFERROR(__xludf.DUMMYFUNCTION("""COMPUTED_VALUE"""),"Văn phòng")</f>
        <v>Văn phòng</v>
      </c>
      <c r="C185" s="7" t="str">
        <f>IFERROR(__xludf.DUMMYFUNCTION("""COMPUTED_VALUE"""),"Ban kiểm soát")</f>
        <v>Ban kiểm soát</v>
      </c>
      <c r="D185" s="7" t="str">
        <f>IFERROR(__xludf.DUMMYFUNCTION("""COMPUTED_VALUE"""),"Tổ QC ")</f>
        <v>Tổ QC </v>
      </c>
      <c r="E185" s="7" t="str">
        <f>IFERROR(__xludf.DUMMYFUNCTION("""COMPUTED_VALUE"""),"Nhân viên QC")</f>
        <v>Nhân viên QC</v>
      </c>
      <c r="F185" s="7" t="str">
        <f>IFERROR(__xludf.DUMMYFUNCTION("""COMPUTED_VALUE"""),"NV0414")</f>
        <v>NV0414</v>
      </c>
      <c r="G185" s="7">
        <f>IFERROR(__xludf.DUMMYFUNCTION("""COMPUTED_VALUE"""),636.0)</f>
        <v>636</v>
      </c>
      <c r="H185" s="7" t="str">
        <f>IFERROR(__xludf.DUMMYFUNCTION("""COMPUTED_VALUE"""),"Trịnh Văn Nhuận")</f>
        <v>Trịnh Văn Nhuận</v>
      </c>
      <c r="I185" s="7" t="str">
        <f>IFERROR(__xludf.DUMMYFUNCTION("""COMPUTED_VALUE"""),"Nam")</f>
        <v>Nam</v>
      </c>
      <c r="J185" s="17">
        <f>IFERROR(__xludf.DUMMYFUNCTION("""COMPUTED_VALUE"""),32204.0)</f>
        <v>32204</v>
      </c>
      <c r="K185" s="7" t="str">
        <f>IFERROR(__xludf.DUMMYFUNCTION("""COMPUTED_VALUE"""),"Thôn 8 - Phường Quảng Phú - Tỉnh Thanh Hóa")</f>
        <v>Thôn 8 - Phường Quảng Phú - Tỉnh Thanh Hóa</v>
      </c>
      <c r="L185" s="7" t="str">
        <f>IFERROR(__xludf.DUMMYFUNCTION("""COMPUTED_VALUE"""),"0979565632")</f>
        <v>0979565632</v>
      </c>
      <c r="M185" s="7" t="str">
        <f>IFERROR(__xludf.DUMMYFUNCTION("""COMPUTED_VALUE"""),"038088038986")</f>
        <v>038088038986</v>
      </c>
      <c r="N185" s="18">
        <f>IFERROR(__xludf.DUMMYFUNCTION("""COMPUTED_VALUE"""),45630.0)</f>
        <v>45630</v>
      </c>
      <c r="O185" s="7" t="str">
        <f>IFERROR(__xludf.DUMMYFUNCTION("""COMPUTED_VALUE"""),"Cục Cảnh sát QLHC về TTXH")</f>
        <v>Cục Cảnh sát QLHC về TTXH</v>
      </c>
      <c r="P185" s="7" t="str">
        <f>IFERROR(__xludf.DUMMYFUNCTION("""COMPUTED_VALUE"""),"Trung cấp")</f>
        <v>Trung cấp</v>
      </c>
      <c r="Q185" s="7" t="str">
        <f>IFERROR(__xludf.DUMMYFUNCTION("""COMPUTED_VALUE"""),"Quản trị kinh doanh")</f>
        <v>Quản trị kinh doanh</v>
      </c>
      <c r="R185" s="17">
        <f>IFERROR(__xludf.DUMMYFUNCTION("""COMPUTED_VALUE"""),40452.0)</f>
        <v>40452</v>
      </c>
      <c r="S185" s="19">
        <f>IFERROR(__xludf.DUMMYFUNCTION("""COMPUTED_VALUE"""),40452.0)</f>
        <v>40452</v>
      </c>
      <c r="T185" s="7" t="str">
        <f>IFERROR(__xludf.DUMMYFUNCTION("""COMPUTED_VALUE"""),"Chính thức")</f>
        <v>Chính thức</v>
      </c>
      <c r="U185" s="7"/>
      <c r="V185" s="7" t="str">
        <f>IFERROR(__xludf.DUMMYFUNCTION("""COMPUTED_VALUE"""),"Chính thức")</f>
        <v>Chính thức</v>
      </c>
      <c r="W185" s="7" t="str">
        <f>IFERROR(__xludf.DUMMYFUNCTION("""COMPUTED_VALUE"""),"15 năm 2 tháng")</f>
        <v>15 năm 2 tháng</v>
      </c>
      <c r="X185" s="7"/>
      <c r="Y185" s="7"/>
      <c r="Z185" s="7"/>
    </row>
    <row r="186">
      <c r="A186" s="7">
        <f>IFERROR(__xludf.DUMMYFUNCTION("""COMPUTED_VALUE"""),3.0)</f>
        <v>3</v>
      </c>
      <c r="B186" s="7" t="str">
        <f>IFERROR(__xludf.DUMMYFUNCTION("""COMPUTED_VALUE"""),"Văn phòng")</f>
        <v>Văn phòng</v>
      </c>
      <c r="C186" s="7" t="str">
        <f>IFERROR(__xludf.DUMMYFUNCTION("""COMPUTED_VALUE"""),"Ban kiểm soát")</f>
        <v>Ban kiểm soát</v>
      </c>
      <c r="D186" s="7" t="str">
        <f>IFERROR(__xludf.DUMMYFUNCTION("""COMPUTED_VALUE"""),"Tổ QC ")</f>
        <v>Tổ QC </v>
      </c>
      <c r="E186" s="7" t="str">
        <f>IFERROR(__xludf.DUMMYFUNCTION("""COMPUTED_VALUE"""),"Nhân viên QC")</f>
        <v>Nhân viên QC</v>
      </c>
      <c r="F186" s="7" t="str">
        <f>IFERROR(__xludf.DUMMYFUNCTION("""COMPUTED_VALUE"""),"NV3925")</f>
        <v>NV3925</v>
      </c>
      <c r="G186" s="7">
        <f>IFERROR(__xludf.DUMMYFUNCTION("""COMPUTED_VALUE"""),808.0)</f>
        <v>808</v>
      </c>
      <c r="H186" s="7" t="str">
        <f>IFERROR(__xludf.DUMMYFUNCTION("""COMPUTED_VALUE"""),"Nguyễn Hoàng Anh")</f>
        <v>Nguyễn Hoàng Anh</v>
      </c>
      <c r="I186" s="7" t="str">
        <f>IFERROR(__xludf.DUMMYFUNCTION("""COMPUTED_VALUE"""),"Nam")</f>
        <v>Nam</v>
      </c>
      <c r="J186" s="17">
        <f>IFERROR(__xludf.DUMMYFUNCTION("""COMPUTED_VALUE"""),35646.0)</f>
        <v>35646</v>
      </c>
      <c r="K186" s="7" t="str">
        <f>IFERROR(__xludf.DUMMYFUNCTION("""COMPUTED_VALUE"""),"SN 05 Nguyễn Văn Huệ, Phường An Hưng, Thành phố Thanh Hóa")</f>
        <v>SN 05 Nguyễn Văn Huệ, Phường An Hưng, Thành phố Thanh Hóa</v>
      </c>
      <c r="L186" s="7" t="str">
        <f>IFERROR(__xludf.DUMMYFUNCTION("""COMPUTED_VALUE"""),"0948671898")</f>
        <v>0948671898</v>
      </c>
      <c r="M186" s="7" t="str">
        <f>IFERROR(__xludf.DUMMYFUNCTION("""COMPUTED_VALUE"""),"038097015025")</f>
        <v>038097015025</v>
      </c>
      <c r="N186" s="18">
        <f>IFERROR(__xludf.DUMMYFUNCTION("""COMPUTED_VALUE"""),44427.0)</f>
        <v>44427</v>
      </c>
      <c r="O186" s="7" t="str">
        <f>IFERROR(__xludf.DUMMYFUNCTION("""COMPUTED_VALUE"""),"Cục Cảnh sát QLHC về TTXH")</f>
        <v>Cục Cảnh sát QLHC về TTXH</v>
      </c>
      <c r="P186" s="7" t="str">
        <f>IFERROR(__xludf.DUMMYFUNCTION("""COMPUTED_VALUE"""),"THPT")</f>
        <v>THPT</v>
      </c>
      <c r="Q186" s="7" t="str">
        <f>IFERROR(__xludf.DUMMYFUNCTION("""COMPUTED_VALUE"""),"Lao động phổ thông")</f>
        <v>Lao động phổ thông</v>
      </c>
      <c r="R186" s="17">
        <f>IFERROR(__xludf.DUMMYFUNCTION("""COMPUTED_VALUE"""),44516.0)</f>
        <v>44516</v>
      </c>
      <c r="S186" s="19">
        <f>IFERROR(__xludf.DUMMYFUNCTION("""COMPUTED_VALUE"""),44516.0)</f>
        <v>44516</v>
      </c>
      <c r="T186" s="7" t="str">
        <f>IFERROR(__xludf.DUMMYFUNCTION("""COMPUTED_VALUE"""),"Chính thức")</f>
        <v>Chính thức</v>
      </c>
      <c r="U186" s="7"/>
      <c r="V186" s="7" t="str">
        <f>IFERROR(__xludf.DUMMYFUNCTION("""COMPUTED_VALUE"""),"Chính thức")</f>
        <v>Chính thức</v>
      </c>
      <c r="W186" s="7" t="str">
        <f>IFERROR(__xludf.DUMMYFUNCTION("""COMPUTED_VALUE"""),"4 năm 1 tháng")</f>
        <v>4 năm 1 tháng</v>
      </c>
      <c r="X186" s="7"/>
      <c r="Y186" s="7"/>
      <c r="Z186" s="7"/>
    </row>
    <row r="187">
      <c r="A187" s="7">
        <f>IFERROR(__xludf.DUMMYFUNCTION("""COMPUTED_VALUE"""),4.0)</f>
        <v>4</v>
      </c>
      <c r="B187" s="7" t="str">
        <f>IFERROR(__xludf.DUMMYFUNCTION("""COMPUTED_VALUE"""),"Văn phòng")</f>
        <v>Văn phòng</v>
      </c>
      <c r="C187" s="7" t="str">
        <f>IFERROR(__xludf.DUMMYFUNCTION("""COMPUTED_VALUE"""),"Ban kiểm soát")</f>
        <v>Ban kiểm soát</v>
      </c>
      <c r="D187" s="7" t="str">
        <f>IFERROR(__xludf.DUMMYFUNCTION("""COMPUTED_VALUE"""),"Tổ QC ")</f>
        <v>Tổ QC </v>
      </c>
      <c r="E187" s="7" t="str">
        <f>IFERROR(__xludf.DUMMYFUNCTION("""COMPUTED_VALUE"""),"Nhân viên giám sát kiêm bàn cân")</f>
        <v>Nhân viên giám sát kiêm bàn cân</v>
      </c>
      <c r="F187" s="7" t="str">
        <f>IFERROR(__xludf.DUMMYFUNCTION("""COMPUTED_VALUE"""),"NV3323")</f>
        <v>NV3323</v>
      </c>
      <c r="G187" s="7">
        <f>IFERROR(__xludf.DUMMYFUNCTION("""COMPUTED_VALUE"""),55.0)</f>
        <v>55</v>
      </c>
      <c r="H187" s="7" t="str">
        <f>IFERROR(__xludf.DUMMYFUNCTION("""COMPUTED_VALUE"""),"Đỗ Đức Nam")</f>
        <v>Đỗ Đức Nam</v>
      </c>
      <c r="I187" s="7" t="str">
        <f>IFERROR(__xludf.DUMMYFUNCTION("""COMPUTED_VALUE"""),"Nam")</f>
        <v>Nam</v>
      </c>
      <c r="J187" s="17">
        <f>IFERROR(__xludf.DUMMYFUNCTION("""COMPUTED_VALUE"""),33945.0)</f>
        <v>33945</v>
      </c>
      <c r="K187" s="7" t="str">
        <f>IFERROR(__xludf.DUMMYFUNCTION("""COMPUTED_VALUE"""),"Hoằng Trạch - Hoằng Hóa - Thanh Hóa")</f>
        <v>Hoằng Trạch - Hoằng Hóa - Thanh Hóa</v>
      </c>
      <c r="L187" s="7" t="str">
        <f>IFERROR(__xludf.DUMMYFUNCTION("""COMPUTED_VALUE"""),"0818900336")</f>
        <v>0818900336</v>
      </c>
      <c r="M187" s="7" t="str">
        <f>IFERROR(__xludf.DUMMYFUNCTION("""COMPUTED_VALUE"""),"038092044016")</f>
        <v>038092044016</v>
      </c>
      <c r="N187" s="18">
        <f>IFERROR(__xludf.DUMMYFUNCTION("""COMPUTED_VALUE"""),44422.0)</f>
        <v>44422</v>
      </c>
      <c r="O187" s="7" t="str">
        <f>IFERROR(__xludf.DUMMYFUNCTION("""COMPUTED_VALUE"""),"Cục Cảnh sát QLHC về TTXH")</f>
        <v>Cục Cảnh sát QLHC về TTXH</v>
      </c>
      <c r="P187" s="7" t="str">
        <f>IFERROR(__xludf.DUMMYFUNCTION("""COMPUTED_VALUE"""),"Cử nhân")</f>
        <v>Cử nhân</v>
      </c>
      <c r="Q187" s="7" t="str">
        <f>IFERROR(__xludf.DUMMYFUNCTION("""COMPUTED_VALUE"""),"Công nghệ kỹ thuật XD")</f>
        <v>Công nghệ kỹ thuật XD</v>
      </c>
      <c r="R187" s="17">
        <f>IFERROR(__xludf.DUMMYFUNCTION("""COMPUTED_VALUE"""),41426.0)</f>
        <v>41426</v>
      </c>
      <c r="S187" s="19">
        <f>IFERROR(__xludf.DUMMYFUNCTION("""COMPUTED_VALUE"""),42826.0)</f>
        <v>42826</v>
      </c>
      <c r="T187" s="7" t="str">
        <f>IFERROR(__xludf.DUMMYFUNCTION("""COMPUTED_VALUE"""),"Chính thức")</f>
        <v>Chính thức</v>
      </c>
      <c r="U187" s="7"/>
      <c r="V187" s="7" t="str">
        <f>IFERROR(__xludf.DUMMYFUNCTION("""COMPUTED_VALUE"""),"Chính thức")</f>
        <v>Chính thức</v>
      </c>
      <c r="W187" s="7" t="str">
        <f>IFERROR(__xludf.DUMMYFUNCTION("""COMPUTED_VALUE"""),"12 năm 6 tháng")</f>
        <v>12 năm 6 tháng</v>
      </c>
      <c r="X187" s="7"/>
      <c r="Y187" s="7"/>
      <c r="Z187" s="7"/>
    </row>
    <row r="188">
      <c r="A188" s="7">
        <f>IFERROR(__xludf.DUMMYFUNCTION("""COMPUTED_VALUE"""),5.0)</f>
        <v>5</v>
      </c>
      <c r="B188" s="7" t="str">
        <f>IFERROR(__xludf.DUMMYFUNCTION("""COMPUTED_VALUE"""),"Văn phòng")</f>
        <v>Văn phòng</v>
      </c>
      <c r="C188" s="7" t="str">
        <f>IFERROR(__xludf.DUMMYFUNCTION("""COMPUTED_VALUE"""),"Ban kiểm soát")</f>
        <v>Ban kiểm soát</v>
      </c>
      <c r="D188" s="7" t="str">
        <f>IFERROR(__xludf.DUMMYFUNCTION("""COMPUTED_VALUE"""),"Tổ QC ")</f>
        <v>Tổ QC </v>
      </c>
      <c r="E188" s="7" t="str">
        <f>IFERROR(__xludf.DUMMYFUNCTION("""COMPUTED_VALUE"""),"Nhân viên QC")</f>
        <v>Nhân viên QC</v>
      </c>
      <c r="F188" s="7" t="str">
        <f>IFERROR(__xludf.DUMMYFUNCTION("""COMPUTED_VALUE"""),"NV0136")</f>
        <v>NV0136</v>
      </c>
      <c r="G188" s="7">
        <f>IFERROR(__xludf.DUMMYFUNCTION("""COMPUTED_VALUE"""),165.0)</f>
        <v>165</v>
      </c>
      <c r="H188" s="7" t="str">
        <f>IFERROR(__xludf.DUMMYFUNCTION("""COMPUTED_VALUE"""),"Đỗ Văn Duyên")</f>
        <v>Đỗ Văn Duyên</v>
      </c>
      <c r="I188" s="7" t="str">
        <f>IFERROR(__xludf.DUMMYFUNCTION("""COMPUTED_VALUE"""),"Nam")</f>
        <v>Nam</v>
      </c>
      <c r="J188" s="17">
        <f>IFERROR(__xludf.DUMMYFUNCTION("""COMPUTED_VALUE"""),25471.0)</f>
        <v>25471</v>
      </c>
      <c r="K188" s="7" t="str">
        <f>IFERROR(__xludf.DUMMYFUNCTION("""COMPUTED_VALUE"""),"SN52 Thôn Hà Đồ, Xã Hoằng Trạch, Huyện Hoằng Hóa, Tỉnh Thanh Hóa")</f>
        <v>SN52 Thôn Hà Đồ, Xã Hoằng Trạch, Huyện Hoằng Hóa, Tỉnh Thanh Hóa</v>
      </c>
      <c r="L188" s="7" t="str">
        <f>IFERROR(__xludf.DUMMYFUNCTION("""COMPUTED_VALUE"""),"0964582388")</f>
        <v>0964582388</v>
      </c>
      <c r="M188" s="7" t="str">
        <f>IFERROR(__xludf.DUMMYFUNCTION("""COMPUTED_VALUE"""),"038069033711")</f>
        <v>038069033711</v>
      </c>
      <c r="N188" s="18">
        <f>IFERROR(__xludf.DUMMYFUNCTION("""COMPUTED_VALUE"""),44428.0)</f>
        <v>44428</v>
      </c>
      <c r="O188" s="7" t="str">
        <f>IFERROR(__xludf.DUMMYFUNCTION("""COMPUTED_VALUE"""),"Cục Cảnh sát QLHC về TTXH")</f>
        <v>Cục Cảnh sát QLHC về TTXH</v>
      </c>
      <c r="P188" s="7" t="str">
        <f>IFERROR(__xludf.DUMMYFUNCTION("""COMPUTED_VALUE"""),"LĐPT")</f>
        <v>LĐPT</v>
      </c>
      <c r="Q188" s="7" t="str">
        <f>IFERROR(__xludf.DUMMYFUNCTION("""COMPUTED_VALUE"""),"Lao động phổ thông")</f>
        <v>Lao động phổ thông</v>
      </c>
      <c r="R188" s="17">
        <f>IFERROR(__xludf.DUMMYFUNCTION("""COMPUTED_VALUE"""),39214.0)</f>
        <v>39214</v>
      </c>
      <c r="S188" s="19">
        <f>IFERROR(__xludf.DUMMYFUNCTION("""COMPUTED_VALUE"""),39214.0)</f>
        <v>39214</v>
      </c>
      <c r="T188" s="7" t="str">
        <f>IFERROR(__xludf.DUMMYFUNCTION("""COMPUTED_VALUE"""),"Chính thức")</f>
        <v>Chính thức</v>
      </c>
      <c r="U188" s="7"/>
      <c r="V188" s="7" t="str">
        <f>IFERROR(__xludf.DUMMYFUNCTION("""COMPUTED_VALUE"""),"Chính thức")</f>
        <v>Chính thức</v>
      </c>
      <c r="W188" s="7" t="str">
        <f>IFERROR(__xludf.DUMMYFUNCTION("""COMPUTED_VALUE"""),"18 năm 7 tháng")</f>
        <v>18 năm 7 tháng</v>
      </c>
      <c r="X188" s="7"/>
      <c r="Y188" s="7"/>
      <c r="Z188" s="7"/>
    </row>
    <row r="189">
      <c r="A189" s="7">
        <f>IFERROR(__xludf.DUMMYFUNCTION("""COMPUTED_VALUE"""),6.0)</f>
        <v>6</v>
      </c>
      <c r="B189" s="7" t="str">
        <f>IFERROR(__xludf.DUMMYFUNCTION("""COMPUTED_VALUE"""),"Văn phòng")</f>
        <v>Văn phòng</v>
      </c>
      <c r="C189" s="7" t="str">
        <f>IFERROR(__xludf.DUMMYFUNCTION("""COMPUTED_VALUE"""),"Ban kiểm soát")</f>
        <v>Ban kiểm soát</v>
      </c>
      <c r="D189" s="7" t="str">
        <f>IFERROR(__xludf.DUMMYFUNCTION("""COMPUTED_VALUE"""),"Tổ QC ")</f>
        <v>Tổ QC </v>
      </c>
      <c r="E189" s="7" t="str">
        <f>IFERROR(__xludf.DUMMYFUNCTION("""COMPUTED_VALUE"""),"Nhân viên QC")</f>
        <v>Nhân viên QC</v>
      </c>
      <c r="F189" s="7" t="str">
        <f>IFERROR(__xludf.DUMMYFUNCTION("""COMPUTED_VALUE"""),"NV0413")</f>
        <v>NV0413</v>
      </c>
      <c r="G189" s="7">
        <f>IFERROR(__xludf.DUMMYFUNCTION("""COMPUTED_VALUE"""),81.0)</f>
        <v>81</v>
      </c>
      <c r="H189" s="7" t="str">
        <f>IFERROR(__xludf.DUMMYFUNCTION("""COMPUTED_VALUE"""),"Đỗ Thị Nga")</f>
        <v>Đỗ Thị Nga</v>
      </c>
      <c r="I189" s="7" t="str">
        <f>IFERROR(__xludf.DUMMYFUNCTION("""COMPUTED_VALUE"""),"Nữ")</f>
        <v>Nữ</v>
      </c>
      <c r="J189" s="17">
        <f>IFERROR(__xludf.DUMMYFUNCTION("""COMPUTED_VALUE"""),32527.0)</f>
        <v>32527</v>
      </c>
      <c r="K189" s="7" t="str">
        <f>IFERROR(__xludf.DUMMYFUNCTION("""COMPUTED_VALUE"""),"Thôn Hàm Ninh - Xã Hoằng Lộc - Tỉnh Thanh Hóa")</f>
        <v>Thôn Hàm Ninh - Xã Hoằng Lộc - Tỉnh Thanh Hóa</v>
      </c>
      <c r="L189" s="7" t="str">
        <f>IFERROR(__xludf.DUMMYFUNCTION("""COMPUTED_VALUE"""),"0378751517")</f>
        <v>0378751517</v>
      </c>
      <c r="M189" s="7" t="str">
        <f>IFERROR(__xludf.DUMMYFUNCTION("""COMPUTED_VALUE"""),"038189029578")</f>
        <v>038189029578</v>
      </c>
      <c r="N189" s="18">
        <f>IFERROR(__xludf.DUMMYFUNCTION("""COMPUTED_VALUE"""),44419.0)</f>
        <v>44419</v>
      </c>
      <c r="O189" s="7" t="str">
        <f>IFERROR(__xludf.DUMMYFUNCTION("""COMPUTED_VALUE"""),"Cục Cảnh sát QLHC về TTXH")</f>
        <v>Cục Cảnh sát QLHC về TTXH</v>
      </c>
      <c r="P189" s="7" t="str">
        <f>IFERROR(__xludf.DUMMYFUNCTION("""COMPUTED_VALUE"""),"LĐPT")</f>
        <v>LĐPT</v>
      </c>
      <c r="Q189" s="7" t="str">
        <f>IFERROR(__xludf.DUMMYFUNCTION("""COMPUTED_VALUE"""),"Lao động phổ thông")</f>
        <v>Lao động phổ thông</v>
      </c>
      <c r="R189" s="17">
        <f>IFERROR(__xludf.DUMMYFUNCTION("""COMPUTED_VALUE"""),39141.0)</f>
        <v>39141</v>
      </c>
      <c r="S189" s="19">
        <f>IFERROR(__xludf.DUMMYFUNCTION("""COMPUTED_VALUE"""),39141.0)</f>
        <v>39141</v>
      </c>
      <c r="T189" s="7" t="str">
        <f>IFERROR(__xludf.DUMMYFUNCTION("""COMPUTED_VALUE"""),"Chính thức")</f>
        <v>Chính thức</v>
      </c>
      <c r="U189" s="7"/>
      <c r="V189" s="7" t="str">
        <f>IFERROR(__xludf.DUMMYFUNCTION("""COMPUTED_VALUE"""),"Chính thức")</f>
        <v>Chính thức</v>
      </c>
      <c r="W189" s="7" t="str">
        <f>IFERROR(__xludf.DUMMYFUNCTION("""COMPUTED_VALUE"""),"18 năm 10 tháng")</f>
        <v>18 năm 10 tháng</v>
      </c>
      <c r="X189" s="7"/>
      <c r="Y189" s="7"/>
      <c r="Z189" s="7"/>
    </row>
    <row r="190">
      <c r="A190" s="7">
        <f>IFERROR(__xludf.DUMMYFUNCTION("""COMPUTED_VALUE"""),1.0)</f>
        <v>1</v>
      </c>
      <c r="B190" s="7" t="str">
        <f>IFERROR(__xludf.DUMMYFUNCTION("""COMPUTED_VALUE"""),"Văn phòng")</f>
        <v>Văn phòng</v>
      </c>
      <c r="C190" s="7" t="str">
        <f>IFERROR(__xludf.DUMMYFUNCTION("""COMPUTED_VALUE"""),"Phòng Kế toán")</f>
        <v>Phòng Kế toán</v>
      </c>
      <c r="D190" s="7" t="str">
        <f>IFERROR(__xludf.DUMMYFUNCTION("""COMPUTED_VALUE"""),"Bộ phận quản lý nghiệp vụ")</f>
        <v>Bộ phận quản lý nghiệp vụ</v>
      </c>
      <c r="E190" s="7" t="str">
        <f>IFERROR(__xludf.DUMMYFUNCTION("""COMPUTED_VALUE"""),"Giám đốc tài chính kiêm Kế toán trưởng Công ty Vicenza")</f>
        <v>Giám đốc tài chính kiêm Kế toán trưởng Công ty Vicenza</v>
      </c>
      <c r="F190" s="7" t="str">
        <f>IFERROR(__xludf.DUMMYFUNCTION("""COMPUTED_VALUE"""),"NV0026")</f>
        <v>NV0026</v>
      </c>
      <c r="G190" s="7"/>
      <c r="H190" s="7" t="str">
        <f>IFERROR(__xludf.DUMMYFUNCTION("""COMPUTED_VALUE"""),"Lưu Minh Hải")</f>
        <v>Lưu Minh Hải</v>
      </c>
      <c r="I190" s="7" t="str">
        <f>IFERROR(__xludf.DUMMYFUNCTION("""COMPUTED_VALUE"""),"Nam")</f>
        <v>Nam</v>
      </c>
      <c r="J190" s="17">
        <f>IFERROR(__xludf.DUMMYFUNCTION("""COMPUTED_VALUE"""),28720.0)</f>
        <v>28720</v>
      </c>
      <c r="K190" s="7" t="str">
        <f>IFERROR(__xludf.DUMMYFUNCTION("""COMPUTED_VALUE"""),"248 - Thành Thái - Phường Đông Thọ -
  Thành phố Thanh Hóa")</f>
        <v>248 - Thành Thái - Phường Đông Thọ -
  Thành phố Thanh Hóa</v>
      </c>
      <c r="L190" s="7" t="str">
        <f>IFERROR(__xludf.DUMMYFUNCTION("""COMPUTED_VALUE"""),"0983365786")</f>
        <v>0983365786</v>
      </c>
      <c r="M190" s="7" t="str">
        <f>IFERROR(__xludf.DUMMYFUNCTION("""COMPUTED_VALUE"""),"038078027556")</f>
        <v>038078027556</v>
      </c>
      <c r="N190" s="18">
        <f>IFERROR(__xludf.DUMMYFUNCTION("""COMPUTED_VALUE"""),44422.0)</f>
        <v>44422</v>
      </c>
      <c r="O190" s="7" t="str">
        <f>IFERROR(__xludf.DUMMYFUNCTION("""COMPUTED_VALUE"""),"Cục Cảnh sát QLHC về TTXH")</f>
        <v>Cục Cảnh sát QLHC về TTXH</v>
      </c>
      <c r="P190" s="7" t="str">
        <f>IFERROR(__xludf.DUMMYFUNCTION("""COMPUTED_VALUE"""),"Đại học")</f>
        <v>Đại học</v>
      </c>
      <c r="Q190" s="7" t="str">
        <f>IFERROR(__xludf.DUMMYFUNCTION("""COMPUTED_VALUE"""),"Kế toán")</f>
        <v>Kế toán</v>
      </c>
      <c r="R190" s="17">
        <f>IFERROR(__xludf.DUMMYFUNCTION("""COMPUTED_VALUE"""),38718.0)</f>
        <v>38718</v>
      </c>
      <c r="S190" s="19">
        <f>IFERROR(__xludf.DUMMYFUNCTION("""COMPUTED_VALUE"""),38718.0)</f>
        <v>38718</v>
      </c>
      <c r="T190" s="7" t="str">
        <f>IFERROR(__xludf.DUMMYFUNCTION("""COMPUTED_VALUE"""),"Chính thức")</f>
        <v>Chính thức</v>
      </c>
      <c r="U190" s="7"/>
      <c r="V190" s="7" t="str">
        <f>IFERROR(__xludf.DUMMYFUNCTION("""COMPUTED_VALUE"""),"Chính thức")</f>
        <v>Chính thức</v>
      </c>
      <c r="W190" s="7" t="str">
        <f>IFERROR(__xludf.DUMMYFUNCTION("""COMPUTED_VALUE"""),"19 năm 11 tháng")</f>
        <v>19 năm 11 tháng</v>
      </c>
      <c r="X190" s="7"/>
      <c r="Y190" s="7"/>
      <c r="Z190" s="7"/>
    </row>
    <row r="191">
      <c r="A191" s="7">
        <f>IFERROR(__xludf.DUMMYFUNCTION("""COMPUTED_VALUE"""),2.0)</f>
        <v>2</v>
      </c>
      <c r="B191" s="7" t="str">
        <f>IFERROR(__xludf.DUMMYFUNCTION("""COMPUTED_VALUE"""),"Văn phòng")</f>
        <v>Văn phòng</v>
      </c>
      <c r="C191" s="7" t="str">
        <f>IFERROR(__xludf.DUMMYFUNCTION("""COMPUTED_VALUE"""),"Phòng Kế toán")</f>
        <v>Phòng Kế toán</v>
      </c>
      <c r="D191" s="7" t="str">
        <f>IFERROR(__xludf.DUMMYFUNCTION("""COMPUTED_VALUE"""),"Bộ phận quản lý nghiệp vụ")</f>
        <v>Bộ phận quản lý nghiệp vụ</v>
      </c>
      <c r="E191" s="7" t="str">
        <f>IFERROR(__xludf.DUMMYFUNCTION("""COMPUTED_VALUE"""),"Trưởng phòng kế toán kiêm kế toán trưởng Kesington, kế toán trưởng Việt Nhật")</f>
        <v>Trưởng phòng kế toán kiêm kế toán trưởng Kesington, kế toán trưởng Việt Nhật</v>
      </c>
      <c r="F191" s="7" t="str">
        <f>IFERROR(__xludf.DUMMYFUNCTION("""COMPUTED_VALUE"""),"NV1606")</f>
        <v>NV1606</v>
      </c>
      <c r="G191" s="7">
        <f>IFERROR(__xludf.DUMMYFUNCTION("""COMPUTED_VALUE"""),638.0)</f>
        <v>638</v>
      </c>
      <c r="H191" s="7" t="str">
        <f>IFERROR(__xludf.DUMMYFUNCTION("""COMPUTED_VALUE"""),"Nguyễn Thị Phương")</f>
        <v>Nguyễn Thị Phương</v>
      </c>
      <c r="I191" s="7" t="str">
        <f>IFERROR(__xludf.DUMMYFUNCTION("""COMPUTED_VALUE"""),"Nữ")</f>
        <v>Nữ</v>
      </c>
      <c r="J191" s="17">
        <f>IFERROR(__xludf.DUMMYFUNCTION("""COMPUTED_VALUE"""),29324.0)</f>
        <v>29324</v>
      </c>
      <c r="K191" s="7" t="str">
        <f>IFERROR(__xludf.DUMMYFUNCTION("""COMPUTED_VALUE"""),"Lô 3 A4, MB1568, Phố 8, P.Quảng Hưng, TP Thanh Hóa")</f>
        <v>Lô 3 A4, MB1568, Phố 8, P.Quảng Hưng, TP Thanh Hóa</v>
      </c>
      <c r="L191" s="7" t="str">
        <f>IFERROR(__xludf.DUMMYFUNCTION("""COMPUTED_VALUE"""),"0978068789")</f>
        <v>0978068789</v>
      </c>
      <c r="M191" s="7" t="str">
        <f>IFERROR(__xludf.DUMMYFUNCTION("""COMPUTED_VALUE"""),"038180023237")</f>
        <v>038180023237</v>
      </c>
      <c r="N191" s="18">
        <f>IFERROR(__xludf.DUMMYFUNCTION("""COMPUTED_VALUE"""),44422.0)</f>
        <v>44422</v>
      </c>
      <c r="O191" s="7" t="str">
        <f>IFERROR(__xludf.DUMMYFUNCTION("""COMPUTED_VALUE"""),"Cục Cảnh sát QLHC về TTXH")</f>
        <v>Cục Cảnh sát QLHC về TTXH</v>
      </c>
      <c r="P191" s="7" t="str">
        <f>IFERROR(__xludf.DUMMYFUNCTION("""COMPUTED_VALUE"""),"Đại học")</f>
        <v>Đại học</v>
      </c>
      <c r="Q191" s="7" t="str">
        <f>IFERROR(__xludf.DUMMYFUNCTION("""COMPUTED_VALUE"""),"Quản trị kinh doanh")</f>
        <v>Quản trị kinh doanh</v>
      </c>
      <c r="R191" s="17">
        <f>IFERROR(__xludf.DUMMYFUNCTION("""COMPUTED_VALUE"""),43313.0)</f>
        <v>43313</v>
      </c>
      <c r="S191" s="19">
        <f>IFERROR(__xludf.DUMMYFUNCTION("""COMPUTED_VALUE"""),43313.0)</f>
        <v>43313</v>
      </c>
      <c r="T191" s="7" t="str">
        <f>IFERROR(__xludf.DUMMYFUNCTION("""COMPUTED_VALUE"""),"Chính thức")</f>
        <v>Chính thức</v>
      </c>
      <c r="U191" s="7"/>
      <c r="V191" s="7" t="str">
        <f>IFERROR(__xludf.DUMMYFUNCTION("""COMPUTED_VALUE"""),"Chính thức")</f>
        <v>Chính thức</v>
      </c>
      <c r="W191" s="7" t="str">
        <f>IFERROR(__xludf.DUMMYFUNCTION("""COMPUTED_VALUE"""),"7 năm 4 tháng")</f>
        <v>7 năm 4 tháng</v>
      </c>
      <c r="X191" s="7"/>
      <c r="Y191" s="7"/>
      <c r="Z191" s="7"/>
    </row>
    <row r="192">
      <c r="A192" s="7">
        <f>IFERROR(__xludf.DUMMYFUNCTION("""COMPUTED_VALUE"""),3.0)</f>
        <v>3</v>
      </c>
      <c r="B192" s="7" t="str">
        <f>IFERROR(__xludf.DUMMYFUNCTION("""COMPUTED_VALUE"""),"Văn phòng")</f>
        <v>Văn phòng</v>
      </c>
      <c r="C192" s="7" t="str">
        <f>IFERROR(__xludf.DUMMYFUNCTION("""COMPUTED_VALUE"""),"Phòng Kế toán")</f>
        <v>Phòng Kế toán</v>
      </c>
      <c r="D192" s="7" t="str">
        <f>IFERROR(__xludf.DUMMYFUNCTION("""COMPUTED_VALUE"""),"Bộ phận quản lý nghiệp vụ")</f>
        <v>Bộ phận quản lý nghiệp vụ</v>
      </c>
      <c r="E192" s="7" t="str">
        <f>IFERROR(__xludf.DUMMYFUNCTION("""COMPUTED_VALUE"""),"Kế toán kho VCZ, TCT")</f>
        <v>Kế toán kho VCZ, TCT</v>
      </c>
      <c r="F192" s="7" t="str">
        <f>IFERROR(__xludf.DUMMYFUNCTION("""COMPUTED_VALUE"""),"NV0030")</f>
        <v>NV0030</v>
      </c>
      <c r="G192" s="7">
        <f>IFERROR(__xludf.DUMMYFUNCTION("""COMPUTED_VALUE"""),57.0)</f>
        <v>57</v>
      </c>
      <c r="H192" s="7" t="str">
        <f>IFERROR(__xludf.DUMMYFUNCTION("""COMPUTED_VALUE"""),"Lê Thị Cúc")</f>
        <v>Lê Thị Cúc</v>
      </c>
      <c r="I192" s="7" t="str">
        <f>IFERROR(__xludf.DUMMYFUNCTION("""COMPUTED_VALUE"""),"Nữ")</f>
        <v>Nữ</v>
      </c>
      <c r="J192" s="17">
        <f>IFERROR(__xludf.DUMMYFUNCTION("""COMPUTED_VALUE"""),30317.0)</f>
        <v>30317</v>
      </c>
      <c r="K192" s="7" t="str">
        <f>IFERROR(__xludf.DUMMYFUNCTION("""COMPUTED_VALUE"""),"20/66 Tô Hiền Thành - Phường Điện Biên - TP.Thanh Hóa")</f>
        <v>20/66 Tô Hiền Thành - Phường Điện Biên - TP.Thanh Hóa</v>
      </c>
      <c r="L192" s="7" t="str">
        <f>IFERROR(__xludf.DUMMYFUNCTION("""COMPUTED_VALUE"""),"0985521109")</f>
        <v>0985521109</v>
      </c>
      <c r="M192" s="7" t="str">
        <f>IFERROR(__xludf.DUMMYFUNCTION("""COMPUTED_VALUE"""),"038183010939")</f>
        <v>038183010939</v>
      </c>
      <c r="N192" s="18">
        <f>IFERROR(__xludf.DUMMYFUNCTION("""COMPUTED_VALUE"""),44418.0)</f>
        <v>44418</v>
      </c>
      <c r="O192" s="7" t="str">
        <f>IFERROR(__xludf.DUMMYFUNCTION("""COMPUTED_VALUE"""),"Cục Cảnh sát QLHC về TTXH")</f>
        <v>Cục Cảnh sát QLHC về TTXH</v>
      </c>
      <c r="P192" s="7" t="str">
        <f>IFERROR(__xludf.DUMMYFUNCTION("""COMPUTED_VALUE"""),"Đại học")</f>
        <v>Đại học</v>
      </c>
      <c r="Q192" s="7" t="str">
        <f>IFERROR(__xludf.DUMMYFUNCTION("""COMPUTED_VALUE"""),"Kế toán")</f>
        <v>Kế toán</v>
      </c>
      <c r="R192" s="17">
        <f>IFERROR(__xludf.DUMMYFUNCTION("""COMPUTED_VALUE"""),39214.0)</f>
        <v>39214</v>
      </c>
      <c r="S192" s="19">
        <f>IFERROR(__xludf.DUMMYFUNCTION("""COMPUTED_VALUE"""),39214.0)</f>
        <v>39214</v>
      </c>
      <c r="T192" s="7" t="str">
        <f>IFERROR(__xludf.DUMMYFUNCTION("""COMPUTED_VALUE"""),"Chính thức")</f>
        <v>Chính thức</v>
      </c>
      <c r="U192" s="7"/>
      <c r="V192" s="7" t="str">
        <f>IFERROR(__xludf.DUMMYFUNCTION("""COMPUTED_VALUE"""),"Chính thức")</f>
        <v>Chính thức</v>
      </c>
      <c r="W192" s="7" t="str">
        <f>IFERROR(__xludf.DUMMYFUNCTION("""COMPUTED_VALUE"""),"18 năm 7 tháng")</f>
        <v>18 năm 7 tháng</v>
      </c>
      <c r="X192" s="7"/>
      <c r="Y192" s="7"/>
      <c r="Z192" s="7"/>
    </row>
    <row r="193">
      <c r="A193" s="7">
        <f>IFERROR(__xludf.DUMMYFUNCTION("""COMPUTED_VALUE"""),4.0)</f>
        <v>4</v>
      </c>
      <c r="B193" s="7" t="str">
        <f>IFERROR(__xludf.DUMMYFUNCTION("""COMPUTED_VALUE"""),"Văn phòng")</f>
        <v>Văn phòng</v>
      </c>
      <c r="C193" s="7" t="str">
        <f>IFERROR(__xludf.DUMMYFUNCTION("""COMPUTED_VALUE"""),"Phòng Kế toán")</f>
        <v>Phòng Kế toán</v>
      </c>
      <c r="D193" s="7" t="str">
        <f>IFERROR(__xludf.DUMMYFUNCTION("""COMPUTED_VALUE"""),"Bộ phận quản lý nghiệp vụ")</f>
        <v>Bộ phận quản lý nghiệp vụ</v>
      </c>
      <c r="E193" s="7" t="str">
        <f>IFERROR(__xludf.DUMMYFUNCTION("""COMPUTED_VALUE"""),"Thủ quỹ VCZ, TCT")</f>
        <v>Thủ quỹ VCZ, TCT</v>
      </c>
      <c r="F193" s="7" t="str">
        <f>IFERROR(__xludf.DUMMYFUNCTION("""COMPUTED_VALUE"""),"NV0028")</f>
        <v>NV0028</v>
      </c>
      <c r="G193" s="7">
        <f>IFERROR(__xludf.DUMMYFUNCTION("""COMPUTED_VALUE"""),62.0)</f>
        <v>62</v>
      </c>
      <c r="H193" s="7" t="str">
        <f>IFERROR(__xludf.DUMMYFUNCTION("""COMPUTED_VALUE"""),"Lương Thị Dung")</f>
        <v>Lương Thị Dung</v>
      </c>
      <c r="I193" s="7" t="str">
        <f>IFERROR(__xludf.DUMMYFUNCTION("""COMPUTED_VALUE"""),"Nữ")</f>
        <v>Nữ</v>
      </c>
      <c r="J193" s="17">
        <f>IFERROR(__xludf.DUMMYFUNCTION("""COMPUTED_VALUE"""),33641.0)</f>
        <v>33641</v>
      </c>
      <c r="K193" s="7" t="str">
        <f>IFERROR(__xludf.DUMMYFUNCTION("""COMPUTED_VALUE"""),"Vĩnh Trị 3 - Hoằng Quang, Thành phố Thanh Hóa, Thanh Hóa,")</f>
        <v>Vĩnh Trị 3 - Hoằng Quang, Thành phố Thanh Hóa, Thanh Hóa,</v>
      </c>
      <c r="L193" s="7" t="str">
        <f>IFERROR(__xludf.DUMMYFUNCTION("""COMPUTED_VALUE"""),"0385308571")</f>
        <v>0385308571</v>
      </c>
      <c r="M193" s="7" t="str">
        <f>IFERROR(__xludf.DUMMYFUNCTION("""COMPUTED_VALUE"""),"038192036240")</f>
        <v>038192036240</v>
      </c>
      <c r="N193" s="18">
        <f>IFERROR(__xludf.DUMMYFUNCTION("""COMPUTED_VALUE"""),44961.0)</f>
        <v>44961</v>
      </c>
      <c r="O193" s="7" t="str">
        <f>IFERROR(__xludf.DUMMYFUNCTION("""COMPUTED_VALUE"""),"Cục Cảnh sát QLHC về TTXH")</f>
        <v>Cục Cảnh sát QLHC về TTXH</v>
      </c>
      <c r="P193" s="7" t="str">
        <f>IFERROR(__xludf.DUMMYFUNCTION("""COMPUTED_VALUE"""),"Đại học")</f>
        <v>Đại học</v>
      </c>
      <c r="Q193" s="7" t="str">
        <f>IFERROR(__xludf.DUMMYFUNCTION("""COMPUTED_VALUE"""),"Tài chính ngân hàng")</f>
        <v>Tài chính ngân hàng</v>
      </c>
      <c r="R193" s="17">
        <f>IFERROR(__xludf.DUMMYFUNCTION("""COMPUTED_VALUE"""),41936.0)</f>
        <v>41936</v>
      </c>
      <c r="S193" s="19">
        <f>IFERROR(__xludf.DUMMYFUNCTION("""COMPUTED_VALUE"""),41936.0)</f>
        <v>41936</v>
      </c>
      <c r="T193" s="7" t="str">
        <f>IFERROR(__xludf.DUMMYFUNCTION("""COMPUTED_VALUE"""),"Chính thức")</f>
        <v>Chính thức</v>
      </c>
      <c r="U193" s="7"/>
      <c r="V193" s="7" t="str">
        <f>IFERROR(__xludf.DUMMYFUNCTION("""COMPUTED_VALUE"""),"Chính thức")</f>
        <v>Chính thức</v>
      </c>
      <c r="W193" s="7" t="str">
        <f>IFERROR(__xludf.DUMMYFUNCTION("""COMPUTED_VALUE"""),"11 năm 2 tháng")</f>
        <v>11 năm 2 tháng</v>
      </c>
      <c r="X193" s="7"/>
      <c r="Y193" s="7"/>
      <c r="Z193" s="7"/>
    </row>
    <row r="194">
      <c r="A194" s="7">
        <f>IFERROR(__xludf.DUMMYFUNCTION("""COMPUTED_VALUE"""),5.0)</f>
        <v>5</v>
      </c>
      <c r="B194" s="7" t="str">
        <f>IFERROR(__xludf.DUMMYFUNCTION("""COMPUTED_VALUE"""),"Văn phòng")</f>
        <v>Văn phòng</v>
      </c>
      <c r="C194" s="7" t="str">
        <f>IFERROR(__xludf.DUMMYFUNCTION("""COMPUTED_VALUE"""),"Phòng Kế toán")</f>
        <v>Phòng Kế toán</v>
      </c>
      <c r="D194" s="7" t="str">
        <f>IFERROR(__xludf.DUMMYFUNCTION("""COMPUTED_VALUE"""),"Bộ phận quản lý nghiệp vụ")</f>
        <v>Bộ phận quản lý nghiệp vụ</v>
      </c>
      <c r="E194" s="7" t="str">
        <f>IFERROR(__xludf.DUMMYFUNCTION("""COMPUTED_VALUE"""),"Kế toán trưởng Đô thị")</f>
        <v>Kế toán trưởng Đô thị</v>
      </c>
      <c r="F194" s="7" t="str">
        <f>IFERROR(__xludf.DUMMYFUNCTION("""COMPUTED_VALUE"""),"NV0033")</f>
        <v>NV0033</v>
      </c>
      <c r="G194" s="7">
        <f>IFERROR(__xludf.DUMMYFUNCTION("""COMPUTED_VALUE"""),666.0)</f>
        <v>666</v>
      </c>
      <c r="H194" s="7" t="str">
        <f>IFERROR(__xludf.DUMMYFUNCTION("""COMPUTED_VALUE"""),"Nguyễn Văn Sang")</f>
        <v>Nguyễn Văn Sang</v>
      </c>
      <c r="I194" s="7" t="str">
        <f>IFERROR(__xludf.DUMMYFUNCTION("""COMPUTED_VALUE"""),"Nam")</f>
        <v>Nam</v>
      </c>
      <c r="J194" s="17">
        <f>IFERROR(__xludf.DUMMYFUNCTION("""COMPUTED_VALUE"""),31208.0)</f>
        <v>31208</v>
      </c>
      <c r="K194" s="7" t="str">
        <f>IFERROR(__xludf.DUMMYFUNCTION("""COMPUTED_VALUE"""),"Phố 4, Phường Quảng Hưng, Thành phố Thanh Hóa,")</f>
        <v>Phố 4, Phường Quảng Hưng, Thành phố Thanh Hóa,</v>
      </c>
      <c r="L194" s="7" t="str">
        <f>IFERROR(__xludf.DUMMYFUNCTION("""COMPUTED_VALUE"""),"0949352636")</f>
        <v>0949352636</v>
      </c>
      <c r="M194" s="7" t="str">
        <f>IFERROR(__xludf.DUMMYFUNCTION("""COMPUTED_VALUE"""),"038085036617")</f>
        <v>038085036617</v>
      </c>
      <c r="N194" s="18">
        <f>IFERROR(__xludf.DUMMYFUNCTION("""COMPUTED_VALUE"""),44325.0)</f>
        <v>44325</v>
      </c>
      <c r="O194" s="7" t="str">
        <f>IFERROR(__xludf.DUMMYFUNCTION("""COMPUTED_VALUE"""),"Cục Cảnh sát QLHC về TTXH")</f>
        <v>Cục Cảnh sát QLHC về TTXH</v>
      </c>
      <c r="P194" s="7" t="str">
        <f>IFERROR(__xludf.DUMMYFUNCTION("""COMPUTED_VALUE"""),"Đại học")</f>
        <v>Đại học</v>
      </c>
      <c r="Q194" s="7" t="str">
        <f>IFERROR(__xludf.DUMMYFUNCTION("""COMPUTED_VALUE"""),"Kế toán")</f>
        <v>Kế toán</v>
      </c>
      <c r="R194" s="17">
        <f>IFERROR(__xludf.DUMMYFUNCTION("""COMPUTED_VALUE"""),40302.0)</f>
        <v>40302</v>
      </c>
      <c r="S194" s="19">
        <f>IFERROR(__xludf.DUMMYFUNCTION("""COMPUTED_VALUE"""),40302.0)</f>
        <v>40302</v>
      </c>
      <c r="T194" s="7" t="str">
        <f>IFERROR(__xludf.DUMMYFUNCTION("""COMPUTED_VALUE"""),"Chính thức")</f>
        <v>Chính thức</v>
      </c>
      <c r="U194" s="7"/>
      <c r="V194" s="7" t="str">
        <f>IFERROR(__xludf.DUMMYFUNCTION("""COMPUTED_VALUE"""),"Chính thức")</f>
        <v>Chính thức</v>
      </c>
      <c r="W194" s="7" t="str">
        <f>IFERROR(__xludf.DUMMYFUNCTION("""COMPUTED_VALUE"""),"15 năm 7 tháng")</f>
        <v>15 năm 7 tháng</v>
      </c>
      <c r="X194" s="7"/>
      <c r="Y194" s="7"/>
      <c r="Z194" s="7"/>
    </row>
    <row r="195">
      <c r="A195" s="7">
        <f>IFERROR(__xludf.DUMMYFUNCTION("""COMPUTED_VALUE"""),6.0)</f>
        <v>6</v>
      </c>
      <c r="B195" s="7" t="str">
        <f>IFERROR(__xludf.DUMMYFUNCTION("""COMPUTED_VALUE"""),"Văn phòng")</f>
        <v>Văn phòng</v>
      </c>
      <c r="C195" s="7" t="str">
        <f>IFERROR(__xludf.DUMMYFUNCTION("""COMPUTED_VALUE"""),"Phòng Kế toán")</f>
        <v>Phòng Kế toán</v>
      </c>
      <c r="D195" s="7" t="str">
        <f>IFERROR(__xludf.DUMMYFUNCTION("""COMPUTED_VALUE"""),"Bộ phận quản lý nghiệp vụ")</f>
        <v>Bộ phận quản lý nghiệp vụ</v>
      </c>
      <c r="E195" s="7" t="str">
        <f>IFERROR(__xludf.DUMMYFUNCTION("""COMPUTED_VALUE"""),"Kế toán tổng hợp Cty Việt nhật")</f>
        <v>Kế toán tổng hợp Cty Việt nhật</v>
      </c>
      <c r="F195" s="7" t="str">
        <f>IFERROR(__xludf.DUMMYFUNCTION("""COMPUTED_VALUE"""),"NV1867")</f>
        <v>NV1867</v>
      </c>
      <c r="G195" s="7">
        <f>IFERROR(__xludf.DUMMYFUNCTION("""COMPUTED_VALUE"""),51.0)</f>
        <v>51</v>
      </c>
      <c r="H195" s="7" t="str">
        <f>IFERROR(__xludf.DUMMYFUNCTION("""COMPUTED_VALUE"""),"Trần Thị Yến")</f>
        <v>Trần Thị Yến</v>
      </c>
      <c r="I195" s="7" t="str">
        <f>IFERROR(__xludf.DUMMYFUNCTION("""COMPUTED_VALUE"""),"Nữ")</f>
        <v>Nữ</v>
      </c>
      <c r="J195" s="17">
        <f>IFERROR(__xludf.DUMMYFUNCTION("""COMPUTED_VALUE"""),32284.0)</f>
        <v>32284</v>
      </c>
      <c r="K195" s="7" t="str">
        <f>IFERROR(__xludf.DUMMYFUNCTION("""COMPUTED_VALUE"""),"KPTN4 - P.Quảng Vinh - Sầm Sơn - Thanh Hóa")</f>
        <v>KPTN4 - P.Quảng Vinh - Sầm Sơn - Thanh Hóa</v>
      </c>
      <c r="L195" s="7" t="str">
        <f>IFERROR(__xludf.DUMMYFUNCTION("""COMPUTED_VALUE"""),"0945640268")</f>
        <v>0945640268</v>
      </c>
      <c r="M195" s="7" t="str">
        <f>IFERROR(__xludf.DUMMYFUNCTION("""COMPUTED_VALUE"""),"038188043251")</f>
        <v>038188043251</v>
      </c>
      <c r="N195" s="18">
        <f>IFERROR(__xludf.DUMMYFUNCTION("""COMPUTED_VALUE"""),44320.0)</f>
        <v>44320</v>
      </c>
      <c r="O195" s="7" t="str">
        <f>IFERROR(__xludf.DUMMYFUNCTION("""COMPUTED_VALUE"""),"Cục Cảnh sát QLHC về TTXH")</f>
        <v>Cục Cảnh sát QLHC về TTXH</v>
      </c>
      <c r="P195" s="7" t="str">
        <f>IFERROR(__xludf.DUMMYFUNCTION("""COMPUTED_VALUE"""),"Thạc sĩ")</f>
        <v>Thạc sĩ</v>
      </c>
      <c r="Q195" s="7" t="str">
        <f>IFERROR(__xludf.DUMMYFUNCTION("""COMPUTED_VALUE"""),"Tài chính, ngân hàng")</f>
        <v>Tài chính, ngân hàng</v>
      </c>
      <c r="R195" s="17">
        <f>IFERROR(__xludf.DUMMYFUNCTION("""COMPUTED_VALUE"""),43364.0)</f>
        <v>43364</v>
      </c>
      <c r="S195" s="19">
        <f>IFERROR(__xludf.DUMMYFUNCTION("""COMPUTED_VALUE"""),43364.0)</f>
        <v>43364</v>
      </c>
      <c r="T195" s="7" t="str">
        <f>IFERROR(__xludf.DUMMYFUNCTION("""COMPUTED_VALUE"""),"Chính thức")</f>
        <v>Chính thức</v>
      </c>
      <c r="U195" s="7"/>
      <c r="V195" s="7" t="str">
        <f>IFERROR(__xludf.DUMMYFUNCTION("""COMPUTED_VALUE"""),"Chính thức")</f>
        <v>Chính thức</v>
      </c>
      <c r="W195" s="7" t="str">
        <f>IFERROR(__xludf.DUMMYFUNCTION("""COMPUTED_VALUE"""),"7 năm 3 tháng")</f>
        <v>7 năm 3 tháng</v>
      </c>
      <c r="X195" s="7"/>
      <c r="Y195" s="7"/>
      <c r="Z195" s="7"/>
    </row>
    <row r="196">
      <c r="A196" s="7">
        <f>IFERROR(__xludf.DUMMYFUNCTION("""COMPUTED_VALUE"""),7.0)</f>
        <v>7</v>
      </c>
      <c r="B196" s="7" t="str">
        <f>IFERROR(__xludf.DUMMYFUNCTION("""COMPUTED_VALUE"""),"Văn phòng")</f>
        <v>Văn phòng</v>
      </c>
      <c r="C196" s="7" t="str">
        <f>IFERROR(__xludf.DUMMYFUNCTION("""COMPUTED_VALUE"""),"Phòng Kế toán")</f>
        <v>Phòng Kế toán</v>
      </c>
      <c r="D196" s="7" t="str">
        <f>IFERROR(__xludf.DUMMYFUNCTION("""COMPUTED_VALUE"""),"Bộ phận quản lý nghiệp vụ")</f>
        <v>Bộ phận quản lý nghiệp vụ</v>
      </c>
      <c r="E196" s="7" t="str">
        <f>IFERROR(__xludf.DUMMYFUNCTION("""COMPUTED_VALUE"""),"Kế toán thanh toán VCZ, TCT")</f>
        <v>Kế toán thanh toán VCZ, TCT</v>
      </c>
      <c r="F196" s="7" t="str">
        <f>IFERROR(__xludf.DUMMYFUNCTION("""COMPUTED_VALUE"""),"NV3962")</f>
        <v>NV3962</v>
      </c>
      <c r="G196" s="7">
        <f>IFERROR(__xludf.DUMMYFUNCTION("""COMPUTED_VALUE"""),82.0)</f>
        <v>82</v>
      </c>
      <c r="H196" s="7" t="str">
        <f>IFERROR(__xludf.DUMMYFUNCTION("""COMPUTED_VALUE"""),"Lương Thị Thùy")</f>
        <v>Lương Thị Thùy</v>
      </c>
      <c r="I196" s="7" t="str">
        <f>IFERROR(__xludf.DUMMYFUNCTION("""COMPUTED_VALUE"""),"Nữ")</f>
        <v>Nữ</v>
      </c>
      <c r="J196" s="17">
        <f>IFERROR(__xludf.DUMMYFUNCTION("""COMPUTED_VALUE"""),36382.0)</f>
        <v>36382</v>
      </c>
      <c r="K196" s="7" t="str">
        <f>IFERROR(__xludf.DUMMYFUNCTION("""COMPUTED_VALUE"""),"Thôn 2, Xã Hoằng Thành, Huyện Hoằng Hóa, Thanh Hóa")</f>
        <v>Thôn 2, Xã Hoằng Thành, Huyện Hoằng Hóa, Thanh Hóa</v>
      </c>
      <c r="L196" s="7" t="str">
        <f>IFERROR(__xludf.DUMMYFUNCTION("""COMPUTED_VALUE"""),"0946281059")</f>
        <v>0946281059</v>
      </c>
      <c r="M196" s="7" t="str">
        <f>IFERROR(__xludf.DUMMYFUNCTION("""COMPUTED_VALUE"""),"038199023903")</f>
        <v>038199023903</v>
      </c>
      <c r="N196" s="18">
        <f>IFERROR(__xludf.DUMMYFUNCTION("""COMPUTED_VALUE"""),44636.0)</f>
        <v>44636</v>
      </c>
      <c r="O196" s="7" t="str">
        <f>IFERROR(__xludf.DUMMYFUNCTION("""COMPUTED_VALUE"""),"Cục Cảnh sát QLHC về TTXH")</f>
        <v>Cục Cảnh sát QLHC về TTXH</v>
      </c>
      <c r="P196" s="7" t="str">
        <f>IFERROR(__xludf.DUMMYFUNCTION("""COMPUTED_VALUE"""),"Cử nhân")</f>
        <v>Cử nhân</v>
      </c>
      <c r="Q196" s="7" t="str">
        <f>IFERROR(__xludf.DUMMYFUNCTION("""COMPUTED_VALUE"""),"Kinh doanh quốc tế")</f>
        <v>Kinh doanh quốc tế</v>
      </c>
      <c r="R196" s="17">
        <f>IFERROR(__xludf.DUMMYFUNCTION("""COMPUTED_VALUE"""),44531.0)</f>
        <v>44531</v>
      </c>
      <c r="S196" s="19">
        <f>IFERROR(__xludf.DUMMYFUNCTION("""COMPUTED_VALUE"""),44531.0)</f>
        <v>44531</v>
      </c>
      <c r="T196" s="7" t="str">
        <f>IFERROR(__xludf.DUMMYFUNCTION("""COMPUTED_VALUE"""),"Chính thức")</f>
        <v>Chính thức</v>
      </c>
      <c r="U196" s="7"/>
      <c r="V196" s="7" t="str">
        <f>IFERROR(__xludf.DUMMYFUNCTION("""COMPUTED_VALUE"""),"Chính thức")</f>
        <v>Chính thức</v>
      </c>
      <c r="W196" s="7" t="str">
        <f>IFERROR(__xludf.DUMMYFUNCTION("""COMPUTED_VALUE"""),"4 năm 0 tháng")</f>
        <v>4 năm 0 tháng</v>
      </c>
      <c r="X196" s="7"/>
      <c r="Y196" s="7"/>
      <c r="Z196" s="7"/>
    </row>
    <row r="197">
      <c r="A197" s="7">
        <f>IFERROR(__xludf.DUMMYFUNCTION("""COMPUTED_VALUE"""),8.0)</f>
        <v>8</v>
      </c>
      <c r="B197" s="7" t="str">
        <f>IFERROR(__xludf.DUMMYFUNCTION("""COMPUTED_VALUE"""),"Văn phòng")</f>
        <v>Văn phòng</v>
      </c>
      <c r="C197" s="7" t="str">
        <f>IFERROR(__xludf.DUMMYFUNCTION("""COMPUTED_VALUE"""),"Phòng Kế toán")</f>
        <v>Phòng Kế toán</v>
      </c>
      <c r="D197" s="7" t="str">
        <f>IFERROR(__xludf.DUMMYFUNCTION("""COMPUTED_VALUE"""),"Bộ phận quản lý nghiệp vụ")</f>
        <v>Bộ phận quản lý nghiệp vụ</v>
      </c>
      <c r="E197" s="7" t="str">
        <f>IFERROR(__xludf.DUMMYFUNCTION("""COMPUTED_VALUE"""),"Nhân viên")</f>
        <v>Nhân viên</v>
      </c>
      <c r="F197" s="7" t="str">
        <f>IFERROR(__xludf.DUMMYFUNCTION("""COMPUTED_VALUE"""),"NV0415")</f>
        <v>NV0415</v>
      </c>
      <c r="G197" s="7">
        <f>IFERROR(__xludf.DUMMYFUNCTION("""COMPUTED_VALUE"""),751.0)</f>
        <v>751</v>
      </c>
      <c r="H197" s="7" t="str">
        <f>IFERROR(__xludf.DUMMYFUNCTION("""COMPUTED_VALUE"""),"Nguyễn Thị Tuyết")</f>
        <v>Nguyễn Thị Tuyết</v>
      </c>
      <c r="I197" s="7" t="str">
        <f>IFERROR(__xludf.DUMMYFUNCTION("""COMPUTED_VALUE"""),"Nữ")</f>
        <v>Nữ</v>
      </c>
      <c r="J197" s="17">
        <f>IFERROR(__xludf.DUMMYFUNCTION("""COMPUTED_VALUE"""),31690.0)</f>
        <v>31690</v>
      </c>
      <c r="K197" s="7" t="str">
        <f>IFERROR(__xludf.DUMMYFUNCTION("""COMPUTED_VALUE"""),"Phố 2 - Phường Quảng Hưng - Thành Phố Thanh Hóa")</f>
        <v>Phố 2 - Phường Quảng Hưng - Thành Phố Thanh Hóa</v>
      </c>
      <c r="L197" s="7" t="str">
        <f>IFERROR(__xludf.DUMMYFUNCTION("""COMPUTED_VALUE"""),"0932353986")</f>
        <v>0932353986</v>
      </c>
      <c r="M197" s="7" t="str">
        <f>IFERROR(__xludf.DUMMYFUNCTION("""COMPUTED_VALUE"""),"038186048745")</f>
        <v>038186048745</v>
      </c>
      <c r="N197" s="18">
        <f>IFERROR(__xludf.DUMMYFUNCTION("""COMPUTED_VALUE"""),44375.0)</f>
        <v>44375</v>
      </c>
      <c r="O197" s="7" t="str">
        <f>IFERROR(__xludf.DUMMYFUNCTION("""COMPUTED_VALUE"""),"Cục Cảnh sát QLHC về TTXH")</f>
        <v>Cục Cảnh sát QLHC về TTXH</v>
      </c>
      <c r="P197" s="7" t="str">
        <f>IFERROR(__xludf.DUMMYFUNCTION("""COMPUTED_VALUE"""),"Trung cấp")</f>
        <v>Trung cấp</v>
      </c>
      <c r="Q197" s="7" t="str">
        <f>IFERROR(__xludf.DUMMYFUNCTION("""COMPUTED_VALUE"""),"Kế toán thương mại")</f>
        <v>Kế toán thương mại</v>
      </c>
      <c r="R197" s="17">
        <f>IFERROR(__xludf.DUMMYFUNCTION("""COMPUTED_VALUE"""),40194.0)</f>
        <v>40194</v>
      </c>
      <c r="S197" s="19">
        <f>IFERROR(__xludf.DUMMYFUNCTION("""COMPUTED_VALUE"""),40194.0)</f>
        <v>40194</v>
      </c>
      <c r="T197" s="7" t="str">
        <f>IFERROR(__xludf.DUMMYFUNCTION("""COMPUTED_VALUE"""),"Chính thức")</f>
        <v>Chính thức</v>
      </c>
      <c r="U197" s="7"/>
      <c r="V197" s="7" t="str">
        <f>IFERROR(__xludf.DUMMYFUNCTION("""COMPUTED_VALUE"""),"Chính thức")</f>
        <v>Chính thức</v>
      </c>
      <c r="W197" s="7" t="str">
        <f>IFERROR(__xludf.DUMMYFUNCTION("""COMPUTED_VALUE"""),"15 năm 11 tháng")</f>
        <v>15 năm 11 tháng</v>
      </c>
      <c r="X197" s="7"/>
      <c r="Y197" s="7"/>
      <c r="Z197" s="7"/>
    </row>
    <row r="198">
      <c r="A198" s="7">
        <f>IFERROR(__xludf.DUMMYFUNCTION("""COMPUTED_VALUE"""),1.0)</f>
        <v>1</v>
      </c>
      <c r="B198" s="7" t="str">
        <f>IFERROR(__xludf.DUMMYFUNCTION("""COMPUTED_VALUE"""),"Văn phòng")</f>
        <v>Văn phòng</v>
      </c>
      <c r="C198" s="7" t="str">
        <f>IFERROR(__xludf.DUMMYFUNCTION("""COMPUTED_VALUE"""),"Phòng Kế toán")</f>
        <v>Phòng Kế toán</v>
      </c>
      <c r="D198" s="7" t="str">
        <f>IFERROR(__xludf.DUMMYFUNCTION("""COMPUTED_VALUE"""),"Bộ phận kho vật tư, nguyên nhiên liệu và thành phẩm")</f>
        <v>Bộ phận kho vật tư, nguyên nhiên liệu và thành phẩm</v>
      </c>
      <c r="E198" s="7" t="str">
        <f>IFERROR(__xludf.DUMMYFUNCTION("""COMPUTED_VALUE"""),"Trưởng bộ phận kho")</f>
        <v>Trưởng bộ phận kho</v>
      </c>
      <c r="F198" s="7" t="str">
        <f>IFERROR(__xludf.DUMMYFUNCTION("""COMPUTED_VALUE"""),"NV0099")</f>
        <v>NV0099</v>
      </c>
      <c r="G198" s="7">
        <f>IFERROR(__xludf.DUMMYFUNCTION("""COMPUTED_VALUE"""),833.0)</f>
        <v>833</v>
      </c>
      <c r="H198" s="7" t="str">
        <f>IFERROR(__xludf.DUMMYFUNCTION("""COMPUTED_VALUE"""),"Mai Văn Luận")</f>
        <v>Mai Văn Luận</v>
      </c>
      <c r="I198" s="7" t="str">
        <f>IFERROR(__xludf.DUMMYFUNCTION("""COMPUTED_VALUE"""),"Nam")</f>
        <v>Nam</v>
      </c>
      <c r="J198" s="17">
        <f>IFERROR(__xludf.DUMMYFUNCTION("""COMPUTED_VALUE"""),29264.0)</f>
        <v>29264</v>
      </c>
      <c r="K198" s="7" t="str">
        <f>IFERROR(__xludf.DUMMYFUNCTION("""COMPUTED_VALUE"""),"25/18 Cao Điển - Phường Hạc Thành - Tỉnh Thanh Hóa")</f>
        <v>25/18 Cao Điển - Phường Hạc Thành - Tỉnh Thanh Hóa</v>
      </c>
      <c r="L198" s="7" t="str">
        <f>IFERROR(__xludf.DUMMYFUNCTION("""COMPUTED_VALUE"""),"0982037366")</f>
        <v>0982037366</v>
      </c>
      <c r="M198" s="7" t="str">
        <f>IFERROR(__xludf.DUMMYFUNCTION("""COMPUTED_VALUE"""),"038080023182")</f>
        <v>038080023182</v>
      </c>
      <c r="N198" s="18">
        <f>IFERROR(__xludf.DUMMYFUNCTION("""COMPUTED_VALUE"""),44464.0)</f>
        <v>44464</v>
      </c>
      <c r="O198" s="7" t="str">
        <f>IFERROR(__xludf.DUMMYFUNCTION("""COMPUTED_VALUE"""),"Cục Cảnh sát QLHC về TTXH")</f>
        <v>Cục Cảnh sát QLHC về TTXH</v>
      </c>
      <c r="P198" s="7" t="str">
        <f>IFERROR(__xludf.DUMMYFUNCTION("""COMPUTED_VALUE"""),"Kỹ sư")</f>
        <v>Kỹ sư</v>
      </c>
      <c r="Q198" s="7" t="str">
        <f>IFERROR(__xludf.DUMMYFUNCTION("""COMPUTED_VALUE"""),"KS - Xây dựng dân dụng CN")</f>
        <v>KS - Xây dựng dân dụng CN</v>
      </c>
      <c r="R198" s="17">
        <f>IFERROR(__xludf.DUMMYFUNCTION("""COMPUTED_VALUE"""),40101.0)</f>
        <v>40101</v>
      </c>
      <c r="S198" s="19">
        <f>IFERROR(__xludf.DUMMYFUNCTION("""COMPUTED_VALUE"""),40101.0)</f>
        <v>40101</v>
      </c>
      <c r="T198" s="7" t="str">
        <f>IFERROR(__xludf.DUMMYFUNCTION("""COMPUTED_VALUE"""),"Chính thức")</f>
        <v>Chính thức</v>
      </c>
      <c r="U198" s="7"/>
      <c r="V198" s="7" t="str">
        <f>IFERROR(__xludf.DUMMYFUNCTION("""COMPUTED_VALUE"""),"Chính thức")</f>
        <v>Chính thức</v>
      </c>
      <c r="W198" s="7" t="str">
        <f>IFERROR(__xludf.DUMMYFUNCTION("""COMPUTED_VALUE"""),"16 năm 2 tháng")</f>
        <v>16 năm 2 tháng</v>
      </c>
      <c r="X198" s="7"/>
      <c r="Y198" s="7"/>
      <c r="Z198" s="7"/>
    </row>
    <row r="199">
      <c r="A199" s="7">
        <f>IFERROR(__xludf.DUMMYFUNCTION("""COMPUTED_VALUE"""),2.0)</f>
        <v>2</v>
      </c>
      <c r="B199" s="7" t="str">
        <f>IFERROR(__xludf.DUMMYFUNCTION("""COMPUTED_VALUE"""),"Văn phòng")</f>
        <v>Văn phòng</v>
      </c>
      <c r="C199" s="7" t="str">
        <f>IFERROR(__xludf.DUMMYFUNCTION("""COMPUTED_VALUE"""),"Phòng Kế toán")</f>
        <v>Phòng Kế toán</v>
      </c>
      <c r="D199" s="7" t="str">
        <f>IFERROR(__xludf.DUMMYFUNCTION("""COMPUTED_VALUE"""),"Bộ phận kho vật tư, nguyên nhiên liệu và thành phẩm")</f>
        <v>Bộ phận kho vật tư, nguyên nhiên liệu và thành phẩm</v>
      </c>
      <c r="E199" s="7" t="str">
        <f>IFERROR(__xludf.DUMMYFUNCTION("""COMPUTED_VALUE"""),"Thủ kho thành phẩm phụ trách kho Cổng 3 - PXSX1")</f>
        <v>Thủ kho thành phẩm phụ trách kho Cổng 3 - PXSX1</v>
      </c>
      <c r="F199" s="7" t="str">
        <f>IFERROR(__xludf.DUMMYFUNCTION("""COMPUTED_VALUE"""),"NV0086")</f>
        <v>NV0086</v>
      </c>
      <c r="G199" s="7">
        <f>IFERROR(__xludf.DUMMYFUNCTION("""COMPUTED_VALUE"""),3.0)</f>
        <v>3</v>
      </c>
      <c r="H199" s="7" t="str">
        <f>IFERROR(__xludf.DUMMYFUNCTION("""COMPUTED_VALUE"""),"Trần Văn Kỳ")</f>
        <v>Trần Văn Kỳ</v>
      </c>
      <c r="I199" s="7" t="str">
        <f>IFERROR(__xludf.DUMMYFUNCTION("""COMPUTED_VALUE"""),"Nam")</f>
        <v>Nam</v>
      </c>
      <c r="J199" s="17">
        <f>IFERROR(__xludf.DUMMYFUNCTION("""COMPUTED_VALUE"""),29849.0)</f>
        <v>29849</v>
      </c>
      <c r="K199" s="7" t="str">
        <f>IFERROR(__xludf.DUMMYFUNCTION("""COMPUTED_VALUE"""),"Số nhà 14 - Trần Mai Ninh - Phường Nam Sầm Sơn - Tỉnh Thanh Hóa")</f>
        <v>Số nhà 14 - Trần Mai Ninh - Phường Nam Sầm Sơn - Tỉnh Thanh Hóa</v>
      </c>
      <c r="L199" s="7" t="str">
        <f>IFERROR(__xludf.DUMMYFUNCTION("""COMPUTED_VALUE"""),"0898623988")</f>
        <v>0898623988</v>
      </c>
      <c r="M199" s="7" t="str">
        <f>IFERROR(__xludf.DUMMYFUNCTION("""COMPUTED_VALUE"""),"038081011738")</f>
        <v>038081011738</v>
      </c>
      <c r="N199" s="18">
        <f>IFERROR(__xludf.DUMMYFUNCTION("""COMPUTED_VALUE"""),44546.0)</f>
        <v>44546</v>
      </c>
      <c r="O199" s="7" t="str">
        <f>IFERROR(__xludf.DUMMYFUNCTION("""COMPUTED_VALUE"""),"Cục Cảnh sát QLHC về TTXH")</f>
        <v>Cục Cảnh sát QLHC về TTXH</v>
      </c>
      <c r="P199" s="7" t="str">
        <f>IFERROR(__xludf.DUMMYFUNCTION("""COMPUTED_VALUE"""),"Thạc sĩ")</f>
        <v>Thạc sĩ</v>
      </c>
      <c r="Q199" s="7" t="str">
        <f>IFERROR(__xludf.DUMMYFUNCTION("""COMPUTED_VALUE"""),"Sinh học")</f>
        <v>Sinh học</v>
      </c>
      <c r="R199" s="17">
        <f>IFERROR(__xludf.DUMMYFUNCTION("""COMPUTED_VALUE"""),42415.0)</f>
        <v>42415</v>
      </c>
      <c r="S199" s="19">
        <f>IFERROR(__xludf.DUMMYFUNCTION("""COMPUTED_VALUE"""),42415.0)</f>
        <v>42415</v>
      </c>
      <c r="T199" s="7" t="str">
        <f>IFERROR(__xludf.DUMMYFUNCTION("""COMPUTED_VALUE"""),"Chính thức")</f>
        <v>Chính thức</v>
      </c>
      <c r="U199" s="7"/>
      <c r="V199" s="7" t="str">
        <f>IFERROR(__xludf.DUMMYFUNCTION("""COMPUTED_VALUE"""),"Chính thức")</f>
        <v>Chính thức</v>
      </c>
      <c r="W199" s="7" t="str">
        <f>IFERROR(__xludf.DUMMYFUNCTION("""COMPUTED_VALUE"""),"9 năm 10 tháng")</f>
        <v>9 năm 10 tháng</v>
      </c>
      <c r="X199" s="7"/>
      <c r="Y199" s="7"/>
      <c r="Z199" s="7"/>
    </row>
    <row r="200">
      <c r="A200" s="7">
        <f>IFERROR(__xludf.DUMMYFUNCTION("""COMPUTED_VALUE"""),3.0)</f>
        <v>3</v>
      </c>
      <c r="B200" s="7" t="str">
        <f>IFERROR(__xludf.DUMMYFUNCTION("""COMPUTED_VALUE"""),"Văn phòng")</f>
        <v>Văn phòng</v>
      </c>
      <c r="C200" s="7" t="str">
        <f>IFERROR(__xludf.DUMMYFUNCTION("""COMPUTED_VALUE"""),"Phòng Kế toán")</f>
        <v>Phòng Kế toán</v>
      </c>
      <c r="D200" s="7" t="str">
        <f>IFERROR(__xludf.DUMMYFUNCTION("""COMPUTED_VALUE"""),"Bộ phận kho vật tư, nguyên nhiên liệu và thành phẩm")</f>
        <v>Bộ phận kho vật tư, nguyên nhiên liệu và thành phẩm</v>
      </c>
      <c r="E200" s="7" t="str">
        <f>IFERROR(__xludf.DUMMYFUNCTION("""COMPUTED_VALUE"""),"Thủ kho thành phẩm")</f>
        <v>Thủ kho thành phẩm</v>
      </c>
      <c r="F200" s="7" t="str">
        <f>IFERROR(__xludf.DUMMYFUNCTION("""COMPUTED_VALUE"""),"NV3534")</f>
        <v>NV3534</v>
      </c>
      <c r="G200" s="7">
        <f>IFERROR(__xludf.DUMMYFUNCTION("""COMPUTED_VALUE"""),80.0)</f>
        <v>80</v>
      </c>
      <c r="H200" s="7" t="str">
        <f>IFERROR(__xludf.DUMMYFUNCTION("""COMPUTED_VALUE"""),"Nguyễn Thị Hồng Nhung")</f>
        <v>Nguyễn Thị Hồng Nhung</v>
      </c>
      <c r="I200" s="7" t="str">
        <f>IFERROR(__xludf.DUMMYFUNCTION("""COMPUTED_VALUE"""),"Nữ")</f>
        <v>Nữ</v>
      </c>
      <c r="J200" s="17">
        <f>IFERROR(__xludf.DUMMYFUNCTION("""COMPUTED_VALUE"""),30809.0)</f>
        <v>30809</v>
      </c>
      <c r="K200" s="7" t="str">
        <f>IFERROR(__xludf.DUMMYFUNCTION("""COMPUTED_VALUE"""),"08 Nguyễn Quỳnh, Phường Điện Biên, Thành phố Thanh Hóa")</f>
        <v>08 Nguyễn Quỳnh, Phường Điện Biên, Thành phố Thanh Hóa</v>
      </c>
      <c r="L200" s="7" t="str">
        <f>IFERROR(__xludf.DUMMYFUNCTION("""COMPUTED_VALUE"""),"0906977989")</f>
        <v>0906977989</v>
      </c>
      <c r="M200" s="7" t="str">
        <f>IFERROR(__xludf.DUMMYFUNCTION("""COMPUTED_VALUE"""),"038184025803")</f>
        <v>038184025803</v>
      </c>
      <c r="N200" s="18">
        <f>IFERROR(__xludf.DUMMYFUNCTION("""COMPUTED_VALUE"""),44313.0)</f>
        <v>44313</v>
      </c>
      <c r="O200" s="7" t="str">
        <f>IFERROR(__xludf.DUMMYFUNCTION("""COMPUTED_VALUE"""),"Cục Cảnh sát QLHC về TTXH")</f>
        <v>Cục Cảnh sát QLHC về TTXH</v>
      </c>
      <c r="P200" s="7" t="str">
        <f>IFERROR(__xludf.DUMMYFUNCTION("""COMPUTED_VALUE"""),"Cử nhân")</f>
        <v>Cử nhân</v>
      </c>
      <c r="Q200" s="7" t="str">
        <f>IFERROR(__xludf.DUMMYFUNCTION("""COMPUTED_VALUE"""),"Công nghệ máy tính")</f>
        <v>Công nghệ máy tính</v>
      </c>
      <c r="R200" s="17">
        <f>IFERROR(__xludf.DUMMYFUNCTION("""COMPUTED_VALUE"""),44273.0)</f>
        <v>44273</v>
      </c>
      <c r="S200" s="19">
        <f>IFERROR(__xludf.DUMMYFUNCTION("""COMPUTED_VALUE"""),44273.0)</f>
        <v>44273</v>
      </c>
      <c r="T200" s="7" t="str">
        <f>IFERROR(__xludf.DUMMYFUNCTION("""COMPUTED_VALUE"""),"Chính thức")</f>
        <v>Chính thức</v>
      </c>
      <c r="U200" s="7"/>
      <c r="V200" s="7" t="str">
        <f>IFERROR(__xludf.DUMMYFUNCTION("""COMPUTED_VALUE"""),"Chính thức")</f>
        <v>Chính thức</v>
      </c>
      <c r="W200" s="7" t="str">
        <f>IFERROR(__xludf.DUMMYFUNCTION("""COMPUTED_VALUE"""),"4 năm 9 tháng")</f>
        <v>4 năm 9 tháng</v>
      </c>
      <c r="X200" s="7"/>
      <c r="Y200" s="7"/>
      <c r="Z200" s="7"/>
    </row>
    <row r="201">
      <c r="A201" s="7">
        <f>IFERROR(__xludf.DUMMYFUNCTION("""COMPUTED_VALUE"""),4.0)</f>
        <v>4</v>
      </c>
      <c r="B201" s="7" t="str">
        <f>IFERROR(__xludf.DUMMYFUNCTION("""COMPUTED_VALUE"""),"Văn phòng")</f>
        <v>Văn phòng</v>
      </c>
      <c r="C201" s="7" t="str">
        <f>IFERROR(__xludf.DUMMYFUNCTION("""COMPUTED_VALUE"""),"Phòng Kế toán")</f>
        <v>Phòng Kế toán</v>
      </c>
      <c r="D201" s="7" t="str">
        <f>IFERROR(__xludf.DUMMYFUNCTION("""COMPUTED_VALUE"""),"Bộ phận kho vật tư, nguyên nhiên liệu và thành phẩm")</f>
        <v>Bộ phận kho vật tư, nguyên nhiên liệu và thành phẩm</v>
      </c>
      <c r="E201" s="7" t="str">
        <f>IFERROR(__xludf.DUMMYFUNCTION("""COMPUTED_VALUE"""),"Thủ kho thành phẩm phụ trách kho Cổng 1 - PXSX2")</f>
        <v>Thủ kho thành phẩm phụ trách kho Cổng 1 - PXSX2</v>
      </c>
      <c r="F201" s="7" t="str">
        <f>IFERROR(__xludf.DUMMYFUNCTION("""COMPUTED_VALUE"""),"NV0043")</f>
        <v>NV0043</v>
      </c>
      <c r="G201" s="7">
        <f>IFERROR(__xludf.DUMMYFUNCTION("""COMPUTED_VALUE"""),755.0)</f>
        <v>755</v>
      </c>
      <c r="H201" s="7" t="str">
        <f>IFERROR(__xludf.DUMMYFUNCTION("""COMPUTED_VALUE"""),"Trịnh Văn Dũng")</f>
        <v>Trịnh Văn Dũng</v>
      </c>
      <c r="I201" s="7" t="str">
        <f>IFERROR(__xludf.DUMMYFUNCTION("""COMPUTED_VALUE"""),"Nam")</f>
        <v>Nam</v>
      </c>
      <c r="J201" s="17">
        <f>IFERROR(__xludf.DUMMYFUNCTION("""COMPUTED_VALUE"""),30722.0)</f>
        <v>30722</v>
      </c>
      <c r="K201" s="7" t="str">
        <f>IFERROR(__xludf.DUMMYFUNCTION("""COMPUTED_VALUE"""),"Phố 5, Phường Quảng Hưng, Thành phố Thanh Hóa, Tỉnh Thanh Hóa,")</f>
        <v>Phố 5, Phường Quảng Hưng, Thành phố Thanh Hóa, Tỉnh Thanh Hóa,</v>
      </c>
      <c r="L201" s="7" t="str">
        <f>IFERROR(__xludf.DUMMYFUNCTION("""COMPUTED_VALUE"""),"0974821567")</f>
        <v>0974821567</v>
      </c>
      <c r="M201" s="7" t="str">
        <f>IFERROR(__xludf.DUMMYFUNCTION("""COMPUTED_VALUE"""),"038084053129")</f>
        <v>038084053129</v>
      </c>
      <c r="N201" s="18">
        <f>IFERROR(__xludf.DUMMYFUNCTION("""COMPUTED_VALUE"""),44455.0)</f>
        <v>44455</v>
      </c>
      <c r="O201" s="7" t="str">
        <f>IFERROR(__xludf.DUMMYFUNCTION("""COMPUTED_VALUE"""),"Cục Cảnh sát QLHC về TTXH")</f>
        <v>Cục Cảnh sát QLHC về TTXH</v>
      </c>
      <c r="P201" s="7" t="str">
        <f>IFERROR(__xludf.DUMMYFUNCTION("""COMPUTED_VALUE"""),"Cao đẳng")</f>
        <v>Cao đẳng</v>
      </c>
      <c r="Q201" s="7" t="str">
        <f>IFERROR(__xludf.DUMMYFUNCTION("""COMPUTED_VALUE"""),"Xây dựng")</f>
        <v>Xây dựng</v>
      </c>
      <c r="R201" s="17">
        <f>IFERROR(__xludf.DUMMYFUNCTION("""COMPUTED_VALUE"""),37833.0)</f>
        <v>37833</v>
      </c>
      <c r="S201" s="19">
        <f>IFERROR(__xludf.DUMMYFUNCTION("""COMPUTED_VALUE"""),37833.0)</f>
        <v>37833</v>
      </c>
      <c r="T201" s="7" t="str">
        <f>IFERROR(__xludf.DUMMYFUNCTION("""COMPUTED_VALUE"""),"Chính thức")</f>
        <v>Chính thức</v>
      </c>
      <c r="U201" s="7"/>
      <c r="V201" s="7" t="str">
        <f>IFERROR(__xludf.DUMMYFUNCTION("""COMPUTED_VALUE"""),"Chính thức")</f>
        <v>Chính thức</v>
      </c>
      <c r="W201" s="7" t="str">
        <f>IFERROR(__xludf.DUMMYFUNCTION("""COMPUTED_VALUE"""),"22 năm 5 tháng")</f>
        <v>22 năm 5 tháng</v>
      </c>
      <c r="X201" s="7"/>
      <c r="Y201" s="7"/>
      <c r="Z201" s="7"/>
    </row>
    <row r="202">
      <c r="A202" s="7">
        <f>IFERROR(__xludf.DUMMYFUNCTION("""COMPUTED_VALUE"""),5.0)</f>
        <v>5</v>
      </c>
      <c r="B202" s="7" t="str">
        <f>IFERROR(__xludf.DUMMYFUNCTION("""COMPUTED_VALUE"""),"Văn phòng")</f>
        <v>Văn phòng</v>
      </c>
      <c r="C202" s="7" t="str">
        <f>IFERROR(__xludf.DUMMYFUNCTION("""COMPUTED_VALUE"""),"Phòng Kế toán")</f>
        <v>Phòng Kế toán</v>
      </c>
      <c r="D202" s="7" t="str">
        <f>IFERROR(__xludf.DUMMYFUNCTION("""COMPUTED_VALUE"""),"Bộ phận kho vật tư, nguyên nhiên liệu và thành phẩm")</f>
        <v>Bộ phận kho vật tư, nguyên nhiên liệu và thành phẩm</v>
      </c>
      <c r="E202" s="7" t="str">
        <f>IFERROR(__xludf.DUMMYFUNCTION("""COMPUTED_VALUE"""),"Thủ kho thành phẩm phụ trách kho Cổng 2 - PXSX2")</f>
        <v>Thủ kho thành phẩm phụ trách kho Cổng 2 - PXSX2</v>
      </c>
      <c r="F202" s="7" t="str">
        <f>IFERROR(__xludf.DUMMYFUNCTION("""COMPUTED_VALUE"""),"NV0417")</f>
        <v>NV0417</v>
      </c>
      <c r="G202" s="7">
        <f>IFERROR(__xludf.DUMMYFUNCTION("""COMPUTED_VALUE"""),87.0)</f>
        <v>87</v>
      </c>
      <c r="H202" s="7" t="str">
        <f>IFERROR(__xludf.DUMMYFUNCTION("""COMPUTED_VALUE"""),"Trịnh Văn Hòa")</f>
        <v>Trịnh Văn Hòa</v>
      </c>
      <c r="I202" s="7" t="str">
        <f>IFERROR(__xludf.DUMMYFUNCTION("""COMPUTED_VALUE"""),"Nam")</f>
        <v>Nam</v>
      </c>
      <c r="J202" s="17">
        <f>IFERROR(__xludf.DUMMYFUNCTION("""COMPUTED_VALUE"""),33333.0)</f>
        <v>33333</v>
      </c>
      <c r="K202" s="7" t="str">
        <f>IFERROR(__xludf.DUMMYFUNCTION("""COMPUTED_VALUE"""),"Xã Hoằng Trạch - Hoằng Hóa - Thanh Hóa")</f>
        <v>Xã Hoằng Trạch - Hoằng Hóa - Thanh Hóa</v>
      </c>
      <c r="L202" s="7" t="str">
        <f>IFERROR(__xludf.DUMMYFUNCTION("""COMPUTED_VALUE"""),"0963779829")</f>
        <v>0963779829</v>
      </c>
      <c r="M202" s="7" t="str">
        <f>IFERROR(__xludf.DUMMYFUNCTION("""COMPUTED_VALUE"""),"038091050153")</f>
        <v>038091050153</v>
      </c>
      <c r="N202" s="18">
        <f>IFERROR(__xludf.DUMMYFUNCTION("""COMPUTED_VALUE"""),44742.0)</f>
        <v>44742</v>
      </c>
      <c r="O202" s="7" t="str">
        <f>IFERROR(__xludf.DUMMYFUNCTION("""COMPUTED_VALUE"""),"Cục Cảnh sát QLHC về TTXH")</f>
        <v>Cục Cảnh sát QLHC về TTXH</v>
      </c>
      <c r="P202" s="7" t="str">
        <f>IFERROR(__xludf.DUMMYFUNCTION("""COMPUTED_VALUE"""),"Cao đẳng")</f>
        <v>Cao đẳng</v>
      </c>
      <c r="Q202" s="7" t="str">
        <f>IFERROR(__xludf.DUMMYFUNCTION("""COMPUTED_VALUE"""),"Quản lý xây dựng")</f>
        <v>Quản lý xây dựng</v>
      </c>
      <c r="R202" s="17">
        <f>IFERROR(__xludf.DUMMYFUNCTION("""COMPUTED_VALUE"""),41976.0)</f>
        <v>41976</v>
      </c>
      <c r="S202" s="19">
        <f>IFERROR(__xludf.DUMMYFUNCTION("""COMPUTED_VALUE"""),41976.0)</f>
        <v>41976</v>
      </c>
      <c r="T202" s="7" t="str">
        <f>IFERROR(__xludf.DUMMYFUNCTION("""COMPUTED_VALUE"""),"Chính thức")</f>
        <v>Chính thức</v>
      </c>
      <c r="U202" s="7"/>
      <c r="V202" s="7" t="str">
        <f>IFERROR(__xludf.DUMMYFUNCTION("""COMPUTED_VALUE"""),"Chính thức")</f>
        <v>Chính thức</v>
      </c>
      <c r="W202" s="7" t="str">
        <f>IFERROR(__xludf.DUMMYFUNCTION("""COMPUTED_VALUE"""),"11 năm 0 tháng")</f>
        <v>11 năm 0 tháng</v>
      </c>
      <c r="X202" s="7"/>
      <c r="Y202" s="7"/>
      <c r="Z202" s="7"/>
    </row>
    <row r="203">
      <c r="A203" s="7">
        <f>IFERROR(__xludf.DUMMYFUNCTION("""COMPUTED_VALUE"""),6.0)</f>
        <v>6</v>
      </c>
      <c r="B203" s="7" t="str">
        <f>IFERROR(__xludf.DUMMYFUNCTION("""COMPUTED_VALUE"""),"Văn phòng")</f>
        <v>Văn phòng</v>
      </c>
      <c r="C203" s="7" t="str">
        <f>IFERROR(__xludf.DUMMYFUNCTION("""COMPUTED_VALUE"""),"Phòng Kế toán")</f>
        <v>Phòng Kế toán</v>
      </c>
      <c r="D203" s="7" t="str">
        <f>IFERROR(__xludf.DUMMYFUNCTION("""COMPUTED_VALUE"""),"Bộ phận kho vật tư, nguyên nhiên liệu và thành phẩm")</f>
        <v>Bộ phận kho vật tư, nguyên nhiên liệu và thành phẩm</v>
      </c>
      <c r="E203" s="7" t="str">
        <f>IFERROR(__xludf.DUMMYFUNCTION("""COMPUTED_VALUE"""),"Thủ kho thành phẩm phụ trách kho Quảng Hưng - PXSX2")</f>
        <v>Thủ kho thành phẩm phụ trách kho Quảng Hưng - PXSX2</v>
      </c>
      <c r="F203" s="7" t="str">
        <f>IFERROR(__xludf.DUMMYFUNCTION("""COMPUTED_VALUE"""),"NV0007")</f>
        <v>NV0007</v>
      </c>
      <c r="G203" s="7">
        <f>IFERROR(__xludf.DUMMYFUNCTION("""COMPUTED_VALUE"""),75.0)</f>
        <v>75</v>
      </c>
      <c r="H203" s="7" t="str">
        <f>IFERROR(__xludf.DUMMYFUNCTION("""COMPUTED_VALUE"""),"Đỗ Thị Phương")</f>
        <v>Đỗ Thị Phương</v>
      </c>
      <c r="I203" s="7" t="str">
        <f>IFERROR(__xludf.DUMMYFUNCTION("""COMPUTED_VALUE"""),"Nữ")</f>
        <v>Nữ</v>
      </c>
      <c r="J203" s="17">
        <f>IFERROR(__xludf.DUMMYFUNCTION("""COMPUTED_VALUE"""),26623.0)</f>
        <v>26623</v>
      </c>
      <c r="K203" s="7" t="str">
        <f>IFERROR(__xludf.DUMMYFUNCTION("""COMPUTED_VALUE"""),"Hoằng Trạch - Hoằng Hóa - Thanh Hóa")</f>
        <v>Hoằng Trạch - Hoằng Hóa - Thanh Hóa</v>
      </c>
      <c r="L203" s="7" t="str">
        <f>IFERROR(__xludf.DUMMYFUNCTION("""COMPUTED_VALUE"""),"0973954943")</f>
        <v>0973954943</v>
      </c>
      <c r="M203" s="7" t="str">
        <f>IFERROR(__xludf.DUMMYFUNCTION("""COMPUTED_VALUE"""),"038172001972")</f>
        <v>038172001972</v>
      </c>
      <c r="N203" s="18">
        <f>IFERROR(__xludf.DUMMYFUNCTION("""COMPUTED_VALUE"""),42986.0)</f>
        <v>42986</v>
      </c>
      <c r="O203" s="7" t="str">
        <f>IFERROR(__xludf.DUMMYFUNCTION("""COMPUTED_VALUE"""),"Cục Cảnh sát QLHC về TTXH")</f>
        <v>Cục Cảnh sát QLHC về TTXH</v>
      </c>
      <c r="P203" s="7" t="str">
        <f>IFERROR(__xludf.DUMMYFUNCTION("""COMPUTED_VALUE"""),"LĐPT")</f>
        <v>LĐPT</v>
      </c>
      <c r="Q203" s="7" t="str">
        <f>IFERROR(__xludf.DUMMYFUNCTION("""COMPUTED_VALUE"""),"Lao động phổ thông")</f>
        <v>Lao động phổ thông</v>
      </c>
      <c r="R203" s="17">
        <f>IFERROR(__xludf.DUMMYFUNCTION("""COMPUTED_VALUE"""),37347.0)</f>
        <v>37347</v>
      </c>
      <c r="S203" s="19">
        <f>IFERROR(__xludf.DUMMYFUNCTION("""COMPUTED_VALUE"""),41913.0)</f>
        <v>41913</v>
      </c>
      <c r="T203" s="7" t="str">
        <f>IFERROR(__xludf.DUMMYFUNCTION("""COMPUTED_VALUE"""),"Chính thức")</f>
        <v>Chính thức</v>
      </c>
      <c r="U203" s="7"/>
      <c r="V203" s="7" t="str">
        <f>IFERROR(__xludf.DUMMYFUNCTION("""COMPUTED_VALUE"""),"Chính thức")</f>
        <v>Chính thức</v>
      </c>
      <c r="W203" s="7" t="str">
        <f>IFERROR(__xludf.DUMMYFUNCTION("""COMPUTED_VALUE"""),"23 năm 8 tháng")</f>
        <v>23 năm 8 tháng</v>
      </c>
      <c r="X203" s="7"/>
      <c r="Y203" s="7"/>
      <c r="Z203" s="7"/>
    </row>
    <row r="204">
      <c r="A204" s="7">
        <f>IFERROR(__xludf.DUMMYFUNCTION("""COMPUTED_VALUE"""),7.0)</f>
        <v>7</v>
      </c>
      <c r="B204" s="7" t="str">
        <f>IFERROR(__xludf.DUMMYFUNCTION("""COMPUTED_VALUE"""),"Văn phòng")</f>
        <v>Văn phòng</v>
      </c>
      <c r="C204" s="7" t="str">
        <f>IFERROR(__xludf.DUMMYFUNCTION("""COMPUTED_VALUE"""),"Phòng Kế toán")</f>
        <v>Phòng Kế toán</v>
      </c>
      <c r="D204" s="7" t="str">
        <f>IFERROR(__xludf.DUMMYFUNCTION("""COMPUTED_VALUE"""),"Bộ phận kho vật tư, nguyên nhiên liệu và thành phẩm")</f>
        <v>Bộ phận kho vật tư, nguyên nhiên liệu và thành phẩm</v>
      </c>
      <c r="E204" s="7" t="str">
        <f>IFERROR(__xludf.DUMMYFUNCTION("""COMPUTED_VALUE"""),"Thủ kho thành phẩm kho cảng mới")</f>
        <v>Thủ kho thành phẩm kho cảng mới</v>
      </c>
      <c r="F204" s="7" t="str">
        <f>IFERROR(__xludf.DUMMYFUNCTION("""COMPUTED_VALUE"""),"NV0047")</f>
        <v>NV0047</v>
      </c>
      <c r="G204" s="7">
        <f>IFERROR(__xludf.DUMMYFUNCTION("""COMPUTED_VALUE"""),47.0)</f>
        <v>47</v>
      </c>
      <c r="H204" s="7" t="str">
        <f>IFERROR(__xludf.DUMMYFUNCTION("""COMPUTED_VALUE"""),"Bùi Đức Tâm")</f>
        <v>Bùi Đức Tâm</v>
      </c>
      <c r="I204" s="7" t="str">
        <f>IFERROR(__xludf.DUMMYFUNCTION("""COMPUTED_VALUE"""),"Nam")</f>
        <v>Nam</v>
      </c>
      <c r="J204" s="17">
        <f>IFERROR(__xludf.DUMMYFUNCTION("""COMPUTED_VALUE"""),33527.0)</f>
        <v>33527</v>
      </c>
      <c r="K204" s="7" t="str">
        <f>IFERROR(__xludf.DUMMYFUNCTION("""COMPUTED_VALUE"""),"Đường Trần Xuân Soạn, Phường Đông Thọ, Thành phố Thanh Hóa,")</f>
        <v>Đường Trần Xuân Soạn, Phường Đông Thọ, Thành phố Thanh Hóa,</v>
      </c>
      <c r="L204" s="7" t="str">
        <f>IFERROR(__xludf.DUMMYFUNCTION("""COMPUTED_VALUE"""),"0968474024")</f>
        <v>0968474024</v>
      </c>
      <c r="M204" s="7" t="str">
        <f>IFERROR(__xludf.DUMMYFUNCTION("""COMPUTED_VALUE"""),"038091035420")</f>
        <v>038091035420</v>
      </c>
      <c r="N204" s="18">
        <f>IFERROR(__xludf.DUMMYFUNCTION("""COMPUTED_VALUE"""),44419.0)</f>
        <v>44419</v>
      </c>
      <c r="O204" s="7" t="str">
        <f>IFERROR(__xludf.DUMMYFUNCTION("""COMPUTED_VALUE"""),"Cục Cảnh sát QLHC về TTXH")</f>
        <v>Cục Cảnh sát QLHC về TTXH</v>
      </c>
      <c r="P204" s="7" t="str">
        <f>IFERROR(__xludf.DUMMYFUNCTION("""COMPUTED_VALUE"""),"Trung cấp")</f>
        <v>Trung cấp</v>
      </c>
      <c r="Q204" s="7" t="str">
        <f>IFERROR(__xludf.DUMMYFUNCTION("""COMPUTED_VALUE"""),"Điện")</f>
        <v>Điện</v>
      </c>
      <c r="R204" s="17">
        <f>IFERROR(__xludf.DUMMYFUNCTION("""COMPUTED_VALUE"""),41913.0)</f>
        <v>41913</v>
      </c>
      <c r="S204" s="19">
        <f>IFERROR(__xludf.DUMMYFUNCTION("""COMPUTED_VALUE"""),39146.0)</f>
        <v>39146</v>
      </c>
      <c r="T204" s="7" t="str">
        <f>IFERROR(__xludf.DUMMYFUNCTION("""COMPUTED_VALUE"""),"Chính thức")</f>
        <v>Chính thức</v>
      </c>
      <c r="U204" s="7"/>
      <c r="V204" s="7" t="str">
        <f>IFERROR(__xludf.DUMMYFUNCTION("""COMPUTED_VALUE"""),"Chính thức")</f>
        <v>Chính thức</v>
      </c>
      <c r="W204" s="7" t="str">
        <f>IFERROR(__xludf.DUMMYFUNCTION("""COMPUTED_VALUE"""),"11 năm 2 tháng")</f>
        <v>11 năm 2 tháng</v>
      </c>
      <c r="X204" s="7"/>
      <c r="Y204" s="7"/>
      <c r="Z204" s="7"/>
    </row>
    <row r="205">
      <c r="A205" s="7">
        <f>IFERROR(__xludf.DUMMYFUNCTION("""COMPUTED_VALUE"""),8.0)</f>
        <v>8</v>
      </c>
      <c r="B205" s="7" t="str">
        <f>IFERROR(__xludf.DUMMYFUNCTION("""COMPUTED_VALUE"""),"Văn phòng")</f>
        <v>Văn phòng</v>
      </c>
      <c r="C205" s="7" t="str">
        <f>IFERROR(__xludf.DUMMYFUNCTION("""COMPUTED_VALUE"""),"Phòng Kế toán")</f>
        <v>Phòng Kế toán</v>
      </c>
      <c r="D205" s="7" t="str">
        <f>IFERROR(__xludf.DUMMYFUNCTION("""COMPUTED_VALUE"""),"Bộ phận kho vật tư, nguyên nhiên liệu và thành phẩm")</f>
        <v>Bộ phận kho vật tư, nguyên nhiên liệu và thành phẩm</v>
      </c>
      <c r="E205" s="7" t="str">
        <f>IFERROR(__xludf.DUMMYFUNCTION("""COMPUTED_VALUE"""),"Thủ kho vật tư PXSX2")</f>
        <v>Thủ kho vật tư PXSX2</v>
      </c>
      <c r="F205" s="7" t="str">
        <f>IFERROR(__xludf.DUMMYFUNCTION("""COMPUTED_VALUE"""),"NV0139")</f>
        <v>NV0139</v>
      </c>
      <c r="G205" s="7">
        <f>IFERROR(__xludf.DUMMYFUNCTION("""COMPUTED_VALUE"""),103.0)</f>
        <v>103</v>
      </c>
      <c r="H205" s="7" t="str">
        <f>IFERROR(__xludf.DUMMYFUNCTION("""COMPUTED_VALUE"""),"Nguyễn Thị Loan")</f>
        <v>Nguyễn Thị Loan</v>
      </c>
      <c r="I205" s="7" t="str">
        <f>IFERROR(__xludf.DUMMYFUNCTION("""COMPUTED_VALUE"""),"Nữ")</f>
        <v>Nữ</v>
      </c>
      <c r="J205" s="17">
        <f>IFERROR(__xludf.DUMMYFUNCTION("""COMPUTED_VALUE"""),33362.0)</f>
        <v>33362</v>
      </c>
      <c r="K205" s="7" t="str">
        <f>IFERROR(__xludf.DUMMYFUNCTION("""COMPUTED_VALUE"""),"SN 18/16 Lý Nhân Tông - Đông Thọ - Thành Phố Thanh Hóa")</f>
        <v>SN 18/16 Lý Nhân Tông - Đông Thọ - Thành Phố Thanh Hóa</v>
      </c>
      <c r="L205" s="7" t="str">
        <f>IFERROR(__xludf.DUMMYFUNCTION("""COMPUTED_VALUE"""),"0963629840")</f>
        <v>0963629840</v>
      </c>
      <c r="M205" s="7" t="str">
        <f>IFERROR(__xludf.DUMMYFUNCTION("""COMPUTED_VALUE"""),"038191047590")</f>
        <v>038191047590</v>
      </c>
      <c r="N205" s="18">
        <f>IFERROR(__xludf.DUMMYFUNCTION("""COMPUTED_VALUE"""),44375.0)</f>
        <v>44375</v>
      </c>
      <c r="O205" s="7" t="str">
        <f>IFERROR(__xludf.DUMMYFUNCTION("""COMPUTED_VALUE"""),"Cục Cảnh sát QLHC về TTXH")</f>
        <v>Cục Cảnh sát QLHC về TTXH</v>
      </c>
      <c r="P205" s="7" t="str">
        <f>IFERROR(__xludf.DUMMYFUNCTION("""COMPUTED_VALUE"""),"Trung cấp")</f>
        <v>Trung cấp</v>
      </c>
      <c r="Q205" s="7" t="str">
        <f>IFERROR(__xludf.DUMMYFUNCTION("""COMPUTED_VALUE"""),"Kế toán")</f>
        <v>Kế toán</v>
      </c>
      <c r="R205" s="17">
        <f>IFERROR(__xludf.DUMMYFUNCTION("""COMPUTED_VALUE"""),41143.0)</f>
        <v>41143</v>
      </c>
      <c r="S205" s="19">
        <f>IFERROR(__xludf.DUMMYFUNCTION("""COMPUTED_VALUE"""),41143.0)</f>
        <v>41143</v>
      </c>
      <c r="T205" s="7" t="str">
        <f>IFERROR(__xludf.DUMMYFUNCTION("""COMPUTED_VALUE"""),"Chính thức")</f>
        <v>Chính thức</v>
      </c>
      <c r="U205" s="7"/>
      <c r="V205" s="7" t="str">
        <f>IFERROR(__xludf.DUMMYFUNCTION("""COMPUTED_VALUE"""),"Chính thức")</f>
        <v>Chính thức</v>
      </c>
      <c r="W205" s="7" t="str">
        <f>IFERROR(__xludf.DUMMYFUNCTION("""COMPUTED_VALUE"""),"13 năm 4 tháng")</f>
        <v>13 năm 4 tháng</v>
      </c>
      <c r="X205" s="7"/>
      <c r="Y205" s="7"/>
      <c r="Z205" s="7"/>
    </row>
    <row r="206">
      <c r="A206" s="7">
        <f>IFERROR(__xludf.DUMMYFUNCTION("""COMPUTED_VALUE"""),9.0)</f>
        <v>9</v>
      </c>
      <c r="B206" s="7" t="str">
        <f>IFERROR(__xludf.DUMMYFUNCTION("""COMPUTED_VALUE"""),"Văn phòng")</f>
        <v>Văn phòng</v>
      </c>
      <c r="C206" s="7" t="str">
        <f>IFERROR(__xludf.DUMMYFUNCTION("""COMPUTED_VALUE"""),"Phòng Kế toán")</f>
        <v>Phòng Kế toán</v>
      </c>
      <c r="D206" s="7" t="str">
        <f>IFERROR(__xludf.DUMMYFUNCTION("""COMPUTED_VALUE"""),"Bộ phận kho vật tư, nguyên nhiên liệu và thành phẩm")</f>
        <v>Bộ phận kho vật tư, nguyên nhiên liệu và thành phẩm</v>
      </c>
      <c r="E206" s="7" t="str">
        <f>IFERROR(__xludf.DUMMYFUNCTION("""COMPUTED_VALUE"""),"Thủ kho đội xe + Thống kê đội sửa chữa")</f>
        <v>Thủ kho đội xe + Thống kê đội sửa chữa</v>
      </c>
      <c r="F206" s="7" t="str">
        <f>IFERROR(__xludf.DUMMYFUNCTION("""COMPUTED_VALUE"""),"NV0021")</f>
        <v>NV0021</v>
      </c>
      <c r="G206" s="7">
        <f>IFERROR(__xludf.DUMMYFUNCTION("""COMPUTED_VALUE"""),725.0)</f>
        <v>725</v>
      </c>
      <c r="H206" s="7" t="str">
        <f>IFERROR(__xludf.DUMMYFUNCTION("""COMPUTED_VALUE"""),"Nguyễn Thị Hà")</f>
        <v>Nguyễn Thị Hà</v>
      </c>
      <c r="I206" s="7" t="str">
        <f>IFERROR(__xludf.DUMMYFUNCTION("""COMPUTED_VALUE"""),"Nữ")</f>
        <v>Nữ</v>
      </c>
      <c r="J206" s="17">
        <f>IFERROR(__xludf.DUMMYFUNCTION("""COMPUTED_VALUE"""),31904.0)</f>
        <v>31904</v>
      </c>
      <c r="K206" s="7" t="str">
        <f>IFERROR(__xludf.DUMMYFUNCTION("""COMPUTED_VALUE"""),"Thôn Tây Phúc, Xã Hoằng Quỳ, Huyện Hoằng Hóa, Thanh Hóa")</f>
        <v>Thôn Tây Phúc, Xã Hoằng Quỳ, Huyện Hoằng Hóa, Thanh Hóa</v>
      </c>
      <c r="L206" s="7" t="str">
        <f>IFERROR(__xludf.DUMMYFUNCTION("""COMPUTED_VALUE"""),"0943651338")</f>
        <v>0943651338</v>
      </c>
      <c r="M206" s="7" t="str">
        <f>IFERROR(__xludf.DUMMYFUNCTION("""COMPUTED_VALUE"""),"038187052067")</f>
        <v>038187052067</v>
      </c>
      <c r="N206" s="18">
        <f>IFERROR(__xludf.DUMMYFUNCTION("""COMPUTED_VALUE"""),44612.0)</f>
        <v>44612</v>
      </c>
      <c r="O206" s="7" t="str">
        <f>IFERROR(__xludf.DUMMYFUNCTION("""COMPUTED_VALUE"""),"Cục Cảnh sát QLHC về TTXH")</f>
        <v>Cục Cảnh sát QLHC về TTXH</v>
      </c>
      <c r="P206" s="7" t="str">
        <f>IFERROR(__xludf.DUMMYFUNCTION("""COMPUTED_VALUE"""),"Đại học")</f>
        <v>Đại học</v>
      </c>
      <c r="Q206" s="7" t="str">
        <f>IFERROR(__xludf.DUMMYFUNCTION("""COMPUTED_VALUE"""),"Kế toán")</f>
        <v>Kế toán</v>
      </c>
      <c r="R206" s="17">
        <f>IFERROR(__xludf.DUMMYFUNCTION("""COMPUTED_VALUE"""),39519.0)</f>
        <v>39519</v>
      </c>
      <c r="S206" s="19">
        <f>IFERROR(__xludf.DUMMYFUNCTION("""COMPUTED_VALUE"""),39519.0)</f>
        <v>39519</v>
      </c>
      <c r="T206" s="7" t="str">
        <f>IFERROR(__xludf.DUMMYFUNCTION("""COMPUTED_VALUE"""),"Chính thức")</f>
        <v>Chính thức</v>
      </c>
      <c r="U206" s="7"/>
      <c r="V206" s="7" t="str">
        <f>IFERROR(__xludf.DUMMYFUNCTION("""COMPUTED_VALUE"""),"Chính thức")</f>
        <v>Chính thức</v>
      </c>
      <c r="W206" s="7" t="str">
        <f>IFERROR(__xludf.DUMMYFUNCTION("""COMPUTED_VALUE"""),"17 năm 9 tháng")</f>
        <v>17 năm 9 tháng</v>
      </c>
      <c r="X206" s="7"/>
      <c r="Y206" s="7"/>
      <c r="Z206" s="7"/>
    </row>
    <row r="207">
      <c r="A207" s="7">
        <f>IFERROR(__xludf.DUMMYFUNCTION("""COMPUTED_VALUE"""),10.0)</f>
        <v>10</v>
      </c>
      <c r="B207" s="7" t="str">
        <f>IFERROR(__xludf.DUMMYFUNCTION("""COMPUTED_VALUE"""),"Văn phòng")</f>
        <v>Văn phòng</v>
      </c>
      <c r="C207" s="7" t="str">
        <f>IFERROR(__xludf.DUMMYFUNCTION("""COMPUTED_VALUE"""),"Phòng Kế toán")</f>
        <v>Phòng Kế toán</v>
      </c>
      <c r="D207" s="7" t="str">
        <f>IFERROR(__xludf.DUMMYFUNCTION("""COMPUTED_VALUE"""),"Bộ phận kho vật tư, nguyên nhiên liệu và thành phẩm")</f>
        <v>Bộ phận kho vật tư, nguyên nhiên liệu và thành phẩm</v>
      </c>
      <c r="E207" s="7" t="str">
        <f>IFERROR(__xludf.DUMMYFUNCTION("""COMPUTED_VALUE"""),"Thủ kho nguyên liệu")</f>
        <v>Thủ kho nguyên liệu</v>
      </c>
      <c r="F207" s="7" t="str">
        <f>IFERROR(__xludf.DUMMYFUNCTION("""COMPUTED_VALUE"""),"NV4119")</f>
        <v>NV4119</v>
      </c>
      <c r="G207" s="7">
        <f>IFERROR(__xludf.DUMMYFUNCTION("""COMPUTED_VALUE"""),104.0)</f>
        <v>104</v>
      </c>
      <c r="H207" s="7" t="str">
        <f>IFERROR(__xludf.DUMMYFUNCTION("""COMPUTED_VALUE"""),"Hoàng Ngọc Dương")</f>
        <v>Hoàng Ngọc Dương</v>
      </c>
      <c r="I207" s="7" t="str">
        <f>IFERROR(__xludf.DUMMYFUNCTION("""COMPUTED_VALUE"""),"Nam")</f>
        <v>Nam</v>
      </c>
      <c r="J207" s="17">
        <f>IFERROR(__xludf.DUMMYFUNCTION("""COMPUTED_VALUE"""),32319.0)</f>
        <v>32319</v>
      </c>
      <c r="K207" s="7" t="str">
        <f>IFERROR(__xludf.DUMMYFUNCTION("""COMPUTED_VALUE"""),"Xuân Lộc - Triệu Sơn - Thanh Hóa")</f>
        <v>Xuân Lộc - Triệu Sơn - Thanh Hóa</v>
      </c>
      <c r="L207" s="7" t="str">
        <f>IFERROR(__xludf.DUMMYFUNCTION("""COMPUTED_VALUE"""),"0988514413")</f>
        <v>0988514413</v>
      </c>
      <c r="M207" s="7" t="str">
        <f>IFERROR(__xludf.DUMMYFUNCTION("""COMPUTED_VALUE"""),"038088039347")</f>
        <v>038088039347</v>
      </c>
      <c r="N207" s="18">
        <f>IFERROR(__xludf.DUMMYFUNCTION("""COMPUTED_VALUE"""),44389.0)</f>
        <v>44389</v>
      </c>
      <c r="O207" s="7" t="str">
        <f>IFERROR(__xludf.DUMMYFUNCTION("""COMPUTED_VALUE"""),"Cục Cảnh sát QLHC về TTXH")</f>
        <v>Cục Cảnh sát QLHC về TTXH</v>
      </c>
      <c r="P207" s="7" t="str">
        <f>IFERROR(__xludf.DUMMYFUNCTION("""COMPUTED_VALUE"""),"Kỹ sư")</f>
        <v>Kỹ sư</v>
      </c>
      <c r="Q207" s="7" t="str">
        <f>IFERROR(__xludf.DUMMYFUNCTION("""COMPUTED_VALUE"""),"Công nghệ thông tin")</f>
        <v>Công nghệ thông tin</v>
      </c>
      <c r="R207" s="17">
        <f>IFERROR(__xludf.DUMMYFUNCTION("""COMPUTED_VALUE"""),44660.0)</f>
        <v>44660</v>
      </c>
      <c r="S207" s="19">
        <f>IFERROR(__xludf.DUMMYFUNCTION("""COMPUTED_VALUE"""),44660.0)</f>
        <v>44660</v>
      </c>
      <c r="T207" s="7" t="str">
        <f>IFERROR(__xludf.DUMMYFUNCTION("""COMPUTED_VALUE"""),"Chính thức")</f>
        <v>Chính thức</v>
      </c>
      <c r="U207" s="7"/>
      <c r="V207" s="7" t="str">
        <f>IFERROR(__xludf.DUMMYFUNCTION("""COMPUTED_VALUE"""),"Chính thức")</f>
        <v>Chính thức</v>
      </c>
      <c r="W207" s="7" t="str">
        <f>IFERROR(__xludf.DUMMYFUNCTION("""COMPUTED_VALUE"""),"3 năm 8 tháng")</f>
        <v>3 năm 8 tháng</v>
      </c>
      <c r="X207" s="7"/>
      <c r="Y207" s="7"/>
      <c r="Z207" s="7"/>
    </row>
    <row r="208">
      <c r="A208" s="7">
        <f>IFERROR(__xludf.DUMMYFUNCTION("""COMPUTED_VALUE"""),11.0)</f>
        <v>11</v>
      </c>
      <c r="B208" s="7" t="str">
        <f>IFERROR(__xludf.DUMMYFUNCTION("""COMPUTED_VALUE"""),"Văn phòng")</f>
        <v>Văn phòng</v>
      </c>
      <c r="C208" s="7" t="str">
        <f>IFERROR(__xludf.DUMMYFUNCTION("""COMPUTED_VALUE"""),"Phòng Kế toán")</f>
        <v>Phòng Kế toán</v>
      </c>
      <c r="D208" s="7" t="str">
        <f>IFERROR(__xludf.DUMMYFUNCTION("""COMPUTED_VALUE"""),"Bộ phận kho vật tư, nguyên nhiên liệu và thành phẩm")</f>
        <v>Bộ phận kho vật tư, nguyên nhiên liệu và thành phẩm</v>
      </c>
      <c r="E208" s="7" t="str">
        <f>IFERROR(__xludf.DUMMYFUNCTION("""COMPUTED_VALUE"""),"Nhân viên kho Đông Văn")</f>
        <v>Nhân viên kho Đông Văn</v>
      </c>
      <c r="F208" s="7" t="str">
        <f>IFERROR(__xludf.DUMMYFUNCTION("""COMPUTED_VALUE"""),"NV0824")</f>
        <v>NV0824</v>
      </c>
      <c r="G208" s="7"/>
      <c r="H208" s="7" t="str">
        <f>IFERROR(__xludf.DUMMYFUNCTION("""COMPUTED_VALUE"""),"Trần Thị Hiền")</f>
        <v>Trần Thị Hiền</v>
      </c>
      <c r="I208" s="7" t="str">
        <f>IFERROR(__xludf.DUMMYFUNCTION("""COMPUTED_VALUE"""),"Nữ")</f>
        <v>Nữ</v>
      </c>
      <c r="J208" s="17">
        <f>IFERROR(__xludf.DUMMYFUNCTION("""COMPUTED_VALUE"""),30915.0)</f>
        <v>30915</v>
      </c>
      <c r="K208" s="7" t="str">
        <f>IFERROR(__xludf.DUMMYFUNCTION("""COMPUTED_VALUE"""),"Xã Đông Thịnh, Huyện Đông Sơn, Thanh Hóa")</f>
        <v>Xã Đông Thịnh, Huyện Đông Sơn, Thanh Hóa</v>
      </c>
      <c r="L208" s="7" t="str">
        <f>IFERROR(__xludf.DUMMYFUNCTION("""COMPUTED_VALUE"""),"0914509489")</f>
        <v>0914509489</v>
      </c>
      <c r="M208" s="7" t="str">
        <f>IFERROR(__xludf.DUMMYFUNCTION("""COMPUTED_VALUE"""),"038184040553")</f>
        <v>038184040553</v>
      </c>
      <c r="N208" s="18">
        <f>IFERROR(__xludf.DUMMYFUNCTION("""COMPUTED_VALUE"""),44423.0)</f>
        <v>44423</v>
      </c>
      <c r="O208" s="7" t="str">
        <f>IFERROR(__xludf.DUMMYFUNCTION("""COMPUTED_VALUE"""),"Cục Cảnh sát QLHC về TTXH")</f>
        <v>Cục Cảnh sát QLHC về TTXH</v>
      </c>
      <c r="P208" s="7" t="str">
        <f>IFERROR(__xludf.DUMMYFUNCTION("""COMPUTED_VALUE"""),"LĐPT")</f>
        <v>LĐPT</v>
      </c>
      <c r="Q208" s="7" t="str">
        <f>IFERROR(__xludf.DUMMYFUNCTION("""COMPUTED_VALUE"""),"Lao động phổ thông")</f>
        <v>Lao động phổ thông</v>
      </c>
      <c r="R208" s="17">
        <f>IFERROR(__xludf.DUMMYFUNCTION("""COMPUTED_VALUE"""),44775.0)</f>
        <v>44775</v>
      </c>
      <c r="S208" s="19">
        <f>IFERROR(__xludf.DUMMYFUNCTION("""COMPUTED_VALUE"""),44835.0)</f>
        <v>44835</v>
      </c>
      <c r="T208" s="7" t="str">
        <f>IFERROR(__xludf.DUMMYFUNCTION("""COMPUTED_VALUE"""),"Chính thức")</f>
        <v>Chính thức</v>
      </c>
      <c r="U208" s="7"/>
      <c r="V208" s="7" t="str">
        <f>IFERROR(__xludf.DUMMYFUNCTION("""COMPUTED_VALUE"""),"Chính thức")</f>
        <v>Chính thức</v>
      </c>
      <c r="W208" s="7" t="str">
        <f>IFERROR(__xludf.DUMMYFUNCTION("""COMPUTED_VALUE"""),"3 năm 4 tháng")</f>
        <v>3 năm 4 tháng</v>
      </c>
      <c r="X208" s="7"/>
      <c r="Y208" s="7"/>
      <c r="Z208" s="7"/>
    </row>
    <row r="209">
      <c r="A209" s="7">
        <f>IFERROR(__xludf.DUMMYFUNCTION("""COMPUTED_VALUE"""),12.0)</f>
        <v>12</v>
      </c>
      <c r="B209" s="7" t="str">
        <f>IFERROR(__xludf.DUMMYFUNCTION("""COMPUTED_VALUE"""),"Văn phòng")</f>
        <v>Văn phòng</v>
      </c>
      <c r="C209" s="7" t="str">
        <f>IFERROR(__xludf.DUMMYFUNCTION("""COMPUTED_VALUE"""),"Phòng Kế toán")</f>
        <v>Phòng Kế toán</v>
      </c>
      <c r="D209" s="7" t="str">
        <f>IFERROR(__xludf.DUMMYFUNCTION("""COMPUTED_VALUE"""),"Bộ phận kho vật tư, nguyên nhiên liệu và thành phẩm")</f>
        <v>Bộ phận kho vật tư, nguyên nhiên liệu và thành phẩm</v>
      </c>
      <c r="E209" s="7" t="str">
        <f>IFERROR(__xludf.DUMMYFUNCTION("""COMPUTED_VALUE"""),"Thủ kho vật tư PXSX1")</f>
        <v>Thủ kho vật tư PXSX1</v>
      </c>
      <c r="F209" s="7" t="str">
        <f>IFERROR(__xludf.DUMMYFUNCTION("""COMPUTED_VALUE"""),"NV0421")</f>
        <v>NV0421</v>
      </c>
      <c r="G209" s="7">
        <f>IFERROR(__xludf.DUMMYFUNCTION("""COMPUTED_VALUE"""),60.0)</f>
        <v>60</v>
      </c>
      <c r="H209" s="7" t="str">
        <f>IFERROR(__xludf.DUMMYFUNCTION("""COMPUTED_VALUE"""),"Nguyễn Thị Hiền")</f>
        <v>Nguyễn Thị Hiền</v>
      </c>
      <c r="I209" s="7" t="str">
        <f>IFERROR(__xludf.DUMMYFUNCTION("""COMPUTED_VALUE"""),"Nữ")</f>
        <v>Nữ</v>
      </c>
      <c r="J209" s="17">
        <f>IFERROR(__xludf.DUMMYFUNCTION("""COMPUTED_VALUE"""),32472.0)</f>
        <v>32472</v>
      </c>
      <c r="K209" s="7" t="str">
        <f>IFERROR(__xludf.DUMMYFUNCTION("""COMPUTED_VALUE"""),"Thôn Trạch Nhân, Xã Quảng Trạch, Huyện Quảng Xương, Thanh Hóa")</f>
        <v>Thôn Trạch Nhân, Xã Quảng Trạch, Huyện Quảng Xương, Thanh Hóa</v>
      </c>
      <c r="L209" s="7" t="str">
        <f>IFERROR(__xludf.DUMMYFUNCTION("""COMPUTED_VALUE"""),"0976019190")</f>
        <v>0976019190</v>
      </c>
      <c r="M209" s="7" t="str">
        <f>IFERROR(__xludf.DUMMYFUNCTION("""COMPUTED_VALUE"""),"035188040298")</f>
        <v>035188040298</v>
      </c>
      <c r="N209" s="18">
        <f>IFERROR(__xludf.DUMMYFUNCTION("""COMPUTED_VALUE"""),44461.0)</f>
        <v>44461</v>
      </c>
      <c r="O209" s="7" t="str">
        <f>IFERROR(__xludf.DUMMYFUNCTION("""COMPUTED_VALUE"""),"Cục Cảnh sát QLHC về TTXH")</f>
        <v>Cục Cảnh sát QLHC về TTXH</v>
      </c>
      <c r="P209" s="7" t="str">
        <f>IFERROR(__xludf.DUMMYFUNCTION("""COMPUTED_VALUE"""),"Đại học")</f>
        <v>Đại học</v>
      </c>
      <c r="Q209" s="7" t="str">
        <f>IFERROR(__xludf.DUMMYFUNCTION("""COMPUTED_VALUE"""),"Kế toán")</f>
        <v>Kế toán</v>
      </c>
      <c r="R209" s="17">
        <f>IFERROR(__xludf.DUMMYFUNCTION("""COMPUTED_VALUE"""),42005.0)</f>
        <v>42005</v>
      </c>
      <c r="S209" s="19">
        <f>IFERROR(__xludf.DUMMYFUNCTION("""COMPUTED_VALUE"""),42005.0)</f>
        <v>42005</v>
      </c>
      <c r="T209" s="7" t="str">
        <f>IFERROR(__xludf.DUMMYFUNCTION("""COMPUTED_VALUE"""),"Chính thức")</f>
        <v>Chính thức</v>
      </c>
      <c r="U209" s="7"/>
      <c r="V209" s="7" t="str">
        <f>IFERROR(__xludf.DUMMYFUNCTION("""COMPUTED_VALUE"""),"Chính thức")</f>
        <v>Chính thức</v>
      </c>
      <c r="W209" s="7" t="str">
        <f>IFERROR(__xludf.DUMMYFUNCTION("""COMPUTED_VALUE"""),"10 năm 11 tháng")</f>
        <v>10 năm 11 tháng</v>
      </c>
      <c r="X209" s="7"/>
      <c r="Y209" s="7"/>
      <c r="Z209" s="7"/>
    </row>
    <row r="210">
      <c r="A210" s="7">
        <f>IFERROR(__xludf.DUMMYFUNCTION("""COMPUTED_VALUE"""),13.0)</f>
        <v>13</v>
      </c>
      <c r="B210" s="7" t="str">
        <f>IFERROR(__xludf.DUMMYFUNCTION("""COMPUTED_VALUE"""),"Văn phòng")</f>
        <v>Văn phòng</v>
      </c>
      <c r="C210" s="7" t="str">
        <f>IFERROR(__xludf.DUMMYFUNCTION("""COMPUTED_VALUE"""),"Phòng Kế toán")</f>
        <v>Phòng Kế toán</v>
      </c>
      <c r="D210" s="7" t="str">
        <f>IFERROR(__xludf.DUMMYFUNCTION("""COMPUTED_VALUE"""),"Bộ phận kho vật tư, nguyên nhiên liệu và thành phẩm")</f>
        <v>Bộ phận kho vật tư, nguyên nhiên liệu và thành phẩm</v>
      </c>
      <c r="E210" s="7" t="str">
        <f>IFERROR(__xludf.DUMMYFUNCTION("""COMPUTED_VALUE"""),"Thủ kho phụ trách số liệu")</f>
        <v>Thủ kho phụ trách số liệu</v>
      </c>
      <c r="F210" s="7" t="str">
        <f>IFERROR(__xludf.DUMMYFUNCTION("""COMPUTED_VALUE"""),"NV5464")</f>
        <v>NV5464</v>
      </c>
      <c r="G210" s="7">
        <f>IFERROR(__xludf.DUMMYFUNCTION("""COMPUTED_VALUE"""),942.0)</f>
        <v>942</v>
      </c>
      <c r="H210" s="7" t="str">
        <f>IFERROR(__xludf.DUMMYFUNCTION("""COMPUTED_VALUE"""),"Lê Thị Thủy")</f>
        <v>Lê Thị Thủy</v>
      </c>
      <c r="I210" s="7" t="str">
        <f>IFERROR(__xludf.DUMMYFUNCTION("""COMPUTED_VALUE"""),"Nữ")</f>
        <v>Nữ</v>
      </c>
      <c r="J210" s="17">
        <f>IFERROR(__xludf.DUMMYFUNCTION("""COMPUTED_VALUE"""),37359.0)</f>
        <v>37359</v>
      </c>
      <c r="K210" s="7" t="str">
        <f>IFERROR(__xludf.DUMMYFUNCTION("""COMPUTED_VALUE"""),"Xã Hoằng Phong - Huyện Hoằng Hóa - Tỉnh Thanh Hóa")</f>
        <v>Xã Hoằng Phong - Huyện Hoằng Hóa - Tỉnh Thanh Hóa</v>
      </c>
      <c r="L210" s="7" t="str">
        <f>IFERROR(__xludf.DUMMYFUNCTION("""COMPUTED_VALUE"""),"0987769897")</f>
        <v>0987769897</v>
      </c>
      <c r="M210" s="7" t="str">
        <f>IFERROR(__xludf.DUMMYFUNCTION("""COMPUTED_VALUE"""),"038302000079")</f>
        <v>038302000079</v>
      </c>
      <c r="N210" s="18">
        <f>IFERROR(__xludf.DUMMYFUNCTION("""COMPUTED_VALUE"""),44611.0)</f>
        <v>44611</v>
      </c>
      <c r="O210" s="7" t="str">
        <f>IFERROR(__xludf.DUMMYFUNCTION("""COMPUTED_VALUE"""),"Cục Cảnh sát QLHC về TTXH")</f>
        <v>Cục Cảnh sát QLHC về TTXH</v>
      </c>
      <c r="P210" s="7" t="str">
        <f>IFERROR(__xludf.DUMMYFUNCTION("""COMPUTED_VALUE"""),"Đại học")</f>
        <v>Đại học</v>
      </c>
      <c r="Q210" s="7" t="str">
        <f>IFERROR(__xludf.DUMMYFUNCTION("""COMPUTED_VALUE"""),"Quản trị kinh doanh")</f>
        <v>Quản trị kinh doanh</v>
      </c>
      <c r="R210" s="17">
        <f>IFERROR(__xludf.DUMMYFUNCTION("""COMPUTED_VALUE"""),45798.0)</f>
        <v>45798</v>
      </c>
      <c r="S210" s="19">
        <f>IFERROR(__xludf.DUMMYFUNCTION("""COMPUTED_VALUE"""),45829.0)</f>
        <v>45829</v>
      </c>
      <c r="T210" s="7" t="str">
        <f>IFERROR(__xludf.DUMMYFUNCTION("""COMPUTED_VALUE"""),"Chính thức")</f>
        <v>Chính thức</v>
      </c>
      <c r="U210" s="7"/>
      <c r="V210" s="7" t="str">
        <f>IFERROR(__xludf.DUMMYFUNCTION("""COMPUTED_VALUE"""),"Chính thức")</f>
        <v>Chính thức</v>
      </c>
      <c r="W210" s="7" t="str">
        <f>IFERROR(__xludf.DUMMYFUNCTION("""COMPUTED_VALUE"""),"0 năm 7 tháng")</f>
        <v>0 năm 7 tháng</v>
      </c>
      <c r="X210" s="7"/>
      <c r="Y210" s="7"/>
      <c r="Z210" s="7"/>
    </row>
    <row r="211">
      <c r="A211" s="7">
        <f>IFERROR(__xludf.DUMMYFUNCTION("""COMPUTED_VALUE"""),14.0)</f>
        <v>14</v>
      </c>
      <c r="B211" s="7" t="str">
        <f>IFERROR(__xludf.DUMMYFUNCTION("""COMPUTED_VALUE"""),"Văn phòng")</f>
        <v>Văn phòng</v>
      </c>
      <c r="C211" s="7" t="str">
        <f>IFERROR(__xludf.DUMMYFUNCTION("""COMPUTED_VALUE"""),"Phòng Kế toán")</f>
        <v>Phòng Kế toán</v>
      </c>
      <c r="D211" s="7" t="str">
        <f>IFERROR(__xludf.DUMMYFUNCTION("""COMPUTED_VALUE"""),"Bộ phận kho vật tư, nguyên nhiên liệu và thành phẩm")</f>
        <v>Bộ phận kho vật tư, nguyên nhiên liệu và thành phẩm</v>
      </c>
      <c r="E211" s="7" t="str">
        <f>IFERROR(__xludf.DUMMYFUNCTION("""COMPUTED_VALUE"""),"Thủ kho thành phẩm")</f>
        <v>Thủ kho thành phẩm</v>
      </c>
      <c r="F211" s="7" t="str">
        <f>IFERROR(__xludf.DUMMYFUNCTION("""COMPUTED_VALUE"""),"NV0411")</f>
        <v>NV0411</v>
      </c>
      <c r="G211" s="7">
        <f>IFERROR(__xludf.DUMMYFUNCTION("""COMPUTED_VALUE"""),96.0)</f>
        <v>96</v>
      </c>
      <c r="H211" s="7" t="str">
        <f>IFERROR(__xludf.DUMMYFUNCTION("""COMPUTED_VALUE"""),"Phạm Thị Huyền")</f>
        <v>Phạm Thị Huyền</v>
      </c>
      <c r="I211" s="7" t="str">
        <f>IFERROR(__xludf.DUMMYFUNCTION("""COMPUTED_VALUE"""),"Nữ")</f>
        <v>Nữ</v>
      </c>
      <c r="J211" s="17">
        <f>IFERROR(__xludf.DUMMYFUNCTION("""COMPUTED_VALUE"""),28477.0)</f>
        <v>28477</v>
      </c>
      <c r="K211" s="7" t="str">
        <f>IFERROR(__xludf.DUMMYFUNCTION("""COMPUTED_VALUE"""),"Chung cư Đông Bắc 81- Phường Hàm Rồng - Tỉnh Thanh Hóa")</f>
        <v>Chung cư Đông Bắc 81- Phường Hàm Rồng - Tỉnh Thanh Hóa</v>
      </c>
      <c r="L211" s="7" t="str">
        <f>IFERROR(__xludf.DUMMYFUNCTION("""COMPUTED_VALUE"""),"0912983516")</f>
        <v>0912983516</v>
      </c>
      <c r="M211" s="7" t="str">
        <f>IFERROR(__xludf.DUMMYFUNCTION("""COMPUTED_VALUE"""),"038177016974")</f>
        <v>038177016974</v>
      </c>
      <c r="N211" s="18">
        <f>IFERROR(__xludf.DUMMYFUNCTION("""COMPUTED_VALUE"""),44435.0)</f>
        <v>44435</v>
      </c>
      <c r="O211" s="7" t="str">
        <f>IFERROR(__xludf.DUMMYFUNCTION("""COMPUTED_VALUE"""),"Cục Cảnh sát QLHC về TTXH")</f>
        <v>Cục Cảnh sát QLHC về TTXH</v>
      </c>
      <c r="P211" s="7" t="str">
        <f>IFERROR(__xludf.DUMMYFUNCTION("""COMPUTED_VALUE"""),"Trung cấp")</f>
        <v>Trung cấp</v>
      </c>
      <c r="Q211" s="7" t="str">
        <f>IFERROR(__xludf.DUMMYFUNCTION("""COMPUTED_VALUE"""),"Kế toán")</f>
        <v>Kế toán</v>
      </c>
      <c r="R211" s="17">
        <f>IFERROR(__xludf.DUMMYFUNCTION("""COMPUTED_VALUE"""),37090.0)</f>
        <v>37090</v>
      </c>
      <c r="S211" s="19">
        <f>IFERROR(__xludf.DUMMYFUNCTION("""COMPUTED_VALUE"""),37090.0)</f>
        <v>37090</v>
      </c>
      <c r="T211" s="7" t="str">
        <f>IFERROR(__xludf.DUMMYFUNCTION("""COMPUTED_VALUE"""),"Chính thức")</f>
        <v>Chính thức</v>
      </c>
      <c r="U211" s="7"/>
      <c r="V211" s="7" t="str">
        <f>IFERROR(__xludf.DUMMYFUNCTION("""COMPUTED_VALUE"""),"Chính thức")</f>
        <v>Chính thức</v>
      </c>
      <c r="W211" s="7" t="str">
        <f>IFERROR(__xludf.DUMMYFUNCTION("""COMPUTED_VALUE"""),"24 năm 5 tháng")</f>
        <v>24 năm 5 tháng</v>
      </c>
      <c r="X211" s="7"/>
      <c r="Y211" s="7"/>
      <c r="Z211" s="7"/>
    </row>
    <row r="212">
      <c r="A212" s="7">
        <f>IFERROR(__xludf.DUMMYFUNCTION("""COMPUTED_VALUE"""),15.0)</f>
        <v>15</v>
      </c>
      <c r="B212" s="7" t="str">
        <f>IFERROR(__xludf.DUMMYFUNCTION("""COMPUTED_VALUE"""),"Văn phòng")</f>
        <v>Văn phòng</v>
      </c>
      <c r="C212" s="7" t="str">
        <f>IFERROR(__xludf.DUMMYFUNCTION("""COMPUTED_VALUE"""),"Phòng Kế toán")</f>
        <v>Phòng Kế toán</v>
      </c>
      <c r="D212" s="7" t="str">
        <f>IFERROR(__xludf.DUMMYFUNCTION("""COMPUTED_VALUE"""),"Bộ phận kho vật tư, nguyên nhiên liệu và thành phẩm")</f>
        <v>Bộ phận kho vật tư, nguyên nhiên liệu và thành phẩm</v>
      </c>
      <c r="E212" s="7" t="str">
        <f>IFERROR(__xludf.DUMMYFUNCTION("""COMPUTED_VALUE"""),"Thủ kho nguyên liệu")</f>
        <v>Thủ kho nguyên liệu</v>
      </c>
      <c r="F212" s="7" t="str">
        <f>IFERROR(__xludf.DUMMYFUNCTION("""COMPUTED_VALUE"""),"NV2787")</f>
        <v>NV2787</v>
      </c>
      <c r="G212" s="7">
        <f>IFERROR(__xludf.DUMMYFUNCTION("""COMPUTED_VALUE"""),464.0)</f>
        <v>464</v>
      </c>
      <c r="H212" s="7" t="str">
        <f>IFERROR(__xludf.DUMMYFUNCTION("""COMPUTED_VALUE"""),"Lê Văn Thành")</f>
        <v>Lê Văn Thành</v>
      </c>
      <c r="I212" s="7" t="str">
        <f>IFERROR(__xludf.DUMMYFUNCTION("""COMPUTED_VALUE"""),"Nam")</f>
        <v>Nam</v>
      </c>
      <c r="J212" s="17">
        <f>IFERROR(__xludf.DUMMYFUNCTION("""COMPUTED_VALUE"""),32669.0)</f>
        <v>32669</v>
      </c>
      <c r="K212" s="7" t="str">
        <f>IFERROR(__xludf.DUMMYFUNCTION("""COMPUTED_VALUE"""),"14/421/Nguyễn Tĩnh - Phường Hạc Thành - Tỉnh Thanh Hóa")</f>
        <v>14/421/Nguyễn Tĩnh - Phường Hạc Thành - Tỉnh Thanh Hóa</v>
      </c>
      <c r="L212" s="7" t="str">
        <f>IFERROR(__xludf.DUMMYFUNCTION("""COMPUTED_VALUE"""),"0987242300")</f>
        <v>0987242300</v>
      </c>
      <c r="M212" s="7" t="str">
        <f>IFERROR(__xludf.DUMMYFUNCTION("""COMPUTED_VALUE"""),"038089010691")</f>
        <v>038089010691</v>
      </c>
      <c r="N212" s="18">
        <f>IFERROR(__xludf.DUMMYFUNCTION("""COMPUTED_VALUE"""),44778.0)</f>
        <v>44778</v>
      </c>
      <c r="O212" s="7" t="str">
        <f>IFERROR(__xludf.DUMMYFUNCTION("""COMPUTED_VALUE"""),"Cục Cảnh sát QLHC về TTXH")</f>
        <v>Cục Cảnh sát QLHC về TTXH</v>
      </c>
      <c r="P212" s="7" t="str">
        <f>IFERROR(__xludf.DUMMYFUNCTION("""COMPUTED_VALUE"""),"Cao đẳng")</f>
        <v>Cao đẳng</v>
      </c>
      <c r="Q212" s="7" t="str">
        <f>IFERROR(__xludf.DUMMYFUNCTION("""COMPUTED_VALUE"""),"Cao đẳng Kỹ thuật 
hóa học")</f>
        <v>Cao đẳng Kỹ thuật 
hóa học</v>
      </c>
      <c r="R212" s="17">
        <f>IFERROR(__xludf.DUMMYFUNCTION("""COMPUTED_VALUE"""),45913.0)</f>
        <v>45913</v>
      </c>
      <c r="S212" s="19">
        <f>IFERROR(__xludf.DUMMYFUNCTION("""COMPUTED_VALUE"""),45943.0)</f>
        <v>45943</v>
      </c>
      <c r="T212" s="7" t="str">
        <f>IFERROR(__xludf.DUMMYFUNCTION("""COMPUTED_VALUE"""),"Chính thức")</f>
        <v>Chính thức</v>
      </c>
      <c r="U212" s="7"/>
      <c r="V212" s="7" t="str">
        <f>IFERROR(__xludf.DUMMYFUNCTION("""COMPUTED_VALUE"""),"Chính thức")</f>
        <v>Chính thức</v>
      </c>
      <c r="W212" s="7" t="str">
        <f>IFERROR(__xludf.DUMMYFUNCTION("""COMPUTED_VALUE"""),"0 năm 3 tháng")</f>
        <v>0 năm 3 tháng</v>
      </c>
      <c r="X212" s="7"/>
      <c r="Y212" s="7"/>
      <c r="Z212" s="7"/>
    </row>
    <row r="213">
      <c r="A213" s="7">
        <f>IFERROR(__xludf.DUMMYFUNCTION("""COMPUTED_VALUE"""),1.0)</f>
        <v>1</v>
      </c>
      <c r="B213" s="7" t="str">
        <f>IFERROR(__xludf.DUMMYFUNCTION("""COMPUTED_VALUE"""),"Văn phòng")</f>
        <v>Văn phòng</v>
      </c>
      <c r="C213" s="7" t="str">
        <f>IFERROR(__xludf.DUMMYFUNCTION("""COMPUTED_VALUE"""),"Phòng Kế toán")</f>
        <v>Phòng Kế toán</v>
      </c>
      <c r="D213" s="7" t="str">
        <f>IFERROR(__xludf.DUMMYFUNCTION("""COMPUTED_VALUE"""),"Tổ Kế toán thống kê")</f>
        <v>Tổ Kế toán thống kê</v>
      </c>
      <c r="E213" s="7" t="str">
        <f>IFERROR(__xludf.DUMMYFUNCTION("""COMPUTED_VALUE"""),"Kế toán thống kê PXSX2")</f>
        <v>Kế toán thống kê PXSX2</v>
      </c>
      <c r="F213" s="7" t="str">
        <f>IFERROR(__xludf.DUMMYFUNCTION("""COMPUTED_VALUE"""),"NV0031")</f>
        <v>NV0031</v>
      </c>
      <c r="G213" s="7">
        <f>IFERROR(__xludf.DUMMYFUNCTION("""COMPUTED_VALUE"""),202.0)</f>
        <v>202</v>
      </c>
      <c r="H213" s="7" t="str">
        <f>IFERROR(__xludf.DUMMYFUNCTION("""COMPUTED_VALUE"""),"Nguyễn Thị Luyến")</f>
        <v>Nguyễn Thị Luyến</v>
      </c>
      <c r="I213" s="7" t="str">
        <f>IFERROR(__xludf.DUMMYFUNCTION("""COMPUTED_VALUE"""),"Nữ")</f>
        <v>Nữ</v>
      </c>
      <c r="J213" s="17">
        <f>IFERROR(__xludf.DUMMYFUNCTION("""COMPUTED_VALUE"""),32695.0)</f>
        <v>32695</v>
      </c>
      <c r="K213" s="7" t="str">
        <f>IFERROR(__xludf.DUMMYFUNCTION("""COMPUTED_VALUE"""),"Trung Đình - Xã Lưu Vệ - tỉnh Thanh Hóa")</f>
        <v>Trung Đình - Xã Lưu Vệ - tỉnh Thanh Hóa</v>
      </c>
      <c r="L213" s="7" t="str">
        <f>IFERROR(__xludf.DUMMYFUNCTION("""COMPUTED_VALUE"""),"0961884089")</f>
        <v>0961884089</v>
      </c>
      <c r="M213" s="7" t="str">
        <f>IFERROR(__xludf.DUMMYFUNCTION("""COMPUTED_VALUE"""),"038189007469")</f>
        <v>038189007469</v>
      </c>
      <c r="N213" s="18">
        <f>IFERROR(__xludf.DUMMYFUNCTION("""COMPUTED_VALUE"""),45587.0)</f>
        <v>45587</v>
      </c>
      <c r="O213" s="7" t="str">
        <f>IFERROR(__xludf.DUMMYFUNCTION("""COMPUTED_VALUE"""),"Bộ Công An")</f>
        <v>Bộ Công An</v>
      </c>
      <c r="P213" s="7" t="str">
        <f>IFERROR(__xludf.DUMMYFUNCTION("""COMPUTED_VALUE"""),"Trung cấp")</f>
        <v>Trung cấp</v>
      </c>
      <c r="Q213" s="7" t="str">
        <f>IFERROR(__xludf.DUMMYFUNCTION("""COMPUTED_VALUE"""),"Kế toán thương mại")</f>
        <v>Kế toán thương mại</v>
      </c>
      <c r="R213" s="17">
        <f>IFERROR(__xludf.DUMMYFUNCTION("""COMPUTED_VALUE"""),40605.0)</f>
        <v>40605</v>
      </c>
      <c r="S213" s="19">
        <f>IFERROR(__xludf.DUMMYFUNCTION("""COMPUTED_VALUE"""),40605.0)</f>
        <v>40605</v>
      </c>
      <c r="T213" s="7" t="str">
        <f>IFERROR(__xludf.DUMMYFUNCTION("""COMPUTED_VALUE"""),"Chính thức")</f>
        <v>Chính thức</v>
      </c>
      <c r="U213" s="7"/>
      <c r="V213" s="7" t="str">
        <f>IFERROR(__xludf.DUMMYFUNCTION("""COMPUTED_VALUE"""),"Chính thức")</f>
        <v>Chính thức</v>
      </c>
      <c r="W213" s="7" t="str">
        <f>IFERROR(__xludf.DUMMYFUNCTION("""COMPUTED_VALUE"""),"14 năm 9 tháng")</f>
        <v>14 năm 9 tháng</v>
      </c>
      <c r="X213" s="7"/>
      <c r="Y213" s="7"/>
      <c r="Z213" s="7"/>
    </row>
    <row r="214">
      <c r="A214" s="7">
        <f>IFERROR(__xludf.DUMMYFUNCTION("""COMPUTED_VALUE"""),2.0)</f>
        <v>2</v>
      </c>
      <c r="B214" s="7" t="str">
        <f>IFERROR(__xludf.DUMMYFUNCTION("""COMPUTED_VALUE"""),"Văn phòng")</f>
        <v>Văn phòng</v>
      </c>
      <c r="C214" s="7" t="str">
        <f>IFERROR(__xludf.DUMMYFUNCTION("""COMPUTED_VALUE"""),"Phòng Kế toán")</f>
        <v>Phòng Kế toán</v>
      </c>
      <c r="D214" s="7" t="str">
        <f>IFERROR(__xludf.DUMMYFUNCTION("""COMPUTED_VALUE"""),"Tổ Kế toán thống kê")</f>
        <v>Tổ Kế toán thống kê</v>
      </c>
      <c r="E214" s="7" t="str">
        <f>IFERROR(__xludf.DUMMYFUNCTION("""COMPUTED_VALUE"""),"Kế toán tổng hợp - Thành viên BGĐ PX1")</f>
        <v>Kế toán tổng hợp - Thành viên BGĐ PX1</v>
      </c>
      <c r="F214" s="7" t="str">
        <f>IFERROR(__xludf.DUMMYFUNCTION("""COMPUTED_VALUE"""),"NV0034")</f>
        <v>NV0034</v>
      </c>
      <c r="G214" s="7">
        <f>IFERROR(__xludf.DUMMYFUNCTION("""COMPUTED_VALUE"""),646.0)</f>
        <v>646</v>
      </c>
      <c r="H214" s="7" t="str">
        <f>IFERROR(__xludf.DUMMYFUNCTION("""COMPUTED_VALUE"""),"Hoàng Thị Hằng")</f>
        <v>Hoàng Thị Hằng</v>
      </c>
      <c r="I214" s="7" t="str">
        <f>IFERROR(__xludf.DUMMYFUNCTION("""COMPUTED_VALUE"""),"Nữ")</f>
        <v>Nữ</v>
      </c>
      <c r="J214" s="17">
        <f>IFERROR(__xludf.DUMMYFUNCTION("""COMPUTED_VALUE"""),30822.0)</f>
        <v>30822</v>
      </c>
      <c r="K214" s="7" t="str">
        <f>IFERROR(__xludf.DUMMYFUNCTION("""COMPUTED_VALUE"""),"12/18 Cao Điển - Phường Tân Sơn - Thành Phố Thanh Hóa")</f>
        <v>12/18 Cao Điển - Phường Tân Sơn - Thành Phố Thanh Hóa</v>
      </c>
      <c r="L214" s="7" t="str">
        <f>IFERROR(__xludf.DUMMYFUNCTION("""COMPUTED_VALUE"""),"0969958996")</f>
        <v>0969958996</v>
      </c>
      <c r="M214" s="7" t="str">
        <f>IFERROR(__xludf.DUMMYFUNCTION("""COMPUTED_VALUE"""),"038184034042")</f>
        <v>038184034042</v>
      </c>
      <c r="N214" s="18">
        <f>IFERROR(__xludf.DUMMYFUNCTION("""COMPUTED_VALUE"""),44419.0)</f>
        <v>44419</v>
      </c>
      <c r="O214" s="7" t="str">
        <f>IFERROR(__xludf.DUMMYFUNCTION("""COMPUTED_VALUE"""),"Cục Cảnh sát QLHC về TTXH")</f>
        <v>Cục Cảnh sát QLHC về TTXH</v>
      </c>
      <c r="P214" s="7" t="str">
        <f>IFERROR(__xludf.DUMMYFUNCTION("""COMPUTED_VALUE"""),"Đại học")</f>
        <v>Đại học</v>
      </c>
      <c r="Q214" s="7" t="str">
        <f>IFERROR(__xludf.DUMMYFUNCTION("""COMPUTED_VALUE"""),"Cử nhân kinh tế")</f>
        <v>Cử nhân kinh tế</v>
      </c>
      <c r="R214" s="17">
        <f>IFERROR(__xludf.DUMMYFUNCTION("""COMPUTED_VALUE"""),42702.0)</f>
        <v>42702</v>
      </c>
      <c r="S214" s="19">
        <f>IFERROR(__xludf.DUMMYFUNCTION("""COMPUTED_VALUE"""),42702.0)</f>
        <v>42702</v>
      </c>
      <c r="T214" s="7" t="str">
        <f>IFERROR(__xludf.DUMMYFUNCTION("""COMPUTED_VALUE"""),"Chính thức")</f>
        <v>Chính thức</v>
      </c>
      <c r="U214" s="7"/>
      <c r="V214" s="7" t="str">
        <f>IFERROR(__xludf.DUMMYFUNCTION("""COMPUTED_VALUE"""),"Chính thức")</f>
        <v>Chính thức</v>
      </c>
      <c r="W214" s="7" t="str">
        <f>IFERROR(__xludf.DUMMYFUNCTION("""COMPUTED_VALUE"""),"9 năm 1 tháng")</f>
        <v>9 năm 1 tháng</v>
      </c>
      <c r="X214" s="7"/>
      <c r="Y214" s="7"/>
      <c r="Z214" s="7"/>
    </row>
    <row r="215">
      <c r="A215" s="7">
        <f>IFERROR(__xludf.DUMMYFUNCTION("""COMPUTED_VALUE"""),3.0)</f>
        <v>3</v>
      </c>
      <c r="B215" s="7" t="str">
        <f>IFERROR(__xludf.DUMMYFUNCTION("""COMPUTED_VALUE"""),"Văn phòng")</f>
        <v>Văn phòng</v>
      </c>
      <c r="C215" s="7" t="str">
        <f>IFERROR(__xludf.DUMMYFUNCTION("""COMPUTED_VALUE"""),"Phòng Kế toán")</f>
        <v>Phòng Kế toán</v>
      </c>
      <c r="D215" s="7" t="str">
        <f>IFERROR(__xludf.DUMMYFUNCTION("""COMPUTED_VALUE"""),"Tổ Kế toán thống kê")</f>
        <v>Tổ Kế toán thống kê</v>
      </c>
      <c r="E215" s="7" t="str">
        <f>IFERROR(__xludf.DUMMYFUNCTION("""COMPUTED_VALUE"""),"Kế toán thống kê PXSX1")</f>
        <v>Kế toán thống kê PXSX1</v>
      </c>
      <c r="F215" s="7" t="str">
        <f>IFERROR(__xludf.DUMMYFUNCTION("""COMPUTED_VALUE"""),"NV4200")</f>
        <v>NV4200</v>
      </c>
      <c r="G215" s="7">
        <f>IFERROR(__xludf.DUMMYFUNCTION("""COMPUTED_VALUE"""),268.0)</f>
        <v>268</v>
      </c>
      <c r="H215" s="7" t="str">
        <f>IFERROR(__xludf.DUMMYFUNCTION("""COMPUTED_VALUE"""),"Nguyễn Thị Quỳnh")</f>
        <v>Nguyễn Thị Quỳnh</v>
      </c>
      <c r="I215" s="7" t="str">
        <f>IFERROR(__xludf.DUMMYFUNCTION("""COMPUTED_VALUE"""),"Nữ")</f>
        <v>Nữ</v>
      </c>
      <c r="J215" s="17">
        <f>IFERROR(__xludf.DUMMYFUNCTION("""COMPUTED_VALUE"""),34980.0)</f>
        <v>34980</v>
      </c>
      <c r="K215" s="7" t="str">
        <f>IFERROR(__xludf.DUMMYFUNCTION("""COMPUTED_VALUE"""),"Quảng Chính - Quảng Xương - Thanh Hóa")</f>
        <v>Quảng Chính - Quảng Xương - Thanh Hóa</v>
      </c>
      <c r="L215" s="7" t="str">
        <f>IFERROR(__xludf.DUMMYFUNCTION("""COMPUTED_VALUE"""),"0338399054")</f>
        <v>0338399054</v>
      </c>
      <c r="M215" s="7" t="str">
        <f>IFERROR(__xludf.DUMMYFUNCTION("""COMPUTED_VALUE"""),"038195028077")</f>
        <v>038195028077</v>
      </c>
      <c r="N215" s="18">
        <f>IFERROR(__xludf.DUMMYFUNCTION("""COMPUTED_VALUE"""),44819.0)</f>
        <v>44819</v>
      </c>
      <c r="O215" s="7" t="str">
        <f>IFERROR(__xludf.DUMMYFUNCTION("""COMPUTED_VALUE"""),"Cục Cảnh sát QLHC về TTXH")</f>
        <v>Cục Cảnh sát QLHC về TTXH</v>
      </c>
      <c r="P215" s="7" t="str">
        <f>IFERROR(__xludf.DUMMYFUNCTION("""COMPUTED_VALUE"""),"Kỹ sư")</f>
        <v>Kỹ sư</v>
      </c>
      <c r="Q215" s="7" t="str">
        <f>IFERROR(__xludf.DUMMYFUNCTION("""COMPUTED_VALUE"""),"Kỹ thuật môi trường")</f>
        <v>Kỹ thuật môi trường</v>
      </c>
      <c r="R215" s="17">
        <f>IFERROR(__xludf.DUMMYFUNCTION("""COMPUTED_VALUE"""),44704.0)</f>
        <v>44704</v>
      </c>
      <c r="S215" s="19">
        <f>IFERROR(__xludf.DUMMYFUNCTION("""COMPUTED_VALUE"""),45170.0)</f>
        <v>45170</v>
      </c>
      <c r="T215" s="7" t="str">
        <f>IFERROR(__xludf.DUMMYFUNCTION("""COMPUTED_VALUE"""),"Chính thức")</f>
        <v>Chính thức</v>
      </c>
      <c r="U215" s="7"/>
      <c r="V215" s="7" t="str">
        <f>IFERROR(__xludf.DUMMYFUNCTION("""COMPUTED_VALUE"""),"Chính thức")</f>
        <v>Chính thức</v>
      </c>
      <c r="W215" s="7" t="str">
        <f>IFERROR(__xludf.DUMMYFUNCTION("""COMPUTED_VALUE"""),"3 năm 7 tháng")</f>
        <v>3 năm 7 tháng</v>
      </c>
      <c r="X215" s="7"/>
      <c r="Y215" s="7"/>
      <c r="Z215" s="7"/>
    </row>
    <row r="216">
      <c r="A216" s="7">
        <f>IFERROR(__xludf.DUMMYFUNCTION("""COMPUTED_VALUE"""),4.0)</f>
        <v>4</v>
      </c>
      <c r="B216" s="7" t="str">
        <f>IFERROR(__xludf.DUMMYFUNCTION("""COMPUTED_VALUE"""),"Văn phòng")</f>
        <v>Văn phòng</v>
      </c>
      <c r="C216" s="7" t="str">
        <f>IFERROR(__xludf.DUMMYFUNCTION("""COMPUTED_VALUE"""),"Phòng Kế toán")</f>
        <v>Phòng Kế toán</v>
      </c>
      <c r="D216" s="7" t="str">
        <f>IFERROR(__xludf.DUMMYFUNCTION("""COMPUTED_VALUE"""),"Tổ Kế toán thống kê")</f>
        <v>Tổ Kế toán thống kê</v>
      </c>
      <c r="E216" s="7" t="str">
        <f>IFERROR(__xludf.DUMMYFUNCTION("""COMPUTED_VALUE"""),"Kế toán thống kê PXSX2")</f>
        <v>Kế toán thống kê PXSX2</v>
      </c>
      <c r="F216" s="7" t="str">
        <f>IFERROR(__xludf.DUMMYFUNCTION("""COMPUTED_VALUE"""),"NV0027")</f>
        <v>NV0027</v>
      </c>
      <c r="G216" s="7">
        <f>IFERROR(__xludf.DUMMYFUNCTION("""COMPUTED_VALUE"""),29.0)</f>
        <v>29</v>
      </c>
      <c r="H216" s="7" t="str">
        <f>IFERROR(__xludf.DUMMYFUNCTION("""COMPUTED_VALUE"""),"Trần Thị Hương")</f>
        <v>Trần Thị Hương</v>
      </c>
      <c r="I216" s="7" t="str">
        <f>IFERROR(__xludf.DUMMYFUNCTION("""COMPUTED_VALUE"""),"Nữ")</f>
        <v>Nữ</v>
      </c>
      <c r="J216" s="17">
        <f>IFERROR(__xludf.DUMMYFUNCTION("""COMPUTED_VALUE"""),33056.0)</f>
        <v>33056</v>
      </c>
      <c r="K216" s="7" t="str">
        <f>IFERROR(__xludf.DUMMYFUNCTION("""COMPUTED_VALUE"""),"Thôn Tiến Thắng, Xã Hoằng Châu, Huyện Hoằng Hóa, Tỉnh Thanh Hóa")</f>
        <v>Thôn Tiến Thắng, Xã Hoằng Châu, Huyện Hoằng Hóa, Tỉnh Thanh Hóa</v>
      </c>
      <c r="L216" s="7" t="str">
        <f>IFERROR(__xludf.DUMMYFUNCTION("""COMPUTED_VALUE"""),"0973970132")</f>
        <v>0973970132</v>
      </c>
      <c r="M216" s="7" t="str">
        <f>IFERROR(__xludf.DUMMYFUNCTION("""COMPUTED_VALUE"""),"038190029951")</f>
        <v>038190029951</v>
      </c>
      <c r="N216" s="18">
        <f>IFERROR(__xludf.DUMMYFUNCTION("""COMPUTED_VALUE"""),44715.0)</f>
        <v>44715</v>
      </c>
      <c r="O216" s="7" t="str">
        <f>IFERROR(__xludf.DUMMYFUNCTION("""COMPUTED_VALUE"""),"Cục Cảnh sát QLHC về TTXH")</f>
        <v>Cục Cảnh sát QLHC về TTXH</v>
      </c>
      <c r="P216" s="7" t="str">
        <f>IFERROR(__xludf.DUMMYFUNCTION("""COMPUTED_VALUE"""),"Cao đẳng")</f>
        <v>Cao đẳng</v>
      </c>
      <c r="Q216" s="7" t="str">
        <f>IFERROR(__xludf.DUMMYFUNCTION("""COMPUTED_VALUE"""),"Quản trị kinh doanh")</f>
        <v>Quản trị kinh doanh</v>
      </c>
      <c r="R216" s="17">
        <f>IFERROR(__xludf.DUMMYFUNCTION("""COMPUTED_VALUE"""),44256.0)</f>
        <v>44256</v>
      </c>
      <c r="S216" s="19">
        <f>IFERROR(__xludf.DUMMYFUNCTION("""COMPUTED_VALUE"""),44256.0)</f>
        <v>44256</v>
      </c>
      <c r="T216" s="7" t="str">
        <f>IFERROR(__xludf.DUMMYFUNCTION("""COMPUTED_VALUE"""),"Chính thức")</f>
        <v>Chính thức</v>
      </c>
      <c r="U216" s="7"/>
      <c r="V216" s="7" t="str">
        <f>IFERROR(__xludf.DUMMYFUNCTION("""COMPUTED_VALUE"""),"Chính thức")</f>
        <v>Chính thức</v>
      </c>
      <c r="W216" s="7" t="str">
        <f>IFERROR(__xludf.DUMMYFUNCTION("""COMPUTED_VALUE"""),"4 năm 9 tháng")</f>
        <v>4 năm 9 tháng</v>
      </c>
      <c r="X216" s="7"/>
      <c r="Y216" s="7"/>
      <c r="Z216" s="7"/>
    </row>
    <row r="217">
      <c r="A217" s="7">
        <f>IFERROR(__xludf.DUMMYFUNCTION("""COMPUTED_VALUE"""),5.0)</f>
        <v>5</v>
      </c>
      <c r="B217" s="7" t="str">
        <f>IFERROR(__xludf.DUMMYFUNCTION("""COMPUTED_VALUE"""),"Văn phòng")</f>
        <v>Văn phòng</v>
      </c>
      <c r="C217" s="7" t="str">
        <f>IFERROR(__xludf.DUMMYFUNCTION("""COMPUTED_VALUE"""),"Phòng Kế toán")</f>
        <v>Phòng Kế toán</v>
      </c>
      <c r="D217" s="7" t="str">
        <f>IFERROR(__xludf.DUMMYFUNCTION("""COMPUTED_VALUE"""),"Tổ Kế toán thống kê")</f>
        <v>Tổ Kế toán thống kê</v>
      </c>
      <c r="E217" s="7" t="str">
        <f>IFERROR(__xludf.DUMMYFUNCTION("""COMPUTED_VALUE"""),"Kế toán thống kê PXSX1")</f>
        <v>Kế toán thống kê PXSX1</v>
      </c>
      <c r="F217" s="7" t="str">
        <f>IFERROR(__xludf.DUMMYFUNCTION("""COMPUTED_VALUE"""),"NV0924")</f>
        <v>NV0924</v>
      </c>
      <c r="G217" s="7">
        <f>IFERROR(__xludf.DUMMYFUNCTION("""COMPUTED_VALUE"""),634.0)</f>
        <v>634</v>
      </c>
      <c r="H217" s="7" t="str">
        <f>IFERROR(__xludf.DUMMYFUNCTION("""COMPUTED_VALUE"""),"Phạm Anh Tuấn")</f>
        <v>Phạm Anh Tuấn</v>
      </c>
      <c r="I217" s="7" t="str">
        <f>IFERROR(__xludf.DUMMYFUNCTION("""COMPUTED_VALUE"""),"Nam")</f>
        <v>Nam</v>
      </c>
      <c r="J217" s="17">
        <f>IFERROR(__xludf.DUMMYFUNCTION("""COMPUTED_VALUE"""),31564.0)</f>
        <v>31564</v>
      </c>
      <c r="K217" s="7" t="str">
        <f>IFERROR(__xludf.DUMMYFUNCTION("""COMPUTED_VALUE"""),"Tân Hưng - Xã Lưu Vệ - Tỉnh Thanh Hóa")</f>
        <v>Tân Hưng - Xã Lưu Vệ - Tỉnh Thanh Hóa</v>
      </c>
      <c r="L217" s="7" t="str">
        <f>IFERROR(__xludf.DUMMYFUNCTION("""COMPUTED_VALUE"""),"0912143434")</f>
        <v>0912143434</v>
      </c>
      <c r="M217" s="7" t="str">
        <f>IFERROR(__xludf.DUMMYFUNCTION("""COMPUTED_VALUE"""),"038086003872")</f>
        <v>038086003872</v>
      </c>
      <c r="N217" s="18">
        <f>IFERROR(__xludf.DUMMYFUNCTION("""COMPUTED_VALUE"""),44455.0)</f>
        <v>44455</v>
      </c>
      <c r="O217" s="7" t="str">
        <f>IFERROR(__xludf.DUMMYFUNCTION("""COMPUTED_VALUE"""),"Cục Cảnh sát QLHC về TTXH")</f>
        <v>Cục Cảnh sát QLHC về TTXH</v>
      </c>
      <c r="P217" s="7" t="str">
        <f>IFERROR(__xludf.DUMMYFUNCTION("""COMPUTED_VALUE"""),"Cao đẳng")</f>
        <v>Cao đẳng</v>
      </c>
      <c r="Q217" s="7" t="str">
        <f>IFERROR(__xludf.DUMMYFUNCTION("""COMPUTED_VALUE"""),"Kế toán")</f>
        <v>Kế toán</v>
      </c>
      <c r="R217" s="17">
        <f>IFERROR(__xludf.DUMMYFUNCTION("""COMPUTED_VALUE"""),42844.0)</f>
        <v>42844</v>
      </c>
      <c r="S217" s="19">
        <f>IFERROR(__xludf.DUMMYFUNCTION("""COMPUTED_VALUE"""),43252.0)</f>
        <v>43252</v>
      </c>
      <c r="T217" s="7" t="str">
        <f>IFERROR(__xludf.DUMMYFUNCTION("""COMPUTED_VALUE"""),"Chính thức")</f>
        <v>Chính thức</v>
      </c>
      <c r="U217" s="7"/>
      <c r="V217" s="7" t="str">
        <f>IFERROR(__xludf.DUMMYFUNCTION("""COMPUTED_VALUE"""),"Chính thức")</f>
        <v>Chính thức</v>
      </c>
      <c r="W217" s="7" t="str">
        <f>IFERROR(__xludf.DUMMYFUNCTION("""COMPUTED_VALUE"""),"8 năm 8 tháng")</f>
        <v>8 năm 8 tháng</v>
      </c>
      <c r="X217" s="7"/>
      <c r="Y217" s="7"/>
      <c r="Z217" s="7"/>
    </row>
    <row r="218">
      <c r="A218" s="7">
        <f>IFERROR(__xludf.DUMMYFUNCTION("""COMPUTED_VALUE"""),1.0)</f>
        <v>1</v>
      </c>
      <c r="B218" s="7" t="str">
        <f>IFERROR(__xludf.DUMMYFUNCTION("""COMPUTED_VALUE"""),"Văn phòng")</f>
        <v>Văn phòng</v>
      </c>
      <c r="C218" s="7" t="str">
        <f>IFERROR(__xludf.DUMMYFUNCTION("""COMPUTED_VALUE"""),"Phòng Kế toán")</f>
        <v>Phòng Kế toán</v>
      </c>
      <c r="D218" s="7" t="str">
        <f>IFERROR(__xludf.DUMMYFUNCTION("""COMPUTED_VALUE"""),"Kế toán công nợ và bán hàng")</f>
        <v>Kế toán công nợ và bán hàng</v>
      </c>
      <c r="E218" s="7" t="str">
        <f>IFERROR(__xludf.DUMMYFUNCTION("""COMPUTED_VALUE"""),"Kế toán bán hàng + Phụ trách công nợ")</f>
        <v>Kế toán bán hàng + Phụ trách công nợ</v>
      </c>
      <c r="F218" s="7" t="str">
        <f>IFERROR(__xludf.DUMMYFUNCTION("""COMPUTED_VALUE"""),"NV0078")</f>
        <v>NV0078</v>
      </c>
      <c r="G218" s="7">
        <f>IFERROR(__xludf.DUMMYFUNCTION("""COMPUTED_VALUE"""),43.0)</f>
        <v>43</v>
      </c>
      <c r="H218" s="7" t="str">
        <f>IFERROR(__xludf.DUMMYFUNCTION("""COMPUTED_VALUE"""),"Phạm Thị Vân")</f>
        <v>Phạm Thị Vân</v>
      </c>
      <c r="I218" s="7" t="str">
        <f>IFERROR(__xludf.DUMMYFUNCTION("""COMPUTED_VALUE"""),"Nữ")</f>
        <v>Nữ</v>
      </c>
      <c r="J218" s="17">
        <f>IFERROR(__xludf.DUMMYFUNCTION("""COMPUTED_VALUE"""),32415.0)</f>
        <v>32415</v>
      </c>
      <c r="K218" s="7" t="str">
        <f>IFERROR(__xludf.DUMMYFUNCTION("""COMPUTED_VALUE"""),"Phòng 305 - Chung Cư Đông Phát - 16 D1 - Phường Đông Vệ - Thành Phố Thanh Hóa")</f>
        <v>Phòng 305 - Chung Cư Đông Phát - 16 D1 - Phường Đông Vệ - Thành Phố Thanh Hóa</v>
      </c>
      <c r="L218" s="7" t="str">
        <f>IFERROR(__xludf.DUMMYFUNCTION("""COMPUTED_VALUE"""),"0932371485")</f>
        <v>0932371485</v>
      </c>
      <c r="M218" s="7" t="str">
        <f>IFERROR(__xludf.DUMMYFUNCTION("""COMPUTED_VALUE"""),"031188011271")</f>
        <v>031188011271</v>
      </c>
      <c r="N218" s="18">
        <f>IFERROR(__xludf.DUMMYFUNCTION("""COMPUTED_VALUE"""),44105.0)</f>
        <v>44105</v>
      </c>
      <c r="O218" s="7" t="str">
        <f>IFERROR(__xludf.DUMMYFUNCTION("""COMPUTED_VALUE"""),"Cục Cảnh sát QLHC về TTXH")</f>
        <v>Cục Cảnh sát QLHC về TTXH</v>
      </c>
      <c r="P218" s="7" t="str">
        <f>IFERROR(__xludf.DUMMYFUNCTION("""COMPUTED_VALUE"""),"Đại học")</f>
        <v>Đại học</v>
      </c>
      <c r="Q218" s="7" t="str">
        <f>IFERROR(__xludf.DUMMYFUNCTION("""COMPUTED_VALUE"""),"Kế toán")</f>
        <v>Kế toán</v>
      </c>
      <c r="R218" s="17">
        <f>IFERROR(__xludf.DUMMYFUNCTION("""COMPUTED_VALUE"""),42151.0)</f>
        <v>42151</v>
      </c>
      <c r="S218" s="19">
        <f>IFERROR(__xludf.DUMMYFUNCTION("""COMPUTED_VALUE"""),42151.0)</f>
        <v>42151</v>
      </c>
      <c r="T218" s="7" t="str">
        <f>IFERROR(__xludf.DUMMYFUNCTION("""COMPUTED_VALUE"""),"Chính thức")</f>
        <v>Chính thức</v>
      </c>
      <c r="U218" s="7"/>
      <c r="V218" s="7" t="str">
        <f>IFERROR(__xludf.DUMMYFUNCTION("""COMPUTED_VALUE"""),"Chính thức")</f>
        <v>Chính thức</v>
      </c>
      <c r="W218" s="7" t="str">
        <f>IFERROR(__xludf.DUMMYFUNCTION("""COMPUTED_VALUE"""),"10 năm 7 tháng")</f>
        <v>10 năm 7 tháng</v>
      </c>
      <c r="X218" s="7"/>
      <c r="Y218" s="7"/>
      <c r="Z218" s="7"/>
    </row>
    <row r="219">
      <c r="A219" s="7">
        <f>IFERROR(__xludf.DUMMYFUNCTION("""COMPUTED_VALUE"""),2.0)</f>
        <v>2</v>
      </c>
      <c r="B219" s="7" t="str">
        <f>IFERROR(__xludf.DUMMYFUNCTION("""COMPUTED_VALUE"""),"Văn phòng")</f>
        <v>Văn phòng</v>
      </c>
      <c r="C219" s="7" t="str">
        <f>IFERROR(__xludf.DUMMYFUNCTION("""COMPUTED_VALUE"""),"Phòng Kế toán")</f>
        <v>Phòng Kế toán</v>
      </c>
      <c r="D219" s="7" t="str">
        <f>IFERROR(__xludf.DUMMYFUNCTION("""COMPUTED_VALUE"""),"Kế toán công nợ và bán hàng")</f>
        <v>Kế toán công nợ và bán hàng</v>
      </c>
      <c r="E219" s="7" t="str">
        <f>IFERROR(__xludf.DUMMYFUNCTION("""COMPUTED_VALUE"""),"Kế toán bán hàng + Phụ trách công nợ")</f>
        <v>Kế toán bán hàng + Phụ trách công nợ</v>
      </c>
      <c r="F219" s="7" t="str">
        <f>IFERROR(__xludf.DUMMYFUNCTION("""COMPUTED_VALUE"""),"NV0037")</f>
        <v>NV0037</v>
      </c>
      <c r="G219" s="7">
        <f>IFERROR(__xludf.DUMMYFUNCTION("""COMPUTED_VALUE"""),48.0)</f>
        <v>48</v>
      </c>
      <c r="H219" s="7" t="str">
        <f>IFERROR(__xludf.DUMMYFUNCTION("""COMPUTED_VALUE"""),"Lê Bật Truật")</f>
        <v>Lê Bật Truật</v>
      </c>
      <c r="I219" s="7" t="str">
        <f>IFERROR(__xludf.DUMMYFUNCTION("""COMPUTED_VALUE"""),"Nam")</f>
        <v>Nam</v>
      </c>
      <c r="J219" s="17">
        <f>IFERROR(__xludf.DUMMYFUNCTION("""COMPUTED_VALUE"""),33704.0)</f>
        <v>33704</v>
      </c>
      <c r="K219" s="7" t="str">
        <f>IFERROR(__xludf.DUMMYFUNCTION("""COMPUTED_VALUE"""),"Thôn Đình Sen, Xã Hoằng Phong, Huyện Hoằng Hóa, Tỉnh Thanh Hóa")</f>
        <v>Thôn Đình Sen, Xã Hoằng Phong, Huyện Hoằng Hóa, Tỉnh Thanh Hóa</v>
      </c>
      <c r="L219" s="7" t="str">
        <f>IFERROR(__xludf.DUMMYFUNCTION("""COMPUTED_VALUE"""),"0373552962")</f>
        <v>0373552962</v>
      </c>
      <c r="M219" s="7" t="str">
        <f>IFERROR(__xludf.DUMMYFUNCTION("""COMPUTED_VALUE"""),"038092019151")</f>
        <v>038092019151</v>
      </c>
      <c r="N219" s="18">
        <f>IFERROR(__xludf.DUMMYFUNCTION("""COMPUTED_VALUE"""),43978.0)</f>
        <v>43978</v>
      </c>
      <c r="O219" s="7" t="str">
        <f>IFERROR(__xludf.DUMMYFUNCTION("""COMPUTED_VALUE"""),"Cục Cảnh sát QLHC về TTXH")</f>
        <v>Cục Cảnh sát QLHC về TTXH</v>
      </c>
      <c r="P219" s="7" t="str">
        <f>IFERROR(__xludf.DUMMYFUNCTION("""COMPUTED_VALUE"""),"Đại học")</f>
        <v>Đại học</v>
      </c>
      <c r="Q219" s="7" t="str">
        <f>IFERROR(__xludf.DUMMYFUNCTION("""COMPUTED_VALUE"""),"Kế toán tổng hợp")</f>
        <v>Kế toán tổng hợp</v>
      </c>
      <c r="R219" s="17">
        <f>IFERROR(__xludf.DUMMYFUNCTION("""COMPUTED_VALUE"""),41915.0)</f>
        <v>41915</v>
      </c>
      <c r="S219" s="19">
        <f>IFERROR(__xludf.DUMMYFUNCTION("""COMPUTED_VALUE"""),41915.0)</f>
        <v>41915</v>
      </c>
      <c r="T219" s="7" t="str">
        <f>IFERROR(__xludf.DUMMYFUNCTION("""COMPUTED_VALUE"""),"Chính thức")</f>
        <v>Chính thức</v>
      </c>
      <c r="U219" s="7"/>
      <c r="V219" s="7" t="str">
        <f>IFERROR(__xludf.DUMMYFUNCTION("""COMPUTED_VALUE"""),"Chính thức")</f>
        <v>Chính thức</v>
      </c>
      <c r="W219" s="7" t="str">
        <f>IFERROR(__xludf.DUMMYFUNCTION("""COMPUTED_VALUE"""),"11 năm 2 tháng")</f>
        <v>11 năm 2 tháng</v>
      </c>
      <c r="X219" s="7"/>
      <c r="Y219" s="7"/>
      <c r="Z219" s="7"/>
    </row>
    <row r="220">
      <c r="A220" s="7">
        <f>IFERROR(__xludf.DUMMYFUNCTION("""COMPUTED_VALUE"""),3.0)</f>
        <v>3</v>
      </c>
      <c r="B220" s="7" t="str">
        <f>IFERROR(__xludf.DUMMYFUNCTION("""COMPUTED_VALUE"""),"Văn phòng")</f>
        <v>Văn phòng</v>
      </c>
      <c r="C220" s="7" t="str">
        <f>IFERROR(__xludf.DUMMYFUNCTION("""COMPUTED_VALUE"""),"Phòng Kế toán")</f>
        <v>Phòng Kế toán</v>
      </c>
      <c r="D220" s="7" t="str">
        <f>IFERROR(__xludf.DUMMYFUNCTION("""COMPUTED_VALUE"""),"Kế toán công nợ và bán hàng")</f>
        <v>Kế toán công nợ và bán hàng</v>
      </c>
      <c r="E220" s="7" t="str">
        <f>IFERROR(__xludf.DUMMYFUNCTION("""COMPUTED_VALUE"""),"Kế toán bán hàng + Phụ trách công nợ")</f>
        <v>Kế toán bán hàng + Phụ trách công nợ</v>
      </c>
      <c r="F220" s="7" t="str">
        <f>IFERROR(__xludf.DUMMYFUNCTION("""COMPUTED_VALUE"""),"NV4081")</f>
        <v>NV4081</v>
      </c>
      <c r="G220" s="7">
        <f>IFERROR(__xludf.DUMMYFUNCTION("""COMPUTED_VALUE"""),46.0)</f>
        <v>46</v>
      </c>
      <c r="H220" s="7" t="str">
        <f>IFERROR(__xludf.DUMMYFUNCTION("""COMPUTED_VALUE"""),"Lê Thị Thanh Thúy")</f>
        <v>Lê Thị Thanh Thúy</v>
      </c>
      <c r="I220" s="7" t="str">
        <f>IFERROR(__xludf.DUMMYFUNCTION("""COMPUTED_VALUE"""),"Nữ")</f>
        <v>Nữ</v>
      </c>
      <c r="J220" s="17">
        <f>IFERROR(__xludf.DUMMYFUNCTION("""COMPUTED_VALUE"""),32805.0)</f>
        <v>32805</v>
      </c>
      <c r="K220" s="7" t="str">
        <f>IFERROR(__xludf.DUMMYFUNCTION("""COMPUTED_VALUE"""),"Lô 129 MB90- Phường Đông Vệ - TP.Thanh Hóa")</f>
        <v>Lô 129 MB90- Phường Đông Vệ - TP.Thanh Hóa</v>
      </c>
      <c r="L220" s="7" t="str">
        <f>IFERROR(__xludf.DUMMYFUNCTION("""COMPUTED_VALUE"""),"0982434952")</f>
        <v>0982434952</v>
      </c>
      <c r="M220" s="7" t="str">
        <f>IFERROR(__xludf.DUMMYFUNCTION("""COMPUTED_VALUE"""),"038189005243")</f>
        <v>038189005243</v>
      </c>
      <c r="N220" s="18">
        <f>IFERROR(__xludf.DUMMYFUNCTION("""COMPUTED_VALUE"""),44375.0)</f>
        <v>44375</v>
      </c>
      <c r="O220" s="7" t="str">
        <f>IFERROR(__xludf.DUMMYFUNCTION("""COMPUTED_VALUE"""),"Cục Cảnh sát QLHC về TTXH")</f>
        <v>Cục Cảnh sát QLHC về TTXH</v>
      </c>
      <c r="P220" s="7" t="str">
        <f>IFERROR(__xludf.DUMMYFUNCTION("""COMPUTED_VALUE"""),"Cử nhân")</f>
        <v>Cử nhân</v>
      </c>
      <c r="Q220" s="7" t="str">
        <f>IFERROR(__xludf.DUMMYFUNCTION("""COMPUTED_VALUE"""),"Kế Toán")</f>
        <v>Kế Toán</v>
      </c>
      <c r="R220" s="17">
        <f>IFERROR(__xludf.DUMMYFUNCTION("""COMPUTED_VALUE"""),44634.0)</f>
        <v>44634</v>
      </c>
      <c r="S220" s="19">
        <f>IFERROR(__xludf.DUMMYFUNCTION("""COMPUTED_VALUE"""),44986.0)</f>
        <v>44986</v>
      </c>
      <c r="T220" s="7" t="str">
        <f>IFERROR(__xludf.DUMMYFUNCTION("""COMPUTED_VALUE"""),"Chính thức")</f>
        <v>Chính thức</v>
      </c>
      <c r="U220" s="7"/>
      <c r="V220" s="7" t="str">
        <f>IFERROR(__xludf.DUMMYFUNCTION("""COMPUTED_VALUE"""),"Chính thức")</f>
        <v>Chính thức</v>
      </c>
      <c r="W220" s="7" t="str">
        <f>IFERROR(__xludf.DUMMYFUNCTION("""COMPUTED_VALUE"""),"3 năm 9 tháng")</f>
        <v>3 năm 9 tháng</v>
      </c>
      <c r="X220" s="7"/>
      <c r="Y220" s="7"/>
      <c r="Z220" s="7"/>
    </row>
    <row r="221">
      <c r="A221" s="7">
        <f>IFERROR(__xludf.DUMMYFUNCTION("""COMPUTED_VALUE"""),4.0)</f>
        <v>4</v>
      </c>
      <c r="B221" s="7" t="str">
        <f>IFERROR(__xludf.DUMMYFUNCTION("""COMPUTED_VALUE"""),"Văn phòng")</f>
        <v>Văn phòng</v>
      </c>
      <c r="C221" s="7" t="str">
        <f>IFERROR(__xludf.DUMMYFUNCTION("""COMPUTED_VALUE"""),"Phòng Kế toán")</f>
        <v>Phòng Kế toán</v>
      </c>
      <c r="D221" s="7" t="str">
        <f>IFERROR(__xludf.DUMMYFUNCTION("""COMPUTED_VALUE"""),"Kế toán công nợ và bán hàng")</f>
        <v>Kế toán công nợ và bán hàng</v>
      </c>
      <c r="E221" s="7" t="str">
        <f>IFERROR(__xludf.DUMMYFUNCTION("""COMPUTED_VALUE"""),"Nhân viên")</f>
        <v>Nhân viên</v>
      </c>
      <c r="F221" s="7" t="str">
        <f>IFERROR(__xludf.DUMMYFUNCTION("""COMPUTED_VALUE"""),"NV1832")</f>
        <v>NV1832</v>
      </c>
      <c r="G221" s="7">
        <f>IFERROR(__xludf.DUMMYFUNCTION("""COMPUTED_VALUE"""),923.0)</f>
        <v>923</v>
      </c>
      <c r="H221" s="7" t="str">
        <f>IFERROR(__xludf.DUMMYFUNCTION("""COMPUTED_VALUE"""),"Lê Thị Lan Anh")</f>
        <v>Lê Thị Lan Anh</v>
      </c>
      <c r="I221" s="7" t="str">
        <f>IFERROR(__xludf.DUMMYFUNCTION("""COMPUTED_VALUE"""),"Nữ")</f>
        <v>Nữ</v>
      </c>
      <c r="J221" s="17">
        <f>IFERROR(__xludf.DUMMYFUNCTION("""COMPUTED_VALUE"""),34125.0)</f>
        <v>34125</v>
      </c>
      <c r="K221" s="7" t="str">
        <f>IFERROR(__xludf.DUMMYFUNCTION("""COMPUTED_VALUE"""),"Thôn Đình Sen -  Xã Hoằng Châu - Tỉnh Thanh Hóa")</f>
        <v>Thôn Đình Sen -  Xã Hoằng Châu - Tỉnh Thanh Hóa</v>
      </c>
      <c r="L221" s="7" t="str">
        <f>IFERROR(__xludf.DUMMYFUNCTION("""COMPUTED_VALUE"""),"0969890135")</f>
        <v>0969890135</v>
      </c>
      <c r="M221" s="7" t="str">
        <f>IFERROR(__xludf.DUMMYFUNCTION("""COMPUTED_VALUE"""),"038193005393")</f>
        <v>038193005393</v>
      </c>
      <c r="N221" s="18">
        <f>IFERROR(__xludf.DUMMYFUNCTION("""COMPUTED_VALUE"""),43055.0)</f>
        <v>43055</v>
      </c>
      <c r="O221" s="7" t="str">
        <f>IFERROR(__xludf.DUMMYFUNCTION("""COMPUTED_VALUE"""),"Cục Cảnh sát QLHC về TTXH")</f>
        <v>Cục Cảnh sát QLHC về TTXH</v>
      </c>
      <c r="P221" s="7" t="str">
        <f>IFERROR(__xludf.DUMMYFUNCTION("""COMPUTED_VALUE"""),"Đại học")</f>
        <v>Đại học</v>
      </c>
      <c r="Q221" s="7" t="str">
        <f>IFERROR(__xludf.DUMMYFUNCTION("""COMPUTED_VALUE"""),"Tài chính ngân hàng")</f>
        <v>Tài chính ngân hàng</v>
      </c>
      <c r="R221" s="17">
        <f>IFERROR(__xludf.DUMMYFUNCTION("""COMPUTED_VALUE"""),45790.0)</f>
        <v>45790</v>
      </c>
      <c r="S221" s="19">
        <f>IFERROR(__xludf.DUMMYFUNCTION("""COMPUTED_VALUE"""),45790.0)</f>
        <v>45790</v>
      </c>
      <c r="T221" s="7" t="str">
        <f>IFERROR(__xludf.DUMMYFUNCTION("""COMPUTED_VALUE"""),"Chính thức")</f>
        <v>Chính thức</v>
      </c>
      <c r="U221" s="7"/>
      <c r="V221" s="7" t="str">
        <f>IFERROR(__xludf.DUMMYFUNCTION("""COMPUTED_VALUE"""),"Chính thức")</f>
        <v>Chính thức</v>
      </c>
      <c r="W221" s="7" t="str">
        <f>IFERROR(__xludf.DUMMYFUNCTION("""COMPUTED_VALUE"""),"0 năm 7 tháng")</f>
        <v>0 năm 7 tháng</v>
      </c>
      <c r="X221" s="7"/>
      <c r="Y221" s="7"/>
      <c r="Z221" s="7"/>
    </row>
    <row r="222">
      <c r="A222" s="7">
        <f>IFERROR(__xludf.DUMMYFUNCTION("""COMPUTED_VALUE"""),1.0)</f>
        <v>1</v>
      </c>
      <c r="B222" s="7" t="str">
        <f>IFERROR(__xludf.DUMMYFUNCTION("""COMPUTED_VALUE"""),"Văn phòng")</f>
        <v>Văn phòng</v>
      </c>
      <c r="C222" s="7" t="str">
        <f>IFERROR(__xludf.DUMMYFUNCTION("""COMPUTED_VALUE"""),"Phòng Kế toán")</f>
        <v>Phòng Kế toán</v>
      </c>
      <c r="D222" s="7" t="str">
        <f>IFERROR(__xludf.DUMMYFUNCTION("""COMPUTED_VALUE"""),"Tổ phục vụ xuất hàng")</f>
        <v>Tổ phục vụ xuất hàng</v>
      </c>
      <c r="E222" s="7" t="str">
        <f>IFERROR(__xludf.DUMMYFUNCTION("""COMPUTED_VALUE"""),"Nhân viên chỉ hàng")</f>
        <v>Nhân viên chỉ hàng</v>
      </c>
      <c r="F222" s="7" t="str">
        <f>IFERROR(__xludf.DUMMYFUNCTION("""COMPUTED_VALUE"""),"NV2312")</f>
        <v>NV2312</v>
      </c>
      <c r="G222" s="7">
        <f>IFERROR(__xludf.DUMMYFUNCTION("""COMPUTED_VALUE"""),59.0)</f>
        <v>59</v>
      </c>
      <c r="H222" s="7" t="str">
        <f>IFERROR(__xludf.DUMMYFUNCTION("""COMPUTED_VALUE"""),"Nguyễn Thị Hà")</f>
        <v>Nguyễn Thị Hà</v>
      </c>
      <c r="I222" s="7" t="str">
        <f>IFERROR(__xludf.DUMMYFUNCTION("""COMPUTED_VALUE"""),"Nữ")</f>
        <v>Nữ</v>
      </c>
      <c r="J222" s="17">
        <f>IFERROR(__xludf.DUMMYFUNCTION("""COMPUTED_VALUE"""),27718.0)</f>
        <v>27718</v>
      </c>
      <c r="K222" s="7" t="str">
        <f>IFERROR(__xludf.DUMMYFUNCTION("""COMPUTED_VALUE"""),"Thôn 8, Xã Hoằng Trạch, Huyện Hoằng Hóa, Thanh Hóa,")</f>
        <v>Thôn 8, Xã Hoằng Trạch, Huyện Hoằng Hóa, Thanh Hóa,</v>
      </c>
      <c r="L222" s="7" t="str">
        <f>IFERROR(__xludf.DUMMYFUNCTION("""COMPUTED_VALUE"""),"0394828895")</f>
        <v>0394828895</v>
      </c>
      <c r="M222" s="7" t="str">
        <f>IFERROR(__xludf.DUMMYFUNCTION("""COMPUTED_VALUE"""),"038175006476")</f>
        <v>038175006476</v>
      </c>
      <c r="N222" s="18">
        <f>IFERROR(__xludf.DUMMYFUNCTION("""COMPUTED_VALUE"""),44419.0)</f>
        <v>44419</v>
      </c>
      <c r="O222" s="7" t="str">
        <f>IFERROR(__xludf.DUMMYFUNCTION("""COMPUTED_VALUE"""),"Cục Cảnh sát QLHC về TTXH")</f>
        <v>Cục Cảnh sát QLHC về TTXH</v>
      </c>
      <c r="P222" s="7" t="str">
        <f>IFERROR(__xludf.DUMMYFUNCTION("""COMPUTED_VALUE"""),"LĐPT")</f>
        <v>LĐPT</v>
      </c>
      <c r="Q222" s="7" t="str">
        <f>IFERROR(__xludf.DUMMYFUNCTION("""COMPUTED_VALUE"""),"Lao động phổ thông")</f>
        <v>Lao động phổ thông</v>
      </c>
      <c r="R222" s="17">
        <f>IFERROR(__xludf.DUMMYFUNCTION("""COMPUTED_VALUE"""),43570.0)</f>
        <v>43570</v>
      </c>
      <c r="S222" s="19">
        <f>IFERROR(__xludf.DUMMYFUNCTION("""COMPUTED_VALUE"""),43570.0)</f>
        <v>43570</v>
      </c>
      <c r="T222" s="7" t="str">
        <f>IFERROR(__xludf.DUMMYFUNCTION("""COMPUTED_VALUE"""),"Chính thức")</f>
        <v>Chính thức</v>
      </c>
      <c r="U222" s="7"/>
      <c r="V222" s="7" t="str">
        <f>IFERROR(__xludf.DUMMYFUNCTION("""COMPUTED_VALUE"""),"Chính thức")</f>
        <v>Chính thức</v>
      </c>
      <c r="W222" s="7" t="str">
        <f>IFERROR(__xludf.DUMMYFUNCTION("""COMPUTED_VALUE"""),"6 năm 8 tháng")</f>
        <v>6 năm 8 tháng</v>
      </c>
      <c r="X222" s="7"/>
      <c r="Y222" s="7"/>
      <c r="Z222" s="7"/>
    </row>
    <row r="223">
      <c r="A223" s="7">
        <f>IFERROR(__xludf.DUMMYFUNCTION("""COMPUTED_VALUE"""),2.0)</f>
        <v>2</v>
      </c>
      <c r="B223" s="7" t="str">
        <f>IFERROR(__xludf.DUMMYFUNCTION("""COMPUTED_VALUE"""),"Văn phòng")</f>
        <v>Văn phòng</v>
      </c>
      <c r="C223" s="7" t="str">
        <f>IFERROR(__xludf.DUMMYFUNCTION("""COMPUTED_VALUE"""),"Phòng Kế toán")</f>
        <v>Phòng Kế toán</v>
      </c>
      <c r="D223" s="7" t="str">
        <f>IFERROR(__xludf.DUMMYFUNCTION("""COMPUTED_VALUE"""),"Tổ phục vụ xuất hàng")</f>
        <v>Tổ phục vụ xuất hàng</v>
      </c>
      <c r="E223" s="7" t="str">
        <f>IFERROR(__xludf.DUMMYFUNCTION("""COMPUTED_VALUE"""),"Nhân viên lái xe chuyển tải")</f>
        <v>Nhân viên lái xe chuyển tải</v>
      </c>
      <c r="F223" s="7" t="str">
        <f>IFERROR(__xludf.DUMMYFUNCTION("""COMPUTED_VALUE"""),"NV4483")</f>
        <v>NV4483</v>
      </c>
      <c r="G223" s="7">
        <f>IFERROR(__xludf.DUMMYFUNCTION("""COMPUTED_VALUE"""),93.0)</f>
        <v>93</v>
      </c>
      <c r="H223" s="7" t="str">
        <f>IFERROR(__xludf.DUMMYFUNCTION("""COMPUTED_VALUE"""),"Trần Trí Cảnh")</f>
        <v>Trần Trí Cảnh</v>
      </c>
      <c r="I223" s="7" t="str">
        <f>IFERROR(__xludf.DUMMYFUNCTION("""COMPUTED_VALUE"""),"Nam")</f>
        <v>Nam</v>
      </c>
      <c r="J223" s="17">
        <f>IFERROR(__xludf.DUMMYFUNCTION("""COMPUTED_VALUE"""),30053.0)</f>
        <v>30053</v>
      </c>
      <c r="K223" s="7" t="str">
        <f>IFERROR(__xludf.DUMMYFUNCTION("""COMPUTED_VALUE"""),"Phường Quảng Tiến, thành phố Sầm Sơn, tỉnh Thanh Hóa")</f>
        <v>Phường Quảng Tiến, thành phố Sầm Sơn, tỉnh Thanh Hóa</v>
      </c>
      <c r="L223" s="7" t="str">
        <f>IFERROR(__xludf.DUMMYFUNCTION("""COMPUTED_VALUE"""),"0987424475")</f>
        <v>0987424475</v>
      </c>
      <c r="M223" s="7" t="str">
        <f>IFERROR(__xludf.DUMMYFUNCTION("""COMPUTED_VALUE"""),"038082035501")</f>
        <v>038082035501</v>
      </c>
      <c r="N223" s="18">
        <f>IFERROR(__xludf.DUMMYFUNCTION("""COMPUTED_VALUE"""),44418.0)</f>
        <v>44418</v>
      </c>
      <c r="O223" s="7" t="str">
        <f>IFERROR(__xludf.DUMMYFUNCTION("""COMPUTED_VALUE"""),"Cục Cảnh sát QLHC về TTXH")</f>
        <v>Cục Cảnh sát QLHC về TTXH</v>
      </c>
      <c r="P223" s="7" t="str">
        <f>IFERROR(__xludf.DUMMYFUNCTION("""COMPUTED_VALUE"""),"Bằng nghề")</f>
        <v>Bằng nghề</v>
      </c>
      <c r="Q223" s="7" t="str">
        <f>IFERROR(__xludf.DUMMYFUNCTION("""COMPUTED_VALUE"""),"Lái xe hạng C")</f>
        <v>Lái xe hạng C</v>
      </c>
      <c r="R223" s="17">
        <f>IFERROR(__xludf.DUMMYFUNCTION("""COMPUTED_VALUE"""),44826.0)</f>
        <v>44826</v>
      </c>
      <c r="S223" s="19">
        <f>IFERROR(__xludf.DUMMYFUNCTION("""COMPUTED_VALUE"""),45292.0)</f>
        <v>45292</v>
      </c>
      <c r="T223" s="7" t="str">
        <f>IFERROR(__xludf.DUMMYFUNCTION("""COMPUTED_VALUE"""),"Chính thức")</f>
        <v>Chính thức</v>
      </c>
      <c r="U223" s="7"/>
      <c r="V223" s="7" t="str">
        <f>IFERROR(__xludf.DUMMYFUNCTION("""COMPUTED_VALUE"""),"Chính thức")</f>
        <v>Chính thức</v>
      </c>
      <c r="W223" s="7" t="str">
        <f>IFERROR(__xludf.DUMMYFUNCTION("""COMPUTED_VALUE"""),"3 năm 3 tháng")</f>
        <v>3 năm 3 tháng</v>
      </c>
      <c r="X223" s="7"/>
      <c r="Y223" s="7"/>
      <c r="Z223" s="7"/>
    </row>
    <row r="224">
      <c r="A224" s="7">
        <f>IFERROR(__xludf.DUMMYFUNCTION("""COMPUTED_VALUE"""),3.0)</f>
        <v>3</v>
      </c>
      <c r="B224" s="7" t="str">
        <f>IFERROR(__xludf.DUMMYFUNCTION("""COMPUTED_VALUE"""),"Văn phòng")</f>
        <v>Văn phòng</v>
      </c>
      <c r="C224" s="7" t="str">
        <f>IFERROR(__xludf.DUMMYFUNCTION("""COMPUTED_VALUE"""),"Phòng Kế toán")</f>
        <v>Phòng Kế toán</v>
      </c>
      <c r="D224" s="7" t="str">
        <f>IFERROR(__xludf.DUMMYFUNCTION("""COMPUTED_VALUE"""),"Tổ phục vụ xuất hàng")</f>
        <v>Tổ phục vụ xuất hàng</v>
      </c>
      <c r="E224" s="7" t="str">
        <f>IFERROR(__xludf.DUMMYFUNCTION("""COMPUTED_VALUE"""),"Nhân viên chỉ hàng")</f>
        <v>Nhân viên chỉ hàng</v>
      </c>
      <c r="F224" s="7" t="str">
        <f>IFERROR(__xludf.DUMMYFUNCTION("""COMPUTED_VALUE"""),"NV0080")</f>
        <v>NV0080</v>
      </c>
      <c r="G224" s="7">
        <f>IFERROR(__xludf.DUMMYFUNCTION("""COMPUTED_VALUE"""),78.0)</f>
        <v>78</v>
      </c>
      <c r="H224" s="7" t="str">
        <f>IFERROR(__xludf.DUMMYFUNCTION("""COMPUTED_VALUE"""),"Lê Thị Ái")</f>
        <v>Lê Thị Ái</v>
      </c>
      <c r="I224" s="7" t="str">
        <f>IFERROR(__xludf.DUMMYFUNCTION("""COMPUTED_VALUE"""),"Nữ")</f>
        <v>Nữ</v>
      </c>
      <c r="J224" s="17">
        <f>IFERROR(__xludf.DUMMYFUNCTION("""COMPUTED_VALUE"""),31050.0)</f>
        <v>31050</v>
      </c>
      <c r="K224" s="7" t="str">
        <f>IFERROR(__xludf.DUMMYFUNCTION("""COMPUTED_VALUE"""),"Xã Hoằng Trạch, Huyện Hoằng Hóa, Tỉnh Thanh Hóa,")</f>
        <v>Xã Hoằng Trạch, Huyện Hoằng Hóa, Tỉnh Thanh Hóa,</v>
      </c>
      <c r="L224" s="7" t="str">
        <f>IFERROR(__xludf.DUMMYFUNCTION("""COMPUTED_VALUE"""),"0965562916")</f>
        <v>0965562916</v>
      </c>
      <c r="M224" s="7" t="str">
        <f>IFERROR(__xludf.DUMMYFUNCTION("""COMPUTED_VALUE"""),"038185020526")</f>
        <v>038185020526</v>
      </c>
      <c r="N224" s="18">
        <f>IFERROR(__xludf.DUMMYFUNCTION("""COMPUTED_VALUE"""),44568.0)</f>
        <v>44568</v>
      </c>
      <c r="O224" s="7" t="str">
        <f>IFERROR(__xludf.DUMMYFUNCTION("""COMPUTED_VALUE"""),"Cục Cảnh sát QLHC về TTXH")</f>
        <v>Cục Cảnh sát QLHC về TTXH</v>
      </c>
      <c r="P224" s="7" t="str">
        <f>IFERROR(__xludf.DUMMYFUNCTION("""COMPUTED_VALUE"""),"LĐPT")</f>
        <v>LĐPT</v>
      </c>
      <c r="Q224" s="7" t="str">
        <f>IFERROR(__xludf.DUMMYFUNCTION("""COMPUTED_VALUE"""),"Lao động phổ thông")</f>
        <v>Lao động phổ thông</v>
      </c>
      <c r="R224" s="17">
        <f>IFERROR(__xludf.DUMMYFUNCTION("""COMPUTED_VALUE"""),37956.0)</f>
        <v>37956</v>
      </c>
      <c r="S224" s="19">
        <f>IFERROR(__xludf.DUMMYFUNCTION("""COMPUTED_VALUE"""),37956.0)</f>
        <v>37956</v>
      </c>
      <c r="T224" s="7" t="str">
        <f>IFERROR(__xludf.DUMMYFUNCTION("""COMPUTED_VALUE"""),"Chính thức")</f>
        <v>Chính thức</v>
      </c>
      <c r="U224" s="7"/>
      <c r="V224" s="7" t="str">
        <f>IFERROR(__xludf.DUMMYFUNCTION("""COMPUTED_VALUE"""),"Chính thức")</f>
        <v>Chính thức</v>
      </c>
      <c r="W224" s="7" t="str">
        <f>IFERROR(__xludf.DUMMYFUNCTION("""COMPUTED_VALUE"""),"22 năm 0 tháng")</f>
        <v>22 năm 0 tháng</v>
      </c>
      <c r="X224" s="7"/>
      <c r="Y224" s="7"/>
      <c r="Z224" s="7"/>
    </row>
    <row r="225">
      <c r="A225" s="7">
        <f>IFERROR(__xludf.DUMMYFUNCTION("""COMPUTED_VALUE"""),4.0)</f>
        <v>4</v>
      </c>
      <c r="B225" s="7" t="str">
        <f>IFERROR(__xludf.DUMMYFUNCTION("""COMPUTED_VALUE"""),"Văn phòng")</f>
        <v>Văn phòng</v>
      </c>
      <c r="C225" s="7" t="str">
        <f>IFERROR(__xludf.DUMMYFUNCTION("""COMPUTED_VALUE"""),"Phòng Kế toán")</f>
        <v>Phòng Kế toán</v>
      </c>
      <c r="D225" s="7" t="str">
        <f>IFERROR(__xludf.DUMMYFUNCTION("""COMPUTED_VALUE"""),"Tổ phục vụ xuất hàng")</f>
        <v>Tổ phục vụ xuất hàng</v>
      </c>
      <c r="E225" s="7" t="str">
        <f>IFERROR(__xludf.DUMMYFUNCTION("""COMPUTED_VALUE"""),"Nhân viên chỉ hàng")</f>
        <v>Nhân viên chỉ hàng</v>
      </c>
      <c r="F225" s="7" t="str">
        <f>IFERROR(__xludf.DUMMYFUNCTION("""COMPUTED_VALUE"""),"NV0082")</f>
        <v>NV0082</v>
      </c>
      <c r="G225" s="7">
        <f>IFERROR(__xludf.DUMMYFUNCTION("""COMPUTED_VALUE"""),754.0)</f>
        <v>754</v>
      </c>
      <c r="H225" s="7" t="str">
        <f>IFERROR(__xludf.DUMMYFUNCTION("""COMPUTED_VALUE"""),"Trần Thị Hà")</f>
        <v>Trần Thị Hà</v>
      </c>
      <c r="I225" s="7" t="str">
        <f>IFERROR(__xludf.DUMMYFUNCTION("""COMPUTED_VALUE"""),"Nữ")</f>
        <v>Nữ</v>
      </c>
      <c r="J225" s="17">
        <f>IFERROR(__xludf.DUMMYFUNCTION("""COMPUTED_VALUE"""),32059.0)</f>
        <v>32059</v>
      </c>
      <c r="K225" s="7" t="str">
        <f>IFERROR(__xludf.DUMMYFUNCTION("""COMPUTED_VALUE"""),"Xã Đông Hải, Thành phố Thanh Hóa")</f>
        <v>Xã Đông Hải, Thành phố Thanh Hóa</v>
      </c>
      <c r="L225" s="7" t="str">
        <f>IFERROR(__xludf.DUMMYFUNCTION("""COMPUTED_VALUE"""),"0362258098")</f>
        <v>0362258098</v>
      </c>
      <c r="M225" s="7" t="str">
        <f>IFERROR(__xludf.DUMMYFUNCTION("""COMPUTED_VALUE"""),"038187009833")</f>
        <v>038187009833</v>
      </c>
      <c r="N225" s="18">
        <f>IFERROR(__xludf.DUMMYFUNCTION("""COMPUTED_VALUE"""),44288.0)</f>
        <v>44288</v>
      </c>
      <c r="O225" s="7" t="str">
        <f>IFERROR(__xludf.DUMMYFUNCTION("""COMPUTED_VALUE"""),"Cục Cảnh sát QLHC về TTXH")</f>
        <v>Cục Cảnh sát QLHC về TTXH</v>
      </c>
      <c r="P225" s="7" t="str">
        <f>IFERROR(__xludf.DUMMYFUNCTION("""COMPUTED_VALUE"""),"LĐPT")</f>
        <v>LĐPT</v>
      </c>
      <c r="Q225" s="7" t="str">
        <f>IFERROR(__xludf.DUMMYFUNCTION("""COMPUTED_VALUE"""),"Lao động phổ thông")</f>
        <v>Lao động phổ thông</v>
      </c>
      <c r="R225" s="17">
        <f>IFERROR(__xludf.DUMMYFUNCTION("""COMPUTED_VALUE"""),38838.0)</f>
        <v>38838</v>
      </c>
      <c r="S225" s="19">
        <f>IFERROR(__xludf.DUMMYFUNCTION("""COMPUTED_VALUE"""),38838.0)</f>
        <v>38838</v>
      </c>
      <c r="T225" s="7" t="str">
        <f>IFERROR(__xludf.DUMMYFUNCTION("""COMPUTED_VALUE"""),"Chính thức")</f>
        <v>Chính thức</v>
      </c>
      <c r="U225" s="7"/>
      <c r="V225" s="7" t="str">
        <f>IFERROR(__xludf.DUMMYFUNCTION("""COMPUTED_VALUE"""),"Chính thức")</f>
        <v>Chính thức</v>
      </c>
      <c r="W225" s="7" t="str">
        <f>IFERROR(__xludf.DUMMYFUNCTION("""COMPUTED_VALUE"""),"19 năm 7 tháng")</f>
        <v>19 năm 7 tháng</v>
      </c>
      <c r="X225" s="7"/>
      <c r="Y225" s="7"/>
      <c r="Z225" s="7"/>
    </row>
    <row r="226">
      <c r="A226" s="7">
        <f>IFERROR(__xludf.DUMMYFUNCTION("""COMPUTED_VALUE"""),5.0)</f>
        <v>5</v>
      </c>
      <c r="B226" s="7" t="str">
        <f>IFERROR(__xludf.DUMMYFUNCTION("""COMPUTED_VALUE"""),"Văn phòng")</f>
        <v>Văn phòng</v>
      </c>
      <c r="C226" s="7" t="str">
        <f>IFERROR(__xludf.DUMMYFUNCTION("""COMPUTED_VALUE"""),"Phòng Kế toán")</f>
        <v>Phòng Kế toán</v>
      </c>
      <c r="D226" s="7" t="str">
        <f>IFERROR(__xludf.DUMMYFUNCTION("""COMPUTED_VALUE"""),"Tổ phục vụ xuất hàng")</f>
        <v>Tổ phục vụ xuất hàng</v>
      </c>
      <c r="E226" s="7" t="str">
        <f>IFERROR(__xludf.DUMMYFUNCTION("""COMPUTED_VALUE"""),"Nhân viên chỉ hàng")</f>
        <v>Nhân viên chỉ hàng</v>
      </c>
      <c r="F226" s="7" t="str">
        <f>IFERROR(__xludf.DUMMYFUNCTION("""COMPUTED_VALUE"""),"NV4191")</f>
        <v>NV4191</v>
      </c>
      <c r="G226" s="7">
        <f>IFERROR(__xludf.DUMMYFUNCTION("""COMPUTED_VALUE"""),139.0)</f>
        <v>139</v>
      </c>
      <c r="H226" s="7" t="str">
        <f>IFERROR(__xludf.DUMMYFUNCTION("""COMPUTED_VALUE"""),"Mai Đình Cường")</f>
        <v>Mai Đình Cường</v>
      </c>
      <c r="I226" s="7" t="str">
        <f>IFERROR(__xludf.DUMMYFUNCTION("""COMPUTED_VALUE"""),"Nam")</f>
        <v>Nam</v>
      </c>
      <c r="J226" s="17">
        <f>IFERROR(__xludf.DUMMYFUNCTION("""COMPUTED_VALUE"""),31542.0)</f>
        <v>31542</v>
      </c>
      <c r="K226" s="7" t="str">
        <f>IFERROR(__xludf.DUMMYFUNCTION("""COMPUTED_VALUE"""),"Thị Trấn Tân Phong - Quảng Xương - Thanh Hóa")</f>
        <v>Thị Trấn Tân Phong - Quảng Xương - Thanh Hóa</v>
      </c>
      <c r="L226" s="7" t="str">
        <f>IFERROR(__xludf.DUMMYFUNCTION("""COMPUTED_VALUE"""),"0394462920")</f>
        <v>0394462920</v>
      </c>
      <c r="M226" s="7" t="str">
        <f>IFERROR(__xludf.DUMMYFUNCTION("""COMPUTED_VALUE"""),"038086047661")</f>
        <v>038086047661</v>
      </c>
      <c r="N226" s="18">
        <f>IFERROR(__xludf.DUMMYFUNCTION("""COMPUTED_VALUE"""),44420.0)</f>
        <v>44420</v>
      </c>
      <c r="O226" s="7" t="str">
        <f>IFERROR(__xludf.DUMMYFUNCTION("""COMPUTED_VALUE"""),"Cục Cảnh sát QLHC về TTXH")</f>
        <v>Cục Cảnh sát QLHC về TTXH</v>
      </c>
      <c r="P226" s="7" t="str">
        <f>IFERROR(__xludf.DUMMYFUNCTION("""COMPUTED_VALUE"""),"LĐPT")</f>
        <v>LĐPT</v>
      </c>
      <c r="Q226" s="7" t="str">
        <f>IFERROR(__xludf.DUMMYFUNCTION("""COMPUTED_VALUE"""),"Lao động phổ thông")</f>
        <v>Lao động phổ thông</v>
      </c>
      <c r="R226" s="17">
        <f>IFERROR(__xludf.DUMMYFUNCTION("""COMPUTED_VALUE"""),44695.0)</f>
        <v>44695</v>
      </c>
      <c r="S226" s="19">
        <f>IFERROR(__xludf.DUMMYFUNCTION("""COMPUTED_VALUE"""),45078.0)</f>
        <v>45078</v>
      </c>
      <c r="T226" s="7" t="str">
        <f>IFERROR(__xludf.DUMMYFUNCTION("""COMPUTED_VALUE"""),"Chính thức")</f>
        <v>Chính thức</v>
      </c>
      <c r="U226" s="7"/>
      <c r="V226" s="7" t="str">
        <f>IFERROR(__xludf.DUMMYFUNCTION("""COMPUTED_VALUE"""),"Chính thức")</f>
        <v>Chính thức</v>
      </c>
      <c r="W226" s="7" t="str">
        <f>IFERROR(__xludf.DUMMYFUNCTION("""COMPUTED_VALUE"""),"3 năm 7 tháng")</f>
        <v>3 năm 7 tháng</v>
      </c>
      <c r="X226" s="7"/>
      <c r="Y226" s="7"/>
      <c r="Z226" s="7"/>
    </row>
    <row r="227">
      <c r="A227" s="7">
        <f>IFERROR(__xludf.DUMMYFUNCTION("""COMPUTED_VALUE"""),6.0)</f>
        <v>6</v>
      </c>
      <c r="B227" s="7" t="str">
        <f>IFERROR(__xludf.DUMMYFUNCTION("""COMPUTED_VALUE"""),"Văn phòng")</f>
        <v>Văn phòng</v>
      </c>
      <c r="C227" s="7" t="str">
        <f>IFERROR(__xludf.DUMMYFUNCTION("""COMPUTED_VALUE"""),"Phòng Kế toán")</f>
        <v>Phòng Kế toán</v>
      </c>
      <c r="D227" s="7" t="str">
        <f>IFERROR(__xludf.DUMMYFUNCTION("""COMPUTED_VALUE"""),"Tổ phục vụ xuất hàng")</f>
        <v>Tổ phục vụ xuất hàng</v>
      </c>
      <c r="E227" s="7" t="str">
        <f>IFERROR(__xludf.DUMMYFUNCTION("""COMPUTED_VALUE"""),"Nhân viên Sơ chế")</f>
        <v>Nhân viên Sơ chế</v>
      </c>
      <c r="F227" s="7" t="str">
        <f>IFERROR(__xludf.DUMMYFUNCTION("""COMPUTED_VALUE"""),"NV0736")</f>
        <v>NV0736</v>
      </c>
      <c r="G227" s="7">
        <f>IFERROR(__xludf.DUMMYFUNCTION("""COMPUTED_VALUE"""),99.0)</f>
        <v>99</v>
      </c>
      <c r="H227" s="7" t="str">
        <f>IFERROR(__xludf.DUMMYFUNCTION("""COMPUTED_VALUE"""),"Hoàng Đức Bình")</f>
        <v>Hoàng Đức Bình</v>
      </c>
      <c r="I227" s="7" t="str">
        <f>IFERROR(__xludf.DUMMYFUNCTION("""COMPUTED_VALUE"""),"Nam")</f>
        <v>Nam</v>
      </c>
      <c r="J227" s="17">
        <f>IFERROR(__xludf.DUMMYFUNCTION("""COMPUTED_VALUE"""),30607.0)</f>
        <v>30607</v>
      </c>
      <c r="K227" s="7" t="str">
        <f>IFERROR(__xludf.DUMMYFUNCTION("""COMPUTED_VALUE"""),"Thiệu Vân - Thiệu Hóa - Thanh Hóa")</f>
        <v>Thiệu Vân - Thiệu Hóa - Thanh Hóa</v>
      </c>
      <c r="L227" s="7" t="str">
        <f>IFERROR(__xludf.DUMMYFUNCTION("""COMPUTED_VALUE"""),"0969698330")</f>
        <v>0969698330</v>
      </c>
      <c r="M227" s="7" t="str">
        <f>IFERROR(__xludf.DUMMYFUNCTION("""COMPUTED_VALUE"""),"038083038153")</f>
        <v>038083038153</v>
      </c>
      <c r="N227" s="18">
        <f>IFERROR(__xludf.DUMMYFUNCTION("""COMPUTED_VALUE"""),44422.0)</f>
        <v>44422</v>
      </c>
      <c r="O227" s="7" t="str">
        <f>IFERROR(__xludf.DUMMYFUNCTION("""COMPUTED_VALUE"""),"Cục Cảnh sát QLHC về TTXH")</f>
        <v>Cục Cảnh sát QLHC về TTXH</v>
      </c>
      <c r="P227" s="7" t="str">
        <f>IFERROR(__xludf.DUMMYFUNCTION("""COMPUTED_VALUE"""),"LĐPT")</f>
        <v>LĐPT</v>
      </c>
      <c r="Q227" s="7" t="str">
        <f>IFERROR(__xludf.DUMMYFUNCTION("""COMPUTED_VALUE"""),"Lao động phổ thông")</f>
        <v>Lao động phổ thông</v>
      </c>
      <c r="R227" s="17">
        <f>IFERROR(__xludf.DUMMYFUNCTION("""COMPUTED_VALUE"""),41951.0)</f>
        <v>41951</v>
      </c>
      <c r="S227" s="19">
        <f>IFERROR(__xludf.DUMMYFUNCTION("""COMPUTED_VALUE"""),41951.0)</f>
        <v>41951</v>
      </c>
      <c r="T227" s="7" t="str">
        <f>IFERROR(__xludf.DUMMYFUNCTION("""COMPUTED_VALUE"""),"Chính thức")</f>
        <v>Chính thức</v>
      </c>
      <c r="U227" s="7"/>
      <c r="V227" s="7" t="str">
        <f>IFERROR(__xludf.DUMMYFUNCTION("""COMPUTED_VALUE"""),"Chính thức")</f>
        <v>Chính thức</v>
      </c>
      <c r="W227" s="7" t="str">
        <f>IFERROR(__xludf.DUMMYFUNCTION("""COMPUTED_VALUE"""),"11 năm 1 tháng")</f>
        <v>11 năm 1 tháng</v>
      </c>
      <c r="X227" s="7"/>
      <c r="Y227" s="7"/>
      <c r="Z227" s="7"/>
    </row>
    <row r="228">
      <c r="A228" s="7">
        <f>IFERROR(__xludf.DUMMYFUNCTION("""COMPUTED_VALUE"""),7.0)</f>
        <v>7</v>
      </c>
      <c r="B228" s="7" t="str">
        <f>IFERROR(__xludf.DUMMYFUNCTION("""COMPUTED_VALUE"""),"Văn phòng")</f>
        <v>Văn phòng</v>
      </c>
      <c r="C228" s="7" t="str">
        <f>IFERROR(__xludf.DUMMYFUNCTION("""COMPUTED_VALUE"""),"Phòng Kế toán")</f>
        <v>Phòng Kế toán</v>
      </c>
      <c r="D228" s="7" t="str">
        <f>IFERROR(__xludf.DUMMYFUNCTION("""COMPUTED_VALUE"""),"Tổ phục vụ xuất hàng")</f>
        <v>Tổ phục vụ xuất hàng</v>
      </c>
      <c r="E228" s="7" t="str">
        <f>IFERROR(__xludf.DUMMYFUNCTION("""COMPUTED_VALUE"""),"Nhân viên Sơ chế")</f>
        <v>Nhân viên Sơ chế</v>
      </c>
      <c r="F228" s="7" t="str">
        <f>IFERROR(__xludf.DUMMYFUNCTION("""COMPUTED_VALUE"""),"NV0737")</f>
        <v>NV0737</v>
      </c>
      <c r="G228" s="7">
        <f>IFERROR(__xludf.DUMMYFUNCTION("""COMPUTED_VALUE"""),98.0)</f>
        <v>98</v>
      </c>
      <c r="H228" s="7" t="str">
        <f>IFERROR(__xludf.DUMMYFUNCTION("""COMPUTED_VALUE"""),"Hoàng Đức Minh")</f>
        <v>Hoàng Đức Minh</v>
      </c>
      <c r="I228" s="7" t="str">
        <f>IFERROR(__xludf.DUMMYFUNCTION("""COMPUTED_VALUE"""),"Nam")</f>
        <v>Nam</v>
      </c>
      <c r="J228" s="17">
        <f>IFERROR(__xludf.DUMMYFUNCTION("""COMPUTED_VALUE"""),28873.0)</f>
        <v>28873</v>
      </c>
      <c r="K228" s="7" t="str">
        <f>IFERROR(__xludf.DUMMYFUNCTION("""COMPUTED_VALUE"""),"Hải Ninh - tĩnh Gia - Thanh Hóa")</f>
        <v>Hải Ninh - tĩnh Gia - Thanh Hóa</v>
      </c>
      <c r="L228" s="7" t="str">
        <f>IFERROR(__xludf.DUMMYFUNCTION("""COMPUTED_VALUE"""),"0977585834")</f>
        <v>0977585834</v>
      </c>
      <c r="M228" s="7" t="str">
        <f>IFERROR(__xludf.DUMMYFUNCTION("""COMPUTED_VALUE"""),"038079007020")</f>
        <v>038079007020</v>
      </c>
      <c r="N228" s="18">
        <f>IFERROR(__xludf.DUMMYFUNCTION("""COMPUTED_VALUE"""),44753.0)</f>
        <v>44753</v>
      </c>
      <c r="O228" s="7" t="str">
        <f>IFERROR(__xludf.DUMMYFUNCTION("""COMPUTED_VALUE"""),"Cục Cảnh sát QLHC về TTXH")</f>
        <v>Cục Cảnh sát QLHC về TTXH</v>
      </c>
      <c r="P228" s="7" t="str">
        <f>IFERROR(__xludf.DUMMYFUNCTION("""COMPUTED_VALUE"""),"LĐPT")</f>
        <v>LĐPT</v>
      </c>
      <c r="Q228" s="7" t="str">
        <f>IFERROR(__xludf.DUMMYFUNCTION("""COMPUTED_VALUE"""),"Lao động phổ thông")</f>
        <v>Lao động phổ thông</v>
      </c>
      <c r="R228" s="17">
        <f>IFERROR(__xludf.DUMMYFUNCTION("""COMPUTED_VALUE"""),41948.0)</f>
        <v>41948</v>
      </c>
      <c r="S228" s="19">
        <f>IFERROR(__xludf.DUMMYFUNCTION("""COMPUTED_VALUE"""),41948.0)</f>
        <v>41948</v>
      </c>
      <c r="T228" s="7" t="str">
        <f>IFERROR(__xludf.DUMMYFUNCTION("""COMPUTED_VALUE"""),"Chính thức")</f>
        <v>Chính thức</v>
      </c>
      <c r="U228" s="7"/>
      <c r="V228" s="7" t="str">
        <f>IFERROR(__xludf.DUMMYFUNCTION("""COMPUTED_VALUE"""),"Chính thức")</f>
        <v>Chính thức</v>
      </c>
      <c r="W228" s="7" t="str">
        <f>IFERROR(__xludf.DUMMYFUNCTION("""COMPUTED_VALUE"""),"11 năm 1 tháng")</f>
        <v>11 năm 1 tháng</v>
      </c>
      <c r="X228" s="7"/>
      <c r="Y228" s="7"/>
      <c r="Z228" s="7"/>
    </row>
    <row r="229">
      <c r="A229" s="7">
        <f>IFERROR(__xludf.DUMMYFUNCTION("""COMPUTED_VALUE"""),8.0)</f>
        <v>8</v>
      </c>
      <c r="B229" s="7" t="str">
        <f>IFERROR(__xludf.DUMMYFUNCTION("""COMPUTED_VALUE"""),"Văn phòng")</f>
        <v>Văn phòng</v>
      </c>
      <c r="C229" s="7" t="str">
        <f>IFERROR(__xludf.DUMMYFUNCTION("""COMPUTED_VALUE"""),"Phòng Kế toán")</f>
        <v>Phòng Kế toán</v>
      </c>
      <c r="D229" s="7" t="str">
        <f>IFERROR(__xludf.DUMMYFUNCTION("""COMPUTED_VALUE"""),"Tổ phục vụ xuất hàng")</f>
        <v>Tổ phục vụ xuất hàng</v>
      </c>
      <c r="E229" s="7" t="str">
        <f>IFERROR(__xludf.DUMMYFUNCTION("""COMPUTED_VALUE"""),"Nhân viên Sơ chế")</f>
        <v>Nhân viên Sơ chế</v>
      </c>
      <c r="F229" s="7" t="str">
        <f>IFERROR(__xludf.DUMMYFUNCTION("""COMPUTED_VALUE"""),"NV0734")</f>
        <v>NV0734</v>
      </c>
      <c r="G229" s="7">
        <f>IFERROR(__xludf.DUMMYFUNCTION("""COMPUTED_VALUE"""),88.0)</f>
        <v>88</v>
      </c>
      <c r="H229" s="7" t="str">
        <f>IFERROR(__xludf.DUMMYFUNCTION("""COMPUTED_VALUE"""),"Nguyễn Thị Thủy")</f>
        <v>Nguyễn Thị Thủy</v>
      </c>
      <c r="I229" s="7" t="str">
        <f>IFERROR(__xludf.DUMMYFUNCTION("""COMPUTED_VALUE"""),"Nữ")</f>
        <v>Nữ</v>
      </c>
      <c r="J229" s="17">
        <f>IFERROR(__xludf.DUMMYFUNCTION("""COMPUTED_VALUE"""),29178.0)</f>
        <v>29178</v>
      </c>
      <c r="K229" s="7" t="str">
        <f>IFERROR(__xludf.DUMMYFUNCTION("""COMPUTED_VALUE"""),"Đội 6 - Hoằng Trạch - Hoằng Hóa - Thanh Hóa")</f>
        <v>Đội 6 - Hoằng Trạch - Hoằng Hóa - Thanh Hóa</v>
      </c>
      <c r="L229" s="7" t="str">
        <f>IFERROR(__xludf.DUMMYFUNCTION("""COMPUTED_VALUE"""),"0347008277")</f>
        <v>0347008277</v>
      </c>
      <c r="M229" s="7" t="str">
        <f>IFERROR(__xludf.DUMMYFUNCTION("""COMPUTED_VALUE"""),"038179010610")</f>
        <v>038179010610</v>
      </c>
      <c r="N229" s="18">
        <f>IFERROR(__xludf.DUMMYFUNCTION("""COMPUTED_VALUE"""),44325.0)</f>
        <v>44325</v>
      </c>
      <c r="O229" s="7" t="str">
        <f>IFERROR(__xludf.DUMMYFUNCTION("""COMPUTED_VALUE"""),"Cục Cảnh sát QLHC về TTXH")</f>
        <v>Cục Cảnh sát QLHC về TTXH</v>
      </c>
      <c r="P229" s="7" t="str">
        <f>IFERROR(__xludf.DUMMYFUNCTION("""COMPUTED_VALUE"""),"LĐPT")</f>
        <v>LĐPT</v>
      </c>
      <c r="Q229" s="7" t="str">
        <f>IFERROR(__xludf.DUMMYFUNCTION("""COMPUTED_VALUE"""),"Lao động phổ thông")</f>
        <v>Lao động phổ thông</v>
      </c>
      <c r="R229" s="17">
        <f>IFERROR(__xludf.DUMMYFUNCTION("""COMPUTED_VALUE"""),39563.0)</f>
        <v>39563</v>
      </c>
      <c r="S229" s="19">
        <f>IFERROR(__xludf.DUMMYFUNCTION("""COMPUTED_VALUE"""),39563.0)</f>
        <v>39563</v>
      </c>
      <c r="T229" s="7" t="str">
        <f>IFERROR(__xludf.DUMMYFUNCTION("""COMPUTED_VALUE"""),"Chính thức")</f>
        <v>Chính thức</v>
      </c>
      <c r="U229" s="7"/>
      <c r="V229" s="7" t="str">
        <f>IFERROR(__xludf.DUMMYFUNCTION("""COMPUTED_VALUE"""),"Chính thức")</f>
        <v>Chính thức</v>
      </c>
      <c r="W229" s="7" t="str">
        <f>IFERROR(__xludf.DUMMYFUNCTION("""COMPUTED_VALUE"""),"17 năm 8 tháng")</f>
        <v>17 năm 8 tháng</v>
      </c>
      <c r="X229" s="7"/>
      <c r="Y229" s="7"/>
      <c r="Z229" s="7"/>
    </row>
    <row r="230">
      <c r="A230" s="7">
        <f>IFERROR(__xludf.DUMMYFUNCTION("""COMPUTED_VALUE"""),9.0)</f>
        <v>9</v>
      </c>
      <c r="B230" s="7" t="str">
        <f>IFERROR(__xludf.DUMMYFUNCTION("""COMPUTED_VALUE"""),"Văn phòng")</f>
        <v>Văn phòng</v>
      </c>
      <c r="C230" s="7" t="str">
        <f>IFERROR(__xludf.DUMMYFUNCTION("""COMPUTED_VALUE"""),"Phòng Kế toán")</f>
        <v>Phòng Kế toán</v>
      </c>
      <c r="D230" s="7" t="str">
        <f>IFERROR(__xludf.DUMMYFUNCTION("""COMPUTED_VALUE"""),"Tổ phục vụ xuất hàng")</f>
        <v>Tổ phục vụ xuất hàng</v>
      </c>
      <c r="E230" s="7" t="str">
        <f>IFERROR(__xludf.DUMMYFUNCTION("""COMPUTED_VALUE"""),"Nhóm trưởng Sơ chế - VSCN")</f>
        <v>Nhóm trưởng Sơ chế - VSCN</v>
      </c>
      <c r="F230" s="7" t="str">
        <f>IFERROR(__xludf.DUMMYFUNCTION("""COMPUTED_VALUE"""),"NV0625")</f>
        <v>NV0625</v>
      </c>
      <c r="G230" s="7">
        <f>IFERROR(__xludf.DUMMYFUNCTION("""COMPUTED_VALUE"""),94.0)</f>
        <v>94</v>
      </c>
      <c r="H230" s="7" t="str">
        <f>IFERROR(__xludf.DUMMYFUNCTION("""COMPUTED_VALUE"""),"Lê Huy Thạch")</f>
        <v>Lê Huy Thạch</v>
      </c>
      <c r="I230" s="7" t="str">
        <f>IFERROR(__xludf.DUMMYFUNCTION("""COMPUTED_VALUE"""),"Nam")</f>
        <v>Nam</v>
      </c>
      <c r="J230" s="17">
        <f>IFERROR(__xludf.DUMMYFUNCTION("""COMPUTED_VALUE"""),30688.0)</f>
        <v>30688</v>
      </c>
      <c r="K230" s="7" t="str">
        <f>IFERROR(__xludf.DUMMYFUNCTION("""COMPUTED_VALUE"""),"Nguyệt Viên 2, Xã Hoằng Quang, Thành phố Thanh Hóa,")</f>
        <v>Nguyệt Viên 2, Xã Hoằng Quang, Thành phố Thanh Hóa,</v>
      </c>
      <c r="L230" s="7" t="str">
        <f>IFERROR(__xludf.DUMMYFUNCTION("""COMPUTED_VALUE"""),"0342525960")</f>
        <v>0342525960</v>
      </c>
      <c r="M230" s="7" t="str">
        <f>IFERROR(__xludf.DUMMYFUNCTION("""COMPUTED_VALUE"""),"038084007874")</f>
        <v>038084007874</v>
      </c>
      <c r="N230" s="18">
        <f>IFERROR(__xludf.DUMMYFUNCTION("""COMPUTED_VALUE"""),44419.0)</f>
        <v>44419</v>
      </c>
      <c r="O230" s="7" t="str">
        <f>IFERROR(__xludf.DUMMYFUNCTION("""COMPUTED_VALUE"""),"Cục Cảnh sát QLHC về TTXH")</f>
        <v>Cục Cảnh sát QLHC về TTXH</v>
      </c>
      <c r="P230" s="7" t="str">
        <f>IFERROR(__xludf.DUMMYFUNCTION("""COMPUTED_VALUE"""),"LĐPT")</f>
        <v>LĐPT</v>
      </c>
      <c r="Q230" s="7" t="str">
        <f>IFERROR(__xludf.DUMMYFUNCTION("""COMPUTED_VALUE"""),"Lao động phổ thông")</f>
        <v>Lao động phổ thông</v>
      </c>
      <c r="R230" s="17">
        <f>IFERROR(__xludf.DUMMYFUNCTION("""COMPUTED_VALUE"""),42077.0)</f>
        <v>42077</v>
      </c>
      <c r="S230" s="19">
        <f>IFERROR(__xludf.DUMMYFUNCTION("""COMPUTED_VALUE"""),42077.0)</f>
        <v>42077</v>
      </c>
      <c r="T230" s="7" t="str">
        <f>IFERROR(__xludf.DUMMYFUNCTION("""COMPUTED_VALUE"""),"Chính thức")</f>
        <v>Chính thức</v>
      </c>
      <c r="U230" s="7"/>
      <c r="V230" s="7" t="str">
        <f>IFERROR(__xludf.DUMMYFUNCTION("""COMPUTED_VALUE"""),"Chính thức")</f>
        <v>Chính thức</v>
      </c>
      <c r="W230" s="7" t="str">
        <f>IFERROR(__xludf.DUMMYFUNCTION("""COMPUTED_VALUE"""),"10 năm 9 tháng")</f>
        <v>10 năm 9 tháng</v>
      </c>
      <c r="X230" s="7"/>
      <c r="Y230" s="7"/>
      <c r="Z230" s="7"/>
    </row>
    <row r="231">
      <c r="A231" s="7">
        <f>IFERROR(__xludf.DUMMYFUNCTION("""COMPUTED_VALUE"""),10.0)</f>
        <v>10</v>
      </c>
      <c r="B231" s="7" t="str">
        <f>IFERROR(__xludf.DUMMYFUNCTION("""COMPUTED_VALUE"""),"Văn phòng")</f>
        <v>Văn phòng</v>
      </c>
      <c r="C231" s="7" t="str">
        <f>IFERROR(__xludf.DUMMYFUNCTION("""COMPUTED_VALUE"""),"Phòng Kế toán")</f>
        <v>Phòng Kế toán</v>
      </c>
      <c r="D231" s="7" t="str">
        <f>IFERROR(__xludf.DUMMYFUNCTION("""COMPUTED_VALUE"""),"Tổ phục vụ xuất hàng")</f>
        <v>Tổ phục vụ xuất hàng</v>
      </c>
      <c r="E231" s="7" t="str">
        <f>IFERROR(__xludf.DUMMYFUNCTION("""COMPUTED_VALUE"""),"Nhân viên Sơ chế")</f>
        <v>Nhân viên Sơ chế</v>
      </c>
      <c r="F231" s="7" t="str">
        <f>IFERROR(__xludf.DUMMYFUNCTION("""COMPUTED_VALUE"""),"NV2357")</f>
        <v>NV2357</v>
      </c>
      <c r="G231" s="7">
        <f>IFERROR(__xludf.DUMMYFUNCTION("""COMPUTED_VALUE"""),140.0)</f>
        <v>140</v>
      </c>
      <c r="H231" s="7" t="str">
        <f>IFERROR(__xludf.DUMMYFUNCTION("""COMPUTED_VALUE"""),"Hoàng Ngọc Thảo")</f>
        <v>Hoàng Ngọc Thảo</v>
      </c>
      <c r="I231" s="7" t="str">
        <f>IFERROR(__xludf.DUMMYFUNCTION("""COMPUTED_VALUE"""),"Nam")</f>
        <v>Nam</v>
      </c>
      <c r="J231" s="17">
        <f>IFERROR(__xludf.DUMMYFUNCTION("""COMPUTED_VALUE"""),26510.0)</f>
        <v>26510</v>
      </c>
      <c r="K231" s="7" t="str">
        <f>IFERROR(__xludf.DUMMYFUNCTION("""COMPUTED_VALUE"""),"Xuân Bình - Như Xuân - Thanh Hóa")</f>
        <v>Xuân Bình - Như Xuân - Thanh Hóa</v>
      </c>
      <c r="L231" s="7" t="str">
        <f>IFERROR(__xludf.DUMMYFUNCTION("""COMPUTED_VALUE"""),"0762186245")</f>
        <v>0762186245</v>
      </c>
      <c r="M231" s="7" t="str">
        <f>IFERROR(__xludf.DUMMYFUNCTION("""COMPUTED_VALUE"""),"038072000703")</f>
        <v>038072000703</v>
      </c>
      <c r="N231" s="18">
        <f>IFERROR(__xludf.DUMMYFUNCTION("""COMPUTED_VALUE"""),42517.0)</f>
        <v>42517</v>
      </c>
      <c r="O231" s="7" t="str">
        <f>IFERROR(__xludf.DUMMYFUNCTION("""COMPUTED_VALUE"""),"Cục Cảnh sát QLHC về TTXH")</f>
        <v>Cục Cảnh sát QLHC về TTXH</v>
      </c>
      <c r="P231" s="7" t="str">
        <f>IFERROR(__xludf.DUMMYFUNCTION("""COMPUTED_VALUE"""),"LĐPT")</f>
        <v>LĐPT</v>
      </c>
      <c r="Q231" s="7" t="str">
        <f>IFERROR(__xludf.DUMMYFUNCTION("""COMPUTED_VALUE"""),"Lao động phổ thông")</f>
        <v>Lao động phổ thông</v>
      </c>
      <c r="R231" s="17">
        <f>IFERROR(__xludf.DUMMYFUNCTION("""COMPUTED_VALUE"""),43588.0)</f>
        <v>43588</v>
      </c>
      <c r="S231" s="19">
        <f>IFERROR(__xludf.DUMMYFUNCTION("""COMPUTED_VALUE"""),43983.0)</f>
        <v>43983</v>
      </c>
      <c r="T231" s="7" t="str">
        <f>IFERROR(__xludf.DUMMYFUNCTION("""COMPUTED_VALUE"""),"Chính thức")</f>
        <v>Chính thức</v>
      </c>
      <c r="U231" s="7"/>
      <c r="V231" s="7" t="str">
        <f>IFERROR(__xludf.DUMMYFUNCTION("""COMPUTED_VALUE"""),"Chính thức")</f>
        <v>Chính thức</v>
      </c>
      <c r="W231" s="7" t="str">
        <f>IFERROR(__xludf.DUMMYFUNCTION("""COMPUTED_VALUE"""),"6 năm 7 tháng")</f>
        <v>6 năm 7 tháng</v>
      </c>
      <c r="X231" s="7"/>
      <c r="Y231" s="7"/>
      <c r="Z231" s="7"/>
    </row>
    <row r="232">
      <c r="A232" s="7">
        <f>IFERROR(__xludf.DUMMYFUNCTION("""COMPUTED_VALUE"""),11.0)</f>
        <v>11</v>
      </c>
      <c r="B232" s="7" t="str">
        <f>IFERROR(__xludf.DUMMYFUNCTION("""COMPUTED_VALUE"""),"Văn phòng")</f>
        <v>Văn phòng</v>
      </c>
      <c r="C232" s="7" t="str">
        <f>IFERROR(__xludf.DUMMYFUNCTION("""COMPUTED_VALUE"""),"Phòng Kế toán")</f>
        <v>Phòng Kế toán</v>
      </c>
      <c r="D232" s="7" t="str">
        <f>IFERROR(__xludf.DUMMYFUNCTION("""COMPUTED_VALUE"""),"Tổ phục vụ xuất hàng")</f>
        <v>Tổ phục vụ xuất hàng</v>
      </c>
      <c r="E232" s="7" t="str">
        <f>IFERROR(__xludf.DUMMYFUNCTION("""COMPUTED_VALUE"""),"Nhân viên Sơ chế")</f>
        <v>Nhân viên Sơ chế</v>
      </c>
      <c r="F232" s="7" t="str">
        <f>IFERROR(__xludf.DUMMYFUNCTION("""COMPUTED_VALUE"""),"NV2485")</f>
        <v>NV2485</v>
      </c>
      <c r="G232" s="7">
        <f>IFERROR(__xludf.DUMMYFUNCTION("""COMPUTED_VALUE"""),89.0)</f>
        <v>89</v>
      </c>
      <c r="H232" s="7" t="str">
        <f>IFERROR(__xludf.DUMMYFUNCTION("""COMPUTED_VALUE"""),"Nguyễn Văn Lợi")</f>
        <v>Nguyễn Văn Lợi</v>
      </c>
      <c r="I232" s="7" t="str">
        <f>IFERROR(__xludf.DUMMYFUNCTION("""COMPUTED_VALUE"""),"Nam")</f>
        <v>Nam</v>
      </c>
      <c r="J232" s="17">
        <f>IFERROR(__xludf.DUMMYFUNCTION("""COMPUTED_VALUE"""),31325.0)</f>
        <v>31325</v>
      </c>
      <c r="K232" s="7" t="str">
        <f>IFERROR(__xludf.DUMMYFUNCTION("""COMPUTED_VALUE"""),"Nguyệt Viên 2, Xã Hoằng Quang, Thành phố Thanh Hóa")</f>
        <v>Nguyệt Viên 2, Xã Hoằng Quang, Thành phố Thanh Hóa</v>
      </c>
      <c r="L232" s="7" t="str">
        <f>IFERROR(__xludf.DUMMYFUNCTION("""COMPUTED_VALUE"""),"0963312479")</f>
        <v>0963312479</v>
      </c>
      <c r="M232" s="7" t="str">
        <f>IFERROR(__xludf.DUMMYFUNCTION("""COMPUTED_VALUE"""),"038075044037")</f>
        <v>038075044037</v>
      </c>
      <c r="N232" s="18">
        <f>IFERROR(__xludf.DUMMYFUNCTION("""COMPUTED_VALUE"""),44440.0)</f>
        <v>44440</v>
      </c>
      <c r="O232" s="7" t="str">
        <f>IFERROR(__xludf.DUMMYFUNCTION("""COMPUTED_VALUE"""),"Cục Cảnh sát QLHC về TTXH")</f>
        <v>Cục Cảnh sát QLHC về TTXH</v>
      </c>
      <c r="P232" s="7" t="str">
        <f>IFERROR(__xludf.DUMMYFUNCTION("""COMPUTED_VALUE"""),"LĐPT")</f>
        <v>LĐPT</v>
      </c>
      <c r="Q232" s="7" t="str">
        <f>IFERROR(__xludf.DUMMYFUNCTION("""COMPUTED_VALUE"""),"Lao động phổ thông")</f>
        <v>Lao động phổ thông</v>
      </c>
      <c r="R232" s="17">
        <f>IFERROR(__xludf.DUMMYFUNCTION("""COMPUTED_VALUE"""),43643.0)</f>
        <v>43643</v>
      </c>
      <c r="S232" s="19">
        <f>IFERROR(__xludf.DUMMYFUNCTION("""COMPUTED_VALUE"""),44013.0)</f>
        <v>44013</v>
      </c>
      <c r="T232" s="7" t="str">
        <f>IFERROR(__xludf.DUMMYFUNCTION("""COMPUTED_VALUE"""),"Chính thức")</f>
        <v>Chính thức</v>
      </c>
      <c r="U232" s="7"/>
      <c r="V232" s="7" t="str">
        <f>IFERROR(__xludf.DUMMYFUNCTION("""COMPUTED_VALUE"""),"Chính thức")</f>
        <v>Chính thức</v>
      </c>
      <c r="W232" s="7" t="str">
        <f>IFERROR(__xludf.DUMMYFUNCTION("""COMPUTED_VALUE"""),"6 năm 6 tháng")</f>
        <v>6 năm 6 tháng</v>
      </c>
      <c r="X232" s="7"/>
      <c r="Y232" s="7"/>
      <c r="Z232" s="7"/>
    </row>
    <row r="233">
      <c r="A233" s="7">
        <f>IFERROR(__xludf.DUMMYFUNCTION("""COMPUTED_VALUE"""),12.0)</f>
        <v>12</v>
      </c>
      <c r="B233" s="7" t="str">
        <f>IFERROR(__xludf.DUMMYFUNCTION("""COMPUTED_VALUE"""),"Văn phòng")</f>
        <v>Văn phòng</v>
      </c>
      <c r="C233" s="7" t="str">
        <f>IFERROR(__xludf.DUMMYFUNCTION("""COMPUTED_VALUE"""),"Phòng Kế toán")</f>
        <v>Phòng Kế toán</v>
      </c>
      <c r="D233" s="7" t="str">
        <f>IFERROR(__xludf.DUMMYFUNCTION("""COMPUTED_VALUE"""),"Tổ phục vụ xuất hàng")</f>
        <v>Tổ phục vụ xuất hàng</v>
      </c>
      <c r="E233" s="7" t="str">
        <f>IFERROR(__xludf.DUMMYFUNCTION("""COMPUTED_VALUE"""),"Nhân viên Lái xe nâng")</f>
        <v>Nhân viên Lái xe nâng</v>
      </c>
      <c r="F233" s="7" t="str">
        <f>IFERROR(__xludf.DUMMYFUNCTION("""COMPUTED_VALUE"""),"NV0760")</f>
        <v>NV0760</v>
      </c>
      <c r="G233" s="7">
        <f>IFERROR(__xludf.DUMMYFUNCTION("""COMPUTED_VALUE"""),84.0)</f>
        <v>84</v>
      </c>
      <c r="H233" s="7" t="str">
        <f>IFERROR(__xludf.DUMMYFUNCTION("""COMPUTED_VALUE"""),"Đỗ Đức Hùng")</f>
        <v>Đỗ Đức Hùng</v>
      </c>
      <c r="I233" s="7" t="str">
        <f>IFERROR(__xludf.DUMMYFUNCTION("""COMPUTED_VALUE"""),"Nam")</f>
        <v>Nam</v>
      </c>
      <c r="J233" s="17">
        <f>IFERROR(__xludf.DUMMYFUNCTION("""COMPUTED_VALUE"""),27218.0)</f>
        <v>27218</v>
      </c>
      <c r="K233" s="7" t="str">
        <f>IFERROR(__xludf.DUMMYFUNCTION("""COMPUTED_VALUE"""),"Hoằng Trạch - Hoằng Hóa -Thanh Hóa")</f>
        <v>Hoằng Trạch - Hoằng Hóa -Thanh Hóa</v>
      </c>
      <c r="L233" s="7" t="str">
        <f>IFERROR(__xludf.DUMMYFUNCTION("""COMPUTED_VALUE"""),"0397874215")</f>
        <v>0397874215</v>
      </c>
      <c r="M233" s="7" t="str">
        <f>IFERROR(__xludf.DUMMYFUNCTION("""COMPUTED_VALUE"""),"038074006978")</f>
        <v>038074006978</v>
      </c>
      <c r="N233" s="18">
        <f>IFERROR(__xludf.DUMMYFUNCTION("""COMPUTED_VALUE"""),44461.0)</f>
        <v>44461</v>
      </c>
      <c r="O233" s="7" t="str">
        <f>IFERROR(__xludf.DUMMYFUNCTION("""COMPUTED_VALUE"""),"Cục Cảnh sát QLHC về TTXH")</f>
        <v>Cục Cảnh sát QLHC về TTXH</v>
      </c>
      <c r="P233" s="7" t="str">
        <f>IFERROR(__xludf.DUMMYFUNCTION("""COMPUTED_VALUE"""),"Bằng nghề")</f>
        <v>Bằng nghề</v>
      </c>
      <c r="Q233" s="7" t="str">
        <f>IFERROR(__xludf.DUMMYFUNCTION("""COMPUTED_VALUE"""),"Lái máy")</f>
        <v>Lái máy</v>
      </c>
      <c r="R233" s="17">
        <f>IFERROR(__xludf.DUMMYFUNCTION("""COMPUTED_VALUE"""),37373.0)</f>
        <v>37373</v>
      </c>
      <c r="S233" s="19">
        <f>IFERROR(__xludf.DUMMYFUNCTION("""COMPUTED_VALUE"""),37373.0)</f>
        <v>37373</v>
      </c>
      <c r="T233" s="7" t="str">
        <f>IFERROR(__xludf.DUMMYFUNCTION("""COMPUTED_VALUE"""),"Chính thức")</f>
        <v>Chính thức</v>
      </c>
      <c r="U233" s="7"/>
      <c r="V233" s="7" t="str">
        <f>IFERROR(__xludf.DUMMYFUNCTION("""COMPUTED_VALUE"""),"Chính thức")</f>
        <v>Chính thức</v>
      </c>
      <c r="W233" s="7" t="str">
        <f>IFERROR(__xludf.DUMMYFUNCTION("""COMPUTED_VALUE"""),"23 năm 8 tháng")</f>
        <v>23 năm 8 tháng</v>
      </c>
      <c r="X233" s="7"/>
      <c r="Y233" s="7"/>
      <c r="Z233" s="7"/>
    </row>
    <row r="234">
      <c r="A234" s="7">
        <f>IFERROR(__xludf.DUMMYFUNCTION("""COMPUTED_VALUE"""),13.0)</f>
        <v>13</v>
      </c>
      <c r="B234" s="7" t="str">
        <f>IFERROR(__xludf.DUMMYFUNCTION("""COMPUTED_VALUE"""),"Văn phòng")</f>
        <v>Văn phòng</v>
      </c>
      <c r="C234" s="7" t="str">
        <f>IFERROR(__xludf.DUMMYFUNCTION("""COMPUTED_VALUE"""),"Phòng Kế toán")</f>
        <v>Phòng Kế toán</v>
      </c>
      <c r="D234" s="7" t="str">
        <f>IFERROR(__xludf.DUMMYFUNCTION("""COMPUTED_VALUE"""),"Tổ phục vụ xuất hàng")</f>
        <v>Tổ phục vụ xuất hàng</v>
      </c>
      <c r="E234" s="7" t="str">
        <f>IFERROR(__xludf.DUMMYFUNCTION("""COMPUTED_VALUE"""),"Nhân viên Lái xe nâng")</f>
        <v>Nhân viên Lái xe nâng</v>
      </c>
      <c r="F234" s="7" t="str">
        <f>IFERROR(__xludf.DUMMYFUNCTION("""COMPUTED_VALUE"""),"NV0757")</f>
        <v>NV0757</v>
      </c>
      <c r="G234" s="7">
        <f>IFERROR(__xludf.DUMMYFUNCTION("""COMPUTED_VALUE"""),90.0)</f>
        <v>90</v>
      </c>
      <c r="H234" s="7" t="str">
        <f>IFERROR(__xludf.DUMMYFUNCTION("""COMPUTED_VALUE"""),"Lê Anh Tuấn")</f>
        <v>Lê Anh Tuấn</v>
      </c>
      <c r="I234" s="7" t="str">
        <f>IFERROR(__xludf.DUMMYFUNCTION("""COMPUTED_VALUE"""),"Nam")</f>
        <v>Nam</v>
      </c>
      <c r="J234" s="17">
        <f>IFERROR(__xludf.DUMMYFUNCTION("""COMPUTED_VALUE"""),31568.0)</f>
        <v>31568</v>
      </c>
      <c r="K234" s="7" t="str">
        <f>IFERROR(__xludf.DUMMYFUNCTION("""COMPUTED_VALUE"""),"Xã Quảng Hưng - Thành phố Thanh Hóa")</f>
        <v>Xã Quảng Hưng - Thành phố Thanh Hóa</v>
      </c>
      <c r="L234" s="7" t="str">
        <f>IFERROR(__xludf.DUMMYFUNCTION("""COMPUTED_VALUE"""),"0974754245")</f>
        <v>0974754245</v>
      </c>
      <c r="M234" s="7" t="str">
        <f>IFERROR(__xludf.DUMMYFUNCTION("""COMPUTED_VALUE"""),"038086012878")</f>
        <v>038086012878</v>
      </c>
      <c r="N234" s="18">
        <f>IFERROR(__xludf.DUMMYFUNCTION("""COMPUTED_VALUE"""),44830.0)</f>
        <v>44830</v>
      </c>
      <c r="O234" s="7" t="str">
        <f>IFERROR(__xludf.DUMMYFUNCTION("""COMPUTED_VALUE"""),"Cục Cảnh sát QLHC về TTXH")</f>
        <v>Cục Cảnh sát QLHC về TTXH</v>
      </c>
      <c r="P234" s="7" t="str">
        <f>IFERROR(__xludf.DUMMYFUNCTION("""COMPUTED_VALUE"""),"Sơ cấp nghề")</f>
        <v>Sơ cấp nghề</v>
      </c>
      <c r="Q234" s="7" t="str">
        <f>IFERROR(__xludf.DUMMYFUNCTION("""COMPUTED_VALUE"""),"Vận hành xe nâng hàng")</f>
        <v>Vận hành xe nâng hàng</v>
      </c>
      <c r="R234" s="17">
        <f>IFERROR(__xludf.DUMMYFUNCTION("""COMPUTED_VALUE"""),41102.0)</f>
        <v>41102</v>
      </c>
      <c r="S234" s="19">
        <f>IFERROR(__xludf.DUMMYFUNCTION("""COMPUTED_VALUE"""),41102.0)</f>
        <v>41102</v>
      </c>
      <c r="T234" s="7" t="str">
        <f>IFERROR(__xludf.DUMMYFUNCTION("""COMPUTED_VALUE"""),"Chính thức")</f>
        <v>Chính thức</v>
      </c>
      <c r="U234" s="7"/>
      <c r="V234" s="7" t="str">
        <f>IFERROR(__xludf.DUMMYFUNCTION("""COMPUTED_VALUE"""),"Chính thức")</f>
        <v>Chính thức</v>
      </c>
      <c r="W234" s="7" t="str">
        <f>IFERROR(__xludf.DUMMYFUNCTION("""COMPUTED_VALUE"""),"13 năm 5 tháng")</f>
        <v>13 năm 5 tháng</v>
      </c>
      <c r="X234" s="7"/>
      <c r="Y234" s="7"/>
      <c r="Z234" s="7"/>
    </row>
    <row r="235">
      <c r="A235" s="7">
        <f>IFERROR(__xludf.DUMMYFUNCTION("""COMPUTED_VALUE"""),14.0)</f>
        <v>14</v>
      </c>
      <c r="B235" s="7" t="str">
        <f>IFERROR(__xludf.DUMMYFUNCTION("""COMPUTED_VALUE"""),"Văn phòng")</f>
        <v>Văn phòng</v>
      </c>
      <c r="C235" s="7" t="str">
        <f>IFERROR(__xludf.DUMMYFUNCTION("""COMPUTED_VALUE"""),"Phòng Kế toán")</f>
        <v>Phòng Kế toán</v>
      </c>
      <c r="D235" s="7" t="str">
        <f>IFERROR(__xludf.DUMMYFUNCTION("""COMPUTED_VALUE"""),"Tổ phục vụ xuất hàng")</f>
        <v>Tổ phục vụ xuất hàng</v>
      </c>
      <c r="E235" s="7" t="str">
        <f>IFERROR(__xludf.DUMMYFUNCTION("""COMPUTED_VALUE"""),"Nhân viên Lái xe nâng")</f>
        <v>Nhân viên Lái xe nâng</v>
      </c>
      <c r="F235" s="7" t="str">
        <f>IFERROR(__xludf.DUMMYFUNCTION("""COMPUTED_VALUE"""),"NV1871")</f>
        <v>NV1871</v>
      </c>
      <c r="G235" s="7">
        <f>IFERROR(__xludf.DUMMYFUNCTION("""COMPUTED_VALUE"""),85.0)</f>
        <v>85</v>
      </c>
      <c r="H235" s="7" t="str">
        <f>IFERROR(__xludf.DUMMYFUNCTION("""COMPUTED_VALUE"""),"Viên Đình Khang")</f>
        <v>Viên Đình Khang</v>
      </c>
      <c r="I235" s="7" t="str">
        <f>IFERROR(__xludf.DUMMYFUNCTION("""COMPUTED_VALUE"""),"Nam")</f>
        <v>Nam</v>
      </c>
      <c r="J235" s="17">
        <f>IFERROR(__xludf.DUMMYFUNCTION("""COMPUTED_VALUE"""),35098.0)</f>
        <v>35098</v>
      </c>
      <c r="K235" s="7" t="str">
        <f>IFERROR(__xludf.DUMMYFUNCTION("""COMPUTED_VALUE"""),"Thôn 2 - Quảng Hùng - Sầm Sơn - Thanh Hóa")</f>
        <v>Thôn 2 - Quảng Hùng - Sầm Sơn - Thanh Hóa</v>
      </c>
      <c r="L235" s="7" t="str">
        <f>IFERROR(__xludf.DUMMYFUNCTION("""COMPUTED_VALUE"""),"0866875067")</f>
        <v>0866875067</v>
      </c>
      <c r="M235" s="7" t="str">
        <f>IFERROR(__xludf.DUMMYFUNCTION("""COMPUTED_VALUE"""),"038096007113")</f>
        <v>038096007113</v>
      </c>
      <c r="N235" s="18">
        <f>IFERROR(__xludf.DUMMYFUNCTION("""COMPUTED_VALUE"""),44419.0)</f>
        <v>44419</v>
      </c>
      <c r="O235" s="7" t="str">
        <f>IFERROR(__xludf.DUMMYFUNCTION("""COMPUTED_VALUE"""),"Cục Cảnh sát QLHC về TTXH")</f>
        <v>Cục Cảnh sát QLHC về TTXH</v>
      </c>
      <c r="P235" s="7" t="str">
        <f>IFERROR(__xludf.DUMMYFUNCTION("""COMPUTED_VALUE"""),"Sơ cấp nghề")</f>
        <v>Sơ cấp nghề</v>
      </c>
      <c r="Q235" s="7" t="str">
        <f>IFERROR(__xludf.DUMMYFUNCTION("""COMPUTED_VALUE"""),"Vận hành xe nâng hàng")</f>
        <v>Vận hành xe nâng hàng</v>
      </c>
      <c r="R235" s="17">
        <f>IFERROR(__xludf.DUMMYFUNCTION("""COMPUTED_VALUE"""),43361.0)</f>
        <v>43361</v>
      </c>
      <c r="S235" s="19">
        <f>IFERROR(__xludf.DUMMYFUNCTION("""COMPUTED_VALUE"""),43361.0)</f>
        <v>43361</v>
      </c>
      <c r="T235" s="7" t="str">
        <f>IFERROR(__xludf.DUMMYFUNCTION("""COMPUTED_VALUE"""),"Chính thức")</f>
        <v>Chính thức</v>
      </c>
      <c r="U235" s="7"/>
      <c r="V235" s="7" t="str">
        <f>IFERROR(__xludf.DUMMYFUNCTION("""COMPUTED_VALUE"""),"Chính thức")</f>
        <v>Chính thức</v>
      </c>
      <c r="W235" s="7" t="str">
        <f>IFERROR(__xludf.DUMMYFUNCTION("""COMPUTED_VALUE"""),"7 năm 3 tháng")</f>
        <v>7 năm 3 tháng</v>
      </c>
      <c r="X235" s="7"/>
      <c r="Y235" s="7"/>
      <c r="Z235" s="7"/>
    </row>
    <row r="236">
      <c r="A236" s="7">
        <f>IFERROR(__xludf.DUMMYFUNCTION("""COMPUTED_VALUE"""),15.0)</f>
        <v>15</v>
      </c>
      <c r="B236" s="7" t="str">
        <f>IFERROR(__xludf.DUMMYFUNCTION("""COMPUTED_VALUE"""),"Văn phòng")</f>
        <v>Văn phòng</v>
      </c>
      <c r="C236" s="7" t="str">
        <f>IFERROR(__xludf.DUMMYFUNCTION("""COMPUTED_VALUE"""),"Phòng Kế toán")</f>
        <v>Phòng Kế toán</v>
      </c>
      <c r="D236" s="7" t="str">
        <f>IFERROR(__xludf.DUMMYFUNCTION("""COMPUTED_VALUE"""),"Tổ phục vụ xuất hàng")</f>
        <v>Tổ phục vụ xuất hàng</v>
      </c>
      <c r="E236" s="7" t="str">
        <f>IFERROR(__xludf.DUMMYFUNCTION("""COMPUTED_VALUE"""),"Nhân viên Lái xe nâng")</f>
        <v>Nhân viên Lái xe nâng</v>
      </c>
      <c r="F236" s="7" t="str">
        <f>IFERROR(__xludf.DUMMYFUNCTION("""COMPUTED_VALUE"""),"NV1296")</f>
        <v>NV1296</v>
      </c>
      <c r="G236" s="7">
        <f>IFERROR(__xludf.DUMMYFUNCTION("""COMPUTED_VALUE"""),230.0)</f>
        <v>230</v>
      </c>
      <c r="H236" s="7" t="str">
        <f>IFERROR(__xludf.DUMMYFUNCTION("""COMPUTED_VALUE"""),"Nguyễn Đăng Ánh")</f>
        <v>Nguyễn Đăng Ánh</v>
      </c>
      <c r="I236" s="7" t="str">
        <f>IFERROR(__xludf.DUMMYFUNCTION("""COMPUTED_VALUE"""),"Nam")</f>
        <v>Nam</v>
      </c>
      <c r="J236" s="17">
        <f>IFERROR(__xludf.DUMMYFUNCTION("""COMPUTED_VALUE"""),29421.0)</f>
        <v>29421</v>
      </c>
      <c r="K236" s="7" t="str">
        <f>IFERROR(__xludf.DUMMYFUNCTION("""COMPUTED_VALUE"""),"Thành Tân - Quảng Thành - Thanh Hóa")</f>
        <v>Thành Tân - Quảng Thành - Thanh Hóa</v>
      </c>
      <c r="L236" s="7" t="str">
        <f>IFERROR(__xludf.DUMMYFUNCTION("""COMPUTED_VALUE"""),"0938836917")</f>
        <v>0938836917</v>
      </c>
      <c r="M236" s="7" t="str">
        <f>IFERROR(__xludf.DUMMYFUNCTION("""COMPUTED_VALUE"""),"038080021124")</f>
        <v>038080021124</v>
      </c>
      <c r="N236" s="18">
        <f>IFERROR(__xludf.DUMMYFUNCTION("""COMPUTED_VALUE"""),44459.0)</f>
        <v>44459</v>
      </c>
      <c r="O236" s="7" t="str">
        <f>IFERROR(__xludf.DUMMYFUNCTION("""COMPUTED_VALUE"""),"Cục Cảnh sát QLHC về TTXH")</f>
        <v>Cục Cảnh sát QLHC về TTXH</v>
      </c>
      <c r="P236" s="7" t="str">
        <f>IFERROR(__xludf.DUMMYFUNCTION("""COMPUTED_VALUE"""),"Bằng nghề")</f>
        <v>Bằng nghề</v>
      </c>
      <c r="Q236" s="7" t="str">
        <f>IFERROR(__xludf.DUMMYFUNCTION("""COMPUTED_VALUE"""),"Lái xe nâng chuyển")</f>
        <v>Lái xe nâng chuyển</v>
      </c>
      <c r="R236" s="17">
        <f>IFERROR(__xludf.DUMMYFUNCTION("""COMPUTED_VALUE"""),43179.0)</f>
        <v>43179</v>
      </c>
      <c r="S236" s="19">
        <f>IFERROR(__xludf.DUMMYFUNCTION("""COMPUTED_VALUE"""),43179.0)</f>
        <v>43179</v>
      </c>
      <c r="T236" s="7" t="str">
        <f>IFERROR(__xludf.DUMMYFUNCTION("""COMPUTED_VALUE"""),"Chính thức")</f>
        <v>Chính thức</v>
      </c>
      <c r="U236" s="7"/>
      <c r="V236" s="7" t="str">
        <f>IFERROR(__xludf.DUMMYFUNCTION("""COMPUTED_VALUE"""),"Chính thức")</f>
        <v>Chính thức</v>
      </c>
      <c r="W236" s="7" t="str">
        <f>IFERROR(__xludf.DUMMYFUNCTION("""COMPUTED_VALUE"""),"7 năm 9 tháng")</f>
        <v>7 năm 9 tháng</v>
      </c>
      <c r="X236" s="7"/>
      <c r="Y236" s="7"/>
      <c r="Z236" s="7"/>
    </row>
    <row r="237">
      <c r="A237" s="7">
        <f>IFERROR(__xludf.DUMMYFUNCTION("""COMPUTED_VALUE"""),16.0)</f>
        <v>16</v>
      </c>
      <c r="B237" s="7" t="str">
        <f>IFERROR(__xludf.DUMMYFUNCTION("""COMPUTED_VALUE"""),"Văn phòng")</f>
        <v>Văn phòng</v>
      </c>
      <c r="C237" s="7" t="str">
        <f>IFERROR(__xludf.DUMMYFUNCTION("""COMPUTED_VALUE"""),"Phòng Kế toán")</f>
        <v>Phòng Kế toán</v>
      </c>
      <c r="D237" s="7" t="str">
        <f>IFERROR(__xludf.DUMMYFUNCTION("""COMPUTED_VALUE"""),"Tổ phục vụ xuất hàng")</f>
        <v>Tổ phục vụ xuất hàng</v>
      </c>
      <c r="E237" s="7" t="str">
        <f>IFERROR(__xludf.DUMMYFUNCTION("""COMPUTED_VALUE"""),"Nhân viên Lái xe nâng")</f>
        <v>Nhân viên Lái xe nâng</v>
      </c>
      <c r="F237" s="7" t="str">
        <f>IFERROR(__xludf.DUMMYFUNCTION("""COMPUTED_VALUE"""),"NV1236")</f>
        <v>NV1236</v>
      </c>
      <c r="G237" s="7">
        <f>IFERROR(__xludf.DUMMYFUNCTION("""COMPUTED_VALUE"""),232.0)</f>
        <v>232</v>
      </c>
      <c r="H237" s="7" t="str">
        <f>IFERROR(__xludf.DUMMYFUNCTION("""COMPUTED_VALUE"""),"Đỗ Xuân Nam")</f>
        <v>Đỗ Xuân Nam</v>
      </c>
      <c r="I237" s="7" t="str">
        <f>IFERROR(__xludf.DUMMYFUNCTION("""COMPUTED_VALUE"""),"Nam")</f>
        <v>Nam</v>
      </c>
      <c r="J237" s="17">
        <f>IFERROR(__xludf.DUMMYFUNCTION("""COMPUTED_VALUE"""),30994.0)</f>
        <v>30994</v>
      </c>
      <c r="K237" s="7" t="str">
        <f>IFERROR(__xludf.DUMMYFUNCTION("""COMPUTED_VALUE"""),"Phố 4 - Phường Quảng Hưng - Thành Phố Thanh Hóa")</f>
        <v>Phố 4 - Phường Quảng Hưng - Thành Phố Thanh Hóa</v>
      </c>
      <c r="L237" s="7" t="str">
        <f>IFERROR(__xludf.DUMMYFUNCTION("""COMPUTED_VALUE"""),"0966521558")</f>
        <v>0966521558</v>
      </c>
      <c r="M237" s="7" t="str">
        <f>IFERROR(__xludf.DUMMYFUNCTION("""COMPUTED_VALUE"""),"038084002178")</f>
        <v>038084002178</v>
      </c>
      <c r="N237" s="18">
        <f>IFERROR(__xludf.DUMMYFUNCTION("""COMPUTED_VALUE"""),44311.0)</f>
        <v>44311</v>
      </c>
      <c r="O237" s="7" t="str">
        <f>IFERROR(__xludf.DUMMYFUNCTION("""COMPUTED_VALUE"""),"Cục Cảnh sát QLHC về TTXH")</f>
        <v>Cục Cảnh sát QLHC về TTXH</v>
      </c>
      <c r="P237" s="7" t="str">
        <f>IFERROR(__xludf.DUMMYFUNCTION("""COMPUTED_VALUE"""),"Sơ cấp nghề")</f>
        <v>Sơ cấp nghề</v>
      </c>
      <c r="Q237" s="7" t="str">
        <f>IFERROR(__xludf.DUMMYFUNCTION("""COMPUTED_VALUE"""),"Vận hành xe nâng hàng")</f>
        <v>Vận hành xe nâng hàng</v>
      </c>
      <c r="R237" s="17">
        <f>IFERROR(__xludf.DUMMYFUNCTION("""COMPUTED_VALUE"""),43169.0)</f>
        <v>43169</v>
      </c>
      <c r="S237" s="19">
        <f>IFERROR(__xludf.DUMMYFUNCTION("""COMPUTED_VALUE"""),43169.0)</f>
        <v>43169</v>
      </c>
      <c r="T237" s="7" t="str">
        <f>IFERROR(__xludf.DUMMYFUNCTION("""COMPUTED_VALUE"""),"Chính thức")</f>
        <v>Chính thức</v>
      </c>
      <c r="U237" s="7"/>
      <c r="V237" s="7" t="str">
        <f>IFERROR(__xludf.DUMMYFUNCTION("""COMPUTED_VALUE"""),"Chính thức")</f>
        <v>Chính thức</v>
      </c>
      <c r="W237" s="7" t="str">
        <f>IFERROR(__xludf.DUMMYFUNCTION("""COMPUTED_VALUE"""),"7 năm 9 tháng")</f>
        <v>7 năm 9 tháng</v>
      </c>
      <c r="X237" s="7"/>
      <c r="Y237" s="7"/>
      <c r="Z237" s="7"/>
    </row>
    <row r="238">
      <c r="A238" s="7">
        <f>IFERROR(__xludf.DUMMYFUNCTION("""COMPUTED_VALUE"""),17.0)</f>
        <v>17</v>
      </c>
      <c r="B238" s="7" t="str">
        <f>IFERROR(__xludf.DUMMYFUNCTION("""COMPUTED_VALUE"""),"Văn phòng")</f>
        <v>Văn phòng</v>
      </c>
      <c r="C238" s="7" t="str">
        <f>IFERROR(__xludf.DUMMYFUNCTION("""COMPUTED_VALUE"""),"Phòng Kế toán")</f>
        <v>Phòng Kế toán</v>
      </c>
      <c r="D238" s="7" t="str">
        <f>IFERROR(__xludf.DUMMYFUNCTION("""COMPUTED_VALUE"""),"Tổ phục vụ xuất hàng")</f>
        <v>Tổ phục vụ xuất hàng</v>
      </c>
      <c r="E238" s="7" t="str">
        <f>IFERROR(__xludf.DUMMYFUNCTION("""COMPUTED_VALUE"""),"Nhân viên Lái xe nâng")</f>
        <v>Nhân viên Lái xe nâng</v>
      </c>
      <c r="F238" s="7" t="str">
        <f>IFERROR(__xludf.DUMMYFUNCTION("""COMPUTED_VALUE"""),"NV0758")</f>
        <v>NV0758</v>
      </c>
      <c r="G238" s="7">
        <f>IFERROR(__xludf.DUMMYFUNCTION("""COMPUTED_VALUE"""),233.0)</f>
        <v>233</v>
      </c>
      <c r="H238" s="7" t="str">
        <f>IFERROR(__xludf.DUMMYFUNCTION("""COMPUTED_VALUE"""),"Đặng Minh Yên")</f>
        <v>Đặng Minh Yên</v>
      </c>
      <c r="I238" s="7" t="str">
        <f>IFERROR(__xludf.DUMMYFUNCTION("""COMPUTED_VALUE"""),"Nam")</f>
        <v>Nam</v>
      </c>
      <c r="J238" s="17">
        <f>IFERROR(__xludf.DUMMYFUNCTION("""COMPUTED_VALUE"""),30127.0)</f>
        <v>30127</v>
      </c>
      <c r="K238" s="7" t="str">
        <f>IFERROR(__xludf.DUMMYFUNCTION("""COMPUTED_VALUE"""),"Xã Quảng Hợp, Huyện Quảng Xương, Thanh Hóa")</f>
        <v>Xã Quảng Hợp, Huyện Quảng Xương, Thanh Hóa</v>
      </c>
      <c r="L238" s="7" t="str">
        <f>IFERROR(__xludf.DUMMYFUNCTION("""COMPUTED_VALUE"""),"0977416411")</f>
        <v>0977416411</v>
      </c>
      <c r="M238" s="7" t="str">
        <f>IFERROR(__xludf.DUMMYFUNCTION("""COMPUTED_VALUE"""),"038082029747")</f>
        <v>038082029747</v>
      </c>
      <c r="N238" s="18">
        <f>IFERROR(__xludf.DUMMYFUNCTION("""COMPUTED_VALUE"""),44325.0)</f>
        <v>44325</v>
      </c>
      <c r="O238" s="7" t="str">
        <f>IFERROR(__xludf.DUMMYFUNCTION("""COMPUTED_VALUE"""),"Cục Cảnh sát QLHC về TTXH")</f>
        <v>Cục Cảnh sát QLHC về TTXH</v>
      </c>
      <c r="P238" s="7" t="str">
        <f>IFERROR(__xludf.DUMMYFUNCTION("""COMPUTED_VALUE"""),"Công nhân kỹ thuật")</f>
        <v>Công nhân kỹ thuật</v>
      </c>
      <c r="Q238" s="7" t="str">
        <f>IFERROR(__xludf.DUMMYFUNCTION("""COMPUTED_VALUE"""),"Lái máy")</f>
        <v>Lái máy</v>
      </c>
      <c r="R238" s="17">
        <f>IFERROR(__xludf.DUMMYFUNCTION("""COMPUTED_VALUE"""),42609.0)</f>
        <v>42609</v>
      </c>
      <c r="S238" s="19">
        <f>IFERROR(__xludf.DUMMYFUNCTION("""COMPUTED_VALUE"""),42609.0)</f>
        <v>42609</v>
      </c>
      <c r="T238" s="7" t="str">
        <f>IFERROR(__xludf.DUMMYFUNCTION("""COMPUTED_VALUE"""),"Chính thức")</f>
        <v>Chính thức</v>
      </c>
      <c r="U238" s="7"/>
      <c r="V238" s="7" t="str">
        <f>IFERROR(__xludf.DUMMYFUNCTION("""COMPUTED_VALUE"""),"Chính thức")</f>
        <v>Chính thức</v>
      </c>
      <c r="W238" s="7" t="str">
        <f>IFERROR(__xludf.DUMMYFUNCTION("""COMPUTED_VALUE"""),"9 năm 4 tháng")</f>
        <v>9 năm 4 tháng</v>
      </c>
      <c r="X238" s="7"/>
      <c r="Y238" s="7"/>
      <c r="Z238" s="7"/>
    </row>
    <row r="239">
      <c r="A239" s="7">
        <f>IFERROR(__xludf.DUMMYFUNCTION("""COMPUTED_VALUE"""),18.0)</f>
        <v>18</v>
      </c>
      <c r="B239" s="7" t="str">
        <f>IFERROR(__xludf.DUMMYFUNCTION("""COMPUTED_VALUE"""),"Văn phòng")</f>
        <v>Văn phòng</v>
      </c>
      <c r="C239" s="7" t="str">
        <f>IFERROR(__xludf.DUMMYFUNCTION("""COMPUTED_VALUE"""),"Phòng Kế toán")</f>
        <v>Phòng Kế toán</v>
      </c>
      <c r="D239" s="7" t="str">
        <f>IFERROR(__xludf.DUMMYFUNCTION("""COMPUTED_VALUE"""),"Tổ phục vụ xuất hàng")</f>
        <v>Tổ phục vụ xuất hàng</v>
      </c>
      <c r="E239" s="7" t="str">
        <f>IFERROR(__xludf.DUMMYFUNCTION("""COMPUTED_VALUE"""),"Nhân viên VSCN")</f>
        <v>Nhân viên VSCN</v>
      </c>
      <c r="F239" s="7" t="str">
        <f>IFERROR(__xludf.DUMMYFUNCTION("""COMPUTED_VALUE"""),"NV1166")</f>
        <v>NV1166</v>
      </c>
      <c r="G239" s="7">
        <f>IFERROR(__xludf.DUMMYFUNCTION("""COMPUTED_VALUE"""),237.0)</f>
        <v>237</v>
      </c>
      <c r="H239" s="7" t="str">
        <f>IFERROR(__xludf.DUMMYFUNCTION("""COMPUTED_VALUE"""),"Phạm Thị Tiên")</f>
        <v>Phạm Thị Tiên</v>
      </c>
      <c r="I239" s="7" t="str">
        <f>IFERROR(__xludf.DUMMYFUNCTION("""COMPUTED_VALUE"""),"Nữ")</f>
        <v>Nữ</v>
      </c>
      <c r="J239" s="17">
        <f>IFERROR(__xludf.DUMMYFUNCTION("""COMPUTED_VALUE"""),25851.0)</f>
        <v>25851</v>
      </c>
      <c r="K239" s="7" t="str">
        <f>IFERROR(__xludf.DUMMYFUNCTION("""COMPUTED_VALUE"""),"Phố Lễ Môn - Phường Đông Hải - Thành Phố Thanh Hóa")</f>
        <v>Phố Lễ Môn - Phường Đông Hải - Thành Phố Thanh Hóa</v>
      </c>
      <c r="L239" s="7" t="str">
        <f>IFERROR(__xludf.DUMMYFUNCTION("""COMPUTED_VALUE"""),"0986155778")</f>
        <v>0986155778</v>
      </c>
      <c r="M239" s="7" t="str">
        <f>IFERROR(__xludf.DUMMYFUNCTION("""COMPUTED_VALUE"""),"038170007724")</f>
        <v>038170007724</v>
      </c>
      <c r="N239" s="18">
        <f>IFERROR(__xludf.DUMMYFUNCTION("""COMPUTED_VALUE"""),44458.0)</f>
        <v>44458</v>
      </c>
      <c r="O239" s="7" t="str">
        <f>IFERROR(__xludf.DUMMYFUNCTION("""COMPUTED_VALUE"""),"Cục Cảnh sát QLHC về TTXH")</f>
        <v>Cục Cảnh sát QLHC về TTXH</v>
      </c>
      <c r="P239" s="7" t="str">
        <f>IFERROR(__xludf.DUMMYFUNCTION("""COMPUTED_VALUE"""),"LĐPT")</f>
        <v>LĐPT</v>
      </c>
      <c r="Q239" s="7" t="str">
        <f>IFERROR(__xludf.DUMMYFUNCTION("""COMPUTED_VALUE"""),"Lao động phổ thông")</f>
        <v>Lao động phổ thông</v>
      </c>
      <c r="R239" s="17">
        <f>IFERROR(__xludf.DUMMYFUNCTION("""COMPUTED_VALUE"""),43091.0)</f>
        <v>43091</v>
      </c>
      <c r="S239" s="19">
        <f>IFERROR(__xludf.DUMMYFUNCTION("""COMPUTED_VALUE"""),43466.0)</f>
        <v>43466</v>
      </c>
      <c r="T239" s="7" t="str">
        <f>IFERROR(__xludf.DUMMYFUNCTION("""COMPUTED_VALUE"""),"Chính thức")</f>
        <v>Chính thức</v>
      </c>
      <c r="U239" s="7"/>
      <c r="V239" s="7" t="str">
        <f>IFERROR(__xludf.DUMMYFUNCTION("""COMPUTED_VALUE"""),"Chính thức")</f>
        <v>Chính thức</v>
      </c>
      <c r="W239" s="7" t="str">
        <f>IFERROR(__xludf.DUMMYFUNCTION("""COMPUTED_VALUE"""),"8 năm 0 tháng")</f>
        <v>8 năm 0 tháng</v>
      </c>
      <c r="X239" s="7"/>
      <c r="Y239" s="7"/>
      <c r="Z239" s="7"/>
    </row>
    <row r="240">
      <c r="A240" s="7">
        <f>IFERROR(__xludf.DUMMYFUNCTION("""COMPUTED_VALUE"""),19.0)</f>
        <v>19</v>
      </c>
      <c r="B240" s="7" t="str">
        <f>IFERROR(__xludf.DUMMYFUNCTION("""COMPUTED_VALUE"""),"Văn phòng")</f>
        <v>Văn phòng</v>
      </c>
      <c r="C240" s="7" t="str">
        <f>IFERROR(__xludf.DUMMYFUNCTION("""COMPUTED_VALUE"""),"Phòng Kế toán")</f>
        <v>Phòng Kế toán</v>
      </c>
      <c r="D240" s="7" t="str">
        <f>IFERROR(__xludf.DUMMYFUNCTION("""COMPUTED_VALUE"""),"Tổ phục vụ xuất hàng")</f>
        <v>Tổ phục vụ xuất hàng</v>
      </c>
      <c r="E240" s="7" t="str">
        <f>IFERROR(__xludf.DUMMYFUNCTION("""COMPUTED_VALUE"""),"Nhân viên Sơ chế")</f>
        <v>Nhân viên Sơ chế</v>
      </c>
      <c r="F240" s="7" t="str">
        <f>IFERROR(__xludf.DUMMYFUNCTION("""COMPUTED_VALUE"""),"NV1309")</f>
        <v>NV1309</v>
      </c>
      <c r="G240" s="7">
        <f>IFERROR(__xludf.DUMMYFUNCTION("""COMPUTED_VALUE"""),222.0)</f>
        <v>222</v>
      </c>
      <c r="H240" s="7" t="str">
        <f>IFERROR(__xludf.DUMMYFUNCTION("""COMPUTED_VALUE"""),"Nguyễn Văn Tâm")</f>
        <v>Nguyễn Văn Tâm</v>
      </c>
      <c r="I240" s="7" t="str">
        <f>IFERROR(__xludf.DUMMYFUNCTION("""COMPUTED_VALUE"""),"Nam")</f>
        <v>Nam</v>
      </c>
      <c r="J240" s="17">
        <f>IFERROR(__xludf.DUMMYFUNCTION("""COMPUTED_VALUE"""),30599.0)</f>
        <v>30599</v>
      </c>
      <c r="K240" s="7" t="str">
        <f>IFERROR(__xludf.DUMMYFUNCTION("""COMPUTED_VALUE"""),"Hoằng Tân - Hoằng Hóa - Thanh Hóa")</f>
        <v>Hoằng Tân - Hoằng Hóa - Thanh Hóa</v>
      </c>
      <c r="L240" s="7" t="str">
        <f>IFERROR(__xludf.DUMMYFUNCTION("""COMPUTED_VALUE"""),"0365464426")</f>
        <v>0365464426</v>
      </c>
      <c r="M240" s="7" t="str">
        <f>IFERROR(__xludf.DUMMYFUNCTION("""COMPUTED_VALUE"""),"038083050404")</f>
        <v>038083050404</v>
      </c>
      <c r="N240" s="18">
        <f>IFERROR(__xludf.DUMMYFUNCTION("""COMPUTED_VALUE"""),44420.0)</f>
        <v>44420</v>
      </c>
      <c r="O240" s="7" t="str">
        <f>IFERROR(__xludf.DUMMYFUNCTION("""COMPUTED_VALUE"""),"Cục Cảnh sát QLHC về TTXH")</f>
        <v>Cục Cảnh sát QLHC về TTXH</v>
      </c>
      <c r="P240" s="7" t="str">
        <f>IFERROR(__xludf.DUMMYFUNCTION("""COMPUTED_VALUE"""),"LĐPT")</f>
        <v>LĐPT</v>
      </c>
      <c r="Q240" s="7" t="str">
        <f>IFERROR(__xludf.DUMMYFUNCTION("""COMPUTED_VALUE"""),"Lao động phổ thông")</f>
        <v>Lao động phổ thông</v>
      </c>
      <c r="R240" s="17">
        <f>IFERROR(__xludf.DUMMYFUNCTION("""COMPUTED_VALUE"""),43187.0)</f>
        <v>43187</v>
      </c>
      <c r="S240" s="19">
        <f>IFERROR(__xludf.DUMMYFUNCTION("""COMPUTED_VALUE"""),43586.0)</f>
        <v>43586</v>
      </c>
      <c r="T240" s="7" t="str">
        <f>IFERROR(__xludf.DUMMYFUNCTION("""COMPUTED_VALUE"""),"Chính thức")</f>
        <v>Chính thức</v>
      </c>
      <c r="U240" s="7"/>
      <c r="V240" s="7" t="str">
        <f>IFERROR(__xludf.DUMMYFUNCTION("""COMPUTED_VALUE"""),"Chính thức")</f>
        <v>Chính thức</v>
      </c>
      <c r="W240" s="7" t="str">
        <f>IFERROR(__xludf.DUMMYFUNCTION("""COMPUTED_VALUE"""),"7 năm 9 tháng")</f>
        <v>7 năm 9 tháng</v>
      </c>
      <c r="X240" s="7"/>
      <c r="Y240" s="7"/>
      <c r="Z240" s="7"/>
    </row>
    <row r="241">
      <c r="A241" s="7">
        <f>IFERROR(__xludf.DUMMYFUNCTION("""COMPUTED_VALUE"""),20.0)</f>
        <v>20</v>
      </c>
      <c r="B241" s="7" t="str">
        <f>IFERROR(__xludf.DUMMYFUNCTION("""COMPUTED_VALUE"""),"Văn phòng")</f>
        <v>Văn phòng</v>
      </c>
      <c r="C241" s="7" t="str">
        <f>IFERROR(__xludf.DUMMYFUNCTION("""COMPUTED_VALUE"""),"Phòng Kế toán")</f>
        <v>Phòng Kế toán</v>
      </c>
      <c r="D241" s="7" t="str">
        <f>IFERROR(__xludf.DUMMYFUNCTION("""COMPUTED_VALUE"""),"Tổ phục vụ xuất hàng")</f>
        <v>Tổ phục vụ xuất hàng</v>
      </c>
      <c r="E241" s="7" t="str">
        <f>IFERROR(__xludf.DUMMYFUNCTION("""COMPUTED_VALUE"""),"Nhóm trưởng xe nâng")</f>
        <v>Nhóm trưởng xe nâng</v>
      </c>
      <c r="F241" s="7" t="str">
        <f>IFERROR(__xludf.DUMMYFUNCTION("""COMPUTED_VALUE"""),"NV0376")</f>
        <v>NV0376</v>
      </c>
      <c r="G241" s="7">
        <f>IFERROR(__xludf.DUMMYFUNCTION("""COMPUTED_VALUE"""),100.0)</f>
        <v>100</v>
      </c>
      <c r="H241" s="7" t="str">
        <f>IFERROR(__xludf.DUMMYFUNCTION("""COMPUTED_VALUE"""),"Lê Bá Long")</f>
        <v>Lê Bá Long</v>
      </c>
      <c r="I241" s="7" t="str">
        <f>IFERROR(__xludf.DUMMYFUNCTION("""COMPUTED_VALUE"""),"Nam")</f>
        <v>Nam</v>
      </c>
      <c r="J241" s="17">
        <f>IFERROR(__xludf.DUMMYFUNCTION("""COMPUTED_VALUE"""),30444.0)</f>
        <v>30444</v>
      </c>
      <c r="K241" s="7" t="str">
        <f>IFERROR(__xludf.DUMMYFUNCTION("""COMPUTED_VALUE"""),"Đội 1 - Hoằng Minh - Hoằng Hóa - Thanh Hóa")</f>
        <v>Đội 1 - Hoằng Minh - Hoằng Hóa - Thanh Hóa</v>
      </c>
      <c r="L241" s="7" t="str">
        <f>IFERROR(__xludf.DUMMYFUNCTION("""COMPUTED_VALUE"""),"0934409726")</f>
        <v>0934409726</v>
      </c>
      <c r="M241" s="7" t="str">
        <f>IFERROR(__xludf.DUMMYFUNCTION("""COMPUTED_VALUE"""),"038083024876")</f>
        <v>038083024876</v>
      </c>
      <c r="N241" s="18">
        <f>IFERROR(__xludf.DUMMYFUNCTION("""COMPUTED_VALUE"""),44931.0)</f>
        <v>44931</v>
      </c>
      <c r="O241" s="7" t="str">
        <f>IFERROR(__xludf.DUMMYFUNCTION("""COMPUTED_VALUE"""),"Cục Cảnh sát QLHC về TTXH")</f>
        <v>Cục Cảnh sát QLHC về TTXH</v>
      </c>
      <c r="P241" s="7" t="str">
        <f>IFERROR(__xludf.DUMMYFUNCTION("""COMPUTED_VALUE"""),"Công nhân kỹ thuật")</f>
        <v>Công nhân kỹ thuật</v>
      </c>
      <c r="Q241" s="7" t="str">
        <f>IFERROR(__xludf.DUMMYFUNCTION("""COMPUTED_VALUE"""),"Lái xe nâng")</f>
        <v>Lái xe nâng</v>
      </c>
      <c r="R241" s="17">
        <f>IFERROR(__xludf.DUMMYFUNCTION("""COMPUTED_VALUE"""),39083.0)</f>
        <v>39083</v>
      </c>
      <c r="S241" s="19">
        <f>IFERROR(__xludf.DUMMYFUNCTION("""COMPUTED_VALUE"""),39083.0)</f>
        <v>39083</v>
      </c>
      <c r="T241" s="7" t="str">
        <f>IFERROR(__xludf.DUMMYFUNCTION("""COMPUTED_VALUE"""),"Chính thức")</f>
        <v>Chính thức</v>
      </c>
      <c r="U241" s="7"/>
      <c r="V241" s="7" t="str">
        <f>IFERROR(__xludf.DUMMYFUNCTION("""COMPUTED_VALUE"""),"Chính thức")</f>
        <v>Chính thức</v>
      </c>
      <c r="W241" s="7" t="str">
        <f>IFERROR(__xludf.DUMMYFUNCTION("""COMPUTED_VALUE"""),"18 năm 11 tháng")</f>
        <v>18 năm 11 tháng</v>
      </c>
      <c r="X241" s="7"/>
      <c r="Y241" s="7"/>
      <c r="Z241" s="7"/>
    </row>
    <row r="242">
      <c r="A242" s="7">
        <f>IFERROR(__xludf.DUMMYFUNCTION("""COMPUTED_VALUE"""),21.0)</f>
        <v>21</v>
      </c>
      <c r="B242" s="7" t="str">
        <f>IFERROR(__xludf.DUMMYFUNCTION("""COMPUTED_VALUE"""),"Văn phòng")</f>
        <v>Văn phòng</v>
      </c>
      <c r="C242" s="7" t="str">
        <f>IFERROR(__xludf.DUMMYFUNCTION("""COMPUTED_VALUE"""),"Phòng Kế toán")</f>
        <v>Phòng Kế toán</v>
      </c>
      <c r="D242" s="7" t="str">
        <f>IFERROR(__xludf.DUMMYFUNCTION("""COMPUTED_VALUE"""),"Tổ phục vụ xuất hàng")</f>
        <v>Tổ phục vụ xuất hàng</v>
      </c>
      <c r="E242" s="7" t="str">
        <f>IFERROR(__xludf.DUMMYFUNCTION("""COMPUTED_VALUE"""),"Nhân viên Sơ chế")</f>
        <v>Nhân viên Sơ chế</v>
      </c>
      <c r="F242" s="7" t="str">
        <f>IFERROR(__xludf.DUMMYFUNCTION("""COMPUTED_VALUE"""),"NV0392")</f>
        <v>NV0392</v>
      </c>
      <c r="G242" s="7">
        <f>IFERROR(__xludf.DUMMYFUNCTION("""COMPUTED_VALUE"""),227.0)</f>
        <v>227</v>
      </c>
      <c r="H242" s="7" t="str">
        <f>IFERROR(__xludf.DUMMYFUNCTION("""COMPUTED_VALUE"""),"Đỗ Văn Trung")</f>
        <v>Đỗ Văn Trung</v>
      </c>
      <c r="I242" s="7" t="str">
        <f>IFERROR(__xludf.DUMMYFUNCTION("""COMPUTED_VALUE"""),"Nam")</f>
        <v>Nam</v>
      </c>
      <c r="J242" s="17">
        <f>IFERROR(__xludf.DUMMYFUNCTION("""COMPUTED_VALUE"""),31330.0)</f>
        <v>31330</v>
      </c>
      <c r="K242" s="7" t="str">
        <f>IFERROR(__xludf.DUMMYFUNCTION("""COMPUTED_VALUE"""),"Xã Quảng Đức - Quảng Xương - Thanh Hóa")</f>
        <v>Xã Quảng Đức - Quảng Xương - Thanh Hóa</v>
      </c>
      <c r="L242" s="7" t="str">
        <f>IFERROR(__xludf.DUMMYFUNCTION("""COMPUTED_VALUE"""),"0393676365")</f>
        <v>0393676365</v>
      </c>
      <c r="M242" s="7" t="str">
        <f>IFERROR(__xludf.DUMMYFUNCTION("""COMPUTED_VALUE"""),"038085029018")</f>
        <v>038085029018</v>
      </c>
      <c r="N242" s="18">
        <f>IFERROR(__xludf.DUMMYFUNCTION("""COMPUTED_VALUE"""),44375.0)</f>
        <v>44375</v>
      </c>
      <c r="O242" s="7" t="str">
        <f>IFERROR(__xludf.DUMMYFUNCTION("""COMPUTED_VALUE"""),"Cục Cảnh sát QLHC về TTXH")</f>
        <v>Cục Cảnh sát QLHC về TTXH</v>
      </c>
      <c r="P242" s="7" t="str">
        <f>IFERROR(__xludf.DUMMYFUNCTION("""COMPUTED_VALUE"""),"LĐPT")</f>
        <v>LĐPT</v>
      </c>
      <c r="Q242" s="7" t="str">
        <f>IFERROR(__xludf.DUMMYFUNCTION("""COMPUTED_VALUE"""),"Lao động phổ thông")</f>
        <v>Lao động phổ thông</v>
      </c>
      <c r="R242" s="17">
        <f>IFERROR(__xludf.DUMMYFUNCTION("""COMPUTED_VALUE"""),42485.0)</f>
        <v>42485</v>
      </c>
      <c r="S242" s="19">
        <f>IFERROR(__xludf.DUMMYFUNCTION("""COMPUTED_VALUE"""),42485.0)</f>
        <v>42485</v>
      </c>
      <c r="T242" s="7" t="str">
        <f>IFERROR(__xludf.DUMMYFUNCTION("""COMPUTED_VALUE"""),"Chính thức")</f>
        <v>Chính thức</v>
      </c>
      <c r="U242" s="7"/>
      <c r="V242" s="7" t="str">
        <f>IFERROR(__xludf.DUMMYFUNCTION("""COMPUTED_VALUE"""),"Chính thức")</f>
        <v>Chính thức</v>
      </c>
      <c r="W242" s="7" t="str">
        <f>IFERROR(__xludf.DUMMYFUNCTION("""COMPUTED_VALUE"""),"9 năm 8 tháng")</f>
        <v>9 năm 8 tháng</v>
      </c>
      <c r="X242" s="7"/>
      <c r="Y242" s="7"/>
      <c r="Z242" s="7"/>
    </row>
    <row r="243">
      <c r="A243" s="7">
        <f>IFERROR(__xludf.DUMMYFUNCTION("""COMPUTED_VALUE"""),22.0)</f>
        <v>22</v>
      </c>
      <c r="B243" s="7" t="str">
        <f>IFERROR(__xludf.DUMMYFUNCTION("""COMPUTED_VALUE"""),"Văn phòng")</f>
        <v>Văn phòng</v>
      </c>
      <c r="C243" s="7" t="str">
        <f>IFERROR(__xludf.DUMMYFUNCTION("""COMPUTED_VALUE"""),"Phòng Kế toán")</f>
        <v>Phòng Kế toán</v>
      </c>
      <c r="D243" s="7" t="str">
        <f>IFERROR(__xludf.DUMMYFUNCTION("""COMPUTED_VALUE"""),"Tổ phục vụ xuất hàng")</f>
        <v>Tổ phục vụ xuất hàng</v>
      </c>
      <c r="E243" s="7" t="str">
        <f>IFERROR(__xludf.DUMMYFUNCTION("""COMPUTED_VALUE"""),"Nhân viên Sơ chế")</f>
        <v>Nhân viên Sơ chế</v>
      </c>
      <c r="F243" s="7" t="str">
        <f>IFERROR(__xludf.DUMMYFUNCTION("""COMPUTED_VALUE"""),"NV3077")</f>
        <v>NV3077</v>
      </c>
      <c r="G243" s="7">
        <f>IFERROR(__xludf.DUMMYFUNCTION("""COMPUTED_VALUE"""),92.0)</f>
        <v>92</v>
      </c>
      <c r="H243" s="7" t="str">
        <f>IFERROR(__xludf.DUMMYFUNCTION("""COMPUTED_VALUE"""),"Nguyễn Văn Huệ")</f>
        <v>Nguyễn Văn Huệ</v>
      </c>
      <c r="I243" s="7" t="str">
        <f>IFERROR(__xludf.DUMMYFUNCTION("""COMPUTED_VALUE"""),"Nam")</f>
        <v>Nam</v>
      </c>
      <c r="J243" s="17">
        <f>IFERROR(__xludf.DUMMYFUNCTION("""COMPUTED_VALUE"""),29360.0)</f>
        <v>29360</v>
      </c>
      <c r="K243" s="7" t="str">
        <f>IFERROR(__xludf.DUMMYFUNCTION("""COMPUTED_VALUE"""),"Nguyệt Viên 1 - Hoằng Quang - Thành Phố Thanh Hóa")</f>
        <v>Nguyệt Viên 1 - Hoằng Quang - Thành Phố Thanh Hóa</v>
      </c>
      <c r="L243" s="7" t="str">
        <f>IFERROR(__xludf.DUMMYFUNCTION("""COMPUTED_VALUE"""),"0373319814")</f>
        <v>0373319814</v>
      </c>
      <c r="M243" s="7" t="str">
        <f>IFERROR(__xludf.DUMMYFUNCTION("""COMPUTED_VALUE"""),"038080023628")</f>
        <v>038080023628</v>
      </c>
      <c r="N243" s="18">
        <f>IFERROR(__xludf.DUMMYFUNCTION("""COMPUTED_VALUE"""),44427.0)</f>
        <v>44427</v>
      </c>
      <c r="O243" s="7" t="str">
        <f>IFERROR(__xludf.DUMMYFUNCTION("""COMPUTED_VALUE"""),"Cục Cảnh sát QLHC về TTXH")</f>
        <v>Cục Cảnh sát QLHC về TTXH</v>
      </c>
      <c r="P243" s="7" t="str">
        <f>IFERROR(__xludf.DUMMYFUNCTION("""COMPUTED_VALUE"""),"LĐPT")</f>
        <v>LĐPT</v>
      </c>
      <c r="Q243" s="7" t="str">
        <f>IFERROR(__xludf.DUMMYFUNCTION("""COMPUTED_VALUE"""),"Lao động phổ thông")</f>
        <v>Lao động phổ thông</v>
      </c>
      <c r="R243" s="17">
        <f>IFERROR(__xludf.DUMMYFUNCTION("""COMPUTED_VALUE"""),44020.0)</f>
        <v>44020</v>
      </c>
      <c r="S243" s="19">
        <f>IFERROR(__xludf.DUMMYFUNCTION("""COMPUTED_VALUE"""),44317.0)</f>
        <v>44317</v>
      </c>
      <c r="T243" s="7" t="str">
        <f>IFERROR(__xludf.DUMMYFUNCTION("""COMPUTED_VALUE"""),"Chính thức")</f>
        <v>Chính thức</v>
      </c>
      <c r="U243" s="7"/>
      <c r="V243" s="7" t="str">
        <f>IFERROR(__xludf.DUMMYFUNCTION("""COMPUTED_VALUE"""),"Chính thức")</f>
        <v>Chính thức</v>
      </c>
      <c r="W243" s="7" t="str">
        <f>IFERROR(__xludf.DUMMYFUNCTION("""COMPUTED_VALUE"""),"5 năm 5 tháng")</f>
        <v>5 năm 5 tháng</v>
      </c>
      <c r="X243" s="7"/>
      <c r="Y243" s="7"/>
      <c r="Z243" s="7"/>
    </row>
    <row r="244">
      <c r="A244" s="7">
        <f>IFERROR(__xludf.DUMMYFUNCTION("""COMPUTED_VALUE"""),23.0)</f>
        <v>23</v>
      </c>
      <c r="B244" s="7" t="str">
        <f>IFERROR(__xludf.DUMMYFUNCTION("""COMPUTED_VALUE"""),"Văn phòng")</f>
        <v>Văn phòng</v>
      </c>
      <c r="C244" s="7" t="str">
        <f>IFERROR(__xludf.DUMMYFUNCTION("""COMPUTED_VALUE"""),"Phòng Kế toán")</f>
        <v>Phòng Kế toán</v>
      </c>
      <c r="D244" s="7" t="str">
        <f>IFERROR(__xludf.DUMMYFUNCTION("""COMPUTED_VALUE"""),"Tổ phục vụ xuất hàng")</f>
        <v>Tổ phục vụ xuất hàng</v>
      </c>
      <c r="E244" s="7" t="str">
        <f>IFERROR(__xludf.DUMMYFUNCTION("""COMPUTED_VALUE"""),"Nhân viên Lái xe nâng")</f>
        <v>Nhân viên Lái xe nâng</v>
      </c>
      <c r="F244" s="7" t="str">
        <f>IFERROR(__xludf.DUMMYFUNCTION("""COMPUTED_VALUE"""),"NV0386")</f>
        <v>NV0386</v>
      </c>
      <c r="G244" s="7">
        <f>IFERROR(__xludf.DUMMYFUNCTION("""COMPUTED_VALUE"""),63.0)</f>
        <v>63</v>
      </c>
      <c r="H244" s="7" t="str">
        <f>IFERROR(__xludf.DUMMYFUNCTION("""COMPUTED_VALUE"""),"Lê Đình Tuấn")</f>
        <v>Lê Đình Tuấn</v>
      </c>
      <c r="I244" s="7" t="str">
        <f>IFERROR(__xludf.DUMMYFUNCTION("""COMPUTED_VALUE"""),"Nam")</f>
        <v>Nam</v>
      </c>
      <c r="J244" s="17">
        <f>IFERROR(__xludf.DUMMYFUNCTION("""COMPUTED_VALUE"""),29514.0)</f>
        <v>29514</v>
      </c>
      <c r="K244" s="7" t="str">
        <f>IFERROR(__xludf.DUMMYFUNCTION("""COMPUTED_VALUE"""),"Quảng Lưu - Quảng Xương - Thanh Hóa")</f>
        <v>Quảng Lưu - Quảng Xương - Thanh Hóa</v>
      </c>
      <c r="L244" s="7" t="str">
        <f>IFERROR(__xludf.DUMMYFUNCTION("""COMPUTED_VALUE"""),"0373319814")</f>
        <v>0373319814</v>
      </c>
      <c r="M244" s="7" t="str">
        <f>IFERROR(__xludf.DUMMYFUNCTION("""COMPUTED_VALUE"""),"038080002326")</f>
        <v>038080002326</v>
      </c>
      <c r="N244" s="18">
        <f>IFERROR(__xludf.DUMMYFUNCTION("""COMPUTED_VALUE"""),44419.0)</f>
        <v>44419</v>
      </c>
      <c r="O244" s="7" t="str">
        <f>IFERROR(__xludf.DUMMYFUNCTION("""COMPUTED_VALUE"""),"Cục Cảnh sát QLHC về TTXH")</f>
        <v>Cục Cảnh sát QLHC về TTXH</v>
      </c>
      <c r="P244" s="7" t="str">
        <f>IFERROR(__xludf.DUMMYFUNCTION("""COMPUTED_VALUE"""),"Bằng Nghề")</f>
        <v>Bằng Nghề</v>
      </c>
      <c r="Q244" s="7" t="str">
        <f>IFERROR(__xludf.DUMMYFUNCTION("""COMPUTED_VALUE"""),"Lái xe nâng")</f>
        <v>Lái xe nâng</v>
      </c>
      <c r="R244" s="17">
        <f>IFERROR(__xludf.DUMMYFUNCTION("""COMPUTED_VALUE"""),42524.0)</f>
        <v>42524</v>
      </c>
      <c r="S244" s="19">
        <f>IFERROR(__xludf.DUMMYFUNCTION("""COMPUTED_VALUE"""),42524.0)</f>
        <v>42524</v>
      </c>
      <c r="T244" s="7" t="str">
        <f>IFERROR(__xludf.DUMMYFUNCTION("""COMPUTED_VALUE"""),"Chính thức")</f>
        <v>Chính thức</v>
      </c>
      <c r="U244" s="7"/>
      <c r="V244" s="7" t="str">
        <f>IFERROR(__xludf.DUMMYFUNCTION("""COMPUTED_VALUE"""),"Chính thức")</f>
        <v>Chính thức</v>
      </c>
      <c r="W244" s="7" t="str">
        <f>IFERROR(__xludf.DUMMYFUNCTION("""COMPUTED_VALUE"""),"9 năm 6 tháng")</f>
        <v>9 năm 6 tháng</v>
      </c>
      <c r="X244" s="7"/>
      <c r="Y244" s="7"/>
      <c r="Z244" s="7"/>
    </row>
    <row r="245">
      <c r="A245" s="7">
        <f>IFERROR(__xludf.DUMMYFUNCTION("""COMPUTED_VALUE"""),24.0)</f>
        <v>24</v>
      </c>
      <c r="B245" s="7" t="str">
        <f>IFERROR(__xludf.DUMMYFUNCTION("""COMPUTED_VALUE"""),"Văn phòng")</f>
        <v>Văn phòng</v>
      </c>
      <c r="C245" s="7" t="str">
        <f>IFERROR(__xludf.DUMMYFUNCTION("""COMPUTED_VALUE"""),"Phòng Kế toán")</f>
        <v>Phòng Kế toán</v>
      </c>
      <c r="D245" s="7" t="str">
        <f>IFERROR(__xludf.DUMMYFUNCTION("""COMPUTED_VALUE"""),"Tổ phục vụ xuất hàng")</f>
        <v>Tổ phục vụ xuất hàng</v>
      </c>
      <c r="E245" s="7" t="str">
        <f>IFERROR(__xludf.DUMMYFUNCTION("""COMPUTED_VALUE"""),"Nhân viên Lái xe nâng")</f>
        <v>Nhân viên Lái xe nâng</v>
      </c>
      <c r="F245" s="7" t="str">
        <f>IFERROR(__xludf.DUMMYFUNCTION("""COMPUTED_VALUE"""),"NV0377")</f>
        <v>NV0377</v>
      </c>
      <c r="G245" s="7">
        <f>IFERROR(__xludf.DUMMYFUNCTION("""COMPUTED_VALUE"""),64.0)</f>
        <v>64</v>
      </c>
      <c r="H245" s="7" t="str">
        <f>IFERROR(__xludf.DUMMYFUNCTION("""COMPUTED_VALUE"""),"Lê Quang Việt")</f>
        <v>Lê Quang Việt</v>
      </c>
      <c r="I245" s="7" t="str">
        <f>IFERROR(__xludf.DUMMYFUNCTION("""COMPUTED_VALUE"""),"Nam")</f>
        <v>Nam</v>
      </c>
      <c r="J245" s="17">
        <f>IFERROR(__xludf.DUMMYFUNCTION("""COMPUTED_VALUE"""),30446.0)</f>
        <v>30446</v>
      </c>
      <c r="K245" s="7" t="str">
        <f>IFERROR(__xludf.DUMMYFUNCTION("""COMPUTED_VALUE"""),"Xã Quảng Thọ - Quảng Xương - Thanh Hóa")</f>
        <v>Xã Quảng Thọ - Quảng Xương - Thanh Hóa</v>
      </c>
      <c r="L245" s="7" t="str">
        <f>IFERROR(__xludf.DUMMYFUNCTION("""COMPUTED_VALUE"""),"0914375779")</f>
        <v>0914375779</v>
      </c>
      <c r="M245" s="7" t="str">
        <f>IFERROR(__xludf.DUMMYFUNCTION("""COMPUTED_VALUE"""),"038083005431")</f>
        <v>038083005431</v>
      </c>
      <c r="N245" s="18">
        <f>IFERROR(__xludf.DUMMYFUNCTION("""COMPUTED_VALUE"""),44419.0)</f>
        <v>44419</v>
      </c>
      <c r="O245" s="7" t="str">
        <f>IFERROR(__xludf.DUMMYFUNCTION("""COMPUTED_VALUE"""),"Cục Cảnh sát QLHC về TTXH")</f>
        <v>Cục Cảnh sát QLHC về TTXH</v>
      </c>
      <c r="P245" s="7" t="str">
        <f>IFERROR(__xludf.DUMMYFUNCTION("""COMPUTED_VALUE"""),"Công nhân kỹ thuật")</f>
        <v>Công nhân kỹ thuật</v>
      </c>
      <c r="Q245" s="7" t="str">
        <f>IFERROR(__xludf.DUMMYFUNCTION("""COMPUTED_VALUE"""),"Lái máy")</f>
        <v>Lái máy</v>
      </c>
      <c r="R245" s="17">
        <f>IFERROR(__xludf.DUMMYFUNCTION("""COMPUTED_VALUE"""),41750.0)</f>
        <v>41750</v>
      </c>
      <c r="S245" s="19">
        <f>IFERROR(__xludf.DUMMYFUNCTION("""COMPUTED_VALUE"""),41750.0)</f>
        <v>41750</v>
      </c>
      <c r="T245" s="7" t="str">
        <f>IFERROR(__xludf.DUMMYFUNCTION("""COMPUTED_VALUE"""),"Chính thức")</f>
        <v>Chính thức</v>
      </c>
      <c r="U245" s="7"/>
      <c r="V245" s="7" t="str">
        <f>IFERROR(__xludf.DUMMYFUNCTION("""COMPUTED_VALUE"""),"Chính thức")</f>
        <v>Chính thức</v>
      </c>
      <c r="W245" s="7" t="str">
        <f>IFERROR(__xludf.DUMMYFUNCTION("""COMPUTED_VALUE"""),"11 năm 8 tháng")</f>
        <v>11 năm 8 tháng</v>
      </c>
      <c r="X245" s="7"/>
      <c r="Y245" s="7"/>
      <c r="Z245" s="7"/>
    </row>
    <row r="246">
      <c r="A246" s="7">
        <f>IFERROR(__xludf.DUMMYFUNCTION("""COMPUTED_VALUE"""),25.0)</f>
        <v>25</v>
      </c>
      <c r="B246" s="7" t="str">
        <f>IFERROR(__xludf.DUMMYFUNCTION("""COMPUTED_VALUE"""),"Văn phòng")</f>
        <v>Văn phòng</v>
      </c>
      <c r="C246" s="7" t="str">
        <f>IFERROR(__xludf.DUMMYFUNCTION("""COMPUTED_VALUE"""),"Phòng Kế toán")</f>
        <v>Phòng Kế toán</v>
      </c>
      <c r="D246" s="7" t="str">
        <f>IFERROR(__xludf.DUMMYFUNCTION("""COMPUTED_VALUE"""),"Tổ phục vụ xuất hàng")</f>
        <v>Tổ phục vụ xuất hàng</v>
      </c>
      <c r="E246" s="7" t="str">
        <f>IFERROR(__xludf.DUMMYFUNCTION("""COMPUTED_VALUE"""),"Nhân viên Lái xe nâng")</f>
        <v>Nhân viên Lái xe nâng</v>
      </c>
      <c r="F246" s="7" t="str">
        <f>IFERROR(__xludf.DUMMYFUNCTION("""COMPUTED_VALUE"""),"NV0382")</f>
        <v>NV0382</v>
      </c>
      <c r="G246" s="7">
        <f>IFERROR(__xludf.DUMMYFUNCTION("""COMPUTED_VALUE"""),757.0)</f>
        <v>757</v>
      </c>
      <c r="H246" s="7" t="str">
        <f>IFERROR(__xludf.DUMMYFUNCTION("""COMPUTED_VALUE"""),"Đỗ Văn Khánh")</f>
        <v>Đỗ Văn Khánh</v>
      </c>
      <c r="I246" s="7" t="str">
        <f>IFERROR(__xludf.DUMMYFUNCTION("""COMPUTED_VALUE"""),"Nam")</f>
        <v>Nam</v>
      </c>
      <c r="J246" s="17">
        <f>IFERROR(__xludf.DUMMYFUNCTION("""COMPUTED_VALUE"""),33374.0)</f>
        <v>33374</v>
      </c>
      <c r="K246" s="7" t="str">
        <f>IFERROR(__xludf.DUMMYFUNCTION("""COMPUTED_VALUE"""),"Quảng Phong - Quảng Xương - Thanh Hóa")</f>
        <v>Quảng Phong - Quảng Xương - Thanh Hóa</v>
      </c>
      <c r="L246" s="7" t="str">
        <f>IFERROR(__xludf.DUMMYFUNCTION("""COMPUTED_VALUE"""),"0879081789")</f>
        <v>0879081789</v>
      </c>
      <c r="M246" s="7" t="str">
        <f>IFERROR(__xludf.DUMMYFUNCTION("""COMPUTED_VALUE"""),"038091012059")</f>
        <v>038091012059</v>
      </c>
      <c r="N246" s="18">
        <f>IFERROR(__xludf.DUMMYFUNCTION("""COMPUTED_VALUE"""),44420.0)</f>
        <v>44420</v>
      </c>
      <c r="O246" s="7" t="str">
        <f>IFERROR(__xludf.DUMMYFUNCTION("""COMPUTED_VALUE"""),"Cục Cảnh sát QLHC về TTXH")</f>
        <v>Cục Cảnh sát QLHC về TTXH</v>
      </c>
      <c r="P246" s="7" t="str">
        <f>IFERROR(__xludf.DUMMYFUNCTION("""COMPUTED_VALUE"""),"Trung cấp, nghề")</f>
        <v>Trung cấp, nghề</v>
      </c>
      <c r="Q246" s="7" t="str">
        <f>IFERROR(__xludf.DUMMYFUNCTION("""COMPUTED_VALUE"""),"Lái máy")</f>
        <v>Lái máy</v>
      </c>
      <c r="R246" s="17">
        <f>IFERROR(__xludf.DUMMYFUNCTION("""COMPUTED_VALUE"""),41948.0)</f>
        <v>41948</v>
      </c>
      <c r="S246" s="19">
        <f>IFERROR(__xludf.DUMMYFUNCTION("""COMPUTED_VALUE"""),41948.0)</f>
        <v>41948</v>
      </c>
      <c r="T246" s="7" t="str">
        <f>IFERROR(__xludf.DUMMYFUNCTION("""COMPUTED_VALUE"""),"Chính thức")</f>
        <v>Chính thức</v>
      </c>
      <c r="U246" s="7"/>
      <c r="V246" s="7" t="str">
        <f>IFERROR(__xludf.DUMMYFUNCTION("""COMPUTED_VALUE"""),"Chính thức")</f>
        <v>Chính thức</v>
      </c>
      <c r="W246" s="7" t="str">
        <f>IFERROR(__xludf.DUMMYFUNCTION("""COMPUTED_VALUE"""),"11 năm 1 tháng")</f>
        <v>11 năm 1 tháng</v>
      </c>
      <c r="X246" s="7"/>
      <c r="Y246" s="7"/>
      <c r="Z246" s="7"/>
    </row>
    <row r="247">
      <c r="A247" s="7">
        <f>IFERROR(__xludf.DUMMYFUNCTION("""COMPUTED_VALUE"""),26.0)</f>
        <v>26</v>
      </c>
      <c r="B247" s="7" t="str">
        <f>IFERROR(__xludf.DUMMYFUNCTION("""COMPUTED_VALUE"""),"Văn phòng")</f>
        <v>Văn phòng</v>
      </c>
      <c r="C247" s="7" t="str">
        <f>IFERROR(__xludf.DUMMYFUNCTION("""COMPUTED_VALUE"""),"Phòng Kế toán")</f>
        <v>Phòng Kế toán</v>
      </c>
      <c r="D247" s="7" t="str">
        <f>IFERROR(__xludf.DUMMYFUNCTION("""COMPUTED_VALUE"""),"Tổ phục vụ xuất hàng")</f>
        <v>Tổ phục vụ xuất hàng</v>
      </c>
      <c r="E247" s="7" t="str">
        <f>IFERROR(__xludf.DUMMYFUNCTION("""COMPUTED_VALUE"""),"Nhân viên VSCN")</f>
        <v>Nhân viên VSCN</v>
      </c>
      <c r="F247" s="7" t="str">
        <f>IFERROR(__xludf.DUMMYFUNCTION("""COMPUTED_VALUE"""),"NV0396")</f>
        <v>NV0396</v>
      </c>
      <c r="G247" s="7">
        <f>IFERROR(__xludf.DUMMYFUNCTION("""COMPUTED_VALUE"""),236.0)</f>
        <v>236</v>
      </c>
      <c r="H247" s="7" t="str">
        <f>IFERROR(__xludf.DUMMYFUNCTION("""COMPUTED_VALUE"""),"Đỗ Thị Tính")</f>
        <v>Đỗ Thị Tính</v>
      </c>
      <c r="I247" s="7" t="str">
        <f>IFERROR(__xludf.DUMMYFUNCTION("""COMPUTED_VALUE"""),"Nữ")</f>
        <v>Nữ</v>
      </c>
      <c r="J247" s="17">
        <f>IFERROR(__xludf.DUMMYFUNCTION("""COMPUTED_VALUE"""),29453.0)</f>
        <v>29453</v>
      </c>
      <c r="K247" s="7" t="str">
        <f>IFERROR(__xludf.DUMMYFUNCTION("""COMPUTED_VALUE"""),"Phường Quảng Hưng, Thành phố Thanh Hóa,")</f>
        <v>Phường Quảng Hưng, Thành phố Thanh Hóa,</v>
      </c>
      <c r="L247" s="7" t="str">
        <f>IFERROR(__xludf.DUMMYFUNCTION("""COMPUTED_VALUE"""),"0334166325")</f>
        <v>0334166325</v>
      </c>
      <c r="M247" s="7" t="str">
        <f>IFERROR(__xludf.DUMMYFUNCTION("""COMPUTED_VALUE"""),"038180007441")</f>
        <v>038180007441</v>
      </c>
      <c r="N247" s="18">
        <f>IFERROR(__xludf.DUMMYFUNCTION("""COMPUTED_VALUE"""),44317.0)</f>
        <v>44317</v>
      </c>
      <c r="O247" s="7" t="str">
        <f>IFERROR(__xludf.DUMMYFUNCTION("""COMPUTED_VALUE"""),"Cục Cảnh sát QLHC về TTXH")</f>
        <v>Cục Cảnh sát QLHC về TTXH</v>
      </c>
      <c r="P247" s="7" t="str">
        <f>IFERROR(__xludf.DUMMYFUNCTION("""COMPUTED_VALUE"""),"LĐPT")</f>
        <v>LĐPT</v>
      </c>
      <c r="Q247" s="7" t="str">
        <f>IFERROR(__xludf.DUMMYFUNCTION("""COMPUTED_VALUE"""),"Lao động phổ thông")</f>
        <v>Lao động phổ thông</v>
      </c>
      <c r="R247" s="17">
        <f>IFERROR(__xludf.DUMMYFUNCTION("""COMPUTED_VALUE"""),39387.0)</f>
        <v>39387</v>
      </c>
      <c r="S247" s="19">
        <f>IFERROR(__xludf.DUMMYFUNCTION("""COMPUTED_VALUE"""),39387.0)</f>
        <v>39387</v>
      </c>
      <c r="T247" s="7" t="str">
        <f>IFERROR(__xludf.DUMMYFUNCTION("""COMPUTED_VALUE"""),"Chính thức")</f>
        <v>Chính thức</v>
      </c>
      <c r="U247" s="7"/>
      <c r="V247" s="7" t="str">
        <f>IFERROR(__xludf.DUMMYFUNCTION("""COMPUTED_VALUE"""),"Chính thức")</f>
        <v>Chính thức</v>
      </c>
      <c r="W247" s="7" t="str">
        <f>IFERROR(__xludf.DUMMYFUNCTION("""COMPUTED_VALUE"""),"18 năm 1 tháng")</f>
        <v>18 năm 1 tháng</v>
      </c>
      <c r="X247" s="7"/>
      <c r="Y247" s="7"/>
      <c r="Z247" s="7"/>
    </row>
    <row r="248">
      <c r="A248" s="7">
        <f>IFERROR(__xludf.DUMMYFUNCTION("""COMPUTED_VALUE"""),27.0)</f>
        <v>27</v>
      </c>
      <c r="B248" s="7" t="str">
        <f>IFERROR(__xludf.DUMMYFUNCTION("""COMPUTED_VALUE"""),"Văn phòng")</f>
        <v>Văn phòng</v>
      </c>
      <c r="C248" s="7" t="str">
        <f>IFERROR(__xludf.DUMMYFUNCTION("""COMPUTED_VALUE"""),"Phòng Kế toán")</f>
        <v>Phòng Kế toán</v>
      </c>
      <c r="D248" s="7" t="str">
        <f>IFERROR(__xludf.DUMMYFUNCTION("""COMPUTED_VALUE"""),"Tổ phục vụ xuất hàng")</f>
        <v>Tổ phục vụ xuất hàng</v>
      </c>
      <c r="E248" s="7" t="str">
        <f>IFERROR(__xludf.DUMMYFUNCTION("""COMPUTED_VALUE"""),"Nhân viên VSCN")</f>
        <v>Nhân viên VSCN</v>
      </c>
      <c r="F248" s="7" t="str">
        <f>IFERROR(__xludf.DUMMYFUNCTION("""COMPUTED_VALUE"""),"NV1063")</f>
        <v>NV1063</v>
      </c>
      <c r="G248" s="7">
        <f>IFERROR(__xludf.DUMMYFUNCTION("""COMPUTED_VALUE"""),235.0)</f>
        <v>235</v>
      </c>
      <c r="H248" s="7" t="str">
        <f>IFERROR(__xludf.DUMMYFUNCTION("""COMPUTED_VALUE"""),"Lê Thị Dung")</f>
        <v>Lê Thị Dung</v>
      </c>
      <c r="I248" s="7" t="str">
        <f>IFERROR(__xludf.DUMMYFUNCTION("""COMPUTED_VALUE"""),"Nữ")</f>
        <v>Nữ</v>
      </c>
      <c r="J248" s="17">
        <f>IFERROR(__xludf.DUMMYFUNCTION("""COMPUTED_VALUE"""),25693.0)</f>
        <v>25693</v>
      </c>
      <c r="K248" s="7" t="str">
        <f>IFERROR(__xludf.DUMMYFUNCTION("""COMPUTED_VALUE"""),"Phố Lễ Môn, Xã Đông Hải, Thành phố Thanh Hóa")</f>
        <v>Phố Lễ Môn, Xã Đông Hải, Thành phố Thanh Hóa</v>
      </c>
      <c r="L248" s="7" t="str">
        <f>IFERROR(__xludf.DUMMYFUNCTION("""COMPUTED_VALUE"""),"0358063001")</f>
        <v>0358063001</v>
      </c>
      <c r="M248" s="7" t="str">
        <f>IFERROR(__xludf.DUMMYFUNCTION("""COMPUTED_VALUE"""),"038170008349")</f>
        <v>038170008349</v>
      </c>
      <c r="N248" s="18">
        <f>IFERROR(__xludf.DUMMYFUNCTION("""COMPUTED_VALUE"""),44311.0)</f>
        <v>44311</v>
      </c>
      <c r="O248" s="7" t="str">
        <f>IFERROR(__xludf.DUMMYFUNCTION("""COMPUTED_VALUE"""),"Cục Cảnh sát QLHC về TTXH")</f>
        <v>Cục Cảnh sát QLHC về TTXH</v>
      </c>
      <c r="P248" s="7" t="str">
        <f>IFERROR(__xludf.DUMMYFUNCTION("""COMPUTED_VALUE"""),"LĐPT")</f>
        <v>LĐPT</v>
      </c>
      <c r="Q248" s="7" t="str">
        <f>IFERROR(__xludf.DUMMYFUNCTION("""COMPUTED_VALUE"""),"Lao động phổ thông")</f>
        <v>Lao động phổ thông</v>
      </c>
      <c r="R248" s="17">
        <f>IFERROR(__xludf.DUMMYFUNCTION("""COMPUTED_VALUE"""),42958.0)</f>
        <v>42958</v>
      </c>
      <c r="S248" s="19">
        <f>IFERROR(__xludf.DUMMYFUNCTION("""COMPUTED_VALUE"""),43466.0)</f>
        <v>43466</v>
      </c>
      <c r="T248" s="7" t="str">
        <f>IFERROR(__xludf.DUMMYFUNCTION("""COMPUTED_VALUE"""),"Chính thức")</f>
        <v>Chính thức</v>
      </c>
      <c r="U248" s="7"/>
      <c r="V248" s="7" t="str">
        <f>IFERROR(__xludf.DUMMYFUNCTION("""COMPUTED_VALUE"""),"Chính thức")</f>
        <v>Chính thức</v>
      </c>
      <c r="W248" s="7" t="str">
        <f>IFERROR(__xludf.DUMMYFUNCTION("""COMPUTED_VALUE"""),"8 năm 4 tháng")</f>
        <v>8 năm 4 tháng</v>
      </c>
      <c r="X248" s="7"/>
      <c r="Y248" s="7"/>
      <c r="Z248" s="7"/>
    </row>
    <row r="249">
      <c r="A249" s="7">
        <f>IFERROR(__xludf.DUMMYFUNCTION("""COMPUTED_VALUE"""),28.0)</f>
        <v>28</v>
      </c>
      <c r="B249" s="7" t="str">
        <f>IFERROR(__xludf.DUMMYFUNCTION("""COMPUTED_VALUE"""),"Văn phòng")</f>
        <v>Văn phòng</v>
      </c>
      <c r="C249" s="7" t="str">
        <f>IFERROR(__xludf.DUMMYFUNCTION("""COMPUTED_VALUE"""),"Phòng Kế toán")</f>
        <v>Phòng Kế toán</v>
      </c>
      <c r="D249" s="7" t="str">
        <f>IFERROR(__xludf.DUMMYFUNCTION("""COMPUTED_VALUE"""),"Tổ phục vụ xuất hàng")</f>
        <v>Tổ phục vụ xuất hàng</v>
      </c>
      <c r="E249" s="7" t="str">
        <f>IFERROR(__xludf.DUMMYFUNCTION("""COMPUTED_VALUE"""),"Nhân viên VSCN")</f>
        <v>Nhân viên VSCN</v>
      </c>
      <c r="F249" s="7" t="str">
        <f>IFERROR(__xludf.DUMMYFUNCTION("""COMPUTED_VALUE"""),"NV0397")</f>
        <v>NV0397</v>
      </c>
      <c r="G249" s="7">
        <f>IFERROR(__xludf.DUMMYFUNCTION("""COMPUTED_VALUE"""),231.0)</f>
        <v>231</v>
      </c>
      <c r="H249" s="7" t="str">
        <f>IFERROR(__xludf.DUMMYFUNCTION("""COMPUTED_VALUE"""),"Lê Thị Nhưng")</f>
        <v>Lê Thị Nhưng</v>
      </c>
      <c r="I249" s="7" t="str">
        <f>IFERROR(__xludf.DUMMYFUNCTION("""COMPUTED_VALUE"""),"Nữ")</f>
        <v>Nữ</v>
      </c>
      <c r="J249" s="17">
        <f>IFERROR(__xludf.DUMMYFUNCTION("""COMPUTED_VALUE"""),26766.0)</f>
        <v>26766</v>
      </c>
      <c r="K249" s="7" t="str">
        <f>IFERROR(__xludf.DUMMYFUNCTION("""COMPUTED_VALUE"""),"Thôn Đông Lễ - Xã Đông Hải - TP. Thanh Hóa")</f>
        <v>Thôn Đông Lễ - Xã Đông Hải - TP. Thanh Hóa</v>
      </c>
      <c r="L249" s="7" t="str">
        <f>IFERROR(__xludf.DUMMYFUNCTION("""COMPUTED_VALUE"""),"0332653213")</f>
        <v>0332653213</v>
      </c>
      <c r="M249" s="7" t="str">
        <f>IFERROR(__xludf.DUMMYFUNCTION("""COMPUTED_VALUE"""),"038173011352")</f>
        <v>038173011352</v>
      </c>
      <c r="N249" s="18">
        <f>IFERROR(__xludf.DUMMYFUNCTION("""COMPUTED_VALUE"""),44294.0)</f>
        <v>44294</v>
      </c>
      <c r="O249" s="7" t="str">
        <f>IFERROR(__xludf.DUMMYFUNCTION("""COMPUTED_VALUE"""),"Cục Cảnh sát QLHC về TTXH")</f>
        <v>Cục Cảnh sát QLHC về TTXH</v>
      </c>
      <c r="P249" s="7" t="str">
        <f>IFERROR(__xludf.DUMMYFUNCTION("""COMPUTED_VALUE"""),"LĐPT")</f>
        <v>LĐPT</v>
      </c>
      <c r="Q249" s="7" t="str">
        <f>IFERROR(__xludf.DUMMYFUNCTION("""COMPUTED_VALUE"""),"Lao động phổ thông")</f>
        <v>Lao động phổ thông</v>
      </c>
      <c r="R249" s="17">
        <f>IFERROR(__xludf.DUMMYFUNCTION("""COMPUTED_VALUE"""),39521.0)</f>
        <v>39521</v>
      </c>
      <c r="S249" s="19">
        <f>IFERROR(__xludf.DUMMYFUNCTION("""COMPUTED_VALUE"""),39521.0)</f>
        <v>39521</v>
      </c>
      <c r="T249" s="7" t="str">
        <f>IFERROR(__xludf.DUMMYFUNCTION("""COMPUTED_VALUE"""),"Chính thức")</f>
        <v>Chính thức</v>
      </c>
      <c r="U249" s="7"/>
      <c r="V249" s="7" t="str">
        <f>IFERROR(__xludf.DUMMYFUNCTION("""COMPUTED_VALUE"""),"Chính thức")</f>
        <v>Chính thức</v>
      </c>
      <c r="W249" s="7" t="str">
        <f>IFERROR(__xludf.DUMMYFUNCTION("""COMPUTED_VALUE"""),"17 năm 9 tháng")</f>
        <v>17 năm 9 tháng</v>
      </c>
      <c r="X249" s="7"/>
      <c r="Y249" s="7"/>
      <c r="Z249" s="7"/>
    </row>
    <row r="250">
      <c r="A250" s="7">
        <f>IFERROR(__xludf.DUMMYFUNCTION("""COMPUTED_VALUE"""),29.0)</f>
        <v>29</v>
      </c>
      <c r="B250" s="7" t="str">
        <f>IFERROR(__xludf.DUMMYFUNCTION("""COMPUTED_VALUE"""),"Văn phòng")</f>
        <v>Văn phòng</v>
      </c>
      <c r="C250" s="7" t="str">
        <f>IFERROR(__xludf.DUMMYFUNCTION("""COMPUTED_VALUE"""),"Phòng Kế toán")</f>
        <v>Phòng Kế toán</v>
      </c>
      <c r="D250" s="7" t="str">
        <f>IFERROR(__xludf.DUMMYFUNCTION("""COMPUTED_VALUE"""),"Tổ phục vụ xuất hàng")</f>
        <v>Tổ phục vụ xuất hàng</v>
      </c>
      <c r="E250" s="7" t="str">
        <f>IFERROR(__xludf.DUMMYFUNCTION("""COMPUTED_VALUE"""),"Nhân viên chỉ hàng")</f>
        <v>Nhân viên chỉ hàng</v>
      </c>
      <c r="F250" s="7" t="str">
        <f>IFERROR(__xludf.DUMMYFUNCTION("""COMPUTED_VALUE"""),"NV0083")</f>
        <v>NV0083</v>
      </c>
      <c r="G250" s="7">
        <f>IFERROR(__xludf.DUMMYFUNCTION("""COMPUTED_VALUE"""),733.0)</f>
        <v>733</v>
      </c>
      <c r="H250" s="7" t="str">
        <f>IFERROR(__xludf.DUMMYFUNCTION("""COMPUTED_VALUE"""),"Trịnh Thị Hằng")</f>
        <v>Trịnh Thị Hằng</v>
      </c>
      <c r="I250" s="7" t="str">
        <f>IFERROR(__xludf.DUMMYFUNCTION("""COMPUTED_VALUE"""),"Nữ")</f>
        <v>Nữ</v>
      </c>
      <c r="J250" s="17">
        <f>IFERROR(__xludf.DUMMYFUNCTION("""COMPUTED_VALUE"""),28722.0)</f>
        <v>28722</v>
      </c>
      <c r="K250" s="7" t="str">
        <f>IFERROR(__xludf.DUMMYFUNCTION("""COMPUTED_VALUE"""),"Phường Quảng Hưng, Thành phố Thanh Hóa,")</f>
        <v>Phường Quảng Hưng, Thành phố Thanh Hóa,</v>
      </c>
      <c r="L250" s="7" t="str">
        <f>IFERROR(__xludf.DUMMYFUNCTION("""COMPUTED_VALUE"""),"0387795941")</f>
        <v>0387795941</v>
      </c>
      <c r="M250" s="7" t="str">
        <f>IFERROR(__xludf.DUMMYFUNCTION("""COMPUTED_VALUE"""),"038178025094")</f>
        <v>038178025094</v>
      </c>
      <c r="N250" s="18">
        <f>IFERROR(__xludf.DUMMYFUNCTION("""COMPUTED_VALUE"""),44455.0)</f>
        <v>44455</v>
      </c>
      <c r="O250" s="7" t="str">
        <f>IFERROR(__xludf.DUMMYFUNCTION("""COMPUTED_VALUE"""),"Cục Cảnh sát QLHC về TTXH")</f>
        <v>Cục Cảnh sát QLHC về TTXH</v>
      </c>
      <c r="P250" s="7" t="str">
        <f>IFERROR(__xludf.DUMMYFUNCTION("""COMPUTED_VALUE"""),"LĐPT")</f>
        <v>LĐPT</v>
      </c>
      <c r="Q250" s="7" t="str">
        <f>IFERROR(__xludf.DUMMYFUNCTION("""COMPUTED_VALUE"""),"Lao động phổ thông")</f>
        <v>Lao động phổ thông</v>
      </c>
      <c r="R250" s="17">
        <f>IFERROR(__xludf.DUMMYFUNCTION("""COMPUTED_VALUE"""),36956.0)</f>
        <v>36956</v>
      </c>
      <c r="S250" s="19">
        <f>IFERROR(__xludf.DUMMYFUNCTION("""COMPUTED_VALUE"""),36956.0)</f>
        <v>36956</v>
      </c>
      <c r="T250" s="7" t="str">
        <f>IFERROR(__xludf.DUMMYFUNCTION("""COMPUTED_VALUE"""),"Chính thức")</f>
        <v>Chính thức</v>
      </c>
      <c r="U250" s="7"/>
      <c r="V250" s="7" t="str">
        <f>IFERROR(__xludf.DUMMYFUNCTION("""COMPUTED_VALUE"""),"Chính thức")</f>
        <v>Chính thức</v>
      </c>
      <c r="W250" s="7" t="str">
        <f>IFERROR(__xludf.DUMMYFUNCTION("""COMPUTED_VALUE"""),"24 năm 9 tháng")</f>
        <v>24 năm 9 tháng</v>
      </c>
      <c r="X250" s="7"/>
      <c r="Y250" s="7"/>
      <c r="Z250" s="7"/>
    </row>
    <row r="251">
      <c r="A251" s="7">
        <f>IFERROR(__xludf.DUMMYFUNCTION("""COMPUTED_VALUE"""),30.0)</f>
        <v>30</v>
      </c>
      <c r="B251" s="7" t="str">
        <f>IFERROR(__xludf.DUMMYFUNCTION("""COMPUTED_VALUE"""),"Văn phòng")</f>
        <v>Văn phòng</v>
      </c>
      <c r="C251" s="7" t="str">
        <f>IFERROR(__xludf.DUMMYFUNCTION("""COMPUTED_VALUE"""),"Phòng Kế toán")</f>
        <v>Phòng Kế toán</v>
      </c>
      <c r="D251" s="7" t="str">
        <f>IFERROR(__xludf.DUMMYFUNCTION("""COMPUTED_VALUE"""),"Tổ phục vụ xuất hàng")</f>
        <v>Tổ phục vụ xuất hàng</v>
      </c>
      <c r="E251" s="7" t="str">
        <f>IFERROR(__xludf.DUMMYFUNCTION("""COMPUTED_VALUE"""),"Nhân viên chỉ hàng")</f>
        <v>Nhân viên chỉ hàng</v>
      </c>
      <c r="F251" s="7" t="str">
        <f>IFERROR(__xludf.DUMMYFUNCTION("""COMPUTED_VALUE"""),"NV0753")</f>
        <v>NV0753</v>
      </c>
      <c r="G251" s="7">
        <f>IFERROR(__xludf.DUMMYFUNCTION("""COMPUTED_VALUE"""),95.0)</f>
        <v>95</v>
      </c>
      <c r="H251" s="7" t="str">
        <f>IFERROR(__xludf.DUMMYFUNCTION("""COMPUTED_VALUE"""),"Lâm Thị Lài")</f>
        <v>Lâm Thị Lài</v>
      </c>
      <c r="I251" s="7" t="str">
        <f>IFERROR(__xludf.DUMMYFUNCTION("""COMPUTED_VALUE"""),"Nữ")</f>
        <v>Nữ</v>
      </c>
      <c r="J251" s="17">
        <f>IFERROR(__xludf.DUMMYFUNCTION("""COMPUTED_VALUE"""),27455.0)</f>
        <v>27455</v>
      </c>
      <c r="K251" s="7" t="str">
        <f>IFERROR(__xludf.DUMMYFUNCTION("""COMPUTED_VALUE"""),"01/214 Nguyễn Tĩnh,, Xã Đông Hương, Thành phố Thanh Hóa")</f>
        <v>01/214 Nguyễn Tĩnh,, Xã Đông Hương, Thành phố Thanh Hóa</v>
      </c>
      <c r="L251" s="7" t="str">
        <f>IFERROR(__xludf.DUMMYFUNCTION("""COMPUTED_VALUE"""),"0979379664")</f>
        <v>0979379664</v>
      </c>
      <c r="M251" s="7" t="str">
        <f>IFERROR(__xludf.DUMMYFUNCTION("""COMPUTED_VALUE"""),"038175006370")</f>
        <v>038175006370</v>
      </c>
      <c r="N251" s="18">
        <f>IFERROR(__xludf.DUMMYFUNCTION("""COMPUTED_VALUE"""),44422.0)</f>
        <v>44422</v>
      </c>
      <c r="O251" s="7" t="str">
        <f>IFERROR(__xludf.DUMMYFUNCTION("""COMPUTED_VALUE"""),"Cục Cảnh sát QLHC về TTXH")</f>
        <v>Cục Cảnh sát QLHC về TTXH</v>
      </c>
      <c r="P251" s="7" t="str">
        <f>IFERROR(__xludf.DUMMYFUNCTION("""COMPUTED_VALUE"""),"LĐPT")</f>
        <v>LĐPT</v>
      </c>
      <c r="Q251" s="7" t="str">
        <f>IFERROR(__xludf.DUMMYFUNCTION("""COMPUTED_VALUE"""),"Lao động phổ thông")</f>
        <v>Lao động phổ thông</v>
      </c>
      <c r="R251" s="17">
        <f>IFERROR(__xludf.DUMMYFUNCTION("""COMPUTED_VALUE"""),40599.0)</f>
        <v>40599</v>
      </c>
      <c r="S251" s="19">
        <f>IFERROR(__xludf.DUMMYFUNCTION("""COMPUTED_VALUE"""),40599.0)</f>
        <v>40599</v>
      </c>
      <c r="T251" s="7" t="str">
        <f>IFERROR(__xludf.DUMMYFUNCTION("""COMPUTED_VALUE"""),"Chính thức")</f>
        <v>Chính thức</v>
      </c>
      <c r="U251" s="7"/>
      <c r="V251" s="7" t="str">
        <f>IFERROR(__xludf.DUMMYFUNCTION("""COMPUTED_VALUE"""),"Chính thức")</f>
        <v>Chính thức</v>
      </c>
      <c r="W251" s="7" t="str">
        <f>IFERROR(__xludf.DUMMYFUNCTION("""COMPUTED_VALUE"""),"14 năm 10 tháng")</f>
        <v>14 năm 10 tháng</v>
      </c>
      <c r="X251" s="7"/>
      <c r="Y251" s="7"/>
      <c r="Z251" s="7"/>
    </row>
    <row r="252">
      <c r="A252" s="7">
        <f>IFERROR(__xludf.DUMMYFUNCTION("""COMPUTED_VALUE"""),31.0)</f>
        <v>31</v>
      </c>
      <c r="B252" s="7" t="str">
        <f>IFERROR(__xludf.DUMMYFUNCTION("""COMPUTED_VALUE"""),"Văn phòng")</f>
        <v>Văn phòng</v>
      </c>
      <c r="C252" s="7" t="str">
        <f>IFERROR(__xludf.DUMMYFUNCTION("""COMPUTED_VALUE"""),"Phòng Kế toán")</f>
        <v>Phòng Kế toán</v>
      </c>
      <c r="D252" s="7" t="str">
        <f>IFERROR(__xludf.DUMMYFUNCTION("""COMPUTED_VALUE"""),"Tổ phục vụ xuất hàng")</f>
        <v>Tổ phục vụ xuất hàng</v>
      </c>
      <c r="E252" s="7" t="str">
        <f>IFERROR(__xludf.DUMMYFUNCTION("""COMPUTED_VALUE"""),"Nhân viên Lái xe nâng")</f>
        <v>Nhân viên Lái xe nâng</v>
      </c>
      <c r="F252" s="7" t="str">
        <f>IFERROR(__xludf.DUMMYFUNCTION("""COMPUTED_VALUE"""),"NV4328")</f>
        <v>NV4328</v>
      </c>
      <c r="G252" s="7">
        <f>IFERROR(__xludf.DUMMYFUNCTION("""COMPUTED_VALUE"""),659.0)</f>
        <v>659</v>
      </c>
      <c r="H252" s="7" t="str">
        <f>IFERROR(__xludf.DUMMYFUNCTION("""COMPUTED_VALUE"""),"Nguyễn Viết Thiện")</f>
        <v>Nguyễn Viết Thiện</v>
      </c>
      <c r="I252" s="7" t="str">
        <f>IFERROR(__xludf.DUMMYFUNCTION("""COMPUTED_VALUE"""),"Nam")</f>
        <v>Nam</v>
      </c>
      <c r="J252" s="17">
        <f>IFERROR(__xludf.DUMMYFUNCTION("""COMPUTED_VALUE"""),31472.0)</f>
        <v>31472</v>
      </c>
      <c r="K252" s="7" t="str">
        <f>IFERROR(__xludf.DUMMYFUNCTION("""COMPUTED_VALUE"""),"Xã Trường Minh, huyện Nông Cống")</f>
        <v>Xã Trường Minh, huyện Nông Cống</v>
      </c>
      <c r="L252" s="7" t="str">
        <f>IFERROR(__xludf.DUMMYFUNCTION("""COMPUTED_VALUE"""),"0987785798")</f>
        <v>0987785798</v>
      </c>
      <c r="M252" s="7" t="str">
        <f>IFERROR(__xludf.DUMMYFUNCTION("""COMPUTED_VALUE"""),"038086048838")</f>
        <v>038086048838</v>
      </c>
      <c r="N252" s="18">
        <f>IFERROR(__xludf.DUMMYFUNCTION("""COMPUTED_VALUE"""),45036.0)</f>
        <v>45036</v>
      </c>
      <c r="O252" s="7" t="str">
        <f>IFERROR(__xludf.DUMMYFUNCTION("""COMPUTED_VALUE"""),"Cục Cảnh sát QLHC về TTXH")</f>
        <v>Cục Cảnh sát QLHC về TTXH</v>
      </c>
      <c r="P252" s="7" t="str">
        <f>IFERROR(__xludf.DUMMYFUNCTION("""COMPUTED_VALUE"""),"Bằng nghề")</f>
        <v>Bằng nghề</v>
      </c>
      <c r="Q252" s="7" t="str">
        <f>IFERROR(__xludf.DUMMYFUNCTION("""COMPUTED_VALUE"""),"Vận hành xe nâng")</f>
        <v>Vận hành xe nâng</v>
      </c>
      <c r="R252" s="17">
        <f>IFERROR(__xludf.DUMMYFUNCTION("""COMPUTED_VALUE"""),44722.0)</f>
        <v>44722</v>
      </c>
      <c r="S252" s="19">
        <f>IFERROR(__xludf.DUMMYFUNCTION("""COMPUTED_VALUE"""),45047.0)</f>
        <v>45047</v>
      </c>
      <c r="T252" s="7" t="str">
        <f>IFERROR(__xludf.DUMMYFUNCTION("""COMPUTED_VALUE"""),"Chính thức")</f>
        <v>Chính thức</v>
      </c>
      <c r="U252" s="7"/>
      <c r="V252" s="7" t="str">
        <f>IFERROR(__xludf.DUMMYFUNCTION("""COMPUTED_VALUE"""),"Chính thức")</f>
        <v>Chính thức</v>
      </c>
      <c r="W252" s="7" t="str">
        <f>IFERROR(__xludf.DUMMYFUNCTION("""COMPUTED_VALUE"""),"3 năm 6 tháng")</f>
        <v>3 năm 6 tháng</v>
      </c>
      <c r="X252" s="7"/>
      <c r="Y252" s="7"/>
      <c r="Z252" s="7"/>
    </row>
    <row r="253">
      <c r="A253" s="7">
        <f>IFERROR(__xludf.DUMMYFUNCTION("""COMPUTED_VALUE"""),32.0)</f>
        <v>32</v>
      </c>
      <c r="B253" s="7" t="str">
        <f>IFERROR(__xludf.DUMMYFUNCTION("""COMPUTED_VALUE"""),"Văn phòng")</f>
        <v>Văn phòng</v>
      </c>
      <c r="C253" s="7" t="str">
        <f>IFERROR(__xludf.DUMMYFUNCTION("""COMPUTED_VALUE"""),"Phòng Kế toán")</f>
        <v>Phòng Kế toán</v>
      </c>
      <c r="D253" s="7" t="str">
        <f>IFERROR(__xludf.DUMMYFUNCTION("""COMPUTED_VALUE"""),"Tổ phục vụ xuất hàng")</f>
        <v>Tổ phục vụ xuất hàng</v>
      </c>
      <c r="E253" s="7" t="str">
        <f>IFERROR(__xludf.DUMMYFUNCTION("""COMPUTED_VALUE"""),"Nhân viên chỉ hàng")</f>
        <v>Nhân viên chỉ hàng</v>
      </c>
      <c r="F253" s="7" t="str">
        <f>IFERROR(__xludf.DUMMYFUNCTION("""COMPUTED_VALUE"""),"NV4731")</f>
        <v>NV4731</v>
      </c>
      <c r="G253" s="7">
        <f>IFERROR(__xludf.DUMMYFUNCTION("""COMPUTED_VALUE"""),86.0)</f>
        <v>86</v>
      </c>
      <c r="H253" s="7" t="str">
        <f>IFERROR(__xludf.DUMMYFUNCTION("""COMPUTED_VALUE"""),"Phạm Văn Chuyền")</f>
        <v>Phạm Văn Chuyền</v>
      </c>
      <c r="I253" s="7" t="str">
        <f>IFERROR(__xludf.DUMMYFUNCTION("""COMPUTED_VALUE"""),"Nam")</f>
        <v>Nam</v>
      </c>
      <c r="J253" s="17">
        <f>IFERROR(__xludf.DUMMYFUNCTION("""COMPUTED_VALUE"""),31495.0)</f>
        <v>31495</v>
      </c>
      <c r="K253" s="7" t="str">
        <f>IFERROR(__xludf.DUMMYFUNCTION("""COMPUTED_VALUE"""),"Cẩm Lương - Vẩm Thủy - Thanh Hóa")</f>
        <v>Cẩm Lương - Vẩm Thủy - Thanh Hóa</v>
      </c>
      <c r="L253" s="7" t="str">
        <f>IFERROR(__xludf.DUMMYFUNCTION("""COMPUTED_VALUE"""),"0982214776")</f>
        <v>0982214776</v>
      </c>
      <c r="M253" s="7" t="str">
        <f>IFERROR(__xludf.DUMMYFUNCTION("""COMPUTED_VALUE"""),"038086044697")</f>
        <v>038086044697</v>
      </c>
      <c r="N253" s="18">
        <f>IFERROR(__xludf.DUMMYFUNCTION("""COMPUTED_VALUE"""),44389.0)</f>
        <v>44389</v>
      </c>
      <c r="O253" s="7" t="str">
        <f>IFERROR(__xludf.DUMMYFUNCTION("""COMPUTED_VALUE"""),"Cục Cảnh sát QLHC về TTXH")</f>
        <v>Cục Cảnh sát QLHC về TTXH</v>
      </c>
      <c r="P253" s="7" t="str">
        <f>IFERROR(__xludf.DUMMYFUNCTION("""COMPUTED_VALUE"""),"LĐPT")</f>
        <v>LĐPT</v>
      </c>
      <c r="Q253" s="7" t="str">
        <f>IFERROR(__xludf.DUMMYFUNCTION("""COMPUTED_VALUE"""),"Lao động phổ thông")</f>
        <v>Lao động phổ thông</v>
      </c>
      <c r="R253" s="17">
        <f>IFERROR(__xludf.DUMMYFUNCTION("""COMPUTED_VALUE"""),45012.0)</f>
        <v>45012</v>
      </c>
      <c r="S253" s="19">
        <f>IFERROR(__xludf.DUMMYFUNCTION("""COMPUTED_VALUE"""),45292.0)</f>
        <v>45292</v>
      </c>
      <c r="T253" s="7" t="str">
        <f>IFERROR(__xludf.DUMMYFUNCTION("""COMPUTED_VALUE"""),"Chính thức")</f>
        <v>Chính thức</v>
      </c>
      <c r="U253" s="7"/>
      <c r="V253" s="7" t="str">
        <f>IFERROR(__xludf.DUMMYFUNCTION("""COMPUTED_VALUE"""),"Chính thức")</f>
        <v>Chính thức</v>
      </c>
      <c r="W253" s="7" t="str">
        <f>IFERROR(__xludf.DUMMYFUNCTION("""COMPUTED_VALUE"""),"2 năm 9 tháng")</f>
        <v>2 năm 9 tháng</v>
      </c>
      <c r="X253" s="7"/>
      <c r="Y253" s="7"/>
      <c r="Z253" s="7"/>
    </row>
    <row r="254">
      <c r="A254" s="7">
        <f>IFERROR(__xludf.DUMMYFUNCTION("""COMPUTED_VALUE"""),33.0)</f>
        <v>33</v>
      </c>
      <c r="B254" s="7" t="str">
        <f>IFERROR(__xludf.DUMMYFUNCTION("""COMPUTED_VALUE"""),"Văn phòng")</f>
        <v>Văn phòng</v>
      </c>
      <c r="C254" s="7" t="str">
        <f>IFERROR(__xludf.DUMMYFUNCTION("""COMPUTED_VALUE"""),"Phòng Kế toán")</f>
        <v>Phòng Kế toán</v>
      </c>
      <c r="D254" s="7" t="str">
        <f>IFERROR(__xludf.DUMMYFUNCTION("""COMPUTED_VALUE"""),"Tổ phục vụ xuất hàng")</f>
        <v>Tổ phục vụ xuất hàng</v>
      </c>
      <c r="E254" s="7" t="str">
        <f>IFERROR(__xludf.DUMMYFUNCTION("""COMPUTED_VALUE"""),"Nhân viên Sơ chế")</f>
        <v>Nhân viên Sơ chế</v>
      </c>
      <c r="F254" s="7" t="str">
        <f>IFERROR(__xludf.DUMMYFUNCTION("""COMPUTED_VALUE"""),"NV2012")</f>
        <v>NV2012</v>
      </c>
      <c r="G254" s="7">
        <f>IFERROR(__xludf.DUMMYFUNCTION("""COMPUTED_VALUE"""),91.0)</f>
        <v>91</v>
      </c>
      <c r="H254" s="7" t="str">
        <f>IFERROR(__xludf.DUMMYFUNCTION("""COMPUTED_VALUE"""),"Lê Minh Tiến")</f>
        <v>Lê Minh Tiến</v>
      </c>
      <c r="I254" s="7" t="str">
        <f>IFERROR(__xludf.DUMMYFUNCTION("""COMPUTED_VALUE"""),"Nam")</f>
        <v>Nam</v>
      </c>
      <c r="J254" s="17">
        <f>IFERROR(__xludf.DUMMYFUNCTION("""COMPUTED_VALUE"""),29209.0)</f>
        <v>29209</v>
      </c>
      <c r="K254" s="7" t="str">
        <f>IFERROR(__xludf.DUMMYFUNCTION("""COMPUTED_VALUE"""),"Xã Quảng Yên, Huyện Quảng Xương, Thanh Hóa")</f>
        <v>Xã Quảng Yên, Huyện Quảng Xương, Thanh Hóa</v>
      </c>
      <c r="L254" s="7" t="str">
        <f>IFERROR(__xludf.DUMMYFUNCTION("""COMPUTED_VALUE"""),"0394175889")</f>
        <v>0394175889</v>
      </c>
      <c r="M254" s="7" t="str">
        <f>IFERROR(__xludf.DUMMYFUNCTION("""COMPUTED_VALUE"""),"038079023952")</f>
        <v>038079023952</v>
      </c>
      <c r="N254" s="18">
        <f>IFERROR(__xludf.DUMMYFUNCTION("""COMPUTED_VALUE"""),44420.0)</f>
        <v>44420</v>
      </c>
      <c r="O254" s="7" t="str">
        <f>IFERROR(__xludf.DUMMYFUNCTION("""COMPUTED_VALUE"""),"Cục Cảnh sát QLHC về TTXH")</f>
        <v>Cục Cảnh sát QLHC về TTXH</v>
      </c>
      <c r="P254" s="7" t="str">
        <f>IFERROR(__xludf.DUMMYFUNCTION("""COMPUTED_VALUE"""),"LĐPT")</f>
        <v>LĐPT</v>
      </c>
      <c r="Q254" s="7" t="str">
        <f>IFERROR(__xludf.DUMMYFUNCTION("""COMPUTED_VALUE"""),"Lao động phổ thông")</f>
        <v>Lao động phổ thông</v>
      </c>
      <c r="R254" s="17">
        <f>IFERROR(__xludf.DUMMYFUNCTION("""COMPUTED_VALUE"""),43434.0)</f>
        <v>43434</v>
      </c>
      <c r="S254" s="19">
        <f>IFERROR(__xludf.DUMMYFUNCTION("""COMPUTED_VALUE"""),43739.0)</f>
        <v>43739</v>
      </c>
      <c r="T254" s="7" t="str">
        <f>IFERROR(__xludf.DUMMYFUNCTION("""COMPUTED_VALUE"""),"Chính thức")</f>
        <v>Chính thức</v>
      </c>
      <c r="U254" s="7"/>
      <c r="V254" s="7" t="str">
        <f>IFERROR(__xludf.DUMMYFUNCTION("""COMPUTED_VALUE"""),"Chính thức")</f>
        <v>Chính thức</v>
      </c>
      <c r="W254" s="7" t="str">
        <f>IFERROR(__xludf.DUMMYFUNCTION("""COMPUTED_VALUE"""),"7 năm 1 tháng")</f>
        <v>7 năm 1 tháng</v>
      </c>
      <c r="X254" s="7"/>
      <c r="Y254" s="7"/>
      <c r="Z254" s="7"/>
    </row>
    <row r="255">
      <c r="A255" s="7">
        <f>IFERROR(__xludf.DUMMYFUNCTION("""COMPUTED_VALUE"""),34.0)</f>
        <v>34</v>
      </c>
      <c r="B255" s="7" t="str">
        <f>IFERROR(__xludf.DUMMYFUNCTION("""COMPUTED_VALUE"""),"Văn phòng")</f>
        <v>Văn phòng</v>
      </c>
      <c r="C255" s="7" t="str">
        <f>IFERROR(__xludf.DUMMYFUNCTION("""COMPUTED_VALUE"""),"Phòng Kế toán")</f>
        <v>Phòng Kế toán</v>
      </c>
      <c r="D255" s="7" t="str">
        <f>IFERROR(__xludf.DUMMYFUNCTION("""COMPUTED_VALUE"""),"Tổ phục vụ xuất hàng")</f>
        <v>Tổ phục vụ xuất hàng</v>
      </c>
      <c r="E255" s="7" t="str">
        <f>IFERROR(__xludf.DUMMYFUNCTION("""COMPUTED_VALUE"""),"Nhân viên Lái xe nâng")</f>
        <v>Nhân viên Lái xe nâng</v>
      </c>
      <c r="F255" s="7" t="str">
        <f>IFERROR(__xludf.DUMMYFUNCTION("""COMPUTED_VALUE"""),"NV0389")</f>
        <v>NV0389</v>
      </c>
      <c r="G255" s="7">
        <f>IFERROR(__xludf.DUMMYFUNCTION("""COMPUTED_VALUE"""),83.0)</f>
        <v>83</v>
      </c>
      <c r="H255" s="7" t="str">
        <f>IFERROR(__xludf.DUMMYFUNCTION("""COMPUTED_VALUE"""),"Nguyễn Bá Dũng")</f>
        <v>Nguyễn Bá Dũng</v>
      </c>
      <c r="I255" s="7" t="str">
        <f>IFERROR(__xludf.DUMMYFUNCTION("""COMPUTED_VALUE"""),"Nam")</f>
        <v>Nam</v>
      </c>
      <c r="J255" s="17">
        <f>IFERROR(__xludf.DUMMYFUNCTION("""COMPUTED_VALUE"""),29143.0)</f>
        <v>29143</v>
      </c>
      <c r="K255" s="7" t="str">
        <f>IFERROR(__xludf.DUMMYFUNCTION("""COMPUTED_VALUE"""),"Phường Quảng Hưng, Thành Phố Thanh Hóa,")</f>
        <v>Phường Quảng Hưng, Thành Phố Thanh Hóa,</v>
      </c>
      <c r="L255" s="7" t="str">
        <f>IFERROR(__xludf.DUMMYFUNCTION("""COMPUTED_VALUE"""),"0964895495")</f>
        <v>0964895495</v>
      </c>
      <c r="M255" s="7" t="str">
        <f>IFERROR(__xludf.DUMMYFUNCTION("""COMPUTED_VALUE"""),"038079016286")</f>
        <v>038079016286</v>
      </c>
      <c r="N255" s="18">
        <f>IFERROR(__xludf.DUMMYFUNCTION("""COMPUTED_VALUE"""),44317.0)</f>
        <v>44317</v>
      </c>
      <c r="O255" s="7" t="str">
        <f>IFERROR(__xludf.DUMMYFUNCTION("""COMPUTED_VALUE"""),"Cục Cảnh sát QLHC về TTXH")</f>
        <v>Cục Cảnh sát QLHC về TTXH</v>
      </c>
      <c r="P255" s="7" t="str">
        <f>IFERROR(__xludf.DUMMYFUNCTION("""COMPUTED_VALUE"""),"Sơ cấp nghề")</f>
        <v>Sơ cấp nghề</v>
      </c>
      <c r="Q255" s="7" t="str">
        <f>IFERROR(__xludf.DUMMYFUNCTION("""COMPUTED_VALUE"""),"Lái xe nâng")</f>
        <v>Lái xe nâng</v>
      </c>
      <c r="R255" s="7"/>
      <c r="S255" s="19">
        <f>IFERROR(__xludf.DUMMYFUNCTION("""COMPUTED_VALUE"""),41413.0)</f>
        <v>41413</v>
      </c>
      <c r="T255" s="7" t="str">
        <f>IFERROR(__xludf.DUMMYFUNCTION("""COMPUTED_VALUE"""),"Chính thức")</f>
        <v>Chính thức</v>
      </c>
      <c r="U255" s="7"/>
      <c r="V255" s="7" t="str">
        <f>IFERROR(__xludf.DUMMYFUNCTION("""COMPUTED_VALUE"""),"Chính thức")</f>
        <v>Chính thức</v>
      </c>
      <c r="W255" s="7" t="str">
        <f>IFERROR(__xludf.DUMMYFUNCTION("""COMPUTED_VALUE"""),"12 năm 7 tháng")</f>
        <v>12 năm 7 tháng</v>
      </c>
      <c r="X255" s="7"/>
      <c r="Y255" s="7"/>
      <c r="Z255" s="7"/>
    </row>
    <row r="256">
      <c r="A256" s="7">
        <f>IFERROR(__xludf.DUMMYFUNCTION("""COMPUTED_VALUE"""),35.0)</f>
        <v>35</v>
      </c>
      <c r="B256" s="7" t="str">
        <f>IFERROR(__xludf.DUMMYFUNCTION("""COMPUTED_VALUE"""),"Văn phòng")</f>
        <v>Văn phòng</v>
      </c>
      <c r="C256" s="7" t="str">
        <f>IFERROR(__xludf.DUMMYFUNCTION("""COMPUTED_VALUE"""),"Phòng Kế toán")</f>
        <v>Phòng Kế toán</v>
      </c>
      <c r="D256" s="7" t="str">
        <f>IFERROR(__xludf.DUMMYFUNCTION("""COMPUTED_VALUE"""),"Tổ phục vụ xuất hàng")</f>
        <v>Tổ phục vụ xuất hàng</v>
      </c>
      <c r="E256" s="7" t="str">
        <f>IFERROR(__xludf.DUMMYFUNCTION("""COMPUTED_VALUE"""),"Nhân viên chỉ hàng")</f>
        <v>Nhân viên chỉ hàng</v>
      </c>
      <c r="F256" s="7" t="str">
        <f>IFERROR(__xludf.DUMMYFUNCTION("""COMPUTED_VALUE"""),"NV5336")</f>
        <v>NV5336</v>
      </c>
      <c r="G256" s="7">
        <f>IFERROR(__xludf.DUMMYFUNCTION("""COMPUTED_VALUE"""),142.0)</f>
        <v>142</v>
      </c>
      <c r="H256" s="7" t="str">
        <f>IFERROR(__xludf.DUMMYFUNCTION("""COMPUTED_VALUE"""),"Nguyễn Xuân Phương")</f>
        <v>Nguyễn Xuân Phương</v>
      </c>
      <c r="I256" s="7" t="str">
        <f>IFERROR(__xludf.DUMMYFUNCTION("""COMPUTED_VALUE"""),"Nam")</f>
        <v>Nam</v>
      </c>
      <c r="J256" s="17">
        <f>IFERROR(__xludf.DUMMYFUNCTION("""COMPUTED_VALUE"""),38798.0)</f>
        <v>38798</v>
      </c>
      <c r="K256" s="7" t="str">
        <f>IFERROR(__xludf.DUMMYFUNCTION("""COMPUTED_VALUE"""),"thị trấn Tân Phong, Quảng Xương, Thanh Hóa")</f>
        <v>thị trấn Tân Phong, Quảng Xương, Thanh Hóa</v>
      </c>
      <c r="L256" s="7" t="str">
        <f>IFERROR(__xludf.DUMMYFUNCTION("""COMPUTED_VALUE"""),"0867844240")</f>
        <v>0867844240</v>
      </c>
      <c r="M256" s="7" t="str">
        <f>IFERROR(__xludf.DUMMYFUNCTION("""COMPUTED_VALUE"""),"038206032146")</f>
        <v>038206032146</v>
      </c>
      <c r="N256" s="18">
        <f>IFERROR(__xludf.DUMMYFUNCTION("""COMPUTED_VALUE"""),44428.0)</f>
        <v>44428</v>
      </c>
      <c r="O256" s="7" t="str">
        <f>IFERROR(__xludf.DUMMYFUNCTION("""COMPUTED_VALUE"""),"Cục Cảnh sát QLHC về TTXH")</f>
        <v>Cục Cảnh sát QLHC về TTXH</v>
      </c>
      <c r="P256" s="7" t="str">
        <f>IFERROR(__xludf.DUMMYFUNCTION("""COMPUTED_VALUE"""),"LĐPT")</f>
        <v>LĐPT</v>
      </c>
      <c r="Q256" s="7" t="str">
        <f>IFERROR(__xludf.DUMMYFUNCTION("""COMPUTED_VALUE"""),"Lao động phổ thông")</f>
        <v>Lao động phổ thông</v>
      </c>
      <c r="R256" s="17">
        <f>IFERROR(__xludf.DUMMYFUNCTION("""COMPUTED_VALUE"""),45483.0)</f>
        <v>45483</v>
      </c>
      <c r="S256" s="7"/>
      <c r="T256" s="7" t="str">
        <f>IFERROR(__xludf.DUMMYFUNCTION("""COMPUTED_VALUE"""),"Chính thức")</f>
        <v>Chính thức</v>
      </c>
      <c r="U256" s="7"/>
      <c r="V256" s="7" t="str">
        <f>IFERROR(__xludf.DUMMYFUNCTION("""COMPUTED_VALUE"""),"Chính thức")</f>
        <v>Chính thức</v>
      </c>
      <c r="W256" s="7" t="str">
        <f>IFERROR(__xludf.DUMMYFUNCTION("""COMPUTED_VALUE"""),"1 năm 5 tháng")</f>
        <v>1 năm 5 tháng</v>
      </c>
      <c r="X256" s="7"/>
      <c r="Y256" s="7"/>
      <c r="Z256" s="7"/>
    </row>
    <row r="257">
      <c r="A257" s="7">
        <f>IFERROR(__xludf.DUMMYFUNCTION("""COMPUTED_VALUE"""),36.0)</f>
        <v>36</v>
      </c>
      <c r="B257" s="7" t="str">
        <f>IFERROR(__xludf.DUMMYFUNCTION("""COMPUTED_VALUE"""),"Văn phòng")</f>
        <v>Văn phòng</v>
      </c>
      <c r="C257" s="7" t="str">
        <f>IFERROR(__xludf.DUMMYFUNCTION("""COMPUTED_VALUE"""),"Phòng Kế toán")</f>
        <v>Phòng Kế toán</v>
      </c>
      <c r="D257" s="7" t="str">
        <f>IFERROR(__xludf.DUMMYFUNCTION("""COMPUTED_VALUE"""),"Tổ phục vụ xuất hàng")</f>
        <v>Tổ phục vụ xuất hàng</v>
      </c>
      <c r="E257" s="7" t="str">
        <f>IFERROR(__xludf.DUMMYFUNCTION("""COMPUTED_VALUE"""),"Nhân viên lái xe chuyển tải")</f>
        <v>Nhân viên lái xe chuyển tải</v>
      </c>
      <c r="F257" s="7" t="str">
        <f>IFERROR(__xludf.DUMMYFUNCTION("""COMPUTED_VALUE"""),"NV5411")</f>
        <v>NV5411</v>
      </c>
      <c r="G257" s="7">
        <f>IFERROR(__xludf.DUMMYFUNCTION("""COMPUTED_VALUE"""),857.0)</f>
        <v>857</v>
      </c>
      <c r="H257" s="7" t="str">
        <f>IFERROR(__xludf.DUMMYFUNCTION("""COMPUTED_VALUE"""),"Nguyễn Viết Nghiêm")</f>
        <v>Nguyễn Viết Nghiêm</v>
      </c>
      <c r="I257" s="7" t="str">
        <f>IFERROR(__xludf.DUMMYFUNCTION("""COMPUTED_VALUE"""),"Nam")</f>
        <v>Nam</v>
      </c>
      <c r="J257" s="17">
        <f>IFERROR(__xludf.DUMMYFUNCTION("""COMPUTED_VALUE"""),28741.0)</f>
        <v>28741</v>
      </c>
      <c r="K257" s="7" t="str">
        <f>IFERROR(__xludf.DUMMYFUNCTION("""COMPUTED_VALUE"""),"Phố 4 - Phường Quảng Phú - Tỉnh Thanh Hóa")</f>
        <v>Phố 4 - Phường Quảng Phú - Tỉnh Thanh Hóa</v>
      </c>
      <c r="L257" s="7" t="str">
        <f>IFERROR(__xludf.DUMMYFUNCTION("""COMPUTED_VALUE"""),"0913600459")</f>
        <v>0913600459</v>
      </c>
      <c r="M257" s="7" t="str">
        <f>IFERROR(__xludf.DUMMYFUNCTION("""COMPUTED_VALUE"""),"038078010417")</f>
        <v>038078010417</v>
      </c>
      <c r="N257" s="18">
        <f>IFERROR(__xludf.DUMMYFUNCTION("""COMPUTED_VALUE"""),44419.0)</f>
        <v>44419</v>
      </c>
      <c r="O257" s="7" t="str">
        <f>IFERROR(__xludf.DUMMYFUNCTION("""COMPUTED_VALUE"""),"Cục Cảnh sát QLHC về TTXH")</f>
        <v>Cục Cảnh sát QLHC về TTXH</v>
      </c>
      <c r="P257" s="7" t="str">
        <f>IFERROR(__xludf.DUMMYFUNCTION("""COMPUTED_VALUE"""),"Bằng nghề")</f>
        <v>Bằng nghề</v>
      </c>
      <c r="Q257" s="7" t="str">
        <f>IFERROR(__xludf.DUMMYFUNCTION("""COMPUTED_VALUE"""),"Lái Xe hạng C")</f>
        <v>Lái Xe hạng C</v>
      </c>
      <c r="R257" s="17">
        <f>IFERROR(__xludf.DUMMYFUNCTION("""COMPUTED_VALUE"""),45710.0)</f>
        <v>45710</v>
      </c>
      <c r="S257" s="7"/>
      <c r="T257" s="7" t="str">
        <f>IFERROR(__xludf.DUMMYFUNCTION("""COMPUTED_VALUE"""),"Chính thức")</f>
        <v>Chính thức</v>
      </c>
      <c r="U257" s="7"/>
      <c r="V257" s="7" t="str">
        <f>IFERROR(__xludf.DUMMYFUNCTION("""COMPUTED_VALUE"""),"Chính thức")</f>
        <v>Chính thức</v>
      </c>
      <c r="W257" s="7" t="str">
        <f>IFERROR(__xludf.DUMMYFUNCTION("""COMPUTED_VALUE"""),"0 năm 10 tháng")</f>
        <v>0 năm 10 tháng</v>
      </c>
      <c r="X257" s="7"/>
      <c r="Y257" s="7"/>
      <c r="Z257" s="7"/>
    </row>
    <row r="258">
      <c r="A258" s="7">
        <f>IFERROR(__xludf.DUMMYFUNCTION("""COMPUTED_VALUE"""),37.0)</f>
        <v>37</v>
      </c>
      <c r="B258" s="7" t="str">
        <f>IFERROR(__xludf.DUMMYFUNCTION("""COMPUTED_VALUE"""),"Văn phòng")</f>
        <v>Văn phòng</v>
      </c>
      <c r="C258" s="7" t="str">
        <f>IFERROR(__xludf.DUMMYFUNCTION("""COMPUTED_VALUE"""),"Phòng Kế toán")</f>
        <v>Phòng Kế toán</v>
      </c>
      <c r="D258" s="7" t="str">
        <f>IFERROR(__xludf.DUMMYFUNCTION("""COMPUTED_VALUE"""),"Tổ phục vụ xuất hàng")</f>
        <v>Tổ phục vụ xuất hàng</v>
      </c>
      <c r="E258" s="7" t="str">
        <f>IFERROR(__xludf.DUMMYFUNCTION("""COMPUTED_VALUE"""),"Nhân viên lái xe tưới đường")</f>
        <v>Nhân viên lái xe tưới đường</v>
      </c>
      <c r="F258" s="7" t="str">
        <f>IFERROR(__xludf.DUMMYFUNCTION("""COMPUTED_VALUE"""),"NV4962")</f>
        <v>NV4962</v>
      </c>
      <c r="G258" s="7">
        <f>IFERROR(__xludf.DUMMYFUNCTION("""COMPUTED_VALUE"""),838.0)</f>
        <v>838</v>
      </c>
      <c r="H258" s="7" t="str">
        <f>IFERROR(__xludf.DUMMYFUNCTION("""COMPUTED_VALUE"""),"Lê Ngọc Anh")</f>
        <v>Lê Ngọc Anh</v>
      </c>
      <c r="I258" s="7" t="str">
        <f>IFERROR(__xludf.DUMMYFUNCTION("""COMPUTED_VALUE"""),"Nam")</f>
        <v>Nam</v>
      </c>
      <c r="J258" s="17">
        <f>IFERROR(__xludf.DUMMYFUNCTION("""COMPUTED_VALUE"""),30975.0)</f>
        <v>30975</v>
      </c>
      <c r="K258" s="7" t="str">
        <f>IFERROR(__xludf.DUMMYFUNCTION("""COMPUTED_VALUE"""),"04/111 Quang Trung - Phường Hạc Thành - Tỉnh Thanh Hóa")</f>
        <v>04/111 Quang Trung - Phường Hạc Thành - Tỉnh Thanh Hóa</v>
      </c>
      <c r="L258" s="7" t="str">
        <f>IFERROR(__xludf.DUMMYFUNCTION("""COMPUTED_VALUE"""),"0328249559")</f>
        <v>0328249559</v>
      </c>
      <c r="M258" s="7" t="str">
        <f>IFERROR(__xludf.DUMMYFUNCTION("""COMPUTED_VALUE"""),"038084004570")</f>
        <v>038084004570</v>
      </c>
      <c r="N258" s="18">
        <f>IFERROR(__xludf.DUMMYFUNCTION("""COMPUTED_VALUE"""),45648.0)</f>
        <v>45648</v>
      </c>
      <c r="O258" s="7" t="str">
        <f>IFERROR(__xludf.DUMMYFUNCTION("""COMPUTED_VALUE"""),"Cục Cảnh sát QLHC về TTXH")</f>
        <v>Cục Cảnh sát QLHC về TTXH</v>
      </c>
      <c r="P258" s="7" t="str">
        <f>IFERROR(__xludf.DUMMYFUNCTION("""COMPUTED_VALUE"""),"Bằng nghề")</f>
        <v>Bằng nghề</v>
      </c>
      <c r="Q258" s="7" t="str">
        <f>IFERROR(__xludf.DUMMYFUNCTION("""COMPUTED_VALUE"""),"Lái xe hạng D")</f>
        <v>Lái xe hạng D</v>
      </c>
      <c r="R258" s="17">
        <f>IFERROR(__xludf.DUMMYFUNCTION("""COMPUTED_VALUE"""),45699.0)</f>
        <v>45699</v>
      </c>
      <c r="S258" s="19">
        <f>IFERROR(__xludf.DUMMYFUNCTION("""COMPUTED_VALUE"""),45699.0)</f>
        <v>45699</v>
      </c>
      <c r="T258" s="7" t="str">
        <f>IFERROR(__xludf.DUMMYFUNCTION("""COMPUTED_VALUE"""),"Chính thức")</f>
        <v>Chính thức</v>
      </c>
      <c r="U258" s="7"/>
      <c r="V258" s="7" t="str">
        <f>IFERROR(__xludf.DUMMYFUNCTION("""COMPUTED_VALUE"""),"Chính thức")</f>
        <v>Chính thức</v>
      </c>
      <c r="W258" s="7" t="str">
        <f>IFERROR(__xludf.DUMMYFUNCTION("""COMPUTED_VALUE"""),"0 năm 10 tháng")</f>
        <v>0 năm 10 tháng</v>
      </c>
      <c r="X258" s="7"/>
      <c r="Y258" s="7"/>
      <c r="Z258" s="7"/>
    </row>
    <row r="259">
      <c r="A259" s="7">
        <f>IFERROR(__xludf.DUMMYFUNCTION("""COMPUTED_VALUE"""),38.0)</f>
        <v>38</v>
      </c>
      <c r="B259" s="7" t="str">
        <f>IFERROR(__xludf.DUMMYFUNCTION("""COMPUTED_VALUE"""),"Văn phòng")</f>
        <v>Văn phòng</v>
      </c>
      <c r="C259" s="7" t="str">
        <f>IFERROR(__xludf.DUMMYFUNCTION("""COMPUTED_VALUE"""),"Phòng Kế toán")</f>
        <v>Phòng Kế toán</v>
      </c>
      <c r="D259" s="7" t="str">
        <f>IFERROR(__xludf.DUMMYFUNCTION("""COMPUTED_VALUE"""),"Tổ phục vụ xuất hàng")</f>
        <v>Tổ phục vụ xuất hàng</v>
      </c>
      <c r="E259" s="7" t="str">
        <f>IFERROR(__xludf.DUMMYFUNCTION("""COMPUTED_VALUE"""),"Nhân viên lái xe chuyển tải")</f>
        <v>Nhân viên lái xe chuyển tải</v>
      </c>
      <c r="F259" s="7" t="str">
        <f>IFERROR(__xludf.DUMMYFUNCTION("""COMPUTED_VALUE"""),"NV2564")</f>
        <v>NV2564</v>
      </c>
      <c r="G259" s="7">
        <f>IFERROR(__xludf.DUMMYFUNCTION("""COMPUTED_VALUE"""),883.0)</f>
        <v>883</v>
      </c>
      <c r="H259" s="7" t="str">
        <f>IFERROR(__xludf.DUMMYFUNCTION("""COMPUTED_VALUE"""),"Lê Thanh Phong")</f>
        <v>Lê Thanh Phong</v>
      </c>
      <c r="I259" s="7" t="str">
        <f>IFERROR(__xludf.DUMMYFUNCTION("""COMPUTED_VALUE"""),"Nam")</f>
        <v>Nam</v>
      </c>
      <c r="J259" s="17">
        <f>IFERROR(__xludf.DUMMYFUNCTION("""COMPUTED_VALUE"""),30231.0)</f>
        <v>30231</v>
      </c>
      <c r="K259" s="7" t="str">
        <f>IFERROR(__xludf.DUMMYFUNCTION("""COMPUTED_VALUE"""),"Xã Hoằng Trạch - Huyện Hoằng Hóa - Tỉnh Thanh Hóa")</f>
        <v>Xã Hoằng Trạch - Huyện Hoằng Hóa - Tỉnh Thanh Hóa</v>
      </c>
      <c r="L259" s="7" t="str">
        <f>IFERROR(__xludf.DUMMYFUNCTION("""COMPUTED_VALUE"""),"0985745129")</f>
        <v>0985745129</v>
      </c>
      <c r="M259" s="7" t="str">
        <f>IFERROR(__xludf.DUMMYFUNCTION("""COMPUTED_VALUE"""),"038082019269")</f>
        <v>038082019269</v>
      </c>
      <c r="N259" s="18">
        <f>IFERROR(__xludf.DUMMYFUNCTION("""COMPUTED_VALUE"""),44419.0)</f>
        <v>44419</v>
      </c>
      <c r="O259" s="7" t="str">
        <f>IFERROR(__xludf.DUMMYFUNCTION("""COMPUTED_VALUE"""),"Cục Cảnh sát QLHC về TTXH")</f>
        <v>Cục Cảnh sát QLHC về TTXH</v>
      </c>
      <c r="P259" s="7" t="str">
        <f>IFERROR(__xludf.DUMMYFUNCTION("""COMPUTED_VALUE"""),"Bằng nghề")</f>
        <v>Bằng nghề</v>
      </c>
      <c r="Q259" s="7" t="str">
        <f>IFERROR(__xludf.DUMMYFUNCTION("""COMPUTED_VALUE"""),"Lái xe hạng C")</f>
        <v>Lái xe hạng C</v>
      </c>
      <c r="R259" s="17">
        <f>IFERROR(__xludf.DUMMYFUNCTION("""COMPUTED_VALUE"""),45727.0)</f>
        <v>45727</v>
      </c>
      <c r="S259" s="19">
        <f>IFERROR(__xludf.DUMMYFUNCTION("""COMPUTED_VALUE"""),45727.0)</f>
        <v>45727</v>
      </c>
      <c r="T259" s="7" t="str">
        <f>IFERROR(__xludf.DUMMYFUNCTION("""COMPUTED_VALUE"""),"Chính thức")</f>
        <v>Chính thức</v>
      </c>
      <c r="U259" s="7"/>
      <c r="V259" s="7" t="str">
        <f>IFERROR(__xludf.DUMMYFUNCTION("""COMPUTED_VALUE"""),"Chính thức")</f>
        <v>Chính thức</v>
      </c>
      <c r="W259" s="7" t="str">
        <f>IFERROR(__xludf.DUMMYFUNCTION("""COMPUTED_VALUE"""),"0 năm 9 tháng")</f>
        <v>0 năm 9 tháng</v>
      </c>
      <c r="X259" s="7"/>
      <c r="Y259" s="7"/>
      <c r="Z259" s="7"/>
    </row>
    <row r="260">
      <c r="A260" s="7">
        <f>IFERROR(__xludf.DUMMYFUNCTION("""COMPUTED_VALUE"""),39.0)</f>
        <v>39</v>
      </c>
      <c r="B260" s="7" t="str">
        <f>IFERROR(__xludf.DUMMYFUNCTION("""COMPUTED_VALUE"""),"Văn phòng")</f>
        <v>Văn phòng</v>
      </c>
      <c r="C260" s="7" t="str">
        <f>IFERROR(__xludf.DUMMYFUNCTION("""COMPUTED_VALUE"""),"Phòng Kế toán")</f>
        <v>Phòng Kế toán</v>
      </c>
      <c r="D260" s="7" t="str">
        <f>IFERROR(__xludf.DUMMYFUNCTION("""COMPUTED_VALUE"""),"Tổ phục vụ xuất hàng")</f>
        <v>Tổ phục vụ xuất hàng</v>
      </c>
      <c r="E260" s="7" t="str">
        <f>IFERROR(__xludf.DUMMYFUNCTION("""COMPUTED_VALUE"""),"Nhân viên Sơ chế")</f>
        <v>Nhân viên Sơ chế</v>
      </c>
      <c r="F260" s="7" t="str">
        <f>IFERROR(__xludf.DUMMYFUNCTION("""COMPUTED_VALUE"""),"NV5504")</f>
        <v>NV5504</v>
      </c>
      <c r="G260" s="7">
        <f>IFERROR(__xludf.DUMMYFUNCTION("""COMPUTED_VALUE"""),987.0)</f>
        <v>987</v>
      </c>
      <c r="H260" s="7" t="str">
        <f>IFERROR(__xludf.DUMMYFUNCTION("""COMPUTED_VALUE"""),"Lê Đình Văn")</f>
        <v>Lê Đình Văn</v>
      </c>
      <c r="I260" s="7" t="str">
        <f>IFERROR(__xludf.DUMMYFUNCTION("""COMPUTED_VALUE"""),"Nam")</f>
        <v>Nam</v>
      </c>
      <c r="J260" s="17">
        <f>IFERROR(__xludf.DUMMYFUNCTION("""COMPUTED_VALUE"""),30533.0)</f>
        <v>30533</v>
      </c>
      <c r="K260" s="7" t="str">
        <f>IFERROR(__xludf.DUMMYFUNCTION("""COMPUTED_VALUE"""),"Phường Nguyệt Viên - Tỉnh Thanh Hóa")</f>
        <v>Phường Nguyệt Viên - Tỉnh Thanh Hóa</v>
      </c>
      <c r="L260" s="7" t="str">
        <f>IFERROR(__xludf.DUMMYFUNCTION("""COMPUTED_VALUE"""),"0961907445")</f>
        <v>0961907445</v>
      </c>
      <c r="M260" s="7" t="str">
        <f>IFERROR(__xludf.DUMMYFUNCTION("""COMPUTED_VALUE"""),"038083036166")</f>
        <v>038083036166</v>
      </c>
      <c r="N260" s="18">
        <f>IFERROR(__xludf.DUMMYFUNCTION("""COMPUTED_VALUE"""),44534.0)</f>
        <v>44534</v>
      </c>
      <c r="O260" s="7" t="str">
        <f>IFERROR(__xludf.DUMMYFUNCTION("""COMPUTED_VALUE"""),"Cục Cảnh sát QLHC về TTXH")</f>
        <v>Cục Cảnh sát QLHC về TTXH</v>
      </c>
      <c r="P260" s="7" t="str">
        <f>IFERROR(__xludf.DUMMYFUNCTION("""COMPUTED_VALUE"""),"LĐPT")</f>
        <v>LĐPT</v>
      </c>
      <c r="Q260" s="7" t="str">
        <f>IFERROR(__xludf.DUMMYFUNCTION("""COMPUTED_VALUE"""),"Lao động phổ thông")</f>
        <v>Lao động phổ thông</v>
      </c>
      <c r="R260" s="17">
        <f>IFERROR(__xludf.DUMMYFUNCTION("""COMPUTED_VALUE"""),45811.0)</f>
        <v>45811</v>
      </c>
      <c r="S260" s="19">
        <f>IFERROR(__xludf.DUMMYFUNCTION("""COMPUTED_VALUE"""),45841.0)</f>
        <v>45841</v>
      </c>
      <c r="T260" s="7" t="str">
        <f>IFERROR(__xludf.DUMMYFUNCTION("""COMPUTED_VALUE"""),"Chính thức")</f>
        <v>Chính thức</v>
      </c>
      <c r="U260" s="7"/>
      <c r="V260" s="7" t="str">
        <f>IFERROR(__xludf.DUMMYFUNCTION("""COMPUTED_VALUE"""),"Chính thức")</f>
        <v>Chính thức</v>
      </c>
      <c r="W260" s="7" t="str">
        <f>IFERROR(__xludf.DUMMYFUNCTION("""COMPUTED_VALUE"""),"0 năm 6 tháng")</f>
        <v>0 năm 6 tháng</v>
      </c>
      <c r="X260" s="7"/>
      <c r="Y260" s="7"/>
      <c r="Z260" s="7"/>
    </row>
    <row r="261">
      <c r="A261" s="7">
        <f>IFERROR(__xludf.DUMMYFUNCTION("""COMPUTED_VALUE"""),40.0)</f>
        <v>40</v>
      </c>
      <c r="B261" s="7" t="str">
        <f>IFERROR(__xludf.DUMMYFUNCTION("""COMPUTED_VALUE"""),"Văn phòng")</f>
        <v>Văn phòng</v>
      </c>
      <c r="C261" s="7" t="str">
        <f>IFERROR(__xludf.DUMMYFUNCTION("""COMPUTED_VALUE"""),"Phòng Kế toán")</f>
        <v>Phòng Kế toán</v>
      </c>
      <c r="D261" s="7" t="str">
        <f>IFERROR(__xludf.DUMMYFUNCTION("""COMPUTED_VALUE"""),"Tổ phục vụ xuất hàng")</f>
        <v>Tổ phục vụ xuất hàng</v>
      </c>
      <c r="E261" s="7" t="str">
        <f>IFERROR(__xludf.DUMMYFUNCTION("""COMPUTED_VALUE"""),"Nhân viên VSCN")</f>
        <v>Nhân viên VSCN</v>
      </c>
      <c r="F261" s="7" t="str">
        <f>IFERROR(__xludf.DUMMYFUNCTION("""COMPUTED_VALUE"""),"NV5196")</f>
        <v>NV5196</v>
      </c>
      <c r="G261" s="7">
        <f>IFERROR(__xludf.DUMMYFUNCTION("""COMPUTED_VALUE"""),234.0)</f>
        <v>234</v>
      </c>
      <c r="H261" s="7" t="str">
        <f>IFERROR(__xludf.DUMMYFUNCTION("""COMPUTED_VALUE"""),"Nguyễn Thị Kim Tuyến")</f>
        <v>Nguyễn Thị Kim Tuyến</v>
      </c>
      <c r="I261" s="7" t="str">
        <f>IFERROR(__xludf.DUMMYFUNCTION("""COMPUTED_VALUE"""),"Nữ")</f>
        <v>Nữ</v>
      </c>
      <c r="J261" s="17">
        <f>IFERROR(__xludf.DUMMYFUNCTION("""COMPUTED_VALUE"""),27927.0)</f>
        <v>27927</v>
      </c>
      <c r="K261" s="7" t="str">
        <f>IFERROR(__xludf.DUMMYFUNCTION("""COMPUTED_VALUE"""),"Tổ 6A, khu phố 11. thị trấn Di Linh, huyện Di Linh, tỉnh Lâm Đồng")</f>
        <v>Tổ 6A, khu phố 11. thị trấn Di Linh, huyện Di Linh, tỉnh Lâm Đồng</v>
      </c>
      <c r="L261" s="7" t="str">
        <f>IFERROR(__xludf.DUMMYFUNCTION("""COMPUTED_VALUE"""),"0376678791")</f>
        <v>0376678791</v>
      </c>
      <c r="M261" s="7" t="str">
        <f>IFERROR(__xludf.DUMMYFUNCTION("""COMPUTED_VALUE"""),"038176028872")</f>
        <v>038176028872</v>
      </c>
      <c r="N261" s="18">
        <f>IFERROR(__xludf.DUMMYFUNCTION("""COMPUTED_VALUE"""),44428.0)</f>
        <v>44428</v>
      </c>
      <c r="O261" s="7" t="str">
        <f>IFERROR(__xludf.DUMMYFUNCTION("""COMPUTED_VALUE"""),"Cục Cảnh sát QLHC về TTXH")</f>
        <v>Cục Cảnh sát QLHC về TTXH</v>
      </c>
      <c r="P261" s="7" t="str">
        <f>IFERROR(__xludf.DUMMYFUNCTION("""COMPUTED_VALUE"""),"LĐPT")</f>
        <v>LĐPT</v>
      </c>
      <c r="Q261" s="7" t="str">
        <f>IFERROR(__xludf.DUMMYFUNCTION("""COMPUTED_VALUE"""),"Lao động phổ thông")</f>
        <v>Lao động phổ thông</v>
      </c>
      <c r="R261" s="17">
        <f>IFERROR(__xludf.DUMMYFUNCTION("""COMPUTED_VALUE"""),45815.0)</f>
        <v>45815</v>
      </c>
      <c r="S261" s="19">
        <f>IFERROR(__xludf.DUMMYFUNCTION("""COMPUTED_VALUE"""),45815.0)</f>
        <v>45815</v>
      </c>
      <c r="T261" s="7" t="str">
        <f>IFERROR(__xludf.DUMMYFUNCTION("""COMPUTED_VALUE"""),"Chính thức")</f>
        <v>Chính thức</v>
      </c>
      <c r="U261" s="7"/>
      <c r="V261" s="7" t="str">
        <f>IFERROR(__xludf.DUMMYFUNCTION("""COMPUTED_VALUE"""),"Chính thức")</f>
        <v>Chính thức</v>
      </c>
      <c r="W261" s="7" t="str">
        <f>IFERROR(__xludf.DUMMYFUNCTION("""COMPUTED_VALUE"""),"0 năm 6 tháng")</f>
        <v>0 năm 6 tháng</v>
      </c>
      <c r="X261" s="7"/>
      <c r="Y261" s="7"/>
      <c r="Z261" s="7"/>
    </row>
    <row r="262">
      <c r="A262" s="7">
        <f>IFERROR(__xludf.DUMMYFUNCTION("""COMPUTED_VALUE"""),41.0)</f>
        <v>41</v>
      </c>
      <c r="B262" s="7" t="str">
        <f>IFERROR(__xludf.DUMMYFUNCTION("""COMPUTED_VALUE"""),"Văn phòng")</f>
        <v>Văn phòng</v>
      </c>
      <c r="C262" s="7" t="str">
        <f>IFERROR(__xludf.DUMMYFUNCTION("""COMPUTED_VALUE"""),"Phòng Kế toán")</f>
        <v>Phòng Kế toán</v>
      </c>
      <c r="D262" s="7" t="str">
        <f>IFERROR(__xludf.DUMMYFUNCTION("""COMPUTED_VALUE"""),"Tổ phục vụ xuất hàng")</f>
        <v>Tổ phục vụ xuất hàng</v>
      </c>
      <c r="E262" s="7" t="str">
        <f>IFERROR(__xludf.DUMMYFUNCTION("""COMPUTED_VALUE"""),"Nhân viên Lái xe nâng")</f>
        <v>Nhân viên Lái xe nâng</v>
      </c>
      <c r="F262" s="7" t="str">
        <f>IFERROR(__xludf.DUMMYFUNCTION("""COMPUTED_VALUE"""),"NV5522")</f>
        <v>NV5522</v>
      </c>
      <c r="G262" s="7">
        <f>IFERROR(__xludf.DUMMYFUNCTION("""COMPUTED_VALUE"""),1005.0)</f>
        <v>1005</v>
      </c>
      <c r="H262" s="7" t="str">
        <f>IFERROR(__xludf.DUMMYFUNCTION("""COMPUTED_VALUE"""),"Phạm Thế Luyến")</f>
        <v>Phạm Thế Luyến</v>
      </c>
      <c r="I262" s="7" t="str">
        <f>IFERROR(__xludf.DUMMYFUNCTION("""COMPUTED_VALUE"""),"Nam")</f>
        <v>Nam</v>
      </c>
      <c r="J262" s="17">
        <f>IFERROR(__xludf.DUMMYFUNCTION("""COMPUTED_VALUE"""),34279.0)</f>
        <v>34279</v>
      </c>
      <c r="K262" s="7" t="str">
        <f>IFERROR(__xludf.DUMMYFUNCTION("""COMPUTED_VALUE"""),"Xã Trường Văn- Tỉnh Thanh Hóa")</f>
        <v>Xã Trường Văn- Tỉnh Thanh Hóa</v>
      </c>
      <c r="L262" s="7" t="str">
        <f>IFERROR(__xludf.DUMMYFUNCTION("""COMPUTED_VALUE"""),"0972448488")</f>
        <v>0972448488</v>
      </c>
      <c r="M262" s="7" t="str">
        <f>IFERROR(__xludf.DUMMYFUNCTION("""COMPUTED_VALUE"""),"038093020491")</f>
        <v>038093020491</v>
      </c>
      <c r="N262" s="18">
        <f>IFERROR(__xludf.DUMMYFUNCTION("""COMPUTED_VALUE"""),45694.0)</f>
        <v>45694</v>
      </c>
      <c r="O262" s="7" t="str">
        <f>IFERROR(__xludf.DUMMYFUNCTION("""COMPUTED_VALUE"""),"Bộ công an")</f>
        <v>Bộ công an</v>
      </c>
      <c r="P262" s="7" t="str">
        <f>IFERROR(__xludf.DUMMYFUNCTION("""COMPUTED_VALUE"""),"Bằng nghề")</f>
        <v>Bằng nghề</v>
      </c>
      <c r="Q262" s="7" t="str">
        <f>IFERROR(__xludf.DUMMYFUNCTION("""COMPUTED_VALUE"""),"Vận hành xe nâng")</f>
        <v>Vận hành xe nâng</v>
      </c>
      <c r="R262" s="17">
        <f>IFERROR(__xludf.DUMMYFUNCTION("""COMPUTED_VALUE"""),45816.0)</f>
        <v>45816</v>
      </c>
      <c r="S262" s="19">
        <f>IFERROR(__xludf.DUMMYFUNCTION("""COMPUTED_VALUE"""),45846.0)</f>
        <v>45846</v>
      </c>
      <c r="T262" s="7" t="str">
        <f>IFERROR(__xludf.DUMMYFUNCTION("""COMPUTED_VALUE"""),"Chính thức")</f>
        <v>Chính thức</v>
      </c>
      <c r="U262" s="7"/>
      <c r="V262" s="7" t="str">
        <f>IFERROR(__xludf.DUMMYFUNCTION("""COMPUTED_VALUE"""),"Chính thức")</f>
        <v>Chính thức</v>
      </c>
      <c r="W262" s="7" t="str">
        <f>IFERROR(__xludf.DUMMYFUNCTION("""COMPUTED_VALUE"""),"0 năm 6 tháng")</f>
        <v>0 năm 6 tháng</v>
      </c>
      <c r="X262" s="7"/>
      <c r="Y262" s="7"/>
      <c r="Z262" s="7"/>
    </row>
    <row r="263">
      <c r="A263" s="7">
        <f>IFERROR(__xludf.DUMMYFUNCTION("""COMPUTED_VALUE"""),42.0)</f>
        <v>42</v>
      </c>
      <c r="B263" s="7" t="str">
        <f>IFERROR(__xludf.DUMMYFUNCTION("""COMPUTED_VALUE"""),"Văn phòng")</f>
        <v>Văn phòng</v>
      </c>
      <c r="C263" s="7" t="str">
        <f>IFERROR(__xludf.DUMMYFUNCTION("""COMPUTED_VALUE"""),"Phòng Kế toán")</f>
        <v>Phòng Kế toán</v>
      </c>
      <c r="D263" s="7" t="str">
        <f>IFERROR(__xludf.DUMMYFUNCTION("""COMPUTED_VALUE"""),"Tổ phục vụ xuất hàng")</f>
        <v>Tổ phục vụ xuất hàng</v>
      </c>
      <c r="E263" s="7" t="str">
        <f>IFERROR(__xludf.DUMMYFUNCTION("""COMPUTED_VALUE"""),"Nhân viên Lái xe nâng")</f>
        <v>Nhân viên Lái xe nâng</v>
      </c>
      <c r="F263" s="7" t="str">
        <f>IFERROR(__xludf.DUMMYFUNCTION("""COMPUTED_VALUE"""),"NV5529")</f>
        <v>NV5529</v>
      </c>
      <c r="G263" s="7">
        <f>IFERROR(__xludf.DUMMYFUNCTION("""COMPUTED_VALUE"""),1011.0)</f>
        <v>1011</v>
      </c>
      <c r="H263" s="7" t="str">
        <f>IFERROR(__xludf.DUMMYFUNCTION("""COMPUTED_VALUE"""),"Vũ Đình Hải")</f>
        <v>Vũ Đình Hải</v>
      </c>
      <c r="I263" s="7" t="str">
        <f>IFERROR(__xludf.DUMMYFUNCTION("""COMPUTED_VALUE"""),"Nam")</f>
        <v>Nam</v>
      </c>
      <c r="J263" s="17">
        <f>IFERROR(__xludf.DUMMYFUNCTION("""COMPUTED_VALUE"""),33810.0)</f>
        <v>33810</v>
      </c>
      <c r="K263" s="7" t="str">
        <f>IFERROR(__xludf.DUMMYFUNCTION("""COMPUTED_VALUE"""),"Xã Trung Chính - Tỉnh Thanh Hóa")</f>
        <v>Xã Trung Chính - Tỉnh Thanh Hóa</v>
      </c>
      <c r="L263" s="7" t="str">
        <f>IFERROR(__xludf.DUMMYFUNCTION("""COMPUTED_VALUE"""),"0362299866")</f>
        <v>0362299866</v>
      </c>
      <c r="M263" s="7" t="str">
        <f>IFERROR(__xludf.DUMMYFUNCTION("""COMPUTED_VALUE"""),"038092009164")</f>
        <v>038092009164</v>
      </c>
      <c r="N263" s="18">
        <f>IFERROR(__xludf.DUMMYFUNCTION("""COMPUTED_VALUE"""),43159.0)</f>
        <v>43159</v>
      </c>
      <c r="O263" s="7" t="str">
        <f>IFERROR(__xludf.DUMMYFUNCTION("""COMPUTED_VALUE"""),"Cục Cảnh sát QLHC về TTXH")</f>
        <v>Cục Cảnh sát QLHC về TTXH</v>
      </c>
      <c r="P263" s="7" t="str">
        <f>IFERROR(__xludf.DUMMYFUNCTION("""COMPUTED_VALUE"""),"Bằng nghề")</f>
        <v>Bằng nghề</v>
      </c>
      <c r="Q263" s="7" t="str">
        <f>IFERROR(__xludf.DUMMYFUNCTION("""COMPUTED_VALUE"""),"Vận hành xe nâng")</f>
        <v>Vận hành xe nâng</v>
      </c>
      <c r="R263" s="17">
        <f>IFERROR(__xludf.DUMMYFUNCTION("""COMPUTED_VALUE"""),45818.0)</f>
        <v>45818</v>
      </c>
      <c r="S263" s="19">
        <f>IFERROR(__xludf.DUMMYFUNCTION("""COMPUTED_VALUE"""),45848.0)</f>
        <v>45848</v>
      </c>
      <c r="T263" s="7" t="str">
        <f>IFERROR(__xludf.DUMMYFUNCTION("""COMPUTED_VALUE"""),"Chính thức")</f>
        <v>Chính thức</v>
      </c>
      <c r="U263" s="7"/>
      <c r="V263" s="7" t="str">
        <f>IFERROR(__xludf.DUMMYFUNCTION("""COMPUTED_VALUE"""),"Chính thức")</f>
        <v>Chính thức</v>
      </c>
      <c r="W263" s="7" t="str">
        <f>IFERROR(__xludf.DUMMYFUNCTION("""COMPUTED_VALUE"""),"0 năm 6 tháng")</f>
        <v>0 năm 6 tháng</v>
      </c>
      <c r="X263" s="7"/>
      <c r="Y263" s="7"/>
      <c r="Z263" s="7"/>
    </row>
    <row r="264">
      <c r="A264" s="7">
        <f>IFERROR(__xludf.DUMMYFUNCTION("""COMPUTED_VALUE"""),43.0)</f>
        <v>43</v>
      </c>
      <c r="B264" s="7" t="str">
        <f>IFERROR(__xludf.DUMMYFUNCTION("""COMPUTED_VALUE"""),"Văn phòng")</f>
        <v>Văn phòng</v>
      </c>
      <c r="C264" s="7" t="str">
        <f>IFERROR(__xludf.DUMMYFUNCTION("""COMPUTED_VALUE"""),"Phòng Kế toán")</f>
        <v>Phòng Kế toán</v>
      </c>
      <c r="D264" s="7" t="str">
        <f>IFERROR(__xludf.DUMMYFUNCTION("""COMPUTED_VALUE"""),"Tổ phục vụ xuất hàng")</f>
        <v>Tổ phục vụ xuất hàng</v>
      </c>
      <c r="E264" s="7" t="str">
        <f>IFERROR(__xludf.DUMMYFUNCTION("""COMPUTED_VALUE"""),"Nhân viên chỉ hàng")</f>
        <v>Nhân viên chỉ hàng</v>
      </c>
      <c r="F264" s="7" t="str">
        <f>IFERROR(__xludf.DUMMYFUNCTION("""COMPUTED_VALUE"""),"NV5610")</f>
        <v>NV5610</v>
      </c>
      <c r="G264" s="7">
        <f>IFERROR(__xludf.DUMMYFUNCTION("""COMPUTED_VALUE"""),1099.0)</f>
        <v>1099</v>
      </c>
      <c r="H264" s="7" t="str">
        <f>IFERROR(__xludf.DUMMYFUNCTION("""COMPUTED_VALUE"""),"Lê Thị Huyền")</f>
        <v>Lê Thị Huyền</v>
      </c>
      <c r="I264" s="7" t="str">
        <f>IFERROR(__xludf.DUMMYFUNCTION("""COMPUTED_VALUE"""),"Nữ")</f>
        <v>Nữ</v>
      </c>
      <c r="J264" s="17">
        <f>IFERROR(__xludf.DUMMYFUNCTION("""COMPUTED_VALUE"""),31517.0)</f>
        <v>31517</v>
      </c>
      <c r="K264" s="7" t="str">
        <f>IFERROR(__xludf.DUMMYFUNCTION("""COMPUTED_VALUE"""),"Thôn Ninh Dụ - Xã Quảng Ninh - Tỉnh Thanh Hóa")</f>
        <v>Thôn Ninh Dụ - Xã Quảng Ninh - Tỉnh Thanh Hóa</v>
      </c>
      <c r="L264" s="7" t="str">
        <f>IFERROR(__xludf.DUMMYFUNCTION("""COMPUTED_VALUE"""),"0974614634")</f>
        <v>0974614634</v>
      </c>
      <c r="M264" s="7" t="str">
        <f>IFERROR(__xludf.DUMMYFUNCTION("""COMPUTED_VALUE"""),"038186049308")</f>
        <v>038186049308</v>
      </c>
      <c r="N264" s="18">
        <f>IFERROR(__xludf.DUMMYFUNCTION("""COMPUTED_VALUE"""),45736.0)</f>
        <v>45736</v>
      </c>
      <c r="O264" s="7" t="str">
        <f>IFERROR(__xludf.DUMMYFUNCTION("""COMPUTED_VALUE"""),"Bộ công an")</f>
        <v>Bộ công an</v>
      </c>
      <c r="P264" s="7" t="str">
        <f>IFERROR(__xludf.DUMMYFUNCTION("""COMPUTED_VALUE"""),"Trung cấp")</f>
        <v>Trung cấp</v>
      </c>
      <c r="Q264" s="7" t="str">
        <f>IFERROR(__xludf.DUMMYFUNCTION("""COMPUTED_VALUE"""),"Trung cấp dược")</f>
        <v>Trung cấp dược</v>
      </c>
      <c r="R264" s="17">
        <f>IFERROR(__xludf.DUMMYFUNCTION("""COMPUTED_VALUE"""),45846.0)</f>
        <v>45846</v>
      </c>
      <c r="S264" s="19">
        <f>IFERROR(__xludf.DUMMYFUNCTION("""COMPUTED_VALUE"""),45877.0)</f>
        <v>45877</v>
      </c>
      <c r="T264" s="7" t="str">
        <f>IFERROR(__xludf.DUMMYFUNCTION("""COMPUTED_VALUE"""),"Chính thức")</f>
        <v>Chính thức</v>
      </c>
      <c r="U264" s="7"/>
      <c r="V264" s="7" t="str">
        <f>IFERROR(__xludf.DUMMYFUNCTION("""COMPUTED_VALUE"""),"Chính thức")</f>
        <v>Chính thức</v>
      </c>
      <c r="W264" s="7" t="str">
        <f>IFERROR(__xludf.DUMMYFUNCTION("""COMPUTED_VALUE"""),"0 năm 5 tháng")</f>
        <v>0 năm 5 tháng</v>
      </c>
      <c r="X264" s="7"/>
      <c r="Y264" s="7"/>
      <c r="Z264" s="7"/>
    </row>
    <row r="265">
      <c r="A265" s="7">
        <f>IFERROR(__xludf.DUMMYFUNCTION("""COMPUTED_VALUE"""),44.0)</f>
        <v>44</v>
      </c>
      <c r="B265" s="7" t="str">
        <f>IFERROR(__xludf.DUMMYFUNCTION("""COMPUTED_VALUE"""),"Văn phòng")</f>
        <v>Văn phòng</v>
      </c>
      <c r="C265" s="7" t="str">
        <f>IFERROR(__xludf.DUMMYFUNCTION("""COMPUTED_VALUE"""),"Phòng Kế toán")</f>
        <v>Phòng Kế toán</v>
      </c>
      <c r="D265" s="7" t="str">
        <f>IFERROR(__xludf.DUMMYFUNCTION("""COMPUTED_VALUE"""),"Tổ phục vụ xuất hàng")</f>
        <v>Tổ phục vụ xuất hàng</v>
      </c>
      <c r="E265" s="7" t="str">
        <f>IFERROR(__xludf.DUMMYFUNCTION("""COMPUTED_VALUE"""),"Nhân viên Sơ chế")</f>
        <v>Nhân viên Sơ chế</v>
      </c>
      <c r="F265" s="7" t="str">
        <f>IFERROR(__xludf.DUMMYFUNCTION("""COMPUTED_VALUE"""),"NV0388")</f>
        <v>NV0388</v>
      </c>
      <c r="G265" s="7">
        <f>IFERROR(__xludf.DUMMYFUNCTION("""COMPUTED_VALUE"""),1103.0)</f>
        <v>1103</v>
      </c>
      <c r="H265" s="7" t="str">
        <f>IFERROR(__xludf.DUMMYFUNCTION("""COMPUTED_VALUE"""),"Lê Văn Long")</f>
        <v>Lê Văn Long</v>
      </c>
      <c r="I265" s="7" t="str">
        <f>IFERROR(__xludf.DUMMYFUNCTION("""COMPUTED_VALUE"""),"Nam")</f>
        <v>Nam</v>
      </c>
      <c r="J265" s="17">
        <f>IFERROR(__xludf.DUMMYFUNCTION("""COMPUTED_VALUE"""),33416.0)</f>
        <v>33416</v>
      </c>
      <c r="K265" s="7" t="str">
        <f>IFERROR(__xludf.DUMMYFUNCTION("""COMPUTED_VALUE"""),"Phố Đài Trúc - Phường Nam Sầm Sơn - Tỉnh Thanh Hóa")</f>
        <v>Phố Đài Trúc - Phường Nam Sầm Sơn - Tỉnh Thanh Hóa</v>
      </c>
      <c r="L265" s="7" t="str">
        <f>IFERROR(__xludf.DUMMYFUNCTION("""COMPUTED_VALUE"""),"0941468264")</f>
        <v>0941468264</v>
      </c>
      <c r="M265" s="7" t="str">
        <f>IFERROR(__xludf.DUMMYFUNCTION("""COMPUTED_VALUE"""),"038091012430")</f>
        <v>038091012430</v>
      </c>
      <c r="N265" s="18">
        <f>IFERROR(__xludf.DUMMYFUNCTION("""COMPUTED_VALUE"""),44502.0)</f>
        <v>44502</v>
      </c>
      <c r="O265" s="7" t="str">
        <f>IFERROR(__xludf.DUMMYFUNCTION("""COMPUTED_VALUE"""),"Cục Cảnh sát QLHC về TTXH")</f>
        <v>Cục Cảnh sát QLHC về TTXH</v>
      </c>
      <c r="P265" s="7" t="str">
        <f>IFERROR(__xludf.DUMMYFUNCTION("""COMPUTED_VALUE"""),"LĐPT")</f>
        <v>LĐPT</v>
      </c>
      <c r="Q265" s="7" t="str">
        <f>IFERROR(__xludf.DUMMYFUNCTION("""COMPUTED_VALUE"""),"Lao động phổ thông")</f>
        <v>Lao động phổ thông</v>
      </c>
      <c r="R265" s="17">
        <f>IFERROR(__xludf.DUMMYFUNCTION("""COMPUTED_VALUE"""),45848.0)</f>
        <v>45848</v>
      </c>
      <c r="S265" s="19">
        <f>IFERROR(__xludf.DUMMYFUNCTION("""COMPUTED_VALUE"""),45848.0)</f>
        <v>45848</v>
      </c>
      <c r="T265" s="7" t="str">
        <f>IFERROR(__xludf.DUMMYFUNCTION("""COMPUTED_VALUE"""),"Chính thức")</f>
        <v>Chính thức</v>
      </c>
      <c r="U265" s="7"/>
      <c r="V265" s="7" t="str">
        <f>IFERROR(__xludf.DUMMYFUNCTION("""COMPUTED_VALUE"""),"Chính thức")</f>
        <v>Chính thức</v>
      </c>
      <c r="W265" s="7" t="str">
        <f>IFERROR(__xludf.DUMMYFUNCTION("""COMPUTED_VALUE"""),"0 năm 5 tháng")</f>
        <v>0 năm 5 tháng</v>
      </c>
      <c r="X265" s="7"/>
      <c r="Y265" s="7"/>
      <c r="Z265" s="7"/>
    </row>
    <row r="266">
      <c r="A266" s="7">
        <f>IFERROR(__xludf.DUMMYFUNCTION("""COMPUTED_VALUE"""),45.0)</f>
        <v>45</v>
      </c>
      <c r="B266" s="7" t="str">
        <f>IFERROR(__xludf.DUMMYFUNCTION("""COMPUTED_VALUE"""),"Văn phòng")</f>
        <v>Văn phòng</v>
      </c>
      <c r="C266" s="7" t="str">
        <f>IFERROR(__xludf.DUMMYFUNCTION("""COMPUTED_VALUE"""),"Phòng Kế toán")</f>
        <v>Phòng Kế toán</v>
      </c>
      <c r="D266" s="7" t="str">
        <f>IFERROR(__xludf.DUMMYFUNCTION("""COMPUTED_VALUE"""),"Tổ phục vụ xuất hàng")</f>
        <v>Tổ phục vụ xuất hàng</v>
      </c>
      <c r="E266" s="7" t="str">
        <f>IFERROR(__xludf.DUMMYFUNCTION("""COMPUTED_VALUE"""),"Nhân viên lái xe chuyển tải")</f>
        <v>Nhân viên lái xe chuyển tải</v>
      </c>
      <c r="F266" s="7" t="str">
        <f>IFERROR(__xludf.DUMMYFUNCTION("""COMPUTED_VALUE"""),"NV4936")</f>
        <v>NV4936</v>
      </c>
      <c r="G266" s="7">
        <f>IFERROR(__xludf.DUMMYFUNCTION("""COMPUTED_VALUE"""),726.0)</f>
        <v>726</v>
      </c>
      <c r="H266" s="7" t="str">
        <f>IFERROR(__xludf.DUMMYFUNCTION("""COMPUTED_VALUE"""),"Nguyễn Viết Chỉnh")</f>
        <v>Nguyễn Viết Chỉnh</v>
      </c>
      <c r="I266" s="7" t="str">
        <f>IFERROR(__xludf.DUMMYFUNCTION("""COMPUTED_VALUE"""),"Nam")</f>
        <v>Nam</v>
      </c>
      <c r="J266" s="17">
        <f>IFERROR(__xludf.DUMMYFUNCTION("""COMPUTED_VALUE"""),33206.0)</f>
        <v>33206</v>
      </c>
      <c r="K266" s="7" t="str">
        <f>IFERROR(__xludf.DUMMYFUNCTION("""COMPUTED_VALUE"""),"Phố 4 - Phường Quảng Phú - Tỉnh Thanh Hóa")</f>
        <v>Phố 4 - Phường Quảng Phú - Tỉnh Thanh Hóa</v>
      </c>
      <c r="L266" s="7" t="str">
        <f>IFERROR(__xludf.DUMMYFUNCTION("""COMPUTED_VALUE"""),"09444577996")</f>
        <v>09444577996</v>
      </c>
      <c r="M266" s="7" t="str">
        <f>IFERROR(__xludf.DUMMYFUNCTION("""COMPUTED_VALUE"""),"038090023208")</f>
        <v>038090023208</v>
      </c>
      <c r="N266" s="18">
        <f>IFERROR(__xludf.DUMMYFUNCTION("""COMPUTED_VALUE"""),44375.0)</f>
        <v>44375</v>
      </c>
      <c r="O266" s="7" t="str">
        <f>IFERROR(__xludf.DUMMYFUNCTION("""COMPUTED_VALUE"""),"Cục Cảnh sát QLHC về TTXH")</f>
        <v>Cục Cảnh sát QLHC về TTXH</v>
      </c>
      <c r="P266" s="7" t="str">
        <f>IFERROR(__xludf.DUMMYFUNCTION("""COMPUTED_VALUE"""),"Bằng nghề")</f>
        <v>Bằng nghề</v>
      </c>
      <c r="Q266" s="7" t="str">
        <f>IFERROR(__xludf.DUMMYFUNCTION("""COMPUTED_VALUE"""),"Lái xe bằng FC")</f>
        <v>Lái xe bằng FC</v>
      </c>
      <c r="R266" s="17">
        <f>IFERROR(__xludf.DUMMYFUNCTION("""COMPUTED_VALUE"""),45882.0)</f>
        <v>45882</v>
      </c>
      <c r="S266" s="19">
        <f>IFERROR(__xludf.DUMMYFUNCTION("""COMPUTED_VALUE"""),45882.0)</f>
        <v>45882</v>
      </c>
      <c r="T266" s="7" t="str">
        <f>IFERROR(__xludf.DUMMYFUNCTION("""COMPUTED_VALUE"""),"Chính thức")</f>
        <v>Chính thức</v>
      </c>
      <c r="U266" s="7"/>
      <c r="V266" s="7" t="str">
        <f>IFERROR(__xludf.DUMMYFUNCTION("""COMPUTED_VALUE"""),"Chính thức")</f>
        <v>Chính thức</v>
      </c>
      <c r="W266" s="7" t="str">
        <f>IFERROR(__xludf.DUMMYFUNCTION("""COMPUTED_VALUE"""),"0 năm 4 tháng")</f>
        <v>0 năm 4 tháng</v>
      </c>
      <c r="X266" s="7"/>
      <c r="Y266" s="7"/>
      <c r="Z266" s="7"/>
    </row>
    <row r="267">
      <c r="A267" s="7">
        <f>IFERROR(__xludf.DUMMYFUNCTION("""COMPUTED_VALUE"""),46.0)</f>
        <v>46</v>
      </c>
      <c r="B267" s="7" t="str">
        <f>IFERROR(__xludf.DUMMYFUNCTION("""COMPUTED_VALUE"""),"Văn phòng")</f>
        <v>Văn phòng</v>
      </c>
      <c r="C267" s="7" t="str">
        <f>IFERROR(__xludf.DUMMYFUNCTION("""COMPUTED_VALUE"""),"Phòng Kế toán")</f>
        <v>Phòng Kế toán</v>
      </c>
      <c r="D267" s="7" t="str">
        <f>IFERROR(__xludf.DUMMYFUNCTION("""COMPUTED_VALUE"""),"Tổ phục vụ xuất hàng")</f>
        <v>Tổ phục vụ xuất hàng</v>
      </c>
      <c r="E267" s="7" t="str">
        <f>IFERROR(__xludf.DUMMYFUNCTION("""COMPUTED_VALUE"""),"Đóng Pallet - Nhân viên sơ chế")</f>
        <v>Đóng Pallet - Nhân viên sơ chế</v>
      </c>
      <c r="F267" s="7" t="str">
        <f>IFERROR(__xludf.DUMMYFUNCTION("""COMPUTED_VALUE"""),"NV5700")</f>
        <v>NV5700</v>
      </c>
      <c r="G267" s="7">
        <f>IFERROR(__xludf.DUMMYFUNCTION("""COMPUTED_VALUE"""),1195.0)</f>
        <v>1195</v>
      </c>
      <c r="H267" s="7" t="str">
        <f>IFERROR(__xludf.DUMMYFUNCTION("""COMPUTED_VALUE"""),"Hoàng Văn Nghinh")</f>
        <v>Hoàng Văn Nghinh</v>
      </c>
      <c r="I267" s="7" t="str">
        <f>IFERROR(__xludf.DUMMYFUNCTION("""COMPUTED_VALUE"""),"Nam")</f>
        <v>Nam</v>
      </c>
      <c r="J267" s="17">
        <f>IFERROR(__xludf.DUMMYFUNCTION("""COMPUTED_VALUE"""),24237.0)</f>
        <v>24237</v>
      </c>
      <c r="K267" s="7" t="str">
        <f>IFERROR(__xludf.DUMMYFUNCTION("""COMPUTED_VALUE"""),"Thôn Phong Lượng - xã Lưu Vệ - Tỉnh Thanh Hóa")</f>
        <v>Thôn Phong Lượng - xã Lưu Vệ - Tỉnh Thanh Hóa</v>
      </c>
      <c r="L267" s="7" t="str">
        <f>IFERROR(__xludf.DUMMYFUNCTION("""COMPUTED_VALUE"""),"0988218047")</f>
        <v>0988218047</v>
      </c>
      <c r="M267" s="7" t="str">
        <f>IFERROR(__xludf.DUMMYFUNCTION("""COMPUTED_VALUE"""),"038066006528")</f>
        <v>038066006528</v>
      </c>
      <c r="N267" s="18">
        <f>IFERROR(__xludf.DUMMYFUNCTION("""COMPUTED_VALUE"""),45562.0)</f>
        <v>45562</v>
      </c>
      <c r="O267" s="7" t="str">
        <f>IFERROR(__xludf.DUMMYFUNCTION("""COMPUTED_VALUE"""),"Cục Cảnh sát QLHC về TTXH")</f>
        <v>Cục Cảnh sát QLHC về TTXH</v>
      </c>
      <c r="P267" s="7" t="str">
        <f>IFERROR(__xludf.DUMMYFUNCTION("""COMPUTED_VALUE"""),"LĐPT")</f>
        <v>LĐPT</v>
      </c>
      <c r="Q267" s="7" t="str">
        <f>IFERROR(__xludf.DUMMYFUNCTION("""COMPUTED_VALUE"""),"Lao động phổ thông")</f>
        <v>Lao động phổ thông</v>
      </c>
      <c r="R267" s="17">
        <f>IFERROR(__xludf.DUMMYFUNCTION("""COMPUTED_VALUE"""),45912.0)</f>
        <v>45912</v>
      </c>
      <c r="S267" s="19">
        <f>IFERROR(__xludf.DUMMYFUNCTION("""COMPUTED_VALUE"""),45942.0)</f>
        <v>45942</v>
      </c>
      <c r="T267" s="7" t="str">
        <f>IFERROR(__xludf.DUMMYFUNCTION("""COMPUTED_VALUE"""),"Chính thức")</f>
        <v>Chính thức</v>
      </c>
      <c r="U267" s="7"/>
      <c r="V267" s="7" t="str">
        <f>IFERROR(__xludf.DUMMYFUNCTION("""COMPUTED_VALUE"""),"Chính thức")</f>
        <v>Chính thức</v>
      </c>
      <c r="W267" s="7" t="str">
        <f>IFERROR(__xludf.DUMMYFUNCTION("""COMPUTED_VALUE"""),"0 năm 3 tháng")</f>
        <v>0 năm 3 tháng</v>
      </c>
      <c r="X267" s="7"/>
      <c r="Y267" s="7"/>
      <c r="Z267" s="7"/>
    </row>
    <row r="268">
      <c r="A268" s="7">
        <f>IFERROR(__xludf.DUMMYFUNCTION("""COMPUTED_VALUE"""),47.0)</f>
        <v>47</v>
      </c>
      <c r="B268" s="7" t="str">
        <f>IFERROR(__xludf.DUMMYFUNCTION("""COMPUTED_VALUE"""),"Văn phòng")</f>
        <v>Văn phòng</v>
      </c>
      <c r="C268" s="7" t="str">
        <f>IFERROR(__xludf.DUMMYFUNCTION("""COMPUTED_VALUE"""),"Phòng Kế toán")</f>
        <v>Phòng Kế toán</v>
      </c>
      <c r="D268" s="7" t="str">
        <f>IFERROR(__xludf.DUMMYFUNCTION("""COMPUTED_VALUE"""),"Tổ phục vụ xuất hàng")</f>
        <v>Tổ phục vụ xuất hàng</v>
      </c>
      <c r="E268" s="7" t="str">
        <f>IFERROR(__xludf.DUMMYFUNCTION("""COMPUTED_VALUE"""),"Nhân viên Lái xe nâng")</f>
        <v>Nhân viên Lái xe nâng</v>
      </c>
      <c r="F268" s="7" t="str">
        <f>IFERROR(__xludf.DUMMYFUNCTION("""COMPUTED_VALUE"""),"NV2213")</f>
        <v>NV2213</v>
      </c>
      <c r="G268" s="7">
        <f>IFERROR(__xludf.DUMMYFUNCTION("""COMPUTED_VALUE"""),74.0)</f>
        <v>74</v>
      </c>
      <c r="H268" s="7" t="str">
        <f>IFERROR(__xludf.DUMMYFUNCTION("""COMPUTED_VALUE"""),"Lê Bá Triệu")</f>
        <v>Lê Bá Triệu</v>
      </c>
      <c r="I268" s="7" t="str">
        <f>IFERROR(__xludf.DUMMYFUNCTION("""COMPUTED_VALUE"""),"Nam")</f>
        <v>Nam</v>
      </c>
      <c r="J268" s="17">
        <f>IFERROR(__xludf.DUMMYFUNCTION("""COMPUTED_VALUE"""),30529.0)</f>
        <v>30529</v>
      </c>
      <c r="K268" s="7" t="str">
        <f>IFERROR(__xludf.DUMMYFUNCTION("""COMPUTED_VALUE"""),"Xã Hoằng Lộc - Tỉnh Thanh Hóa")</f>
        <v>Xã Hoằng Lộc - Tỉnh Thanh Hóa</v>
      </c>
      <c r="L268" s="7" t="str">
        <f>IFERROR(__xludf.DUMMYFUNCTION("""COMPUTED_VALUE"""),"0977834423")</f>
        <v>0977834423</v>
      </c>
      <c r="M268" s="7" t="str">
        <f>IFERROR(__xludf.DUMMYFUNCTION("""COMPUTED_VALUE"""),"038083028968")</f>
        <v>038083028968</v>
      </c>
      <c r="N268" s="18">
        <f>IFERROR(__xludf.DUMMYFUNCTION("""COMPUTED_VALUE"""),45507.0)</f>
        <v>45507</v>
      </c>
      <c r="O268" s="7" t="str">
        <f>IFERROR(__xludf.DUMMYFUNCTION("""COMPUTED_VALUE"""),"Cục Cảnh sát QLHC về TTXH")</f>
        <v>Cục Cảnh sát QLHC về TTXH</v>
      </c>
      <c r="P268" s="7" t="str">
        <f>IFERROR(__xludf.DUMMYFUNCTION("""COMPUTED_VALUE"""),"Bằng nghề")</f>
        <v>Bằng nghề</v>
      </c>
      <c r="Q268" s="7" t="str">
        <f>IFERROR(__xludf.DUMMYFUNCTION("""COMPUTED_VALUE"""),"Lái xe nâng")</f>
        <v>Lái xe nâng</v>
      </c>
      <c r="R268" s="17">
        <f>IFERROR(__xludf.DUMMYFUNCTION("""COMPUTED_VALUE"""),45920.0)</f>
        <v>45920</v>
      </c>
      <c r="S268" s="19">
        <f>IFERROR(__xludf.DUMMYFUNCTION("""COMPUTED_VALUE"""),45920.0)</f>
        <v>45920</v>
      </c>
      <c r="T268" s="7" t="str">
        <f>IFERROR(__xludf.DUMMYFUNCTION("""COMPUTED_VALUE"""),"Chính thức")</f>
        <v>Chính thức</v>
      </c>
      <c r="U268" s="7"/>
      <c r="V268" s="7" t="str">
        <f>IFERROR(__xludf.DUMMYFUNCTION("""COMPUTED_VALUE"""),"Chính thức")</f>
        <v>Chính thức</v>
      </c>
      <c r="W268" s="7" t="str">
        <f>IFERROR(__xludf.DUMMYFUNCTION("""COMPUTED_VALUE"""),"0 năm 3 tháng")</f>
        <v>0 năm 3 tháng</v>
      </c>
      <c r="X268" s="7"/>
      <c r="Y268" s="7"/>
      <c r="Z268" s="7"/>
    </row>
    <row r="269">
      <c r="A269" s="7">
        <f>IFERROR(__xludf.DUMMYFUNCTION("""COMPUTED_VALUE"""),48.0)</f>
        <v>48</v>
      </c>
      <c r="B269" s="7" t="str">
        <f>IFERROR(__xludf.DUMMYFUNCTION("""COMPUTED_VALUE"""),"Văn phòng")</f>
        <v>Văn phòng</v>
      </c>
      <c r="C269" s="7" t="str">
        <f>IFERROR(__xludf.DUMMYFUNCTION("""COMPUTED_VALUE"""),"Phòng Kế toán")</f>
        <v>Phòng Kế toán</v>
      </c>
      <c r="D269" s="7" t="str">
        <f>IFERROR(__xludf.DUMMYFUNCTION("""COMPUTED_VALUE"""),"Tổ phục vụ xuất hàng")</f>
        <v>Tổ phục vụ xuất hàng</v>
      </c>
      <c r="E269" s="7" t="str">
        <f>IFERROR(__xludf.DUMMYFUNCTION("""COMPUTED_VALUE"""),"Nhân viên Sơ chế")</f>
        <v>Nhân viên Sơ chế</v>
      </c>
      <c r="F269" s="7" t="str">
        <f>IFERROR(__xludf.DUMMYFUNCTION("""COMPUTED_VALUE"""),"NV5720")</f>
        <v>NV5720</v>
      </c>
      <c r="G269" s="7">
        <f>IFERROR(__xludf.DUMMYFUNCTION("""COMPUTED_VALUE"""),1213.0)</f>
        <v>1213</v>
      </c>
      <c r="H269" s="7" t="str">
        <f>IFERROR(__xludf.DUMMYFUNCTION("""COMPUTED_VALUE"""),"Doãn Văn Sáng")</f>
        <v>Doãn Văn Sáng</v>
      </c>
      <c r="I269" s="7" t="str">
        <f>IFERROR(__xludf.DUMMYFUNCTION("""COMPUTED_VALUE"""),"Nam")</f>
        <v>Nam</v>
      </c>
      <c r="J269" s="17">
        <f>IFERROR(__xludf.DUMMYFUNCTION("""COMPUTED_VALUE"""),33466.0)</f>
        <v>33466</v>
      </c>
      <c r="K269" s="7" t="str">
        <f>IFERROR(__xludf.DUMMYFUNCTION("""COMPUTED_VALUE"""),"KP Nhuệ Sâm -  Phường Đông Sơn - Tỉnh Thanh Hóa")</f>
        <v>KP Nhuệ Sâm -  Phường Đông Sơn - Tỉnh Thanh Hóa</v>
      </c>
      <c r="L269" s="7" t="str">
        <f>IFERROR(__xludf.DUMMYFUNCTION("""COMPUTED_VALUE"""),"0908703450")</f>
        <v>0908703450</v>
      </c>
      <c r="M269" s="7" t="str">
        <f>IFERROR(__xludf.DUMMYFUNCTION("""COMPUTED_VALUE"""),"038091014303")</f>
        <v>038091014303</v>
      </c>
      <c r="N269" s="18">
        <f>IFERROR(__xludf.DUMMYFUNCTION("""COMPUTED_VALUE"""),44895.0)</f>
        <v>44895</v>
      </c>
      <c r="O269" s="7" t="str">
        <f>IFERROR(__xludf.DUMMYFUNCTION("""COMPUTED_VALUE"""),"Cục Cảnh sát QLHC về TTXH")</f>
        <v>Cục Cảnh sát QLHC về TTXH</v>
      </c>
      <c r="P269" s="7" t="str">
        <f>IFERROR(__xludf.DUMMYFUNCTION("""COMPUTED_VALUE"""),"LĐPT")</f>
        <v>LĐPT</v>
      </c>
      <c r="Q269" s="7" t="str">
        <f>IFERROR(__xludf.DUMMYFUNCTION("""COMPUTED_VALUE"""),"Lao động phổ thông")</f>
        <v>Lao động phổ thông</v>
      </c>
      <c r="R269" s="17">
        <f>IFERROR(__xludf.DUMMYFUNCTION("""COMPUTED_VALUE"""),45927.0)</f>
        <v>45927</v>
      </c>
      <c r="S269" s="19">
        <f>IFERROR(__xludf.DUMMYFUNCTION("""COMPUTED_VALUE"""),45957.0)</f>
        <v>45957</v>
      </c>
      <c r="T269" s="7" t="str">
        <f>IFERROR(__xludf.DUMMYFUNCTION("""COMPUTED_VALUE"""),"Chính thức")</f>
        <v>Chính thức</v>
      </c>
      <c r="U269" s="7"/>
      <c r="V269" s="7" t="str">
        <f>IFERROR(__xludf.DUMMYFUNCTION("""COMPUTED_VALUE"""),"Thử việc")</f>
        <v>Thử việc</v>
      </c>
      <c r="W269" s="7" t="str">
        <f>IFERROR(__xludf.DUMMYFUNCTION("""COMPUTED_VALUE"""),"0 năm 3 tháng")</f>
        <v>0 năm 3 tháng</v>
      </c>
      <c r="X269" s="7"/>
      <c r="Y269" s="7"/>
      <c r="Z269" s="7"/>
    </row>
    <row r="270">
      <c r="A270" s="7">
        <f>IFERROR(__xludf.DUMMYFUNCTION("""COMPUTED_VALUE"""),1.0)</f>
        <v>1</v>
      </c>
      <c r="B270" s="7" t="str">
        <f>IFERROR(__xludf.DUMMYFUNCTION("""COMPUTED_VALUE"""),"Văn phòng")</f>
        <v>Văn phòng</v>
      </c>
      <c r="C270" s="7" t="str">
        <f>IFERROR(__xludf.DUMMYFUNCTION("""COMPUTED_VALUE"""),"Dự án cát nhân tạo")</f>
        <v>Dự án cát nhân tạo</v>
      </c>
      <c r="D270" s="7" t="str">
        <f>IFERROR(__xludf.DUMMYFUNCTION("""COMPUTED_VALUE"""),"Bộ phận hành chính")</f>
        <v>Bộ phận hành chính</v>
      </c>
      <c r="E270" s="7" t="str">
        <f>IFERROR(__xludf.DUMMYFUNCTION("""COMPUTED_VALUE"""),"Lái xúc lật")</f>
        <v>Lái xúc lật</v>
      </c>
      <c r="F270" s="7" t="str">
        <f>IFERROR(__xludf.DUMMYFUNCTION("""COMPUTED_VALUE"""),"NV5481")</f>
        <v>NV5481</v>
      </c>
      <c r="G270" s="7">
        <f>IFERROR(__xludf.DUMMYFUNCTION("""COMPUTED_VALUE"""),962.0)</f>
        <v>962</v>
      </c>
      <c r="H270" s="7" t="str">
        <f>IFERROR(__xludf.DUMMYFUNCTION("""COMPUTED_VALUE"""),"Vũ Năng Sĩ")</f>
        <v>Vũ Năng Sĩ</v>
      </c>
      <c r="I270" s="7" t="str">
        <f>IFERROR(__xludf.DUMMYFUNCTION("""COMPUTED_VALUE"""),"Nam")</f>
        <v>Nam</v>
      </c>
      <c r="J270" s="17">
        <f>IFERROR(__xludf.DUMMYFUNCTION("""COMPUTED_VALUE"""),29715.0)</f>
        <v>29715</v>
      </c>
      <c r="K270" s="7" t="str">
        <f>IFERROR(__xludf.DUMMYFUNCTION("""COMPUTED_VALUE"""),"Xã Các Sơn - Thị xã Nghi Sơn - Tỉnh Thanh Hóa")</f>
        <v>Xã Các Sơn - Thị xã Nghi Sơn - Tỉnh Thanh Hóa</v>
      </c>
      <c r="L270" s="7" t="str">
        <f>IFERROR(__xludf.DUMMYFUNCTION("""COMPUTED_VALUE"""),"0966565015")</f>
        <v>0966565015</v>
      </c>
      <c r="M270" s="7" t="str">
        <f>IFERROR(__xludf.DUMMYFUNCTION("""COMPUTED_VALUE"""),"038081006409")</f>
        <v>038081006409</v>
      </c>
      <c r="N270" s="18">
        <f>IFERROR(__xludf.DUMMYFUNCTION("""COMPUTED_VALUE"""),44423.0)</f>
        <v>44423</v>
      </c>
      <c r="O270" s="7" t="str">
        <f>IFERROR(__xludf.DUMMYFUNCTION("""COMPUTED_VALUE"""),"Cục Cảnh sát QLHC về TTXH")</f>
        <v>Cục Cảnh sát QLHC về TTXH</v>
      </c>
      <c r="P270" s="7" t="str">
        <f>IFERROR(__xludf.DUMMYFUNCTION("""COMPUTED_VALUE"""),"Bằng nghề")</f>
        <v>Bằng nghề</v>
      </c>
      <c r="Q270" s="7" t="str">
        <f>IFERROR(__xludf.DUMMYFUNCTION("""COMPUTED_VALUE"""),"Lái máy múc")</f>
        <v>Lái máy múc</v>
      </c>
      <c r="R270" s="17">
        <f>IFERROR(__xludf.DUMMYFUNCTION("""COMPUTED_VALUE"""),45804.0)</f>
        <v>45804</v>
      </c>
      <c r="S270" s="17">
        <f>IFERROR(__xludf.DUMMYFUNCTION("""COMPUTED_VALUE"""),45835.0)</f>
        <v>45835</v>
      </c>
      <c r="T270" s="7" t="str">
        <f>IFERROR(__xludf.DUMMYFUNCTION("""COMPUTED_VALUE"""),"Chính thức")</f>
        <v>Chính thức</v>
      </c>
      <c r="U270" s="7"/>
      <c r="V270" s="7" t="str">
        <f>IFERROR(__xludf.DUMMYFUNCTION("""COMPUTED_VALUE"""),"Chính thức")</f>
        <v>Chính thức</v>
      </c>
      <c r="W270" s="7" t="str">
        <f>IFERROR(__xludf.DUMMYFUNCTION("""COMPUTED_VALUE"""),"0 năm 7 tháng")</f>
        <v>0 năm 7 tháng</v>
      </c>
      <c r="X270" s="7"/>
      <c r="Y270" s="7"/>
      <c r="Z270" s="7"/>
    </row>
    <row r="271">
      <c r="A271" s="7">
        <f>IFERROR(__xludf.DUMMYFUNCTION("""COMPUTED_VALUE"""),2.0)</f>
        <v>2</v>
      </c>
      <c r="B271" s="7" t="str">
        <f>IFERROR(__xludf.DUMMYFUNCTION("""COMPUTED_VALUE"""),"Văn phòng")</f>
        <v>Văn phòng</v>
      </c>
      <c r="C271" s="7" t="str">
        <f>IFERROR(__xludf.DUMMYFUNCTION("""COMPUTED_VALUE"""),"Dự án cát nhân tạo")</f>
        <v>Dự án cát nhân tạo</v>
      </c>
      <c r="D271" s="7" t="str">
        <f>IFERROR(__xludf.DUMMYFUNCTION("""COMPUTED_VALUE"""),"Bộ phận hành chính")</f>
        <v>Bộ phận hành chính</v>
      </c>
      <c r="E271" s="7" t="str">
        <f>IFERROR(__xludf.DUMMYFUNCTION("""COMPUTED_VALUE"""),"Giám đốc dự án Cát nhân tạo")</f>
        <v>Giám đốc dự án Cát nhân tạo</v>
      </c>
      <c r="F271" s="7" t="str">
        <f>IFERROR(__xludf.DUMMYFUNCTION("""COMPUTED_VALUE"""),"NV0771")</f>
        <v>NV0771</v>
      </c>
      <c r="G271" s="7">
        <f>IFERROR(__xludf.DUMMYFUNCTION("""COMPUTED_VALUE"""),724.0)</f>
        <v>724</v>
      </c>
      <c r="H271" s="7" t="str">
        <f>IFERROR(__xludf.DUMMYFUNCTION("""COMPUTED_VALUE"""),"Lê Khắc Bình")</f>
        <v>Lê Khắc Bình</v>
      </c>
      <c r="I271" s="7" t="str">
        <f>IFERROR(__xludf.DUMMYFUNCTION("""COMPUTED_VALUE"""),"Nam")</f>
        <v>Nam</v>
      </c>
      <c r="J271" s="17">
        <f>IFERROR(__xludf.DUMMYFUNCTION("""COMPUTED_VALUE"""),27997.0)</f>
        <v>27997</v>
      </c>
      <c r="K271" s="7" t="str">
        <f>IFERROR(__xludf.DUMMYFUNCTION("""COMPUTED_VALUE"""),"Phố 5 - Phường Quảng Phú - Tỉnh Thanh Hóa")</f>
        <v>Phố 5 - Phường Quảng Phú - Tỉnh Thanh Hóa</v>
      </c>
      <c r="L271" s="20" t="str">
        <f>IFERROR(__xludf.DUMMYFUNCTION("""COMPUTED_VALUE"""),"0978865225")</f>
        <v>0978865225</v>
      </c>
      <c r="M271" s="7" t="str">
        <f>IFERROR(__xludf.DUMMYFUNCTION("""COMPUTED_VALUE"""),"038076013311")</f>
        <v>038076013311</v>
      </c>
      <c r="N271" s="18">
        <f>IFERROR(__xludf.DUMMYFUNCTION("""COMPUTED_VALUE"""),44179.0)</f>
        <v>44179</v>
      </c>
      <c r="O271" s="7" t="str">
        <f>IFERROR(__xludf.DUMMYFUNCTION("""COMPUTED_VALUE"""),"Cục Cảnh sát QLHC về TTXH")</f>
        <v>Cục Cảnh sát QLHC về TTXH</v>
      </c>
      <c r="P271" s="7" t="str">
        <f>IFERROR(__xludf.DUMMYFUNCTION("""COMPUTED_VALUE"""),"Đại học")</f>
        <v>Đại học</v>
      </c>
      <c r="Q271" s="7" t="str">
        <f>IFERROR(__xludf.DUMMYFUNCTION("""COMPUTED_VALUE"""),"Cử nhân Kinh tế")</f>
        <v>Cử nhân Kinh tế</v>
      </c>
      <c r="R271" s="17">
        <f>IFERROR(__xludf.DUMMYFUNCTION("""COMPUTED_VALUE"""),36958.0)</f>
        <v>36958</v>
      </c>
      <c r="S271" s="19">
        <f>IFERROR(__xludf.DUMMYFUNCTION("""COMPUTED_VALUE"""),36958.0)</f>
        <v>36958</v>
      </c>
      <c r="T271" s="7" t="str">
        <f>IFERROR(__xludf.DUMMYFUNCTION("""COMPUTED_VALUE"""),"Chính thức")</f>
        <v>Chính thức</v>
      </c>
      <c r="U271" s="7"/>
      <c r="V271" s="7" t="str">
        <f>IFERROR(__xludf.DUMMYFUNCTION("""COMPUTED_VALUE"""),"Chính thức")</f>
        <v>Chính thức</v>
      </c>
      <c r="W271" s="7" t="str">
        <f>IFERROR(__xludf.DUMMYFUNCTION("""COMPUTED_VALUE"""),"24 năm 9 tháng")</f>
        <v>24 năm 9 tháng</v>
      </c>
      <c r="X271" s="7"/>
      <c r="Y271" s="7"/>
      <c r="Z271" s="7"/>
    </row>
    <row r="272">
      <c r="A272" s="7">
        <f>IFERROR(__xludf.DUMMYFUNCTION("""COMPUTED_VALUE"""),3.0)</f>
        <v>3</v>
      </c>
      <c r="B272" s="7" t="str">
        <f>IFERROR(__xludf.DUMMYFUNCTION("""COMPUTED_VALUE"""),"Văn phòng")</f>
        <v>Văn phòng</v>
      </c>
      <c r="C272" s="7" t="str">
        <f>IFERROR(__xludf.DUMMYFUNCTION("""COMPUTED_VALUE"""),"Dự án cát nhân tạo")</f>
        <v>Dự án cát nhân tạo</v>
      </c>
      <c r="D272" s="7" t="str">
        <f>IFERROR(__xludf.DUMMYFUNCTION("""COMPUTED_VALUE"""),"Bộ phận hành chính")</f>
        <v>Bộ phận hành chính</v>
      </c>
      <c r="E272" s="7" t="str">
        <f>IFERROR(__xludf.DUMMYFUNCTION("""COMPUTED_VALUE"""),"Lái xe mỏ cát")</f>
        <v>Lái xe mỏ cát</v>
      </c>
      <c r="F272" s="7" t="str">
        <f>IFERROR(__xludf.DUMMYFUNCTION("""COMPUTED_VALUE"""),"NV5723")</f>
        <v>NV5723</v>
      </c>
      <c r="G272" s="7"/>
      <c r="H272" s="7" t="str">
        <f>IFERROR(__xludf.DUMMYFUNCTION("""COMPUTED_VALUE"""),"Lê Duy Dương")</f>
        <v>Lê Duy Dương</v>
      </c>
      <c r="I272" s="7" t="str">
        <f>IFERROR(__xludf.DUMMYFUNCTION("""COMPUTED_VALUE"""),"Nam")</f>
        <v>Nam</v>
      </c>
      <c r="J272" s="17">
        <f>IFERROR(__xludf.DUMMYFUNCTION("""COMPUTED_VALUE"""),26886.0)</f>
        <v>26886</v>
      </c>
      <c r="K272" s="7" t="str">
        <f>IFERROR(__xludf.DUMMYFUNCTION("""COMPUTED_VALUE"""),"TDP Thống Nhất - phường Ngọc Sơn - Tỉnh Thanh Hóa")</f>
        <v>TDP Thống Nhất - phường Ngọc Sơn - Tỉnh Thanh Hóa</v>
      </c>
      <c r="L272" s="7" t="str">
        <f>IFERROR(__xludf.DUMMYFUNCTION("""COMPUTED_VALUE"""),"0915702148")</f>
        <v>0915702148</v>
      </c>
      <c r="M272" s="7" t="str">
        <f>IFERROR(__xludf.DUMMYFUNCTION("""COMPUTED_VALUE"""),"038073020911")</f>
        <v>038073020911</v>
      </c>
      <c r="N272" s="18">
        <f>IFERROR(__xludf.DUMMYFUNCTION("""COMPUTED_VALUE"""),44423.0)</f>
        <v>44423</v>
      </c>
      <c r="O272" s="7" t="str">
        <f>IFERROR(__xludf.DUMMYFUNCTION("""COMPUTED_VALUE"""),"Cục Cảnh sát QLHC về TTXH")</f>
        <v>Cục Cảnh sát QLHC về TTXH</v>
      </c>
      <c r="P272" s="7" t="str">
        <f>IFERROR(__xludf.DUMMYFUNCTION("""COMPUTED_VALUE"""),"Chứng chỉ nghề")</f>
        <v>Chứng chỉ nghề</v>
      </c>
      <c r="Q272" s="7" t="str">
        <f>IFERROR(__xludf.DUMMYFUNCTION("""COMPUTED_VALUE"""),"Lái xe bằng C")</f>
        <v>Lái xe bằng C</v>
      </c>
      <c r="R272" s="17">
        <f>IFERROR(__xludf.DUMMYFUNCTION("""COMPUTED_VALUE"""),45930.0)</f>
        <v>45930</v>
      </c>
      <c r="S272" s="19">
        <f>IFERROR(__xludf.DUMMYFUNCTION("""COMPUTED_VALUE"""),45960.0)</f>
        <v>45960</v>
      </c>
      <c r="T272" s="7" t="str">
        <f>IFERROR(__xludf.DUMMYFUNCTION("""COMPUTED_VALUE"""),"Thử việc")</f>
        <v>Thử việc</v>
      </c>
      <c r="U272" s="7"/>
      <c r="V272" s="7" t="str">
        <f>IFERROR(__xludf.DUMMYFUNCTION("""COMPUTED_VALUE"""),"Thử việc")</f>
        <v>Thử việc</v>
      </c>
      <c r="W272" s="7" t="str">
        <f>IFERROR(__xludf.DUMMYFUNCTION("""COMPUTED_VALUE"""),"0 năm 3 tháng")</f>
        <v>0 năm 3 tháng</v>
      </c>
      <c r="X272" s="7"/>
      <c r="Y272" s="7"/>
      <c r="Z272" s="7"/>
    </row>
    <row r="273">
      <c r="A273" s="7">
        <f>IFERROR(__xludf.DUMMYFUNCTION("""COMPUTED_VALUE"""),4.0)</f>
        <v>4</v>
      </c>
      <c r="B273" s="7" t="str">
        <f>IFERROR(__xludf.DUMMYFUNCTION("""COMPUTED_VALUE"""),"Văn phòng")</f>
        <v>Văn phòng</v>
      </c>
      <c r="C273" s="7" t="str">
        <f>IFERROR(__xludf.DUMMYFUNCTION("""COMPUTED_VALUE"""),"Dự án cát nhân tạo")</f>
        <v>Dự án cát nhân tạo</v>
      </c>
      <c r="D273" s="7" t="str">
        <f>IFERROR(__xludf.DUMMYFUNCTION("""COMPUTED_VALUE"""),"Bộ phận hành chính")</f>
        <v>Bộ phận hành chính</v>
      </c>
      <c r="E273" s="7" t="str">
        <f>IFERROR(__xludf.DUMMYFUNCTION("""COMPUTED_VALUE"""),"Lái xúc lật")</f>
        <v>Lái xúc lật</v>
      </c>
      <c r="F273" s="7" t="str">
        <f>IFERROR(__xludf.DUMMYFUNCTION("""COMPUTED_VALUE"""),"NV5749")</f>
        <v>NV5749</v>
      </c>
      <c r="G273" s="7"/>
      <c r="H273" s="7" t="str">
        <f>IFERROR(__xludf.DUMMYFUNCTION("""COMPUTED_VALUE"""),"Phan Văn Nhật")</f>
        <v>Phan Văn Nhật</v>
      </c>
      <c r="I273" s="7" t="str">
        <f>IFERROR(__xludf.DUMMYFUNCTION("""COMPUTED_VALUE"""),"Nam")</f>
        <v>Nam</v>
      </c>
      <c r="J273" s="17">
        <f>IFERROR(__xludf.DUMMYFUNCTION("""COMPUTED_VALUE"""),32613.0)</f>
        <v>32613</v>
      </c>
      <c r="K273" s="7" t="str">
        <f>IFERROR(__xludf.DUMMYFUNCTION("""COMPUTED_VALUE"""),"Thôn Liên Sơn - xã Các Sơn - Tỉnh Thanh Hóa")</f>
        <v>Thôn Liên Sơn - xã Các Sơn - Tỉnh Thanh Hóa</v>
      </c>
      <c r="L273" s="7" t="str">
        <f>IFERROR(__xludf.DUMMYFUNCTION("""COMPUTED_VALUE"""),"0986373885")</f>
        <v>0986373885</v>
      </c>
      <c r="M273" s="7" t="str">
        <f>IFERROR(__xludf.DUMMYFUNCTION("""COMPUTED_VALUE"""),"038089023640")</f>
        <v>038089023640</v>
      </c>
      <c r="N273" s="18">
        <f>IFERROR(__xludf.DUMMYFUNCTION("""COMPUTED_VALUE"""),45508.0)</f>
        <v>45508</v>
      </c>
      <c r="O273" s="7" t="str">
        <f>IFERROR(__xludf.DUMMYFUNCTION("""COMPUTED_VALUE"""),"Cục Cảnh sát QLHC về TTXH")</f>
        <v>Cục Cảnh sát QLHC về TTXH</v>
      </c>
      <c r="P273" s="7" t="str">
        <f>IFERROR(__xludf.DUMMYFUNCTION("""COMPUTED_VALUE"""),"Chứng chỉ nghề")</f>
        <v>Chứng chỉ nghề</v>
      </c>
      <c r="Q273" s="7" t="str">
        <f>IFERROR(__xludf.DUMMYFUNCTION("""COMPUTED_VALUE"""),"Vận hành máy CT ( xúc lật)")</f>
        <v>Vận hành máy CT ( xúc lật)</v>
      </c>
      <c r="R273" s="17">
        <f>IFERROR(__xludf.DUMMYFUNCTION("""COMPUTED_VALUE"""),45934.0)</f>
        <v>45934</v>
      </c>
      <c r="S273" s="19">
        <f>IFERROR(__xludf.DUMMYFUNCTION("""COMPUTED_VALUE"""),45965.0)</f>
        <v>45965</v>
      </c>
      <c r="T273" s="7" t="str">
        <f>IFERROR(__xludf.DUMMYFUNCTION("""COMPUTED_VALUE"""),"Thử việc")</f>
        <v>Thử việc</v>
      </c>
      <c r="U273" s="7"/>
      <c r="V273" s="7" t="str">
        <f>IFERROR(__xludf.DUMMYFUNCTION("""COMPUTED_VALUE"""),"Thử việc")</f>
        <v>Thử việc</v>
      </c>
      <c r="W273" s="7" t="str">
        <f>IFERROR(__xludf.DUMMYFUNCTION("""COMPUTED_VALUE"""),"0 năm 2 tháng")</f>
        <v>0 năm 2 tháng</v>
      </c>
      <c r="X273" s="7"/>
      <c r="Y273" s="7"/>
      <c r="Z273" s="7"/>
    </row>
    <row r="274">
      <c r="A274" s="7">
        <f>IFERROR(__xludf.DUMMYFUNCTION("""COMPUTED_VALUE"""),5.0)</f>
        <v>5</v>
      </c>
      <c r="B274" s="7" t="str">
        <f>IFERROR(__xludf.DUMMYFUNCTION("""COMPUTED_VALUE"""),"Văn phòng")</f>
        <v>Văn phòng</v>
      </c>
      <c r="C274" s="7" t="str">
        <f>IFERROR(__xludf.DUMMYFUNCTION("""COMPUTED_VALUE"""),"Dự án cát nhân tạo")</f>
        <v>Dự án cát nhân tạo</v>
      </c>
      <c r="D274" s="7" t="str">
        <f>IFERROR(__xludf.DUMMYFUNCTION("""COMPUTED_VALUE"""),"Bộ phận hành chính")</f>
        <v>Bộ phận hành chính</v>
      </c>
      <c r="E274" s="7" t="str">
        <f>IFERROR(__xludf.DUMMYFUNCTION("""COMPUTED_VALUE"""),"Công nhân VH mỏ cát")</f>
        <v>Công nhân VH mỏ cát</v>
      </c>
      <c r="F274" s="7" t="str">
        <f>IFERROR(__xludf.DUMMYFUNCTION("""COMPUTED_VALUE"""),"NV5738")</f>
        <v>NV5738</v>
      </c>
      <c r="G274" s="7"/>
      <c r="H274" s="7" t="str">
        <f>IFERROR(__xludf.DUMMYFUNCTION("""COMPUTED_VALUE"""),"Lê Thế Dân")</f>
        <v>Lê Thế Dân</v>
      </c>
      <c r="I274" s="7" t="str">
        <f>IFERROR(__xludf.DUMMYFUNCTION("""COMPUTED_VALUE"""),"Nam")</f>
        <v>Nam</v>
      </c>
      <c r="J274" s="17">
        <f>IFERROR(__xludf.DUMMYFUNCTION("""COMPUTED_VALUE"""),33150.0)</f>
        <v>33150</v>
      </c>
      <c r="K274" s="7" t="str">
        <f>IFERROR(__xludf.DUMMYFUNCTION("""COMPUTED_VALUE"""),"Thôn Đông - xã Các Sơn - Tỉnh Thanh Hóa")</f>
        <v>Thôn Đông - xã Các Sơn - Tỉnh Thanh Hóa</v>
      </c>
      <c r="L274" s="7" t="str">
        <f>IFERROR(__xludf.DUMMYFUNCTION("""COMPUTED_VALUE"""),"0982807127")</f>
        <v>0982807127</v>
      </c>
      <c r="M274" s="7" t="str">
        <f>IFERROR(__xludf.DUMMYFUNCTION("""COMPUTED_VALUE"""),"038090005125")</f>
        <v>038090005125</v>
      </c>
      <c r="N274" s="18">
        <f>IFERROR(__xludf.DUMMYFUNCTION("""COMPUTED_VALUE"""),44852.0)</f>
        <v>44852</v>
      </c>
      <c r="O274" s="7" t="str">
        <f>IFERROR(__xludf.DUMMYFUNCTION("""COMPUTED_VALUE"""),"Cục Cảnh sát QLHC về TTXH")</f>
        <v>Cục Cảnh sát QLHC về TTXH</v>
      </c>
      <c r="P274" s="7" t="str">
        <f>IFERROR(__xludf.DUMMYFUNCTION("""COMPUTED_VALUE"""),"Trung cấp, nghề")</f>
        <v>Trung cấp, nghề</v>
      </c>
      <c r="Q274" s="7" t="str">
        <f>IFERROR(__xludf.DUMMYFUNCTION("""COMPUTED_VALUE"""),"Trung cấp cơ khí chế tạo máy")</f>
        <v>Trung cấp cơ khí chế tạo máy</v>
      </c>
      <c r="R274" s="17">
        <f>IFERROR(__xludf.DUMMYFUNCTION("""COMPUTED_VALUE"""),45931.0)</f>
        <v>45931</v>
      </c>
      <c r="S274" s="19">
        <f>IFERROR(__xludf.DUMMYFUNCTION("""COMPUTED_VALUE"""),45962.0)</f>
        <v>45962</v>
      </c>
      <c r="T274" s="7" t="str">
        <f>IFERROR(__xludf.DUMMYFUNCTION("""COMPUTED_VALUE"""),"Thử việc")</f>
        <v>Thử việc</v>
      </c>
      <c r="U274" s="7"/>
      <c r="V274" s="7" t="str">
        <f>IFERROR(__xludf.DUMMYFUNCTION("""COMPUTED_VALUE"""),"Thử việc")</f>
        <v>Thử việc</v>
      </c>
      <c r="W274" s="7" t="str">
        <f>IFERROR(__xludf.DUMMYFUNCTION("""COMPUTED_VALUE"""),"0 năm 2 tháng")</f>
        <v>0 năm 2 tháng</v>
      </c>
      <c r="X274" s="7"/>
      <c r="Y274" s="7"/>
      <c r="Z274" s="7"/>
    </row>
    <row r="275">
      <c r="A275" s="7">
        <f>IFERROR(__xludf.DUMMYFUNCTION("""COMPUTED_VALUE"""),6.0)</f>
        <v>6</v>
      </c>
      <c r="B275" s="7" t="str">
        <f>IFERROR(__xludf.DUMMYFUNCTION("""COMPUTED_VALUE"""),"Văn phòng")</f>
        <v>Văn phòng</v>
      </c>
      <c r="C275" s="7" t="str">
        <f>IFERROR(__xludf.DUMMYFUNCTION("""COMPUTED_VALUE"""),"Dự án cát nhân tạo")</f>
        <v>Dự án cát nhân tạo</v>
      </c>
      <c r="D275" s="7" t="str">
        <f>IFERROR(__xludf.DUMMYFUNCTION("""COMPUTED_VALUE"""),"Bộ phận hành chính")</f>
        <v>Bộ phận hành chính</v>
      </c>
      <c r="E275" s="7" t="str">
        <f>IFERROR(__xludf.DUMMYFUNCTION("""COMPUTED_VALUE"""),"Công nhân VH mỏ cát")</f>
        <v>Công nhân VH mỏ cát</v>
      </c>
      <c r="F275" s="7" t="str">
        <f>IFERROR(__xludf.DUMMYFUNCTION("""COMPUTED_VALUE"""),"NV5739")</f>
        <v>NV5739</v>
      </c>
      <c r="G275" s="7"/>
      <c r="H275" s="7" t="str">
        <f>IFERROR(__xludf.DUMMYFUNCTION("""COMPUTED_VALUE"""),"Lê Bá Hanh")</f>
        <v>Lê Bá Hanh</v>
      </c>
      <c r="I275" s="7" t="str">
        <f>IFERROR(__xludf.DUMMYFUNCTION("""COMPUTED_VALUE"""),"Nam")</f>
        <v>Nam</v>
      </c>
      <c r="J275" s="17">
        <f>IFERROR(__xludf.DUMMYFUNCTION("""COMPUTED_VALUE"""),30214.0)</f>
        <v>30214</v>
      </c>
      <c r="K275" s="7" t="str">
        <f>IFERROR(__xludf.DUMMYFUNCTION("""COMPUTED_VALUE"""),"Thôn Đông - xã Các Sơn - Tỉnh Thanh Hóa")</f>
        <v>Thôn Đông - xã Các Sơn - Tỉnh Thanh Hóa</v>
      </c>
      <c r="L275" s="7" t="str">
        <f>IFERROR(__xludf.DUMMYFUNCTION("""COMPUTED_VALUE"""),"0977019078")</f>
        <v>0977019078</v>
      </c>
      <c r="M275" s="7" t="str">
        <f>IFERROR(__xludf.DUMMYFUNCTION("""COMPUTED_VALUE"""),"038082006284")</f>
        <v>038082006284</v>
      </c>
      <c r="N275" s="18">
        <f>IFERROR(__xludf.DUMMYFUNCTION("""COMPUTED_VALUE"""),44419.0)</f>
        <v>44419</v>
      </c>
      <c r="O275" s="7" t="str">
        <f>IFERROR(__xludf.DUMMYFUNCTION("""COMPUTED_VALUE"""),"Cục Cảnh sát QLHC về TTXH")</f>
        <v>Cục Cảnh sát QLHC về TTXH</v>
      </c>
      <c r="P275" s="7" t="str">
        <f>IFERROR(__xludf.DUMMYFUNCTION("""COMPUTED_VALUE"""),"Chứng chỉ nghề")</f>
        <v>Chứng chỉ nghề</v>
      </c>
      <c r="Q275" s="7" t="str">
        <f>IFERROR(__xludf.DUMMYFUNCTION("""COMPUTED_VALUE"""),"Chứng chỉ hàn")</f>
        <v>Chứng chỉ hàn</v>
      </c>
      <c r="R275" s="17">
        <f>IFERROR(__xludf.DUMMYFUNCTION("""COMPUTED_VALUE"""),45931.0)</f>
        <v>45931</v>
      </c>
      <c r="S275" s="19">
        <f>IFERROR(__xludf.DUMMYFUNCTION("""COMPUTED_VALUE"""),45962.0)</f>
        <v>45962</v>
      </c>
      <c r="T275" s="7" t="str">
        <f>IFERROR(__xludf.DUMMYFUNCTION("""COMPUTED_VALUE"""),"Thử việc")</f>
        <v>Thử việc</v>
      </c>
      <c r="U275" s="7"/>
      <c r="V275" s="7" t="str">
        <f>IFERROR(__xludf.DUMMYFUNCTION("""COMPUTED_VALUE"""),"Thử việc")</f>
        <v>Thử việc</v>
      </c>
      <c r="W275" s="7" t="str">
        <f>IFERROR(__xludf.DUMMYFUNCTION("""COMPUTED_VALUE"""),"0 năm 2 tháng")</f>
        <v>0 năm 2 tháng</v>
      </c>
      <c r="X275" s="7"/>
      <c r="Y275" s="7"/>
      <c r="Z275" s="7"/>
    </row>
    <row r="276">
      <c r="A276" s="7">
        <f>IFERROR(__xludf.DUMMYFUNCTION("""COMPUTED_VALUE"""),7.0)</f>
        <v>7</v>
      </c>
      <c r="B276" s="7" t="str">
        <f>IFERROR(__xludf.DUMMYFUNCTION("""COMPUTED_VALUE"""),"Văn phòng")</f>
        <v>Văn phòng</v>
      </c>
      <c r="C276" s="7" t="str">
        <f>IFERROR(__xludf.DUMMYFUNCTION("""COMPUTED_VALUE"""),"Dự án cát nhân tạo")</f>
        <v>Dự án cát nhân tạo</v>
      </c>
      <c r="D276" s="7" t="str">
        <f>IFERROR(__xludf.DUMMYFUNCTION("""COMPUTED_VALUE"""),"Bộ phận hành chính")</f>
        <v>Bộ phận hành chính</v>
      </c>
      <c r="E276" s="7" t="str">
        <f>IFERROR(__xludf.DUMMYFUNCTION("""COMPUTED_VALUE"""),"Máy xúc mỏ cát nhân tạo")</f>
        <v>Máy xúc mỏ cát nhân tạo</v>
      </c>
      <c r="F276" s="7" t="str">
        <f>IFERROR(__xludf.DUMMYFUNCTION("""COMPUTED_VALUE"""),"NV5740")</f>
        <v>NV5740</v>
      </c>
      <c r="G276" s="7"/>
      <c r="H276" s="7" t="str">
        <f>IFERROR(__xludf.DUMMYFUNCTION("""COMPUTED_VALUE"""),"Vũ Năng Vinh")</f>
        <v>Vũ Năng Vinh</v>
      </c>
      <c r="I276" s="7" t="str">
        <f>IFERROR(__xludf.DUMMYFUNCTION("""COMPUTED_VALUE"""),"Nam")</f>
        <v>Nam</v>
      </c>
      <c r="J276" s="17">
        <f>IFERROR(__xludf.DUMMYFUNCTION("""COMPUTED_VALUE"""),31172.0)</f>
        <v>31172</v>
      </c>
      <c r="K276" s="7" t="str">
        <f>IFERROR(__xludf.DUMMYFUNCTION("""COMPUTED_VALUE"""),"Thôn Liên Sơn - xã Các Sơn - Tỉnh Thanh Hóa")</f>
        <v>Thôn Liên Sơn - xã Các Sơn - Tỉnh Thanh Hóa</v>
      </c>
      <c r="L276" s="7" t="str">
        <f>IFERROR(__xludf.DUMMYFUNCTION("""COMPUTED_VALUE"""),"0964946220")</f>
        <v>0964946220</v>
      </c>
      <c r="M276" s="7" t="str">
        <f>IFERROR(__xludf.DUMMYFUNCTION("""COMPUTED_VALUE"""),"038085018612")</f>
        <v>038085018612</v>
      </c>
      <c r="N276" s="18">
        <f>IFERROR(__xludf.DUMMYFUNCTION("""COMPUTED_VALUE"""),45782.0)</f>
        <v>45782</v>
      </c>
      <c r="O276" s="7" t="str">
        <f>IFERROR(__xludf.DUMMYFUNCTION("""COMPUTED_VALUE"""),"Bộ Công an")</f>
        <v>Bộ Công an</v>
      </c>
      <c r="P276" s="7" t="str">
        <f>IFERROR(__xludf.DUMMYFUNCTION("""COMPUTED_VALUE"""),"Trung cấp, nghề")</f>
        <v>Trung cấp, nghề</v>
      </c>
      <c r="Q276" s="7" t="str">
        <f>IFERROR(__xludf.DUMMYFUNCTION("""COMPUTED_VALUE"""),"Trung cấp vận hành lái máy xúc")</f>
        <v>Trung cấp vận hành lái máy xúc</v>
      </c>
      <c r="R276" s="17">
        <f>IFERROR(__xludf.DUMMYFUNCTION("""COMPUTED_VALUE"""),45932.0)</f>
        <v>45932</v>
      </c>
      <c r="S276" s="19">
        <f>IFERROR(__xludf.DUMMYFUNCTION("""COMPUTED_VALUE"""),45963.0)</f>
        <v>45963</v>
      </c>
      <c r="T276" s="7" t="str">
        <f>IFERROR(__xludf.DUMMYFUNCTION("""COMPUTED_VALUE"""),"Thử việc")</f>
        <v>Thử việc</v>
      </c>
      <c r="U276" s="7"/>
      <c r="V276" s="7" t="str">
        <f>IFERROR(__xludf.DUMMYFUNCTION("""COMPUTED_VALUE"""),"Thử việc")</f>
        <v>Thử việc</v>
      </c>
      <c r="W276" s="7" t="str">
        <f>IFERROR(__xludf.DUMMYFUNCTION("""COMPUTED_VALUE"""),"0 năm 2 tháng")</f>
        <v>0 năm 2 tháng</v>
      </c>
      <c r="X276" s="7"/>
      <c r="Y276" s="7"/>
      <c r="Z276" s="7"/>
    </row>
    <row r="277">
      <c r="A277" s="7">
        <f>IFERROR(__xludf.DUMMYFUNCTION("""COMPUTED_VALUE"""),8.0)</f>
        <v>8</v>
      </c>
      <c r="B277" s="7" t="str">
        <f>IFERROR(__xludf.DUMMYFUNCTION("""COMPUTED_VALUE"""),"Văn phòng")</f>
        <v>Văn phòng</v>
      </c>
      <c r="C277" s="7" t="str">
        <f>IFERROR(__xludf.DUMMYFUNCTION("""COMPUTED_VALUE"""),"Dự án cát nhân tạo")</f>
        <v>Dự án cát nhân tạo</v>
      </c>
      <c r="D277" s="7" t="str">
        <f>IFERROR(__xludf.DUMMYFUNCTION("""COMPUTED_VALUE"""),"Bộ phận hành chính")</f>
        <v>Bộ phận hành chính</v>
      </c>
      <c r="E277" s="7" t="str">
        <f>IFERROR(__xludf.DUMMYFUNCTION("""COMPUTED_VALUE"""),"Công nhân VH mỏ cát")</f>
        <v>Công nhân VH mỏ cát</v>
      </c>
      <c r="F277" s="7" t="str">
        <f>IFERROR(__xludf.DUMMYFUNCTION("""COMPUTED_VALUE"""),"NV5725")</f>
        <v>NV5725</v>
      </c>
      <c r="G277" s="7"/>
      <c r="H277" s="7" t="str">
        <f>IFERROR(__xludf.DUMMYFUNCTION("""COMPUTED_VALUE"""),"Vũ Thanh Tùng")</f>
        <v>Vũ Thanh Tùng</v>
      </c>
      <c r="I277" s="7" t="str">
        <f>IFERROR(__xludf.DUMMYFUNCTION("""COMPUTED_VALUE"""),"Nam")</f>
        <v>Nam</v>
      </c>
      <c r="J277" s="17">
        <f>IFERROR(__xludf.DUMMYFUNCTION("""COMPUTED_VALUE"""),28126.0)</f>
        <v>28126</v>
      </c>
      <c r="K277" s="7" t="str">
        <f>IFERROR(__xludf.DUMMYFUNCTION("""COMPUTED_VALUE"""),"Thôn Liên Sơn - xã Các Sơn - Tỉnh Thanh Hóa")</f>
        <v>Thôn Liên Sơn - xã Các Sơn - Tỉnh Thanh Hóa</v>
      </c>
      <c r="L277" s="7" t="str">
        <f>IFERROR(__xludf.DUMMYFUNCTION("""COMPUTED_VALUE"""),"0974113929")</f>
        <v>0974113929</v>
      </c>
      <c r="M277" s="7" t="str">
        <f>IFERROR(__xludf.DUMMYFUNCTION("""COMPUTED_VALUE"""),"038077017032")</f>
        <v>038077017032</v>
      </c>
      <c r="N277" s="18">
        <f>IFERROR(__xludf.DUMMYFUNCTION("""COMPUTED_VALUE"""),44428.0)</f>
        <v>44428</v>
      </c>
      <c r="O277" s="7" t="str">
        <f>IFERROR(__xludf.DUMMYFUNCTION("""COMPUTED_VALUE"""),"Cục Cảnh sát QLHC về TTXH")</f>
        <v>Cục Cảnh sát QLHC về TTXH</v>
      </c>
      <c r="P277" s="7" t="str">
        <f>IFERROR(__xludf.DUMMYFUNCTION("""COMPUTED_VALUE"""),"Trung cấp")</f>
        <v>Trung cấp</v>
      </c>
      <c r="Q277" s="7" t="str">
        <f>IFERROR(__xludf.DUMMYFUNCTION("""COMPUTED_VALUE"""),"Trung cấp Xây dựng")</f>
        <v>Trung cấp Xây dựng</v>
      </c>
      <c r="R277" s="17">
        <f>IFERROR(__xludf.DUMMYFUNCTION("""COMPUTED_VALUE"""),45930.0)</f>
        <v>45930</v>
      </c>
      <c r="S277" s="19">
        <f>IFERROR(__xludf.DUMMYFUNCTION("""COMPUTED_VALUE"""),45960.0)</f>
        <v>45960</v>
      </c>
      <c r="T277" s="7" t="str">
        <f>IFERROR(__xludf.DUMMYFUNCTION("""COMPUTED_VALUE"""),"Thử việc")</f>
        <v>Thử việc</v>
      </c>
      <c r="U277" s="7"/>
      <c r="V277" s="7" t="str">
        <f>IFERROR(__xludf.DUMMYFUNCTION("""COMPUTED_VALUE"""),"Thử việc")</f>
        <v>Thử việc</v>
      </c>
      <c r="W277" s="7" t="str">
        <f>IFERROR(__xludf.DUMMYFUNCTION("""COMPUTED_VALUE"""),"0 năm 3 tháng")</f>
        <v>0 năm 3 tháng</v>
      </c>
      <c r="X277" s="7"/>
      <c r="Y277" s="7"/>
      <c r="Z277" s="7"/>
    </row>
    <row r="278">
      <c r="A278" s="7">
        <f>IFERROR(__xludf.DUMMYFUNCTION("""COMPUTED_VALUE"""),9.0)</f>
        <v>9</v>
      </c>
      <c r="B278" s="7" t="str">
        <f>IFERROR(__xludf.DUMMYFUNCTION("""COMPUTED_VALUE"""),"Văn phòng")</f>
        <v>Văn phòng</v>
      </c>
      <c r="C278" s="7" t="str">
        <f>IFERROR(__xludf.DUMMYFUNCTION("""COMPUTED_VALUE"""),"Dự án cát nhân tạo")</f>
        <v>Dự án cát nhân tạo</v>
      </c>
      <c r="D278" s="7" t="str">
        <f>IFERROR(__xludf.DUMMYFUNCTION("""COMPUTED_VALUE"""),"Bộ phận hành chính")</f>
        <v>Bộ phận hành chính</v>
      </c>
      <c r="E278" s="7" t="str">
        <f>IFERROR(__xludf.DUMMYFUNCTION("""COMPUTED_VALUE"""),"Công nhân VH mỏ cát")</f>
        <v>Công nhân VH mỏ cát</v>
      </c>
      <c r="F278" s="7" t="str">
        <f>IFERROR(__xludf.DUMMYFUNCTION("""COMPUTED_VALUE"""),"NV5726")</f>
        <v>NV5726</v>
      </c>
      <c r="G278" s="7"/>
      <c r="H278" s="7" t="str">
        <f>IFERROR(__xludf.DUMMYFUNCTION("""COMPUTED_VALUE"""),"Vũ Năng Dưỡng")</f>
        <v>Vũ Năng Dưỡng</v>
      </c>
      <c r="I278" s="7" t="str">
        <f>IFERROR(__xludf.DUMMYFUNCTION("""COMPUTED_VALUE"""),"Nam")</f>
        <v>Nam</v>
      </c>
      <c r="J278" s="17">
        <f>IFERROR(__xludf.DUMMYFUNCTION("""COMPUTED_VALUE"""),31902.0)</f>
        <v>31902</v>
      </c>
      <c r="K278" s="7" t="str">
        <f>IFERROR(__xludf.DUMMYFUNCTION("""COMPUTED_VALUE"""),"Thôn Các Sơn - xã Nghi Sơn - Tỉnh Thanh Hóa")</f>
        <v>Thôn Các Sơn - xã Nghi Sơn - Tỉnh Thanh Hóa</v>
      </c>
      <c r="L278" s="7" t="str">
        <f>IFERROR(__xludf.DUMMYFUNCTION("""COMPUTED_VALUE"""),"0377580933")</f>
        <v>0377580933</v>
      </c>
      <c r="M278" s="7" t="str">
        <f>IFERROR(__xludf.DUMMYFUNCTION("""COMPUTED_VALUE"""),"038078030958")</f>
        <v>038078030958</v>
      </c>
      <c r="N278" s="18">
        <f>IFERROR(__xludf.DUMMYFUNCTION("""COMPUTED_VALUE"""),44423.0)</f>
        <v>44423</v>
      </c>
      <c r="O278" s="7" t="str">
        <f>IFERROR(__xludf.DUMMYFUNCTION("""COMPUTED_VALUE"""),"Cục Cảnh sát QLHC về TTXH")</f>
        <v>Cục Cảnh sát QLHC về TTXH</v>
      </c>
      <c r="P278" s="7" t="str">
        <f>IFERROR(__xludf.DUMMYFUNCTION("""COMPUTED_VALUE"""),"LĐPT")</f>
        <v>LĐPT</v>
      </c>
      <c r="Q278" s="7" t="str">
        <f>IFERROR(__xludf.DUMMYFUNCTION("""COMPUTED_VALUE"""),"Lao động phổ thông")</f>
        <v>Lao động phổ thông</v>
      </c>
      <c r="R278" s="17">
        <f>IFERROR(__xludf.DUMMYFUNCTION("""COMPUTED_VALUE"""),45930.0)</f>
        <v>45930</v>
      </c>
      <c r="S278" s="19">
        <f>IFERROR(__xludf.DUMMYFUNCTION("""COMPUTED_VALUE"""),45960.0)</f>
        <v>45960</v>
      </c>
      <c r="T278" s="7" t="str">
        <f>IFERROR(__xludf.DUMMYFUNCTION("""COMPUTED_VALUE"""),"Thử việc")</f>
        <v>Thử việc</v>
      </c>
      <c r="U278" s="7"/>
      <c r="V278" s="7" t="str">
        <f>IFERROR(__xludf.DUMMYFUNCTION("""COMPUTED_VALUE"""),"Thử việc")</f>
        <v>Thử việc</v>
      </c>
      <c r="W278" s="7" t="str">
        <f>IFERROR(__xludf.DUMMYFUNCTION("""COMPUTED_VALUE"""),"0 năm 3 tháng")</f>
        <v>0 năm 3 tháng</v>
      </c>
      <c r="X278" s="7"/>
      <c r="Y278" s="7"/>
      <c r="Z278" s="7"/>
    </row>
    <row r="279">
      <c r="A279" s="7">
        <f>IFERROR(__xludf.DUMMYFUNCTION("""COMPUTED_VALUE"""),10.0)</f>
        <v>10</v>
      </c>
      <c r="B279" s="7" t="str">
        <f>IFERROR(__xludf.DUMMYFUNCTION("""COMPUTED_VALUE"""),"Văn phòng")</f>
        <v>Văn phòng</v>
      </c>
      <c r="C279" s="7" t="str">
        <f>IFERROR(__xludf.DUMMYFUNCTION("""COMPUTED_VALUE"""),"Dự án cát nhân tạo")</f>
        <v>Dự án cát nhân tạo</v>
      </c>
      <c r="D279" s="7" t="str">
        <f>IFERROR(__xludf.DUMMYFUNCTION("""COMPUTED_VALUE"""),"Bộ phận hành chính")</f>
        <v>Bộ phận hành chính</v>
      </c>
      <c r="E279" s="7" t="str">
        <f>IFERROR(__xludf.DUMMYFUNCTION("""COMPUTED_VALUE"""),"Công nhân VH mỏ cát")</f>
        <v>Công nhân VH mỏ cát</v>
      </c>
      <c r="F279" s="7" t="str">
        <f>IFERROR(__xludf.DUMMYFUNCTION("""COMPUTED_VALUE"""),"NV5727")</f>
        <v>NV5727</v>
      </c>
      <c r="G279" s="7"/>
      <c r="H279" s="7" t="str">
        <f>IFERROR(__xludf.DUMMYFUNCTION("""COMPUTED_VALUE"""),"Vũ Năng Trình")</f>
        <v>Vũ Năng Trình</v>
      </c>
      <c r="I279" s="7" t="str">
        <f>IFERROR(__xludf.DUMMYFUNCTION("""COMPUTED_VALUE"""),"Nam")</f>
        <v>Nam</v>
      </c>
      <c r="J279" s="17">
        <f>IFERROR(__xludf.DUMMYFUNCTION("""COMPUTED_VALUE"""),30507.0)</f>
        <v>30507</v>
      </c>
      <c r="K279" s="7" t="str">
        <f>IFERROR(__xludf.DUMMYFUNCTION("""COMPUTED_VALUE"""),"Thôn Liên Sơn - xã Các Sơn - Tỉnh Thanh Hóa")</f>
        <v>Thôn Liên Sơn - xã Các Sơn - Tỉnh Thanh Hóa</v>
      </c>
      <c r="L279" s="7" t="str">
        <f>IFERROR(__xludf.DUMMYFUNCTION("""COMPUTED_VALUE"""),"0987604910")</f>
        <v>0987604910</v>
      </c>
      <c r="M279" s="7" t="str">
        <f>IFERROR(__xludf.DUMMYFUNCTION("""COMPUTED_VALUE"""),"038083014109")</f>
        <v>038083014109</v>
      </c>
      <c r="N279" s="18">
        <f>IFERROR(__xludf.DUMMYFUNCTION("""COMPUTED_VALUE"""),44420.0)</f>
        <v>44420</v>
      </c>
      <c r="O279" s="7" t="str">
        <f>IFERROR(__xludf.DUMMYFUNCTION("""COMPUTED_VALUE"""),"Cục Cảnh sát QLHC về TTXH")</f>
        <v>Cục Cảnh sát QLHC về TTXH</v>
      </c>
      <c r="P279" s="7" t="str">
        <f>IFERROR(__xludf.DUMMYFUNCTION("""COMPUTED_VALUE"""),"LĐPT")</f>
        <v>LĐPT</v>
      </c>
      <c r="Q279" s="7" t="str">
        <f>IFERROR(__xludf.DUMMYFUNCTION("""COMPUTED_VALUE"""),"Lao động phổ thông")</f>
        <v>Lao động phổ thông</v>
      </c>
      <c r="R279" s="17">
        <f>IFERROR(__xludf.DUMMYFUNCTION("""COMPUTED_VALUE"""),45930.0)</f>
        <v>45930</v>
      </c>
      <c r="S279" s="19">
        <f>IFERROR(__xludf.DUMMYFUNCTION("""COMPUTED_VALUE"""),45960.0)</f>
        <v>45960</v>
      </c>
      <c r="T279" s="7" t="str">
        <f>IFERROR(__xludf.DUMMYFUNCTION("""COMPUTED_VALUE"""),"Thử việc")</f>
        <v>Thử việc</v>
      </c>
      <c r="U279" s="7"/>
      <c r="V279" s="7" t="str">
        <f>IFERROR(__xludf.DUMMYFUNCTION("""COMPUTED_VALUE"""),"Thử việc")</f>
        <v>Thử việc</v>
      </c>
      <c r="W279" s="7" t="str">
        <f>IFERROR(__xludf.DUMMYFUNCTION("""COMPUTED_VALUE"""),"0 năm 3 tháng")</f>
        <v>0 năm 3 tháng</v>
      </c>
      <c r="X279" s="7"/>
      <c r="Y279" s="7"/>
      <c r="Z279" s="7"/>
    </row>
    <row r="280">
      <c r="A280" s="7">
        <f>IFERROR(__xludf.DUMMYFUNCTION("""COMPUTED_VALUE"""),11.0)</f>
        <v>11</v>
      </c>
      <c r="B280" s="7" t="str">
        <f>IFERROR(__xludf.DUMMYFUNCTION("""COMPUTED_VALUE"""),"Văn phòng")</f>
        <v>Văn phòng</v>
      </c>
      <c r="C280" s="7" t="str">
        <f>IFERROR(__xludf.DUMMYFUNCTION("""COMPUTED_VALUE"""),"Dự án cát nhân tạo")</f>
        <v>Dự án cát nhân tạo</v>
      </c>
      <c r="D280" s="7" t="str">
        <f>IFERROR(__xludf.DUMMYFUNCTION("""COMPUTED_VALUE"""),"Bộ phận hành chính")</f>
        <v>Bộ phận hành chính</v>
      </c>
      <c r="E280" s="7" t="str">
        <f>IFERROR(__xludf.DUMMYFUNCTION("""COMPUTED_VALUE"""),"Công nhân VH mỏ cát")</f>
        <v>Công nhân VH mỏ cát</v>
      </c>
      <c r="F280" s="7" t="str">
        <f>IFERROR(__xludf.DUMMYFUNCTION("""COMPUTED_VALUE"""),"NV5728")</f>
        <v>NV5728</v>
      </c>
      <c r="G280" s="7"/>
      <c r="H280" s="7" t="str">
        <f>IFERROR(__xludf.DUMMYFUNCTION("""COMPUTED_VALUE"""),"Phan Văn Hiệp")</f>
        <v>Phan Văn Hiệp</v>
      </c>
      <c r="I280" s="7" t="str">
        <f>IFERROR(__xludf.DUMMYFUNCTION("""COMPUTED_VALUE"""),"Nam")</f>
        <v>Nam</v>
      </c>
      <c r="J280" s="17">
        <f>IFERROR(__xludf.DUMMYFUNCTION("""COMPUTED_VALUE"""),33790.0)</f>
        <v>33790</v>
      </c>
      <c r="K280" s="7" t="str">
        <f>IFERROR(__xludf.DUMMYFUNCTION("""COMPUTED_VALUE"""),"Thôn Liên Sơn - xã Các Sơn - Tỉnh Thanh Hóa")</f>
        <v>Thôn Liên Sơn - xã Các Sơn - Tỉnh Thanh Hóa</v>
      </c>
      <c r="L280" s="7" t="str">
        <f>IFERROR(__xludf.DUMMYFUNCTION("""COMPUTED_VALUE"""),"0388539269")</f>
        <v>0388539269</v>
      </c>
      <c r="M280" s="7" t="str">
        <f>IFERROR(__xludf.DUMMYFUNCTION("""COMPUTED_VALUE"""),"038092006632")</f>
        <v>038092006632</v>
      </c>
      <c r="N280" s="18">
        <f>IFERROR(__xludf.DUMMYFUNCTION("""COMPUTED_VALUE"""),44419.0)</f>
        <v>44419</v>
      </c>
      <c r="O280" s="7" t="str">
        <f>IFERROR(__xludf.DUMMYFUNCTION("""COMPUTED_VALUE"""),"Cục Cảnh sát QLHC về TTXH")</f>
        <v>Cục Cảnh sát QLHC về TTXH</v>
      </c>
      <c r="P280" s="7" t="str">
        <f>IFERROR(__xludf.DUMMYFUNCTION("""COMPUTED_VALUE"""),"LĐPT")</f>
        <v>LĐPT</v>
      </c>
      <c r="Q280" s="7" t="str">
        <f>IFERROR(__xludf.DUMMYFUNCTION("""COMPUTED_VALUE"""),"Lao động phổ thông")</f>
        <v>Lao động phổ thông</v>
      </c>
      <c r="R280" s="17">
        <f>IFERROR(__xludf.DUMMYFUNCTION("""COMPUTED_VALUE"""),45930.0)</f>
        <v>45930</v>
      </c>
      <c r="S280" s="19">
        <f>IFERROR(__xludf.DUMMYFUNCTION("""COMPUTED_VALUE"""),45960.0)</f>
        <v>45960</v>
      </c>
      <c r="T280" s="7" t="str">
        <f>IFERROR(__xludf.DUMMYFUNCTION("""COMPUTED_VALUE"""),"Thử việc")</f>
        <v>Thử việc</v>
      </c>
      <c r="U280" s="7"/>
      <c r="V280" s="7" t="str">
        <f>IFERROR(__xludf.DUMMYFUNCTION("""COMPUTED_VALUE"""),"Thử việc")</f>
        <v>Thử việc</v>
      </c>
      <c r="W280" s="7" t="str">
        <f>IFERROR(__xludf.DUMMYFUNCTION("""COMPUTED_VALUE"""),"0 năm 3 tháng")</f>
        <v>0 năm 3 tháng</v>
      </c>
      <c r="X280" s="7"/>
      <c r="Y280" s="7"/>
      <c r="Z280" s="7"/>
    </row>
    <row r="281">
      <c r="A281" s="7">
        <f>IFERROR(__xludf.DUMMYFUNCTION("""COMPUTED_VALUE"""),12.0)</f>
        <v>12</v>
      </c>
      <c r="B281" s="7" t="str">
        <f>IFERROR(__xludf.DUMMYFUNCTION("""COMPUTED_VALUE"""),"Văn phòng")</f>
        <v>Văn phòng</v>
      </c>
      <c r="C281" s="7" t="str">
        <f>IFERROR(__xludf.DUMMYFUNCTION("""COMPUTED_VALUE"""),"Dự án cát nhân tạo")</f>
        <v>Dự án cát nhân tạo</v>
      </c>
      <c r="D281" s="7" t="str">
        <f>IFERROR(__xludf.DUMMYFUNCTION("""COMPUTED_VALUE"""),"Bộ phận hành chính")</f>
        <v>Bộ phận hành chính</v>
      </c>
      <c r="E281" s="7" t="str">
        <f>IFERROR(__xludf.DUMMYFUNCTION("""COMPUTED_VALUE"""),"Lái xúc lật")</f>
        <v>Lái xúc lật</v>
      </c>
      <c r="F281" s="7" t="str">
        <f>IFERROR(__xludf.DUMMYFUNCTION("""COMPUTED_VALUE"""),"NV5730")</f>
        <v>NV5730</v>
      </c>
      <c r="G281" s="7"/>
      <c r="H281" s="7" t="str">
        <f>IFERROR(__xludf.DUMMYFUNCTION("""COMPUTED_VALUE"""),"Vũ Năng Long")</f>
        <v>Vũ Năng Long</v>
      </c>
      <c r="I281" s="7" t="str">
        <f>IFERROR(__xludf.DUMMYFUNCTION("""COMPUTED_VALUE"""),"Nam")</f>
        <v>Nam</v>
      </c>
      <c r="J281" s="17">
        <f>IFERROR(__xludf.DUMMYFUNCTION("""COMPUTED_VALUE"""),33459.0)</f>
        <v>33459</v>
      </c>
      <c r="K281" s="7" t="str">
        <f>IFERROR(__xludf.DUMMYFUNCTION("""COMPUTED_VALUE"""),"Thôn Liên Sơn - xã Các Sơn - Tỉnh Thanh Hóa")</f>
        <v>Thôn Liên Sơn - xã Các Sơn - Tỉnh Thanh Hóa</v>
      </c>
      <c r="L281" s="7" t="str">
        <f>IFERROR(__xludf.DUMMYFUNCTION("""COMPUTED_VALUE"""),"0978020511")</f>
        <v>0978020511</v>
      </c>
      <c r="M281" s="7" t="str">
        <f>IFERROR(__xludf.DUMMYFUNCTION("""COMPUTED_VALUE"""),"038091039529")</f>
        <v>038091039529</v>
      </c>
      <c r="N281" s="18">
        <f>IFERROR(__xludf.DUMMYFUNCTION("""COMPUTED_VALUE"""),44423.0)</f>
        <v>44423</v>
      </c>
      <c r="O281" s="7" t="str">
        <f>IFERROR(__xludf.DUMMYFUNCTION("""COMPUTED_VALUE"""),"Cục Cảnh sát QLHC về TTXH")</f>
        <v>Cục Cảnh sát QLHC về TTXH</v>
      </c>
      <c r="P281" s="7" t="str">
        <f>IFERROR(__xludf.DUMMYFUNCTION("""COMPUTED_VALUE"""),"Trung cấp, nghề")</f>
        <v>Trung cấp, nghề</v>
      </c>
      <c r="Q281" s="7" t="str">
        <f>IFERROR(__xludf.DUMMYFUNCTION("""COMPUTED_VALUE"""),"Trung cấp VH máy xúc")</f>
        <v>Trung cấp VH máy xúc</v>
      </c>
      <c r="R281" s="17">
        <f>IFERROR(__xludf.DUMMYFUNCTION("""COMPUTED_VALUE"""),45930.0)</f>
        <v>45930</v>
      </c>
      <c r="S281" s="19">
        <f>IFERROR(__xludf.DUMMYFUNCTION("""COMPUTED_VALUE"""),45960.0)</f>
        <v>45960</v>
      </c>
      <c r="T281" s="7" t="str">
        <f>IFERROR(__xludf.DUMMYFUNCTION("""COMPUTED_VALUE"""),"Thử việc")</f>
        <v>Thử việc</v>
      </c>
      <c r="U281" s="7"/>
      <c r="V281" s="7" t="str">
        <f>IFERROR(__xludf.DUMMYFUNCTION("""COMPUTED_VALUE"""),"Thử việc")</f>
        <v>Thử việc</v>
      </c>
      <c r="W281" s="7" t="str">
        <f>IFERROR(__xludf.DUMMYFUNCTION("""COMPUTED_VALUE"""),"0 năm 3 tháng")</f>
        <v>0 năm 3 tháng</v>
      </c>
      <c r="X281" s="7"/>
      <c r="Y281" s="7"/>
      <c r="Z281" s="7"/>
    </row>
    <row r="282">
      <c r="A282" s="7">
        <f>IFERROR(__xludf.DUMMYFUNCTION("""COMPUTED_VALUE"""),13.0)</f>
        <v>13</v>
      </c>
      <c r="B282" s="7" t="str">
        <f>IFERROR(__xludf.DUMMYFUNCTION("""COMPUTED_VALUE"""),"Văn phòng")</f>
        <v>Văn phòng</v>
      </c>
      <c r="C282" s="7" t="str">
        <f>IFERROR(__xludf.DUMMYFUNCTION("""COMPUTED_VALUE"""),"Dự án cát nhân tạo")</f>
        <v>Dự án cát nhân tạo</v>
      </c>
      <c r="D282" s="7" t="str">
        <f>IFERROR(__xludf.DUMMYFUNCTION("""COMPUTED_VALUE"""),"Bộ phận hành chính")</f>
        <v>Bộ phận hành chính</v>
      </c>
      <c r="E282" s="7" t="str">
        <f>IFERROR(__xludf.DUMMYFUNCTION("""COMPUTED_VALUE"""),"Công nhân VH mỏ cát")</f>
        <v>Công nhân VH mỏ cát</v>
      </c>
      <c r="F282" s="7" t="str">
        <f>IFERROR(__xludf.DUMMYFUNCTION("""COMPUTED_VALUE"""),"NV5731")</f>
        <v>NV5731</v>
      </c>
      <c r="G282" s="7"/>
      <c r="H282" s="7" t="str">
        <f>IFERROR(__xludf.DUMMYFUNCTION("""COMPUTED_VALUE"""),"Phan Văn Linh")</f>
        <v>Phan Văn Linh</v>
      </c>
      <c r="I282" s="7" t="str">
        <f>IFERROR(__xludf.DUMMYFUNCTION("""COMPUTED_VALUE"""),"Nam")</f>
        <v>Nam</v>
      </c>
      <c r="J282" s="17">
        <f>IFERROR(__xludf.DUMMYFUNCTION("""COMPUTED_VALUE"""),31243.0)</f>
        <v>31243</v>
      </c>
      <c r="K282" s="7" t="str">
        <f>IFERROR(__xludf.DUMMYFUNCTION("""COMPUTED_VALUE"""),"Thôn Liên Sơn - xã Các Sơn - Tỉnh Thanh Hóa")</f>
        <v>Thôn Liên Sơn - xã Các Sơn - Tỉnh Thanh Hóa</v>
      </c>
      <c r="L282" s="7" t="str">
        <f>IFERROR(__xludf.DUMMYFUNCTION("""COMPUTED_VALUE"""),"0978364282")</f>
        <v>0978364282</v>
      </c>
      <c r="M282" s="7" t="str">
        <f>IFERROR(__xludf.DUMMYFUNCTION("""COMPUTED_VALUE"""),"038085027586")</f>
        <v>038085027586</v>
      </c>
      <c r="N282" s="18">
        <f>IFERROR(__xludf.DUMMYFUNCTION("""COMPUTED_VALUE"""),45863.0)</f>
        <v>45863</v>
      </c>
      <c r="O282" s="7" t="str">
        <f>IFERROR(__xludf.DUMMYFUNCTION("""COMPUTED_VALUE"""),"Bộ Công an")</f>
        <v>Bộ Công an</v>
      </c>
      <c r="P282" s="7" t="str">
        <f>IFERROR(__xludf.DUMMYFUNCTION("""COMPUTED_VALUE"""),"LĐPT")</f>
        <v>LĐPT</v>
      </c>
      <c r="Q282" s="7" t="str">
        <f>IFERROR(__xludf.DUMMYFUNCTION("""COMPUTED_VALUE"""),"Lao động phổ thông")</f>
        <v>Lao động phổ thông</v>
      </c>
      <c r="R282" s="17">
        <f>IFERROR(__xludf.DUMMYFUNCTION("""COMPUTED_VALUE"""),45930.0)</f>
        <v>45930</v>
      </c>
      <c r="S282" s="19">
        <f>IFERROR(__xludf.DUMMYFUNCTION("""COMPUTED_VALUE"""),45960.0)</f>
        <v>45960</v>
      </c>
      <c r="T282" s="7" t="str">
        <f>IFERROR(__xludf.DUMMYFUNCTION("""COMPUTED_VALUE"""),"Thử việc")</f>
        <v>Thử việc</v>
      </c>
      <c r="U282" s="7"/>
      <c r="V282" s="7" t="str">
        <f>IFERROR(__xludf.DUMMYFUNCTION("""COMPUTED_VALUE"""),"Thử việc")</f>
        <v>Thử việc</v>
      </c>
      <c r="W282" s="7" t="str">
        <f>IFERROR(__xludf.DUMMYFUNCTION("""COMPUTED_VALUE"""),"0 năm 3 tháng")</f>
        <v>0 năm 3 tháng</v>
      </c>
      <c r="X282" s="7"/>
      <c r="Y282" s="7"/>
      <c r="Z282" s="7"/>
    </row>
    <row r="283">
      <c r="A283" s="7">
        <f>IFERROR(__xludf.DUMMYFUNCTION("""COMPUTED_VALUE"""),14.0)</f>
        <v>14</v>
      </c>
      <c r="B283" s="7" t="str">
        <f>IFERROR(__xludf.DUMMYFUNCTION("""COMPUTED_VALUE"""),"Văn phòng")</f>
        <v>Văn phòng</v>
      </c>
      <c r="C283" s="7" t="str">
        <f>IFERROR(__xludf.DUMMYFUNCTION("""COMPUTED_VALUE"""),"Dự án cát nhân tạo")</f>
        <v>Dự án cát nhân tạo</v>
      </c>
      <c r="D283" s="7" t="str">
        <f>IFERROR(__xludf.DUMMYFUNCTION("""COMPUTED_VALUE"""),"Bộ phận hành chính")</f>
        <v>Bộ phận hành chính</v>
      </c>
      <c r="E283" s="7" t="str">
        <f>IFERROR(__xludf.DUMMYFUNCTION("""COMPUTED_VALUE"""),"Nhân viên kỹ thuật")</f>
        <v>Nhân viên kỹ thuật</v>
      </c>
      <c r="F283" s="7" t="str">
        <f>IFERROR(__xludf.DUMMYFUNCTION("""COMPUTED_VALUE"""),"NV5175")</f>
        <v>NV5175</v>
      </c>
      <c r="G283" s="7">
        <f>IFERROR(__xludf.DUMMYFUNCTION("""COMPUTED_VALUE"""),207.0)</f>
        <v>207</v>
      </c>
      <c r="H283" s="7" t="str">
        <f>IFERROR(__xludf.DUMMYFUNCTION("""COMPUTED_VALUE"""),"Phùng Duy Tuấn")</f>
        <v>Phùng Duy Tuấn</v>
      </c>
      <c r="I283" s="7" t="str">
        <f>IFERROR(__xludf.DUMMYFUNCTION("""COMPUTED_VALUE"""),"Nam")</f>
        <v>Nam</v>
      </c>
      <c r="J283" s="17">
        <f>IFERROR(__xludf.DUMMYFUNCTION("""COMPUTED_VALUE"""),35468.0)</f>
        <v>35468</v>
      </c>
      <c r="K283" s="7" t="str">
        <f>IFERROR(__xludf.DUMMYFUNCTION("""COMPUTED_VALUE"""),"Xã Xuân Lập - Tỉnh Thanh Hóa")</f>
        <v>Xã Xuân Lập - Tỉnh Thanh Hóa</v>
      </c>
      <c r="L283" s="7" t="str">
        <f>IFERROR(__xludf.DUMMYFUNCTION("""COMPUTED_VALUE"""),"0843145286")</f>
        <v>0843145286</v>
      </c>
      <c r="M283" s="7" t="str">
        <f>IFERROR(__xludf.DUMMYFUNCTION("""COMPUTED_VALUE"""),"038097008858")</f>
        <v>038097008858</v>
      </c>
      <c r="N283" s="18">
        <f>IFERROR(__xludf.DUMMYFUNCTION("""COMPUTED_VALUE"""),44987.0)</f>
        <v>44987</v>
      </c>
      <c r="O283" s="7" t="str">
        <f>IFERROR(__xludf.DUMMYFUNCTION("""COMPUTED_VALUE"""),"Cục Cảnh sát QLHC về TTXH")</f>
        <v>Cục Cảnh sát QLHC về TTXH</v>
      </c>
      <c r="P283" s="7" t="str">
        <f>IFERROR(__xludf.DUMMYFUNCTION("""COMPUTED_VALUE"""),"Kỹ sư")</f>
        <v>Kỹ sư</v>
      </c>
      <c r="Q283" s="7" t="str">
        <f>IFERROR(__xludf.DUMMYFUNCTION("""COMPUTED_VALUE"""),"Công nghệ kỹ thuật cơ khí")</f>
        <v>Công nghệ kỹ thuật cơ khí</v>
      </c>
      <c r="R283" s="17">
        <f>IFERROR(__xludf.DUMMYFUNCTION("""COMPUTED_VALUE"""),45418.0)</f>
        <v>45418</v>
      </c>
      <c r="S283" s="19">
        <f>IFERROR(__xludf.DUMMYFUNCTION("""COMPUTED_VALUE"""),45505.0)</f>
        <v>45505</v>
      </c>
      <c r="T283" s="7" t="str">
        <f>IFERROR(__xludf.DUMMYFUNCTION("""COMPUTED_VALUE"""),"Chính thức")</f>
        <v>Chính thức</v>
      </c>
      <c r="U283" s="7"/>
      <c r="V283" s="7" t="str">
        <f>IFERROR(__xludf.DUMMYFUNCTION("""COMPUTED_VALUE"""),"Chính thức")</f>
        <v>Chính thức</v>
      </c>
      <c r="W283" s="7" t="str">
        <f>IFERROR(__xludf.DUMMYFUNCTION("""COMPUTED_VALUE"""),"1 năm 7 tháng")</f>
        <v>1 năm 7 tháng</v>
      </c>
      <c r="X283" s="7"/>
      <c r="Y283" s="7"/>
      <c r="Z283" s="7"/>
    </row>
    <row r="284">
      <c r="A284" s="7">
        <f>IFERROR(__xludf.DUMMYFUNCTION("""COMPUTED_VALUE"""),15.0)</f>
        <v>15</v>
      </c>
      <c r="B284" s="7" t="str">
        <f>IFERROR(__xludf.DUMMYFUNCTION("""COMPUTED_VALUE"""),"Văn phòng")</f>
        <v>Văn phòng</v>
      </c>
      <c r="C284" s="7" t="str">
        <f>IFERROR(__xludf.DUMMYFUNCTION("""COMPUTED_VALUE"""),"Dự án cát nhân tạo")</f>
        <v>Dự án cát nhân tạo</v>
      </c>
      <c r="D284" s="7" t="str">
        <f>IFERROR(__xludf.DUMMYFUNCTION("""COMPUTED_VALUE"""),"Bộ phận hành chính")</f>
        <v>Bộ phận hành chính</v>
      </c>
      <c r="E284" s="7" t="str">
        <f>IFERROR(__xludf.DUMMYFUNCTION("""COMPUTED_VALUE"""),"Công nhân VH mỏ cát")</f>
        <v>Công nhân VH mỏ cát</v>
      </c>
      <c r="F284" s="7" t="str">
        <f>IFERROR(__xludf.DUMMYFUNCTION("""COMPUTED_VALUE"""),"NV5791")</f>
        <v>NV5791</v>
      </c>
      <c r="G284" s="7"/>
      <c r="H284" s="7" t="str">
        <f>IFERROR(__xludf.DUMMYFUNCTION("""COMPUTED_VALUE"""),"Lê Ngọc Cường")</f>
        <v>Lê Ngọc Cường</v>
      </c>
      <c r="I284" s="7" t="str">
        <f>IFERROR(__xludf.DUMMYFUNCTION("""COMPUTED_VALUE"""),"Nam")</f>
        <v>Nam</v>
      </c>
      <c r="J284" s="17">
        <f>IFERROR(__xludf.DUMMYFUNCTION("""COMPUTED_VALUE"""),32192.0)</f>
        <v>32192</v>
      </c>
      <c r="K284" s="7" t="str">
        <f>IFERROR(__xludf.DUMMYFUNCTION("""COMPUTED_VALUE"""),"Thôn Liên Sơn - xã Các Sơn - Tỉnh Thanh Hóa")</f>
        <v>Thôn Liên Sơn - xã Các Sơn - Tỉnh Thanh Hóa</v>
      </c>
      <c r="L284" s="7" t="str">
        <f>IFERROR(__xludf.DUMMYFUNCTION("""COMPUTED_VALUE"""),"0363434866")</f>
        <v>0363434866</v>
      </c>
      <c r="M284" s="7" t="str">
        <f>IFERROR(__xludf.DUMMYFUNCTION("""COMPUTED_VALUE"""),"038088014531")</f>
        <v>038088014531</v>
      </c>
      <c r="N284" s="18">
        <f>IFERROR(__xludf.DUMMYFUNCTION("""COMPUTED_VALUE"""),44420.0)</f>
        <v>44420</v>
      </c>
      <c r="O284" s="7" t="str">
        <f>IFERROR(__xludf.DUMMYFUNCTION("""COMPUTED_VALUE"""),"Cục Cảnh sát QLHC về TTXH")</f>
        <v>Cục Cảnh sát QLHC về TTXH</v>
      </c>
      <c r="P284" s="7" t="str">
        <f>IFERROR(__xludf.DUMMYFUNCTION("""COMPUTED_VALUE"""),"LĐPT")</f>
        <v>LĐPT</v>
      </c>
      <c r="Q284" s="7" t="str">
        <f>IFERROR(__xludf.DUMMYFUNCTION("""COMPUTED_VALUE"""),"Lao động phổ thông")</f>
        <v>Lao động phổ thông</v>
      </c>
      <c r="R284" s="17">
        <f>IFERROR(__xludf.DUMMYFUNCTION("""COMPUTED_VALUE"""),45966.0)</f>
        <v>45966</v>
      </c>
      <c r="S284" s="19">
        <f>IFERROR(__xludf.DUMMYFUNCTION("""COMPUTED_VALUE"""),45996.0)</f>
        <v>45996</v>
      </c>
      <c r="T284" s="7" t="str">
        <f>IFERROR(__xludf.DUMMYFUNCTION("""COMPUTED_VALUE"""),"Thử việc")</f>
        <v>Thử việc</v>
      </c>
      <c r="U284" s="7"/>
      <c r="V284" s="7" t="str">
        <f>IFERROR(__xludf.DUMMYFUNCTION("""COMPUTED_VALUE"""),"Thử việc")</f>
        <v>Thử việc</v>
      </c>
      <c r="W284" s="7" t="str">
        <f>IFERROR(__xludf.DUMMYFUNCTION("""COMPUTED_VALUE"""),"0 năm 1 tháng")</f>
        <v>0 năm 1 tháng</v>
      </c>
      <c r="X284" s="7"/>
      <c r="Y284" s="7"/>
      <c r="Z284" s="7"/>
    </row>
    <row r="285">
      <c r="A285" s="7">
        <f>IFERROR(__xludf.DUMMYFUNCTION("""COMPUTED_VALUE"""),1.0)</f>
        <v>1</v>
      </c>
      <c r="B285" s="7" t="str">
        <f>IFERROR(__xludf.DUMMYFUNCTION("""COMPUTED_VALUE"""),"Văn phòng")</f>
        <v>Văn phòng</v>
      </c>
      <c r="C285" s="7" t="str">
        <f>IFERROR(__xludf.DUMMYFUNCTION("""COMPUTED_VALUE"""),"Văn phòng Chủ tịch")</f>
        <v>Văn phòng Chủ tịch</v>
      </c>
      <c r="D285" s="7" t="str">
        <f>IFERROR(__xludf.DUMMYFUNCTION("""COMPUTED_VALUE"""),"Bộ phận hành chính")</f>
        <v>Bộ phận hành chính</v>
      </c>
      <c r="E285" s="7" t="str">
        <f>IFERROR(__xludf.DUMMYFUNCTION("""COMPUTED_VALUE"""),"Nhân viên")</f>
        <v>Nhân viên</v>
      </c>
      <c r="F285" s="7" t="str">
        <f>IFERROR(__xludf.DUMMYFUNCTION("""COMPUTED_VALUE"""),"NV5550")</f>
        <v>NV5550</v>
      </c>
      <c r="G285" s="7">
        <f>IFERROR(__xludf.DUMMYFUNCTION("""COMPUTED_VALUE"""),1033.0)</f>
        <v>1033</v>
      </c>
      <c r="H285" s="7" t="str">
        <f>IFERROR(__xludf.DUMMYFUNCTION("""COMPUTED_VALUE"""),"Nguyễn Quang Hưng")</f>
        <v>Nguyễn Quang Hưng</v>
      </c>
      <c r="I285" s="7" t="str">
        <f>IFERROR(__xludf.DUMMYFUNCTION("""COMPUTED_VALUE"""),"Nam")</f>
        <v>Nam</v>
      </c>
      <c r="J285" s="17">
        <f>IFERROR(__xludf.DUMMYFUNCTION("""COMPUTED_VALUE"""),37510.0)</f>
        <v>37510</v>
      </c>
      <c r="K285" s="7" t="str">
        <f>IFERROR(__xludf.DUMMYFUNCTION("""COMPUTED_VALUE"""),"Số nhà 02 - đường Ngô Sỹ Liên - khu phố 14 - phường Quang Trung - tỉnh Thanh Hoá")</f>
        <v>Số nhà 02 - đường Ngô Sỹ Liên - khu phố 14 - phường Quang Trung - tỉnh Thanh Hoá</v>
      </c>
      <c r="L285" s="7" t="str">
        <f>IFERROR(__xludf.DUMMYFUNCTION("""COMPUTED_VALUE"""),"0836124368")</f>
        <v>0836124368</v>
      </c>
      <c r="M285" s="7" t="str">
        <f>IFERROR(__xludf.DUMMYFUNCTION("""COMPUTED_VALUE"""),"038202004191")</f>
        <v>038202004191</v>
      </c>
      <c r="N285" s="18">
        <f>IFERROR(__xludf.DUMMYFUNCTION("""COMPUTED_VALUE"""),44954.0)</f>
        <v>44954</v>
      </c>
      <c r="O285" s="7" t="str">
        <f>IFERROR(__xludf.DUMMYFUNCTION("""COMPUTED_VALUE"""),"Cục Cảnh sát QLHC về TTXH")</f>
        <v>Cục Cảnh sát QLHC về TTXH</v>
      </c>
      <c r="P285" s="7" t="str">
        <f>IFERROR(__xludf.DUMMYFUNCTION("""COMPUTED_VALUE"""),"Kỹ sư")</f>
        <v>Kỹ sư</v>
      </c>
      <c r="Q285" s="7" t="str">
        <f>IFERROR(__xludf.DUMMYFUNCTION("""COMPUTED_VALUE"""),"Kỹ sư công nghệ điện - điện tử")</f>
        <v>Kỹ sư công nghệ điện - điện tử</v>
      </c>
      <c r="R285" s="17">
        <f>IFERROR(__xludf.DUMMYFUNCTION("""COMPUTED_VALUE"""),45826.0)</f>
        <v>45826</v>
      </c>
      <c r="S285" s="17">
        <f>IFERROR(__xludf.DUMMYFUNCTION("""COMPUTED_VALUE"""),45918.0)</f>
        <v>45918</v>
      </c>
      <c r="T285" s="7" t="str">
        <f>IFERROR(__xludf.DUMMYFUNCTION("""COMPUTED_VALUE"""),"Chính thức")</f>
        <v>Chính thức</v>
      </c>
      <c r="U285" s="7"/>
      <c r="V285" s="7" t="str">
        <f>IFERROR(__xludf.DUMMYFUNCTION("""COMPUTED_VALUE"""),"Chính thức")</f>
        <v>Chính thức</v>
      </c>
      <c r="W285" s="7" t="str">
        <f>IFERROR(__xludf.DUMMYFUNCTION("""COMPUTED_VALUE"""),"0 năm 6 tháng")</f>
        <v>0 năm 6 tháng</v>
      </c>
      <c r="X285" s="7"/>
      <c r="Y285" s="7"/>
      <c r="Z285" s="7"/>
    </row>
    <row r="286">
      <c r="A286" s="7">
        <f>IFERROR(__xludf.DUMMYFUNCTION("""COMPUTED_VALUE"""),2.0)</f>
        <v>2</v>
      </c>
      <c r="B286" s="7" t="str">
        <f>IFERROR(__xludf.DUMMYFUNCTION("""COMPUTED_VALUE"""),"Văn phòng")</f>
        <v>Văn phòng</v>
      </c>
      <c r="C286" s="7" t="str">
        <f>IFERROR(__xludf.DUMMYFUNCTION("""COMPUTED_VALUE"""),"Văn phòng Chủ tịch")</f>
        <v>Văn phòng Chủ tịch</v>
      </c>
      <c r="D286" s="7" t="str">
        <f>IFERROR(__xludf.DUMMYFUNCTION("""COMPUTED_VALUE"""),"Bộ phận hành chính")</f>
        <v>Bộ phận hành chính</v>
      </c>
      <c r="E286" s="7" t="str">
        <f>IFERROR(__xludf.DUMMYFUNCTION("""COMPUTED_VALUE"""),"Nhân viên")</f>
        <v>Nhân viên</v>
      </c>
      <c r="F286" s="7" t="str">
        <f>IFERROR(__xludf.DUMMYFUNCTION("""COMPUTED_VALUE"""),"NV5645")</f>
        <v>NV5645</v>
      </c>
      <c r="G286" s="7">
        <f>IFERROR(__xludf.DUMMYFUNCTION("""COMPUTED_VALUE"""),1138.0)</f>
        <v>1138</v>
      </c>
      <c r="H286" s="7" t="str">
        <f>IFERROR(__xludf.DUMMYFUNCTION("""COMPUTED_VALUE"""),"Nguyễn Minh Nghĩa ")</f>
        <v>Nguyễn Minh Nghĩa </v>
      </c>
      <c r="I286" s="7" t="str">
        <f>IFERROR(__xludf.DUMMYFUNCTION("""COMPUTED_VALUE"""),"Nam")</f>
        <v>Nam</v>
      </c>
      <c r="J286" s="17">
        <f>IFERROR(__xludf.DUMMYFUNCTION("""COMPUTED_VALUE"""),37559.0)</f>
        <v>37559</v>
      </c>
      <c r="K286" s="7" t="str">
        <f>IFERROR(__xludf.DUMMYFUNCTION("""COMPUTED_VALUE"""),"Thôn Trà Đông - Xã Kiến Xương - Tỉnh Hưng Yên")</f>
        <v>Thôn Trà Đông - Xã Kiến Xương - Tỉnh Hưng Yên</v>
      </c>
      <c r="L286" s="7" t="str">
        <f>IFERROR(__xludf.DUMMYFUNCTION("""COMPUTED_VALUE"""),"0398533815")</f>
        <v>0398533815</v>
      </c>
      <c r="M286" s="7" t="str">
        <f>IFERROR(__xludf.DUMMYFUNCTION("""COMPUTED_VALUE"""),"034202003339")</f>
        <v>034202003339</v>
      </c>
      <c r="N286" s="18">
        <f>IFERROR(__xludf.DUMMYFUNCTION("""COMPUTED_VALUE"""),44549.0)</f>
        <v>44549</v>
      </c>
      <c r="O286" s="7" t="str">
        <f>IFERROR(__xludf.DUMMYFUNCTION("""COMPUTED_VALUE"""),"Cục Cảnh sát QLHC về TTXH")</f>
        <v>Cục Cảnh sát QLHC về TTXH</v>
      </c>
      <c r="P286" s="7" t="str">
        <f>IFERROR(__xludf.DUMMYFUNCTION("""COMPUTED_VALUE"""),"Đại học")</f>
        <v>Đại học</v>
      </c>
      <c r="Q286" s="7" t="str">
        <f>IFERROR(__xludf.DUMMYFUNCTION("""COMPUTED_VALUE"""),"Kỹ sư công nghệ điện - điện tử")</f>
        <v>Kỹ sư công nghệ điện - điện tử</v>
      </c>
      <c r="R286" s="17">
        <f>IFERROR(__xludf.DUMMYFUNCTION("""COMPUTED_VALUE"""),45874.0)</f>
        <v>45874</v>
      </c>
      <c r="S286" s="17">
        <f>IFERROR(__xludf.DUMMYFUNCTION("""COMPUTED_VALUE"""),45966.0)</f>
        <v>45966</v>
      </c>
      <c r="T286" s="7" t="str">
        <f>IFERROR(__xludf.DUMMYFUNCTION("""COMPUTED_VALUE"""),"Chính thức")</f>
        <v>Chính thức</v>
      </c>
      <c r="U286" s="7"/>
      <c r="V286" s="7" t="str">
        <f>IFERROR(__xludf.DUMMYFUNCTION("""COMPUTED_VALUE"""),"Chính thức")</f>
        <v>Chính thức</v>
      </c>
      <c r="W286" s="7" t="str">
        <f>IFERROR(__xludf.DUMMYFUNCTION("""COMPUTED_VALUE"""),"0 năm 4 tháng")</f>
        <v>0 năm 4 tháng</v>
      </c>
      <c r="X286" s="7"/>
      <c r="Y286" s="7"/>
      <c r="Z286" s="7"/>
    </row>
    <row r="287">
      <c r="A287" s="7">
        <f>IFERROR(__xludf.DUMMYFUNCTION("""COMPUTED_VALUE"""),3.0)</f>
        <v>3</v>
      </c>
      <c r="B287" s="7" t="str">
        <f>IFERROR(__xludf.DUMMYFUNCTION("""COMPUTED_VALUE"""),"Văn phòng")</f>
        <v>Văn phòng</v>
      </c>
      <c r="C287" s="7" t="str">
        <f>IFERROR(__xludf.DUMMYFUNCTION("""COMPUTED_VALUE"""),"Văn phòng Chủ tịch")</f>
        <v>Văn phòng Chủ tịch</v>
      </c>
      <c r="D287" s="7" t="str">
        <f>IFERROR(__xludf.DUMMYFUNCTION("""COMPUTED_VALUE"""),"Bộ phận hành chính")</f>
        <v>Bộ phận hành chính</v>
      </c>
      <c r="E287" s="7" t="str">
        <f>IFERROR(__xludf.DUMMYFUNCTION("""COMPUTED_VALUE"""),"Nhân viên")</f>
        <v>Nhân viên</v>
      </c>
      <c r="F287" s="7" t="str">
        <f>IFERROR(__xludf.DUMMYFUNCTION("""COMPUTED_VALUE"""),"NV5718")</f>
        <v>NV5718</v>
      </c>
      <c r="G287" s="7">
        <f>IFERROR(__xludf.DUMMYFUNCTION("""COMPUTED_VALUE"""),1210.0)</f>
        <v>1210</v>
      </c>
      <c r="H287" s="7" t="str">
        <f>IFERROR(__xludf.DUMMYFUNCTION("""COMPUTED_VALUE"""),"Đinh Quang Trung")</f>
        <v>Đinh Quang Trung</v>
      </c>
      <c r="I287" s="7" t="str">
        <f>IFERROR(__xludf.DUMMYFUNCTION("""COMPUTED_VALUE"""),"Nam")</f>
        <v>Nam</v>
      </c>
      <c r="J287" s="17">
        <f>IFERROR(__xludf.DUMMYFUNCTION("""COMPUTED_VALUE"""),31279.0)</f>
        <v>31279</v>
      </c>
      <c r="K287" s="7" t="str">
        <f>IFERROR(__xludf.DUMMYFUNCTION("""COMPUTED_VALUE"""),"Minh Thành - xã Lam Sơn - Tỉnh Thanh Hóa")</f>
        <v>Minh Thành - xã Lam Sơn - Tỉnh Thanh Hóa</v>
      </c>
      <c r="L287" s="7" t="str">
        <f>IFERROR(__xludf.DUMMYFUNCTION("""COMPUTED_VALUE"""),"0983575151")</f>
        <v>0983575151</v>
      </c>
      <c r="M287" s="7" t="str">
        <f>IFERROR(__xludf.DUMMYFUNCTION("""COMPUTED_VALUE"""),"038085049722")</f>
        <v>038085049722</v>
      </c>
      <c r="N287" s="18">
        <f>IFERROR(__xludf.DUMMYFUNCTION("""COMPUTED_VALUE"""),44422.0)</f>
        <v>44422</v>
      </c>
      <c r="O287" s="7" t="str">
        <f>IFERROR(__xludf.DUMMYFUNCTION("""COMPUTED_VALUE"""),"Cục Cảnh sát QLHC về TTXH")</f>
        <v>Cục Cảnh sát QLHC về TTXH</v>
      </c>
      <c r="P287" s="7" t="str">
        <f>IFERROR(__xludf.DUMMYFUNCTION("""COMPUTED_VALUE"""),"Bằng nghề")</f>
        <v>Bằng nghề</v>
      </c>
      <c r="Q287" s="7" t="str">
        <f>IFERROR(__xludf.DUMMYFUNCTION("""COMPUTED_VALUE"""),"Bằng nghề sữa chữa ô tô")</f>
        <v>Bằng nghề sữa chữa ô tô</v>
      </c>
      <c r="R287" s="17">
        <f>IFERROR(__xludf.DUMMYFUNCTION("""COMPUTED_VALUE"""),45923.0)</f>
        <v>45923</v>
      </c>
      <c r="S287" s="17">
        <f>IFERROR(__xludf.DUMMYFUNCTION("""COMPUTED_VALUE"""),45923.0)</f>
        <v>45923</v>
      </c>
      <c r="T287" s="7" t="str">
        <f>IFERROR(__xludf.DUMMYFUNCTION("""COMPUTED_VALUE"""),"Chính thức")</f>
        <v>Chính thức</v>
      </c>
      <c r="U287" s="7"/>
      <c r="V287" s="7" t="str">
        <f>IFERROR(__xludf.DUMMYFUNCTION("""COMPUTED_VALUE"""),"Chính thức")</f>
        <v>Chính thức</v>
      </c>
      <c r="W287" s="7" t="str">
        <f>IFERROR(__xludf.DUMMYFUNCTION("""COMPUTED_VALUE"""),"0 năm 3 tháng")</f>
        <v>0 năm 3 tháng</v>
      </c>
      <c r="X287" s="7"/>
      <c r="Y287" s="7"/>
      <c r="Z287" s="7"/>
    </row>
    <row r="288">
      <c r="A288" s="7">
        <f>IFERROR(__xludf.DUMMYFUNCTION("""COMPUTED_VALUE"""),4.0)</f>
        <v>4</v>
      </c>
      <c r="B288" s="7" t="str">
        <f>IFERROR(__xludf.DUMMYFUNCTION("""COMPUTED_VALUE"""),"Văn phòng")</f>
        <v>Văn phòng</v>
      </c>
      <c r="C288" s="7" t="str">
        <f>IFERROR(__xludf.DUMMYFUNCTION("""COMPUTED_VALUE"""),"Văn phòng Chủ tịch")</f>
        <v>Văn phòng Chủ tịch</v>
      </c>
      <c r="D288" s="7" t="str">
        <f>IFERROR(__xludf.DUMMYFUNCTION("""COMPUTED_VALUE"""),"Bộ phận hành chính")</f>
        <v>Bộ phận hành chính</v>
      </c>
      <c r="E288" s="7" t="str">
        <f>IFERROR(__xludf.DUMMYFUNCTION("""COMPUTED_VALUE"""),"Nhân viên")</f>
        <v>Nhân viên</v>
      </c>
      <c r="F288" s="7" t="str">
        <f>IFERROR(__xludf.DUMMYFUNCTION("""COMPUTED_VALUE"""),"NV5785")</f>
        <v>NV5785</v>
      </c>
      <c r="G288" s="7">
        <f>IFERROR(__xludf.DUMMYFUNCTION("""COMPUTED_VALUE"""),1267.0)</f>
        <v>1267</v>
      </c>
      <c r="H288" s="7" t="str">
        <f>IFERROR(__xludf.DUMMYFUNCTION("""COMPUTED_VALUE"""),"Nguyễn Ngọc Hiếu")</f>
        <v>Nguyễn Ngọc Hiếu</v>
      </c>
      <c r="I288" s="7" t="str">
        <f>IFERROR(__xludf.DUMMYFUNCTION("""COMPUTED_VALUE"""),"Nam")</f>
        <v>Nam</v>
      </c>
      <c r="J288" s="17">
        <f>IFERROR(__xludf.DUMMYFUNCTION("""COMPUTED_VALUE"""),36472.0)</f>
        <v>36472</v>
      </c>
      <c r="K288" s="7" t="str">
        <f>IFERROR(__xludf.DUMMYFUNCTION("""COMPUTED_VALUE"""),"SN 10 Lương Thế Vinh - Phường Hạc Thành - Tỉnh Thanh Hóa")</f>
        <v>SN 10 Lương Thế Vinh - Phường Hạc Thành - Tỉnh Thanh Hóa</v>
      </c>
      <c r="L288" s="7" t="str">
        <f>IFERROR(__xludf.DUMMYFUNCTION("""COMPUTED_VALUE"""),"0705949582")</f>
        <v>0705949582</v>
      </c>
      <c r="M288" s="7" t="str">
        <f>IFERROR(__xludf.DUMMYFUNCTION("""COMPUTED_VALUE"""),"038099005500")</f>
        <v>038099005500</v>
      </c>
      <c r="N288" s="18">
        <f>IFERROR(__xludf.DUMMYFUNCTION("""COMPUTED_VALUE"""),45814.0)</f>
        <v>45814</v>
      </c>
      <c r="O288" s="7" t="str">
        <f>IFERROR(__xludf.DUMMYFUNCTION("""COMPUTED_VALUE"""),"Bộ công an")</f>
        <v>Bộ công an</v>
      </c>
      <c r="P288" s="7" t="str">
        <f>IFERROR(__xludf.DUMMYFUNCTION("""COMPUTED_VALUE"""),"Đại học")</f>
        <v>Đại học</v>
      </c>
      <c r="Q288" s="7" t="str">
        <f>IFERROR(__xludf.DUMMYFUNCTION("""COMPUTED_VALUE"""),"Cử nhân kỹ thuật cơ điện tử")</f>
        <v>Cử nhân kỹ thuật cơ điện tử</v>
      </c>
      <c r="R288" s="17">
        <f>IFERROR(__xludf.DUMMYFUNCTION("""COMPUTED_VALUE"""),45962.0)</f>
        <v>45962</v>
      </c>
      <c r="S288" s="17">
        <f>IFERROR(__xludf.DUMMYFUNCTION("""COMPUTED_VALUE"""),45992.0)</f>
        <v>45992</v>
      </c>
      <c r="T288" s="7" t="str">
        <f>IFERROR(__xludf.DUMMYFUNCTION("""COMPUTED_VALUE"""),"Thử việc")</f>
        <v>Thử việc</v>
      </c>
      <c r="U288" s="7"/>
      <c r="V288" s="7" t="str">
        <f>IFERROR(__xludf.DUMMYFUNCTION("""COMPUTED_VALUE"""),"Thử việc")</f>
        <v>Thử việc</v>
      </c>
      <c r="W288" s="7" t="str">
        <f>IFERROR(__xludf.DUMMYFUNCTION("""COMPUTED_VALUE"""),"0 năm 1 tháng")</f>
        <v>0 năm 1 tháng</v>
      </c>
      <c r="X288" s="7"/>
      <c r="Y288" s="7"/>
      <c r="Z288" s="7"/>
    </row>
    <row r="289">
      <c r="A289" s="7">
        <f>IFERROR(__xludf.DUMMYFUNCTION("""COMPUTED_VALUE"""),5.0)</f>
        <v>5</v>
      </c>
      <c r="B289" s="7" t="str">
        <f>IFERROR(__xludf.DUMMYFUNCTION("""COMPUTED_VALUE"""),"Văn phòng")</f>
        <v>Văn phòng</v>
      </c>
      <c r="C289" s="7" t="str">
        <f>IFERROR(__xludf.DUMMYFUNCTION("""COMPUTED_VALUE"""),"Văn phòng Chủ tịch")</f>
        <v>Văn phòng Chủ tịch</v>
      </c>
      <c r="D289" s="7" t="str">
        <f>IFERROR(__xludf.DUMMYFUNCTION("""COMPUTED_VALUE"""),"Bộ phận hành chính")</f>
        <v>Bộ phận hành chính</v>
      </c>
      <c r="E289" s="7" t="str">
        <f>IFERROR(__xludf.DUMMYFUNCTION("""COMPUTED_VALUE"""),"Nhân viên")</f>
        <v>Nhân viên</v>
      </c>
      <c r="F289" s="7" t="str">
        <f>IFERROR(__xludf.DUMMYFUNCTION("""COMPUTED_VALUE"""),"NV5808")</f>
        <v>NV5808</v>
      </c>
      <c r="G289" s="7">
        <f>IFERROR(__xludf.DUMMYFUNCTION("""COMPUTED_VALUE"""),1290.0)</f>
        <v>1290</v>
      </c>
      <c r="H289" s="7" t="str">
        <f>IFERROR(__xludf.DUMMYFUNCTION("""COMPUTED_VALUE"""),"Trần Hoàng Quân")</f>
        <v>Trần Hoàng Quân</v>
      </c>
      <c r="I289" s="7" t="str">
        <f>IFERROR(__xludf.DUMMYFUNCTION("""COMPUTED_VALUE"""),"Nam")</f>
        <v>Nam</v>
      </c>
      <c r="J289" s="17">
        <f>IFERROR(__xludf.DUMMYFUNCTION("""COMPUTED_VALUE"""),37981.0)</f>
        <v>37981</v>
      </c>
      <c r="K289" s="7" t="str">
        <f>IFERROR(__xludf.DUMMYFUNCTION("""COMPUTED_VALUE"""),"52 Nguyễn Hữu Liêu - phường Hạc Thành - Tỉnh Thanh Hóa")</f>
        <v>52 Nguyễn Hữu Liêu - phường Hạc Thành - Tỉnh Thanh Hóa</v>
      </c>
      <c r="L289" s="7" t="str">
        <f>IFERROR(__xludf.DUMMYFUNCTION("""COMPUTED_VALUE"""),"0879600036")</f>
        <v>0879600036</v>
      </c>
      <c r="M289" s="7" t="str">
        <f>IFERROR(__xludf.DUMMYFUNCTION("""COMPUTED_VALUE"""),"038203020375")</f>
        <v>038203020375</v>
      </c>
      <c r="N289" s="18">
        <f>IFERROR(__xludf.DUMMYFUNCTION("""COMPUTED_VALUE"""),44379.0)</f>
        <v>44379</v>
      </c>
      <c r="O289" s="7" t="str">
        <f>IFERROR(__xludf.DUMMYFUNCTION("""COMPUTED_VALUE"""),"Cục Cảnh sát QLHC về TTXH")</f>
        <v>Cục Cảnh sát QLHC về TTXH</v>
      </c>
      <c r="P289" s="7" t="str">
        <f>IFERROR(__xludf.DUMMYFUNCTION("""COMPUTED_VALUE"""),"Đại học")</f>
        <v>Đại học</v>
      </c>
      <c r="Q289" s="7" t="str">
        <f>IFERROR(__xludf.DUMMYFUNCTION("""COMPUTED_VALUE"""),"Cử nhân công nghệ thông tin")</f>
        <v>Cử nhân công nghệ thông tin</v>
      </c>
      <c r="R289" s="17">
        <f>IFERROR(__xludf.DUMMYFUNCTION("""COMPUTED_VALUE"""),45975.0)</f>
        <v>45975</v>
      </c>
      <c r="S289" s="17">
        <f>IFERROR(__xludf.DUMMYFUNCTION("""COMPUTED_VALUE"""),46005.0)</f>
        <v>46005</v>
      </c>
      <c r="T289" s="7" t="str">
        <f>IFERROR(__xludf.DUMMYFUNCTION("""COMPUTED_VALUE"""),"Chính thức")</f>
        <v>Chính thức</v>
      </c>
      <c r="U289" s="7"/>
      <c r="V289" s="7" t="str">
        <f>IFERROR(__xludf.DUMMYFUNCTION("""COMPUTED_VALUE"""),"Chính thức")</f>
        <v>Chính thức</v>
      </c>
      <c r="W289" s="7" t="str">
        <f>IFERROR(__xludf.DUMMYFUNCTION("""COMPUTED_VALUE"""),"0 năm 1 tháng")</f>
        <v>0 năm 1 tháng</v>
      </c>
      <c r="X289" s="7"/>
      <c r="Y289" s="7"/>
      <c r="Z289" s="7"/>
    </row>
    <row r="290">
      <c r="A290" s="7">
        <f>IFERROR(__xludf.DUMMYFUNCTION("""COMPUTED_VALUE"""),6.0)</f>
        <v>6</v>
      </c>
      <c r="B290" s="7" t="str">
        <f>IFERROR(__xludf.DUMMYFUNCTION("""COMPUTED_VALUE"""),"Văn phòng")</f>
        <v>Văn phòng</v>
      </c>
      <c r="C290" s="7" t="str">
        <f>IFERROR(__xludf.DUMMYFUNCTION("""COMPUTED_VALUE"""),"Văn phòng Chủ tịch")</f>
        <v>Văn phòng Chủ tịch</v>
      </c>
      <c r="D290" s="7" t="str">
        <f>IFERROR(__xludf.DUMMYFUNCTION("""COMPUTED_VALUE"""),"Bộ phận hành chính")</f>
        <v>Bộ phận hành chính</v>
      </c>
      <c r="E290" s="7" t="str">
        <f>IFERROR(__xludf.DUMMYFUNCTION("""COMPUTED_VALUE"""),"Nhân viên")</f>
        <v>Nhân viên</v>
      </c>
      <c r="F290" s="7" t="str">
        <f>IFERROR(__xludf.DUMMYFUNCTION("""COMPUTED_VALUE"""),"NV5809")</f>
        <v>NV5809</v>
      </c>
      <c r="G290" s="7">
        <f>IFERROR(__xludf.DUMMYFUNCTION("""COMPUTED_VALUE"""),1291.0)</f>
        <v>1291</v>
      </c>
      <c r="H290" s="7" t="str">
        <f>IFERROR(__xludf.DUMMYFUNCTION("""COMPUTED_VALUE"""),"Lê Văn Đạt")</f>
        <v>Lê Văn Đạt</v>
      </c>
      <c r="I290" s="7" t="str">
        <f>IFERROR(__xludf.DUMMYFUNCTION("""COMPUTED_VALUE"""),"Nam")</f>
        <v>Nam</v>
      </c>
      <c r="J290" s="17">
        <f>IFERROR(__xludf.DUMMYFUNCTION("""COMPUTED_VALUE"""),37835.0)</f>
        <v>37835</v>
      </c>
      <c r="K290" s="7" t="str">
        <f>IFERROR(__xludf.DUMMYFUNCTION("""COMPUTED_VALUE"""),"Thôn Thành Thái - xã Yên Minh - Tỉnh Thanh Hóa")</f>
        <v>Thôn Thành Thái - xã Yên Minh - Tỉnh Thanh Hóa</v>
      </c>
      <c r="L290" s="7" t="str">
        <f>IFERROR(__xludf.DUMMYFUNCTION("""COMPUTED_VALUE"""),"0963431860")</f>
        <v>0963431860</v>
      </c>
      <c r="M290" s="7" t="str">
        <f>IFERROR(__xludf.DUMMYFUNCTION("""COMPUTED_VALUE"""),"038203038089")</f>
        <v>038203038089</v>
      </c>
      <c r="N290" s="18">
        <f>IFERROR(__xludf.DUMMYFUNCTION("""COMPUTED_VALUE"""),45903.0)</f>
        <v>45903</v>
      </c>
      <c r="O290" s="7" t="str">
        <f>IFERROR(__xludf.DUMMYFUNCTION("""COMPUTED_VALUE"""),"Bộ công an")</f>
        <v>Bộ công an</v>
      </c>
      <c r="P290" s="7" t="str">
        <f>IFERROR(__xludf.DUMMYFUNCTION("""COMPUTED_VALUE"""),"Đại học")</f>
        <v>Đại học</v>
      </c>
      <c r="Q290" s="7" t="str">
        <f>IFERROR(__xludf.DUMMYFUNCTION("""COMPUTED_VALUE"""),"Kỹ sư kỹ thuật điện tử và viễn thông")</f>
        <v>Kỹ sư kỹ thuật điện tử và viễn thông</v>
      </c>
      <c r="R290" s="17">
        <f>IFERROR(__xludf.DUMMYFUNCTION("""COMPUTED_VALUE"""),45975.0)</f>
        <v>45975</v>
      </c>
      <c r="S290" s="17">
        <f>IFERROR(__xludf.DUMMYFUNCTION("""COMPUTED_VALUE"""),46005.0)</f>
        <v>46005</v>
      </c>
      <c r="T290" s="7" t="str">
        <f>IFERROR(__xludf.DUMMYFUNCTION("""COMPUTED_VALUE"""),"Thử việc")</f>
        <v>Thử việc</v>
      </c>
      <c r="U290" s="7"/>
      <c r="V290" s="7" t="str">
        <f>IFERROR(__xludf.DUMMYFUNCTION("""COMPUTED_VALUE"""),"Thử việc")</f>
        <v>Thử việc</v>
      </c>
      <c r="W290" s="7" t="str">
        <f>IFERROR(__xludf.DUMMYFUNCTION("""COMPUTED_VALUE"""),"0 năm 1 tháng")</f>
        <v>0 năm 1 tháng</v>
      </c>
      <c r="X290" s="7"/>
      <c r="Y290" s="7"/>
      <c r="Z290" s="7"/>
    </row>
    <row r="291">
      <c r="A291" s="7">
        <f>IFERROR(__xludf.DUMMYFUNCTION("""COMPUTED_VALUE"""),1.0)</f>
        <v>1</v>
      </c>
      <c r="B291" s="7" t="str">
        <f>IFERROR(__xludf.DUMMYFUNCTION("""COMPUTED_VALUE"""),"Văn phòng")</f>
        <v>Văn phòng</v>
      </c>
      <c r="C291" s="7" t="str">
        <f>IFERROR(__xludf.DUMMYFUNCTION("""COMPUTED_VALUE"""),"Thanh tra sản xuất - KCS")</f>
        <v>Thanh tra sản xuất - KCS</v>
      </c>
      <c r="D291" s="7" t="str">
        <f>IFERROR(__xludf.DUMMYFUNCTION("""COMPUTED_VALUE"""),"Tổ thanh tra sản xuất")</f>
        <v>Tổ thanh tra sản xuất</v>
      </c>
      <c r="E291" s="7" t="str">
        <f>IFERROR(__xludf.DUMMYFUNCTION("""COMPUTED_VALUE"""),"Nhóm trưởng")</f>
        <v>Nhóm trưởng</v>
      </c>
      <c r="F291" s="7" t="str">
        <f>IFERROR(__xludf.DUMMYFUNCTION("""COMPUTED_VALUE"""),"NV0159")</f>
        <v>NV0159</v>
      </c>
      <c r="G291" s="7">
        <f>IFERROR(__xludf.DUMMYFUNCTION("""COMPUTED_VALUE"""),722.0)</f>
        <v>722</v>
      </c>
      <c r="H291" s="7" t="str">
        <f>IFERROR(__xludf.DUMMYFUNCTION("""COMPUTED_VALUE"""),"Lê Văn Chung")</f>
        <v>Lê Văn Chung</v>
      </c>
      <c r="I291" s="7" t="str">
        <f>IFERROR(__xludf.DUMMYFUNCTION("""COMPUTED_VALUE"""),"Nam")</f>
        <v>Nam</v>
      </c>
      <c r="J291" s="17">
        <f>IFERROR(__xludf.DUMMYFUNCTION("""COMPUTED_VALUE"""),32199.0)</f>
        <v>32199</v>
      </c>
      <c r="K291" s="7" t="str">
        <f>IFERROR(__xludf.DUMMYFUNCTION("""COMPUTED_VALUE"""),"Xã Hoằng Phong - Hoằng Hóa - Thanh Hóa")</f>
        <v>Xã Hoằng Phong - Hoằng Hóa - Thanh Hóa</v>
      </c>
      <c r="L291" s="7" t="str">
        <f>IFERROR(__xludf.DUMMYFUNCTION("""COMPUTED_VALUE"""),"0977108495")</f>
        <v>0977108495</v>
      </c>
      <c r="M291" s="7" t="str">
        <f>IFERROR(__xludf.DUMMYFUNCTION("""COMPUTED_VALUE"""),"038088042318")</f>
        <v>038088042318</v>
      </c>
      <c r="N291" s="18">
        <f>IFERROR(__xludf.DUMMYFUNCTION("""COMPUTED_VALUE"""),45720.0)</f>
        <v>45720</v>
      </c>
      <c r="O291" s="7" t="str">
        <f>IFERROR(__xludf.DUMMYFUNCTION("""COMPUTED_VALUE"""),"Bộ công an")</f>
        <v>Bộ công an</v>
      </c>
      <c r="P291" s="7" t="str">
        <f>IFERROR(__xludf.DUMMYFUNCTION("""COMPUTED_VALUE"""),"Cao đẳng")</f>
        <v>Cao đẳng</v>
      </c>
      <c r="Q291" s="7" t="str">
        <f>IFERROR(__xludf.DUMMYFUNCTION("""COMPUTED_VALUE"""),"Cơ tin kỹ thuật")</f>
        <v>Cơ tin kỹ thuật</v>
      </c>
      <c r="R291" s="17">
        <f>IFERROR(__xludf.DUMMYFUNCTION("""COMPUTED_VALUE"""),40991.0)</f>
        <v>40991</v>
      </c>
      <c r="S291" s="17">
        <f>IFERROR(__xludf.DUMMYFUNCTION("""COMPUTED_VALUE"""),40991.0)</f>
        <v>40991</v>
      </c>
      <c r="T291" s="7" t="str">
        <f>IFERROR(__xludf.DUMMYFUNCTION("""COMPUTED_VALUE"""),"Chính thức")</f>
        <v>Chính thức</v>
      </c>
      <c r="U291" s="7"/>
      <c r="V291" s="7" t="str">
        <f>IFERROR(__xludf.DUMMYFUNCTION("""COMPUTED_VALUE"""),"Chính thức")</f>
        <v>Chính thức</v>
      </c>
      <c r="W291" s="7" t="str">
        <f>IFERROR(__xludf.DUMMYFUNCTION("""COMPUTED_VALUE"""),"13 năm 9 tháng")</f>
        <v>13 năm 9 tháng</v>
      </c>
      <c r="X291" s="7"/>
      <c r="Y291" s="7"/>
      <c r="Z291" s="7"/>
    </row>
    <row r="292">
      <c r="A292" s="7">
        <f>IFERROR(__xludf.DUMMYFUNCTION("""COMPUTED_VALUE"""),2.0)</f>
        <v>2</v>
      </c>
      <c r="B292" s="7" t="str">
        <f>IFERROR(__xludf.DUMMYFUNCTION("""COMPUTED_VALUE"""),"Văn phòng")</f>
        <v>Văn phòng</v>
      </c>
      <c r="C292" s="7" t="str">
        <f>IFERROR(__xludf.DUMMYFUNCTION("""COMPUTED_VALUE"""),"Thanh tra sản xuất - KCS")</f>
        <v>Thanh tra sản xuất - KCS</v>
      </c>
      <c r="D292" s="7" t="str">
        <f>IFERROR(__xludf.DUMMYFUNCTION("""COMPUTED_VALUE"""),"Tổ thanh tra sản xuất")</f>
        <v>Tổ thanh tra sản xuất</v>
      </c>
      <c r="E292" s="7" t="str">
        <f>IFERROR(__xludf.DUMMYFUNCTION("""COMPUTED_VALUE"""),"Nhóm trưởng")</f>
        <v>Nhóm trưởng</v>
      </c>
      <c r="F292" s="7" t="str">
        <f>IFERROR(__xludf.DUMMYFUNCTION("""COMPUTED_VALUE"""),"NV0858")</f>
        <v>NV0858</v>
      </c>
      <c r="G292" s="7">
        <f>IFERROR(__xludf.DUMMYFUNCTION("""COMPUTED_VALUE"""),513.0)</f>
        <v>513</v>
      </c>
      <c r="H292" s="7" t="str">
        <f>IFERROR(__xludf.DUMMYFUNCTION("""COMPUTED_VALUE"""),"Tào Quốc Đạt")</f>
        <v>Tào Quốc Đạt</v>
      </c>
      <c r="I292" s="7" t="str">
        <f>IFERROR(__xludf.DUMMYFUNCTION("""COMPUTED_VALUE"""),"Nam")</f>
        <v>Nam</v>
      </c>
      <c r="J292" s="17">
        <f>IFERROR(__xludf.DUMMYFUNCTION("""COMPUTED_VALUE"""),32195.0)</f>
        <v>32195</v>
      </c>
      <c r="K292" s="7" t="str">
        <f>IFERROR(__xludf.DUMMYFUNCTION("""COMPUTED_VALUE"""),"Phố KT2 - Tào Xuyên - Thành Phố Thanh Hóa")</f>
        <v>Phố KT2 - Tào Xuyên - Thành Phố Thanh Hóa</v>
      </c>
      <c r="L292" s="20" t="str">
        <f>IFERROR(__xludf.DUMMYFUNCTION("""COMPUTED_VALUE"""),"0976186336")</f>
        <v>0976186336</v>
      </c>
      <c r="M292" s="7" t="str">
        <f>IFERROR(__xludf.DUMMYFUNCTION("""COMPUTED_VALUE"""),"038088002391")</f>
        <v>038088002391</v>
      </c>
      <c r="N292" s="18">
        <f>IFERROR(__xludf.DUMMYFUNCTION("""COMPUTED_VALUE"""),44508.0)</f>
        <v>44508</v>
      </c>
      <c r="O292" s="7" t="str">
        <f>IFERROR(__xludf.DUMMYFUNCTION("""COMPUTED_VALUE"""),"Cục Cảnh sát QLHC về TTXH")</f>
        <v>Cục Cảnh sát QLHC về TTXH</v>
      </c>
      <c r="P292" s="7" t="str">
        <f>IFERROR(__xludf.DUMMYFUNCTION("""COMPUTED_VALUE"""),"Cử nhân")</f>
        <v>Cử nhân</v>
      </c>
      <c r="Q292" s="7" t="str">
        <f>IFERROR(__xludf.DUMMYFUNCTION("""COMPUTED_VALUE"""),"Công nghệ kỹ thuật hóa học")</f>
        <v>Công nghệ kỹ thuật hóa học</v>
      </c>
      <c r="R292" s="17">
        <f>IFERROR(__xludf.DUMMYFUNCTION("""COMPUTED_VALUE"""),42810.0)</f>
        <v>42810</v>
      </c>
      <c r="S292" s="19">
        <f>IFERROR(__xludf.DUMMYFUNCTION("""COMPUTED_VALUE"""),42810.0)</f>
        <v>42810</v>
      </c>
      <c r="T292" s="7" t="str">
        <f>IFERROR(__xludf.DUMMYFUNCTION("""COMPUTED_VALUE"""),"Chính thức")</f>
        <v>Chính thức</v>
      </c>
      <c r="U292" s="7"/>
      <c r="V292" s="7" t="str">
        <f>IFERROR(__xludf.DUMMYFUNCTION("""COMPUTED_VALUE"""),"Chính thức")</f>
        <v>Chính thức</v>
      </c>
      <c r="W292" s="7" t="str">
        <f>IFERROR(__xludf.DUMMYFUNCTION("""COMPUTED_VALUE"""),"8 năm 9 tháng")</f>
        <v>8 năm 9 tháng</v>
      </c>
      <c r="X292" s="7"/>
      <c r="Y292" s="7"/>
      <c r="Z292" s="7"/>
    </row>
    <row r="293">
      <c r="A293" s="7">
        <f>IFERROR(__xludf.DUMMYFUNCTION("""COMPUTED_VALUE"""),3.0)</f>
        <v>3</v>
      </c>
      <c r="B293" s="7" t="str">
        <f>IFERROR(__xludf.DUMMYFUNCTION("""COMPUTED_VALUE"""),"Văn phòng")</f>
        <v>Văn phòng</v>
      </c>
      <c r="C293" s="7" t="str">
        <f>IFERROR(__xludf.DUMMYFUNCTION("""COMPUTED_VALUE"""),"Thanh tra sản xuất - KCS")</f>
        <v>Thanh tra sản xuất - KCS</v>
      </c>
      <c r="D293" s="7" t="str">
        <f>IFERROR(__xludf.DUMMYFUNCTION("""COMPUTED_VALUE"""),"Tổ thanh tra sản xuất")</f>
        <v>Tổ thanh tra sản xuất</v>
      </c>
      <c r="E293" s="7" t="str">
        <f>IFERROR(__xludf.DUMMYFUNCTION("""COMPUTED_VALUE"""),"Nhân viên KCS")</f>
        <v>Nhân viên KCS</v>
      </c>
      <c r="F293" s="7" t="str">
        <f>IFERROR(__xludf.DUMMYFUNCTION("""COMPUTED_VALUE"""),"NV0473")</f>
        <v>NV0473</v>
      </c>
      <c r="G293" s="7">
        <f>IFERROR(__xludf.DUMMYFUNCTION("""COMPUTED_VALUE"""),363.0)</f>
        <v>363</v>
      </c>
      <c r="H293" s="7" t="str">
        <f>IFERROR(__xludf.DUMMYFUNCTION("""COMPUTED_VALUE"""),"Phạm Thị Hồng")</f>
        <v>Phạm Thị Hồng</v>
      </c>
      <c r="I293" s="7" t="str">
        <f>IFERROR(__xludf.DUMMYFUNCTION("""COMPUTED_VALUE"""),"Nữ")</f>
        <v>Nữ</v>
      </c>
      <c r="J293" s="17">
        <f>IFERROR(__xludf.DUMMYFUNCTION("""COMPUTED_VALUE"""),28730.0)</f>
        <v>28730</v>
      </c>
      <c r="K293" s="7" t="str">
        <f>IFERROR(__xludf.DUMMYFUNCTION("""COMPUTED_VALUE"""),"Thôn Ba Tân - Xã Đông Hương - Thành phố - Thanh Hóa")</f>
        <v>Thôn Ba Tân - Xã Đông Hương - Thành phố - Thanh Hóa</v>
      </c>
      <c r="L293" s="7" t="str">
        <f>IFERROR(__xludf.DUMMYFUNCTION("""COMPUTED_VALUE"""),"0979844221")</f>
        <v>0979844221</v>
      </c>
      <c r="M293" s="7" t="str">
        <f>IFERROR(__xludf.DUMMYFUNCTION("""COMPUTED_VALUE"""),"038178003992")</f>
        <v>038178003992</v>
      </c>
      <c r="N293" s="18">
        <f>IFERROR(__xludf.DUMMYFUNCTION("""COMPUTED_VALUE"""),44553.0)</f>
        <v>44553</v>
      </c>
      <c r="O293" s="7" t="str">
        <f>IFERROR(__xludf.DUMMYFUNCTION("""COMPUTED_VALUE"""),"Cục Cảnh sát QLHC về TTXH")</f>
        <v>Cục Cảnh sát QLHC về TTXH</v>
      </c>
      <c r="P293" s="7" t="str">
        <f>IFERROR(__xludf.DUMMYFUNCTION("""COMPUTED_VALUE"""),"LĐPT")</f>
        <v>LĐPT</v>
      </c>
      <c r="Q293" s="7" t="str">
        <f>IFERROR(__xludf.DUMMYFUNCTION("""COMPUTED_VALUE"""),"Lao động phổ thông")</f>
        <v>Lao động phổ thông</v>
      </c>
      <c r="R293" s="17">
        <f>IFERROR(__xludf.DUMMYFUNCTION("""COMPUTED_VALUE"""),40348.0)</f>
        <v>40348</v>
      </c>
      <c r="S293" s="19">
        <f>IFERROR(__xludf.DUMMYFUNCTION("""COMPUTED_VALUE"""),40348.0)</f>
        <v>40348</v>
      </c>
      <c r="T293" s="7" t="str">
        <f>IFERROR(__xludf.DUMMYFUNCTION("""COMPUTED_VALUE"""),"Chính thức")</f>
        <v>Chính thức</v>
      </c>
      <c r="U293" s="7"/>
      <c r="V293" s="7" t="str">
        <f>IFERROR(__xludf.DUMMYFUNCTION("""COMPUTED_VALUE"""),"Chính thức")</f>
        <v>Chính thức</v>
      </c>
      <c r="W293" s="7" t="str">
        <f>IFERROR(__xludf.DUMMYFUNCTION("""COMPUTED_VALUE"""),"15 năm 6 tháng")</f>
        <v>15 năm 6 tháng</v>
      </c>
      <c r="X293" s="7"/>
      <c r="Y293" s="7"/>
      <c r="Z293" s="7"/>
    </row>
    <row r="294">
      <c r="A294" s="7">
        <f>IFERROR(__xludf.DUMMYFUNCTION("""COMPUTED_VALUE"""),4.0)</f>
        <v>4</v>
      </c>
      <c r="B294" s="7" t="str">
        <f>IFERROR(__xludf.DUMMYFUNCTION("""COMPUTED_VALUE"""),"Văn phòng")</f>
        <v>Văn phòng</v>
      </c>
      <c r="C294" s="7" t="str">
        <f>IFERROR(__xludf.DUMMYFUNCTION("""COMPUTED_VALUE"""),"Thanh tra sản xuất - KCS")</f>
        <v>Thanh tra sản xuất - KCS</v>
      </c>
      <c r="D294" s="7" t="str">
        <f>IFERROR(__xludf.DUMMYFUNCTION("""COMPUTED_VALUE"""),"Tổ thanh tra sản xuất")</f>
        <v>Tổ thanh tra sản xuất</v>
      </c>
      <c r="E294" s="7" t="str">
        <f>IFERROR(__xludf.DUMMYFUNCTION("""COMPUTED_VALUE"""),"Nhân viên KCS")</f>
        <v>Nhân viên KCS</v>
      </c>
      <c r="F294" s="7" t="str">
        <f>IFERROR(__xludf.DUMMYFUNCTION("""COMPUTED_VALUE"""),"NV0610")</f>
        <v>NV0610</v>
      </c>
      <c r="G294" s="7">
        <f>IFERROR(__xludf.DUMMYFUNCTION("""COMPUTED_VALUE"""),475.0)</f>
        <v>475</v>
      </c>
      <c r="H294" s="7" t="str">
        <f>IFERROR(__xludf.DUMMYFUNCTION("""COMPUTED_VALUE"""),"Nguyễn Thị Vân")</f>
        <v>Nguyễn Thị Vân</v>
      </c>
      <c r="I294" s="7" t="str">
        <f>IFERROR(__xludf.DUMMYFUNCTION("""COMPUTED_VALUE"""),"Nữ")</f>
        <v>Nữ</v>
      </c>
      <c r="J294" s="17">
        <f>IFERROR(__xludf.DUMMYFUNCTION("""COMPUTED_VALUE"""),31657.0)</f>
        <v>31657</v>
      </c>
      <c r="K294" s="7" t="str">
        <f>IFERROR(__xludf.DUMMYFUNCTION("""COMPUTED_VALUE"""),"Xã Thiệu Lý - Thiệu Hóa - Thanh Hóa")</f>
        <v>Xã Thiệu Lý - Thiệu Hóa - Thanh Hóa</v>
      </c>
      <c r="L294" s="7" t="str">
        <f>IFERROR(__xludf.DUMMYFUNCTION("""COMPUTED_VALUE"""),"0366334143")</f>
        <v>0366334143</v>
      </c>
      <c r="M294" s="7" t="str">
        <f>IFERROR(__xludf.DUMMYFUNCTION("""COMPUTED_VALUE"""),"038186011551")</f>
        <v>038186011551</v>
      </c>
      <c r="N294" s="18">
        <f>IFERROR(__xludf.DUMMYFUNCTION("""COMPUTED_VALUE"""),44508.0)</f>
        <v>44508</v>
      </c>
      <c r="O294" s="7" t="str">
        <f>IFERROR(__xludf.DUMMYFUNCTION("""COMPUTED_VALUE"""),"Cục Cảnh sát QLHC về TTXH")</f>
        <v>Cục Cảnh sát QLHC về TTXH</v>
      </c>
      <c r="P294" s="7" t="str">
        <f>IFERROR(__xludf.DUMMYFUNCTION("""COMPUTED_VALUE"""),"LĐPT")</f>
        <v>LĐPT</v>
      </c>
      <c r="Q294" s="7" t="str">
        <f>IFERROR(__xludf.DUMMYFUNCTION("""COMPUTED_VALUE"""),"Lao động phổ thông")</f>
        <v>Lao động phổ thông</v>
      </c>
      <c r="R294" s="17">
        <f>IFERROR(__xludf.DUMMYFUNCTION("""COMPUTED_VALUE"""),41117.0)</f>
        <v>41117</v>
      </c>
      <c r="S294" s="19">
        <f>IFERROR(__xludf.DUMMYFUNCTION("""COMPUTED_VALUE"""),41117.0)</f>
        <v>41117</v>
      </c>
      <c r="T294" s="7" t="str">
        <f>IFERROR(__xludf.DUMMYFUNCTION("""COMPUTED_VALUE"""),"Chính thức")</f>
        <v>Chính thức</v>
      </c>
      <c r="U294" s="7"/>
      <c r="V294" s="7" t="str">
        <f>IFERROR(__xludf.DUMMYFUNCTION("""COMPUTED_VALUE"""),"Chính thức")</f>
        <v>Chính thức</v>
      </c>
      <c r="W294" s="7" t="str">
        <f>IFERROR(__xludf.DUMMYFUNCTION("""COMPUTED_VALUE"""),"13 năm 5 tháng")</f>
        <v>13 năm 5 tháng</v>
      </c>
      <c r="X294" s="7"/>
      <c r="Y294" s="7"/>
      <c r="Z294" s="7"/>
    </row>
    <row r="295">
      <c r="A295" s="7">
        <f>IFERROR(__xludf.DUMMYFUNCTION("""COMPUTED_VALUE"""),5.0)</f>
        <v>5</v>
      </c>
      <c r="B295" s="7" t="str">
        <f>IFERROR(__xludf.DUMMYFUNCTION("""COMPUTED_VALUE"""),"Văn phòng")</f>
        <v>Văn phòng</v>
      </c>
      <c r="C295" s="7" t="str">
        <f>IFERROR(__xludf.DUMMYFUNCTION("""COMPUTED_VALUE"""),"Thanh tra sản xuất - KCS")</f>
        <v>Thanh tra sản xuất - KCS</v>
      </c>
      <c r="D295" s="7" t="str">
        <f>IFERROR(__xludf.DUMMYFUNCTION("""COMPUTED_VALUE"""),"Tổ thanh tra sản xuất")</f>
        <v>Tổ thanh tra sản xuất</v>
      </c>
      <c r="E295" s="7" t="str">
        <f>IFERROR(__xludf.DUMMYFUNCTION("""COMPUTED_VALUE"""),"Nhân viên KCS")</f>
        <v>Nhân viên KCS</v>
      </c>
      <c r="F295" s="7" t="str">
        <f>IFERROR(__xludf.DUMMYFUNCTION("""COMPUTED_VALUE"""),"NV0592")</f>
        <v>NV0592</v>
      </c>
      <c r="G295" s="7">
        <f>IFERROR(__xludf.DUMMYFUNCTION("""COMPUTED_VALUE"""),608.0)</f>
        <v>608</v>
      </c>
      <c r="H295" s="7" t="str">
        <f>IFERROR(__xludf.DUMMYFUNCTION("""COMPUTED_VALUE"""),"Bùi Thị Lan")</f>
        <v>Bùi Thị Lan</v>
      </c>
      <c r="I295" s="7" t="str">
        <f>IFERROR(__xludf.DUMMYFUNCTION("""COMPUTED_VALUE"""),"Nữ")</f>
        <v>Nữ</v>
      </c>
      <c r="J295" s="17">
        <f>IFERROR(__xludf.DUMMYFUNCTION("""COMPUTED_VALUE"""),33162.0)</f>
        <v>33162</v>
      </c>
      <c r="K295" s="7" t="str">
        <f>IFERROR(__xludf.DUMMYFUNCTION("""COMPUTED_VALUE"""),"Phố 2, Xã Quảng Hưng, Thành phố Thanh Hóa,")</f>
        <v>Phố 2, Xã Quảng Hưng, Thành phố Thanh Hóa,</v>
      </c>
      <c r="L295" s="7" t="str">
        <f>IFERROR(__xludf.DUMMYFUNCTION("""COMPUTED_VALUE"""),"0963267545")</f>
        <v>0963267545</v>
      </c>
      <c r="M295" s="7" t="str">
        <f>IFERROR(__xludf.DUMMYFUNCTION("""COMPUTED_VALUE"""),"038190011661")</f>
        <v>038190011661</v>
      </c>
      <c r="N295" s="18">
        <f>IFERROR(__xludf.DUMMYFUNCTION("""COMPUTED_VALUE"""),44830.0)</f>
        <v>44830</v>
      </c>
      <c r="O295" s="7" t="str">
        <f>IFERROR(__xludf.DUMMYFUNCTION("""COMPUTED_VALUE"""),"Cục Cảnh sát QLHC về TTXH")</f>
        <v>Cục Cảnh sát QLHC về TTXH</v>
      </c>
      <c r="P295" s="7" t="str">
        <f>IFERROR(__xludf.DUMMYFUNCTION("""COMPUTED_VALUE"""),"LĐPT")</f>
        <v>LĐPT</v>
      </c>
      <c r="Q295" s="7" t="str">
        <f>IFERROR(__xludf.DUMMYFUNCTION("""COMPUTED_VALUE"""),"Lao động phổ thông")</f>
        <v>Lao động phổ thông</v>
      </c>
      <c r="R295" s="17">
        <f>IFERROR(__xludf.DUMMYFUNCTION("""COMPUTED_VALUE"""),39141.0)</f>
        <v>39141</v>
      </c>
      <c r="S295" s="19">
        <f>IFERROR(__xludf.DUMMYFUNCTION("""COMPUTED_VALUE"""),39141.0)</f>
        <v>39141</v>
      </c>
      <c r="T295" s="7" t="str">
        <f>IFERROR(__xludf.DUMMYFUNCTION("""COMPUTED_VALUE"""),"Chính thức")</f>
        <v>Chính thức</v>
      </c>
      <c r="U295" s="7"/>
      <c r="V295" s="7" t="str">
        <f>IFERROR(__xludf.DUMMYFUNCTION("""COMPUTED_VALUE"""),"Chính thức")</f>
        <v>Chính thức</v>
      </c>
      <c r="W295" s="7" t="str">
        <f>IFERROR(__xludf.DUMMYFUNCTION("""COMPUTED_VALUE"""),"18 năm 10 tháng")</f>
        <v>18 năm 10 tháng</v>
      </c>
      <c r="X295" s="7"/>
      <c r="Y295" s="7"/>
      <c r="Z295" s="7"/>
    </row>
    <row r="296">
      <c r="A296" s="7">
        <f>IFERROR(__xludf.DUMMYFUNCTION("""COMPUTED_VALUE"""),6.0)</f>
        <v>6</v>
      </c>
      <c r="B296" s="7" t="str">
        <f>IFERROR(__xludf.DUMMYFUNCTION("""COMPUTED_VALUE"""),"Văn phòng")</f>
        <v>Văn phòng</v>
      </c>
      <c r="C296" s="7" t="str">
        <f>IFERROR(__xludf.DUMMYFUNCTION("""COMPUTED_VALUE"""),"Thanh tra sản xuất - KCS")</f>
        <v>Thanh tra sản xuất - KCS</v>
      </c>
      <c r="D296" s="7" t="str">
        <f>IFERROR(__xludf.DUMMYFUNCTION("""COMPUTED_VALUE"""),"Tổ thanh tra sản xuất")</f>
        <v>Tổ thanh tra sản xuất</v>
      </c>
      <c r="E296" s="7" t="str">
        <f>IFERROR(__xludf.DUMMYFUNCTION("""COMPUTED_VALUE"""),"Nhân viên KCS")</f>
        <v>Nhân viên KCS</v>
      </c>
      <c r="F296" s="7" t="str">
        <f>IFERROR(__xludf.DUMMYFUNCTION("""COMPUTED_VALUE"""),"NV0010")</f>
        <v>NV0010</v>
      </c>
      <c r="G296" s="7">
        <f>IFERROR(__xludf.DUMMYFUNCTION("""COMPUTED_VALUE"""),643.0)</f>
        <v>643</v>
      </c>
      <c r="H296" s="7" t="str">
        <f>IFERROR(__xludf.DUMMYFUNCTION("""COMPUTED_VALUE"""),"Bùi Thị Thủy")</f>
        <v>Bùi Thị Thủy</v>
      </c>
      <c r="I296" s="7" t="str">
        <f>IFERROR(__xludf.DUMMYFUNCTION("""COMPUTED_VALUE"""),"Nữ")</f>
        <v>Nữ</v>
      </c>
      <c r="J296" s="17">
        <f>IFERROR(__xludf.DUMMYFUNCTION("""COMPUTED_VALUE"""),32578.0)</f>
        <v>32578</v>
      </c>
      <c r="K296" s="7" t="str">
        <f>IFERROR(__xludf.DUMMYFUNCTION("""COMPUTED_VALUE"""),"Xã Hoằng Châu - Hoằng Hóa - Thanh Hóa")</f>
        <v>Xã Hoằng Châu - Hoằng Hóa - Thanh Hóa</v>
      </c>
      <c r="L296" s="7" t="str">
        <f>IFERROR(__xludf.DUMMYFUNCTION("""COMPUTED_VALUE"""),"0963558280")</f>
        <v>0963558280</v>
      </c>
      <c r="M296" s="7" t="str">
        <f>IFERROR(__xludf.DUMMYFUNCTION("""COMPUTED_VALUE"""),"038989015933")</f>
        <v>038989015933</v>
      </c>
      <c r="N296" s="18">
        <f>IFERROR(__xludf.DUMMYFUNCTION("""COMPUTED_VALUE"""),44830.0)</f>
        <v>44830</v>
      </c>
      <c r="O296" s="7" t="str">
        <f>IFERROR(__xludf.DUMMYFUNCTION("""COMPUTED_VALUE"""),"Cục Cảnh sát QLHC về TTXH")</f>
        <v>Cục Cảnh sát QLHC về TTXH</v>
      </c>
      <c r="P296" s="7" t="str">
        <f>IFERROR(__xludf.DUMMYFUNCTION("""COMPUTED_VALUE"""),"LĐPT")</f>
        <v>LĐPT</v>
      </c>
      <c r="Q296" s="7" t="str">
        <f>IFERROR(__xludf.DUMMYFUNCTION("""COMPUTED_VALUE"""),"Lao động phổ thông")</f>
        <v>Lao động phổ thông</v>
      </c>
      <c r="R296" s="17">
        <f>IFERROR(__xludf.DUMMYFUNCTION("""COMPUTED_VALUE"""),39223.0)</f>
        <v>39223</v>
      </c>
      <c r="S296" s="19">
        <f>IFERROR(__xludf.DUMMYFUNCTION("""COMPUTED_VALUE"""),39223.0)</f>
        <v>39223</v>
      </c>
      <c r="T296" s="7" t="str">
        <f>IFERROR(__xludf.DUMMYFUNCTION("""COMPUTED_VALUE"""),"Chính thức")</f>
        <v>Chính thức</v>
      </c>
      <c r="U296" s="7"/>
      <c r="V296" s="7" t="str">
        <f>IFERROR(__xludf.DUMMYFUNCTION("""COMPUTED_VALUE"""),"Chính thức")</f>
        <v>Chính thức</v>
      </c>
      <c r="W296" s="7" t="str">
        <f>IFERROR(__xludf.DUMMYFUNCTION("""COMPUTED_VALUE"""),"18 năm 7 tháng")</f>
        <v>18 năm 7 tháng</v>
      </c>
      <c r="X296" s="7"/>
      <c r="Y296" s="7"/>
      <c r="Z296" s="7"/>
    </row>
    <row r="297">
      <c r="A297" s="7">
        <f>IFERROR(__xludf.DUMMYFUNCTION("""COMPUTED_VALUE"""),7.0)</f>
        <v>7</v>
      </c>
      <c r="B297" s="7" t="str">
        <f>IFERROR(__xludf.DUMMYFUNCTION("""COMPUTED_VALUE"""),"Văn phòng")</f>
        <v>Văn phòng</v>
      </c>
      <c r="C297" s="7" t="str">
        <f>IFERROR(__xludf.DUMMYFUNCTION("""COMPUTED_VALUE"""),"Thanh tra sản xuất - KCS")</f>
        <v>Thanh tra sản xuất - KCS</v>
      </c>
      <c r="D297" s="7" t="str">
        <f>IFERROR(__xludf.DUMMYFUNCTION("""COMPUTED_VALUE"""),"Tổ thanh tra sản xuất")</f>
        <v>Tổ thanh tra sản xuất</v>
      </c>
      <c r="E297" s="7" t="str">
        <f>IFERROR(__xludf.DUMMYFUNCTION("""COMPUTED_VALUE"""),"Tổ trưởng")</f>
        <v>Tổ trưởng</v>
      </c>
      <c r="F297" s="7" t="str">
        <f>IFERROR(__xludf.DUMMYFUNCTION("""COMPUTED_VALUE"""),"NV0162")</f>
        <v>NV0162</v>
      </c>
      <c r="G297" s="7">
        <f>IFERROR(__xludf.DUMMYFUNCTION("""COMPUTED_VALUE"""),174.0)</f>
        <v>174</v>
      </c>
      <c r="H297" s="7" t="str">
        <f>IFERROR(__xludf.DUMMYFUNCTION("""COMPUTED_VALUE"""),"Nguyễn Thái Sỹ")</f>
        <v>Nguyễn Thái Sỹ</v>
      </c>
      <c r="I297" s="7" t="str">
        <f>IFERROR(__xludf.DUMMYFUNCTION("""COMPUTED_VALUE"""),"Nam")</f>
        <v>Nam</v>
      </c>
      <c r="J297" s="17">
        <f>IFERROR(__xludf.DUMMYFUNCTION("""COMPUTED_VALUE"""),33519.0)</f>
        <v>33519</v>
      </c>
      <c r="K297" s="7" t="str">
        <f>IFERROR(__xludf.DUMMYFUNCTION("""COMPUTED_VALUE"""),"Phố Lai Thành - Phường Đông Hải - TP Thanh Hóa")</f>
        <v>Phố Lai Thành - Phường Đông Hải - TP Thanh Hóa</v>
      </c>
      <c r="L297" s="7" t="str">
        <f>IFERROR(__xludf.DUMMYFUNCTION("""COMPUTED_VALUE"""),"0949454868")</f>
        <v>0949454868</v>
      </c>
      <c r="M297" s="7" t="str">
        <f>IFERROR(__xludf.DUMMYFUNCTION("""COMPUTED_VALUE"""),"038091016864")</f>
        <v>038091016864</v>
      </c>
      <c r="N297" s="18">
        <f>IFERROR(__xludf.DUMMYFUNCTION("""COMPUTED_VALUE"""),44375.0)</f>
        <v>44375</v>
      </c>
      <c r="O297" s="7" t="str">
        <f>IFERROR(__xludf.DUMMYFUNCTION("""COMPUTED_VALUE"""),"Cục Cảnh sát QLHC về TTXH")</f>
        <v>Cục Cảnh sát QLHC về TTXH</v>
      </c>
      <c r="P297" s="7" t="str">
        <f>IFERROR(__xludf.DUMMYFUNCTION("""COMPUTED_VALUE"""),"Cao đẳng")</f>
        <v>Cao đẳng</v>
      </c>
      <c r="Q297" s="7" t="str">
        <f>IFERROR(__xludf.DUMMYFUNCTION("""COMPUTED_VALUE"""),"Xây dựng")</f>
        <v>Xây dựng</v>
      </c>
      <c r="R297" s="17">
        <f>IFERROR(__xludf.DUMMYFUNCTION("""COMPUTED_VALUE"""),42069.0)</f>
        <v>42069</v>
      </c>
      <c r="S297" s="19">
        <f>IFERROR(__xludf.DUMMYFUNCTION("""COMPUTED_VALUE"""),42069.0)</f>
        <v>42069</v>
      </c>
      <c r="T297" s="7" t="str">
        <f>IFERROR(__xludf.DUMMYFUNCTION("""COMPUTED_VALUE"""),"Chính thức")</f>
        <v>Chính thức</v>
      </c>
      <c r="U297" s="7"/>
      <c r="V297" s="7" t="str">
        <f>IFERROR(__xludf.DUMMYFUNCTION("""COMPUTED_VALUE"""),"Chính thức")</f>
        <v>Chính thức</v>
      </c>
      <c r="W297" s="7" t="str">
        <f>IFERROR(__xludf.DUMMYFUNCTION("""COMPUTED_VALUE"""),"10 năm 9 tháng")</f>
        <v>10 năm 9 tháng</v>
      </c>
      <c r="X297" s="7"/>
      <c r="Y297" s="7"/>
      <c r="Z297" s="7"/>
    </row>
    <row r="298">
      <c r="A298" s="7">
        <f>IFERROR(__xludf.DUMMYFUNCTION("""COMPUTED_VALUE"""),8.0)</f>
        <v>8</v>
      </c>
      <c r="B298" s="7" t="str">
        <f>IFERROR(__xludf.DUMMYFUNCTION("""COMPUTED_VALUE"""),"Văn phòng")</f>
        <v>Văn phòng</v>
      </c>
      <c r="C298" s="7" t="str">
        <f>IFERROR(__xludf.DUMMYFUNCTION("""COMPUTED_VALUE"""),"Thanh tra sản xuất - KCS")</f>
        <v>Thanh tra sản xuất - KCS</v>
      </c>
      <c r="D298" s="7" t="str">
        <f>IFERROR(__xludf.DUMMYFUNCTION("""COMPUTED_VALUE"""),"Tổ thanh tra sản xuất")</f>
        <v>Tổ thanh tra sản xuất</v>
      </c>
      <c r="E298" s="7" t="str">
        <f>IFERROR(__xludf.DUMMYFUNCTION("""COMPUTED_VALUE"""),"Nhóm trưởng")</f>
        <v>Nhóm trưởng</v>
      </c>
      <c r="F298" s="7" t="str">
        <f>IFERROR(__xludf.DUMMYFUNCTION("""COMPUTED_VALUE"""),"NV0160")</f>
        <v>NV0160</v>
      </c>
      <c r="G298" s="7">
        <f>IFERROR(__xludf.DUMMYFUNCTION("""COMPUTED_VALUE"""),423.0)</f>
        <v>423</v>
      </c>
      <c r="H298" s="7" t="str">
        <f>IFERROR(__xludf.DUMMYFUNCTION("""COMPUTED_VALUE"""),"Lê Thanh Bình")</f>
        <v>Lê Thanh Bình</v>
      </c>
      <c r="I298" s="7" t="str">
        <f>IFERROR(__xludf.DUMMYFUNCTION("""COMPUTED_VALUE"""),"Nam")</f>
        <v>Nam</v>
      </c>
      <c r="J298" s="17">
        <f>IFERROR(__xludf.DUMMYFUNCTION("""COMPUTED_VALUE"""),30204.0)</f>
        <v>30204</v>
      </c>
      <c r="K298" s="7" t="str">
        <f>IFERROR(__xludf.DUMMYFUNCTION("""COMPUTED_VALUE"""),"Phố Đồng Lễ, Xã Đông Hải, Thành phố Thanh Hóa,")</f>
        <v>Phố Đồng Lễ, Xã Đông Hải, Thành phố Thanh Hóa,</v>
      </c>
      <c r="L298" s="7" t="str">
        <f>IFERROR(__xludf.DUMMYFUNCTION("""COMPUTED_VALUE"""),"0986942076")</f>
        <v>0986942076</v>
      </c>
      <c r="M298" s="7" t="str">
        <f>IFERROR(__xludf.DUMMYFUNCTION("""COMPUTED_VALUE"""),"038082021598")</f>
        <v>038082021598</v>
      </c>
      <c r="N298" s="18">
        <f>IFERROR(__xludf.DUMMYFUNCTION("""COMPUTED_VALUE"""),44290.0)</f>
        <v>44290</v>
      </c>
      <c r="O298" s="7" t="str">
        <f>IFERROR(__xludf.DUMMYFUNCTION("""COMPUTED_VALUE"""),"Cục Cảnh sát QLHC về TTXH")</f>
        <v>Cục Cảnh sát QLHC về TTXH</v>
      </c>
      <c r="P298" s="7" t="str">
        <f>IFERROR(__xludf.DUMMYFUNCTION("""COMPUTED_VALUE"""),"Cao đẳng")</f>
        <v>Cao đẳng</v>
      </c>
      <c r="Q298" s="7" t="str">
        <f>IFERROR(__xludf.DUMMYFUNCTION("""COMPUTED_VALUE"""),"Chế tạo máy")</f>
        <v>Chế tạo máy</v>
      </c>
      <c r="R298" s="17">
        <f>IFERROR(__xludf.DUMMYFUNCTION("""COMPUTED_VALUE"""),39548.0)</f>
        <v>39548</v>
      </c>
      <c r="S298" s="19">
        <f>IFERROR(__xludf.DUMMYFUNCTION("""COMPUTED_VALUE"""),39548.0)</f>
        <v>39548</v>
      </c>
      <c r="T298" s="7" t="str">
        <f>IFERROR(__xludf.DUMMYFUNCTION("""COMPUTED_VALUE"""),"Chính thức")</f>
        <v>Chính thức</v>
      </c>
      <c r="U298" s="7"/>
      <c r="V298" s="7" t="str">
        <f>IFERROR(__xludf.DUMMYFUNCTION("""COMPUTED_VALUE"""),"Chính thức")</f>
        <v>Chính thức</v>
      </c>
      <c r="W298" s="7" t="str">
        <f>IFERROR(__xludf.DUMMYFUNCTION("""COMPUTED_VALUE"""),"17 năm 8 tháng")</f>
        <v>17 năm 8 tháng</v>
      </c>
      <c r="X298" s="7"/>
      <c r="Y298" s="7"/>
      <c r="Z298" s="7"/>
    </row>
    <row r="299">
      <c r="A299" s="7">
        <f>IFERROR(__xludf.DUMMYFUNCTION("""COMPUTED_VALUE"""),9.0)</f>
        <v>9</v>
      </c>
      <c r="B299" s="7" t="str">
        <f>IFERROR(__xludf.DUMMYFUNCTION("""COMPUTED_VALUE"""),"Văn phòng")</f>
        <v>Văn phòng</v>
      </c>
      <c r="C299" s="7" t="str">
        <f>IFERROR(__xludf.DUMMYFUNCTION("""COMPUTED_VALUE"""),"Thanh tra sản xuất - KCS")</f>
        <v>Thanh tra sản xuất - KCS</v>
      </c>
      <c r="D299" s="7" t="str">
        <f>IFERROR(__xludf.DUMMYFUNCTION("""COMPUTED_VALUE"""),"Tổ thanh tra sản xuất")</f>
        <v>Tổ thanh tra sản xuất</v>
      </c>
      <c r="E299" s="7" t="str">
        <f>IFERROR(__xludf.DUMMYFUNCTION("""COMPUTED_VALUE"""),"Nhóm trưởng")</f>
        <v>Nhóm trưởng</v>
      </c>
      <c r="F299" s="7" t="str">
        <f>IFERROR(__xludf.DUMMYFUNCTION("""COMPUTED_VALUE"""),"NV0158")</f>
        <v>NV0158</v>
      </c>
      <c r="G299" s="7">
        <f>IFERROR(__xludf.DUMMYFUNCTION("""COMPUTED_VALUE"""),362.0)</f>
        <v>362</v>
      </c>
      <c r="H299" s="7" t="str">
        <f>IFERROR(__xludf.DUMMYFUNCTION("""COMPUTED_VALUE"""),"Nguyễn Trọng Bình")</f>
        <v>Nguyễn Trọng Bình</v>
      </c>
      <c r="I299" s="7" t="str">
        <f>IFERROR(__xludf.DUMMYFUNCTION("""COMPUTED_VALUE"""),"Nam")</f>
        <v>Nam</v>
      </c>
      <c r="J299" s="17">
        <f>IFERROR(__xludf.DUMMYFUNCTION("""COMPUTED_VALUE"""),30937.0)</f>
        <v>30937</v>
      </c>
      <c r="K299" s="7" t="str">
        <f>IFERROR(__xludf.DUMMYFUNCTION("""COMPUTED_VALUE"""),"05/31, Phường Đông Vệ, Thành phố Thanh Hóa,")</f>
        <v>05/31, Phường Đông Vệ, Thành phố Thanh Hóa,</v>
      </c>
      <c r="L299" s="7" t="str">
        <f>IFERROR(__xludf.DUMMYFUNCTION("""COMPUTED_VALUE"""),"0914824826")</f>
        <v>0914824826</v>
      </c>
      <c r="M299" s="7" t="str">
        <f>IFERROR(__xludf.DUMMYFUNCTION("""COMPUTED_VALUE"""),"038084052850")</f>
        <v>038084052850</v>
      </c>
      <c r="N299" s="18">
        <f>IFERROR(__xludf.DUMMYFUNCTION("""COMPUTED_VALUE"""),45678.0)</f>
        <v>45678</v>
      </c>
      <c r="O299" s="7" t="str">
        <f>IFERROR(__xludf.DUMMYFUNCTION("""COMPUTED_VALUE"""),"Bộ công an")</f>
        <v>Bộ công an</v>
      </c>
      <c r="P299" s="7" t="str">
        <f>IFERROR(__xludf.DUMMYFUNCTION("""COMPUTED_VALUE"""),"Trung cấp")</f>
        <v>Trung cấp</v>
      </c>
      <c r="Q299" s="7" t="str">
        <f>IFERROR(__xludf.DUMMYFUNCTION("""COMPUTED_VALUE"""),"Biêu chính viễn thông")</f>
        <v>Biêu chính viễn thông</v>
      </c>
      <c r="R299" s="17">
        <f>IFERROR(__xludf.DUMMYFUNCTION("""COMPUTED_VALUE"""),41579.0)</f>
        <v>41579</v>
      </c>
      <c r="S299" s="19">
        <f>IFERROR(__xludf.DUMMYFUNCTION("""COMPUTED_VALUE"""),41579.0)</f>
        <v>41579</v>
      </c>
      <c r="T299" s="7" t="str">
        <f>IFERROR(__xludf.DUMMYFUNCTION("""COMPUTED_VALUE"""),"Chính thức")</f>
        <v>Chính thức</v>
      </c>
      <c r="U299" s="7"/>
      <c r="V299" s="7" t="str">
        <f>IFERROR(__xludf.DUMMYFUNCTION("""COMPUTED_VALUE"""),"Chính thức")</f>
        <v>Chính thức</v>
      </c>
      <c r="W299" s="7" t="str">
        <f>IFERROR(__xludf.DUMMYFUNCTION("""COMPUTED_VALUE"""),"12 năm 1 tháng")</f>
        <v>12 năm 1 tháng</v>
      </c>
      <c r="X299" s="7"/>
      <c r="Y299" s="7"/>
      <c r="Z299" s="7"/>
    </row>
    <row r="300">
      <c r="A300" s="7">
        <f>IFERROR(__xludf.DUMMYFUNCTION("""COMPUTED_VALUE"""),10.0)</f>
        <v>10</v>
      </c>
      <c r="B300" s="7" t="str">
        <f>IFERROR(__xludf.DUMMYFUNCTION("""COMPUTED_VALUE"""),"Văn phòng")</f>
        <v>Văn phòng</v>
      </c>
      <c r="C300" s="7" t="str">
        <f>IFERROR(__xludf.DUMMYFUNCTION("""COMPUTED_VALUE"""),"Thanh tra sản xuất - KCS")</f>
        <v>Thanh tra sản xuất - KCS</v>
      </c>
      <c r="D300" s="7" t="str">
        <f>IFERROR(__xludf.DUMMYFUNCTION("""COMPUTED_VALUE"""),"Tổ thanh tra sản xuất")</f>
        <v>Tổ thanh tra sản xuất</v>
      </c>
      <c r="E300" s="7" t="str">
        <f>IFERROR(__xludf.DUMMYFUNCTION("""COMPUTED_VALUE"""),"Nhóm trưởng")</f>
        <v>Nhóm trưởng</v>
      </c>
      <c r="F300" s="7" t="str">
        <f>IFERROR(__xludf.DUMMYFUNCTION("""COMPUTED_VALUE"""),"NV0157")</f>
        <v>NV0157</v>
      </c>
      <c r="G300" s="7">
        <f>IFERROR(__xludf.DUMMYFUNCTION("""COMPUTED_VALUE"""),177.0)</f>
        <v>177</v>
      </c>
      <c r="H300" s="7" t="str">
        <f>IFERROR(__xludf.DUMMYFUNCTION("""COMPUTED_VALUE"""),"Lê Khả Hoàng")</f>
        <v>Lê Khả Hoàng</v>
      </c>
      <c r="I300" s="7" t="str">
        <f>IFERROR(__xludf.DUMMYFUNCTION("""COMPUTED_VALUE"""),"Nam")</f>
        <v>Nam</v>
      </c>
      <c r="J300" s="17">
        <f>IFERROR(__xludf.DUMMYFUNCTION("""COMPUTED_VALUE"""),31487.0)</f>
        <v>31487</v>
      </c>
      <c r="K300" s="7" t="str">
        <f>IFERROR(__xludf.DUMMYFUNCTION("""COMPUTED_VALUE"""),"Xã Quảng Bình - Quảng Xương - Thanh Hóa")</f>
        <v>Xã Quảng Bình - Quảng Xương - Thanh Hóa</v>
      </c>
      <c r="L300" s="7" t="str">
        <f>IFERROR(__xludf.DUMMYFUNCTION("""COMPUTED_VALUE"""),"0363729827")</f>
        <v>0363729827</v>
      </c>
      <c r="M300" s="7" t="str">
        <f>IFERROR(__xludf.DUMMYFUNCTION("""COMPUTED_VALUE"""),"038086024070")</f>
        <v>038086024070</v>
      </c>
      <c r="N300" s="18">
        <f>IFERROR(__xludf.DUMMYFUNCTION("""COMPUTED_VALUE"""),44305.0)</f>
        <v>44305</v>
      </c>
      <c r="O300" s="7" t="str">
        <f>IFERROR(__xludf.DUMMYFUNCTION("""COMPUTED_VALUE"""),"Cục Cảnh sát QLHC về TTXH")</f>
        <v>Cục Cảnh sát QLHC về TTXH</v>
      </c>
      <c r="P300" s="7" t="str">
        <f>IFERROR(__xludf.DUMMYFUNCTION("""COMPUTED_VALUE"""),"Cao đẳng")</f>
        <v>Cao đẳng</v>
      </c>
      <c r="Q300" s="7" t="str">
        <f>IFERROR(__xludf.DUMMYFUNCTION("""COMPUTED_VALUE"""),"Hóa dầu")</f>
        <v>Hóa dầu</v>
      </c>
      <c r="R300" s="17">
        <f>IFERROR(__xludf.DUMMYFUNCTION("""COMPUTED_VALUE"""),39203.0)</f>
        <v>39203</v>
      </c>
      <c r="S300" s="19">
        <f>IFERROR(__xludf.DUMMYFUNCTION("""COMPUTED_VALUE"""),39203.0)</f>
        <v>39203</v>
      </c>
      <c r="T300" s="7" t="str">
        <f>IFERROR(__xludf.DUMMYFUNCTION("""COMPUTED_VALUE"""),"Chính thức")</f>
        <v>Chính thức</v>
      </c>
      <c r="U300" s="7"/>
      <c r="V300" s="7" t="str">
        <f>IFERROR(__xludf.DUMMYFUNCTION("""COMPUTED_VALUE"""),"Chính thức")</f>
        <v>Chính thức</v>
      </c>
      <c r="W300" s="7" t="str">
        <f>IFERROR(__xludf.DUMMYFUNCTION("""COMPUTED_VALUE"""),"18 năm 7 tháng")</f>
        <v>18 năm 7 tháng</v>
      </c>
      <c r="X300" s="7"/>
      <c r="Y300" s="7"/>
      <c r="Z300" s="7"/>
    </row>
    <row r="301">
      <c r="A301" s="7">
        <f>IFERROR(__xludf.DUMMYFUNCTION("""COMPUTED_VALUE"""),11.0)</f>
        <v>11</v>
      </c>
      <c r="B301" s="7" t="str">
        <f>IFERROR(__xludf.DUMMYFUNCTION("""COMPUTED_VALUE"""),"Văn phòng")</f>
        <v>Văn phòng</v>
      </c>
      <c r="C301" s="7" t="str">
        <f>IFERROR(__xludf.DUMMYFUNCTION("""COMPUTED_VALUE"""),"Thanh tra sản xuất - KCS")</f>
        <v>Thanh tra sản xuất - KCS</v>
      </c>
      <c r="D301" s="7" t="str">
        <f>IFERROR(__xludf.DUMMYFUNCTION("""COMPUTED_VALUE"""),"Tổ thanh tra sản xuất")</f>
        <v>Tổ thanh tra sản xuất</v>
      </c>
      <c r="E301" s="7" t="str">
        <f>IFERROR(__xludf.DUMMYFUNCTION("""COMPUTED_VALUE"""),"Nhân viên KCS")</f>
        <v>Nhân viên KCS</v>
      </c>
      <c r="F301" s="7" t="str">
        <f>IFERROR(__xludf.DUMMYFUNCTION("""COMPUTED_VALUE"""),"NV0161")</f>
        <v>NV0161</v>
      </c>
      <c r="G301" s="7">
        <f>IFERROR(__xludf.DUMMYFUNCTION("""COMPUTED_VALUE"""),422.0)</f>
        <v>422</v>
      </c>
      <c r="H301" s="7" t="str">
        <f>IFERROR(__xludf.DUMMYFUNCTION("""COMPUTED_VALUE"""),"Lê Xuân Cảnh")</f>
        <v>Lê Xuân Cảnh</v>
      </c>
      <c r="I301" s="7" t="str">
        <f>IFERROR(__xludf.DUMMYFUNCTION("""COMPUTED_VALUE"""),"Nam")</f>
        <v>Nam</v>
      </c>
      <c r="J301" s="17">
        <f>IFERROR(__xludf.DUMMYFUNCTION("""COMPUTED_VALUE"""),32536.0)</f>
        <v>32536</v>
      </c>
      <c r="K301" s="7" t="str">
        <f>IFERROR(__xludf.DUMMYFUNCTION("""COMPUTED_VALUE"""),"Đông Thịnh - Đông Sơn - Thanh Hóa")</f>
        <v>Đông Thịnh - Đông Sơn - Thanh Hóa</v>
      </c>
      <c r="L301" s="7" t="str">
        <f>IFERROR(__xludf.DUMMYFUNCTION("""COMPUTED_VALUE"""),"0348697412")</f>
        <v>0348697412</v>
      </c>
      <c r="M301" s="7" t="str">
        <f>IFERROR(__xludf.DUMMYFUNCTION("""COMPUTED_VALUE"""),"038089042578")</f>
        <v>038089042578</v>
      </c>
      <c r="N301" s="18">
        <f>IFERROR(__xludf.DUMMYFUNCTION("""COMPUTED_VALUE"""),44423.0)</f>
        <v>44423</v>
      </c>
      <c r="O301" s="7" t="str">
        <f>IFERROR(__xludf.DUMMYFUNCTION("""COMPUTED_VALUE"""),"Cục Cảnh sát QLHC về TTXH")</f>
        <v>Cục Cảnh sát QLHC về TTXH</v>
      </c>
      <c r="P301" s="7" t="str">
        <f>IFERROR(__xludf.DUMMYFUNCTION("""COMPUTED_VALUE"""),"Cử nhân")</f>
        <v>Cử nhân</v>
      </c>
      <c r="Q301" s="7" t="str">
        <f>IFERROR(__xludf.DUMMYFUNCTION("""COMPUTED_VALUE"""),"Hóa")</f>
        <v>Hóa</v>
      </c>
      <c r="R301" s="17">
        <f>IFERROR(__xludf.DUMMYFUNCTION("""COMPUTED_VALUE"""),41944.0)</f>
        <v>41944</v>
      </c>
      <c r="S301" s="19">
        <f>IFERROR(__xludf.DUMMYFUNCTION("""COMPUTED_VALUE"""),41944.0)</f>
        <v>41944</v>
      </c>
      <c r="T301" s="7" t="str">
        <f>IFERROR(__xludf.DUMMYFUNCTION("""COMPUTED_VALUE"""),"Chính thức")</f>
        <v>Chính thức</v>
      </c>
      <c r="U301" s="7"/>
      <c r="V301" s="7" t="str">
        <f>IFERROR(__xludf.DUMMYFUNCTION("""COMPUTED_VALUE"""),"Chính thức")</f>
        <v>Chính thức</v>
      </c>
      <c r="W301" s="7" t="str">
        <f>IFERROR(__xludf.DUMMYFUNCTION("""COMPUTED_VALUE"""),"11 năm 1 tháng")</f>
        <v>11 năm 1 tháng</v>
      </c>
      <c r="X301" s="7"/>
      <c r="Y301" s="7"/>
      <c r="Z301" s="7"/>
    </row>
    <row r="302">
      <c r="A302" s="7">
        <f>IFERROR(__xludf.DUMMYFUNCTION("""COMPUTED_VALUE"""),12.0)</f>
        <v>12</v>
      </c>
      <c r="B302" s="7" t="str">
        <f>IFERROR(__xludf.DUMMYFUNCTION("""COMPUTED_VALUE"""),"Văn phòng")</f>
        <v>Văn phòng</v>
      </c>
      <c r="C302" s="7" t="str">
        <f>IFERROR(__xludf.DUMMYFUNCTION("""COMPUTED_VALUE"""),"Thanh tra sản xuất - KCS")</f>
        <v>Thanh tra sản xuất - KCS</v>
      </c>
      <c r="D302" s="7" t="str">
        <f>IFERROR(__xludf.DUMMYFUNCTION("""COMPUTED_VALUE"""),"Tổ thanh tra sản xuất")</f>
        <v>Tổ thanh tra sản xuất</v>
      </c>
      <c r="E302" s="7" t="str">
        <f>IFERROR(__xludf.DUMMYFUNCTION("""COMPUTED_VALUE"""),"Nhân viên KCS")</f>
        <v>Nhân viên KCS</v>
      </c>
      <c r="F302" s="7" t="str">
        <f>IFERROR(__xludf.DUMMYFUNCTION("""COMPUTED_VALUE"""),"NV0153")</f>
        <v>NV0153</v>
      </c>
      <c r="G302" s="7">
        <f>IFERROR(__xludf.DUMMYFUNCTION("""COMPUTED_VALUE"""),179.0)</f>
        <v>179</v>
      </c>
      <c r="H302" s="7" t="str">
        <f>IFERROR(__xludf.DUMMYFUNCTION("""COMPUTED_VALUE"""),"Lê Thị Hải")</f>
        <v>Lê Thị Hải</v>
      </c>
      <c r="I302" s="7" t="str">
        <f>IFERROR(__xludf.DUMMYFUNCTION("""COMPUTED_VALUE"""),"Nữ")</f>
        <v>Nữ</v>
      </c>
      <c r="J302" s="17">
        <f>IFERROR(__xludf.DUMMYFUNCTION("""COMPUTED_VALUE"""),29655.0)</f>
        <v>29655</v>
      </c>
      <c r="K302" s="7" t="str">
        <f>IFERROR(__xludf.DUMMYFUNCTION("""COMPUTED_VALUE"""),"Xã Thiệu Quang, Huyện Thiệu Hoá, Thanh Hóa")</f>
        <v>Xã Thiệu Quang, Huyện Thiệu Hoá, Thanh Hóa</v>
      </c>
      <c r="L302" s="7" t="str">
        <f>IFERROR(__xludf.DUMMYFUNCTION("""COMPUTED_VALUE"""),"0362200268")</f>
        <v>0362200268</v>
      </c>
      <c r="M302" s="7" t="str">
        <f>IFERROR(__xludf.DUMMYFUNCTION("""COMPUTED_VALUE"""),"038181013135")</f>
        <v>038181013135</v>
      </c>
      <c r="N302" s="18">
        <f>IFERROR(__xludf.DUMMYFUNCTION("""COMPUTED_VALUE"""),44853.0)</f>
        <v>44853</v>
      </c>
      <c r="O302" s="7" t="str">
        <f>IFERROR(__xludf.DUMMYFUNCTION("""COMPUTED_VALUE"""),"Cục Cảnh sát QLHC về TTXH")</f>
        <v>Cục Cảnh sát QLHC về TTXH</v>
      </c>
      <c r="P302" s="7" t="str">
        <f>IFERROR(__xludf.DUMMYFUNCTION("""COMPUTED_VALUE"""),"LĐPT")</f>
        <v>LĐPT</v>
      </c>
      <c r="Q302" s="7" t="str">
        <f>IFERROR(__xludf.DUMMYFUNCTION("""COMPUTED_VALUE"""),"Lao động phổ thông")</f>
        <v>Lao động phổ thông</v>
      </c>
      <c r="R302" s="17">
        <f>IFERROR(__xludf.DUMMYFUNCTION("""COMPUTED_VALUE"""),36956.0)</f>
        <v>36956</v>
      </c>
      <c r="S302" s="19">
        <f>IFERROR(__xludf.DUMMYFUNCTION("""COMPUTED_VALUE"""),36956.0)</f>
        <v>36956</v>
      </c>
      <c r="T302" s="7" t="str">
        <f>IFERROR(__xludf.DUMMYFUNCTION("""COMPUTED_VALUE"""),"Chính thức")</f>
        <v>Chính thức</v>
      </c>
      <c r="U302" s="7"/>
      <c r="V302" s="7" t="str">
        <f>IFERROR(__xludf.DUMMYFUNCTION("""COMPUTED_VALUE"""),"Chính thức")</f>
        <v>Chính thức</v>
      </c>
      <c r="W302" s="7" t="str">
        <f>IFERROR(__xludf.DUMMYFUNCTION("""COMPUTED_VALUE"""),"24 năm 9 tháng")</f>
        <v>24 năm 9 tháng</v>
      </c>
      <c r="X302" s="7"/>
      <c r="Y302" s="7"/>
      <c r="Z302" s="7"/>
    </row>
    <row r="303">
      <c r="A303" s="7">
        <f>IFERROR(__xludf.DUMMYFUNCTION("""COMPUTED_VALUE"""),13.0)</f>
        <v>13</v>
      </c>
      <c r="B303" s="7" t="str">
        <f>IFERROR(__xludf.DUMMYFUNCTION("""COMPUTED_VALUE"""),"Văn phòng")</f>
        <v>Văn phòng</v>
      </c>
      <c r="C303" s="7" t="str">
        <f>IFERROR(__xludf.DUMMYFUNCTION("""COMPUTED_VALUE"""),"Thanh tra sản xuất - KCS")</f>
        <v>Thanh tra sản xuất - KCS</v>
      </c>
      <c r="D303" s="7" t="str">
        <f>IFERROR(__xludf.DUMMYFUNCTION("""COMPUTED_VALUE"""),"Tổ thanh tra sản xuất")</f>
        <v>Tổ thanh tra sản xuất</v>
      </c>
      <c r="E303" s="7" t="str">
        <f>IFERROR(__xludf.DUMMYFUNCTION("""COMPUTED_VALUE"""),"Nhân viên KCS")</f>
        <v>Nhân viên KCS</v>
      </c>
      <c r="F303" s="7" t="str">
        <f>IFERROR(__xludf.DUMMYFUNCTION("""COMPUTED_VALUE"""),"NV0163")</f>
        <v>NV0163</v>
      </c>
      <c r="G303" s="7">
        <f>IFERROR(__xludf.DUMMYFUNCTION("""COMPUTED_VALUE"""),114.0)</f>
        <v>114</v>
      </c>
      <c r="H303" s="7" t="str">
        <f>IFERROR(__xludf.DUMMYFUNCTION("""COMPUTED_VALUE"""),"Nguyễn Thị Hiền")</f>
        <v>Nguyễn Thị Hiền</v>
      </c>
      <c r="I303" s="7" t="str">
        <f>IFERROR(__xludf.DUMMYFUNCTION("""COMPUTED_VALUE"""),"Nữ")</f>
        <v>Nữ</v>
      </c>
      <c r="J303" s="17">
        <f>IFERROR(__xludf.DUMMYFUNCTION("""COMPUTED_VALUE"""),29457.0)</f>
        <v>29457</v>
      </c>
      <c r="K303" s="7" t="str">
        <f>IFERROR(__xludf.DUMMYFUNCTION("""COMPUTED_VALUE"""),"Xã Hoằng Thành, Huyện Hoằng Hóa, Thanh Hóa,")</f>
        <v>Xã Hoằng Thành, Huyện Hoằng Hóa, Thanh Hóa,</v>
      </c>
      <c r="L303" s="7" t="str">
        <f>IFERROR(__xludf.DUMMYFUNCTION("""COMPUTED_VALUE"""),"0943861128")</f>
        <v>0943861128</v>
      </c>
      <c r="M303" s="7" t="str">
        <f>IFERROR(__xludf.DUMMYFUNCTION("""COMPUTED_VALUE"""),"030180015166")</f>
        <v>030180015166</v>
      </c>
      <c r="N303" s="18">
        <f>IFERROR(__xludf.DUMMYFUNCTION("""COMPUTED_VALUE"""),44445.0)</f>
        <v>44445</v>
      </c>
      <c r="O303" s="7" t="str">
        <f>IFERROR(__xludf.DUMMYFUNCTION("""COMPUTED_VALUE"""),"Cục Cảnh sát QLHC về TTXH")</f>
        <v>Cục Cảnh sát QLHC về TTXH</v>
      </c>
      <c r="P303" s="7" t="str">
        <f>IFERROR(__xludf.DUMMYFUNCTION("""COMPUTED_VALUE"""),"LĐPT")</f>
        <v>LĐPT</v>
      </c>
      <c r="Q303" s="7" t="str">
        <f>IFERROR(__xludf.DUMMYFUNCTION("""COMPUTED_VALUE"""),"Lao động phổ thông")</f>
        <v>Lao động phổ thông</v>
      </c>
      <c r="R303" s="17">
        <f>IFERROR(__xludf.DUMMYFUNCTION("""COMPUTED_VALUE"""),37089.0)</f>
        <v>37089</v>
      </c>
      <c r="S303" s="19">
        <f>IFERROR(__xludf.DUMMYFUNCTION("""COMPUTED_VALUE"""),37089.0)</f>
        <v>37089</v>
      </c>
      <c r="T303" s="7" t="str">
        <f>IFERROR(__xludf.DUMMYFUNCTION("""COMPUTED_VALUE"""),"Chính thức")</f>
        <v>Chính thức</v>
      </c>
      <c r="U303" s="7"/>
      <c r="V303" s="7" t="str">
        <f>IFERROR(__xludf.DUMMYFUNCTION("""COMPUTED_VALUE"""),"Chính thức")</f>
        <v>Chính thức</v>
      </c>
      <c r="W303" s="7" t="str">
        <f>IFERROR(__xludf.DUMMYFUNCTION("""COMPUTED_VALUE"""),"24 năm 5 tháng")</f>
        <v>24 năm 5 tháng</v>
      </c>
      <c r="X303" s="7"/>
      <c r="Y303" s="7"/>
      <c r="Z303" s="7"/>
    </row>
    <row r="304">
      <c r="A304" s="7">
        <f>IFERROR(__xludf.DUMMYFUNCTION("""COMPUTED_VALUE"""),14.0)</f>
        <v>14</v>
      </c>
      <c r="B304" s="7" t="str">
        <f>IFERROR(__xludf.DUMMYFUNCTION("""COMPUTED_VALUE"""),"Văn phòng")</f>
        <v>Văn phòng</v>
      </c>
      <c r="C304" s="7" t="str">
        <f>IFERROR(__xludf.DUMMYFUNCTION("""COMPUTED_VALUE"""),"Thanh tra sản xuất - KCS")</f>
        <v>Thanh tra sản xuất - KCS</v>
      </c>
      <c r="D304" s="7" t="str">
        <f>IFERROR(__xludf.DUMMYFUNCTION("""COMPUTED_VALUE"""),"Tổ thanh tra sản xuất")</f>
        <v>Tổ thanh tra sản xuất</v>
      </c>
      <c r="E304" s="7" t="str">
        <f>IFERROR(__xludf.DUMMYFUNCTION("""COMPUTED_VALUE"""),"Nhân viên KCS")</f>
        <v>Nhân viên KCS</v>
      </c>
      <c r="F304" s="7" t="str">
        <f>IFERROR(__xludf.DUMMYFUNCTION("""COMPUTED_VALUE"""),"NV0155")</f>
        <v>NV0155</v>
      </c>
      <c r="G304" s="7">
        <f>IFERROR(__xludf.DUMMYFUNCTION("""COMPUTED_VALUE"""),115.0)</f>
        <v>115</v>
      </c>
      <c r="H304" s="7" t="str">
        <f>IFERROR(__xludf.DUMMYFUNCTION("""COMPUTED_VALUE"""),"Nguyễn Xuân Mạnh")</f>
        <v>Nguyễn Xuân Mạnh</v>
      </c>
      <c r="I304" s="7" t="str">
        <f>IFERROR(__xludf.DUMMYFUNCTION("""COMPUTED_VALUE"""),"Nam")</f>
        <v>Nam</v>
      </c>
      <c r="J304" s="17">
        <f>IFERROR(__xludf.DUMMYFUNCTION("""COMPUTED_VALUE"""),32717.0)</f>
        <v>32717</v>
      </c>
      <c r="K304" s="7" t="str">
        <f>IFERROR(__xludf.DUMMYFUNCTION("""COMPUTED_VALUE"""),"Xã Quảng Phú - TP Thanh Hóa")</f>
        <v>Xã Quảng Phú - TP Thanh Hóa</v>
      </c>
      <c r="L304" s="7" t="str">
        <f>IFERROR(__xludf.DUMMYFUNCTION("""COMPUTED_VALUE"""),"0338990724")</f>
        <v>0338990724</v>
      </c>
      <c r="M304" s="7" t="str">
        <f>IFERROR(__xludf.DUMMYFUNCTION("""COMPUTED_VALUE"""),"038089010874")</f>
        <v>038089010874</v>
      </c>
      <c r="N304" s="18">
        <f>IFERROR(__xludf.DUMMYFUNCTION("""COMPUTED_VALUE"""),44534.0)</f>
        <v>44534</v>
      </c>
      <c r="O304" s="7" t="str">
        <f>IFERROR(__xludf.DUMMYFUNCTION("""COMPUTED_VALUE"""),"Cục Cảnh sát QLHC về TTXH")</f>
        <v>Cục Cảnh sát QLHC về TTXH</v>
      </c>
      <c r="P304" s="7" t="str">
        <f>IFERROR(__xludf.DUMMYFUNCTION("""COMPUTED_VALUE"""),"LĐPT")</f>
        <v>LĐPT</v>
      </c>
      <c r="Q304" s="7" t="str">
        <f>IFERROR(__xludf.DUMMYFUNCTION("""COMPUTED_VALUE"""),"Lao động phổ thông")</f>
        <v>Lao động phổ thông</v>
      </c>
      <c r="R304" s="17">
        <f>IFERROR(__xludf.DUMMYFUNCTION("""COMPUTED_VALUE"""),40806.0)</f>
        <v>40806</v>
      </c>
      <c r="S304" s="19">
        <f>IFERROR(__xludf.DUMMYFUNCTION("""COMPUTED_VALUE"""),40806.0)</f>
        <v>40806</v>
      </c>
      <c r="T304" s="7" t="str">
        <f>IFERROR(__xludf.DUMMYFUNCTION("""COMPUTED_VALUE"""),"Chính thức")</f>
        <v>Chính thức</v>
      </c>
      <c r="U304" s="7"/>
      <c r="V304" s="7" t="str">
        <f>IFERROR(__xludf.DUMMYFUNCTION("""COMPUTED_VALUE"""),"Chính thức")</f>
        <v>Chính thức</v>
      </c>
      <c r="W304" s="7" t="str">
        <f>IFERROR(__xludf.DUMMYFUNCTION("""COMPUTED_VALUE"""),"14 năm 3 tháng")</f>
        <v>14 năm 3 tháng</v>
      </c>
      <c r="X304" s="7"/>
      <c r="Y304" s="7"/>
      <c r="Z304" s="7"/>
    </row>
    <row r="305">
      <c r="A305" s="7">
        <f>IFERROR(__xludf.DUMMYFUNCTION("""COMPUTED_VALUE"""),15.0)</f>
        <v>15</v>
      </c>
      <c r="B305" s="7" t="str">
        <f>IFERROR(__xludf.DUMMYFUNCTION("""COMPUTED_VALUE"""),"Văn phòng")</f>
        <v>Văn phòng</v>
      </c>
      <c r="C305" s="7" t="str">
        <f>IFERROR(__xludf.DUMMYFUNCTION("""COMPUTED_VALUE"""),"Thanh tra sản xuất - KCS")</f>
        <v>Thanh tra sản xuất - KCS</v>
      </c>
      <c r="D305" s="7" t="str">
        <f>IFERROR(__xludf.DUMMYFUNCTION("""COMPUTED_VALUE"""),"Tổ thanh tra sản xuất")</f>
        <v>Tổ thanh tra sản xuất</v>
      </c>
      <c r="E305" s="7" t="str">
        <f>IFERROR(__xludf.DUMMYFUNCTION("""COMPUTED_VALUE"""),"Nhân viên KCS")</f>
        <v>Nhân viên KCS</v>
      </c>
      <c r="F305" s="7" t="str">
        <f>IFERROR(__xludf.DUMMYFUNCTION("""COMPUTED_VALUE"""),"NV0474")</f>
        <v>NV0474</v>
      </c>
      <c r="G305" s="7">
        <f>IFERROR(__xludf.DUMMYFUNCTION("""COMPUTED_VALUE"""),112.0)</f>
        <v>112</v>
      </c>
      <c r="H305" s="7" t="str">
        <f>IFERROR(__xludf.DUMMYFUNCTION("""COMPUTED_VALUE"""),"Lê Thị Thoa")</f>
        <v>Lê Thị Thoa</v>
      </c>
      <c r="I305" s="7" t="str">
        <f>IFERROR(__xludf.DUMMYFUNCTION("""COMPUTED_VALUE"""),"Nữ")</f>
        <v>Nữ</v>
      </c>
      <c r="J305" s="17">
        <f>IFERROR(__xludf.DUMMYFUNCTION("""COMPUTED_VALUE"""),29806.0)</f>
        <v>29806</v>
      </c>
      <c r="K305" s="7" t="str">
        <f>IFERROR(__xludf.DUMMYFUNCTION("""COMPUTED_VALUE"""),"Phố 2, Xã Quảng Hưng, Thành phố Thanh Hóa,")</f>
        <v>Phố 2, Xã Quảng Hưng, Thành phố Thanh Hóa,</v>
      </c>
      <c r="L305" s="7" t="str">
        <f>IFERROR(__xludf.DUMMYFUNCTION("""COMPUTED_VALUE"""),"0346759949")</f>
        <v>0346759949</v>
      </c>
      <c r="M305" s="7" t="str">
        <f>IFERROR(__xludf.DUMMYFUNCTION("""COMPUTED_VALUE"""),"038181002525")</f>
        <v>038181002525</v>
      </c>
      <c r="N305" s="18">
        <f>IFERROR(__xludf.DUMMYFUNCTION("""COMPUTED_VALUE"""),44419.0)</f>
        <v>44419</v>
      </c>
      <c r="O305" s="7" t="str">
        <f>IFERROR(__xludf.DUMMYFUNCTION("""COMPUTED_VALUE"""),"Cục Cảnh sát QLHC về TTXH")</f>
        <v>Cục Cảnh sát QLHC về TTXH</v>
      </c>
      <c r="P305" s="7" t="str">
        <f>IFERROR(__xludf.DUMMYFUNCTION("""COMPUTED_VALUE"""),"LĐPT")</f>
        <v>LĐPT</v>
      </c>
      <c r="Q305" s="7" t="str">
        <f>IFERROR(__xludf.DUMMYFUNCTION("""COMPUTED_VALUE"""),"Lao động phổ thông")</f>
        <v>Lao động phổ thông</v>
      </c>
      <c r="R305" s="17">
        <f>IFERROR(__xludf.DUMMYFUNCTION("""COMPUTED_VALUE"""),37090.0)</f>
        <v>37090</v>
      </c>
      <c r="S305" s="19">
        <f>IFERROR(__xludf.DUMMYFUNCTION("""COMPUTED_VALUE"""),37090.0)</f>
        <v>37090</v>
      </c>
      <c r="T305" s="7" t="str">
        <f>IFERROR(__xludf.DUMMYFUNCTION("""COMPUTED_VALUE"""),"Chính thức")</f>
        <v>Chính thức</v>
      </c>
      <c r="U305" s="7"/>
      <c r="V305" s="7" t="str">
        <f>IFERROR(__xludf.DUMMYFUNCTION("""COMPUTED_VALUE"""),"Chính thức")</f>
        <v>Chính thức</v>
      </c>
      <c r="W305" s="7" t="str">
        <f>IFERROR(__xludf.DUMMYFUNCTION("""COMPUTED_VALUE"""),"24 năm 5 tháng")</f>
        <v>24 năm 5 tháng</v>
      </c>
      <c r="X305" s="7"/>
      <c r="Y305" s="7"/>
      <c r="Z305" s="7"/>
    </row>
    <row r="306">
      <c r="A306" s="7">
        <f>IFERROR(__xludf.DUMMYFUNCTION("""COMPUTED_VALUE"""),16.0)</f>
        <v>16</v>
      </c>
      <c r="B306" s="7" t="str">
        <f>IFERROR(__xludf.DUMMYFUNCTION("""COMPUTED_VALUE"""),"Văn phòng")</f>
        <v>Văn phòng</v>
      </c>
      <c r="C306" s="7" t="str">
        <f>IFERROR(__xludf.DUMMYFUNCTION("""COMPUTED_VALUE"""),"Thanh tra sản xuất - KCS")</f>
        <v>Thanh tra sản xuất - KCS</v>
      </c>
      <c r="D306" s="7" t="str">
        <f>IFERROR(__xludf.DUMMYFUNCTION("""COMPUTED_VALUE"""),"Tổ thanh tra sản xuất")</f>
        <v>Tổ thanh tra sản xuất</v>
      </c>
      <c r="E306" s="7" t="str">
        <f>IFERROR(__xludf.DUMMYFUNCTION("""COMPUTED_VALUE"""),"Nhân viên KCS")</f>
        <v>Nhân viên KCS</v>
      </c>
      <c r="F306" s="7" t="str">
        <f>IFERROR(__xludf.DUMMYFUNCTION("""COMPUTED_VALUE"""),"NV0156")</f>
        <v>NV0156</v>
      </c>
      <c r="G306" s="7">
        <f>IFERROR(__xludf.DUMMYFUNCTION("""COMPUTED_VALUE"""),185.0)</f>
        <v>185</v>
      </c>
      <c r="H306" s="7" t="str">
        <f>IFERROR(__xludf.DUMMYFUNCTION("""COMPUTED_VALUE"""),"Bùi Thị Xinh")</f>
        <v>Bùi Thị Xinh</v>
      </c>
      <c r="I306" s="7" t="str">
        <f>IFERROR(__xludf.DUMMYFUNCTION("""COMPUTED_VALUE"""),"Nữ")</f>
        <v>Nữ</v>
      </c>
      <c r="J306" s="17">
        <f>IFERROR(__xludf.DUMMYFUNCTION("""COMPUTED_VALUE"""),35287.0)</f>
        <v>35287</v>
      </c>
      <c r="K306" s="7" t="str">
        <f>IFERROR(__xludf.DUMMYFUNCTION("""COMPUTED_VALUE"""),"Hoằng Châu - Hoằng Hóa - Thanh Hóa")</f>
        <v>Hoằng Châu - Hoằng Hóa - Thanh Hóa</v>
      </c>
      <c r="L306" s="7" t="str">
        <f>IFERROR(__xludf.DUMMYFUNCTION("""COMPUTED_VALUE"""),"0986240809")</f>
        <v>0986240809</v>
      </c>
      <c r="M306" s="7" t="str">
        <f>IFERROR(__xludf.DUMMYFUNCTION("""COMPUTED_VALUE"""),"038196034897")</f>
        <v>038196034897</v>
      </c>
      <c r="N306" s="18">
        <f>IFERROR(__xludf.DUMMYFUNCTION("""COMPUTED_VALUE"""),44417.0)</f>
        <v>44417</v>
      </c>
      <c r="O306" s="7" t="str">
        <f>IFERROR(__xludf.DUMMYFUNCTION("""COMPUTED_VALUE"""),"Cục Cảnh sát QLHC về TTXH")</f>
        <v>Cục Cảnh sát QLHC về TTXH</v>
      </c>
      <c r="P306" s="7" t="str">
        <f>IFERROR(__xludf.DUMMYFUNCTION("""COMPUTED_VALUE"""),"LĐPT")</f>
        <v>LĐPT</v>
      </c>
      <c r="Q306" s="7" t="str">
        <f>IFERROR(__xludf.DUMMYFUNCTION("""COMPUTED_VALUE"""),"Lao động phổ thông")</f>
        <v>Lao động phổ thông</v>
      </c>
      <c r="R306" s="17">
        <f>IFERROR(__xludf.DUMMYFUNCTION("""COMPUTED_VALUE"""),41813.0)</f>
        <v>41813</v>
      </c>
      <c r="S306" s="19">
        <f>IFERROR(__xludf.DUMMYFUNCTION("""COMPUTED_VALUE"""),41813.0)</f>
        <v>41813</v>
      </c>
      <c r="T306" s="7" t="str">
        <f>IFERROR(__xludf.DUMMYFUNCTION("""COMPUTED_VALUE"""),"Chính thức")</f>
        <v>Chính thức</v>
      </c>
      <c r="U306" s="7"/>
      <c r="V306" s="7" t="str">
        <f>IFERROR(__xludf.DUMMYFUNCTION("""COMPUTED_VALUE"""),"Chính thức")</f>
        <v>Chính thức</v>
      </c>
      <c r="W306" s="7" t="str">
        <f>IFERROR(__xludf.DUMMYFUNCTION("""COMPUTED_VALUE"""),"11 năm 6 tháng")</f>
        <v>11 năm 6 tháng</v>
      </c>
      <c r="X306" s="7"/>
      <c r="Y306" s="7"/>
      <c r="Z306" s="7"/>
    </row>
    <row r="307">
      <c r="A307" s="7">
        <f>IFERROR(__xludf.DUMMYFUNCTION("""COMPUTED_VALUE"""),17.0)</f>
        <v>17</v>
      </c>
      <c r="B307" s="7" t="str">
        <f>IFERROR(__xludf.DUMMYFUNCTION("""COMPUTED_VALUE"""),"Văn phòng")</f>
        <v>Văn phòng</v>
      </c>
      <c r="C307" s="7" t="str">
        <f>IFERROR(__xludf.DUMMYFUNCTION("""COMPUTED_VALUE"""),"Thanh tra sản xuất - KCS")</f>
        <v>Thanh tra sản xuất - KCS</v>
      </c>
      <c r="D307" s="7" t="str">
        <f>IFERROR(__xludf.DUMMYFUNCTION("""COMPUTED_VALUE"""),"Tổ thanh tra sản xuất")</f>
        <v>Tổ thanh tra sản xuất</v>
      </c>
      <c r="E307" s="7" t="str">
        <f>IFERROR(__xludf.DUMMYFUNCTION("""COMPUTED_VALUE"""),"Nhân viên KCS")</f>
        <v>Nhân viên KCS</v>
      </c>
      <c r="F307" s="7" t="str">
        <f>IFERROR(__xludf.DUMMYFUNCTION("""COMPUTED_VALUE"""),"NV1435")</f>
        <v>NV1435</v>
      </c>
      <c r="G307" s="7">
        <f>IFERROR(__xludf.DUMMYFUNCTION("""COMPUTED_VALUE"""),176.0)</f>
        <v>176</v>
      </c>
      <c r="H307" s="7" t="str">
        <f>IFERROR(__xludf.DUMMYFUNCTION("""COMPUTED_VALUE"""),"Nguyễn Đình Toàn")</f>
        <v>Nguyễn Đình Toàn</v>
      </c>
      <c r="I307" s="7" t="str">
        <f>IFERROR(__xludf.DUMMYFUNCTION("""COMPUTED_VALUE"""),"Nam")</f>
        <v>Nam</v>
      </c>
      <c r="J307" s="17">
        <f>IFERROR(__xludf.DUMMYFUNCTION("""COMPUTED_VALUE"""),32344.0)</f>
        <v>32344</v>
      </c>
      <c r="K307" s="7" t="str">
        <f>IFERROR(__xludf.DUMMYFUNCTION("""COMPUTED_VALUE"""),"Thôn 5 - Quảng Hải - Quảng Xương - Thanh Hóa")</f>
        <v>Thôn 5 - Quảng Hải - Quảng Xương - Thanh Hóa</v>
      </c>
      <c r="L307" s="7" t="str">
        <f>IFERROR(__xludf.DUMMYFUNCTION("""COMPUTED_VALUE"""),"0972874375")</f>
        <v>0972874375</v>
      </c>
      <c r="M307" s="7" t="str">
        <f>IFERROR(__xludf.DUMMYFUNCTION("""COMPUTED_VALUE"""),"038088027981")</f>
        <v>038088027981</v>
      </c>
      <c r="N307" s="18">
        <f>IFERROR(__xludf.DUMMYFUNCTION("""COMPUTED_VALUE"""),44420.0)</f>
        <v>44420</v>
      </c>
      <c r="O307" s="7" t="str">
        <f>IFERROR(__xludf.DUMMYFUNCTION("""COMPUTED_VALUE"""),"Cục Cảnh sát QLHC về TTXH")</f>
        <v>Cục Cảnh sát QLHC về TTXH</v>
      </c>
      <c r="P307" s="7" t="str">
        <f>IFERROR(__xludf.DUMMYFUNCTION("""COMPUTED_VALUE"""),"Kỹ sư")</f>
        <v>Kỹ sư</v>
      </c>
      <c r="Q307" s="7" t="str">
        <f>IFERROR(__xludf.DUMMYFUNCTION("""COMPUTED_VALUE"""),"Công nghệ kỹ thuật hóa học")</f>
        <v>Công nghệ kỹ thuật hóa học</v>
      </c>
      <c r="R307" s="17">
        <f>IFERROR(__xludf.DUMMYFUNCTION("""COMPUTED_VALUE"""),43256.0)</f>
        <v>43256</v>
      </c>
      <c r="S307" s="19">
        <f>IFERROR(__xludf.DUMMYFUNCTION("""COMPUTED_VALUE"""),43647.0)</f>
        <v>43647</v>
      </c>
      <c r="T307" s="7" t="str">
        <f>IFERROR(__xludf.DUMMYFUNCTION("""COMPUTED_VALUE"""),"Chính thức")</f>
        <v>Chính thức</v>
      </c>
      <c r="U307" s="7"/>
      <c r="V307" s="7" t="str">
        <f>IFERROR(__xludf.DUMMYFUNCTION("""COMPUTED_VALUE"""),"Chính thức")</f>
        <v>Chính thức</v>
      </c>
      <c r="W307" s="7" t="str">
        <f>IFERROR(__xludf.DUMMYFUNCTION("""COMPUTED_VALUE"""),"7 năm 6 tháng")</f>
        <v>7 năm 6 tháng</v>
      </c>
      <c r="X307" s="7"/>
      <c r="Y307" s="7"/>
      <c r="Z307" s="7"/>
    </row>
    <row r="308">
      <c r="A308" s="7">
        <f>IFERROR(__xludf.DUMMYFUNCTION("""COMPUTED_VALUE"""),18.0)</f>
        <v>18</v>
      </c>
      <c r="B308" s="7" t="str">
        <f>IFERROR(__xludf.DUMMYFUNCTION("""COMPUTED_VALUE"""),"Văn phòng")</f>
        <v>Văn phòng</v>
      </c>
      <c r="C308" s="7" t="str">
        <f>IFERROR(__xludf.DUMMYFUNCTION("""COMPUTED_VALUE"""),"Thanh tra sản xuất - KCS")</f>
        <v>Thanh tra sản xuất - KCS</v>
      </c>
      <c r="D308" s="7" t="str">
        <f>IFERROR(__xludf.DUMMYFUNCTION("""COMPUTED_VALUE"""),"Tổ thanh tra sản xuất")</f>
        <v>Tổ thanh tra sản xuất</v>
      </c>
      <c r="E308" s="7" t="str">
        <f>IFERROR(__xludf.DUMMYFUNCTION("""COMPUTED_VALUE"""),"Nhân viên KCS")</f>
        <v>Nhân viên KCS</v>
      </c>
      <c r="F308" s="7" t="str">
        <f>IFERROR(__xludf.DUMMYFUNCTION("""COMPUTED_VALUE"""),"NV5309")</f>
        <v>NV5309</v>
      </c>
      <c r="G308" s="7">
        <f>IFERROR(__xludf.DUMMYFUNCTION("""COMPUTED_VALUE"""),476.0)</f>
        <v>476</v>
      </c>
      <c r="H308" s="7" t="str">
        <f>IFERROR(__xludf.DUMMYFUNCTION("""COMPUTED_VALUE"""),"Lê Văn Định")</f>
        <v>Lê Văn Định</v>
      </c>
      <c r="I308" s="7" t="str">
        <f>IFERROR(__xludf.DUMMYFUNCTION("""COMPUTED_VALUE"""),"Nam")</f>
        <v>Nam</v>
      </c>
      <c r="J308" s="17">
        <f>IFERROR(__xludf.DUMMYFUNCTION("""COMPUTED_VALUE"""),34038.0)</f>
        <v>34038</v>
      </c>
      <c r="K308" s="7" t="str">
        <f>IFERROR(__xludf.DUMMYFUNCTION("""COMPUTED_VALUE"""),"Hoằng Phong, Hoằng Hóa, Thanh Hóa")</f>
        <v>Hoằng Phong, Hoằng Hóa, Thanh Hóa</v>
      </c>
      <c r="L308" s="7" t="str">
        <f>IFERROR(__xludf.DUMMYFUNCTION("""COMPUTED_VALUE"""),"0338963281")</f>
        <v>0338963281</v>
      </c>
      <c r="M308" s="7" t="str">
        <f>IFERROR(__xludf.DUMMYFUNCTION("""COMPUTED_VALUE"""),"038093030325")</f>
        <v>038093030325</v>
      </c>
      <c r="N308" s="18">
        <f>IFERROR(__xludf.DUMMYFUNCTION("""COMPUTED_VALUE"""),44722.0)</f>
        <v>44722</v>
      </c>
      <c r="O308" s="7" t="str">
        <f>IFERROR(__xludf.DUMMYFUNCTION("""COMPUTED_VALUE"""),"Cục Cảnh sát QLHC về TTXH")</f>
        <v>Cục Cảnh sát QLHC về TTXH</v>
      </c>
      <c r="P308" s="7" t="str">
        <f>IFERROR(__xludf.DUMMYFUNCTION("""COMPUTED_VALUE"""),"LĐPT")</f>
        <v>LĐPT</v>
      </c>
      <c r="Q308" s="7" t="str">
        <f>IFERROR(__xludf.DUMMYFUNCTION("""COMPUTED_VALUE"""),"Lao động phổ thông")</f>
        <v>Lao động phổ thông</v>
      </c>
      <c r="R308" s="17">
        <f>IFERROR(__xludf.DUMMYFUNCTION("""COMPUTED_VALUE"""),45476.0)</f>
        <v>45476</v>
      </c>
      <c r="S308" s="19">
        <f>IFERROR(__xludf.DUMMYFUNCTION("""COMPUTED_VALUE"""),45566.0)</f>
        <v>45566</v>
      </c>
      <c r="T308" s="7" t="str">
        <f>IFERROR(__xludf.DUMMYFUNCTION("""COMPUTED_VALUE"""),"Chính thức")</f>
        <v>Chính thức</v>
      </c>
      <c r="U308" s="7"/>
      <c r="V308" s="7" t="str">
        <f>IFERROR(__xludf.DUMMYFUNCTION("""COMPUTED_VALUE"""),"Chính thức")</f>
        <v>Chính thức</v>
      </c>
      <c r="W308" s="7" t="str">
        <f>IFERROR(__xludf.DUMMYFUNCTION("""COMPUTED_VALUE"""),"1 năm 5 tháng")</f>
        <v>1 năm 5 tháng</v>
      </c>
      <c r="X308" s="7"/>
      <c r="Y308" s="7"/>
      <c r="Z308" s="7"/>
    </row>
    <row r="309">
      <c r="A309" s="7">
        <f>IFERROR(__xludf.DUMMYFUNCTION("""COMPUTED_VALUE"""),19.0)</f>
        <v>19</v>
      </c>
      <c r="B309" s="7" t="str">
        <f>IFERROR(__xludf.DUMMYFUNCTION("""COMPUTED_VALUE"""),"Văn phòng")</f>
        <v>Văn phòng</v>
      </c>
      <c r="C309" s="7" t="str">
        <f>IFERROR(__xludf.DUMMYFUNCTION("""COMPUTED_VALUE"""),"Thanh tra sản xuất - KCS")</f>
        <v>Thanh tra sản xuất - KCS</v>
      </c>
      <c r="D309" s="7" t="str">
        <f>IFERROR(__xludf.DUMMYFUNCTION("""COMPUTED_VALUE"""),"Tổ thanh tra sản xuất")</f>
        <v>Tổ thanh tra sản xuất</v>
      </c>
      <c r="E309" s="7" t="str">
        <f>IFERROR(__xludf.DUMMYFUNCTION("""COMPUTED_VALUE"""),"Tổ phó")</f>
        <v>Tổ phó</v>
      </c>
      <c r="F309" s="7" t="str">
        <f>IFERROR(__xludf.DUMMYFUNCTION("""COMPUTED_VALUE"""),"NV1505")</f>
        <v>NV1505</v>
      </c>
      <c r="G309" s="7">
        <f>IFERROR(__xludf.DUMMYFUNCTION("""COMPUTED_VALUE"""),847.0)</f>
        <v>847</v>
      </c>
      <c r="H309" s="7" t="str">
        <f>IFERROR(__xludf.DUMMYFUNCTION("""COMPUTED_VALUE"""),"Nguyễn Xuân Anh")</f>
        <v>Nguyễn Xuân Anh</v>
      </c>
      <c r="I309" s="7" t="str">
        <f>IFERROR(__xludf.DUMMYFUNCTION("""COMPUTED_VALUE"""),"Nam")</f>
        <v>Nam</v>
      </c>
      <c r="J309" s="17">
        <f>IFERROR(__xludf.DUMMYFUNCTION("""COMPUTED_VALUE"""),32070.0)</f>
        <v>32070</v>
      </c>
      <c r="K309" s="7" t="str">
        <f>IFERROR(__xludf.DUMMYFUNCTION("""COMPUTED_VALUE"""),"32/06 Lê Văn Hưu - Phường Hạc Thành - Tỉnh Thanh Hóa")</f>
        <v>32/06 Lê Văn Hưu - Phường Hạc Thành - Tỉnh Thanh Hóa</v>
      </c>
      <c r="L309" s="7" t="str">
        <f>IFERROR(__xludf.DUMMYFUNCTION("""COMPUTED_VALUE"""),"0844986333")</f>
        <v>0844986333</v>
      </c>
      <c r="M309" s="7" t="str">
        <f>IFERROR(__xludf.DUMMYFUNCTION("""COMPUTED_VALUE"""),"038087050983")</f>
        <v>038087050983</v>
      </c>
      <c r="N309" s="18">
        <f>IFERROR(__xludf.DUMMYFUNCTION("""COMPUTED_VALUE"""),44626.0)</f>
        <v>44626</v>
      </c>
      <c r="O309" s="7" t="str">
        <f>IFERROR(__xludf.DUMMYFUNCTION("""COMPUTED_VALUE"""),"Cục Cảnh sát QLHC về TTXH")</f>
        <v>Cục Cảnh sát QLHC về TTXH</v>
      </c>
      <c r="P309" s="7" t="str">
        <f>IFERROR(__xludf.DUMMYFUNCTION("""COMPUTED_VALUE"""),"Trung học chuyên nghiệp")</f>
        <v>Trung học chuyên nghiệp</v>
      </c>
      <c r="Q309" s="7" t="str">
        <f>IFERROR(__xludf.DUMMYFUNCTION("""COMPUTED_VALUE"""),"Kế toán")</f>
        <v>Kế toán</v>
      </c>
      <c r="R309" s="17">
        <f>IFERROR(__xludf.DUMMYFUNCTION("""COMPUTED_VALUE"""),45702.0)</f>
        <v>45702</v>
      </c>
      <c r="S309" s="19">
        <f>IFERROR(__xludf.DUMMYFUNCTION("""COMPUTED_VALUE"""),45702.0)</f>
        <v>45702</v>
      </c>
      <c r="T309" s="7" t="str">
        <f>IFERROR(__xludf.DUMMYFUNCTION("""COMPUTED_VALUE"""),"Chính thức")</f>
        <v>Chính thức</v>
      </c>
      <c r="U309" s="7"/>
      <c r="V309" s="7" t="str">
        <f>IFERROR(__xludf.DUMMYFUNCTION("""COMPUTED_VALUE"""),"Chính thức")</f>
        <v>Chính thức</v>
      </c>
      <c r="W309" s="7" t="str">
        <f>IFERROR(__xludf.DUMMYFUNCTION("""COMPUTED_VALUE"""),"0 năm 10 tháng")</f>
        <v>0 năm 10 tháng</v>
      </c>
      <c r="X309" s="7"/>
      <c r="Y309" s="7"/>
      <c r="Z309" s="7"/>
    </row>
    <row r="310">
      <c r="A310" s="7">
        <f>IFERROR(__xludf.DUMMYFUNCTION("""COMPUTED_VALUE"""),20.0)</f>
        <v>20</v>
      </c>
      <c r="B310" s="7" t="str">
        <f>IFERROR(__xludf.DUMMYFUNCTION("""COMPUTED_VALUE"""),"Văn phòng")</f>
        <v>Văn phòng</v>
      </c>
      <c r="C310" s="7" t="str">
        <f>IFERROR(__xludf.DUMMYFUNCTION("""COMPUTED_VALUE"""),"Thanh tra sản xuất - KCS")</f>
        <v>Thanh tra sản xuất - KCS</v>
      </c>
      <c r="D310" s="7" t="str">
        <f>IFERROR(__xludf.DUMMYFUNCTION("""COMPUTED_VALUE"""),"Tổ thanh tra sản xuất")</f>
        <v>Tổ thanh tra sản xuất</v>
      </c>
      <c r="E310" s="7" t="str">
        <f>IFERROR(__xludf.DUMMYFUNCTION("""COMPUTED_VALUE"""),"Nhân viên KCS")</f>
        <v>Nhân viên KCS</v>
      </c>
      <c r="F310" s="7" t="str">
        <f>IFERROR(__xludf.DUMMYFUNCTION("""COMPUTED_VALUE"""),"NV5515")</f>
        <v>NV5515</v>
      </c>
      <c r="G310" s="7">
        <f>IFERROR(__xludf.DUMMYFUNCTION("""COMPUTED_VALUE"""),998.0)</f>
        <v>998</v>
      </c>
      <c r="H310" s="7" t="str">
        <f>IFERROR(__xludf.DUMMYFUNCTION("""COMPUTED_VALUE"""),"Văn Doãn Hoa")</f>
        <v>Văn Doãn Hoa</v>
      </c>
      <c r="I310" s="7" t="str">
        <f>IFERROR(__xludf.DUMMYFUNCTION("""COMPUTED_VALUE"""),"Nam")</f>
        <v>Nam</v>
      </c>
      <c r="J310" s="17">
        <f>IFERROR(__xludf.DUMMYFUNCTION("""COMPUTED_VALUE"""),34048.0)</f>
        <v>34048</v>
      </c>
      <c r="K310" s="7" t="str">
        <f>IFERROR(__xludf.DUMMYFUNCTION("""COMPUTED_VALUE"""),"Xã Quảng Ninh - Tỉnh Thanh Hóa")</f>
        <v>Xã Quảng Ninh - Tỉnh Thanh Hóa</v>
      </c>
      <c r="L310" s="7" t="str">
        <f>IFERROR(__xludf.DUMMYFUNCTION("""COMPUTED_VALUE"""),"0966902993")</f>
        <v>0966902993</v>
      </c>
      <c r="M310" s="7" t="str">
        <f>IFERROR(__xludf.DUMMYFUNCTION("""COMPUTED_VALUE"""),"038093035583")</f>
        <v>038093035583</v>
      </c>
      <c r="N310" s="18">
        <f>IFERROR(__xludf.DUMMYFUNCTION("""COMPUTED_VALUE"""),45084.0)</f>
        <v>45084</v>
      </c>
      <c r="O310" s="7" t="str">
        <f>IFERROR(__xludf.DUMMYFUNCTION("""COMPUTED_VALUE"""),"Cục Cảnh sát QLHC về TTXH")</f>
        <v>Cục Cảnh sát QLHC về TTXH</v>
      </c>
      <c r="P310" s="7" t="str">
        <f>IFERROR(__xludf.DUMMYFUNCTION("""COMPUTED_VALUE"""),"Cao đẳng")</f>
        <v>Cao đẳng</v>
      </c>
      <c r="Q310" s="7" t="str">
        <f>IFERROR(__xludf.DUMMYFUNCTION("""COMPUTED_VALUE"""),"Công nghệ thông tin ")</f>
        <v>Công nghệ thông tin </v>
      </c>
      <c r="R310" s="17">
        <f>IFERROR(__xludf.DUMMYFUNCTION("""COMPUTED_VALUE"""),45812.0)</f>
        <v>45812</v>
      </c>
      <c r="S310" s="19">
        <f>IFERROR(__xludf.DUMMYFUNCTION("""COMPUTED_VALUE"""),45842.0)</f>
        <v>45842</v>
      </c>
      <c r="T310" s="7" t="str">
        <f>IFERROR(__xludf.DUMMYFUNCTION("""COMPUTED_VALUE"""),"Chính thức")</f>
        <v>Chính thức</v>
      </c>
      <c r="U310" s="7"/>
      <c r="V310" s="7" t="str">
        <f>IFERROR(__xludf.DUMMYFUNCTION("""COMPUTED_VALUE"""),"Chính thức")</f>
        <v>Chính thức</v>
      </c>
      <c r="W310" s="7" t="str">
        <f>IFERROR(__xludf.DUMMYFUNCTION("""COMPUTED_VALUE"""),"0 năm 6 tháng")</f>
        <v>0 năm 6 tháng</v>
      </c>
      <c r="X310" s="7"/>
      <c r="Y310" s="7"/>
      <c r="Z310" s="7"/>
    </row>
    <row r="311">
      <c r="A311" s="7">
        <f>IFERROR(__xludf.DUMMYFUNCTION("""COMPUTED_VALUE"""),21.0)</f>
        <v>21</v>
      </c>
      <c r="B311" s="7" t="str">
        <f>IFERROR(__xludf.DUMMYFUNCTION("""COMPUTED_VALUE"""),"Văn phòng")</f>
        <v>Văn phòng</v>
      </c>
      <c r="C311" s="7" t="str">
        <f>IFERROR(__xludf.DUMMYFUNCTION("""COMPUTED_VALUE"""),"Thanh tra sản xuất - KCS")</f>
        <v>Thanh tra sản xuất - KCS</v>
      </c>
      <c r="D311" s="7" t="str">
        <f>IFERROR(__xludf.DUMMYFUNCTION("""COMPUTED_VALUE"""),"Tổ thanh tra sản xuất")</f>
        <v>Tổ thanh tra sản xuất</v>
      </c>
      <c r="E311" s="7" t="str">
        <f>IFERROR(__xludf.DUMMYFUNCTION("""COMPUTED_VALUE"""),"Nhân viên KCS")</f>
        <v>Nhân viên KCS</v>
      </c>
      <c r="F311" s="7" t="str">
        <f>IFERROR(__xludf.DUMMYFUNCTION("""COMPUTED_VALUE"""),"NV2271")</f>
        <v>NV2271</v>
      </c>
      <c r="G311" s="7">
        <f>IFERROR(__xludf.DUMMYFUNCTION("""COMPUTED_VALUE"""),1128.0)</f>
        <v>1128</v>
      </c>
      <c r="H311" s="7" t="str">
        <f>IFERROR(__xludf.DUMMYFUNCTION("""COMPUTED_VALUE"""),"Bùi Anh Đức")</f>
        <v>Bùi Anh Đức</v>
      </c>
      <c r="I311" s="7" t="str">
        <f>IFERROR(__xludf.DUMMYFUNCTION("""COMPUTED_VALUE"""),"Nam")</f>
        <v>Nam</v>
      </c>
      <c r="J311" s="17">
        <f>IFERROR(__xludf.DUMMYFUNCTION("""COMPUTED_VALUE"""),36201.0)</f>
        <v>36201</v>
      </c>
      <c r="K311" s="7" t="str">
        <f>IFERROR(__xludf.DUMMYFUNCTION("""COMPUTED_VALUE"""),"Thôn Ngọc Trạo - Xã Ngọc Trạo - Tỉnh Thanh Hóa")</f>
        <v>Thôn Ngọc Trạo - Xã Ngọc Trạo - Tỉnh Thanh Hóa</v>
      </c>
      <c r="L311" s="7" t="str">
        <f>IFERROR(__xludf.DUMMYFUNCTION("""COMPUTED_VALUE"""),"0967353619")</f>
        <v>0967353619</v>
      </c>
      <c r="M311" s="7" t="str">
        <f>IFERROR(__xludf.DUMMYFUNCTION("""COMPUTED_VALUE"""),"038099006063")</f>
        <v>038099006063</v>
      </c>
      <c r="N311" s="18">
        <f>IFERROR(__xludf.DUMMYFUNCTION("""COMPUTED_VALUE"""),44967.0)</f>
        <v>44967</v>
      </c>
      <c r="O311" s="7" t="str">
        <f>IFERROR(__xludf.DUMMYFUNCTION("""COMPUTED_VALUE"""),"Cục Cảnh sát QLHC về TTXH")</f>
        <v>Cục Cảnh sát QLHC về TTXH</v>
      </c>
      <c r="P311" s="7" t="str">
        <f>IFERROR(__xludf.DUMMYFUNCTION("""COMPUTED_VALUE"""),"LĐPT")</f>
        <v>LĐPT</v>
      </c>
      <c r="Q311" s="7" t="str">
        <f>IFERROR(__xludf.DUMMYFUNCTION("""COMPUTED_VALUE"""),"Lao động phổ thông")</f>
        <v>Lao động phổ thông</v>
      </c>
      <c r="R311" s="17">
        <f>IFERROR(__xludf.DUMMYFUNCTION("""COMPUTED_VALUE"""),45867.0)</f>
        <v>45867</v>
      </c>
      <c r="S311" s="19">
        <f>IFERROR(__xludf.DUMMYFUNCTION("""COMPUTED_VALUE"""),45867.0)</f>
        <v>45867</v>
      </c>
      <c r="T311" s="7" t="str">
        <f>IFERROR(__xludf.DUMMYFUNCTION("""COMPUTED_VALUE"""),"Chính thức")</f>
        <v>Chính thức</v>
      </c>
      <c r="U311" s="7"/>
      <c r="V311" s="7" t="str">
        <f>IFERROR(__xludf.DUMMYFUNCTION("""COMPUTED_VALUE"""),"Chính thức")</f>
        <v>Chính thức</v>
      </c>
      <c r="W311" s="7" t="str">
        <f>IFERROR(__xludf.DUMMYFUNCTION("""COMPUTED_VALUE"""),"0 năm 5 tháng")</f>
        <v>0 năm 5 tháng</v>
      </c>
      <c r="X311" s="7"/>
      <c r="Y311" s="7"/>
      <c r="Z311" s="7"/>
    </row>
    <row r="312">
      <c r="A312" s="7">
        <f>IFERROR(__xludf.DUMMYFUNCTION("""COMPUTED_VALUE"""),22.0)</f>
        <v>22</v>
      </c>
      <c r="B312" s="7" t="str">
        <f>IFERROR(__xludf.DUMMYFUNCTION("""COMPUTED_VALUE"""),"Văn phòng")</f>
        <v>Văn phòng</v>
      </c>
      <c r="C312" s="7" t="str">
        <f>IFERROR(__xludf.DUMMYFUNCTION("""COMPUTED_VALUE"""),"Thanh tra sản xuất - KCS")</f>
        <v>Thanh tra sản xuất - KCS</v>
      </c>
      <c r="D312" s="7" t="str">
        <f>IFERROR(__xludf.DUMMYFUNCTION("""COMPUTED_VALUE"""),"Tổ thanh tra sản xuất")</f>
        <v>Tổ thanh tra sản xuất</v>
      </c>
      <c r="E312" s="7" t="str">
        <f>IFERROR(__xludf.DUMMYFUNCTION("""COMPUTED_VALUE"""),"Nhân viên KCS")</f>
        <v>Nhân viên KCS</v>
      </c>
      <c r="F312" s="7" t="str">
        <f>IFERROR(__xludf.DUMMYFUNCTION("""COMPUTED_VALUE"""),"NV1035")</f>
        <v>NV1035</v>
      </c>
      <c r="G312" s="7">
        <f>IFERROR(__xludf.DUMMYFUNCTION("""COMPUTED_VALUE"""),812.0)</f>
        <v>812</v>
      </c>
      <c r="H312" s="7" t="str">
        <f>IFERROR(__xludf.DUMMYFUNCTION("""COMPUTED_VALUE"""),"Ngô Văn Phương")</f>
        <v>Ngô Văn Phương</v>
      </c>
      <c r="I312" s="7" t="str">
        <f>IFERROR(__xludf.DUMMYFUNCTION("""COMPUTED_VALUE"""),"Nam")</f>
        <v>Nam</v>
      </c>
      <c r="J312" s="17">
        <f>IFERROR(__xludf.DUMMYFUNCTION("""COMPUTED_VALUE"""),35696.0)</f>
        <v>35696</v>
      </c>
      <c r="K312" s="7" t="str">
        <f>IFERROR(__xludf.DUMMYFUNCTION("""COMPUTED_VALUE"""),"Thôn Xuân Thắng - Xã Quảng Ngọc -Tỉnh Thanh Hóa")</f>
        <v>Thôn Xuân Thắng - Xã Quảng Ngọc -Tỉnh Thanh Hóa</v>
      </c>
      <c r="L312" s="7" t="str">
        <f>IFERROR(__xludf.DUMMYFUNCTION("""COMPUTED_VALUE"""),"0363096315")</f>
        <v>0363096315</v>
      </c>
      <c r="M312" s="7" t="str">
        <f>IFERROR(__xludf.DUMMYFUNCTION("""COMPUTED_VALUE"""),"038099011425")</f>
        <v>038099011425</v>
      </c>
      <c r="N312" s="18">
        <f>IFERROR(__xludf.DUMMYFUNCTION("""COMPUTED_VALUE"""),44419.0)</f>
        <v>44419</v>
      </c>
      <c r="O312" s="7" t="str">
        <f>IFERROR(__xludf.DUMMYFUNCTION("""COMPUTED_VALUE"""),"Cục Cảnh sát QLHC về TTXH")</f>
        <v>Cục Cảnh sát QLHC về TTXH</v>
      </c>
      <c r="P312" s="7" t="str">
        <f>IFERROR(__xludf.DUMMYFUNCTION("""COMPUTED_VALUE"""),"LĐPT")</f>
        <v>LĐPT</v>
      </c>
      <c r="Q312" s="7" t="str">
        <f>IFERROR(__xludf.DUMMYFUNCTION("""COMPUTED_VALUE"""),"Lao động phổ thông")</f>
        <v>Lao động phổ thông</v>
      </c>
      <c r="R312" s="17">
        <f>IFERROR(__xludf.DUMMYFUNCTION("""COMPUTED_VALUE"""),45547.0)</f>
        <v>45547</v>
      </c>
      <c r="S312" s="19">
        <f>IFERROR(__xludf.DUMMYFUNCTION("""COMPUTED_VALUE"""),45547.0)</f>
        <v>45547</v>
      </c>
      <c r="T312" s="7" t="str">
        <f>IFERROR(__xludf.DUMMYFUNCTION("""COMPUTED_VALUE"""),"Chính thức")</f>
        <v>Chính thức</v>
      </c>
      <c r="U312" s="7"/>
      <c r="V312" s="7" t="str">
        <f>IFERROR(__xludf.DUMMYFUNCTION("""COMPUTED_VALUE"""),"Chính thức")</f>
        <v>Chính thức</v>
      </c>
      <c r="W312" s="7" t="str">
        <f>IFERROR(__xludf.DUMMYFUNCTION("""COMPUTED_VALUE"""),"1 năm 3 tháng")</f>
        <v>1 năm 3 tháng</v>
      </c>
      <c r="X312" s="7"/>
      <c r="Y312" s="7"/>
      <c r="Z312" s="7"/>
    </row>
    <row r="313">
      <c r="A313" s="7">
        <f>IFERROR(__xludf.DUMMYFUNCTION("""COMPUTED_VALUE"""),23.0)</f>
        <v>23</v>
      </c>
      <c r="B313" s="7" t="str">
        <f>IFERROR(__xludf.DUMMYFUNCTION("""COMPUTED_VALUE"""),"Văn phòng")</f>
        <v>Văn phòng</v>
      </c>
      <c r="C313" s="7" t="str">
        <f>IFERROR(__xludf.DUMMYFUNCTION("""COMPUTED_VALUE"""),"Thanh tra sản xuất - KCS")</f>
        <v>Thanh tra sản xuất - KCS</v>
      </c>
      <c r="D313" s="7" t="str">
        <f>IFERROR(__xludf.DUMMYFUNCTION("""COMPUTED_VALUE"""),"Tổ thanh tra sản xuất")</f>
        <v>Tổ thanh tra sản xuất</v>
      </c>
      <c r="E313" s="7" t="str">
        <f>IFERROR(__xludf.DUMMYFUNCTION("""COMPUTED_VALUE"""),"Nhân viên KCS")</f>
        <v>Nhân viên KCS</v>
      </c>
      <c r="F313" s="7" t="str">
        <f>IFERROR(__xludf.DUMMYFUNCTION("""COMPUTED_VALUE"""),"NV5648")</f>
        <v>NV5648</v>
      </c>
      <c r="G313" s="7">
        <f>IFERROR(__xludf.DUMMYFUNCTION("""COMPUTED_VALUE"""),1141.0)</f>
        <v>1141</v>
      </c>
      <c r="H313" s="7" t="str">
        <f>IFERROR(__xludf.DUMMYFUNCTION("""COMPUTED_VALUE"""),"Nguyễn Như Nam")</f>
        <v>Nguyễn Như Nam</v>
      </c>
      <c r="I313" s="7" t="str">
        <f>IFERROR(__xludf.DUMMYFUNCTION("""COMPUTED_VALUE"""),"Nam")</f>
        <v>Nam</v>
      </c>
      <c r="J313" s="17">
        <f>IFERROR(__xludf.DUMMYFUNCTION("""COMPUTED_VALUE"""),38084.0)</f>
        <v>38084</v>
      </c>
      <c r="K313" s="7" t="str">
        <f>IFERROR(__xludf.DUMMYFUNCTION("""COMPUTED_VALUE"""),"TDP Tiến Thọ - Phường Quảng Phú - Tỉnh Thanh Hóa")</f>
        <v>TDP Tiến Thọ - Phường Quảng Phú - Tỉnh Thanh Hóa</v>
      </c>
      <c r="L313" s="7" t="str">
        <f>IFERROR(__xludf.DUMMYFUNCTION("""COMPUTED_VALUE"""),"0343437066")</f>
        <v>0343437066</v>
      </c>
      <c r="M313" s="7" t="str">
        <f>IFERROR(__xludf.DUMMYFUNCTION("""COMPUTED_VALUE"""),"038204016187")</f>
        <v>038204016187</v>
      </c>
      <c r="N313" s="18">
        <f>IFERROR(__xludf.DUMMYFUNCTION("""COMPUTED_VALUE"""),45560.0)</f>
        <v>45560</v>
      </c>
      <c r="O313" s="7" t="str">
        <f>IFERROR(__xludf.DUMMYFUNCTION("""COMPUTED_VALUE"""),"Bộ Công an")</f>
        <v>Bộ Công an</v>
      </c>
      <c r="P313" s="7" t="str">
        <f>IFERROR(__xludf.DUMMYFUNCTION("""COMPUTED_VALUE"""),"LĐPT")</f>
        <v>LĐPT</v>
      </c>
      <c r="Q313" s="7" t="str">
        <f>IFERROR(__xludf.DUMMYFUNCTION("""COMPUTED_VALUE"""),"Lao động phổ thông")</f>
        <v>Lao động phổ thông</v>
      </c>
      <c r="R313" s="17">
        <f>IFERROR(__xludf.DUMMYFUNCTION("""COMPUTED_VALUE"""),45875.0)</f>
        <v>45875</v>
      </c>
      <c r="S313" s="19">
        <f>IFERROR(__xludf.DUMMYFUNCTION("""COMPUTED_VALUE"""),45906.0)</f>
        <v>45906</v>
      </c>
      <c r="T313" s="7" t="str">
        <f>IFERROR(__xludf.DUMMYFUNCTION("""COMPUTED_VALUE"""),"Chính thức")</f>
        <v>Chính thức</v>
      </c>
      <c r="U313" s="7"/>
      <c r="V313" s="7" t="str">
        <f>IFERROR(__xludf.DUMMYFUNCTION("""COMPUTED_VALUE"""),"Chính thức")</f>
        <v>Chính thức</v>
      </c>
      <c r="W313" s="7" t="str">
        <f>IFERROR(__xludf.DUMMYFUNCTION("""COMPUTED_VALUE"""),"0 năm 4 tháng")</f>
        <v>0 năm 4 tháng</v>
      </c>
      <c r="X313" s="7"/>
      <c r="Y313" s="7"/>
      <c r="Z313" s="7"/>
    </row>
    <row r="314">
      <c r="A314" s="7">
        <f>IFERROR(__xludf.DUMMYFUNCTION("""COMPUTED_VALUE"""),1.0)</f>
        <v>1</v>
      </c>
      <c r="B314" s="7" t="str">
        <f>IFERROR(__xludf.DUMMYFUNCTION("""COMPUTED_VALUE"""),"Văn phòng")</f>
        <v>Văn phòng</v>
      </c>
      <c r="C314" s="7" t="str">
        <f>IFERROR(__xludf.DUMMYFUNCTION("""COMPUTED_VALUE"""),"Thuê ngoài")</f>
        <v>Thuê ngoài</v>
      </c>
      <c r="D314" s="7" t="str">
        <f>IFERROR(__xludf.DUMMYFUNCTION("""COMPUTED_VALUE"""),"Bộ phận hành chính")</f>
        <v>Bộ phận hành chính</v>
      </c>
      <c r="E314" s="7" t="str">
        <f>IFERROR(__xludf.DUMMYFUNCTION("""COMPUTED_VALUE"""),"Thuê ngoài")</f>
        <v>Thuê ngoài</v>
      </c>
      <c r="F314" s="7" t="str">
        <f>IFERROR(__xludf.DUMMYFUNCTION("""COMPUTED_VALUE"""),"NV5159")</f>
        <v>NV5159</v>
      </c>
      <c r="G314" s="7"/>
      <c r="H314" s="7" t="str">
        <f>IFERROR(__xludf.DUMMYFUNCTION("""COMPUTED_VALUE"""),"Nguyễn Thị Hương")</f>
        <v>Nguyễn Thị Hương</v>
      </c>
      <c r="I314" s="7" t="str">
        <f>IFERROR(__xludf.DUMMYFUNCTION("""COMPUTED_VALUE"""),"Nữ")</f>
        <v>Nữ</v>
      </c>
      <c r="J314" s="17">
        <f>IFERROR(__xludf.DUMMYFUNCTION("""COMPUTED_VALUE"""),28985.0)</f>
        <v>28985</v>
      </c>
      <c r="K314" s="7" t="str">
        <f>IFERROR(__xludf.DUMMYFUNCTION("""COMPUTED_VALUE"""),"40/12đường 185 - phường Phước Long - TP Hồ Chí Minh")</f>
        <v>40/12đường 185 - phường Phước Long - TP Hồ Chí Minh</v>
      </c>
      <c r="L314" s="7" t="str">
        <f>IFERROR(__xludf.DUMMYFUNCTION("""COMPUTED_VALUE"""),"0937823899")</f>
        <v>0937823899</v>
      </c>
      <c r="M314" s="7" t="str">
        <f>IFERROR(__xludf.DUMMYFUNCTION("""COMPUTED_VALUE"""),"038179033579")</f>
        <v>038179033579</v>
      </c>
      <c r="N314" s="18">
        <f>IFERROR(__xludf.DUMMYFUNCTION("""COMPUTED_VALUE"""),44577.0)</f>
        <v>44577</v>
      </c>
      <c r="O314" s="7" t="str">
        <f>IFERROR(__xludf.DUMMYFUNCTION("""COMPUTED_VALUE"""),"Cục Cảnh sát QLHC về TTXH")</f>
        <v>Cục Cảnh sát QLHC về TTXH</v>
      </c>
      <c r="P314" s="7" t="str">
        <f>IFERROR(__xludf.DUMMYFUNCTION("""COMPUTED_VALUE"""),"LĐPT")</f>
        <v>LĐPT</v>
      </c>
      <c r="Q314" s="7" t="str">
        <f>IFERROR(__xludf.DUMMYFUNCTION("""COMPUTED_VALUE"""),"Lao động phổ thông")</f>
        <v>Lao động phổ thông</v>
      </c>
      <c r="R314" s="17">
        <f>IFERROR(__xludf.DUMMYFUNCTION("""COMPUTED_VALUE"""),45385.0)</f>
        <v>45385</v>
      </c>
      <c r="S314" s="7"/>
      <c r="T314" s="7" t="str">
        <f>IFERROR(__xludf.DUMMYFUNCTION("""COMPUTED_VALUE"""),"Chính thức")</f>
        <v>Chính thức</v>
      </c>
      <c r="U314" s="7"/>
      <c r="V314" s="7" t="str">
        <f>IFERROR(__xludf.DUMMYFUNCTION("""COMPUTED_VALUE"""),"Chính thức")</f>
        <v>Chính thức</v>
      </c>
      <c r="W314" s="7" t="str">
        <f>IFERROR(__xludf.DUMMYFUNCTION("""COMPUTED_VALUE"""),"1 năm 8 tháng")</f>
        <v>1 năm 8 tháng</v>
      </c>
      <c r="X314" s="7"/>
      <c r="Y314" s="7"/>
      <c r="Z314" s="7"/>
    </row>
    <row r="315">
      <c r="A315" s="7">
        <f>IFERROR(__xludf.DUMMYFUNCTION("""COMPUTED_VALUE"""),2.0)</f>
        <v>2</v>
      </c>
      <c r="B315" s="7" t="str">
        <f>IFERROR(__xludf.DUMMYFUNCTION("""COMPUTED_VALUE"""),"Văn phòng")</f>
        <v>Văn phòng</v>
      </c>
      <c r="C315" s="7" t="str">
        <f>IFERROR(__xludf.DUMMYFUNCTION("""COMPUTED_VALUE"""),"Thuê ngoài")</f>
        <v>Thuê ngoài</v>
      </c>
      <c r="D315" s="7" t="str">
        <f>IFERROR(__xludf.DUMMYFUNCTION("""COMPUTED_VALUE"""),"Tổ tạp vụ")</f>
        <v>Tổ tạp vụ</v>
      </c>
      <c r="E315" s="7" t="str">
        <f>IFERROR(__xludf.DUMMYFUNCTION("""COMPUTED_VALUE"""),"Nhân viên tạp vụ")</f>
        <v>Nhân viên tạp vụ</v>
      </c>
      <c r="F315" s="7" t="str">
        <f>IFERROR(__xludf.DUMMYFUNCTION("""COMPUTED_VALUE"""),"NV0400")</f>
        <v>NV0400</v>
      </c>
      <c r="G315" s="7"/>
      <c r="H315" s="7" t="str">
        <f>IFERROR(__xludf.DUMMYFUNCTION("""COMPUTED_VALUE"""),"Lê Văn Tuấn")</f>
        <v>Lê Văn Tuấn</v>
      </c>
      <c r="I315" s="7" t="str">
        <f>IFERROR(__xludf.DUMMYFUNCTION("""COMPUTED_VALUE"""),"Nam")</f>
        <v>Nam</v>
      </c>
      <c r="J315" s="17">
        <f>IFERROR(__xludf.DUMMYFUNCTION("""COMPUTED_VALUE"""),30571.0)</f>
        <v>30571</v>
      </c>
      <c r="K315" s="7" t="str">
        <f>IFERROR(__xludf.DUMMYFUNCTION("""COMPUTED_VALUE"""),"Xã Hoằng Trạch - Hoằng Hóa - Thanh Hóa")</f>
        <v>Xã Hoằng Trạch - Hoằng Hóa - Thanh Hóa</v>
      </c>
      <c r="L315" s="20" t="str">
        <f>IFERROR(__xludf.DUMMYFUNCTION("""COMPUTED_VALUE"""),"0343671734")</f>
        <v>0343671734</v>
      </c>
      <c r="M315" s="7" t="str">
        <f>IFERROR(__xludf.DUMMYFUNCTION("""COMPUTED_VALUE"""),"038083018605")</f>
        <v>038083018605</v>
      </c>
      <c r="N315" s="18">
        <f>IFERROR(__xludf.DUMMYFUNCTION("""COMPUTED_VALUE"""),44568.0)</f>
        <v>44568</v>
      </c>
      <c r="O315" s="7" t="str">
        <f>IFERROR(__xludf.DUMMYFUNCTION("""COMPUTED_VALUE"""),"Cục Cảnh sát QLHC về TTXH")</f>
        <v>Cục Cảnh sát QLHC về TTXH</v>
      </c>
      <c r="P315" s="7" t="str">
        <f>IFERROR(__xludf.DUMMYFUNCTION("""COMPUTED_VALUE"""),"LĐPT")</f>
        <v>LĐPT</v>
      </c>
      <c r="Q315" s="7" t="str">
        <f>IFERROR(__xludf.DUMMYFUNCTION("""COMPUTED_VALUE"""),"Lao động phổ thông")</f>
        <v>Lao động phổ thông</v>
      </c>
      <c r="R315" s="17">
        <f>IFERROR(__xludf.DUMMYFUNCTION("""COMPUTED_VALUE"""),37681.0)</f>
        <v>37681</v>
      </c>
      <c r="S315" s="19">
        <f>IFERROR(__xludf.DUMMYFUNCTION("""COMPUTED_VALUE"""),37681.0)</f>
        <v>37681</v>
      </c>
      <c r="T315" s="7" t="str">
        <f>IFERROR(__xludf.DUMMYFUNCTION("""COMPUTED_VALUE"""),"Chính thức")</f>
        <v>Chính thức</v>
      </c>
      <c r="U315" s="7"/>
      <c r="V315" s="7" t="str">
        <f>IFERROR(__xludf.DUMMYFUNCTION("""COMPUTED_VALUE"""),"Chính thức")</f>
        <v>Chính thức</v>
      </c>
      <c r="W315" s="7" t="str">
        <f>IFERROR(__xludf.DUMMYFUNCTION("""COMPUTED_VALUE"""),"22 năm 9 tháng")</f>
        <v>22 năm 9 tháng</v>
      </c>
      <c r="X315" s="7"/>
      <c r="Y315" s="7"/>
      <c r="Z315" s="7"/>
    </row>
    <row r="316">
      <c r="A316" s="7">
        <f>IFERROR(__xludf.DUMMYFUNCTION("""COMPUTED_VALUE"""),3.0)</f>
        <v>3</v>
      </c>
      <c r="B316" s="7" t="str">
        <f>IFERROR(__xludf.DUMMYFUNCTION("""COMPUTED_VALUE"""),"Văn phòng")</f>
        <v>Văn phòng</v>
      </c>
      <c r="C316" s="7" t="str">
        <f>IFERROR(__xludf.DUMMYFUNCTION("""COMPUTED_VALUE"""),"Thuê ngoài")</f>
        <v>Thuê ngoài</v>
      </c>
      <c r="D316" s="7" t="str">
        <f>IFERROR(__xludf.DUMMYFUNCTION("""COMPUTED_VALUE"""),"Bộ phận hành chính")</f>
        <v>Bộ phận hành chính</v>
      </c>
      <c r="E316" s="7" t="str">
        <f>IFERROR(__xludf.DUMMYFUNCTION("""COMPUTED_VALUE"""),"Thuê ngoài")</f>
        <v>Thuê ngoài</v>
      </c>
      <c r="F316" s="7" t="str">
        <f>IFERROR(__xludf.DUMMYFUNCTION("""COMPUTED_VALUE"""),"NV3047")</f>
        <v>NV3047</v>
      </c>
      <c r="G316" s="7"/>
      <c r="H316" s="7" t="str">
        <f>IFERROR(__xludf.DUMMYFUNCTION("""COMPUTED_VALUE"""),"Lê Xuân Nghiệm")</f>
        <v>Lê Xuân Nghiệm</v>
      </c>
      <c r="I316" s="7" t="str">
        <f>IFERROR(__xludf.DUMMYFUNCTION("""COMPUTED_VALUE"""),"Nam")</f>
        <v>Nam</v>
      </c>
      <c r="J316" s="17">
        <f>IFERROR(__xludf.DUMMYFUNCTION("""COMPUTED_VALUE"""),27526.0)</f>
        <v>27526</v>
      </c>
      <c r="K316" s="7" t="str">
        <f>IFERROR(__xludf.DUMMYFUNCTION("""COMPUTED_VALUE"""),"03/91 Lê Hưng -  Phường Đông Quang – Tỉnh Thanh Hóa")</f>
        <v>03/91 Lê Hưng -  Phường Đông Quang – Tỉnh Thanh Hóa</v>
      </c>
      <c r="L316" s="7" t="str">
        <f>IFERROR(__xludf.DUMMYFUNCTION("""COMPUTED_VALUE"""),"0986217280")</f>
        <v>0986217280</v>
      </c>
      <c r="M316" s="7" t="str">
        <f>IFERROR(__xludf.DUMMYFUNCTION("""COMPUTED_VALUE"""),"038075010690")</f>
        <v>038075010690</v>
      </c>
      <c r="N316" s="18">
        <f>IFERROR(__xludf.DUMMYFUNCTION("""COMPUTED_VALUE"""),44419.0)</f>
        <v>44419</v>
      </c>
      <c r="O316" s="7" t="str">
        <f>IFERROR(__xludf.DUMMYFUNCTION("""COMPUTED_VALUE"""),"Cục Cảnh sát QLHC về TTXH")</f>
        <v>Cục Cảnh sát QLHC về TTXH</v>
      </c>
      <c r="P316" s="7" t="str">
        <f>IFERROR(__xludf.DUMMYFUNCTION("""COMPUTED_VALUE"""),"Kỹ sư")</f>
        <v>Kỹ sư</v>
      </c>
      <c r="Q316" s="7" t="str">
        <f>IFERROR(__xludf.DUMMYFUNCTION("""COMPUTED_VALUE"""),"Kỹ thuật địa chất")</f>
        <v>Kỹ thuật địa chất</v>
      </c>
      <c r="R316" s="7"/>
      <c r="S316" s="7"/>
      <c r="T316" s="7" t="str">
        <f>IFERROR(__xludf.DUMMYFUNCTION("""COMPUTED_VALUE"""),"Chính thức")</f>
        <v>Chính thức</v>
      </c>
      <c r="U316" s="7"/>
      <c r="V316" s="7" t="str">
        <f>IFERROR(__xludf.DUMMYFUNCTION("""COMPUTED_VALUE"""),"Chính thức")</f>
        <v>Chính thức</v>
      </c>
      <c r="W316" s="7"/>
      <c r="X316" s="7"/>
      <c r="Y316" s="7"/>
      <c r="Z316" s="7"/>
    </row>
    <row r="317">
      <c r="A317" s="21" t="str">
        <f>IFERROR(__xludf.DUMMYFUNCTION("""COMPUTED_VALUE"""),"1")</f>
        <v>1</v>
      </c>
      <c r="B317" s="7" t="str">
        <f>IFERROR(__xludf.DUMMYFUNCTION("""COMPUTED_VALUE"""),"PXSX1")</f>
        <v>PXSX1</v>
      </c>
      <c r="C317" s="7" t="str">
        <f>IFERROR(__xludf.DUMMYFUNCTION("""COMPUTED_VALUE"""),"Ban giám đốc PXSX1")</f>
        <v>Ban giám đốc PXSX1</v>
      </c>
      <c r="D317" s="7" t="str">
        <f>IFERROR(__xludf.DUMMYFUNCTION("""COMPUTED_VALUE"""),"Bộ phận hành chính")</f>
        <v>Bộ phận hành chính</v>
      </c>
      <c r="E317" s="7" t="str">
        <f>IFERROR(__xludf.DUMMYFUNCTION("""COMPUTED_VALUE"""),"Phó giám đốc PXSX")</f>
        <v>Phó giám đốc PXSX</v>
      </c>
      <c r="F317" s="7" t="str">
        <f>IFERROR(__xludf.DUMMYFUNCTION("""COMPUTED_VALUE"""),"NV0450")</f>
        <v>NV0450</v>
      </c>
      <c r="G317" s="7">
        <f>IFERROR(__xludf.DUMMYFUNCTION("""COMPUTED_VALUE"""),126.0)</f>
        <v>126</v>
      </c>
      <c r="H317" s="7" t="str">
        <f>IFERROR(__xludf.DUMMYFUNCTION("""COMPUTED_VALUE"""),"Hoàng Minh Hà")</f>
        <v>Hoàng Minh Hà</v>
      </c>
      <c r="I317" s="7" t="str">
        <f>IFERROR(__xludf.DUMMYFUNCTION("""COMPUTED_VALUE"""),"Nam")</f>
        <v>Nam</v>
      </c>
      <c r="J317" s="17">
        <f>IFERROR(__xludf.DUMMYFUNCTION("""COMPUTED_VALUE"""),29959.0)</f>
        <v>29959</v>
      </c>
      <c r="K317" s="7" t="str">
        <f>IFERROR(__xludf.DUMMYFUNCTION("""COMPUTED_VALUE"""),"SN17 Nguyễn Viết Xuân - Phường Bỉm Sơn - Tỉnh Thanh Hóa")</f>
        <v>SN17 Nguyễn Viết Xuân - Phường Bỉm Sơn - Tỉnh Thanh Hóa</v>
      </c>
      <c r="L317" s="7" t="str">
        <f>IFERROR(__xludf.DUMMYFUNCTION("""COMPUTED_VALUE"""),"0904942368")</f>
        <v>0904942368</v>
      </c>
      <c r="M317" s="7" t="str">
        <f>IFERROR(__xludf.DUMMYFUNCTION("""COMPUTED_VALUE"""),"038082001090")</f>
        <v>038082001090</v>
      </c>
      <c r="N317" s="17">
        <f>IFERROR(__xludf.DUMMYFUNCTION("""COMPUTED_VALUE"""),44375.0)</f>
        <v>44375</v>
      </c>
      <c r="O317" s="7" t="str">
        <f>IFERROR(__xludf.DUMMYFUNCTION("""COMPUTED_VALUE"""),"Cục Cảnh sát QLHC về TTXH")</f>
        <v>Cục Cảnh sát QLHC về TTXH</v>
      </c>
      <c r="P317" s="7" t="str">
        <f>IFERROR(__xludf.DUMMYFUNCTION("""COMPUTED_VALUE"""),"Kỹ sư")</f>
        <v>Kỹ sư</v>
      </c>
      <c r="Q317" s="7" t="str">
        <f>IFERROR(__xludf.DUMMYFUNCTION("""COMPUTED_VALUE"""),"Kỹ sư điều khiển tự động")</f>
        <v>Kỹ sư điều khiển tự động</v>
      </c>
      <c r="R317" s="17">
        <f>IFERROR(__xludf.DUMMYFUNCTION("""COMPUTED_VALUE"""),38534.0)</f>
        <v>38534</v>
      </c>
      <c r="S317" s="17">
        <f>IFERROR(__xludf.DUMMYFUNCTION("""COMPUTED_VALUE"""),38534.0)</f>
        <v>38534</v>
      </c>
      <c r="T317" s="7" t="str">
        <f>IFERROR(__xludf.DUMMYFUNCTION("""COMPUTED_VALUE"""),"Chính thức")</f>
        <v>Chính thức</v>
      </c>
      <c r="U317" s="7"/>
      <c r="V317" s="7"/>
      <c r="W317" s="7" t="str">
        <f>IFERROR(__xludf.DUMMYFUNCTION("""COMPUTED_VALUE"""),"20 năm 5 tháng")</f>
        <v>20 năm 5 tháng</v>
      </c>
      <c r="X317" s="7"/>
      <c r="Y317" s="7"/>
      <c r="Z317" s="7"/>
    </row>
    <row r="318">
      <c r="A318" s="21" t="str">
        <f>IFERROR(__xludf.DUMMYFUNCTION("""COMPUTED_VALUE"""),"2")</f>
        <v>2</v>
      </c>
      <c r="B318" s="7" t="str">
        <f>IFERROR(__xludf.DUMMYFUNCTION("""COMPUTED_VALUE"""),"PXSX1")</f>
        <v>PXSX1</v>
      </c>
      <c r="C318" s="7" t="str">
        <f>IFERROR(__xludf.DUMMYFUNCTION("""COMPUTED_VALUE"""),"Ban giám đốc PXSX1")</f>
        <v>Ban giám đốc PXSX1</v>
      </c>
      <c r="D318" s="7" t="str">
        <f>IFERROR(__xludf.DUMMYFUNCTION("""COMPUTED_VALUE"""),"Bộ phận hành chính")</f>
        <v>Bộ phận hành chính</v>
      </c>
      <c r="E318" s="7" t="str">
        <f>IFERROR(__xludf.DUMMYFUNCTION("""COMPUTED_VALUE"""),"Giám đốc PXSX")</f>
        <v>Giám đốc PXSX</v>
      </c>
      <c r="F318" s="7" t="str">
        <f>IFERROR(__xludf.DUMMYFUNCTION("""COMPUTED_VALUE"""),"NV0404")</f>
        <v>NV0404</v>
      </c>
      <c r="G318" s="7">
        <f>IFERROR(__xludf.DUMMYFUNCTION("""COMPUTED_VALUE"""),1185.0)</f>
        <v>1185</v>
      </c>
      <c r="H318" s="7" t="str">
        <f>IFERROR(__xludf.DUMMYFUNCTION("""COMPUTED_VALUE"""),"Nguyễn Xuân Tuấn")</f>
        <v>Nguyễn Xuân Tuấn</v>
      </c>
      <c r="I318" s="7" t="str">
        <f>IFERROR(__xludf.DUMMYFUNCTION("""COMPUTED_VALUE"""),"Nam")</f>
        <v>Nam</v>
      </c>
      <c r="J318" s="17">
        <f>IFERROR(__xludf.DUMMYFUNCTION("""COMPUTED_VALUE"""),30394.0)</f>
        <v>30394</v>
      </c>
      <c r="K318" s="7" t="str">
        <f>IFERROR(__xludf.DUMMYFUNCTION("""COMPUTED_VALUE"""),"Mặt bằng 530 - Phường Hạc Thành - Tỉnh Thanh Hóa")</f>
        <v>Mặt bằng 530 - Phường Hạc Thành - Tỉnh Thanh Hóa</v>
      </c>
      <c r="L318" s="7" t="str">
        <f>IFERROR(__xludf.DUMMYFUNCTION("""COMPUTED_VALUE"""),"0931378666")</f>
        <v>0931378666</v>
      </c>
      <c r="M318" s="7" t="str">
        <f>IFERROR(__xludf.DUMMYFUNCTION("""COMPUTED_VALUE"""),"038083003853")</f>
        <v>038083003853</v>
      </c>
      <c r="N318" s="17">
        <f>IFERROR(__xludf.DUMMYFUNCTION("""COMPUTED_VALUE"""),44375.0)</f>
        <v>44375</v>
      </c>
      <c r="O318" s="7" t="str">
        <f>IFERROR(__xludf.DUMMYFUNCTION("""COMPUTED_VALUE"""),"Cục Cảnh sát QLHC về TTXH")</f>
        <v>Cục Cảnh sát QLHC về TTXH</v>
      </c>
      <c r="P318" s="7" t="str">
        <f>IFERROR(__xludf.DUMMYFUNCTION("""COMPUTED_VALUE"""),"Đại học")</f>
        <v>Đại học</v>
      </c>
      <c r="Q318" s="7" t="str">
        <f>IFERROR(__xludf.DUMMYFUNCTION("""COMPUTED_VALUE"""),"khoa học xã hội")</f>
        <v>khoa học xã hội</v>
      </c>
      <c r="R318" s="17">
        <f>IFERROR(__xludf.DUMMYFUNCTION("""COMPUTED_VALUE"""),39279.0)</f>
        <v>39279</v>
      </c>
      <c r="S318" s="17">
        <f>IFERROR(__xludf.DUMMYFUNCTION("""COMPUTED_VALUE"""),39279.0)</f>
        <v>39279</v>
      </c>
      <c r="T318" s="7" t="str">
        <f>IFERROR(__xludf.DUMMYFUNCTION("""COMPUTED_VALUE"""),"Chính thức")</f>
        <v>Chính thức</v>
      </c>
      <c r="U318" s="7"/>
      <c r="V318" s="7" t="str">
        <f>IFERROR(__xludf.DUMMYFUNCTION("""COMPUTED_VALUE"""),"Chính thức")</f>
        <v>Chính thức</v>
      </c>
      <c r="W318" s="7" t="str">
        <f>IFERROR(__xludf.DUMMYFUNCTION("""COMPUTED_VALUE"""),"18 năm 5 tháng")</f>
        <v>18 năm 5 tháng</v>
      </c>
      <c r="X318" s="7"/>
      <c r="Y318" s="7"/>
      <c r="Z318" s="7"/>
    </row>
    <row r="319">
      <c r="A319" s="21" t="str">
        <f>IFERROR(__xludf.DUMMYFUNCTION("""COMPUTED_VALUE"""),"3")</f>
        <v>3</v>
      </c>
      <c r="B319" s="7" t="str">
        <f>IFERROR(__xludf.DUMMYFUNCTION("""COMPUTED_VALUE"""),"PXSX1")</f>
        <v>PXSX1</v>
      </c>
      <c r="C319" s="7" t="str">
        <f>IFERROR(__xludf.DUMMYFUNCTION("""COMPUTED_VALUE"""),"Ban giám đốc PXSX1")</f>
        <v>Ban giám đốc PXSX1</v>
      </c>
      <c r="D319" s="7" t="str">
        <f>IFERROR(__xludf.DUMMYFUNCTION("""COMPUTED_VALUE"""),"Bộ phận hành chính")</f>
        <v>Bộ phận hành chính</v>
      </c>
      <c r="E319" s="7" t="str">
        <f>IFERROR(__xludf.DUMMYFUNCTION("""COMPUTED_VALUE"""),"Trưởng phòng sản xuất")</f>
        <v>Trưởng phòng sản xuất</v>
      </c>
      <c r="F319" s="7" t="str">
        <f>IFERROR(__xludf.DUMMYFUNCTION("""COMPUTED_VALUE"""),"NV0765")</f>
        <v>NV0765</v>
      </c>
      <c r="G319" s="7">
        <f>IFERROR(__xludf.DUMMYFUNCTION("""COMPUTED_VALUE"""),137.0)</f>
        <v>137</v>
      </c>
      <c r="H319" s="7" t="str">
        <f>IFERROR(__xludf.DUMMYFUNCTION("""COMPUTED_VALUE"""),"Nguyễn Văn Thanh ")</f>
        <v>Nguyễn Văn Thanh </v>
      </c>
      <c r="I319" s="7" t="str">
        <f>IFERROR(__xludf.DUMMYFUNCTION("""COMPUTED_VALUE"""),"Nam")</f>
        <v>Nam</v>
      </c>
      <c r="J319" s="17">
        <f>IFERROR(__xludf.DUMMYFUNCTION("""COMPUTED_VALUE"""),30621.0)</f>
        <v>30621</v>
      </c>
      <c r="K319" s="7" t="str">
        <f>IFERROR(__xludf.DUMMYFUNCTION("""COMPUTED_VALUE"""),"12/154 Phú Thọ 4 - Phường Hạc Thành - Tỉnh Thanh Hóa")</f>
        <v>12/154 Phú Thọ 4 - Phường Hạc Thành - Tỉnh Thanh Hóa</v>
      </c>
      <c r="L319" s="7" t="str">
        <f>IFERROR(__xludf.DUMMYFUNCTION("""COMPUTED_VALUE"""),"0975265559")</f>
        <v>0975265559</v>
      </c>
      <c r="M319" s="7" t="str">
        <f>IFERROR(__xludf.DUMMYFUNCTION("""COMPUTED_VALUE"""),"038083051819")</f>
        <v>038083051819</v>
      </c>
      <c r="N319" s="17">
        <f>IFERROR(__xludf.DUMMYFUNCTION("""COMPUTED_VALUE"""),44435.0)</f>
        <v>44435</v>
      </c>
      <c r="O319" s="7" t="str">
        <f>IFERROR(__xludf.DUMMYFUNCTION("""COMPUTED_VALUE"""),"Cục Cảnh sát QLHC về TTXH")</f>
        <v>Cục Cảnh sát QLHC về TTXH</v>
      </c>
      <c r="P319" s="7" t="str">
        <f>IFERROR(__xludf.DUMMYFUNCTION("""COMPUTED_VALUE"""),"Đại học")</f>
        <v>Đại học</v>
      </c>
      <c r="Q319" s="7" t="str">
        <f>IFERROR(__xludf.DUMMYFUNCTION("""COMPUTED_VALUE"""),"Cử nhân hóa")</f>
        <v>Cử nhân hóa</v>
      </c>
      <c r="R319" s="17">
        <f>IFERROR(__xludf.DUMMYFUNCTION("""COMPUTED_VALUE"""),38941.0)</f>
        <v>38941</v>
      </c>
      <c r="S319" s="17">
        <f>IFERROR(__xludf.DUMMYFUNCTION("""COMPUTED_VALUE"""),38941.0)</f>
        <v>38941</v>
      </c>
      <c r="T319" s="7" t="str">
        <f>IFERROR(__xludf.DUMMYFUNCTION("""COMPUTED_VALUE"""),"Chính thức")</f>
        <v>Chính thức</v>
      </c>
      <c r="U319" s="7"/>
      <c r="V319" s="7"/>
      <c r="W319" s="7" t="str">
        <f>IFERROR(__xludf.DUMMYFUNCTION("""COMPUTED_VALUE"""),"19 năm 4 tháng")</f>
        <v>19 năm 4 tháng</v>
      </c>
      <c r="X319" s="7"/>
      <c r="Y319" s="7"/>
      <c r="Z319" s="7"/>
    </row>
    <row r="320">
      <c r="A320" s="21" t="str">
        <f>IFERROR(__xludf.DUMMYFUNCTION("""COMPUTED_VALUE"""),"4")</f>
        <v>4</v>
      </c>
      <c r="B320" s="7" t="str">
        <f>IFERROR(__xludf.DUMMYFUNCTION("""COMPUTED_VALUE"""),"PXSX1")</f>
        <v>PXSX1</v>
      </c>
      <c r="C320" s="7" t="str">
        <f>IFERROR(__xludf.DUMMYFUNCTION("""COMPUTED_VALUE"""),"Ban giám đốc PXSX1")</f>
        <v>Ban giám đốc PXSX1</v>
      </c>
      <c r="D320" s="7" t="str">
        <f>IFERROR(__xludf.DUMMYFUNCTION("""COMPUTED_VALUE"""),"Bộ phận hành chính")</f>
        <v>Bộ phận hành chính</v>
      </c>
      <c r="E320" s="7" t="str">
        <f>IFERROR(__xludf.DUMMYFUNCTION("""COMPUTED_VALUE"""),"Phó phòng sản xuất")</f>
        <v>Phó phòng sản xuất</v>
      </c>
      <c r="F320" s="7" t="str">
        <f>IFERROR(__xludf.DUMMYFUNCTION("""COMPUTED_VALUE"""),"NV0058")</f>
        <v>NV0058</v>
      </c>
      <c r="G320" s="7">
        <f>IFERROR(__xludf.DUMMYFUNCTION("""COMPUTED_VALUE"""),535.0)</f>
        <v>535</v>
      </c>
      <c r="H320" s="7" t="str">
        <f>IFERROR(__xludf.DUMMYFUNCTION("""COMPUTED_VALUE"""),"Lê Tuấn Anh")</f>
        <v>Lê Tuấn Anh</v>
      </c>
      <c r="I320" s="7" t="str">
        <f>IFERROR(__xludf.DUMMYFUNCTION("""COMPUTED_VALUE"""),"Nam")</f>
        <v>Nam</v>
      </c>
      <c r="J320" s="17">
        <f>IFERROR(__xludf.DUMMYFUNCTION("""COMPUTED_VALUE"""),30736.0)</f>
        <v>30736</v>
      </c>
      <c r="K320" s="7" t="str">
        <f>IFERROR(__xludf.DUMMYFUNCTION("""COMPUTED_VALUE"""),"Phường Hạc Thành - Tỉnh Thanh Hóa")</f>
        <v>Phường Hạc Thành - Tỉnh Thanh Hóa</v>
      </c>
      <c r="L320" s="7" t="str">
        <f>IFERROR(__xludf.DUMMYFUNCTION("""COMPUTED_VALUE"""),"0942998567")</f>
        <v>0942998567</v>
      </c>
      <c r="M320" s="7" t="str">
        <f>IFERROR(__xludf.DUMMYFUNCTION("""COMPUTED_VALUE"""),"038084029805")</f>
        <v>038084029805</v>
      </c>
      <c r="N320" s="17">
        <f>IFERROR(__xludf.DUMMYFUNCTION("""COMPUTED_VALUE"""),44427.0)</f>
        <v>44427</v>
      </c>
      <c r="O320" s="7" t="str">
        <f>IFERROR(__xludf.DUMMYFUNCTION("""COMPUTED_VALUE"""),"Cục Cảnh sát QLHC về TTXH")</f>
        <v>Cục Cảnh sát QLHC về TTXH</v>
      </c>
      <c r="P320" s="7" t="str">
        <f>IFERROR(__xludf.DUMMYFUNCTION("""COMPUTED_VALUE"""),"LĐPT")</f>
        <v>LĐPT</v>
      </c>
      <c r="Q320" s="7" t="str">
        <f>IFERROR(__xludf.DUMMYFUNCTION("""COMPUTED_VALUE"""),"Lao động phổ thông")</f>
        <v>Lao động phổ thông</v>
      </c>
      <c r="R320" s="17">
        <f>IFERROR(__xludf.DUMMYFUNCTION("""COMPUTED_VALUE"""),39583.0)</f>
        <v>39583</v>
      </c>
      <c r="S320" s="17">
        <f>IFERROR(__xludf.DUMMYFUNCTION("""COMPUTED_VALUE"""),39583.0)</f>
        <v>39583</v>
      </c>
      <c r="T320" s="7" t="str">
        <f>IFERROR(__xludf.DUMMYFUNCTION("""COMPUTED_VALUE"""),"Chính thức")</f>
        <v>Chính thức</v>
      </c>
      <c r="U320" s="7"/>
      <c r="V320" s="7"/>
      <c r="W320" s="7" t="str">
        <f>IFERROR(__xludf.DUMMYFUNCTION("""COMPUTED_VALUE"""),"17 năm 7 tháng")</f>
        <v>17 năm 7 tháng</v>
      </c>
      <c r="X320" s="7"/>
      <c r="Y320" s="7"/>
      <c r="Z320" s="7"/>
    </row>
    <row r="321">
      <c r="A321" s="21" t="str">
        <f>IFERROR(__xludf.DUMMYFUNCTION("""COMPUTED_VALUE"""),"1")</f>
        <v>1</v>
      </c>
      <c r="B321" s="7" t="str">
        <f>IFERROR(__xludf.DUMMYFUNCTION("""COMPUTED_VALUE"""),"PXSX1")</f>
        <v>PXSX1</v>
      </c>
      <c r="C321" s="7" t="str">
        <f>IFERROR(__xludf.DUMMYFUNCTION("""COMPUTED_VALUE"""),"Phó bộ phận PXSX1")</f>
        <v>Phó bộ phận PXSX1</v>
      </c>
      <c r="D321" s="7" t="str">
        <f>IFERROR(__xludf.DUMMYFUNCTION("""COMPUTED_VALUE"""),"Bộ phận hành chính")</f>
        <v>Bộ phận hành chính</v>
      </c>
      <c r="E321" s="7" t="str">
        <f>IFERROR(__xludf.DUMMYFUNCTION("""COMPUTED_VALUE"""),"Phó bộ phận - Phụ trách Sấy phun")</f>
        <v>Phó bộ phận - Phụ trách Sấy phun</v>
      </c>
      <c r="F321" s="7" t="str">
        <f>IFERROR(__xludf.DUMMYFUNCTION("""COMPUTED_VALUE"""),"NV0529")</f>
        <v>NV0529</v>
      </c>
      <c r="G321" s="7">
        <f>IFERROR(__xludf.DUMMYFUNCTION("""COMPUTED_VALUE"""),563.0)</f>
        <v>563</v>
      </c>
      <c r="H321" s="7" t="str">
        <f>IFERROR(__xludf.DUMMYFUNCTION("""COMPUTED_VALUE"""),"Nguyễn Hải Đăng")</f>
        <v>Nguyễn Hải Đăng</v>
      </c>
      <c r="I321" s="7" t="str">
        <f>IFERROR(__xludf.DUMMYFUNCTION("""COMPUTED_VALUE"""),"Nam")</f>
        <v>Nam</v>
      </c>
      <c r="J321" s="17">
        <f>IFERROR(__xludf.DUMMYFUNCTION("""COMPUTED_VALUE"""),26666.0)</f>
        <v>26666</v>
      </c>
      <c r="K321" s="7" t="str">
        <f>IFERROR(__xludf.DUMMYFUNCTION("""COMPUTED_VALUE"""),"Đường Thanh Chương - Phố Thành Công - Phường Quảng Phú - Tỉnh Thanh Hóa")</f>
        <v>Đường Thanh Chương - Phố Thành Công - Phường Quảng Phú - Tỉnh Thanh Hóa</v>
      </c>
      <c r="L321" s="7" t="str">
        <f>IFERROR(__xludf.DUMMYFUNCTION("""COMPUTED_VALUE"""),"0979827251")</f>
        <v>0979827251</v>
      </c>
      <c r="M321" s="7" t="str">
        <f>IFERROR(__xludf.DUMMYFUNCTION("""COMPUTED_VALUE"""),"038073025890")</f>
        <v>038073025890</v>
      </c>
      <c r="N321" s="17">
        <f>IFERROR(__xludf.DUMMYFUNCTION("""COMPUTED_VALUE"""),44418.0)</f>
        <v>44418</v>
      </c>
      <c r="O321" s="7" t="str">
        <f>IFERROR(__xludf.DUMMYFUNCTION("""COMPUTED_VALUE"""),"Cục Cảnh sát QLHC về TTXH")</f>
        <v>Cục Cảnh sát QLHC về TTXH</v>
      </c>
      <c r="P321" s="7" t="str">
        <f>IFERROR(__xludf.DUMMYFUNCTION("""COMPUTED_VALUE"""),"Công nhân kỹ thuật")</f>
        <v>Công nhân kỹ thuật</v>
      </c>
      <c r="Q321" s="7" t="str">
        <f>IFERROR(__xludf.DUMMYFUNCTION("""COMPUTED_VALUE"""),"Thợ điện")</f>
        <v>Thợ điện</v>
      </c>
      <c r="R321" s="17">
        <f>IFERROR(__xludf.DUMMYFUNCTION("""COMPUTED_VALUE"""),37439.0)</f>
        <v>37439</v>
      </c>
      <c r="S321" s="17">
        <f>IFERROR(__xludf.DUMMYFUNCTION("""COMPUTED_VALUE"""),37439.0)</f>
        <v>37439</v>
      </c>
      <c r="T321" s="7" t="str">
        <f>IFERROR(__xludf.DUMMYFUNCTION("""COMPUTED_VALUE"""),"Chính thức")</f>
        <v>Chính thức</v>
      </c>
      <c r="U321" s="7"/>
      <c r="V321" s="7" t="str">
        <f>IFERROR(__xludf.DUMMYFUNCTION("""COMPUTED_VALUE"""),"Điều động")</f>
        <v>Điều động</v>
      </c>
      <c r="W321" s="7" t="str">
        <f>IFERROR(__xludf.DUMMYFUNCTION("""COMPUTED_VALUE"""),"23 năm 5 tháng")</f>
        <v>23 năm 5 tháng</v>
      </c>
      <c r="X321" s="7"/>
      <c r="Y321" s="7"/>
      <c r="Z321" s="7"/>
    </row>
    <row r="322">
      <c r="A322" s="21" t="str">
        <f>IFERROR(__xludf.DUMMYFUNCTION("""COMPUTED_VALUE"""),"2")</f>
        <v>2</v>
      </c>
      <c r="B322" s="7" t="str">
        <f>IFERROR(__xludf.DUMMYFUNCTION("""COMPUTED_VALUE"""),"PXSX1")</f>
        <v>PXSX1</v>
      </c>
      <c r="C322" s="7" t="str">
        <f>IFERROR(__xludf.DUMMYFUNCTION("""COMPUTED_VALUE"""),"Phó bộ phận PXSX1")</f>
        <v>Phó bộ phận PXSX1</v>
      </c>
      <c r="D322" s="7" t="str">
        <f>IFERROR(__xludf.DUMMYFUNCTION("""COMPUTED_VALUE"""),"Bộ phận hành chính")</f>
        <v>Bộ phận hành chính</v>
      </c>
      <c r="E322" s="7" t="str">
        <f>IFERROR(__xludf.DUMMYFUNCTION("""COMPUTED_VALUE"""),"Phó bộ phận - Phụ trách Mài")</f>
        <v>Phó bộ phận - Phụ trách Mài</v>
      </c>
      <c r="F322" s="7" t="str">
        <f>IFERROR(__xludf.DUMMYFUNCTION("""COMPUTED_VALUE"""),"NV0454")</f>
        <v>NV0454</v>
      </c>
      <c r="G322" s="7">
        <f>IFERROR(__xludf.DUMMYFUNCTION("""COMPUTED_VALUE"""),505.0)</f>
        <v>505</v>
      </c>
      <c r="H322" s="7" t="str">
        <f>IFERROR(__xludf.DUMMYFUNCTION("""COMPUTED_VALUE"""),"Lê Đình Toàn")</f>
        <v>Lê Đình Toàn</v>
      </c>
      <c r="I322" s="7" t="str">
        <f>IFERROR(__xludf.DUMMYFUNCTION("""COMPUTED_VALUE"""),"Nam")</f>
        <v>Nam</v>
      </c>
      <c r="J322" s="17">
        <f>IFERROR(__xludf.DUMMYFUNCTION("""COMPUTED_VALUE"""),28491.0)</f>
        <v>28491</v>
      </c>
      <c r="K322" s="7" t="str">
        <f>IFERROR(__xludf.DUMMYFUNCTION("""COMPUTED_VALUE"""),"Thôn Phương Quang - Phường Nguyệt Viên - Tỉnh Thanh Hóa")</f>
        <v>Thôn Phương Quang - Phường Nguyệt Viên - Tỉnh Thanh Hóa</v>
      </c>
      <c r="L322" s="7" t="str">
        <f>IFERROR(__xludf.DUMMYFUNCTION("""COMPUTED_VALUE"""),"0977157077")</f>
        <v>0977157077</v>
      </c>
      <c r="M322" s="7" t="str">
        <f>IFERROR(__xludf.DUMMYFUNCTION("""COMPUTED_VALUE"""),"038078024225")</f>
        <v>038078024225</v>
      </c>
      <c r="N322" s="17">
        <f>IFERROR(__xludf.DUMMYFUNCTION("""COMPUTED_VALUE"""),44435.0)</f>
        <v>44435</v>
      </c>
      <c r="O322" s="7" t="str">
        <f>IFERROR(__xludf.DUMMYFUNCTION("""COMPUTED_VALUE"""),"Cục Cảnh sát QLHC về TTXH")</f>
        <v>Cục Cảnh sát QLHC về TTXH</v>
      </c>
      <c r="P322" s="7" t="str">
        <f>IFERROR(__xludf.DUMMYFUNCTION("""COMPUTED_VALUE"""),"Công nhân kỹ thuật")</f>
        <v>Công nhân kỹ thuật</v>
      </c>
      <c r="Q322" s="7" t="str">
        <f>IFERROR(__xludf.DUMMYFUNCTION("""COMPUTED_VALUE"""),"Thợ quản lý điện lưới")</f>
        <v>Thợ quản lý điện lưới</v>
      </c>
      <c r="R322" s="17">
        <f>IFERROR(__xludf.DUMMYFUNCTION("""COMPUTED_VALUE"""),39253.0)</f>
        <v>39253</v>
      </c>
      <c r="S322" s="17">
        <f>IFERROR(__xludf.DUMMYFUNCTION("""COMPUTED_VALUE"""),39253.0)</f>
        <v>39253</v>
      </c>
      <c r="T322" s="7" t="str">
        <f>IFERROR(__xludf.DUMMYFUNCTION("""COMPUTED_VALUE"""),"Chính thức")</f>
        <v>Chính thức</v>
      </c>
      <c r="U322" s="7"/>
      <c r="V322" s="7"/>
      <c r="W322" s="7" t="str">
        <f>IFERROR(__xludf.DUMMYFUNCTION("""COMPUTED_VALUE"""),"18 năm 6 tháng")</f>
        <v>18 năm 6 tháng</v>
      </c>
      <c r="X322" s="7"/>
      <c r="Y322" s="7"/>
      <c r="Z322" s="7"/>
    </row>
    <row r="323">
      <c r="A323" s="21" t="str">
        <f>IFERROR(__xludf.DUMMYFUNCTION("""COMPUTED_VALUE"""),"3")</f>
        <v>3</v>
      </c>
      <c r="B323" s="7" t="str">
        <f>IFERROR(__xludf.DUMMYFUNCTION("""COMPUTED_VALUE"""),"PXSX1")</f>
        <v>PXSX1</v>
      </c>
      <c r="C323" s="7" t="str">
        <f>IFERROR(__xludf.DUMMYFUNCTION("""COMPUTED_VALUE"""),"Phó bộ phận PXSX1")</f>
        <v>Phó bộ phận PXSX1</v>
      </c>
      <c r="D323" s="7" t="str">
        <f>IFERROR(__xludf.DUMMYFUNCTION("""COMPUTED_VALUE"""),"Bộ phận hành chính")</f>
        <v>Bộ phận hành chính</v>
      </c>
      <c r="E323" s="7" t="str">
        <f>IFERROR(__xludf.DUMMYFUNCTION("""COMPUTED_VALUE"""),"Phó bộ phận - Phụ trách Dây chuyền gia công")</f>
        <v>Phó bộ phận - Phụ trách Dây chuyền gia công</v>
      </c>
      <c r="F323" s="7" t="str">
        <f>IFERROR(__xludf.DUMMYFUNCTION("""COMPUTED_VALUE"""),"NV0574")</f>
        <v>NV0574</v>
      </c>
      <c r="G323" s="7">
        <f>IFERROR(__xludf.DUMMYFUNCTION("""COMPUTED_VALUE"""),183.0)</f>
        <v>183</v>
      </c>
      <c r="H323" s="7" t="str">
        <f>IFERROR(__xludf.DUMMYFUNCTION("""COMPUTED_VALUE"""),"Nguyễn Hoàng Dũng")</f>
        <v>Nguyễn Hoàng Dũng</v>
      </c>
      <c r="I323" s="7" t="str">
        <f>IFERROR(__xludf.DUMMYFUNCTION("""COMPUTED_VALUE"""),"Nam")</f>
        <v>Nam</v>
      </c>
      <c r="J323" s="17">
        <f>IFERROR(__xludf.DUMMYFUNCTION("""COMPUTED_VALUE"""),29409.0)</f>
        <v>29409</v>
      </c>
      <c r="K323" s="7" t="str">
        <f>IFERROR(__xludf.DUMMYFUNCTION("""COMPUTED_VALUE"""),"Thôn 3 - Phường Quảng Phú - Tỉnh Thanh Hóa ")</f>
        <v>Thôn 3 - Phường Quảng Phú - Tỉnh Thanh Hóa </v>
      </c>
      <c r="L323" s="7" t="str">
        <f>IFERROR(__xludf.DUMMYFUNCTION("""COMPUTED_VALUE"""),"0915126412")</f>
        <v>0915126412</v>
      </c>
      <c r="M323" s="7" t="str">
        <f>IFERROR(__xludf.DUMMYFUNCTION("""COMPUTED_VALUE"""),"038080002944")</f>
        <v>038080002944</v>
      </c>
      <c r="N323" s="17">
        <f>IFERROR(__xludf.DUMMYFUNCTION("""COMPUTED_VALUE"""),42684.0)</f>
        <v>42684</v>
      </c>
      <c r="O323" s="7" t="str">
        <f>IFERROR(__xludf.DUMMYFUNCTION("""COMPUTED_VALUE"""),"Cục Cảnh sát QLHC về TTXH")</f>
        <v>Cục Cảnh sát QLHC về TTXH</v>
      </c>
      <c r="P323" s="7" t="str">
        <f>IFERROR(__xludf.DUMMYFUNCTION("""COMPUTED_VALUE"""),"Trung cấp")</f>
        <v>Trung cấp</v>
      </c>
      <c r="Q323" s="7" t="str">
        <f>IFERROR(__xludf.DUMMYFUNCTION("""COMPUTED_VALUE"""),"Điện công nghiệp")</f>
        <v>Điện công nghiệp</v>
      </c>
      <c r="R323" s="17">
        <f>IFERROR(__xludf.DUMMYFUNCTION("""COMPUTED_VALUE"""),39612.0)</f>
        <v>39612</v>
      </c>
      <c r="S323" s="17">
        <f>IFERROR(__xludf.DUMMYFUNCTION("""COMPUTED_VALUE"""),39612.0)</f>
        <v>39612</v>
      </c>
      <c r="T323" s="7" t="str">
        <f>IFERROR(__xludf.DUMMYFUNCTION("""COMPUTED_VALUE"""),"Chính thức")</f>
        <v>Chính thức</v>
      </c>
      <c r="U323" s="7"/>
      <c r="V323" s="7"/>
      <c r="W323" s="7" t="str">
        <f>IFERROR(__xludf.DUMMYFUNCTION("""COMPUTED_VALUE"""),"17 năm 6 tháng")</f>
        <v>17 năm 6 tháng</v>
      </c>
      <c r="X323" s="7"/>
      <c r="Y323" s="7"/>
      <c r="Z323" s="7"/>
    </row>
    <row r="324">
      <c r="A324" s="21" t="str">
        <f>IFERROR(__xludf.DUMMYFUNCTION("""COMPUTED_VALUE"""),"4")</f>
        <v>4</v>
      </c>
      <c r="B324" s="7" t="str">
        <f>IFERROR(__xludf.DUMMYFUNCTION("""COMPUTED_VALUE"""),"PXSX1")</f>
        <v>PXSX1</v>
      </c>
      <c r="C324" s="7" t="str">
        <f>IFERROR(__xludf.DUMMYFUNCTION("""COMPUTED_VALUE"""),"Phó bộ phận PXSX1")</f>
        <v>Phó bộ phận PXSX1</v>
      </c>
      <c r="D324" s="7" t="str">
        <f>IFERROR(__xludf.DUMMYFUNCTION("""COMPUTED_VALUE"""),"Bộ phận hành chính")</f>
        <v>Bộ phận hành chính</v>
      </c>
      <c r="E324" s="7" t="str">
        <f>IFERROR(__xludf.DUMMYFUNCTION("""COMPUTED_VALUE"""),"Phó bộ phận - Phụ trách Lò nung")</f>
        <v>Phó bộ phận - Phụ trách Lò nung</v>
      </c>
      <c r="F324" s="7" t="str">
        <f>IFERROR(__xludf.DUMMYFUNCTION("""COMPUTED_VALUE"""),"NV0447")</f>
        <v>NV0447</v>
      </c>
      <c r="G324" s="7">
        <f>IFERROR(__xludf.DUMMYFUNCTION("""COMPUTED_VALUE"""),538.0)</f>
        <v>538</v>
      </c>
      <c r="H324" s="7" t="str">
        <f>IFERROR(__xludf.DUMMYFUNCTION("""COMPUTED_VALUE"""),"Quản Văn Phương")</f>
        <v>Quản Văn Phương</v>
      </c>
      <c r="I324" s="7" t="str">
        <f>IFERROR(__xludf.DUMMYFUNCTION("""COMPUTED_VALUE"""),"Nam")</f>
        <v>Nam</v>
      </c>
      <c r="J324" s="17">
        <f>IFERROR(__xludf.DUMMYFUNCTION("""COMPUTED_VALUE"""),30769.0)</f>
        <v>30769</v>
      </c>
      <c r="K324" s="7" t="str">
        <f>IFERROR(__xludf.DUMMYFUNCTION("""COMPUTED_VALUE"""),"18/2 Phú Chung Tây Sơn 2 - Phường Hạc Thành - Tỉnh Thanh Hóa ")</f>
        <v>18/2 Phú Chung Tây Sơn 2 - Phường Hạc Thành - Tỉnh Thanh Hóa </v>
      </c>
      <c r="L324" s="7" t="str">
        <f>IFERROR(__xludf.DUMMYFUNCTION("""COMPUTED_VALUE"""),"0976677177")</f>
        <v>0976677177</v>
      </c>
      <c r="M324" s="7" t="str">
        <f>IFERROR(__xludf.DUMMYFUNCTION("""COMPUTED_VALUE"""),"038084051000")</f>
        <v>038084051000</v>
      </c>
      <c r="N324" s="17">
        <f>IFERROR(__xludf.DUMMYFUNCTION("""COMPUTED_VALUE"""),44830.0)</f>
        <v>44830</v>
      </c>
      <c r="O324" s="7" t="str">
        <f>IFERROR(__xludf.DUMMYFUNCTION("""COMPUTED_VALUE"""),"Cục Cảnh sát QLHC về TTXH")</f>
        <v>Cục Cảnh sát QLHC về TTXH</v>
      </c>
      <c r="P324" s="7" t="str">
        <f>IFERROR(__xludf.DUMMYFUNCTION("""COMPUTED_VALUE"""),"Kỹ sư")</f>
        <v>Kỹ sư</v>
      </c>
      <c r="Q324" s="7" t="str">
        <f>IFERROR(__xludf.DUMMYFUNCTION("""COMPUTED_VALUE"""),"Hóa học")</f>
        <v>Hóa học</v>
      </c>
      <c r="R324" s="17">
        <f>IFERROR(__xludf.DUMMYFUNCTION("""COMPUTED_VALUE"""),38247.0)</f>
        <v>38247</v>
      </c>
      <c r="S324" s="17">
        <f>IFERROR(__xludf.DUMMYFUNCTION("""COMPUTED_VALUE"""),38247.0)</f>
        <v>38247</v>
      </c>
      <c r="T324" s="7" t="str">
        <f>IFERROR(__xludf.DUMMYFUNCTION("""COMPUTED_VALUE"""),"Chính thức")</f>
        <v>Chính thức</v>
      </c>
      <c r="U324" s="7"/>
      <c r="V324" s="7" t="str">
        <f>IFERROR(__xludf.DUMMYFUNCTION("""COMPUTED_VALUE"""),"Điều động")</f>
        <v>Điều động</v>
      </c>
      <c r="W324" s="7" t="str">
        <f>IFERROR(__xludf.DUMMYFUNCTION("""COMPUTED_VALUE"""),"21 năm 3 tháng")</f>
        <v>21 năm 3 tháng</v>
      </c>
      <c r="X324" s="7"/>
      <c r="Y324" s="7"/>
      <c r="Z324" s="7"/>
    </row>
    <row r="325">
      <c r="A325" s="21" t="str">
        <f>IFERROR(__xludf.DUMMYFUNCTION("""COMPUTED_VALUE"""),"5")</f>
        <v>5</v>
      </c>
      <c r="B325" s="7" t="str">
        <f>IFERROR(__xludf.DUMMYFUNCTION("""COMPUTED_VALUE"""),"PXSX1")</f>
        <v>PXSX1</v>
      </c>
      <c r="C325" s="7" t="str">
        <f>IFERROR(__xludf.DUMMYFUNCTION("""COMPUTED_VALUE"""),"Phó bộ phận PXSX1")</f>
        <v>Phó bộ phận PXSX1</v>
      </c>
      <c r="D325" s="7" t="str">
        <f>IFERROR(__xludf.DUMMYFUNCTION("""COMPUTED_VALUE"""),"Bộ phận hành chính")</f>
        <v>Bộ phận hành chính</v>
      </c>
      <c r="E325" s="7" t="str">
        <f>IFERROR(__xludf.DUMMYFUNCTION("""COMPUTED_VALUE"""),"Phó bộ phận - Phụ trách Đóng hộp")</f>
        <v>Phó bộ phận - Phụ trách Đóng hộp</v>
      </c>
      <c r="F325" s="7" t="str">
        <f>IFERROR(__xludf.DUMMYFUNCTION("""COMPUTED_VALUE"""),"NV0223")</f>
        <v>NV0223</v>
      </c>
      <c r="G325" s="7">
        <f>IFERROR(__xludf.DUMMYFUNCTION("""COMPUTED_VALUE"""),195.0)</f>
        <v>195</v>
      </c>
      <c r="H325" s="7" t="str">
        <f>IFERROR(__xludf.DUMMYFUNCTION("""COMPUTED_VALUE"""),"Trần Văn Hùng")</f>
        <v>Trần Văn Hùng</v>
      </c>
      <c r="I325" s="7" t="str">
        <f>IFERROR(__xludf.DUMMYFUNCTION("""COMPUTED_VALUE"""),"Nam")</f>
        <v>Nam</v>
      </c>
      <c r="J325" s="17">
        <f>IFERROR(__xludf.DUMMYFUNCTION("""COMPUTED_VALUE"""),31931.0)</f>
        <v>31931</v>
      </c>
      <c r="K325" s="7" t="str">
        <f>IFERROR(__xludf.DUMMYFUNCTION("""COMPUTED_VALUE"""),"Thôn 16 - Phường Tân Dân - Tỉnh Thanh Hóa")</f>
        <v>Thôn 16 - Phường Tân Dân - Tỉnh Thanh Hóa</v>
      </c>
      <c r="L325" s="7" t="str">
        <f>IFERROR(__xludf.DUMMYFUNCTION("""COMPUTED_VALUE"""),"0385583386")</f>
        <v>0385583386</v>
      </c>
      <c r="M325" s="7" t="str">
        <f>IFERROR(__xludf.DUMMYFUNCTION("""COMPUTED_VALUE"""),"038087035657")</f>
        <v>038087035657</v>
      </c>
      <c r="N325" s="17">
        <f>IFERROR(__xludf.DUMMYFUNCTION("""COMPUTED_VALUE"""),44423.0)</f>
        <v>44423</v>
      </c>
      <c r="O325" s="7" t="str">
        <f>IFERROR(__xludf.DUMMYFUNCTION("""COMPUTED_VALUE"""),"Cục Cảnh sát QLHC về TTXH")</f>
        <v>Cục Cảnh sát QLHC về TTXH</v>
      </c>
      <c r="P325" s="7" t="str">
        <f>IFERROR(__xludf.DUMMYFUNCTION("""COMPUTED_VALUE"""),"Đại học")</f>
        <v>Đại học</v>
      </c>
      <c r="Q325" s="7" t="str">
        <f>IFERROR(__xludf.DUMMYFUNCTION("""COMPUTED_VALUE"""),"Sư phạm lý")</f>
        <v>Sư phạm lý</v>
      </c>
      <c r="R325" s="17">
        <f>IFERROR(__xludf.DUMMYFUNCTION("""COMPUTED_VALUE"""),41947.0)</f>
        <v>41947</v>
      </c>
      <c r="S325" s="17">
        <f>IFERROR(__xludf.DUMMYFUNCTION("""COMPUTED_VALUE"""),41947.0)</f>
        <v>41947</v>
      </c>
      <c r="T325" s="7" t="str">
        <f>IFERROR(__xludf.DUMMYFUNCTION("""COMPUTED_VALUE"""),"Chính thức")</f>
        <v>Chính thức</v>
      </c>
      <c r="U325" s="7"/>
      <c r="V325" s="7"/>
      <c r="W325" s="7" t="str">
        <f>IFERROR(__xludf.DUMMYFUNCTION("""COMPUTED_VALUE"""),"11 năm 1 tháng")</f>
        <v>11 năm 1 tháng</v>
      </c>
      <c r="X325" s="7"/>
      <c r="Y325" s="7"/>
      <c r="Z325" s="7"/>
    </row>
    <row r="326">
      <c r="A326" s="21" t="str">
        <f>IFERROR(__xludf.DUMMYFUNCTION("""COMPUTED_VALUE"""),"6")</f>
        <v>6</v>
      </c>
      <c r="B326" s="7" t="str">
        <f>IFERROR(__xludf.DUMMYFUNCTION("""COMPUTED_VALUE"""),"PXSX1")</f>
        <v>PXSX1</v>
      </c>
      <c r="C326" s="7" t="str">
        <f>IFERROR(__xludf.DUMMYFUNCTION("""COMPUTED_VALUE"""),"Phó bộ phận PXSX1")</f>
        <v>Phó bộ phận PXSX1</v>
      </c>
      <c r="D326" s="7" t="str">
        <f>IFERROR(__xludf.DUMMYFUNCTION("""COMPUTED_VALUE"""),"Bộ phận hành chính")</f>
        <v>Bộ phận hành chính</v>
      </c>
      <c r="E326" s="7" t="str">
        <f>IFERROR(__xludf.DUMMYFUNCTION("""COMPUTED_VALUE"""),"Trưởng bộ phận - Bộ phận nhiên liệu và gia công bán thành phẩm")</f>
        <v>Trưởng bộ phận - Bộ phận nhiên liệu và gia công bán thành phẩm</v>
      </c>
      <c r="F326" s="7" t="str">
        <f>IFERROR(__xludf.DUMMYFUNCTION("""COMPUTED_VALUE"""),"NV0133")</f>
        <v>NV0133</v>
      </c>
      <c r="G326" s="7">
        <f>IFERROR(__xludf.DUMMYFUNCTION("""COMPUTED_VALUE"""),70.0)</f>
        <v>70</v>
      </c>
      <c r="H326" s="7" t="str">
        <f>IFERROR(__xludf.DUMMYFUNCTION("""COMPUTED_VALUE"""),"Bùi Sỹ Quang")</f>
        <v>Bùi Sỹ Quang</v>
      </c>
      <c r="I326" s="7" t="str">
        <f>IFERROR(__xludf.DUMMYFUNCTION("""COMPUTED_VALUE"""),"Nam")</f>
        <v>Nam</v>
      </c>
      <c r="J326" s="17">
        <f>IFERROR(__xludf.DUMMYFUNCTION("""COMPUTED_VALUE"""),32174.0)</f>
        <v>32174</v>
      </c>
      <c r="K326" s="7" t="str">
        <f>IFERROR(__xludf.DUMMYFUNCTION("""COMPUTED_VALUE"""),"Thôn Tân Đắc - Xã Lưu Vệ - Tỉnh Thanh Hóa")</f>
        <v>Thôn Tân Đắc - Xã Lưu Vệ - Tỉnh Thanh Hóa</v>
      </c>
      <c r="L326" s="7" t="str">
        <f>IFERROR(__xludf.DUMMYFUNCTION("""COMPUTED_VALUE"""),"0932488689")</f>
        <v>0932488689</v>
      </c>
      <c r="M326" s="7" t="str">
        <f>IFERROR(__xludf.DUMMYFUNCTION("""COMPUTED_VALUE"""),"038088028344")</f>
        <v>038088028344</v>
      </c>
      <c r="N326" s="17">
        <f>IFERROR(__xludf.DUMMYFUNCTION("""COMPUTED_VALUE"""),44861.0)</f>
        <v>44861</v>
      </c>
      <c r="O326" s="7" t="str">
        <f>IFERROR(__xludf.DUMMYFUNCTION("""COMPUTED_VALUE"""),"Cục Cảnh sát QLHC về TTXH")</f>
        <v>Cục Cảnh sát QLHC về TTXH</v>
      </c>
      <c r="P326" s="7" t="str">
        <f>IFERROR(__xludf.DUMMYFUNCTION("""COMPUTED_VALUE"""),"Cao đẳng")</f>
        <v>Cao đẳng</v>
      </c>
      <c r="Q326" s="7" t="str">
        <f>IFERROR(__xludf.DUMMYFUNCTION("""COMPUTED_VALUE"""),"Hàn công nghệ cao")</f>
        <v>Hàn công nghệ cao</v>
      </c>
      <c r="R326" s="17">
        <f>IFERROR(__xludf.DUMMYFUNCTION("""COMPUTED_VALUE"""),41390.0)</f>
        <v>41390</v>
      </c>
      <c r="S326" s="17">
        <f>IFERROR(__xludf.DUMMYFUNCTION("""COMPUTED_VALUE"""),41390.0)</f>
        <v>41390</v>
      </c>
      <c r="T326" s="7" t="str">
        <f>IFERROR(__xludf.DUMMYFUNCTION("""COMPUTED_VALUE"""),"Chính thức")</f>
        <v>Chính thức</v>
      </c>
      <c r="U326" s="7"/>
      <c r="V326" s="7" t="str">
        <f>IFERROR(__xludf.DUMMYFUNCTION("""COMPUTED_VALUE"""),"Chính thức")</f>
        <v>Chính thức</v>
      </c>
      <c r="W326" s="7" t="str">
        <f>IFERROR(__xludf.DUMMYFUNCTION("""COMPUTED_VALUE"""),"12 năm 8 tháng")</f>
        <v>12 năm 8 tháng</v>
      </c>
      <c r="X326" s="7"/>
      <c r="Y326" s="7"/>
      <c r="Z326" s="7"/>
    </row>
    <row r="327">
      <c r="A327" s="21" t="str">
        <f>IFERROR(__xludf.DUMMYFUNCTION("""COMPUTED_VALUE"""),"1")</f>
        <v>1</v>
      </c>
      <c r="B327" s="7" t="str">
        <f>IFERROR(__xludf.DUMMYFUNCTION("""COMPUTED_VALUE"""),"PXSX1")</f>
        <v>PXSX1</v>
      </c>
      <c r="C327" s="7" t="str">
        <f>IFERROR(__xludf.DUMMYFUNCTION("""COMPUTED_VALUE"""),"Bộ phận nhiên liệu và gia công bán thành phẩm ")</f>
        <v>Bộ phận nhiên liệu và gia công bán thành phẩm </v>
      </c>
      <c r="D327" s="7" t="str">
        <f>IFERROR(__xludf.DUMMYFUNCTION("""COMPUTED_VALUE"""),"Quản lý")</f>
        <v>Quản lý</v>
      </c>
      <c r="E327" s="7" t="str">
        <f>IFERROR(__xludf.DUMMYFUNCTION("""COMPUTED_VALUE"""),"CBKT - Phụ trách Dây chuyền gia công")</f>
        <v>CBKT - Phụ trách Dây chuyền gia công</v>
      </c>
      <c r="F327" s="7" t="str">
        <f>IFERROR(__xludf.DUMMYFUNCTION("""COMPUTED_VALUE"""),"NV0195")</f>
        <v>NV0195</v>
      </c>
      <c r="G327" s="7">
        <f>IFERROR(__xludf.DUMMYFUNCTION("""COMPUTED_VALUE"""),186.0)</f>
        <v>186</v>
      </c>
      <c r="H327" s="7" t="str">
        <f>IFERROR(__xludf.DUMMYFUNCTION("""COMPUTED_VALUE"""),"Trương Văn Thắng")</f>
        <v>Trương Văn Thắng</v>
      </c>
      <c r="I327" s="7" t="str">
        <f>IFERROR(__xludf.DUMMYFUNCTION("""COMPUTED_VALUE"""),"Nam")</f>
        <v>Nam</v>
      </c>
      <c r="J327" s="17">
        <f>IFERROR(__xludf.DUMMYFUNCTION("""COMPUTED_VALUE"""),29384.0)</f>
        <v>29384</v>
      </c>
      <c r="K327" s="7" t="str">
        <f>IFERROR(__xludf.DUMMYFUNCTION("""COMPUTED_VALUE"""),"Thôn Xuân Mọc - Xã Quảng Ngọc - Tỉnh Thanh Hóa")</f>
        <v>Thôn Xuân Mọc - Xã Quảng Ngọc - Tỉnh Thanh Hóa</v>
      </c>
      <c r="L327" s="7" t="str">
        <f>IFERROR(__xludf.DUMMYFUNCTION("""COMPUTED_VALUE"""),"0977131094")</f>
        <v>0977131094</v>
      </c>
      <c r="M327" s="7" t="str">
        <f>IFERROR(__xludf.DUMMYFUNCTION("""COMPUTED_VALUE"""),"038080025813")</f>
        <v>038080025813</v>
      </c>
      <c r="N327" s="17">
        <f>IFERROR(__xludf.DUMMYFUNCTION("""COMPUTED_VALUE"""),44459.0)</f>
        <v>44459</v>
      </c>
      <c r="O327" s="7" t="str">
        <f>IFERROR(__xludf.DUMMYFUNCTION("""COMPUTED_VALUE"""),"Cục Cảnh sát QLHC về TTXH")</f>
        <v>Cục Cảnh sát QLHC về TTXH</v>
      </c>
      <c r="P327" s="7" t="str">
        <f>IFERROR(__xludf.DUMMYFUNCTION("""COMPUTED_VALUE"""),"Trung cấp")</f>
        <v>Trung cấp</v>
      </c>
      <c r="Q327" s="7" t="str">
        <f>IFERROR(__xludf.DUMMYFUNCTION("""COMPUTED_VALUE"""),"Lắp máy")</f>
        <v>Lắp máy</v>
      </c>
      <c r="R327" s="17">
        <f>IFERROR(__xludf.DUMMYFUNCTION("""COMPUTED_VALUE"""),37438.0)</f>
        <v>37438</v>
      </c>
      <c r="S327" s="17">
        <f>IFERROR(__xludf.DUMMYFUNCTION("""COMPUTED_VALUE"""),37438.0)</f>
        <v>37438</v>
      </c>
      <c r="T327" s="7" t="str">
        <f>IFERROR(__xludf.DUMMYFUNCTION("""COMPUTED_VALUE"""),"Chính thức")</f>
        <v>Chính thức</v>
      </c>
      <c r="U327" s="7"/>
      <c r="V327" s="7"/>
      <c r="W327" s="7" t="str">
        <f>IFERROR(__xludf.DUMMYFUNCTION("""COMPUTED_VALUE"""),"23 năm 5 tháng")</f>
        <v>23 năm 5 tháng</v>
      </c>
      <c r="X327" s="7"/>
      <c r="Y327" s="7"/>
      <c r="Z327" s="7"/>
    </row>
    <row r="328">
      <c r="A328" s="21" t="str">
        <f>IFERROR(__xludf.DUMMYFUNCTION("""COMPUTED_VALUE"""),"2")</f>
        <v>2</v>
      </c>
      <c r="B328" s="7" t="str">
        <f>IFERROR(__xludf.DUMMYFUNCTION("""COMPUTED_VALUE"""),"PXSX1")</f>
        <v>PXSX1</v>
      </c>
      <c r="C328" s="7" t="str">
        <f>IFERROR(__xludf.DUMMYFUNCTION("""COMPUTED_VALUE"""),"Bộ phận nhiên liệu và gia công bán thành phẩm ")</f>
        <v>Bộ phận nhiên liệu và gia công bán thành phẩm </v>
      </c>
      <c r="D328" s="7" t="str">
        <f>IFERROR(__xludf.DUMMYFUNCTION("""COMPUTED_VALUE"""),"Quản lý")</f>
        <v>Quản lý</v>
      </c>
      <c r="E328" s="7" t="str">
        <f>IFERROR(__xludf.DUMMYFUNCTION("""COMPUTED_VALUE"""),"CBKT - Phụ trách kỹ thuật lò than")</f>
        <v>CBKT - Phụ trách kỹ thuật lò than</v>
      </c>
      <c r="F328" s="7" t="str">
        <f>IFERROR(__xludf.DUMMYFUNCTION("""COMPUTED_VALUE"""),"NV0300")</f>
        <v>NV0300</v>
      </c>
      <c r="G328" s="7">
        <f>IFERROR(__xludf.DUMMYFUNCTION("""COMPUTED_VALUE"""),124.0)</f>
        <v>124</v>
      </c>
      <c r="H328" s="7" t="str">
        <f>IFERROR(__xludf.DUMMYFUNCTION("""COMPUTED_VALUE"""),"Nguyễn Khắc Thành")</f>
        <v>Nguyễn Khắc Thành</v>
      </c>
      <c r="I328" s="7" t="str">
        <f>IFERROR(__xludf.DUMMYFUNCTION("""COMPUTED_VALUE"""),"Nam")</f>
        <v>Nam</v>
      </c>
      <c r="J328" s="17">
        <f>IFERROR(__xludf.DUMMYFUNCTION("""COMPUTED_VALUE"""),32552.0)</f>
        <v>32552</v>
      </c>
      <c r="K328" s="7" t="str">
        <f>IFERROR(__xludf.DUMMYFUNCTION("""COMPUTED_VALUE"""),"Thôn Phúc Cường - Phường Quảng Phú - Tỉnh Thanh Hóa")</f>
        <v>Thôn Phúc Cường - Phường Quảng Phú - Tỉnh Thanh Hóa</v>
      </c>
      <c r="L328" s="7" t="str">
        <f>IFERROR(__xludf.DUMMYFUNCTION("""COMPUTED_VALUE"""),"0979239665")</f>
        <v>0979239665</v>
      </c>
      <c r="M328" s="7" t="str">
        <f>IFERROR(__xludf.DUMMYFUNCTION("""COMPUTED_VALUE"""),"038089001833")</f>
        <v>038089001833</v>
      </c>
      <c r="N328" s="17">
        <f>IFERROR(__xludf.DUMMYFUNCTION("""COMPUTED_VALUE"""),44422.0)</f>
        <v>44422</v>
      </c>
      <c r="O328" s="7" t="str">
        <f>IFERROR(__xludf.DUMMYFUNCTION("""COMPUTED_VALUE"""),"Cục Cảnh sát QLHC về TTXH")</f>
        <v>Cục Cảnh sát QLHC về TTXH</v>
      </c>
      <c r="P328" s="7" t="str">
        <f>IFERROR(__xludf.DUMMYFUNCTION("""COMPUTED_VALUE"""),"Đại học")</f>
        <v>Đại học</v>
      </c>
      <c r="Q328" s="7" t="str">
        <f>IFERROR(__xludf.DUMMYFUNCTION("""COMPUTED_VALUE"""),"Công nghệ hóa dầu")</f>
        <v>Công nghệ hóa dầu</v>
      </c>
      <c r="R328" s="17">
        <f>IFERROR(__xludf.DUMMYFUNCTION("""COMPUTED_VALUE"""),41787.0)</f>
        <v>41787</v>
      </c>
      <c r="S328" s="17">
        <f>IFERROR(__xludf.DUMMYFUNCTION("""COMPUTED_VALUE"""),41787.0)</f>
        <v>41787</v>
      </c>
      <c r="T328" s="7" t="str">
        <f>IFERROR(__xludf.DUMMYFUNCTION("""COMPUTED_VALUE"""),"Chính thức")</f>
        <v>Chính thức</v>
      </c>
      <c r="U328" s="7"/>
      <c r="V328" s="7" t="str">
        <f>IFERROR(__xludf.DUMMYFUNCTION("""COMPUTED_VALUE"""),"Nghỉ phép")</f>
        <v>Nghỉ phép</v>
      </c>
      <c r="W328" s="7" t="str">
        <f>IFERROR(__xludf.DUMMYFUNCTION("""COMPUTED_VALUE"""),"11 năm 7 tháng")</f>
        <v>11 năm 7 tháng</v>
      </c>
      <c r="X328" s="7"/>
      <c r="Y328" s="7"/>
      <c r="Z328" s="7"/>
    </row>
    <row r="329">
      <c r="A329" s="21" t="str">
        <f>IFERROR(__xludf.DUMMYFUNCTION("""COMPUTED_VALUE"""),"1")</f>
        <v>1</v>
      </c>
      <c r="B329" s="7" t="str">
        <f>IFERROR(__xludf.DUMMYFUNCTION("""COMPUTED_VALUE"""),"PXSX1")</f>
        <v>PXSX1</v>
      </c>
      <c r="C329" s="7" t="str">
        <f>IFERROR(__xludf.DUMMYFUNCTION("""COMPUTED_VALUE"""),"Bộ phận nhiên liệu và gia công bán thành phẩm ")</f>
        <v>Bộ phận nhiên liệu và gia công bán thành phẩm </v>
      </c>
      <c r="D329" s="7" t="str">
        <f>IFERROR(__xludf.DUMMYFUNCTION("""COMPUTED_VALUE"""),"Trạm than Ca A")</f>
        <v>Trạm than Ca A</v>
      </c>
      <c r="E329" s="7" t="str">
        <f>IFERROR(__xludf.DUMMYFUNCTION("""COMPUTED_VALUE"""),"Công nhân vận hành")</f>
        <v>Công nhân vận hành</v>
      </c>
      <c r="F329" s="7" t="str">
        <f>IFERROR(__xludf.DUMMYFUNCTION("""COMPUTED_VALUE"""),"NV5255")</f>
        <v>NV5255</v>
      </c>
      <c r="G329" s="7">
        <f>IFERROR(__xludf.DUMMYFUNCTION("""COMPUTED_VALUE"""),245.0)</f>
        <v>245</v>
      </c>
      <c r="H329" s="7" t="str">
        <f>IFERROR(__xludf.DUMMYFUNCTION("""COMPUTED_VALUE"""),"Nguyễn Tất Đức")</f>
        <v>Nguyễn Tất Đức</v>
      </c>
      <c r="I329" s="7" t="str">
        <f>IFERROR(__xludf.DUMMYFUNCTION("""COMPUTED_VALUE"""),"Nam")</f>
        <v>Nam</v>
      </c>
      <c r="J329" s="17">
        <f>IFERROR(__xludf.DUMMYFUNCTION("""COMPUTED_VALUE"""),28255.0)</f>
        <v>28255</v>
      </c>
      <c r="K329" s="7" t="str">
        <f>IFERROR(__xludf.DUMMYFUNCTION("""COMPUTED_VALUE"""),"Xã Hoàng Châu - Tỉnh Thanh Hóa")</f>
        <v>Xã Hoàng Châu - Tỉnh Thanh Hóa</v>
      </c>
      <c r="L329" s="7" t="str">
        <f>IFERROR(__xludf.DUMMYFUNCTION("""COMPUTED_VALUE"""),"0815047888")</f>
        <v>0815047888</v>
      </c>
      <c r="M329" s="7" t="str">
        <f>IFERROR(__xludf.DUMMYFUNCTION("""COMPUTED_VALUE"""),"038077008406")</f>
        <v>038077008406</v>
      </c>
      <c r="N329" s="17">
        <f>IFERROR(__xludf.DUMMYFUNCTION("""COMPUTED_VALUE"""),44553.0)</f>
        <v>44553</v>
      </c>
      <c r="O329" s="7" t="str">
        <f>IFERROR(__xludf.DUMMYFUNCTION("""COMPUTED_VALUE"""),"Cục Cảnh sát QLHC về TTXH")</f>
        <v>Cục Cảnh sát QLHC về TTXH</v>
      </c>
      <c r="P329" s="7" t="str">
        <f>IFERROR(__xludf.DUMMYFUNCTION("""COMPUTED_VALUE"""),"LĐPT")</f>
        <v>LĐPT</v>
      </c>
      <c r="Q329" s="7" t="str">
        <f>IFERROR(__xludf.DUMMYFUNCTION("""COMPUTED_VALUE"""),"Lao động phổ thông")</f>
        <v>Lao động phổ thông</v>
      </c>
      <c r="R329" s="7"/>
      <c r="S329" s="17">
        <f>IFERROR(__xludf.DUMMYFUNCTION("""COMPUTED_VALUE"""),45803.0)</f>
        <v>45803</v>
      </c>
      <c r="T329" s="7" t="str">
        <f>IFERROR(__xludf.DUMMYFUNCTION("""COMPUTED_VALUE"""),"Chính thức")</f>
        <v>Chính thức</v>
      </c>
      <c r="U329" s="7"/>
      <c r="V329" s="7"/>
      <c r="W329" s="7" t="str">
        <f>IFERROR(__xludf.DUMMYFUNCTION("""COMPUTED_VALUE"""),"0 năm 7 tháng")</f>
        <v>0 năm 7 tháng</v>
      </c>
      <c r="X329" s="7"/>
      <c r="Y329" s="7"/>
      <c r="Z329" s="7"/>
    </row>
    <row r="330">
      <c r="A330" s="21" t="str">
        <f>IFERROR(__xludf.DUMMYFUNCTION("""COMPUTED_VALUE"""),"2")</f>
        <v>2</v>
      </c>
      <c r="B330" s="7" t="str">
        <f>IFERROR(__xludf.DUMMYFUNCTION("""COMPUTED_VALUE"""),"PXSX1")</f>
        <v>PXSX1</v>
      </c>
      <c r="C330" s="7" t="str">
        <f>IFERROR(__xludf.DUMMYFUNCTION("""COMPUTED_VALUE"""),"Bộ phận nhiên liệu và gia công bán thành phẩm ")</f>
        <v>Bộ phận nhiên liệu và gia công bán thành phẩm </v>
      </c>
      <c r="D330" s="7" t="str">
        <f>IFERROR(__xludf.DUMMYFUNCTION("""COMPUTED_VALUE"""),"Trạm than Ca A")</f>
        <v>Trạm than Ca A</v>
      </c>
      <c r="E330" s="7" t="str">
        <f>IFERROR(__xludf.DUMMYFUNCTION("""COMPUTED_VALUE"""),"Công nhân vận hành")</f>
        <v>Công nhân vận hành</v>
      </c>
      <c r="F330" s="7" t="str">
        <f>IFERROR(__xludf.DUMMYFUNCTION("""COMPUTED_VALUE"""),"NV4336")</f>
        <v>NV4336</v>
      </c>
      <c r="G330" s="7">
        <f>IFERROR(__xludf.DUMMYFUNCTION("""COMPUTED_VALUE"""),108.0)</f>
        <v>108</v>
      </c>
      <c r="H330" s="7" t="str">
        <f>IFERROR(__xludf.DUMMYFUNCTION("""COMPUTED_VALUE"""),"Trần Văn Thể")</f>
        <v>Trần Văn Thể</v>
      </c>
      <c r="I330" s="7" t="str">
        <f>IFERROR(__xludf.DUMMYFUNCTION("""COMPUTED_VALUE"""),"Nam")</f>
        <v>Nam</v>
      </c>
      <c r="J330" s="17">
        <f>IFERROR(__xludf.DUMMYFUNCTION("""COMPUTED_VALUE"""),30940.0)</f>
        <v>30940</v>
      </c>
      <c r="K330" s="7" t="str">
        <f>IFERROR(__xludf.DUMMYFUNCTION("""COMPUTED_VALUE"""),"Thôn Mậu Đông - Xã Quảng Bình - Tỉnh thành Hóa")</f>
        <v>Thôn Mậu Đông - Xã Quảng Bình - Tỉnh thành Hóa</v>
      </c>
      <c r="L330" s="7" t="str">
        <f>IFERROR(__xludf.DUMMYFUNCTION("""COMPUTED_VALUE"""),"0343823493")</f>
        <v>0343823493</v>
      </c>
      <c r="M330" s="7" t="str">
        <f>IFERROR(__xludf.DUMMYFUNCTION("""COMPUTED_VALUE"""),"038084020840")</f>
        <v>038084020840</v>
      </c>
      <c r="N330" s="17">
        <f>IFERROR(__xludf.DUMMYFUNCTION("""COMPUTED_VALUE"""),45642.0)</f>
        <v>45642</v>
      </c>
      <c r="O330" s="7" t="str">
        <f>IFERROR(__xludf.DUMMYFUNCTION("""COMPUTED_VALUE"""),"Cục Cảnh sát QLHC về TTXH")</f>
        <v>Cục Cảnh sát QLHC về TTXH</v>
      </c>
      <c r="P330" s="7" t="str">
        <f>IFERROR(__xludf.DUMMYFUNCTION("""COMPUTED_VALUE"""),"LĐPT")</f>
        <v>LĐPT</v>
      </c>
      <c r="Q330" s="7" t="str">
        <f>IFERROR(__xludf.DUMMYFUNCTION("""COMPUTED_VALUE"""),"Lao động phổ thông")</f>
        <v>Lao động phổ thông</v>
      </c>
      <c r="R330" s="17">
        <f>IFERROR(__xludf.DUMMYFUNCTION("""COMPUTED_VALUE"""),44728.0)</f>
        <v>44728</v>
      </c>
      <c r="S330" s="17">
        <f>IFERROR(__xludf.DUMMYFUNCTION("""COMPUTED_VALUE"""),44986.0)</f>
        <v>44986</v>
      </c>
      <c r="T330" s="7" t="str">
        <f>IFERROR(__xludf.DUMMYFUNCTION("""COMPUTED_VALUE"""),"Chính thức")</f>
        <v>Chính thức</v>
      </c>
      <c r="U330" s="7"/>
      <c r="V330" s="7"/>
      <c r="W330" s="7" t="str">
        <f>IFERROR(__xludf.DUMMYFUNCTION("""COMPUTED_VALUE"""),"3 năm 6 tháng")</f>
        <v>3 năm 6 tháng</v>
      </c>
      <c r="X330" s="7"/>
      <c r="Y330" s="7"/>
      <c r="Z330" s="7"/>
    </row>
    <row r="331">
      <c r="A331" s="21" t="str">
        <f>IFERROR(__xludf.DUMMYFUNCTION("""COMPUTED_VALUE"""),"3")</f>
        <v>3</v>
      </c>
      <c r="B331" s="7" t="str">
        <f>IFERROR(__xludf.DUMMYFUNCTION("""COMPUTED_VALUE"""),"PXSX1")</f>
        <v>PXSX1</v>
      </c>
      <c r="C331" s="7" t="str">
        <f>IFERROR(__xludf.DUMMYFUNCTION("""COMPUTED_VALUE"""),"Bộ phận nhiên liệu và gia công bán thành phẩm ")</f>
        <v>Bộ phận nhiên liệu và gia công bán thành phẩm </v>
      </c>
      <c r="D331" s="7" t="str">
        <f>IFERROR(__xludf.DUMMYFUNCTION("""COMPUTED_VALUE"""),"Trạm than Ca A")</f>
        <v>Trạm than Ca A</v>
      </c>
      <c r="E331" s="7" t="str">
        <f>IFERROR(__xludf.DUMMYFUNCTION("""COMPUTED_VALUE"""),"Vận hành")</f>
        <v>Vận hành</v>
      </c>
      <c r="F331" s="7" t="str">
        <f>IFERROR(__xludf.DUMMYFUNCTION("""COMPUTED_VALUE"""),"NV0288")</f>
        <v>NV0288</v>
      </c>
      <c r="G331" s="7">
        <f>IFERROR(__xludf.DUMMYFUNCTION("""COMPUTED_VALUE"""),717.0)</f>
        <v>717</v>
      </c>
      <c r="H331" s="7" t="str">
        <f>IFERROR(__xludf.DUMMYFUNCTION("""COMPUTED_VALUE"""),"Nguyễn Đình Hiếu")</f>
        <v>Nguyễn Đình Hiếu</v>
      </c>
      <c r="I331" s="7" t="str">
        <f>IFERROR(__xludf.DUMMYFUNCTION("""COMPUTED_VALUE"""),"Nam")</f>
        <v>Nam</v>
      </c>
      <c r="J331" s="17">
        <f>IFERROR(__xludf.DUMMYFUNCTION("""COMPUTED_VALUE"""),31845.0)</f>
        <v>31845</v>
      </c>
      <c r="K331" s="7" t="str">
        <f>IFERROR(__xludf.DUMMYFUNCTION("""COMPUTED_VALUE"""),"Thôn An Hảo - Xã Hoằng Lộc - Tỉnh Thanh Hóa")</f>
        <v>Thôn An Hảo - Xã Hoằng Lộc - Tỉnh Thanh Hóa</v>
      </c>
      <c r="L331" s="7" t="str">
        <f>IFERROR(__xludf.DUMMYFUNCTION("""COMPUTED_VALUE"""),"0569124993")</f>
        <v>0569124993</v>
      </c>
      <c r="M331" s="7" t="str">
        <f>IFERROR(__xludf.DUMMYFUNCTION("""COMPUTED_VALUE"""),"038087005664")</f>
        <v>038087005664</v>
      </c>
      <c r="N331" s="17">
        <f>IFERROR(__xludf.DUMMYFUNCTION("""COMPUTED_VALUE"""),44325.0)</f>
        <v>44325</v>
      </c>
      <c r="O331" s="7" t="str">
        <f>IFERROR(__xludf.DUMMYFUNCTION("""COMPUTED_VALUE"""),"Cục Cảnh sát QLHC về TTXH")</f>
        <v>Cục Cảnh sát QLHC về TTXH</v>
      </c>
      <c r="P331" s="7" t="str">
        <f>IFERROR(__xludf.DUMMYFUNCTION("""COMPUTED_VALUE"""),"LĐPT")</f>
        <v>LĐPT</v>
      </c>
      <c r="Q331" s="7" t="str">
        <f>IFERROR(__xludf.DUMMYFUNCTION("""COMPUTED_VALUE"""),"Lao động phổ thông")</f>
        <v>Lao động phổ thông</v>
      </c>
      <c r="R331" s="17">
        <f>IFERROR(__xludf.DUMMYFUNCTION("""COMPUTED_VALUE"""),42002.0)</f>
        <v>42002</v>
      </c>
      <c r="S331" s="17">
        <f>IFERROR(__xludf.DUMMYFUNCTION("""COMPUTED_VALUE"""),42002.0)</f>
        <v>42002</v>
      </c>
      <c r="T331" s="7" t="str">
        <f>IFERROR(__xludf.DUMMYFUNCTION("""COMPUTED_VALUE"""),"Chính thức")</f>
        <v>Chính thức</v>
      </c>
      <c r="U331" s="7"/>
      <c r="V331" s="7"/>
      <c r="W331" s="7" t="str">
        <f>IFERROR(__xludf.DUMMYFUNCTION("""COMPUTED_VALUE"""),"11 năm 0 tháng")</f>
        <v>11 năm 0 tháng</v>
      </c>
      <c r="X331" s="7"/>
      <c r="Y331" s="7"/>
      <c r="Z331" s="7"/>
    </row>
    <row r="332">
      <c r="A332" s="21" t="str">
        <f>IFERROR(__xludf.DUMMYFUNCTION("""COMPUTED_VALUE"""),"4")</f>
        <v>4</v>
      </c>
      <c r="B332" s="7" t="str">
        <f>IFERROR(__xludf.DUMMYFUNCTION("""COMPUTED_VALUE"""),"PXSX1")</f>
        <v>PXSX1</v>
      </c>
      <c r="C332" s="7" t="str">
        <f>IFERROR(__xludf.DUMMYFUNCTION("""COMPUTED_VALUE"""),"Bộ phận nhiên liệu và gia công bán thành phẩm ")</f>
        <v>Bộ phận nhiên liệu và gia công bán thành phẩm </v>
      </c>
      <c r="D332" s="7" t="str">
        <f>IFERROR(__xludf.DUMMYFUNCTION("""COMPUTED_VALUE"""),"Trạm than Ca A")</f>
        <v>Trạm than Ca A</v>
      </c>
      <c r="E332" s="7" t="str">
        <f>IFERROR(__xludf.DUMMYFUNCTION("""COMPUTED_VALUE"""),"Tổ phó")</f>
        <v>Tổ phó</v>
      </c>
      <c r="F332" s="7" t="str">
        <f>IFERROR(__xludf.DUMMYFUNCTION("""COMPUTED_VALUE"""),"NV0297")</f>
        <v>NV0297</v>
      </c>
      <c r="G332" s="7">
        <f>IFERROR(__xludf.DUMMYFUNCTION("""COMPUTED_VALUE"""),121.0)</f>
        <v>121</v>
      </c>
      <c r="H332" s="7" t="str">
        <f>IFERROR(__xludf.DUMMYFUNCTION("""COMPUTED_VALUE"""),"Trần Văn Nam")</f>
        <v>Trần Văn Nam</v>
      </c>
      <c r="I332" s="7" t="str">
        <f>IFERROR(__xludf.DUMMYFUNCTION("""COMPUTED_VALUE"""),"Nam")</f>
        <v>Nam</v>
      </c>
      <c r="J332" s="17">
        <f>IFERROR(__xludf.DUMMYFUNCTION("""COMPUTED_VALUE"""),33484.0)</f>
        <v>33484</v>
      </c>
      <c r="K332" s="7" t="str">
        <f>IFERROR(__xludf.DUMMYFUNCTION("""COMPUTED_VALUE"""),"Khu Phố 6 - Phường Quang Trung - Tỉnh Thanh Hóa - ")</f>
        <v>Khu Phố 6 - Phường Quang Trung - Tỉnh Thanh Hóa - </v>
      </c>
      <c r="L332" s="7" t="str">
        <f>IFERROR(__xludf.DUMMYFUNCTION("""COMPUTED_VALUE"""),"0948434501")</f>
        <v>0948434501</v>
      </c>
      <c r="M332" s="7" t="str">
        <f>IFERROR(__xludf.DUMMYFUNCTION("""COMPUTED_VALUE"""),"038091025418")</f>
        <v>038091025418</v>
      </c>
      <c r="N332" s="17">
        <f>IFERROR(__xludf.DUMMYFUNCTION("""COMPUTED_VALUE"""),44833.0)</f>
        <v>44833</v>
      </c>
      <c r="O332" s="7" t="str">
        <f>IFERROR(__xludf.DUMMYFUNCTION("""COMPUTED_VALUE"""),"Cục Cảnh sát QLHC về TTXH")</f>
        <v>Cục Cảnh sát QLHC về TTXH</v>
      </c>
      <c r="P332" s="7" t="str">
        <f>IFERROR(__xludf.DUMMYFUNCTION("""COMPUTED_VALUE"""),"Trung cấp")</f>
        <v>Trung cấp</v>
      </c>
      <c r="Q332" s="7" t="str">
        <f>IFERROR(__xludf.DUMMYFUNCTION("""COMPUTED_VALUE"""),"điện công nghiệp")</f>
        <v>điện công nghiệp</v>
      </c>
      <c r="R332" s="17">
        <f>IFERROR(__xludf.DUMMYFUNCTION("""COMPUTED_VALUE"""),41775.0)</f>
        <v>41775</v>
      </c>
      <c r="S332" s="17">
        <f>IFERROR(__xludf.DUMMYFUNCTION("""COMPUTED_VALUE"""),41775.0)</f>
        <v>41775</v>
      </c>
      <c r="T332" s="7" t="str">
        <f>IFERROR(__xludf.DUMMYFUNCTION("""COMPUTED_VALUE"""),"Chính thức")</f>
        <v>Chính thức</v>
      </c>
      <c r="U332" s="7"/>
      <c r="V332" s="7"/>
      <c r="W332" s="7" t="str">
        <f>IFERROR(__xludf.DUMMYFUNCTION("""COMPUTED_VALUE"""),"11 năm 7 tháng")</f>
        <v>11 năm 7 tháng</v>
      </c>
      <c r="X332" s="7"/>
      <c r="Y332" s="7"/>
      <c r="Z332" s="7"/>
    </row>
    <row r="333">
      <c r="A333" s="21" t="str">
        <f>IFERROR(__xludf.DUMMYFUNCTION("""COMPUTED_VALUE"""),"5")</f>
        <v>5</v>
      </c>
      <c r="B333" s="7" t="str">
        <f>IFERROR(__xludf.DUMMYFUNCTION("""COMPUTED_VALUE"""),"PXSX1")</f>
        <v>PXSX1</v>
      </c>
      <c r="C333" s="7" t="str">
        <f>IFERROR(__xludf.DUMMYFUNCTION("""COMPUTED_VALUE"""),"Bộ phận nhiên liệu và gia công bán thành phẩm ")</f>
        <v>Bộ phận nhiên liệu và gia công bán thành phẩm </v>
      </c>
      <c r="D333" s="7" t="str">
        <f>IFERROR(__xludf.DUMMYFUNCTION("""COMPUTED_VALUE"""),"Trạm than Ca A")</f>
        <v>Trạm than Ca A</v>
      </c>
      <c r="E333" s="7" t="str">
        <f>IFERROR(__xludf.DUMMYFUNCTION("""COMPUTED_VALUE"""),"Vận hành chính")</f>
        <v>Vận hành chính</v>
      </c>
      <c r="F333" s="7" t="str">
        <f>IFERROR(__xludf.DUMMYFUNCTION("""COMPUTED_VALUE"""),"NV1270")</f>
        <v>NV1270</v>
      </c>
      <c r="G333" s="7">
        <f>IFERROR(__xludf.DUMMYFUNCTION("""COMPUTED_VALUE"""),136.0)</f>
        <v>136</v>
      </c>
      <c r="H333" s="7" t="str">
        <f>IFERROR(__xludf.DUMMYFUNCTION("""COMPUTED_VALUE"""),"Lê Viết Việt")</f>
        <v>Lê Viết Việt</v>
      </c>
      <c r="I333" s="7" t="str">
        <f>IFERROR(__xludf.DUMMYFUNCTION("""COMPUTED_VALUE"""),"Nam")</f>
        <v>Nam</v>
      </c>
      <c r="J333" s="17">
        <f>IFERROR(__xludf.DUMMYFUNCTION("""COMPUTED_VALUE"""),34201.0)</f>
        <v>34201</v>
      </c>
      <c r="K333" s="7" t="str">
        <f>IFERROR(__xludf.DUMMYFUNCTION("""COMPUTED_VALUE"""),"Thôn 1 - Xã Thọ Long - Tỉnh Thanh Hóa")</f>
        <v>Thôn 1 - Xã Thọ Long - Tỉnh Thanh Hóa</v>
      </c>
      <c r="L333" s="7" t="str">
        <f>IFERROR(__xludf.DUMMYFUNCTION("""COMPUTED_VALUE"""),"0972378751")</f>
        <v>0972378751</v>
      </c>
      <c r="M333" s="7" t="str">
        <f>IFERROR(__xludf.DUMMYFUNCTION("""COMPUTED_VALUE"""),"038093050596")</f>
        <v>038093050596</v>
      </c>
      <c r="N333" s="17">
        <f>IFERROR(__xludf.DUMMYFUNCTION("""COMPUTED_VALUE"""),44546.0)</f>
        <v>44546</v>
      </c>
      <c r="O333" s="7" t="str">
        <f>IFERROR(__xludf.DUMMYFUNCTION("""COMPUTED_VALUE"""),"Cục Cảnh sát QLHC về TTXH")</f>
        <v>Cục Cảnh sát QLHC về TTXH</v>
      </c>
      <c r="P333" s="7" t="str">
        <f>IFERROR(__xludf.DUMMYFUNCTION("""COMPUTED_VALUE"""),"Cao đẳng")</f>
        <v>Cao đẳng</v>
      </c>
      <c r="Q333" s="7" t="str">
        <f>IFERROR(__xludf.DUMMYFUNCTION("""COMPUTED_VALUE"""),"Hệ thống điện")</f>
        <v>Hệ thống điện</v>
      </c>
      <c r="R333" s="17">
        <f>IFERROR(__xludf.DUMMYFUNCTION("""COMPUTED_VALUE"""),43201.0)</f>
        <v>43201</v>
      </c>
      <c r="S333" s="17">
        <f>IFERROR(__xludf.DUMMYFUNCTION("""COMPUTED_VALUE"""),43586.0)</f>
        <v>43586</v>
      </c>
      <c r="T333" s="7" t="str">
        <f>IFERROR(__xludf.DUMMYFUNCTION("""COMPUTED_VALUE"""),"Chính thức")</f>
        <v>Chính thức</v>
      </c>
      <c r="U333" s="7"/>
      <c r="V333" s="7"/>
      <c r="W333" s="7" t="str">
        <f>IFERROR(__xludf.DUMMYFUNCTION("""COMPUTED_VALUE"""),"7 năm 8 tháng")</f>
        <v>7 năm 8 tháng</v>
      </c>
      <c r="X333" s="7"/>
      <c r="Y333" s="7"/>
      <c r="Z333" s="7"/>
    </row>
    <row r="334">
      <c r="A334" s="21" t="str">
        <f>IFERROR(__xludf.DUMMYFUNCTION("""COMPUTED_VALUE"""),"6")</f>
        <v>6</v>
      </c>
      <c r="B334" s="7" t="str">
        <f>IFERROR(__xludf.DUMMYFUNCTION("""COMPUTED_VALUE"""),"PXSX1")</f>
        <v>PXSX1</v>
      </c>
      <c r="C334" s="7" t="str">
        <f>IFERROR(__xludf.DUMMYFUNCTION("""COMPUTED_VALUE"""),"Bộ phận nhiên liệu và gia công bán thành phẩm ")</f>
        <v>Bộ phận nhiên liệu và gia công bán thành phẩm </v>
      </c>
      <c r="D334" s="7" t="str">
        <f>IFERROR(__xludf.DUMMYFUNCTION("""COMPUTED_VALUE"""),"Trạm than Ca A")</f>
        <v>Trạm than Ca A</v>
      </c>
      <c r="E334" s="7" t="str">
        <f>IFERROR(__xludf.DUMMYFUNCTION("""COMPUTED_VALUE"""),"Tổ phó")</f>
        <v>Tổ phó</v>
      </c>
      <c r="F334" s="7" t="str">
        <f>IFERROR(__xludf.DUMMYFUNCTION("""COMPUTED_VALUE"""),"NV0303")</f>
        <v>NV0303</v>
      </c>
      <c r="G334" s="7">
        <f>IFERROR(__xludf.DUMMYFUNCTION("""COMPUTED_VALUE"""),132.0)</f>
        <v>132</v>
      </c>
      <c r="H334" s="7" t="str">
        <f>IFERROR(__xludf.DUMMYFUNCTION("""COMPUTED_VALUE"""),"Lê Văn Thọ")</f>
        <v>Lê Văn Thọ</v>
      </c>
      <c r="I334" s="7" t="str">
        <f>IFERROR(__xludf.DUMMYFUNCTION("""COMPUTED_VALUE"""),"Nam")</f>
        <v>Nam</v>
      </c>
      <c r="J334" s="17">
        <f>IFERROR(__xludf.DUMMYFUNCTION("""COMPUTED_VALUE"""),34375.0)</f>
        <v>34375</v>
      </c>
      <c r="K334" s="7" t="str">
        <f>IFERROR(__xludf.DUMMYFUNCTION("""COMPUTED_VALUE"""),"Thôn Bột Trung - Xã Hoằng Lộc - Tỉnh Thanh Hoá")</f>
        <v>Thôn Bột Trung - Xã Hoằng Lộc - Tỉnh Thanh Hoá</v>
      </c>
      <c r="L334" s="7" t="str">
        <f>IFERROR(__xludf.DUMMYFUNCTION("""COMPUTED_VALUE"""),"0396690369")</f>
        <v>0396690369</v>
      </c>
      <c r="M334" s="7" t="str">
        <f>IFERROR(__xludf.DUMMYFUNCTION("""COMPUTED_VALUE"""),"038094013596")</f>
        <v>038094013596</v>
      </c>
      <c r="N334" s="17">
        <f>IFERROR(__xludf.DUMMYFUNCTION("""COMPUTED_VALUE"""),44420.0)</f>
        <v>44420</v>
      </c>
      <c r="O334" s="7" t="str">
        <f>IFERROR(__xludf.DUMMYFUNCTION("""COMPUTED_VALUE"""),"Cục Cảnh sát QLHC về TTXH")</f>
        <v>Cục Cảnh sát QLHC về TTXH</v>
      </c>
      <c r="P334" s="7" t="str">
        <f>IFERROR(__xludf.DUMMYFUNCTION("""COMPUTED_VALUE"""),"LĐPT")</f>
        <v>LĐPT</v>
      </c>
      <c r="Q334" s="7" t="str">
        <f>IFERROR(__xludf.DUMMYFUNCTION("""COMPUTED_VALUE"""),"Lao động phổ thông")</f>
        <v>Lao động phổ thông</v>
      </c>
      <c r="R334" s="17">
        <f>IFERROR(__xludf.DUMMYFUNCTION("""COMPUTED_VALUE"""),42205.0)</f>
        <v>42205</v>
      </c>
      <c r="S334" s="17">
        <f>IFERROR(__xludf.DUMMYFUNCTION("""COMPUTED_VALUE"""),42205.0)</f>
        <v>42205</v>
      </c>
      <c r="T334" s="7" t="str">
        <f>IFERROR(__xludf.DUMMYFUNCTION("""COMPUTED_VALUE"""),"Chính thức")</f>
        <v>Chính thức</v>
      </c>
      <c r="U334" s="7"/>
      <c r="V334" s="7"/>
      <c r="W334" s="7" t="str">
        <f>IFERROR(__xludf.DUMMYFUNCTION("""COMPUTED_VALUE"""),"10 năm 5 tháng")</f>
        <v>10 năm 5 tháng</v>
      </c>
      <c r="X334" s="7"/>
      <c r="Y334" s="7"/>
      <c r="Z334" s="7"/>
    </row>
    <row r="335">
      <c r="A335" s="21" t="str">
        <f>IFERROR(__xludf.DUMMYFUNCTION("""COMPUTED_VALUE"""),"1")</f>
        <v>1</v>
      </c>
      <c r="B335" s="7" t="str">
        <f>IFERROR(__xludf.DUMMYFUNCTION("""COMPUTED_VALUE"""),"PXSX1")</f>
        <v>PXSX1</v>
      </c>
      <c r="C335" s="7" t="str">
        <f>IFERROR(__xludf.DUMMYFUNCTION("""COMPUTED_VALUE"""),"Bộ phận nhiên liệu và gia công bán thành phẩm ")</f>
        <v>Bộ phận nhiên liệu và gia công bán thành phẩm </v>
      </c>
      <c r="D335" s="7" t="str">
        <f>IFERROR(__xludf.DUMMYFUNCTION("""COMPUTED_VALUE"""),"Trạm than Ca B")</f>
        <v>Trạm than Ca B</v>
      </c>
      <c r="E335" s="7" t="str">
        <f>IFERROR(__xludf.DUMMYFUNCTION("""COMPUTED_VALUE"""),"Công nhân vận hành")</f>
        <v>Công nhân vận hành</v>
      </c>
      <c r="F335" s="7" t="str">
        <f>IFERROR(__xludf.DUMMYFUNCTION("""COMPUTED_VALUE"""),"NV1202")</f>
        <v>NV1202</v>
      </c>
      <c r="G335" s="7">
        <f>IFERROR(__xludf.DUMMYFUNCTION("""COMPUTED_VALUE"""),107.0)</f>
        <v>107</v>
      </c>
      <c r="H335" s="7" t="str">
        <f>IFERROR(__xludf.DUMMYFUNCTION("""COMPUTED_VALUE"""),"Đàm Lê Tính")</f>
        <v>Đàm Lê Tính</v>
      </c>
      <c r="I335" s="7" t="str">
        <f>IFERROR(__xludf.DUMMYFUNCTION("""COMPUTED_VALUE"""),"Nam")</f>
        <v>Nam</v>
      </c>
      <c r="J335" s="17">
        <f>IFERROR(__xludf.DUMMYFUNCTION("""COMPUTED_VALUE"""),28187.0)</f>
        <v>28187</v>
      </c>
      <c r="K335" s="7" t="str">
        <f>IFERROR(__xludf.DUMMYFUNCTION("""COMPUTED_VALUE"""),"Thôn Gia Lộc - Phường Quảng Phú - Tỉnh Thanh Hóa")</f>
        <v>Thôn Gia Lộc - Phường Quảng Phú - Tỉnh Thanh Hóa</v>
      </c>
      <c r="L335" s="7" t="str">
        <f>IFERROR(__xludf.DUMMYFUNCTION("""COMPUTED_VALUE"""),"0773373110")</f>
        <v>0773373110</v>
      </c>
      <c r="M335" s="7" t="str">
        <f>IFERROR(__xludf.DUMMYFUNCTION("""COMPUTED_VALUE"""),"038077030568")</f>
        <v>038077030568</v>
      </c>
      <c r="N335" s="17">
        <f>IFERROR(__xludf.DUMMYFUNCTION("""COMPUTED_VALUE"""),44418.0)</f>
        <v>44418</v>
      </c>
      <c r="O335" s="7" t="str">
        <f>IFERROR(__xludf.DUMMYFUNCTION("""COMPUTED_VALUE"""),"Cục Cảnh sát QLHC về TTXH")</f>
        <v>Cục Cảnh sát QLHC về TTXH</v>
      </c>
      <c r="P335" s="7" t="str">
        <f>IFERROR(__xludf.DUMMYFUNCTION("""COMPUTED_VALUE"""),"LĐPT")</f>
        <v>LĐPT</v>
      </c>
      <c r="Q335" s="7" t="str">
        <f>IFERROR(__xludf.DUMMYFUNCTION("""COMPUTED_VALUE"""),"Lao động phổ thông")</f>
        <v>Lao động phổ thông</v>
      </c>
      <c r="R335" s="17">
        <f>IFERROR(__xludf.DUMMYFUNCTION("""COMPUTED_VALUE"""),43160.0)</f>
        <v>43160</v>
      </c>
      <c r="S335" s="17">
        <f>IFERROR(__xludf.DUMMYFUNCTION("""COMPUTED_VALUE"""),43466.0)</f>
        <v>43466</v>
      </c>
      <c r="T335" s="7" t="str">
        <f>IFERROR(__xludf.DUMMYFUNCTION("""COMPUTED_VALUE"""),"Chính thức")</f>
        <v>Chính thức</v>
      </c>
      <c r="U335" s="7"/>
      <c r="V335" s="7"/>
      <c r="W335" s="7" t="str">
        <f>IFERROR(__xludf.DUMMYFUNCTION("""COMPUTED_VALUE"""),"7 năm 9 tháng")</f>
        <v>7 năm 9 tháng</v>
      </c>
      <c r="X335" s="7"/>
      <c r="Y335" s="7"/>
      <c r="Z335" s="7"/>
    </row>
    <row r="336">
      <c r="A336" s="21" t="str">
        <f>IFERROR(__xludf.DUMMYFUNCTION("""COMPUTED_VALUE"""),"2")</f>
        <v>2</v>
      </c>
      <c r="B336" s="7" t="str">
        <f>IFERROR(__xludf.DUMMYFUNCTION("""COMPUTED_VALUE"""),"PXSX1")</f>
        <v>PXSX1</v>
      </c>
      <c r="C336" s="7" t="str">
        <f>IFERROR(__xludf.DUMMYFUNCTION("""COMPUTED_VALUE"""),"Bộ phận nhiên liệu và gia công bán thành phẩm ")</f>
        <v>Bộ phận nhiên liệu và gia công bán thành phẩm </v>
      </c>
      <c r="D336" s="7" t="str">
        <f>IFERROR(__xludf.DUMMYFUNCTION("""COMPUTED_VALUE"""),"Trạm than Ca B")</f>
        <v>Trạm than Ca B</v>
      </c>
      <c r="E336" s="7" t="str">
        <f>IFERROR(__xludf.DUMMYFUNCTION("""COMPUTED_VALUE"""),"Công nhân vận hành")</f>
        <v>Công nhân vận hành</v>
      </c>
      <c r="F336" s="7" t="str">
        <f>IFERROR(__xludf.DUMMYFUNCTION("""COMPUTED_VALUE"""),"NV2411")</f>
        <v>NV2411</v>
      </c>
      <c r="G336" s="7">
        <f>IFERROR(__xludf.DUMMYFUNCTION("""COMPUTED_VALUE"""),243.0)</f>
        <v>243</v>
      </c>
      <c r="H336" s="7" t="str">
        <f>IFERROR(__xludf.DUMMYFUNCTION("""COMPUTED_VALUE"""),"Phạm Hữu Huy")</f>
        <v>Phạm Hữu Huy</v>
      </c>
      <c r="I336" s="7" t="str">
        <f>IFERROR(__xludf.DUMMYFUNCTION("""COMPUTED_VALUE"""),"Nam")</f>
        <v>Nam</v>
      </c>
      <c r="J336" s="17">
        <f>IFERROR(__xludf.DUMMYFUNCTION("""COMPUTED_VALUE"""),28984.0)</f>
        <v>28984</v>
      </c>
      <c r="K336" s="7" t="str">
        <f>IFERROR(__xludf.DUMMYFUNCTION("""COMPUTED_VALUE"""),"Thôn 2 - Xã Lưu Vệ - Tỉnh Thanh Hóa ")</f>
        <v>Thôn 2 - Xã Lưu Vệ - Tỉnh Thanh Hóa </v>
      </c>
      <c r="L336" s="7" t="str">
        <f>IFERROR(__xludf.DUMMYFUNCTION("""COMPUTED_VALUE"""),"0975804659")</f>
        <v>0975804659</v>
      </c>
      <c r="M336" s="7" t="str">
        <f>IFERROR(__xludf.DUMMYFUNCTION("""COMPUTED_VALUE"""),"038079010127")</f>
        <v>038079010127</v>
      </c>
      <c r="N336" s="17">
        <f>IFERROR(__xludf.DUMMYFUNCTION("""COMPUTED_VALUE"""),44419.0)</f>
        <v>44419</v>
      </c>
      <c r="O336" s="7" t="str">
        <f>IFERROR(__xludf.DUMMYFUNCTION("""COMPUTED_VALUE"""),"Cục Cảnh sát QLHC về TTXH")</f>
        <v>Cục Cảnh sát QLHC về TTXH</v>
      </c>
      <c r="P336" s="7" t="str">
        <f>IFERROR(__xludf.DUMMYFUNCTION("""COMPUTED_VALUE"""),"LĐPT")</f>
        <v>LĐPT</v>
      </c>
      <c r="Q336" s="7" t="str">
        <f>IFERROR(__xludf.DUMMYFUNCTION("""COMPUTED_VALUE"""),"Lao động phổ thông")</f>
        <v>Lao động phổ thông</v>
      </c>
      <c r="R336" s="17">
        <f>IFERROR(__xludf.DUMMYFUNCTION("""COMPUTED_VALUE"""),43617.0)</f>
        <v>43617</v>
      </c>
      <c r="S336" s="17">
        <f>IFERROR(__xludf.DUMMYFUNCTION("""COMPUTED_VALUE"""),44013.0)</f>
        <v>44013</v>
      </c>
      <c r="T336" s="7" t="str">
        <f>IFERROR(__xludf.DUMMYFUNCTION("""COMPUTED_VALUE"""),"Chính thức")</f>
        <v>Chính thức</v>
      </c>
      <c r="U336" s="7"/>
      <c r="V336" s="7" t="str">
        <f>IFERROR(__xludf.DUMMYFUNCTION("""COMPUTED_VALUE"""),"Điều động")</f>
        <v>Điều động</v>
      </c>
      <c r="W336" s="7" t="str">
        <f>IFERROR(__xludf.DUMMYFUNCTION("""COMPUTED_VALUE"""),"6 năm 6 tháng")</f>
        <v>6 năm 6 tháng</v>
      </c>
      <c r="X336" s="7"/>
      <c r="Y336" s="7"/>
      <c r="Z336" s="7"/>
    </row>
    <row r="337">
      <c r="A337" s="21" t="str">
        <f>IFERROR(__xludf.DUMMYFUNCTION("""COMPUTED_VALUE"""),"3")</f>
        <v>3</v>
      </c>
      <c r="B337" s="7" t="str">
        <f>IFERROR(__xludf.DUMMYFUNCTION("""COMPUTED_VALUE"""),"PXSX1")</f>
        <v>PXSX1</v>
      </c>
      <c r="C337" s="7" t="str">
        <f>IFERROR(__xludf.DUMMYFUNCTION("""COMPUTED_VALUE"""),"Bộ phận nhiên liệu và gia công bán thành phẩm ")</f>
        <v>Bộ phận nhiên liệu và gia công bán thành phẩm </v>
      </c>
      <c r="D337" s="7" t="str">
        <f>IFERROR(__xludf.DUMMYFUNCTION("""COMPUTED_VALUE"""),"Trạm than Ca B")</f>
        <v>Trạm than Ca B</v>
      </c>
      <c r="E337" s="7" t="str">
        <f>IFERROR(__xludf.DUMMYFUNCTION("""COMPUTED_VALUE"""),"Tổ phó")</f>
        <v>Tổ phó</v>
      </c>
      <c r="F337" s="7" t="str">
        <f>IFERROR(__xludf.DUMMYFUNCTION("""COMPUTED_VALUE"""),"NV0306")</f>
        <v>NV0306</v>
      </c>
      <c r="G337" s="7">
        <f>IFERROR(__xludf.DUMMYFUNCTION("""COMPUTED_VALUE"""),276.0)</f>
        <v>276</v>
      </c>
      <c r="H337" s="7" t="str">
        <f>IFERROR(__xludf.DUMMYFUNCTION("""COMPUTED_VALUE"""),"Nguyễn Văn Phiệt")</f>
        <v>Nguyễn Văn Phiệt</v>
      </c>
      <c r="I337" s="7" t="str">
        <f>IFERROR(__xludf.DUMMYFUNCTION("""COMPUTED_VALUE"""),"Nam")</f>
        <v>Nam</v>
      </c>
      <c r="J337" s="17">
        <f>IFERROR(__xludf.DUMMYFUNCTION("""COMPUTED_VALUE"""),29148.0)</f>
        <v>29148</v>
      </c>
      <c r="K337" s="7" t="str">
        <f>IFERROR(__xludf.DUMMYFUNCTION("""COMPUTED_VALUE"""),"Bột Trung - Xã Hoằng Lộc - Tỉnh Thanh Hóa")</f>
        <v>Bột Trung - Xã Hoằng Lộc - Tỉnh Thanh Hóa</v>
      </c>
      <c r="L337" s="7" t="str">
        <f>IFERROR(__xludf.DUMMYFUNCTION("""COMPUTED_VALUE"""),"0981279523")</f>
        <v>0981279523</v>
      </c>
      <c r="M337" s="7" t="str">
        <f>IFERROR(__xludf.DUMMYFUNCTION("""COMPUTED_VALUE"""),"038079021303")</f>
        <v>038079021303</v>
      </c>
      <c r="N337" s="17">
        <f>IFERROR(__xludf.DUMMYFUNCTION("""COMPUTED_VALUE"""),37115.0)</f>
        <v>37115</v>
      </c>
      <c r="O337" s="7" t="str">
        <f>IFERROR(__xludf.DUMMYFUNCTION("""COMPUTED_VALUE"""),"Cục Cảnh sát QLHC về TTXH")</f>
        <v>Cục Cảnh sát QLHC về TTXH</v>
      </c>
      <c r="P337" s="7" t="str">
        <f>IFERROR(__xludf.DUMMYFUNCTION("""COMPUTED_VALUE"""),"LĐPT")</f>
        <v>LĐPT</v>
      </c>
      <c r="Q337" s="7" t="str">
        <f>IFERROR(__xludf.DUMMYFUNCTION("""COMPUTED_VALUE"""),"Lao động phổ thông")</f>
        <v>Lao động phổ thông</v>
      </c>
      <c r="R337" s="17">
        <f>IFERROR(__xludf.DUMMYFUNCTION("""COMPUTED_VALUE"""),39508.0)</f>
        <v>39508</v>
      </c>
      <c r="S337" s="17">
        <f>IFERROR(__xludf.DUMMYFUNCTION("""COMPUTED_VALUE"""),39508.0)</f>
        <v>39508</v>
      </c>
      <c r="T337" s="7" t="str">
        <f>IFERROR(__xludf.DUMMYFUNCTION("""COMPUTED_VALUE"""),"Chính thức")</f>
        <v>Chính thức</v>
      </c>
      <c r="U337" s="7"/>
      <c r="V337" s="7" t="str">
        <f>IFERROR(__xludf.DUMMYFUNCTION("""COMPUTED_VALUE"""),"Chính thức")</f>
        <v>Chính thức</v>
      </c>
      <c r="W337" s="7" t="str">
        <f>IFERROR(__xludf.DUMMYFUNCTION("""COMPUTED_VALUE"""),"17 năm 9 tháng")</f>
        <v>17 năm 9 tháng</v>
      </c>
      <c r="X337" s="7"/>
      <c r="Y337" s="7"/>
      <c r="Z337" s="7"/>
    </row>
    <row r="338">
      <c r="A338" s="21" t="str">
        <f>IFERROR(__xludf.DUMMYFUNCTION("""COMPUTED_VALUE"""),"4")</f>
        <v>4</v>
      </c>
      <c r="B338" s="7" t="str">
        <f>IFERROR(__xludf.DUMMYFUNCTION("""COMPUTED_VALUE"""),"PXSX1")</f>
        <v>PXSX1</v>
      </c>
      <c r="C338" s="7" t="str">
        <f>IFERROR(__xludf.DUMMYFUNCTION("""COMPUTED_VALUE"""),"Bộ phận nhiên liệu và gia công bán thành phẩm ")</f>
        <v>Bộ phận nhiên liệu và gia công bán thành phẩm </v>
      </c>
      <c r="D338" s="7" t="str">
        <f>IFERROR(__xludf.DUMMYFUNCTION("""COMPUTED_VALUE"""),"Trạm than Ca B")</f>
        <v>Trạm than Ca B</v>
      </c>
      <c r="E338" s="7" t="str">
        <f>IFERROR(__xludf.DUMMYFUNCTION("""COMPUTED_VALUE"""),"Công nhân vận hành")</f>
        <v>Công nhân vận hành</v>
      </c>
      <c r="F338" s="7" t="str">
        <f>IFERROR(__xludf.DUMMYFUNCTION("""COMPUTED_VALUE"""),"NV0309")</f>
        <v>NV0309</v>
      </c>
      <c r="G338" s="7">
        <f>IFERROR(__xludf.DUMMYFUNCTION("""COMPUTED_VALUE"""),244.0)</f>
        <v>244</v>
      </c>
      <c r="H338" s="7" t="str">
        <f>IFERROR(__xludf.DUMMYFUNCTION("""COMPUTED_VALUE"""),"Lê Văn Tới")</f>
        <v>Lê Văn Tới</v>
      </c>
      <c r="I338" s="7" t="str">
        <f>IFERROR(__xludf.DUMMYFUNCTION("""COMPUTED_VALUE"""),"Nam")</f>
        <v>Nam</v>
      </c>
      <c r="J338" s="17">
        <f>IFERROR(__xludf.DUMMYFUNCTION("""COMPUTED_VALUE"""),31265.0)</f>
        <v>31265</v>
      </c>
      <c r="K338" s="7" t="str">
        <f>IFERROR(__xludf.DUMMYFUNCTION("""COMPUTED_VALUE"""),"Thôn Nguyệt Viên 2 - Phường Nguyệt Viên - Tỉnh thanh hóa")</f>
        <v>Thôn Nguyệt Viên 2 - Phường Nguyệt Viên - Tỉnh thanh hóa</v>
      </c>
      <c r="L338" s="7" t="str">
        <f>IFERROR(__xludf.DUMMYFUNCTION("""COMPUTED_VALUE"""),"0967215485")</f>
        <v>0967215485</v>
      </c>
      <c r="M338" s="7" t="str">
        <f>IFERROR(__xludf.DUMMYFUNCTION("""COMPUTED_VALUE"""),"038083035973")</f>
        <v>038083035973</v>
      </c>
      <c r="N338" s="17">
        <f>IFERROR(__xludf.DUMMYFUNCTION("""COMPUTED_VALUE"""),44440.0)</f>
        <v>44440</v>
      </c>
      <c r="O338" s="7" t="str">
        <f>IFERROR(__xludf.DUMMYFUNCTION("""COMPUTED_VALUE"""),"Cục Cảnh sát QLHC về TTXH")</f>
        <v>Cục Cảnh sát QLHC về TTXH</v>
      </c>
      <c r="P338" s="7" t="str">
        <f>IFERROR(__xludf.DUMMYFUNCTION("""COMPUTED_VALUE"""),"LĐPT")</f>
        <v>LĐPT</v>
      </c>
      <c r="Q338" s="7" t="str">
        <f>IFERROR(__xludf.DUMMYFUNCTION("""COMPUTED_VALUE"""),"Lao động phổ thông")</f>
        <v>Lao động phổ thông</v>
      </c>
      <c r="R338" s="17">
        <f>IFERROR(__xludf.DUMMYFUNCTION("""COMPUTED_VALUE"""),42110.0)</f>
        <v>42110</v>
      </c>
      <c r="S338" s="17">
        <f>IFERROR(__xludf.DUMMYFUNCTION("""COMPUTED_VALUE"""),42110.0)</f>
        <v>42110</v>
      </c>
      <c r="T338" s="7" t="str">
        <f>IFERROR(__xludf.DUMMYFUNCTION("""COMPUTED_VALUE"""),"Chính thức")</f>
        <v>Chính thức</v>
      </c>
      <c r="U338" s="7"/>
      <c r="V338" s="7"/>
      <c r="W338" s="7" t="str">
        <f>IFERROR(__xludf.DUMMYFUNCTION("""COMPUTED_VALUE"""),"10 năm 8 tháng")</f>
        <v>10 năm 8 tháng</v>
      </c>
      <c r="X338" s="7"/>
      <c r="Y338" s="7"/>
      <c r="Z338" s="7"/>
    </row>
    <row r="339">
      <c r="A339" s="21" t="str">
        <f>IFERROR(__xludf.DUMMYFUNCTION("""COMPUTED_VALUE"""),"5")</f>
        <v>5</v>
      </c>
      <c r="B339" s="7" t="str">
        <f>IFERROR(__xludf.DUMMYFUNCTION("""COMPUTED_VALUE"""),"PXSX1")</f>
        <v>PXSX1</v>
      </c>
      <c r="C339" s="7" t="str">
        <f>IFERROR(__xludf.DUMMYFUNCTION("""COMPUTED_VALUE"""),"Bộ phận nhiên liệu và gia công bán thành phẩm ")</f>
        <v>Bộ phận nhiên liệu và gia công bán thành phẩm </v>
      </c>
      <c r="D339" s="7" t="str">
        <f>IFERROR(__xludf.DUMMYFUNCTION("""COMPUTED_VALUE"""),"Trạm than Ca B")</f>
        <v>Trạm than Ca B</v>
      </c>
      <c r="E339" s="7" t="str">
        <f>IFERROR(__xludf.DUMMYFUNCTION("""COMPUTED_VALUE"""),"Vận hành chính")</f>
        <v>Vận hành chính</v>
      </c>
      <c r="F339" s="7" t="str">
        <f>IFERROR(__xludf.DUMMYFUNCTION("""COMPUTED_VALUE"""),"NV0312")</f>
        <v>NV0312</v>
      </c>
      <c r="G339" s="7">
        <f>IFERROR(__xludf.DUMMYFUNCTION("""COMPUTED_VALUE"""),242.0)</f>
        <v>242</v>
      </c>
      <c r="H339" s="7" t="str">
        <f>IFERROR(__xludf.DUMMYFUNCTION("""COMPUTED_VALUE"""),"Lê Văn Huân")</f>
        <v>Lê Văn Huân</v>
      </c>
      <c r="I339" s="7" t="str">
        <f>IFERROR(__xludf.DUMMYFUNCTION("""COMPUTED_VALUE"""),"Nam")</f>
        <v>Nam</v>
      </c>
      <c r="J339" s="17">
        <f>IFERROR(__xludf.DUMMYFUNCTION("""COMPUTED_VALUE"""),33125.0)</f>
        <v>33125</v>
      </c>
      <c r="K339" s="7" t="str">
        <f>IFERROR(__xludf.DUMMYFUNCTION("""COMPUTED_VALUE"""),"Thôn Bái Vàng - Xã Lưu Vệ - Tỉnh Thanh Hóa ")</f>
        <v>Thôn Bái Vàng - Xã Lưu Vệ - Tỉnh Thanh Hóa </v>
      </c>
      <c r="L339" s="7" t="str">
        <f>IFERROR(__xludf.DUMMYFUNCTION("""COMPUTED_VALUE"""),"0961280338")</f>
        <v>0961280338</v>
      </c>
      <c r="M339" s="7" t="str">
        <f>IFERROR(__xludf.DUMMYFUNCTION("""COMPUTED_VALUE"""),"038090003851")</f>
        <v>038090003851</v>
      </c>
      <c r="N339" s="17">
        <f>IFERROR(__xludf.DUMMYFUNCTION("""COMPUTED_VALUE"""),44296.0)</f>
        <v>44296</v>
      </c>
      <c r="O339" s="7" t="str">
        <f>IFERROR(__xludf.DUMMYFUNCTION("""COMPUTED_VALUE"""),"Cục Cảnh sát QLHC về TTXH")</f>
        <v>Cục Cảnh sát QLHC về TTXH</v>
      </c>
      <c r="P339" s="7" t="str">
        <f>IFERROR(__xludf.DUMMYFUNCTION("""COMPUTED_VALUE"""),"Trung cấp")</f>
        <v>Trung cấp</v>
      </c>
      <c r="Q339" s="7" t="str">
        <f>IFERROR(__xludf.DUMMYFUNCTION("""COMPUTED_VALUE"""),"điện công nghiệp")</f>
        <v>điện công nghiệp</v>
      </c>
      <c r="R339" s="17">
        <f>IFERROR(__xludf.DUMMYFUNCTION("""COMPUTED_VALUE"""),41716.0)</f>
        <v>41716</v>
      </c>
      <c r="S339" s="17">
        <f>IFERROR(__xludf.DUMMYFUNCTION("""COMPUTED_VALUE"""),41716.0)</f>
        <v>41716</v>
      </c>
      <c r="T339" s="7" t="str">
        <f>IFERROR(__xludf.DUMMYFUNCTION("""COMPUTED_VALUE"""),"Chính thức")</f>
        <v>Chính thức</v>
      </c>
      <c r="U339" s="7"/>
      <c r="V339" s="7" t="str">
        <f>IFERROR(__xludf.DUMMYFUNCTION("""COMPUTED_VALUE"""),"Chính thức")</f>
        <v>Chính thức</v>
      </c>
      <c r="W339" s="7" t="str">
        <f>IFERROR(__xludf.DUMMYFUNCTION("""COMPUTED_VALUE"""),"11 năm 9 tháng")</f>
        <v>11 năm 9 tháng</v>
      </c>
      <c r="X339" s="7"/>
      <c r="Y339" s="7"/>
      <c r="Z339" s="7"/>
    </row>
    <row r="340">
      <c r="A340" s="21" t="str">
        <f>IFERROR(__xludf.DUMMYFUNCTION("""COMPUTED_VALUE"""),"6")</f>
        <v>6</v>
      </c>
      <c r="B340" s="7" t="str">
        <f>IFERROR(__xludf.DUMMYFUNCTION("""COMPUTED_VALUE"""),"PXSX1")</f>
        <v>PXSX1</v>
      </c>
      <c r="C340" s="7" t="str">
        <f>IFERROR(__xludf.DUMMYFUNCTION("""COMPUTED_VALUE"""),"Bộ phận nhiên liệu và gia công bán thành phẩm ")</f>
        <v>Bộ phận nhiên liệu và gia công bán thành phẩm </v>
      </c>
      <c r="D340" s="7" t="str">
        <f>IFERROR(__xludf.DUMMYFUNCTION("""COMPUTED_VALUE"""),"Trạm than Ca B")</f>
        <v>Trạm than Ca B</v>
      </c>
      <c r="E340" s="7" t="str">
        <f>IFERROR(__xludf.DUMMYFUNCTION("""COMPUTED_VALUE"""),"Vận hành chính")</f>
        <v>Vận hành chính</v>
      </c>
      <c r="F340" s="7" t="str">
        <f>IFERROR(__xludf.DUMMYFUNCTION("""COMPUTED_VALUE"""),"NV1269")</f>
        <v>NV1269</v>
      </c>
      <c r="G340" s="7">
        <f>IFERROR(__xludf.DUMMYFUNCTION("""COMPUTED_VALUE"""),111.0)</f>
        <v>111</v>
      </c>
      <c r="H340" s="7" t="str">
        <f>IFERROR(__xludf.DUMMYFUNCTION("""COMPUTED_VALUE"""),"Đỗ Xuân Nam")</f>
        <v>Đỗ Xuân Nam</v>
      </c>
      <c r="I340" s="7" t="str">
        <f>IFERROR(__xludf.DUMMYFUNCTION("""COMPUTED_VALUE"""),"Nam")</f>
        <v>Nam</v>
      </c>
      <c r="J340" s="17">
        <f>IFERROR(__xludf.DUMMYFUNCTION("""COMPUTED_VALUE"""),34274.0)</f>
        <v>34274</v>
      </c>
      <c r="K340" s="7" t="str">
        <f>IFERROR(__xludf.DUMMYFUNCTION("""COMPUTED_VALUE"""),"Thôn 6 - Xã Thọ Xuân - Tỉnh Thanh Hóa")</f>
        <v>Thôn 6 - Xã Thọ Xuân - Tỉnh Thanh Hóa</v>
      </c>
      <c r="L340" s="7" t="str">
        <f>IFERROR(__xludf.DUMMYFUNCTION("""COMPUTED_VALUE"""),"0972611193")</f>
        <v>0972611193</v>
      </c>
      <c r="M340" s="7" t="str">
        <f>IFERROR(__xludf.DUMMYFUNCTION("""COMPUTED_VALUE"""),"038093032845")</f>
        <v>038093032845</v>
      </c>
      <c r="N340" s="17">
        <f>IFERROR(__xludf.DUMMYFUNCTION("""COMPUTED_VALUE"""),44364.0)</f>
        <v>44364</v>
      </c>
      <c r="O340" s="7" t="str">
        <f>IFERROR(__xludf.DUMMYFUNCTION("""COMPUTED_VALUE"""),"Cục Cảnh sát QLHC về TTXH")</f>
        <v>Cục Cảnh sát QLHC về TTXH</v>
      </c>
      <c r="P340" s="7" t="str">
        <f>IFERROR(__xludf.DUMMYFUNCTION("""COMPUTED_VALUE"""),"Đại học")</f>
        <v>Đại học</v>
      </c>
      <c r="Q340" s="7" t="str">
        <f>IFERROR(__xludf.DUMMYFUNCTION("""COMPUTED_VALUE"""),"Hệ thống điện")</f>
        <v>Hệ thống điện</v>
      </c>
      <c r="R340" s="17">
        <f>IFERROR(__xludf.DUMMYFUNCTION("""COMPUTED_VALUE"""),43201.0)</f>
        <v>43201</v>
      </c>
      <c r="S340" s="17">
        <f>IFERROR(__xludf.DUMMYFUNCTION("""COMPUTED_VALUE"""),43983.0)</f>
        <v>43983</v>
      </c>
      <c r="T340" s="7" t="str">
        <f>IFERROR(__xludf.DUMMYFUNCTION("""COMPUTED_VALUE"""),"Chính thức")</f>
        <v>Chính thức</v>
      </c>
      <c r="U340" s="7"/>
      <c r="V340" s="7"/>
      <c r="W340" s="7" t="str">
        <f>IFERROR(__xludf.DUMMYFUNCTION("""COMPUTED_VALUE"""),"7 năm 8 tháng")</f>
        <v>7 năm 8 tháng</v>
      </c>
      <c r="X340" s="7"/>
      <c r="Y340" s="7"/>
      <c r="Z340" s="7"/>
    </row>
    <row r="341">
      <c r="A341" s="21" t="str">
        <f>IFERROR(__xludf.DUMMYFUNCTION("""COMPUTED_VALUE"""),"1")</f>
        <v>1</v>
      </c>
      <c r="B341" s="7" t="str">
        <f>IFERROR(__xludf.DUMMYFUNCTION("""COMPUTED_VALUE"""),"PXSX1")</f>
        <v>PXSX1</v>
      </c>
      <c r="C341" s="7" t="str">
        <f>IFERROR(__xludf.DUMMYFUNCTION("""COMPUTED_VALUE"""),"Bộ phận nhiên liệu và gia công bán thành phẩm ")</f>
        <v>Bộ phận nhiên liệu và gia công bán thành phẩm </v>
      </c>
      <c r="D341" s="7" t="str">
        <f>IFERROR(__xludf.DUMMYFUNCTION("""COMPUTED_VALUE"""),"Nghiền - Sấy phun Ca A")</f>
        <v>Nghiền - Sấy phun Ca A</v>
      </c>
      <c r="E341" s="7" t="str">
        <f>IFERROR(__xludf.DUMMYFUNCTION("""COMPUTED_VALUE"""),"VHC than xích")</f>
        <v>VHC than xích</v>
      </c>
      <c r="F341" s="7" t="str">
        <f>IFERROR(__xludf.DUMMYFUNCTION("""COMPUTED_VALUE"""),"NV3189")</f>
        <v>NV3189</v>
      </c>
      <c r="G341" s="7">
        <f>IFERROR(__xludf.DUMMYFUNCTION("""COMPUTED_VALUE"""),211.0)</f>
        <v>211</v>
      </c>
      <c r="H341" s="7" t="str">
        <f>IFERROR(__xludf.DUMMYFUNCTION("""COMPUTED_VALUE"""),"Nguyễn Đăng Đua")</f>
        <v>Nguyễn Đăng Đua</v>
      </c>
      <c r="I341" s="7" t="str">
        <f>IFERROR(__xludf.DUMMYFUNCTION("""COMPUTED_VALUE"""),"Nam")</f>
        <v>Nam</v>
      </c>
      <c r="J341" s="17">
        <f>IFERROR(__xludf.DUMMYFUNCTION("""COMPUTED_VALUE"""),26804.0)</f>
        <v>26804</v>
      </c>
      <c r="K341" s="7" t="str">
        <f>IFERROR(__xludf.DUMMYFUNCTION("""COMPUTED_VALUE"""),"Thôn 1 - Phường Nam Sầm Sơn - Tỉnh Thanh Hóa")</f>
        <v>Thôn 1 - Phường Nam Sầm Sơn - Tỉnh Thanh Hóa</v>
      </c>
      <c r="L341" s="7" t="str">
        <f>IFERROR(__xludf.DUMMYFUNCTION("""COMPUTED_VALUE"""),"0971697248")</f>
        <v>0971697248</v>
      </c>
      <c r="M341" s="7" t="str">
        <f>IFERROR(__xludf.DUMMYFUNCTION("""COMPUTED_VALUE"""),"038073007311")</f>
        <v>038073007311</v>
      </c>
      <c r="N341" s="17">
        <f>IFERROR(__xludf.DUMMYFUNCTION("""COMPUTED_VALUE"""),44325.0)</f>
        <v>44325</v>
      </c>
      <c r="O341" s="7" t="str">
        <f>IFERROR(__xludf.DUMMYFUNCTION("""COMPUTED_VALUE"""),"Cục Cảnh sát QLHC về TTXH")</f>
        <v>Cục Cảnh sát QLHC về TTXH</v>
      </c>
      <c r="P341" s="7" t="str">
        <f>IFERROR(__xludf.DUMMYFUNCTION("""COMPUTED_VALUE"""),"LĐPT")</f>
        <v>LĐPT</v>
      </c>
      <c r="Q341" s="7" t="str">
        <f>IFERROR(__xludf.DUMMYFUNCTION("""COMPUTED_VALUE"""),"Lao động phổ thông")</f>
        <v>Lao động phổ thông</v>
      </c>
      <c r="R341" s="17">
        <f>IFERROR(__xludf.DUMMYFUNCTION("""COMPUTED_VALUE"""),44074.0)</f>
        <v>44074</v>
      </c>
      <c r="S341" s="17">
        <f>IFERROR(__xludf.DUMMYFUNCTION("""COMPUTED_VALUE"""),44348.0)</f>
        <v>44348</v>
      </c>
      <c r="T341" s="7" t="str">
        <f>IFERROR(__xludf.DUMMYFUNCTION("""COMPUTED_VALUE"""),"Chính thức")</f>
        <v>Chính thức</v>
      </c>
      <c r="U341" s="7"/>
      <c r="V341" s="7"/>
      <c r="W341" s="7" t="str">
        <f>IFERROR(__xludf.DUMMYFUNCTION("""COMPUTED_VALUE"""),"5 năm 4 tháng")</f>
        <v>5 năm 4 tháng</v>
      </c>
      <c r="X341" s="7"/>
      <c r="Y341" s="7"/>
      <c r="Z341" s="7"/>
    </row>
    <row r="342">
      <c r="A342" s="21" t="str">
        <f>IFERROR(__xludf.DUMMYFUNCTION("""COMPUTED_VALUE"""),"2")</f>
        <v>2</v>
      </c>
      <c r="B342" s="7" t="str">
        <f>IFERROR(__xludf.DUMMYFUNCTION("""COMPUTED_VALUE"""),"PXSX1")</f>
        <v>PXSX1</v>
      </c>
      <c r="C342" s="7" t="str">
        <f>IFERROR(__xludf.DUMMYFUNCTION("""COMPUTED_VALUE"""),"Bộ phận nhiên liệu và gia công bán thành phẩm ")</f>
        <v>Bộ phận nhiên liệu và gia công bán thành phẩm </v>
      </c>
      <c r="D342" s="7" t="str">
        <f>IFERROR(__xludf.DUMMYFUNCTION("""COMPUTED_VALUE"""),"Nghiền - Sấy phun Ca A")</f>
        <v>Nghiền - Sấy phun Ca A</v>
      </c>
      <c r="E342" s="7" t="str">
        <f>IFERROR(__xludf.DUMMYFUNCTION("""COMPUTED_VALUE"""),"VH chính sấy phun mức 1")</f>
        <v>VH chính sấy phun mức 1</v>
      </c>
      <c r="F342" s="7" t="str">
        <f>IFERROR(__xludf.DUMMYFUNCTION("""COMPUTED_VALUE"""),"NV3147")</f>
        <v>NV3147</v>
      </c>
      <c r="G342" s="7">
        <f>IFERROR(__xludf.DUMMYFUNCTION("""COMPUTED_VALUE"""),656.0)</f>
        <v>656</v>
      </c>
      <c r="H342" s="7" t="str">
        <f>IFERROR(__xludf.DUMMYFUNCTION("""COMPUTED_VALUE"""),"Bùi Đình Vương")</f>
        <v>Bùi Đình Vương</v>
      </c>
      <c r="I342" s="7" t="str">
        <f>IFERROR(__xludf.DUMMYFUNCTION("""COMPUTED_VALUE"""),"Nam")</f>
        <v>Nam</v>
      </c>
      <c r="J342" s="17">
        <f>IFERROR(__xludf.DUMMYFUNCTION("""COMPUTED_VALUE"""),26957.0)</f>
        <v>26957</v>
      </c>
      <c r="K342" s="7" t="str">
        <f>IFERROR(__xludf.DUMMYFUNCTION("""COMPUTED_VALUE"""),"Thôn 2 - Xã Quảng Bình - Tỉnh Thanh Hóa")</f>
        <v>Thôn 2 - Xã Quảng Bình - Tỉnh Thanh Hóa</v>
      </c>
      <c r="L342" s="7" t="str">
        <f>IFERROR(__xludf.DUMMYFUNCTION("""COMPUTED_VALUE"""),"0983355736")</f>
        <v>0983355736</v>
      </c>
      <c r="M342" s="7" t="str">
        <f>IFERROR(__xludf.DUMMYFUNCTION("""COMPUTED_VALUE"""),"173453532")</f>
        <v>173453532</v>
      </c>
      <c r="N342" s="17">
        <f>IFERROR(__xludf.DUMMYFUNCTION("""COMPUTED_VALUE"""),39146.0)</f>
        <v>39146</v>
      </c>
      <c r="O342" s="7" t="str">
        <f>IFERROR(__xludf.DUMMYFUNCTION("""COMPUTED_VALUE"""),"Cục Cảnh sát QLHC về TTXH")</f>
        <v>Cục Cảnh sát QLHC về TTXH</v>
      </c>
      <c r="P342" s="7" t="str">
        <f>IFERROR(__xludf.DUMMYFUNCTION("""COMPUTED_VALUE"""),"LĐPT")</f>
        <v>LĐPT</v>
      </c>
      <c r="Q342" s="7" t="str">
        <f>IFERROR(__xludf.DUMMYFUNCTION("""COMPUTED_VALUE"""),"Lao động phổ thông")</f>
        <v>Lao động phổ thông</v>
      </c>
      <c r="R342" s="17">
        <f>IFERROR(__xludf.DUMMYFUNCTION("""COMPUTED_VALUE"""),44035.0)</f>
        <v>44035</v>
      </c>
      <c r="S342" s="17">
        <f>IFERROR(__xludf.DUMMYFUNCTION("""COMPUTED_VALUE"""),44317.0)</f>
        <v>44317</v>
      </c>
      <c r="T342" s="7" t="str">
        <f>IFERROR(__xludf.DUMMYFUNCTION("""COMPUTED_VALUE"""),"Chính thức")</f>
        <v>Chính thức</v>
      </c>
      <c r="U342" s="7"/>
      <c r="V342" s="7"/>
      <c r="W342" s="7" t="str">
        <f>IFERROR(__xludf.DUMMYFUNCTION("""COMPUTED_VALUE"""),"5 năm 5 tháng")</f>
        <v>5 năm 5 tháng</v>
      </c>
      <c r="X342" s="7"/>
      <c r="Y342" s="7"/>
      <c r="Z342" s="7"/>
    </row>
    <row r="343">
      <c r="A343" s="21" t="str">
        <f>IFERROR(__xludf.DUMMYFUNCTION("""COMPUTED_VALUE"""),"3")</f>
        <v>3</v>
      </c>
      <c r="B343" s="7" t="str">
        <f>IFERROR(__xludf.DUMMYFUNCTION("""COMPUTED_VALUE"""),"PXSX1")</f>
        <v>PXSX1</v>
      </c>
      <c r="C343" s="7" t="str">
        <f>IFERROR(__xludf.DUMMYFUNCTION("""COMPUTED_VALUE"""),"Bộ phận nhiên liệu và gia công bán thành phẩm ")</f>
        <v>Bộ phận nhiên liệu và gia công bán thành phẩm </v>
      </c>
      <c r="D343" s="7" t="str">
        <f>IFERROR(__xludf.DUMMYFUNCTION("""COMPUTED_VALUE"""),"Nghiền - Sấy phun Ca A")</f>
        <v>Nghiền - Sấy phun Ca A</v>
      </c>
      <c r="E343" s="7" t="str">
        <f>IFERROR(__xludf.DUMMYFUNCTION("""COMPUTED_VALUE"""),"VHC than xích")</f>
        <v>VHC than xích</v>
      </c>
      <c r="F343" s="7" t="str">
        <f>IFERROR(__xludf.DUMMYFUNCTION("""COMPUTED_VALUE"""),"NV0283")</f>
        <v>NV0283</v>
      </c>
      <c r="G343" s="7">
        <f>IFERROR(__xludf.DUMMYFUNCTION("""COMPUTED_VALUE"""),217.0)</f>
        <v>217</v>
      </c>
      <c r="H343" s="7" t="str">
        <f>IFERROR(__xludf.DUMMYFUNCTION("""COMPUTED_VALUE"""),"Phạm Văn Hùng")</f>
        <v>Phạm Văn Hùng</v>
      </c>
      <c r="I343" s="7" t="str">
        <f>IFERROR(__xludf.DUMMYFUNCTION("""COMPUTED_VALUE"""),"Nam")</f>
        <v>Nam</v>
      </c>
      <c r="J343" s="17">
        <f>IFERROR(__xludf.DUMMYFUNCTION("""COMPUTED_VALUE"""),28038.0)</f>
        <v>28038</v>
      </c>
      <c r="K343" s="7" t="str">
        <f>IFERROR(__xludf.DUMMYFUNCTION("""COMPUTED_VALUE"""),"Tổ 1 Bào Ngoại - Phường Hạc Thành - Tỉnh Thanh Hóa")</f>
        <v>Tổ 1 Bào Ngoại - Phường Hạc Thành - Tỉnh Thanh Hóa</v>
      </c>
      <c r="L343" s="7" t="str">
        <f>IFERROR(__xludf.DUMMYFUNCTION("""COMPUTED_VALUE"""),"0975804659")</f>
        <v>0975804659</v>
      </c>
      <c r="M343" s="7" t="str">
        <f>IFERROR(__xludf.DUMMYFUNCTION("""COMPUTED_VALUE"""),"038076005001")</f>
        <v>038076005001</v>
      </c>
      <c r="N343" s="7"/>
      <c r="O343" s="7" t="str">
        <f>IFERROR(__xludf.DUMMYFUNCTION("""COMPUTED_VALUE"""),"Cục Cảnh sát QLHC về TTXH")</f>
        <v>Cục Cảnh sát QLHC về TTXH</v>
      </c>
      <c r="P343" s="7" t="str">
        <f>IFERROR(__xludf.DUMMYFUNCTION("""COMPUTED_VALUE"""),"LĐPT")</f>
        <v>LĐPT</v>
      </c>
      <c r="Q343" s="7" t="str">
        <f>IFERROR(__xludf.DUMMYFUNCTION("""COMPUTED_VALUE"""),"Lao động phổ thông")</f>
        <v>Lao động phổ thông</v>
      </c>
      <c r="R343" s="17">
        <f>IFERROR(__xludf.DUMMYFUNCTION("""COMPUTED_VALUE"""),40254.0)</f>
        <v>40254</v>
      </c>
      <c r="S343" s="17">
        <f>IFERROR(__xludf.DUMMYFUNCTION("""COMPUTED_VALUE"""),40254.0)</f>
        <v>40254</v>
      </c>
      <c r="T343" s="7" t="str">
        <f>IFERROR(__xludf.DUMMYFUNCTION("""COMPUTED_VALUE"""),"Chính thức")</f>
        <v>Chính thức</v>
      </c>
      <c r="U343" s="7"/>
      <c r="V343" s="7"/>
      <c r="W343" s="7" t="str">
        <f>IFERROR(__xludf.DUMMYFUNCTION("""COMPUTED_VALUE"""),"15 năm 9 tháng")</f>
        <v>15 năm 9 tháng</v>
      </c>
      <c r="X343" s="7"/>
      <c r="Y343" s="7"/>
      <c r="Z343" s="7"/>
    </row>
    <row r="344">
      <c r="A344" s="21" t="str">
        <f>IFERROR(__xludf.DUMMYFUNCTION("""COMPUTED_VALUE"""),"4")</f>
        <v>4</v>
      </c>
      <c r="B344" s="7" t="str">
        <f>IFERROR(__xludf.DUMMYFUNCTION("""COMPUTED_VALUE"""),"PXSX1")</f>
        <v>PXSX1</v>
      </c>
      <c r="C344" s="7" t="str">
        <f>IFERROR(__xludf.DUMMYFUNCTION("""COMPUTED_VALUE"""),"Bộ phận nhiên liệu và gia công bán thành phẩm ")</f>
        <v>Bộ phận nhiên liệu và gia công bán thành phẩm </v>
      </c>
      <c r="D344" s="7" t="str">
        <f>IFERROR(__xludf.DUMMYFUNCTION("""COMPUTED_VALUE"""),"Nghiền - Sấy phun Ca A")</f>
        <v>Nghiền - Sấy phun Ca A</v>
      </c>
      <c r="E344" s="7" t="str">
        <f>IFERROR(__xludf.DUMMYFUNCTION("""COMPUTED_VALUE"""),"Tổ phó - Phụ trách Nghiền -  sấy phun")</f>
        <v>Tổ phó - Phụ trách Nghiền -  sấy phun</v>
      </c>
      <c r="F344" s="7" t="str">
        <f>IFERROR(__xludf.DUMMYFUNCTION("""COMPUTED_VALUE"""),"NV0284")</f>
        <v>NV0284</v>
      </c>
      <c r="G344" s="7">
        <f>IFERROR(__xludf.DUMMYFUNCTION("""COMPUTED_VALUE"""),314.0)</f>
        <v>314</v>
      </c>
      <c r="H344" s="7" t="str">
        <f>IFERROR(__xludf.DUMMYFUNCTION("""COMPUTED_VALUE"""),"Lê Văn Sử")</f>
        <v>Lê Văn Sử</v>
      </c>
      <c r="I344" s="7" t="str">
        <f>IFERROR(__xludf.DUMMYFUNCTION("""COMPUTED_VALUE"""),"Nam")</f>
        <v>Nam</v>
      </c>
      <c r="J344" s="17">
        <f>IFERROR(__xludf.DUMMYFUNCTION("""COMPUTED_VALUE"""),29189.0)</f>
        <v>29189</v>
      </c>
      <c r="K344" s="7" t="str">
        <f>IFERROR(__xludf.DUMMYFUNCTION("""COMPUTED_VALUE"""),"Xã Lưu Vệ - Tỉnh Thanh Hóa ")</f>
        <v>Xã Lưu Vệ - Tỉnh Thanh Hóa </v>
      </c>
      <c r="L344" s="7" t="str">
        <f>IFERROR(__xludf.DUMMYFUNCTION("""COMPUTED_VALUE"""),"0389593411")</f>
        <v>0389593411</v>
      </c>
      <c r="M344" s="7" t="str">
        <f>IFERROR(__xludf.DUMMYFUNCTION("""COMPUTED_VALUE"""),"038079028592")</f>
        <v>038079028592</v>
      </c>
      <c r="N344" s="17">
        <f>IFERROR(__xludf.DUMMYFUNCTION("""COMPUTED_VALUE"""),44375.0)</f>
        <v>44375</v>
      </c>
      <c r="O344" s="7" t="str">
        <f>IFERROR(__xludf.DUMMYFUNCTION("""COMPUTED_VALUE"""),"Cục Cảnh sát QLHC về TTXH")</f>
        <v>Cục Cảnh sát QLHC về TTXH</v>
      </c>
      <c r="P344" s="7" t="str">
        <f>IFERROR(__xludf.DUMMYFUNCTION("""COMPUTED_VALUE"""),"Công nhân kỹ thuật")</f>
        <v>Công nhân kỹ thuật</v>
      </c>
      <c r="Q344" s="7" t="str">
        <f>IFERROR(__xludf.DUMMYFUNCTION("""COMPUTED_VALUE"""),"Lắp đặt cẩu")</f>
        <v>Lắp đặt cẩu</v>
      </c>
      <c r="R344" s="17">
        <f>IFERROR(__xludf.DUMMYFUNCTION("""COMPUTED_VALUE"""),41795.0)</f>
        <v>41795</v>
      </c>
      <c r="S344" s="17">
        <f>IFERROR(__xludf.DUMMYFUNCTION("""COMPUTED_VALUE"""),41795.0)</f>
        <v>41795</v>
      </c>
      <c r="T344" s="7" t="str">
        <f>IFERROR(__xludf.DUMMYFUNCTION("""COMPUTED_VALUE"""),"Chính thức")</f>
        <v>Chính thức</v>
      </c>
      <c r="U344" s="7"/>
      <c r="V344" s="7"/>
      <c r="W344" s="7" t="str">
        <f>IFERROR(__xludf.DUMMYFUNCTION("""COMPUTED_VALUE"""),"11 năm 6 tháng")</f>
        <v>11 năm 6 tháng</v>
      </c>
      <c r="X344" s="7"/>
      <c r="Y344" s="7"/>
      <c r="Z344" s="7"/>
    </row>
    <row r="345">
      <c r="A345" s="21" t="str">
        <f>IFERROR(__xludf.DUMMYFUNCTION("""COMPUTED_VALUE"""),"5")</f>
        <v>5</v>
      </c>
      <c r="B345" s="7" t="str">
        <f>IFERROR(__xludf.DUMMYFUNCTION("""COMPUTED_VALUE"""),"PXSX1")</f>
        <v>PXSX1</v>
      </c>
      <c r="C345" s="7" t="str">
        <f>IFERROR(__xludf.DUMMYFUNCTION("""COMPUTED_VALUE"""),"Bộ phận nhiên liệu và gia công bán thành phẩm ")</f>
        <v>Bộ phận nhiên liệu và gia công bán thành phẩm </v>
      </c>
      <c r="D345" s="7" t="str">
        <f>IFERROR(__xludf.DUMMYFUNCTION("""COMPUTED_VALUE"""),"Nghiền - Sấy phun Ca A")</f>
        <v>Nghiền - Sấy phun Ca A</v>
      </c>
      <c r="E345" s="7" t="str">
        <f>IFERROR(__xludf.DUMMYFUNCTION("""COMPUTED_VALUE"""),"VH Nạp nghiền")</f>
        <v>VH Nạp nghiền</v>
      </c>
      <c r="F345" s="7" t="str">
        <f>IFERROR(__xludf.DUMMYFUNCTION("""COMPUTED_VALUE"""),"NV5276")</f>
        <v>NV5276</v>
      </c>
      <c r="G345" s="7">
        <f>IFERROR(__xludf.DUMMYFUNCTION("""COMPUTED_VALUE"""),731.0)</f>
        <v>731</v>
      </c>
      <c r="H345" s="7" t="str">
        <f>IFERROR(__xludf.DUMMYFUNCTION("""COMPUTED_VALUE"""),"Nguyễn văn Tình")</f>
        <v>Nguyễn văn Tình</v>
      </c>
      <c r="I345" s="7" t="str">
        <f>IFERROR(__xludf.DUMMYFUNCTION("""COMPUTED_VALUE"""),"Nam")</f>
        <v>Nam</v>
      </c>
      <c r="J345" s="17">
        <f>IFERROR(__xludf.DUMMYFUNCTION("""COMPUTED_VALUE"""),29378.0)</f>
        <v>29378</v>
      </c>
      <c r="K345" s="7" t="str">
        <f>IFERROR(__xludf.DUMMYFUNCTION("""COMPUTED_VALUE"""),"Phường Nam Sầm Sơn - Tỉnh Thanh Hóa")</f>
        <v>Phường Nam Sầm Sơn - Tỉnh Thanh Hóa</v>
      </c>
      <c r="L345" s="7" t="str">
        <f>IFERROR(__xludf.DUMMYFUNCTION("""COMPUTED_VALUE"""),"0859073789")</f>
        <v>0859073789</v>
      </c>
      <c r="M345" s="7" t="str">
        <f>IFERROR(__xludf.DUMMYFUNCTION("""COMPUTED_VALUE"""),"038080013830")</f>
        <v>038080013830</v>
      </c>
      <c r="N345" s="17">
        <f>IFERROR(__xludf.DUMMYFUNCTION("""COMPUTED_VALUE"""),44325.0)</f>
        <v>44325</v>
      </c>
      <c r="O345" s="7" t="str">
        <f>IFERROR(__xludf.DUMMYFUNCTION("""COMPUTED_VALUE"""),"Cục Cảnh sát QLHC về TTXH")</f>
        <v>Cục Cảnh sát QLHC về TTXH</v>
      </c>
      <c r="P345" s="7" t="str">
        <f>IFERROR(__xludf.DUMMYFUNCTION("""COMPUTED_VALUE"""),"LĐPT")</f>
        <v>LĐPT</v>
      </c>
      <c r="Q345" s="7" t="str">
        <f>IFERROR(__xludf.DUMMYFUNCTION("""COMPUTED_VALUE"""),"Lao động phổ thông")</f>
        <v>Lao động phổ thông</v>
      </c>
      <c r="R345" s="17">
        <f>IFERROR(__xludf.DUMMYFUNCTION("""COMPUTED_VALUE"""),45457.0)</f>
        <v>45457</v>
      </c>
      <c r="S345" s="17">
        <f>IFERROR(__xludf.DUMMYFUNCTION("""COMPUTED_VALUE"""),45536.0)</f>
        <v>45536</v>
      </c>
      <c r="T345" s="7" t="str">
        <f>IFERROR(__xludf.DUMMYFUNCTION("""COMPUTED_VALUE"""),"Chính thức")</f>
        <v>Chính thức</v>
      </c>
      <c r="U345" s="7"/>
      <c r="V345" s="7"/>
      <c r="W345" s="7" t="str">
        <f>IFERROR(__xludf.DUMMYFUNCTION("""COMPUTED_VALUE"""),"1 năm 6 tháng")</f>
        <v>1 năm 6 tháng</v>
      </c>
      <c r="X345" s="7"/>
      <c r="Y345" s="7"/>
      <c r="Z345" s="7"/>
    </row>
    <row r="346">
      <c r="A346" s="21" t="str">
        <f>IFERROR(__xludf.DUMMYFUNCTION("""COMPUTED_VALUE"""),"6")</f>
        <v>6</v>
      </c>
      <c r="B346" s="7" t="str">
        <f>IFERROR(__xludf.DUMMYFUNCTION("""COMPUTED_VALUE"""),"PXSX1")</f>
        <v>PXSX1</v>
      </c>
      <c r="C346" s="7" t="str">
        <f>IFERROR(__xludf.DUMMYFUNCTION("""COMPUTED_VALUE"""),"Bộ phận nhiên liệu và gia công bán thành phẩm ")</f>
        <v>Bộ phận nhiên liệu và gia công bán thành phẩm </v>
      </c>
      <c r="D346" s="7" t="str">
        <f>IFERROR(__xludf.DUMMYFUNCTION("""COMPUTED_VALUE"""),"Nghiền - Sấy phun Ca A")</f>
        <v>Nghiền - Sấy phun Ca A</v>
      </c>
      <c r="E346" s="7" t="str">
        <f>IFERROR(__xludf.DUMMYFUNCTION("""COMPUTED_VALUE"""),"VH Nạp nghiền")</f>
        <v>VH Nạp nghiền</v>
      </c>
      <c r="F346" s="7" t="str">
        <f>IFERROR(__xludf.DUMMYFUNCTION("""COMPUTED_VALUE"""),"NV5512")</f>
        <v>NV5512</v>
      </c>
      <c r="G346" s="7">
        <f>IFERROR(__xludf.DUMMYFUNCTION("""COMPUTED_VALUE"""),995.0)</f>
        <v>995</v>
      </c>
      <c r="H346" s="7" t="str">
        <f>IFERROR(__xludf.DUMMYFUNCTION("""COMPUTED_VALUE"""),"Nguyễn Văn Hà")</f>
        <v>Nguyễn Văn Hà</v>
      </c>
      <c r="I346" s="7" t="str">
        <f>IFERROR(__xludf.DUMMYFUNCTION("""COMPUTED_VALUE"""),"Nam")</f>
        <v>Nam</v>
      </c>
      <c r="J346" s="17">
        <f>IFERROR(__xludf.DUMMYFUNCTION("""COMPUTED_VALUE"""),29514.0)</f>
        <v>29514</v>
      </c>
      <c r="K346" s="7" t="str">
        <f>IFERROR(__xludf.DUMMYFUNCTION("""COMPUTED_VALUE"""),"Phường Hạc Thành - Tỉnh Thanh Hóa")</f>
        <v>Phường Hạc Thành - Tỉnh Thanh Hóa</v>
      </c>
      <c r="L346" s="7" t="str">
        <f>IFERROR(__xludf.DUMMYFUNCTION("""COMPUTED_VALUE"""),"0364971180")</f>
        <v>0364971180</v>
      </c>
      <c r="M346" s="7" t="str">
        <f>IFERROR(__xludf.DUMMYFUNCTION("""COMPUTED_VALUE"""),"038080000515")</f>
        <v>038080000515</v>
      </c>
      <c r="N346" s="17">
        <f>IFERROR(__xludf.DUMMYFUNCTION("""COMPUTED_VALUE"""),44288.0)</f>
        <v>44288</v>
      </c>
      <c r="O346" s="7" t="str">
        <f>IFERROR(__xludf.DUMMYFUNCTION("""COMPUTED_VALUE"""),"Cục Cảnh sát QLHC về TTXH")</f>
        <v>Cục Cảnh sát QLHC về TTXH</v>
      </c>
      <c r="P346" s="7" t="str">
        <f>IFERROR(__xludf.DUMMYFUNCTION("""COMPUTED_VALUE"""),"LĐPT")</f>
        <v>LĐPT</v>
      </c>
      <c r="Q346" s="7" t="str">
        <f>IFERROR(__xludf.DUMMYFUNCTION("""COMPUTED_VALUE"""),"Lao động phổ thông")</f>
        <v>Lao động phổ thông</v>
      </c>
      <c r="R346" s="17">
        <f>IFERROR(__xludf.DUMMYFUNCTION("""COMPUTED_VALUE"""),45812.0)</f>
        <v>45812</v>
      </c>
      <c r="S346" s="7"/>
      <c r="T346" s="7" t="str">
        <f>IFERROR(__xludf.DUMMYFUNCTION("""COMPUTED_VALUE"""),"Chính thức")</f>
        <v>Chính thức</v>
      </c>
      <c r="U346" s="7"/>
      <c r="V346" s="7"/>
      <c r="W346" s="7" t="str">
        <f>IFERROR(__xludf.DUMMYFUNCTION("""COMPUTED_VALUE"""),"0 năm 6 tháng")</f>
        <v>0 năm 6 tháng</v>
      </c>
      <c r="X346" s="7"/>
      <c r="Y346" s="7"/>
      <c r="Z346" s="7"/>
    </row>
    <row r="347">
      <c r="A347" s="21" t="str">
        <f>IFERROR(__xludf.DUMMYFUNCTION("""COMPUTED_VALUE"""),"7")</f>
        <v>7</v>
      </c>
      <c r="B347" s="7" t="str">
        <f>IFERROR(__xludf.DUMMYFUNCTION("""COMPUTED_VALUE"""),"PXSX1")</f>
        <v>PXSX1</v>
      </c>
      <c r="C347" s="7" t="str">
        <f>IFERROR(__xludf.DUMMYFUNCTION("""COMPUTED_VALUE"""),"Bộ phận nhiên liệu và gia công bán thành phẩm ")</f>
        <v>Bộ phận nhiên liệu và gia công bán thành phẩm </v>
      </c>
      <c r="D347" s="7" t="str">
        <f>IFERROR(__xludf.DUMMYFUNCTION("""COMPUTED_VALUE"""),"Nghiền - Sấy phun Ca A")</f>
        <v>Nghiền - Sấy phun Ca A</v>
      </c>
      <c r="E347" s="7" t="str">
        <f>IFERROR(__xludf.DUMMYFUNCTION("""COMPUTED_VALUE"""),"Nhóm trưởng nghiền")</f>
        <v>Nhóm trưởng nghiền</v>
      </c>
      <c r="F347" s="7" t="str">
        <f>IFERROR(__xludf.DUMMYFUNCTION("""COMPUTED_VALUE"""),"NV3135")</f>
        <v>NV3135</v>
      </c>
      <c r="G347" s="7">
        <f>IFERROR(__xludf.DUMMYFUNCTION("""COMPUTED_VALUE"""),288.0)</f>
        <v>288</v>
      </c>
      <c r="H347" s="7" t="str">
        <f>IFERROR(__xludf.DUMMYFUNCTION("""COMPUTED_VALUE"""),"Đỗ Viết Trang")</f>
        <v>Đỗ Viết Trang</v>
      </c>
      <c r="I347" s="7" t="str">
        <f>IFERROR(__xludf.DUMMYFUNCTION("""COMPUTED_VALUE"""),"Nam")</f>
        <v>Nam</v>
      </c>
      <c r="J347" s="17">
        <f>IFERROR(__xludf.DUMMYFUNCTION("""COMPUTED_VALUE"""),31992.0)</f>
        <v>31992</v>
      </c>
      <c r="K347" s="7" t="str">
        <f>IFERROR(__xludf.DUMMYFUNCTION("""COMPUTED_VALUE"""),"Thôn Phú Đông - Phường Hải Lĩnh - Tỉnh Thanh Hóa")</f>
        <v>Thôn Phú Đông - Phường Hải Lĩnh - Tỉnh Thanh Hóa</v>
      </c>
      <c r="L347" s="7" t="str">
        <f>IFERROR(__xludf.DUMMYFUNCTION("""COMPUTED_VALUE"""),"0967215485")</f>
        <v>0967215485</v>
      </c>
      <c r="M347" s="7" t="str">
        <f>IFERROR(__xludf.DUMMYFUNCTION("""COMPUTED_VALUE"""),"038087006270")</f>
        <v>038087006270</v>
      </c>
      <c r="N347" s="17">
        <f>IFERROR(__xludf.DUMMYFUNCTION("""COMPUTED_VALUE"""),44420.0)</f>
        <v>44420</v>
      </c>
      <c r="O347" s="7" t="str">
        <f>IFERROR(__xludf.DUMMYFUNCTION("""COMPUTED_VALUE"""),"Cục Cảnh sát QLHC về TTXH")</f>
        <v>Cục Cảnh sát QLHC về TTXH</v>
      </c>
      <c r="P347" s="7" t="str">
        <f>IFERROR(__xludf.DUMMYFUNCTION("""COMPUTED_VALUE"""),"LĐPT")</f>
        <v>LĐPT</v>
      </c>
      <c r="Q347" s="7" t="str">
        <f>IFERROR(__xludf.DUMMYFUNCTION("""COMPUTED_VALUE"""),"Lao động phổ thông")</f>
        <v>Lao động phổ thông</v>
      </c>
      <c r="R347" s="17">
        <f>IFERROR(__xludf.DUMMYFUNCTION("""COMPUTED_VALUE"""),44033.0)</f>
        <v>44033</v>
      </c>
      <c r="S347" s="17">
        <f>IFERROR(__xludf.DUMMYFUNCTION("""COMPUTED_VALUE"""),44317.0)</f>
        <v>44317</v>
      </c>
      <c r="T347" s="7" t="str">
        <f>IFERROR(__xludf.DUMMYFUNCTION("""COMPUTED_VALUE"""),"Chính thức")</f>
        <v>Chính thức</v>
      </c>
      <c r="U347" s="7"/>
      <c r="V347" s="7"/>
      <c r="W347" s="7" t="str">
        <f>IFERROR(__xludf.DUMMYFUNCTION("""COMPUTED_VALUE"""),"5 năm 5 tháng")</f>
        <v>5 năm 5 tháng</v>
      </c>
      <c r="X347" s="7"/>
      <c r="Y347" s="7"/>
      <c r="Z347" s="7"/>
    </row>
    <row r="348">
      <c r="A348" s="21" t="str">
        <f>IFERROR(__xludf.DUMMYFUNCTION("""COMPUTED_VALUE"""),"8")</f>
        <v>8</v>
      </c>
      <c r="B348" s="7" t="str">
        <f>IFERROR(__xludf.DUMMYFUNCTION("""COMPUTED_VALUE"""),"PXSX1")</f>
        <v>PXSX1</v>
      </c>
      <c r="C348" s="7" t="str">
        <f>IFERROR(__xludf.DUMMYFUNCTION("""COMPUTED_VALUE"""),"Bộ phận nhiên liệu và gia công bán thành phẩm ")</f>
        <v>Bộ phận nhiên liệu và gia công bán thành phẩm </v>
      </c>
      <c r="D348" s="7" t="str">
        <f>IFERROR(__xludf.DUMMYFUNCTION("""COMPUTED_VALUE"""),"Nghiền - Sấy phun Ca A")</f>
        <v>Nghiền - Sấy phun Ca A</v>
      </c>
      <c r="E348" s="7" t="str">
        <f>IFERROR(__xludf.DUMMYFUNCTION("""COMPUTED_VALUE"""),"Tổ trưởng")</f>
        <v>Tổ trưởng</v>
      </c>
      <c r="F348" s="7" t="str">
        <f>IFERROR(__xludf.DUMMYFUNCTION("""COMPUTED_VALUE"""),"NV0286")</f>
        <v>NV0286</v>
      </c>
      <c r="G348" s="7">
        <f>IFERROR(__xludf.DUMMYFUNCTION("""COMPUTED_VALUE"""),289.0)</f>
        <v>289</v>
      </c>
      <c r="H348" s="7" t="str">
        <f>IFERROR(__xludf.DUMMYFUNCTION("""COMPUTED_VALUE"""),"Nguyễn Trọng Luật")</f>
        <v>Nguyễn Trọng Luật</v>
      </c>
      <c r="I348" s="7" t="str">
        <f>IFERROR(__xludf.DUMMYFUNCTION("""COMPUTED_VALUE"""),"Nam")</f>
        <v>Nam</v>
      </c>
      <c r="J348" s="17">
        <f>IFERROR(__xludf.DUMMYFUNCTION("""COMPUTED_VALUE"""),33030.0)</f>
        <v>33030</v>
      </c>
      <c r="K348" s="7" t="str">
        <f>IFERROR(__xludf.DUMMYFUNCTION("""COMPUTED_VALUE"""),"Thôn Phú Xuân - Xã Cẩm Tân - Tỉnh Thanh Hóa")</f>
        <v>Thôn Phú Xuân - Xã Cẩm Tân - Tỉnh Thanh Hóa</v>
      </c>
      <c r="L348" s="7" t="str">
        <f>IFERROR(__xludf.DUMMYFUNCTION("""COMPUTED_VALUE"""),"0986859854")</f>
        <v>0986859854</v>
      </c>
      <c r="M348" s="7" t="str">
        <f>IFERROR(__xludf.DUMMYFUNCTION("""COMPUTED_VALUE"""),"038090052073")</f>
        <v>038090052073</v>
      </c>
      <c r="N348" s="17">
        <f>IFERROR(__xludf.DUMMYFUNCTION("""COMPUTED_VALUE"""),44724.0)</f>
        <v>44724</v>
      </c>
      <c r="O348" s="7" t="str">
        <f>IFERROR(__xludf.DUMMYFUNCTION("""COMPUTED_VALUE"""),"Cục Cảnh sát QLHC về TTXH")</f>
        <v>Cục Cảnh sát QLHC về TTXH</v>
      </c>
      <c r="P348" s="7" t="str">
        <f>IFERROR(__xludf.DUMMYFUNCTION("""COMPUTED_VALUE"""),"LĐPT")</f>
        <v>LĐPT</v>
      </c>
      <c r="Q348" s="7" t="str">
        <f>IFERROR(__xludf.DUMMYFUNCTION("""COMPUTED_VALUE"""),"Lao động phổ thông")</f>
        <v>Lao động phổ thông</v>
      </c>
      <c r="R348" s="17">
        <f>IFERROR(__xludf.DUMMYFUNCTION("""COMPUTED_VALUE"""),40998.0)</f>
        <v>40998</v>
      </c>
      <c r="S348" s="17">
        <f>IFERROR(__xludf.DUMMYFUNCTION("""COMPUTED_VALUE"""),40998.0)</f>
        <v>40998</v>
      </c>
      <c r="T348" s="7" t="str">
        <f>IFERROR(__xludf.DUMMYFUNCTION("""COMPUTED_VALUE"""),"Chính thức")</f>
        <v>Chính thức</v>
      </c>
      <c r="U348" s="7"/>
      <c r="V348" s="7"/>
      <c r="W348" s="7" t="str">
        <f>IFERROR(__xludf.DUMMYFUNCTION("""COMPUTED_VALUE"""),"13 năm 9 tháng")</f>
        <v>13 năm 9 tháng</v>
      </c>
      <c r="X348" s="7"/>
      <c r="Y348" s="7"/>
      <c r="Z348" s="7"/>
    </row>
    <row r="349">
      <c r="A349" s="21" t="str">
        <f>IFERROR(__xludf.DUMMYFUNCTION("""COMPUTED_VALUE"""),"9")</f>
        <v>9</v>
      </c>
      <c r="B349" s="7" t="str">
        <f>IFERROR(__xludf.DUMMYFUNCTION("""COMPUTED_VALUE"""),"PXSX1")</f>
        <v>PXSX1</v>
      </c>
      <c r="C349" s="7" t="str">
        <f>IFERROR(__xludf.DUMMYFUNCTION("""COMPUTED_VALUE"""),"Bộ phận nhiên liệu và gia công bán thành phẩm ")</f>
        <v>Bộ phận nhiên liệu và gia công bán thành phẩm </v>
      </c>
      <c r="D349" s="7" t="str">
        <f>IFERROR(__xludf.DUMMYFUNCTION("""COMPUTED_VALUE"""),"Nghiền - Sấy phun Ca A")</f>
        <v>Nghiền - Sấy phun Ca A</v>
      </c>
      <c r="E349" s="7" t="str">
        <f>IFERROR(__xludf.DUMMYFUNCTION("""COMPUTED_VALUE"""),"VH Nạp nghiền")</f>
        <v>VH Nạp nghiền</v>
      </c>
      <c r="F349" s="7" t="str">
        <f>IFERROR(__xludf.DUMMYFUNCTION("""COMPUTED_VALUE"""),"NV4683")</f>
        <v>NV4683</v>
      </c>
      <c r="G349" s="7">
        <f>IFERROR(__xludf.DUMMYFUNCTION("""COMPUTED_VALUE"""),487.0)</f>
        <v>487</v>
      </c>
      <c r="H349" s="7" t="str">
        <f>IFERROR(__xludf.DUMMYFUNCTION("""COMPUTED_VALUE"""),"Lê Thiên Dũng")</f>
        <v>Lê Thiên Dũng</v>
      </c>
      <c r="I349" s="7" t="str">
        <f>IFERROR(__xludf.DUMMYFUNCTION("""COMPUTED_VALUE"""),"Nam")</f>
        <v>Nam</v>
      </c>
      <c r="J349" s="17">
        <f>IFERROR(__xludf.DUMMYFUNCTION("""COMPUTED_VALUE"""),34434.0)</f>
        <v>34434</v>
      </c>
      <c r="K349" s="7" t="str">
        <f>IFERROR(__xludf.DUMMYFUNCTION("""COMPUTED_VALUE"""),"Trung Thôn - Xã Thọ Long - Tỉnh Thanh Hóa")</f>
        <v>Trung Thôn - Xã Thọ Long - Tỉnh Thanh Hóa</v>
      </c>
      <c r="L349" s="7" t="str">
        <f>IFERROR(__xludf.DUMMYFUNCTION("""COMPUTED_VALUE"""),"0372091689")</f>
        <v>0372091689</v>
      </c>
      <c r="M349" s="7" t="str">
        <f>IFERROR(__xludf.DUMMYFUNCTION("""COMPUTED_VALUE"""),"038094024150")</f>
        <v>038094024150</v>
      </c>
      <c r="N349" s="7"/>
      <c r="O349" s="7" t="str">
        <f>IFERROR(__xludf.DUMMYFUNCTION("""COMPUTED_VALUE"""),"Cục Cảnh sát QLHC về TTXH")</f>
        <v>Cục Cảnh sát QLHC về TTXH</v>
      </c>
      <c r="P349" s="7" t="str">
        <f>IFERROR(__xludf.DUMMYFUNCTION("""COMPUTED_VALUE"""),"LĐPT")</f>
        <v>LĐPT</v>
      </c>
      <c r="Q349" s="7" t="str">
        <f>IFERROR(__xludf.DUMMYFUNCTION("""COMPUTED_VALUE"""),"Lao động phổ thông")</f>
        <v>Lao động phổ thông</v>
      </c>
      <c r="R349" s="17">
        <f>IFERROR(__xludf.DUMMYFUNCTION("""COMPUTED_VALUE"""),45002.0)</f>
        <v>45002</v>
      </c>
      <c r="S349" s="17">
        <f>IFERROR(__xludf.DUMMYFUNCTION("""COMPUTED_VALUE"""),45444.0)</f>
        <v>45444</v>
      </c>
      <c r="T349" s="7" t="str">
        <f>IFERROR(__xludf.DUMMYFUNCTION("""COMPUTED_VALUE"""),"Chính thức")</f>
        <v>Chính thức</v>
      </c>
      <c r="U349" s="7"/>
      <c r="V349" s="7"/>
      <c r="W349" s="7" t="str">
        <f>IFERROR(__xludf.DUMMYFUNCTION("""COMPUTED_VALUE"""),"2 năm 9 tháng")</f>
        <v>2 năm 9 tháng</v>
      </c>
      <c r="X349" s="7"/>
      <c r="Y349" s="7"/>
      <c r="Z349" s="7"/>
    </row>
    <row r="350">
      <c r="A350" s="21" t="str">
        <f>IFERROR(__xludf.DUMMYFUNCTION("""COMPUTED_VALUE"""),"10")</f>
        <v>10</v>
      </c>
      <c r="B350" s="7" t="str">
        <f>IFERROR(__xludf.DUMMYFUNCTION("""COMPUTED_VALUE"""),"PXSX1")</f>
        <v>PXSX1</v>
      </c>
      <c r="C350" s="7" t="str">
        <f>IFERROR(__xludf.DUMMYFUNCTION("""COMPUTED_VALUE"""),"Bộ phận nhiên liệu và gia công bán thành phẩm ")</f>
        <v>Bộ phận nhiên liệu và gia công bán thành phẩm </v>
      </c>
      <c r="D350" s="7" t="str">
        <f>IFERROR(__xludf.DUMMYFUNCTION("""COMPUTED_VALUE"""),"Nghiền - Sấy phun Ca A")</f>
        <v>Nghiền - Sấy phun Ca A</v>
      </c>
      <c r="E350" s="7" t="str">
        <f>IFERROR(__xludf.DUMMYFUNCTION("""COMPUTED_VALUE"""),"VHC Nạp nghiền")</f>
        <v>VHC Nạp nghiền</v>
      </c>
      <c r="F350" s="7" t="str">
        <f>IFERROR(__xludf.DUMMYFUNCTION("""COMPUTED_VALUE"""),"NV3440")</f>
        <v>NV3440</v>
      </c>
      <c r="G350" s="7">
        <f>IFERROR(__xludf.DUMMYFUNCTION("""COMPUTED_VALUE"""),660.0)</f>
        <v>660</v>
      </c>
      <c r="H350" s="7" t="str">
        <f>IFERROR(__xludf.DUMMYFUNCTION("""COMPUTED_VALUE"""),"Hà Hoàng Hạnh")</f>
        <v>Hà Hoàng Hạnh</v>
      </c>
      <c r="I350" s="7" t="str">
        <f>IFERROR(__xludf.DUMMYFUNCTION("""COMPUTED_VALUE"""),"Nam")</f>
        <v>Nam</v>
      </c>
      <c r="J350" s="17">
        <f>IFERROR(__xludf.DUMMYFUNCTION("""COMPUTED_VALUE"""),36376.0)</f>
        <v>36376</v>
      </c>
      <c r="K350" s="7" t="str">
        <f>IFERROR(__xludf.DUMMYFUNCTION("""COMPUTED_VALUE"""),"19/73 Lê Thánh Tông - Phường Hạc Thành - Tỉnh Thanh Hóa")</f>
        <v>19/73 Lê Thánh Tông - Phường Hạc Thành - Tỉnh Thanh Hóa</v>
      </c>
      <c r="L350" s="7" t="str">
        <f>IFERROR(__xludf.DUMMYFUNCTION("""COMPUTED_VALUE"""),"0941403126")</f>
        <v>0941403126</v>
      </c>
      <c r="M350" s="7" t="str">
        <f>IFERROR(__xludf.DUMMYFUNCTION("""COMPUTED_VALUE"""),"038099016636")</f>
        <v>038099016636</v>
      </c>
      <c r="N350" s="17">
        <f>IFERROR(__xludf.DUMMYFUNCTION("""COMPUTED_VALUE"""),44375.0)</f>
        <v>44375</v>
      </c>
      <c r="O350" s="7" t="str">
        <f>IFERROR(__xludf.DUMMYFUNCTION("""COMPUTED_VALUE"""),"Cục Cảnh sát QLHC về TTXH")</f>
        <v>Cục Cảnh sát QLHC về TTXH</v>
      </c>
      <c r="P350" s="7" t="str">
        <f>IFERROR(__xludf.DUMMYFUNCTION("""COMPUTED_VALUE"""),"LĐPT")</f>
        <v>LĐPT</v>
      </c>
      <c r="Q350" s="7" t="str">
        <f>IFERROR(__xludf.DUMMYFUNCTION("""COMPUTED_VALUE"""),"Lao động phổ thông")</f>
        <v>Lao động phổ thông</v>
      </c>
      <c r="R350" s="17">
        <f>IFERROR(__xludf.DUMMYFUNCTION("""COMPUTED_VALUE"""),44250.0)</f>
        <v>44250</v>
      </c>
      <c r="S350" s="17">
        <f>IFERROR(__xludf.DUMMYFUNCTION("""COMPUTED_VALUE"""),44531.0)</f>
        <v>44531</v>
      </c>
      <c r="T350" s="7" t="str">
        <f>IFERROR(__xludf.DUMMYFUNCTION("""COMPUTED_VALUE"""),"Chính thức")</f>
        <v>Chính thức</v>
      </c>
      <c r="U350" s="7"/>
      <c r="V350" s="7"/>
      <c r="W350" s="7" t="str">
        <f>IFERROR(__xludf.DUMMYFUNCTION("""COMPUTED_VALUE"""),"4 năm 10 tháng")</f>
        <v>4 năm 10 tháng</v>
      </c>
      <c r="X350" s="7"/>
      <c r="Y350" s="7"/>
      <c r="Z350" s="7"/>
    </row>
    <row r="351">
      <c r="A351" s="21" t="str">
        <f>IFERROR(__xludf.DUMMYFUNCTION("""COMPUTED_VALUE"""),"11")</f>
        <v>11</v>
      </c>
      <c r="B351" s="7" t="str">
        <f>IFERROR(__xludf.DUMMYFUNCTION("""COMPUTED_VALUE"""),"PXSX1")</f>
        <v>PXSX1</v>
      </c>
      <c r="C351" s="7" t="str">
        <f>IFERROR(__xludf.DUMMYFUNCTION("""COMPUTED_VALUE"""),"Bộ phận nhiên liệu và gia công bán thành phẩm ")</f>
        <v>Bộ phận nhiên liệu và gia công bán thành phẩm </v>
      </c>
      <c r="D351" s="7" t="str">
        <f>IFERROR(__xludf.DUMMYFUNCTION("""COMPUTED_VALUE"""),"Nghiền - Sấy phun Ca A")</f>
        <v>Nghiền - Sấy phun Ca A</v>
      </c>
      <c r="E351" s="7" t="str">
        <f>IFERROR(__xludf.DUMMYFUNCTION("""COMPUTED_VALUE"""),"VH Nạp nghiền")</f>
        <v>VH Nạp nghiền</v>
      </c>
      <c r="F351" s="7" t="str">
        <f>IFERROR(__xludf.DUMMYFUNCTION("""COMPUTED_VALUE"""),"NV5772")</f>
        <v>NV5772</v>
      </c>
      <c r="G351" s="7">
        <f>IFERROR(__xludf.DUMMYFUNCTION("""COMPUTED_VALUE"""),1253.0)</f>
        <v>1253</v>
      </c>
      <c r="H351" s="7" t="str">
        <f>IFERROR(__xludf.DUMMYFUNCTION("""COMPUTED_VALUE"""),"Lê Văn Thân")</f>
        <v>Lê Văn Thân</v>
      </c>
      <c r="I351" s="7" t="str">
        <f>IFERROR(__xludf.DUMMYFUNCTION("""COMPUTED_VALUE"""),"Nam")</f>
        <v>Nam</v>
      </c>
      <c r="J351" s="17">
        <f>IFERROR(__xludf.DUMMYFUNCTION("""COMPUTED_VALUE"""),25057.0)</f>
        <v>25057</v>
      </c>
      <c r="K351" s="7" t="str">
        <f>IFERROR(__xludf.DUMMYFUNCTION("""COMPUTED_VALUE"""),"Thôn Đông Hưng - Xã Thắng Lợi -Tỉnh Thanh Hóa")</f>
        <v>Thôn Đông Hưng - Xã Thắng Lợi -Tỉnh Thanh Hóa</v>
      </c>
      <c r="L351" s="7" t="str">
        <f>IFERROR(__xludf.DUMMYFUNCTION("""COMPUTED_VALUE"""),"0346287759")</f>
        <v>0346287759</v>
      </c>
      <c r="M351" s="7" t="str">
        <f>IFERROR(__xludf.DUMMYFUNCTION("""COMPUTED_VALUE"""),"038068005451")</f>
        <v>038068005451</v>
      </c>
      <c r="N351" s="17">
        <f>IFERROR(__xludf.DUMMYFUNCTION("""COMPUTED_VALUE"""),44440.0)</f>
        <v>44440</v>
      </c>
      <c r="O351" s="7" t="str">
        <f>IFERROR(__xludf.DUMMYFUNCTION("""COMPUTED_VALUE"""),"Cục Cảnh sát QLHC về TTXH")</f>
        <v>Cục Cảnh sát QLHC về TTXH</v>
      </c>
      <c r="P351" s="7" t="str">
        <f>IFERROR(__xludf.DUMMYFUNCTION("""COMPUTED_VALUE"""),"LĐPT")</f>
        <v>LĐPT</v>
      </c>
      <c r="Q351" s="7" t="str">
        <f>IFERROR(__xludf.DUMMYFUNCTION("""COMPUTED_VALUE"""),"Lao động phổ thông")</f>
        <v>Lao động phổ thông</v>
      </c>
      <c r="R351" s="17">
        <f>IFERROR(__xludf.DUMMYFUNCTION("""COMPUTED_VALUE"""),45951.0)</f>
        <v>45951</v>
      </c>
      <c r="S351" s="7"/>
      <c r="T351" s="7" t="str">
        <f>IFERROR(__xludf.DUMMYFUNCTION("""COMPUTED_VALUE"""),"Thử việc")</f>
        <v>Thử việc</v>
      </c>
      <c r="U351" s="7"/>
      <c r="V351" s="7" t="str">
        <f>IFERROR(__xludf.DUMMYFUNCTION("""COMPUTED_VALUE"""),"Thử việc")</f>
        <v>Thử việc</v>
      </c>
      <c r="W351" s="7" t="str">
        <f>IFERROR(__xludf.DUMMYFUNCTION("""COMPUTED_VALUE"""),"0 năm 2 tháng")</f>
        <v>0 năm 2 tháng</v>
      </c>
      <c r="X351" s="7"/>
      <c r="Y351" s="7"/>
      <c r="Z351" s="7"/>
    </row>
    <row r="352">
      <c r="A352" s="21" t="str">
        <f>IFERROR(__xludf.DUMMYFUNCTION("""COMPUTED_VALUE"""),"1")</f>
        <v>1</v>
      </c>
      <c r="B352" s="7" t="str">
        <f>IFERROR(__xludf.DUMMYFUNCTION("""COMPUTED_VALUE"""),"PXSX1")</f>
        <v>PXSX1</v>
      </c>
      <c r="C352" s="7" t="str">
        <f>IFERROR(__xludf.DUMMYFUNCTION("""COMPUTED_VALUE"""),"Bộ phận nhiên liệu và gia công bán thành phẩm ")</f>
        <v>Bộ phận nhiên liệu và gia công bán thành phẩm </v>
      </c>
      <c r="D352" s="7" t="str">
        <f>IFERROR(__xludf.DUMMYFUNCTION("""COMPUTED_VALUE"""),"Nghiền - Sấy phun Ca B")</f>
        <v>Nghiền - Sấy phun Ca B</v>
      </c>
      <c r="E352" s="7" t="str">
        <f>IFERROR(__xludf.DUMMYFUNCTION("""COMPUTED_VALUE"""),"VH chính than xích mức 1")</f>
        <v>VH chính than xích mức 1</v>
      </c>
      <c r="F352" s="7" t="str">
        <f>IFERROR(__xludf.DUMMYFUNCTION("""COMPUTED_VALUE"""),"NV0278")</f>
        <v>NV0278</v>
      </c>
      <c r="G352" s="7">
        <f>IFERROR(__xludf.DUMMYFUNCTION("""COMPUTED_VALUE"""),346.0)</f>
        <v>346</v>
      </c>
      <c r="H352" s="7" t="str">
        <f>IFERROR(__xludf.DUMMYFUNCTION("""COMPUTED_VALUE"""),"Đỗ Văn Thái")</f>
        <v>Đỗ Văn Thái</v>
      </c>
      <c r="I352" s="7" t="str">
        <f>IFERROR(__xludf.DUMMYFUNCTION("""COMPUTED_VALUE"""),"Nam")</f>
        <v>Nam</v>
      </c>
      <c r="J352" s="17">
        <f>IFERROR(__xludf.DUMMYFUNCTION("""COMPUTED_VALUE"""),25790.0)</f>
        <v>25790</v>
      </c>
      <c r="K352" s="7" t="str">
        <f>IFERROR(__xludf.DUMMYFUNCTION("""COMPUTED_VALUE"""),"Thôn Hàm Ninh - Xã Hoằng Lộc - Tỉnh Thanh Hóa")</f>
        <v>Thôn Hàm Ninh - Xã Hoằng Lộc - Tỉnh Thanh Hóa</v>
      </c>
      <c r="L352" s="7" t="str">
        <f>IFERROR(__xludf.DUMMYFUNCTION("""COMPUTED_VALUE"""),"0968227573")</f>
        <v>0968227573</v>
      </c>
      <c r="M352" s="7" t="str">
        <f>IFERROR(__xludf.DUMMYFUNCTION("""COMPUTED_VALUE"""),"038070016960")</f>
        <v>038070016960</v>
      </c>
      <c r="N352" s="17">
        <f>IFERROR(__xludf.DUMMYFUNCTION("""COMPUTED_VALUE"""),44428.0)</f>
        <v>44428</v>
      </c>
      <c r="O352" s="7" t="str">
        <f>IFERROR(__xludf.DUMMYFUNCTION("""COMPUTED_VALUE"""),"Cục Cảnh sát QLHC về TTXH")</f>
        <v>Cục Cảnh sát QLHC về TTXH</v>
      </c>
      <c r="P352" s="7" t="str">
        <f>IFERROR(__xludf.DUMMYFUNCTION("""COMPUTED_VALUE"""),"LĐPT")</f>
        <v>LĐPT</v>
      </c>
      <c r="Q352" s="7" t="str">
        <f>IFERROR(__xludf.DUMMYFUNCTION("""COMPUTED_VALUE"""),"Lao động phổ thông")</f>
        <v>Lao động phổ thông</v>
      </c>
      <c r="R352" s="17">
        <f>IFERROR(__xludf.DUMMYFUNCTION("""COMPUTED_VALUE"""),39602.0)</f>
        <v>39602</v>
      </c>
      <c r="S352" s="17">
        <f>IFERROR(__xludf.DUMMYFUNCTION("""COMPUTED_VALUE"""),39602.0)</f>
        <v>39602</v>
      </c>
      <c r="T352" s="17" t="str">
        <f>IFERROR(__xludf.DUMMYFUNCTION("""COMPUTED_VALUE"""),"Chính thức")</f>
        <v>Chính thức</v>
      </c>
      <c r="U352" s="7"/>
      <c r="V352" s="7" t="str">
        <f>IFERROR(__xludf.DUMMYFUNCTION("""COMPUTED_VALUE"""),"Nghỉ phép")</f>
        <v>Nghỉ phép</v>
      </c>
      <c r="W352" s="7" t="str">
        <f>IFERROR(__xludf.DUMMYFUNCTION("""COMPUTED_VALUE"""),"17 năm 6 tháng")</f>
        <v>17 năm 6 tháng</v>
      </c>
      <c r="X352" s="7"/>
      <c r="Y352" s="7"/>
      <c r="Z352" s="7"/>
    </row>
    <row r="353">
      <c r="A353" s="21" t="str">
        <f>IFERROR(__xludf.DUMMYFUNCTION("""COMPUTED_VALUE"""),"2")</f>
        <v>2</v>
      </c>
      <c r="B353" s="7" t="str">
        <f>IFERROR(__xludf.DUMMYFUNCTION("""COMPUTED_VALUE"""),"PXSX1")</f>
        <v>PXSX1</v>
      </c>
      <c r="C353" s="7" t="str">
        <f>IFERROR(__xludf.DUMMYFUNCTION("""COMPUTED_VALUE"""),"Bộ phận nhiên liệu và gia công bán thành phẩm ")</f>
        <v>Bộ phận nhiên liệu và gia công bán thành phẩm </v>
      </c>
      <c r="D353" s="7" t="str">
        <f>IFERROR(__xludf.DUMMYFUNCTION("""COMPUTED_VALUE"""),"Nghiền - Sấy phun Ca B")</f>
        <v>Nghiền - Sấy phun Ca B</v>
      </c>
      <c r="E353" s="7" t="str">
        <f>IFERROR(__xludf.DUMMYFUNCTION("""COMPUTED_VALUE"""),"VHC than xích")</f>
        <v>VHC than xích</v>
      </c>
      <c r="F353" s="7" t="str">
        <f>IFERROR(__xludf.DUMMYFUNCTION("""COMPUTED_VALUE"""),"NV0287")</f>
        <v>NV0287</v>
      </c>
      <c r="G353" s="7">
        <f>IFERROR(__xludf.DUMMYFUNCTION("""COMPUTED_VALUE"""),210.0)</f>
        <v>210</v>
      </c>
      <c r="H353" s="7" t="str">
        <f>IFERROR(__xludf.DUMMYFUNCTION("""COMPUTED_VALUE"""),"Trịnh Sỹ Cơ")</f>
        <v>Trịnh Sỹ Cơ</v>
      </c>
      <c r="I353" s="7" t="str">
        <f>IFERROR(__xludf.DUMMYFUNCTION("""COMPUTED_VALUE"""),"Nam")</f>
        <v>Nam</v>
      </c>
      <c r="J353" s="17">
        <f>IFERROR(__xludf.DUMMYFUNCTION("""COMPUTED_VALUE"""),26888.0)</f>
        <v>26888</v>
      </c>
      <c r="K353" s="7" t="str">
        <f>IFERROR(__xludf.DUMMYFUNCTION("""COMPUTED_VALUE"""),"Phường Quàng Phú - Tỉnh Thanh Hóa")</f>
        <v>Phường Quàng Phú - Tỉnh Thanh Hóa</v>
      </c>
      <c r="L353" s="7" t="str">
        <f>IFERROR(__xludf.DUMMYFUNCTION("""COMPUTED_VALUE"""),"0961064856")</f>
        <v>0961064856</v>
      </c>
      <c r="M353" s="7" t="str">
        <f>IFERROR(__xludf.DUMMYFUNCTION("""COMPUTED_VALUE"""),"038073003840")</f>
        <v>038073003840</v>
      </c>
      <c r="N353" s="17">
        <f>IFERROR(__xludf.DUMMYFUNCTION("""COMPUTED_VALUE"""),44320.0)</f>
        <v>44320</v>
      </c>
      <c r="O353" s="7" t="str">
        <f>IFERROR(__xludf.DUMMYFUNCTION("""COMPUTED_VALUE"""),"Cục Cảnh sát QLHC về TTXH")</f>
        <v>Cục Cảnh sát QLHC về TTXH</v>
      </c>
      <c r="P353" s="7" t="str">
        <f>IFERROR(__xludf.DUMMYFUNCTION("""COMPUTED_VALUE"""),"LĐPT")</f>
        <v>LĐPT</v>
      </c>
      <c r="Q353" s="7" t="str">
        <f>IFERROR(__xludf.DUMMYFUNCTION("""COMPUTED_VALUE"""),"Lao động phổ thông")</f>
        <v>Lao động phổ thông</v>
      </c>
      <c r="R353" s="17">
        <f>IFERROR(__xludf.DUMMYFUNCTION("""COMPUTED_VALUE"""),39453.0)</f>
        <v>39453</v>
      </c>
      <c r="S353" s="17">
        <f>IFERROR(__xludf.DUMMYFUNCTION("""COMPUTED_VALUE"""),39453.0)</f>
        <v>39453</v>
      </c>
      <c r="T353" s="17" t="str">
        <f>IFERROR(__xludf.DUMMYFUNCTION("""COMPUTED_VALUE"""),"Chính thức")</f>
        <v>Chính thức</v>
      </c>
      <c r="U353" s="7"/>
      <c r="V353" s="7"/>
      <c r="W353" s="7" t="str">
        <f>IFERROR(__xludf.DUMMYFUNCTION("""COMPUTED_VALUE"""),"17 năm 11 tháng")</f>
        <v>17 năm 11 tháng</v>
      </c>
      <c r="X353" s="7"/>
      <c r="Y353" s="7"/>
      <c r="Z353" s="7"/>
    </row>
    <row r="354">
      <c r="A354" s="21" t="str">
        <f>IFERROR(__xludf.DUMMYFUNCTION("""COMPUTED_VALUE"""),"3")</f>
        <v>3</v>
      </c>
      <c r="B354" s="7" t="str">
        <f>IFERROR(__xludf.DUMMYFUNCTION("""COMPUTED_VALUE"""),"PXSX1")</f>
        <v>PXSX1</v>
      </c>
      <c r="C354" s="7" t="str">
        <f>IFERROR(__xludf.DUMMYFUNCTION("""COMPUTED_VALUE"""),"Bộ phận nhiên liệu và gia công bán thành phẩm ")</f>
        <v>Bộ phận nhiên liệu và gia công bán thành phẩm </v>
      </c>
      <c r="D354" s="7" t="str">
        <f>IFERROR(__xludf.DUMMYFUNCTION("""COMPUTED_VALUE"""),"Nghiền - Sấy phun Ca B")</f>
        <v>Nghiền - Sấy phun Ca B</v>
      </c>
      <c r="E354" s="7" t="str">
        <f>IFERROR(__xludf.DUMMYFUNCTION("""COMPUTED_VALUE"""),"VH chính sấy phun mức 1")</f>
        <v>VH chính sấy phun mức 1</v>
      </c>
      <c r="F354" s="7" t="str">
        <f>IFERROR(__xludf.DUMMYFUNCTION("""COMPUTED_VALUE"""),"NV0282")</f>
        <v>NV0282</v>
      </c>
      <c r="G354" s="7">
        <f>IFERROR(__xludf.DUMMYFUNCTION("""COMPUTED_VALUE"""),283.0)</f>
        <v>283</v>
      </c>
      <c r="H354" s="7" t="str">
        <f>IFERROR(__xludf.DUMMYFUNCTION("""COMPUTED_VALUE"""),"Nguyễn Hữu Kiên")</f>
        <v>Nguyễn Hữu Kiên</v>
      </c>
      <c r="I354" s="7" t="str">
        <f>IFERROR(__xludf.DUMMYFUNCTION("""COMPUTED_VALUE"""),"Nam")</f>
        <v>Nam</v>
      </c>
      <c r="J354" s="17">
        <f>IFERROR(__xludf.DUMMYFUNCTION("""COMPUTED_VALUE"""),27561.0)</f>
        <v>27561</v>
      </c>
      <c r="K354" s="7" t="str">
        <f>IFERROR(__xludf.DUMMYFUNCTION("""COMPUTED_VALUE"""),"Thôn 9 - Phường Quảng Phú - Tỉnh Thanh Hóa")</f>
        <v>Thôn 9 - Phường Quảng Phú - Tỉnh Thanh Hóa</v>
      </c>
      <c r="L354" s="7" t="str">
        <f>IFERROR(__xludf.DUMMYFUNCTION("""COMPUTED_VALUE"""),"0942038066")</f>
        <v>0942038066</v>
      </c>
      <c r="M354" s="7" t="str">
        <f>IFERROR(__xludf.DUMMYFUNCTION("""COMPUTED_VALUE"""),"038075005557")</f>
        <v>038075005557</v>
      </c>
      <c r="N354" s="17">
        <f>IFERROR(__xludf.DUMMYFUNCTION("""COMPUTED_VALUE"""),43048.0)</f>
        <v>43048</v>
      </c>
      <c r="O354" s="7" t="str">
        <f>IFERROR(__xludf.DUMMYFUNCTION("""COMPUTED_VALUE"""),"Cục Cảnh sát QLHC về TTXH")</f>
        <v>Cục Cảnh sát QLHC về TTXH</v>
      </c>
      <c r="P354" s="7" t="str">
        <f>IFERROR(__xludf.DUMMYFUNCTION("""COMPUTED_VALUE"""),"LĐPT")</f>
        <v>LĐPT</v>
      </c>
      <c r="Q354" s="7" t="str">
        <f>IFERROR(__xludf.DUMMYFUNCTION("""COMPUTED_VALUE"""),"Lao động phổ thông")</f>
        <v>Lao động phổ thông</v>
      </c>
      <c r="R354" s="17">
        <f>IFERROR(__xludf.DUMMYFUNCTION("""COMPUTED_VALUE"""),42773.0)</f>
        <v>42773</v>
      </c>
      <c r="S354" s="17">
        <f>IFERROR(__xludf.DUMMYFUNCTION("""COMPUTED_VALUE"""),43252.0)</f>
        <v>43252</v>
      </c>
      <c r="T354" s="17" t="str">
        <f>IFERROR(__xludf.DUMMYFUNCTION("""COMPUTED_VALUE"""),"Chính thức")</f>
        <v>Chính thức</v>
      </c>
      <c r="U354" s="7"/>
      <c r="V354" s="7"/>
      <c r="W354" s="7" t="str">
        <f>IFERROR(__xludf.DUMMYFUNCTION("""COMPUTED_VALUE"""),"8 năm 10 tháng")</f>
        <v>8 năm 10 tháng</v>
      </c>
      <c r="X354" s="7"/>
      <c r="Y354" s="7"/>
      <c r="Z354" s="7"/>
    </row>
    <row r="355">
      <c r="A355" s="21" t="str">
        <f>IFERROR(__xludf.DUMMYFUNCTION("""COMPUTED_VALUE"""),"4")</f>
        <v>4</v>
      </c>
      <c r="B355" s="7" t="str">
        <f>IFERROR(__xludf.DUMMYFUNCTION("""COMPUTED_VALUE"""),"PXSX1")</f>
        <v>PXSX1</v>
      </c>
      <c r="C355" s="7" t="str">
        <f>IFERROR(__xludf.DUMMYFUNCTION("""COMPUTED_VALUE"""),"Bộ phận nhiên liệu và gia công bán thành phẩm ")</f>
        <v>Bộ phận nhiên liệu và gia công bán thành phẩm </v>
      </c>
      <c r="D355" s="7" t="str">
        <f>IFERROR(__xludf.DUMMYFUNCTION("""COMPUTED_VALUE"""),"Nghiền - Sấy phun Ca B")</f>
        <v>Nghiền - Sấy phun Ca B</v>
      </c>
      <c r="E355" s="7" t="str">
        <f>IFERROR(__xludf.DUMMYFUNCTION("""COMPUTED_VALUE"""),"VH Nạp nghiền")</f>
        <v>VH Nạp nghiền</v>
      </c>
      <c r="F355" s="7" t="str">
        <f>IFERROR(__xludf.DUMMYFUNCTION("""COMPUTED_VALUE"""),"NV3527")</f>
        <v>NV3527</v>
      </c>
      <c r="G355" s="7">
        <f>IFERROR(__xludf.DUMMYFUNCTION("""COMPUTED_VALUE"""),320.0)</f>
        <v>320</v>
      </c>
      <c r="H355" s="7" t="str">
        <f>IFERROR(__xludf.DUMMYFUNCTION("""COMPUTED_VALUE"""),"Vũ Đình Trung")</f>
        <v>Vũ Đình Trung</v>
      </c>
      <c r="I355" s="7" t="str">
        <f>IFERROR(__xludf.DUMMYFUNCTION("""COMPUTED_VALUE"""),"Nam")</f>
        <v>Nam</v>
      </c>
      <c r="J355" s="17">
        <f>IFERROR(__xludf.DUMMYFUNCTION("""COMPUTED_VALUE"""),27857.0)</f>
        <v>27857</v>
      </c>
      <c r="K355" s="7" t="str">
        <f>IFERROR(__xludf.DUMMYFUNCTION("""COMPUTED_VALUE"""),"Xã Quảng Yên - Tỉnh Thanh Hóa")</f>
        <v>Xã Quảng Yên - Tỉnh Thanh Hóa</v>
      </c>
      <c r="L355" s="7" t="str">
        <f>IFERROR(__xludf.DUMMYFUNCTION("""COMPUTED_VALUE"""),"0985543812")</f>
        <v>0985543812</v>
      </c>
      <c r="M355" s="7" t="str">
        <f>IFERROR(__xludf.DUMMYFUNCTION("""COMPUTED_VALUE"""),"038076013024")</f>
        <v>038076013024</v>
      </c>
      <c r="N355" s="17">
        <f>IFERROR(__xludf.DUMMYFUNCTION("""COMPUTED_VALUE"""),44375.0)</f>
        <v>44375</v>
      </c>
      <c r="O355" s="7" t="str">
        <f>IFERROR(__xludf.DUMMYFUNCTION("""COMPUTED_VALUE"""),"Cục Cảnh sát QLHC về TTXH")</f>
        <v>Cục Cảnh sát QLHC về TTXH</v>
      </c>
      <c r="P355" s="7" t="str">
        <f>IFERROR(__xludf.DUMMYFUNCTION("""COMPUTED_VALUE"""),"LĐPT")</f>
        <v>LĐPT</v>
      </c>
      <c r="Q355" s="7" t="str">
        <f>IFERROR(__xludf.DUMMYFUNCTION("""COMPUTED_VALUE"""),"Lao động phổ thông")</f>
        <v>Lao động phổ thông</v>
      </c>
      <c r="R355" s="17">
        <f>IFERROR(__xludf.DUMMYFUNCTION("""COMPUTED_VALUE"""),44271.0)</f>
        <v>44271</v>
      </c>
      <c r="S355" s="17">
        <f>IFERROR(__xludf.DUMMYFUNCTION("""COMPUTED_VALUE"""),44562.0)</f>
        <v>44562</v>
      </c>
      <c r="T355" s="17" t="str">
        <f>IFERROR(__xludf.DUMMYFUNCTION("""COMPUTED_VALUE"""),"Chính thức")</f>
        <v>Chính thức</v>
      </c>
      <c r="U355" s="7"/>
      <c r="V355" s="7"/>
      <c r="W355" s="7" t="str">
        <f>IFERROR(__xludf.DUMMYFUNCTION("""COMPUTED_VALUE"""),"4 năm 9 tháng")</f>
        <v>4 năm 9 tháng</v>
      </c>
      <c r="X355" s="7"/>
      <c r="Y355" s="7"/>
      <c r="Z355" s="7"/>
    </row>
    <row r="356">
      <c r="A356" s="21" t="str">
        <f>IFERROR(__xludf.DUMMYFUNCTION("""COMPUTED_VALUE"""),"5")</f>
        <v>5</v>
      </c>
      <c r="B356" s="7" t="str">
        <f>IFERROR(__xludf.DUMMYFUNCTION("""COMPUTED_VALUE"""),"PXSX1")</f>
        <v>PXSX1</v>
      </c>
      <c r="C356" s="7" t="str">
        <f>IFERROR(__xludf.DUMMYFUNCTION("""COMPUTED_VALUE"""),"Bộ phận nhiên liệu và gia công bán thành phẩm ")</f>
        <v>Bộ phận nhiên liệu và gia công bán thành phẩm </v>
      </c>
      <c r="D356" s="7" t="str">
        <f>IFERROR(__xludf.DUMMYFUNCTION("""COMPUTED_VALUE"""),"Nghiền - Sấy phun Ca B")</f>
        <v>Nghiền - Sấy phun Ca B</v>
      </c>
      <c r="E356" s="7" t="str">
        <f>IFERROR(__xludf.DUMMYFUNCTION("""COMPUTED_VALUE"""),"Công nhân nạp -  nghiền")</f>
        <v>Công nhân nạp -  nghiền</v>
      </c>
      <c r="F356" s="7" t="str">
        <f>IFERROR(__xludf.DUMMYFUNCTION("""COMPUTED_VALUE"""),"NV1486")</f>
        <v>NV1486</v>
      </c>
      <c r="G356" s="7">
        <f>IFERROR(__xludf.DUMMYFUNCTION("""COMPUTED_VALUE"""),291.0)</f>
        <v>291</v>
      </c>
      <c r="H356" s="7" t="str">
        <f>IFERROR(__xludf.DUMMYFUNCTION("""COMPUTED_VALUE"""),"Đoàn Công Thiệu")</f>
        <v>Đoàn Công Thiệu</v>
      </c>
      <c r="I356" s="7" t="str">
        <f>IFERROR(__xludf.DUMMYFUNCTION("""COMPUTED_VALUE"""),"Nam")</f>
        <v>Nam</v>
      </c>
      <c r="J356" s="17">
        <f>IFERROR(__xludf.DUMMYFUNCTION("""COMPUTED_VALUE"""),27921.0)</f>
        <v>27921</v>
      </c>
      <c r="K356" s="7" t="str">
        <f>IFERROR(__xludf.DUMMYFUNCTION("""COMPUTED_VALUE"""),"Thôn 2 - Xã Quảng Ninh - Tỉnh Thanh Hóa")</f>
        <v>Thôn 2 - Xã Quảng Ninh - Tỉnh Thanh Hóa</v>
      </c>
      <c r="L356" s="7" t="str">
        <f>IFERROR(__xludf.DUMMYFUNCTION("""COMPUTED_VALUE"""),"0327486319")</f>
        <v>0327486319</v>
      </c>
      <c r="M356" s="7" t="str">
        <f>IFERROR(__xludf.DUMMYFUNCTION("""COMPUTED_VALUE"""),"038076000769")</f>
        <v>038076000769</v>
      </c>
      <c r="N356" s="17">
        <f>IFERROR(__xludf.DUMMYFUNCTION("""COMPUTED_VALUE"""),42533.0)</f>
        <v>42533</v>
      </c>
      <c r="O356" s="7" t="str">
        <f>IFERROR(__xludf.DUMMYFUNCTION("""COMPUTED_VALUE"""),"Cục Cảnh sát QLHC về TTXH")</f>
        <v>Cục Cảnh sát QLHC về TTXH</v>
      </c>
      <c r="P356" s="7" t="str">
        <f>IFERROR(__xludf.DUMMYFUNCTION("""COMPUTED_VALUE"""),"LĐPT")</f>
        <v>LĐPT</v>
      </c>
      <c r="Q356" s="7" t="str">
        <f>IFERROR(__xludf.DUMMYFUNCTION("""COMPUTED_VALUE"""),"Lao động phổ thông")</f>
        <v>Lao động phổ thông</v>
      </c>
      <c r="R356" s="17">
        <f>IFERROR(__xludf.DUMMYFUNCTION("""COMPUTED_VALUE"""),45800.0)</f>
        <v>45800</v>
      </c>
      <c r="S356" s="7"/>
      <c r="T356" s="17" t="str">
        <f>IFERROR(__xludf.DUMMYFUNCTION("""COMPUTED_VALUE"""),"Chính thức")</f>
        <v>Chính thức</v>
      </c>
      <c r="U356" s="7"/>
      <c r="V356" s="7"/>
      <c r="W356" s="7" t="str">
        <f>IFERROR(__xludf.DUMMYFUNCTION("""COMPUTED_VALUE"""),"0 năm 7 tháng")</f>
        <v>0 năm 7 tháng</v>
      </c>
      <c r="X356" s="7"/>
      <c r="Y356" s="7"/>
      <c r="Z356" s="7"/>
    </row>
    <row r="357">
      <c r="A357" s="21" t="str">
        <f>IFERROR(__xludf.DUMMYFUNCTION("""COMPUTED_VALUE"""),"6")</f>
        <v>6</v>
      </c>
      <c r="B357" s="7" t="str">
        <f>IFERROR(__xludf.DUMMYFUNCTION("""COMPUTED_VALUE"""),"PXSX1")</f>
        <v>PXSX1</v>
      </c>
      <c r="C357" s="7" t="str">
        <f>IFERROR(__xludf.DUMMYFUNCTION("""COMPUTED_VALUE"""),"Bộ phận nhiên liệu và gia công bán thành phẩm ")</f>
        <v>Bộ phận nhiên liệu và gia công bán thành phẩm </v>
      </c>
      <c r="D357" s="7" t="str">
        <f>IFERROR(__xludf.DUMMYFUNCTION("""COMPUTED_VALUE"""),"Nghiền - Sấy phun Ca B")</f>
        <v>Nghiền - Sấy phun Ca B</v>
      </c>
      <c r="E357" s="7" t="str">
        <f>IFERROR(__xludf.DUMMYFUNCTION("""COMPUTED_VALUE"""),"VH chính sấy phun mức 1")</f>
        <v>VH chính sấy phun mức 1</v>
      </c>
      <c r="F357" s="7" t="str">
        <f>IFERROR(__xludf.DUMMYFUNCTION("""COMPUTED_VALUE"""),"NV1697")</f>
        <v>NV1697</v>
      </c>
      <c r="G357" s="7">
        <f>IFERROR(__xludf.DUMMYFUNCTION("""COMPUTED_VALUE"""),308.0)</f>
        <v>308</v>
      </c>
      <c r="H357" s="7" t="str">
        <f>IFERROR(__xludf.DUMMYFUNCTION("""COMPUTED_VALUE"""),"Đỗ Ngọc Vui")</f>
        <v>Đỗ Ngọc Vui</v>
      </c>
      <c r="I357" s="7" t="str">
        <f>IFERROR(__xludf.DUMMYFUNCTION("""COMPUTED_VALUE"""),"Nam")</f>
        <v>Nam</v>
      </c>
      <c r="J357" s="17">
        <f>IFERROR(__xludf.DUMMYFUNCTION("""COMPUTED_VALUE"""),27960.0)</f>
        <v>27960</v>
      </c>
      <c r="K357" s="7" t="str">
        <f>IFERROR(__xludf.DUMMYFUNCTION("""COMPUTED_VALUE"""),"Thôn Gia Lộc - Phường Quảng Phú - Tỉnh Thanh Hóa")</f>
        <v>Thôn Gia Lộc - Phường Quảng Phú - Tỉnh Thanh Hóa</v>
      </c>
      <c r="L357" s="7" t="str">
        <f>IFERROR(__xludf.DUMMYFUNCTION("""COMPUTED_VALUE"""),"0374052325")</f>
        <v>0374052325</v>
      </c>
      <c r="M357" s="7" t="str">
        <f>IFERROR(__xludf.DUMMYFUNCTION("""COMPUTED_VALUE"""),"038076002489")</f>
        <v>038076002489</v>
      </c>
      <c r="N357" s="17">
        <f>IFERROR(__xludf.DUMMYFUNCTION("""COMPUTED_VALUE"""),44418.0)</f>
        <v>44418</v>
      </c>
      <c r="O357" s="7" t="str">
        <f>IFERROR(__xludf.DUMMYFUNCTION("""COMPUTED_VALUE"""),"Cục Cảnh sát QLHC về TTXH")</f>
        <v>Cục Cảnh sát QLHC về TTXH</v>
      </c>
      <c r="P357" s="7" t="str">
        <f>IFERROR(__xludf.DUMMYFUNCTION("""COMPUTED_VALUE"""),"LĐPT")</f>
        <v>LĐPT</v>
      </c>
      <c r="Q357" s="7" t="str">
        <f>IFERROR(__xludf.DUMMYFUNCTION("""COMPUTED_VALUE"""),"Lao động phổ thông")</f>
        <v>Lao động phổ thông</v>
      </c>
      <c r="R357" s="17">
        <f>IFERROR(__xludf.DUMMYFUNCTION("""COMPUTED_VALUE"""),43340.0)</f>
        <v>43340</v>
      </c>
      <c r="S357" s="17">
        <f>IFERROR(__xludf.DUMMYFUNCTION("""COMPUTED_VALUE"""),43678.0)</f>
        <v>43678</v>
      </c>
      <c r="T357" s="17" t="str">
        <f>IFERROR(__xludf.DUMMYFUNCTION("""COMPUTED_VALUE"""),"Chính thức")</f>
        <v>Chính thức</v>
      </c>
      <c r="U357" s="7"/>
      <c r="V357" s="7"/>
      <c r="W357" s="7" t="str">
        <f>IFERROR(__xludf.DUMMYFUNCTION("""COMPUTED_VALUE"""),"7 năm 4 tháng")</f>
        <v>7 năm 4 tháng</v>
      </c>
      <c r="X357" s="7"/>
      <c r="Y357" s="7"/>
      <c r="Z357" s="7"/>
    </row>
    <row r="358">
      <c r="A358" s="21" t="str">
        <f>IFERROR(__xludf.DUMMYFUNCTION("""COMPUTED_VALUE"""),"7")</f>
        <v>7</v>
      </c>
      <c r="B358" s="7" t="str">
        <f>IFERROR(__xludf.DUMMYFUNCTION("""COMPUTED_VALUE"""),"PXSX1")</f>
        <v>PXSX1</v>
      </c>
      <c r="C358" s="7" t="str">
        <f>IFERROR(__xludf.DUMMYFUNCTION("""COMPUTED_VALUE"""),"Bộ phận nhiên liệu và gia công bán thành phẩm ")</f>
        <v>Bộ phận nhiên liệu và gia công bán thành phẩm </v>
      </c>
      <c r="D358" s="7" t="str">
        <f>IFERROR(__xludf.DUMMYFUNCTION("""COMPUTED_VALUE"""),"Nghiền - Sấy phun Ca B")</f>
        <v>Nghiền - Sấy phun Ca B</v>
      </c>
      <c r="E358" s="7" t="str">
        <f>IFERROR(__xludf.DUMMYFUNCTION("""COMPUTED_VALUE"""),"Nhóm trưởng nghiền")</f>
        <v>Nhóm trưởng nghiền</v>
      </c>
      <c r="F358" s="7" t="str">
        <f>IFERROR(__xludf.DUMMYFUNCTION("""COMPUTED_VALUE"""),"NV1214")</f>
        <v>NV1214</v>
      </c>
      <c r="G358" s="7">
        <f>IFERROR(__xludf.DUMMYFUNCTION("""COMPUTED_VALUE"""),479.0)</f>
        <v>479</v>
      </c>
      <c r="H358" s="7" t="str">
        <f>IFERROR(__xludf.DUMMYFUNCTION("""COMPUTED_VALUE"""),"Nguyễn Trọng Quyền ")</f>
        <v>Nguyễn Trọng Quyền </v>
      </c>
      <c r="I358" s="7" t="str">
        <f>IFERROR(__xludf.DUMMYFUNCTION("""COMPUTED_VALUE"""),"Nam")</f>
        <v>Nam</v>
      </c>
      <c r="J358" s="17">
        <f>IFERROR(__xludf.DUMMYFUNCTION("""COMPUTED_VALUE"""),30821.0)</f>
        <v>30821</v>
      </c>
      <c r="K358" s="7" t="str">
        <f>IFERROR(__xludf.DUMMYFUNCTION("""COMPUTED_VALUE"""),"Phường Quảng Phú - Tỉnh Thanh Hóa ")</f>
        <v>Phường Quảng Phú - Tỉnh Thanh Hóa </v>
      </c>
      <c r="L358" s="7" t="str">
        <f>IFERROR(__xludf.DUMMYFUNCTION("""COMPUTED_VALUE"""),"0962386076")</f>
        <v>0962386076</v>
      </c>
      <c r="M358" s="7" t="str">
        <f>IFERROR(__xludf.DUMMYFUNCTION("""COMPUTED_VALUE"""),"038084006690")</f>
        <v>038084006690</v>
      </c>
      <c r="N358" s="17">
        <f>IFERROR(__xludf.DUMMYFUNCTION("""COMPUTED_VALUE"""),44467.0)</f>
        <v>44467</v>
      </c>
      <c r="O358" s="7" t="str">
        <f>IFERROR(__xludf.DUMMYFUNCTION("""COMPUTED_VALUE"""),"Cục Cảnh sát QLHC về TTXH")</f>
        <v>Cục Cảnh sát QLHC về TTXH</v>
      </c>
      <c r="P358" s="7" t="str">
        <f>IFERROR(__xludf.DUMMYFUNCTION("""COMPUTED_VALUE"""),"LĐPT")</f>
        <v>LĐPT</v>
      </c>
      <c r="Q358" s="7" t="str">
        <f>IFERROR(__xludf.DUMMYFUNCTION("""COMPUTED_VALUE"""),"Lao động phổ thông")</f>
        <v>Lao động phổ thông</v>
      </c>
      <c r="R358" s="17">
        <f>IFERROR(__xludf.DUMMYFUNCTION("""COMPUTED_VALUE"""),43164.0)</f>
        <v>43164</v>
      </c>
      <c r="S358" s="17">
        <f>IFERROR(__xludf.DUMMYFUNCTION("""COMPUTED_VALUE"""),45444.0)</f>
        <v>45444</v>
      </c>
      <c r="T358" s="17" t="str">
        <f>IFERROR(__xludf.DUMMYFUNCTION("""COMPUTED_VALUE"""),"Chính thức")</f>
        <v>Chính thức</v>
      </c>
      <c r="U358" s="7"/>
      <c r="V358" s="7"/>
      <c r="W358" s="7" t="str">
        <f>IFERROR(__xludf.DUMMYFUNCTION("""COMPUTED_VALUE"""),"7 năm 9 tháng")</f>
        <v>7 năm 9 tháng</v>
      </c>
      <c r="X358" s="7"/>
      <c r="Y358" s="7"/>
      <c r="Z358" s="7"/>
    </row>
    <row r="359">
      <c r="A359" s="21" t="str">
        <f>IFERROR(__xludf.DUMMYFUNCTION("""COMPUTED_VALUE"""),"8")</f>
        <v>8</v>
      </c>
      <c r="B359" s="7" t="str">
        <f>IFERROR(__xludf.DUMMYFUNCTION("""COMPUTED_VALUE"""),"PXSX1")</f>
        <v>PXSX1</v>
      </c>
      <c r="C359" s="7" t="str">
        <f>IFERROR(__xludf.DUMMYFUNCTION("""COMPUTED_VALUE"""),"Bộ phận nhiên liệu và gia công bán thành phẩm ")</f>
        <v>Bộ phận nhiên liệu và gia công bán thành phẩm </v>
      </c>
      <c r="D359" s="7" t="str">
        <f>IFERROR(__xludf.DUMMYFUNCTION("""COMPUTED_VALUE"""),"Nghiền - Sấy phun Ca B")</f>
        <v>Nghiền - Sấy phun Ca B</v>
      </c>
      <c r="E359" s="7" t="str">
        <f>IFERROR(__xludf.DUMMYFUNCTION("""COMPUTED_VALUE"""),"VHC than xích")</f>
        <v>VHC than xích</v>
      </c>
      <c r="F359" s="7" t="str">
        <f>IFERROR(__xludf.DUMMYFUNCTION("""COMPUTED_VALUE"""),"NV2085")</f>
        <v>NV2085</v>
      </c>
      <c r="G359" s="7">
        <f>IFERROR(__xludf.DUMMYFUNCTION("""COMPUTED_VALUE"""),774.0)</f>
        <v>774</v>
      </c>
      <c r="H359" s="7" t="str">
        <f>IFERROR(__xludf.DUMMYFUNCTION("""COMPUTED_VALUE"""),"Bùi Khắc Toàn")</f>
        <v>Bùi Khắc Toàn</v>
      </c>
      <c r="I359" s="7" t="str">
        <f>IFERROR(__xludf.DUMMYFUNCTION("""COMPUTED_VALUE"""),"Nam")</f>
        <v>Nam</v>
      </c>
      <c r="J359" s="17">
        <f>IFERROR(__xludf.DUMMYFUNCTION("""COMPUTED_VALUE"""),31159.0)</f>
        <v>31159</v>
      </c>
      <c r="K359" s="7" t="str">
        <f>IFERROR(__xludf.DUMMYFUNCTION("""COMPUTED_VALUE"""),"Thôn 6 - Xã Hoằng Lộc - Tỉnh Thanh Hóa")</f>
        <v>Thôn 6 - Xã Hoằng Lộc - Tỉnh Thanh Hóa</v>
      </c>
      <c r="L359" s="7" t="str">
        <f>IFERROR(__xludf.DUMMYFUNCTION("""COMPUTED_VALUE"""),"0911998818")</f>
        <v>0911998818</v>
      </c>
      <c r="M359" s="7" t="str">
        <f>IFERROR(__xludf.DUMMYFUNCTION("""COMPUTED_VALUE"""),"038085008001")</f>
        <v>038085008001</v>
      </c>
      <c r="N359" s="17">
        <f>IFERROR(__xludf.DUMMYFUNCTION("""COMPUTED_VALUE"""),42937.0)</f>
        <v>42937</v>
      </c>
      <c r="O359" s="7" t="str">
        <f>IFERROR(__xludf.DUMMYFUNCTION("""COMPUTED_VALUE"""),"Cục Cảnh sát QLHC về TTXH")</f>
        <v>Cục Cảnh sát QLHC về TTXH</v>
      </c>
      <c r="P359" s="7" t="str">
        <f>IFERROR(__xludf.DUMMYFUNCTION("""COMPUTED_VALUE"""),"LĐPT")</f>
        <v>LĐPT</v>
      </c>
      <c r="Q359" s="7" t="str">
        <f>IFERROR(__xludf.DUMMYFUNCTION("""COMPUTED_VALUE"""),"Lao động phổ thông")</f>
        <v>Lao động phổ thông</v>
      </c>
      <c r="R359" s="17">
        <f>IFERROR(__xludf.DUMMYFUNCTION("""COMPUTED_VALUE"""),43426.0)</f>
        <v>43426</v>
      </c>
      <c r="S359" s="17">
        <f>IFERROR(__xludf.DUMMYFUNCTION("""COMPUTED_VALUE"""),43739.0)</f>
        <v>43739</v>
      </c>
      <c r="T359" s="17" t="str">
        <f>IFERROR(__xludf.DUMMYFUNCTION("""COMPUTED_VALUE"""),"Chính thức")</f>
        <v>Chính thức</v>
      </c>
      <c r="U359" s="7"/>
      <c r="V359" s="7"/>
      <c r="W359" s="7" t="str">
        <f>IFERROR(__xludf.DUMMYFUNCTION("""COMPUTED_VALUE"""),"7 năm 1 tháng")</f>
        <v>7 năm 1 tháng</v>
      </c>
      <c r="X359" s="7"/>
      <c r="Y359" s="7"/>
      <c r="Z359" s="7"/>
    </row>
    <row r="360">
      <c r="A360" s="21" t="str">
        <f>IFERROR(__xludf.DUMMYFUNCTION("""COMPUTED_VALUE"""),"9")</f>
        <v>9</v>
      </c>
      <c r="B360" s="7" t="str">
        <f>IFERROR(__xludf.DUMMYFUNCTION("""COMPUTED_VALUE"""),"PXSX1")</f>
        <v>PXSX1</v>
      </c>
      <c r="C360" s="7" t="str">
        <f>IFERROR(__xludf.DUMMYFUNCTION("""COMPUTED_VALUE"""),"Bộ phận nhiên liệu và gia công bán thành phẩm ")</f>
        <v>Bộ phận nhiên liệu và gia công bán thành phẩm </v>
      </c>
      <c r="D360" s="7" t="str">
        <f>IFERROR(__xludf.DUMMYFUNCTION("""COMPUTED_VALUE"""),"Nghiền - Sấy phun Ca B")</f>
        <v>Nghiền - Sấy phun Ca B</v>
      </c>
      <c r="E360" s="7" t="str">
        <f>IFERROR(__xludf.DUMMYFUNCTION("""COMPUTED_VALUE"""),"Tổ trưởng")</f>
        <v>Tổ trưởng</v>
      </c>
      <c r="F360" s="7" t="str">
        <f>IFERROR(__xludf.DUMMYFUNCTION("""COMPUTED_VALUE"""),"NV0293")</f>
        <v>NV0293</v>
      </c>
      <c r="G360" s="7">
        <f>IFERROR(__xludf.DUMMYFUNCTION("""COMPUTED_VALUE"""),309.0)</f>
        <v>309</v>
      </c>
      <c r="H360" s="7" t="str">
        <f>IFERROR(__xludf.DUMMYFUNCTION("""COMPUTED_VALUE"""),"Trịnh Xuân Mong")</f>
        <v>Trịnh Xuân Mong</v>
      </c>
      <c r="I360" s="7" t="str">
        <f>IFERROR(__xludf.DUMMYFUNCTION("""COMPUTED_VALUE"""),"Nam")</f>
        <v>Nam</v>
      </c>
      <c r="J360" s="17">
        <f>IFERROR(__xludf.DUMMYFUNCTION("""COMPUTED_VALUE"""),32969.0)</f>
        <v>32969</v>
      </c>
      <c r="K360" s="7" t="str">
        <f>IFERROR(__xludf.DUMMYFUNCTION("""COMPUTED_VALUE"""),"Phố Đồng Lễ - Phường Hạc Thành - Tỉnh Thanh Hóa")</f>
        <v>Phố Đồng Lễ - Phường Hạc Thành - Tỉnh Thanh Hóa</v>
      </c>
      <c r="L360" s="7" t="str">
        <f>IFERROR(__xludf.DUMMYFUNCTION("""COMPUTED_VALUE"""),"0346737908")</f>
        <v>0346737908</v>
      </c>
      <c r="M360" s="7" t="str">
        <f>IFERROR(__xludf.DUMMYFUNCTION("""COMPUTED_VALUE"""),"038090012508")</f>
        <v>038090012508</v>
      </c>
      <c r="N360" s="17">
        <f>IFERROR(__xludf.DUMMYFUNCTION("""COMPUTED_VALUE"""),44358.0)</f>
        <v>44358</v>
      </c>
      <c r="O360" s="7" t="str">
        <f>IFERROR(__xludf.DUMMYFUNCTION("""COMPUTED_VALUE"""),"Cục Cảnh sát QLHC về TTXH")</f>
        <v>Cục Cảnh sát QLHC về TTXH</v>
      </c>
      <c r="P360" s="7" t="str">
        <f>IFERROR(__xludf.DUMMYFUNCTION("""COMPUTED_VALUE"""),"LĐPT")</f>
        <v>LĐPT</v>
      </c>
      <c r="Q360" s="7" t="str">
        <f>IFERROR(__xludf.DUMMYFUNCTION("""COMPUTED_VALUE"""),"Lao động phổ thông")</f>
        <v>Lao động phổ thông</v>
      </c>
      <c r="R360" s="17">
        <f>IFERROR(__xludf.DUMMYFUNCTION("""COMPUTED_VALUE"""),40422.0)</f>
        <v>40422</v>
      </c>
      <c r="S360" s="17">
        <f>IFERROR(__xludf.DUMMYFUNCTION("""COMPUTED_VALUE"""),40422.0)</f>
        <v>40422</v>
      </c>
      <c r="T360" s="17" t="str">
        <f>IFERROR(__xludf.DUMMYFUNCTION("""COMPUTED_VALUE"""),"Chính thức")</f>
        <v>Chính thức</v>
      </c>
      <c r="U360" s="7"/>
      <c r="V360" s="7"/>
      <c r="W360" s="7" t="str">
        <f>IFERROR(__xludf.DUMMYFUNCTION("""COMPUTED_VALUE"""),"15 năm 3 tháng")</f>
        <v>15 năm 3 tháng</v>
      </c>
      <c r="X360" s="7"/>
      <c r="Y360" s="7"/>
      <c r="Z360" s="7"/>
    </row>
    <row r="361">
      <c r="A361" s="21" t="str">
        <f>IFERROR(__xludf.DUMMYFUNCTION("""COMPUTED_VALUE"""),"10")</f>
        <v>10</v>
      </c>
      <c r="B361" s="7" t="str">
        <f>IFERROR(__xludf.DUMMYFUNCTION("""COMPUTED_VALUE"""),"PXSX1")</f>
        <v>PXSX1</v>
      </c>
      <c r="C361" s="7" t="str">
        <f>IFERROR(__xludf.DUMMYFUNCTION("""COMPUTED_VALUE"""),"Bộ phận nhiên liệu và gia công bán thành phẩm ")</f>
        <v>Bộ phận nhiên liệu và gia công bán thành phẩm </v>
      </c>
      <c r="D361" s="7" t="str">
        <f>IFERROR(__xludf.DUMMYFUNCTION("""COMPUTED_VALUE"""),"Nghiền - Sấy phun Ca B")</f>
        <v>Nghiền - Sấy phun Ca B</v>
      </c>
      <c r="E361" s="7" t="str">
        <f>IFERROR(__xludf.DUMMYFUNCTION("""COMPUTED_VALUE"""),"VH chính sấy phun mức 2")</f>
        <v>VH chính sấy phun mức 2</v>
      </c>
      <c r="F361" s="7" t="str">
        <f>IFERROR(__xludf.DUMMYFUNCTION("""COMPUTED_VALUE"""),"NV1108")</f>
        <v>NV1108</v>
      </c>
      <c r="G361" s="7">
        <f>IFERROR(__xludf.DUMMYFUNCTION("""COMPUTED_VALUE"""),215.0)</f>
        <v>215</v>
      </c>
      <c r="H361" s="7" t="str">
        <f>IFERROR(__xludf.DUMMYFUNCTION("""COMPUTED_VALUE"""),"Mai Trọng Ninh")</f>
        <v>Mai Trọng Ninh</v>
      </c>
      <c r="I361" s="7" t="str">
        <f>IFERROR(__xludf.DUMMYFUNCTION("""COMPUTED_VALUE"""),"Nam")</f>
        <v>Nam</v>
      </c>
      <c r="J361" s="17">
        <f>IFERROR(__xludf.DUMMYFUNCTION("""COMPUTED_VALUE"""),31849.0)</f>
        <v>31849</v>
      </c>
      <c r="K361" s="7" t="str">
        <f>IFERROR(__xludf.DUMMYFUNCTION("""COMPUTED_VALUE"""),"Phố 5 - Phường Quảng Phú - Tỉnh Thanh Hóa")</f>
        <v>Phố 5 - Phường Quảng Phú - Tỉnh Thanh Hóa</v>
      </c>
      <c r="L361" s="7" t="str">
        <f>IFERROR(__xludf.DUMMYFUNCTION("""COMPUTED_VALUE"""),"981279523")</f>
        <v>981279523</v>
      </c>
      <c r="M361" s="7" t="str">
        <f>IFERROR(__xludf.DUMMYFUNCTION("""COMPUTED_VALUE"""),"038087022104")</f>
        <v>038087022104</v>
      </c>
      <c r="N361" s="17">
        <f>IFERROR(__xludf.DUMMYFUNCTION("""COMPUTED_VALUE"""),44313.0)</f>
        <v>44313</v>
      </c>
      <c r="O361" s="7" t="str">
        <f>IFERROR(__xludf.DUMMYFUNCTION("""COMPUTED_VALUE"""),"Cục Cảnh sát QLHC về TTXH")</f>
        <v>Cục Cảnh sát QLHC về TTXH</v>
      </c>
      <c r="P361" s="7" t="str">
        <f>IFERROR(__xludf.DUMMYFUNCTION("""COMPUTED_VALUE"""),"LĐPT")</f>
        <v>LĐPT</v>
      </c>
      <c r="Q361" s="7" t="str">
        <f>IFERROR(__xludf.DUMMYFUNCTION("""COMPUTED_VALUE"""),"Lao động phổ thông")</f>
        <v>Lao động phổ thông</v>
      </c>
      <c r="R361" s="17">
        <f>IFERROR(__xludf.DUMMYFUNCTION("""COMPUTED_VALUE"""),44810.0)</f>
        <v>44810</v>
      </c>
      <c r="S361" s="17">
        <f>IFERROR(__xludf.DUMMYFUNCTION("""COMPUTED_VALUE"""),45474.0)</f>
        <v>45474</v>
      </c>
      <c r="T361" s="17" t="str">
        <f>IFERROR(__xludf.DUMMYFUNCTION("""COMPUTED_VALUE"""),"Chính thức")</f>
        <v>Chính thức</v>
      </c>
      <c r="U361" s="7"/>
      <c r="V361" s="7"/>
      <c r="W361" s="7" t="str">
        <f>IFERROR(__xludf.DUMMYFUNCTION("""COMPUTED_VALUE"""),"3 năm 3 tháng")</f>
        <v>3 năm 3 tháng</v>
      </c>
      <c r="X361" s="7"/>
      <c r="Y361" s="7"/>
      <c r="Z361" s="7"/>
    </row>
    <row r="362">
      <c r="A362" s="21" t="str">
        <f>IFERROR(__xludf.DUMMYFUNCTION("""COMPUTED_VALUE"""),"11")</f>
        <v>11</v>
      </c>
      <c r="B362" s="7" t="str">
        <f>IFERROR(__xludf.DUMMYFUNCTION("""COMPUTED_VALUE"""),"PXSX1")</f>
        <v>PXSX1</v>
      </c>
      <c r="C362" s="7" t="str">
        <f>IFERROR(__xludf.DUMMYFUNCTION("""COMPUTED_VALUE"""),"Bộ phận nhiên liệu và gia công bán thành phẩm ")</f>
        <v>Bộ phận nhiên liệu và gia công bán thành phẩm </v>
      </c>
      <c r="D362" s="7" t="str">
        <f>IFERROR(__xludf.DUMMYFUNCTION("""COMPUTED_VALUE"""),"Nghiền - Sấy phun Ca B")</f>
        <v>Nghiền - Sấy phun Ca B</v>
      </c>
      <c r="E362" s="7" t="str">
        <f>IFERROR(__xludf.DUMMYFUNCTION("""COMPUTED_VALUE"""),"Bảo trì lò DC1")</f>
        <v>Bảo trì lò DC1</v>
      </c>
      <c r="F362" s="7" t="str">
        <f>IFERROR(__xludf.DUMMYFUNCTION("""COMPUTED_VALUE"""),"NV5770")</f>
        <v>NV5770</v>
      </c>
      <c r="G362" s="7">
        <f>IFERROR(__xludf.DUMMYFUNCTION("""COMPUTED_VALUE"""),1251.0)</f>
        <v>1251</v>
      </c>
      <c r="H362" s="7" t="str">
        <f>IFERROR(__xludf.DUMMYFUNCTION("""COMPUTED_VALUE"""),"Đỗ Văn Tính")</f>
        <v>Đỗ Văn Tính</v>
      </c>
      <c r="I362" s="7" t="str">
        <f>IFERROR(__xludf.DUMMYFUNCTION("""COMPUTED_VALUE"""),"Nam")</f>
        <v>Nam</v>
      </c>
      <c r="J362" s="17">
        <f>IFERROR(__xludf.DUMMYFUNCTION("""COMPUTED_VALUE"""),25121.0)</f>
        <v>25121</v>
      </c>
      <c r="K362" s="7" t="str">
        <f>IFERROR(__xludf.DUMMYFUNCTION("""COMPUTED_VALUE"""),"Thôn Đạt Tiến 2 -  Xã Thắng Lợi -  Tỉnh Thanh Hóa")</f>
        <v>Thôn Đạt Tiến 2 -  Xã Thắng Lợi -  Tỉnh Thanh Hóa</v>
      </c>
      <c r="L362" s="7" t="str">
        <f>IFERROR(__xludf.DUMMYFUNCTION("""COMPUTED_VALUE"""),"0358431163")</f>
        <v>0358431163</v>
      </c>
      <c r="M362" s="7" t="str">
        <f>IFERROR(__xludf.DUMMYFUNCTION("""COMPUTED_VALUE"""),"038068043829")</f>
        <v>038068043829</v>
      </c>
      <c r="N362" s="17">
        <f>IFERROR(__xludf.DUMMYFUNCTION("""COMPUTED_VALUE"""),44423.0)</f>
        <v>44423</v>
      </c>
      <c r="O362" s="7" t="str">
        <f>IFERROR(__xludf.DUMMYFUNCTION("""COMPUTED_VALUE"""),"Cục Cảnh sát QLHC về TTXH")</f>
        <v>Cục Cảnh sát QLHC về TTXH</v>
      </c>
      <c r="P362" s="7" t="str">
        <f>IFERROR(__xludf.DUMMYFUNCTION("""COMPUTED_VALUE"""),"LĐPT")</f>
        <v>LĐPT</v>
      </c>
      <c r="Q362" s="7" t="str">
        <f>IFERROR(__xludf.DUMMYFUNCTION("""COMPUTED_VALUE"""),"Lao động phổ thông")</f>
        <v>Lao động phổ thông</v>
      </c>
      <c r="R362" s="17">
        <f>IFERROR(__xludf.DUMMYFUNCTION("""COMPUTED_VALUE"""),45951.0)</f>
        <v>45951</v>
      </c>
      <c r="S362" s="7"/>
      <c r="T362" s="17" t="str">
        <f>IFERROR(__xludf.DUMMYFUNCTION("""COMPUTED_VALUE"""),"Thử việc")</f>
        <v>Thử việc</v>
      </c>
      <c r="U362" s="7"/>
      <c r="V362" s="7" t="str">
        <f>IFERROR(__xludf.DUMMYFUNCTION("""COMPUTED_VALUE"""),"Thử việc")</f>
        <v>Thử việc</v>
      </c>
      <c r="W362" s="7" t="str">
        <f>IFERROR(__xludf.DUMMYFUNCTION("""COMPUTED_VALUE"""),"0 năm 2 tháng")</f>
        <v>0 năm 2 tháng</v>
      </c>
      <c r="X362" s="7"/>
      <c r="Y362" s="7"/>
      <c r="Z362" s="7"/>
    </row>
    <row r="363">
      <c r="A363" s="21" t="str">
        <f>IFERROR(__xludf.DUMMYFUNCTION("""COMPUTED_VALUE"""),"12")</f>
        <v>12</v>
      </c>
      <c r="B363" s="7" t="str">
        <f>IFERROR(__xludf.DUMMYFUNCTION("""COMPUTED_VALUE"""),"PXSX1")</f>
        <v>PXSX1</v>
      </c>
      <c r="C363" s="7" t="str">
        <f>IFERROR(__xludf.DUMMYFUNCTION("""COMPUTED_VALUE"""),"Bộ phận nhiên liệu và gia công bán thành phẩm ")</f>
        <v>Bộ phận nhiên liệu và gia công bán thành phẩm </v>
      </c>
      <c r="D363" s="7" t="str">
        <f>IFERROR(__xludf.DUMMYFUNCTION("""COMPUTED_VALUE"""),"Nghiền - Sấy phun Ca B")</f>
        <v>Nghiền - Sấy phun Ca B</v>
      </c>
      <c r="E363" s="7" t="str">
        <f>IFERROR(__xludf.DUMMYFUNCTION("""COMPUTED_VALUE"""),"VH Nạp nghiền")</f>
        <v>VH Nạp nghiền</v>
      </c>
      <c r="F363" s="7" t="str">
        <f>IFERROR(__xludf.DUMMYFUNCTION("""COMPUTED_VALUE"""),"NV5771")</f>
        <v>NV5771</v>
      </c>
      <c r="G363" s="7">
        <f>IFERROR(__xludf.DUMMYFUNCTION("""COMPUTED_VALUE"""),1252.0)</f>
        <v>1252</v>
      </c>
      <c r="H363" s="7" t="str">
        <f>IFERROR(__xludf.DUMMYFUNCTION("""COMPUTED_VALUE"""),"Lê Ngọc Định")</f>
        <v>Lê Ngọc Định</v>
      </c>
      <c r="I363" s="7" t="str">
        <f>IFERROR(__xludf.DUMMYFUNCTION("""COMPUTED_VALUE"""),"Nam")</f>
        <v>Nam</v>
      </c>
      <c r="J363" s="17">
        <f>IFERROR(__xludf.DUMMYFUNCTION("""COMPUTED_VALUE"""),27528.0)</f>
        <v>27528</v>
      </c>
      <c r="K363" s="7" t="str">
        <f>IFERROR(__xludf.DUMMYFUNCTION("""COMPUTED_VALUE"""),"Thôn Đông Hưng -  Xã Thắng Lợi -  Tỉnh Thanh Hóa")</f>
        <v>Thôn Đông Hưng -  Xã Thắng Lợi -  Tỉnh Thanh Hóa</v>
      </c>
      <c r="L363" s="7" t="str">
        <f>IFERROR(__xludf.DUMMYFUNCTION("""COMPUTED_VALUE"""),"0964575861")</f>
        <v>0964575861</v>
      </c>
      <c r="M363" s="7" t="str">
        <f>IFERROR(__xludf.DUMMYFUNCTION("""COMPUTED_VALUE"""),"038075017692")</f>
        <v>038075017692</v>
      </c>
      <c r="N363" s="17">
        <f>IFERROR(__xludf.DUMMYFUNCTION("""COMPUTED_VALUE"""),44423.0)</f>
        <v>44423</v>
      </c>
      <c r="O363" s="7" t="str">
        <f>IFERROR(__xludf.DUMMYFUNCTION("""COMPUTED_VALUE"""),"Cục Cảnh sát QLHC về TTXH")</f>
        <v>Cục Cảnh sát QLHC về TTXH</v>
      </c>
      <c r="P363" s="7" t="str">
        <f>IFERROR(__xludf.DUMMYFUNCTION("""COMPUTED_VALUE"""),"LĐPT")</f>
        <v>LĐPT</v>
      </c>
      <c r="Q363" s="7" t="str">
        <f>IFERROR(__xludf.DUMMYFUNCTION("""COMPUTED_VALUE"""),"Lao động phổ thông")</f>
        <v>Lao động phổ thông</v>
      </c>
      <c r="R363" s="17">
        <f>IFERROR(__xludf.DUMMYFUNCTION("""COMPUTED_VALUE"""),45951.0)</f>
        <v>45951</v>
      </c>
      <c r="S363" s="7"/>
      <c r="T363" s="17" t="str">
        <f>IFERROR(__xludf.DUMMYFUNCTION("""COMPUTED_VALUE"""),"Thử việc")</f>
        <v>Thử việc</v>
      </c>
      <c r="U363" s="7"/>
      <c r="V363" s="7" t="str">
        <f>IFERROR(__xludf.DUMMYFUNCTION("""COMPUTED_VALUE"""),"Thử việc")</f>
        <v>Thử việc</v>
      </c>
      <c r="W363" s="7" t="str">
        <f>IFERROR(__xludf.DUMMYFUNCTION("""COMPUTED_VALUE"""),"0 năm 2 tháng")</f>
        <v>0 năm 2 tháng</v>
      </c>
      <c r="X363" s="7"/>
      <c r="Y363" s="7"/>
      <c r="Z363" s="7"/>
    </row>
    <row r="364">
      <c r="A364" s="21" t="str">
        <f>IFERROR(__xludf.DUMMYFUNCTION("""COMPUTED_VALUE"""),"1")</f>
        <v>1</v>
      </c>
      <c r="B364" s="7" t="str">
        <f>IFERROR(__xludf.DUMMYFUNCTION("""COMPUTED_VALUE"""),"PXSX1")</f>
        <v>PXSX1</v>
      </c>
      <c r="C364" s="7" t="str">
        <f>IFERROR(__xludf.DUMMYFUNCTION("""COMPUTED_VALUE"""),"Bộ phận nhiên liệu và gia công bán thành phẩm ")</f>
        <v>Bộ phận nhiên liệu và gia công bán thành phẩm </v>
      </c>
      <c r="D364" s="7" t="str">
        <f>IFERROR(__xludf.DUMMYFUNCTION("""COMPUTED_VALUE"""),"Dây chuyền gia công Ca A")</f>
        <v>Dây chuyền gia công Ca A</v>
      </c>
      <c r="E364" s="7" t="str">
        <f>IFERROR(__xludf.DUMMYFUNCTION("""COMPUTED_VALUE"""),"VH bù DC1")</f>
        <v>VH bù DC1</v>
      </c>
      <c r="F364" s="7" t="str">
        <f>IFERROR(__xludf.DUMMYFUNCTION("""COMPUTED_VALUE"""),"NV0171")</f>
        <v>NV0171</v>
      </c>
      <c r="G364" s="7">
        <f>IFERROR(__xludf.DUMMYFUNCTION("""COMPUTED_VALUE"""),156.0)</f>
        <v>156</v>
      </c>
      <c r="H364" s="7" t="str">
        <f>IFERROR(__xludf.DUMMYFUNCTION("""COMPUTED_VALUE"""),"Nguyễn Thị Tuyết")</f>
        <v>Nguyễn Thị Tuyết</v>
      </c>
      <c r="I364" s="7" t="str">
        <f>IFERROR(__xludf.DUMMYFUNCTION("""COMPUTED_VALUE"""),"Nữ ")</f>
        <v>Nữ </v>
      </c>
      <c r="J364" s="17">
        <f>IFERROR(__xludf.DUMMYFUNCTION("""COMPUTED_VALUE"""),29211.0)</f>
        <v>29211</v>
      </c>
      <c r="K364" s="7" t="str">
        <f>IFERROR(__xludf.DUMMYFUNCTION("""COMPUTED_VALUE"""),"Phường Hạc Thành - Tỉnh Thanh Hóa")</f>
        <v>Phường Hạc Thành - Tỉnh Thanh Hóa</v>
      </c>
      <c r="L364" s="7" t="str">
        <f>IFERROR(__xludf.DUMMYFUNCTION("""COMPUTED_VALUE"""),"0932353986")</f>
        <v>0932353986</v>
      </c>
      <c r="M364" s="7" t="str">
        <f>IFERROR(__xludf.DUMMYFUNCTION("""COMPUTED_VALUE"""),"038179004788")</f>
        <v>038179004788</v>
      </c>
      <c r="N364" s="17">
        <f>IFERROR(__xludf.DUMMYFUNCTION("""COMPUTED_VALUE"""),44294.0)</f>
        <v>44294</v>
      </c>
      <c r="O364" s="7" t="str">
        <f>IFERROR(__xludf.DUMMYFUNCTION("""COMPUTED_VALUE"""),"Cục Cảnh sát QLHC về TTXH")</f>
        <v>Cục Cảnh sát QLHC về TTXH</v>
      </c>
      <c r="P364" s="7" t="str">
        <f>IFERROR(__xludf.DUMMYFUNCTION("""COMPUTED_VALUE"""),"LĐPT")</f>
        <v>LĐPT</v>
      </c>
      <c r="Q364" s="7" t="str">
        <f>IFERROR(__xludf.DUMMYFUNCTION("""COMPUTED_VALUE"""),"Lao động phổ thông")</f>
        <v>Lao động phổ thông</v>
      </c>
      <c r="R364" s="17">
        <f>IFERROR(__xludf.DUMMYFUNCTION("""COMPUTED_VALUE"""),40342.0)</f>
        <v>40342</v>
      </c>
      <c r="S364" s="17">
        <f>IFERROR(__xludf.DUMMYFUNCTION("""COMPUTED_VALUE"""),40342.0)</f>
        <v>40342</v>
      </c>
      <c r="T364" s="7" t="str">
        <f>IFERROR(__xludf.DUMMYFUNCTION("""COMPUTED_VALUE"""),"Chính thức")</f>
        <v>Chính thức</v>
      </c>
      <c r="U364" s="7"/>
      <c r="V364" s="7"/>
      <c r="W364" s="7" t="str">
        <f>IFERROR(__xludf.DUMMYFUNCTION("""COMPUTED_VALUE"""),"15 năm 6 tháng")</f>
        <v>15 năm 6 tháng</v>
      </c>
      <c r="X364" s="7"/>
      <c r="Y364" s="7"/>
      <c r="Z364" s="7"/>
    </row>
    <row r="365">
      <c r="A365" s="21" t="str">
        <f>IFERROR(__xludf.DUMMYFUNCTION("""COMPUTED_VALUE"""),"2")</f>
        <v>2</v>
      </c>
      <c r="B365" s="7" t="str">
        <f>IFERROR(__xludf.DUMMYFUNCTION("""COMPUTED_VALUE"""),"PXSX1")</f>
        <v>PXSX1</v>
      </c>
      <c r="C365" s="7" t="str">
        <f>IFERROR(__xludf.DUMMYFUNCTION("""COMPUTED_VALUE"""),"Bộ phận nhiên liệu và gia công bán thành phẩm ")</f>
        <v>Bộ phận nhiên liệu và gia công bán thành phẩm </v>
      </c>
      <c r="D365" s="7" t="str">
        <f>IFERROR(__xludf.DUMMYFUNCTION("""COMPUTED_VALUE"""),"Dây chuyền gia công Ca A")</f>
        <v>Dây chuyền gia công Ca A</v>
      </c>
      <c r="E365" s="7" t="str">
        <f>IFERROR(__xludf.DUMMYFUNCTION("""COMPUTED_VALUE"""),"VH Máy in kỹ thuật số")</f>
        <v>VH Máy in kỹ thuật số</v>
      </c>
      <c r="F365" s="7" t="str">
        <f>IFERROR(__xludf.DUMMYFUNCTION("""COMPUTED_VALUE"""),"NV0323")</f>
        <v>NV0323</v>
      </c>
      <c r="G365" s="7">
        <f>IFERROR(__xludf.DUMMYFUNCTION("""COMPUTED_VALUE"""),163.0)</f>
        <v>163</v>
      </c>
      <c r="H365" s="7" t="str">
        <f>IFERROR(__xludf.DUMMYFUNCTION("""COMPUTED_VALUE"""),"Lê Tiến Đại")</f>
        <v>Lê Tiến Đại</v>
      </c>
      <c r="I365" s="7" t="str">
        <f>IFERROR(__xludf.DUMMYFUNCTION("""COMPUTED_VALUE"""),"Nam")</f>
        <v>Nam</v>
      </c>
      <c r="J365" s="17">
        <f>IFERROR(__xludf.DUMMYFUNCTION("""COMPUTED_VALUE"""),30477.0)</f>
        <v>30477</v>
      </c>
      <c r="K365" s="7" t="str">
        <f>IFERROR(__xludf.DUMMYFUNCTION("""COMPUTED_VALUE"""),"Phường Sầm Sơn - Tỉnh Thanh Hóa")</f>
        <v>Phường Sầm Sơn - Tỉnh Thanh Hóa</v>
      </c>
      <c r="L365" s="7" t="str">
        <f>IFERROR(__xludf.DUMMYFUNCTION("""COMPUTED_VALUE"""),"0911021223")</f>
        <v>0911021223</v>
      </c>
      <c r="M365" s="7" t="str">
        <f>IFERROR(__xludf.DUMMYFUNCTION("""COMPUTED_VALUE"""),"038083009970")</f>
        <v>038083009970</v>
      </c>
      <c r="N365" s="17">
        <f>IFERROR(__xludf.DUMMYFUNCTION("""COMPUTED_VALUE"""),44410.0)</f>
        <v>44410</v>
      </c>
      <c r="O365" s="7" t="str">
        <f>IFERROR(__xludf.DUMMYFUNCTION("""COMPUTED_VALUE"""),"Cục Cảnh sát QLHC về TTXH")</f>
        <v>Cục Cảnh sát QLHC về TTXH</v>
      </c>
      <c r="P365" s="7" t="str">
        <f>IFERROR(__xludf.DUMMYFUNCTION("""COMPUTED_VALUE"""),"Cao đẳng")</f>
        <v>Cao đẳng</v>
      </c>
      <c r="Q365" s="7" t="str">
        <f>IFERROR(__xludf.DUMMYFUNCTION("""COMPUTED_VALUE"""),"Điện tử viễn thông")</f>
        <v>Điện tử viễn thông</v>
      </c>
      <c r="R365" s="17">
        <f>IFERROR(__xludf.DUMMYFUNCTION("""COMPUTED_VALUE"""),42522.0)</f>
        <v>42522</v>
      </c>
      <c r="S365" s="17">
        <f>IFERROR(__xludf.DUMMYFUNCTION("""COMPUTED_VALUE"""),42522.0)</f>
        <v>42522</v>
      </c>
      <c r="T365" s="7" t="str">
        <f>IFERROR(__xludf.DUMMYFUNCTION("""COMPUTED_VALUE"""),"Chính thức")</f>
        <v>Chính thức</v>
      </c>
      <c r="U365" s="7"/>
      <c r="V365" s="7"/>
      <c r="W365" s="7" t="str">
        <f>IFERROR(__xludf.DUMMYFUNCTION("""COMPUTED_VALUE"""),"9 năm 6 tháng")</f>
        <v>9 năm 6 tháng</v>
      </c>
      <c r="X365" s="7"/>
      <c r="Y365" s="7"/>
      <c r="Z365" s="7"/>
    </row>
    <row r="366">
      <c r="A366" s="21" t="str">
        <f>IFERROR(__xludf.DUMMYFUNCTION("""COMPUTED_VALUE"""),"3")</f>
        <v>3</v>
      </c>
      <c r="B366" s="7" t="str">
        <f>IFERROR(__xludf.DUMMYFUNCTION("""COMPUTED_VALUE"""),"PXSX1")</f>
        <v>PXSX1</v>
      </c>
      <c r="C366" s="7" t="str">
        <f>IFERROR(__xludf.DUMMYFUNCTION("""COMPUTED_VALUE"""),"Bộ phận nhiên liệu và gia công bán thành phẩm ")</f>
        <v>Bộ phận nhiên liệu và gia công bán thành phẩm </v>
      </c>
      <c r="D366" s="7" t="str">
        <f>IFERROR(__xludf.DUMMYFUNCTION("""COMPUTED_VALUE"""),"Dây chuyền gia công Ca A")</f>
        <v>Dây chuyền gia công Ca A</v>
      </c>
      <c r="E366" s="7" t="str">
        <f>IFERROR(__xludf.DUMMYFUNCTION("""COMPUTED_VALUE"""),"VH Chính tráng Engobe DC1 + DC2")</f>
        <v>VH Chính tráng Engobe DC1 + DC2</v>
      </c>
      <c r="F366" s="7" t="str">
        <f>IFERROR(__xludf.DUMMYFUNCTION("""COMPUTED_VALUE"""),"NV4057")</f>
        <v>NV4057</v>
      </c>
      <c r="G366" s="7">
        <f>IFERROR(__xludf.DUMMYFUNCTION("""COMPUTED_VALUE"""),120.0)</f>
        <v>120</v>
      </c>
      <c r="H366" s="7" t="str">
        <f>IFERROR(__xludf.DUMMYFUNCTION("""COMPUTED_VALUE"""),"Lê Văn Doanh")</f>
        <v>Lê Văn Doanh</v>
      </c>
      <c r="I366" s="7" t="str">
        <f>IFERROR(__xludf.DUMMYFUNCTION("""COMPUTED_VALUE"""),"Nam")</f>
        <v>Nam</v>
      </c>
      <c r="J366" s="17">
        <f>IFERROR(__xludf.DUMMYFUNCTION("""COMPUTED_VALUE"""),30991.0)</f>
        <v>30991</v>
      </c>
      <c r="K366" s="7" t="str">
        <f>IFERROR(__xludf.DUMMYFUNCTION("""COMPUTED_VALUE"""),"Xã Quảng Ngọc - Tỉnh Thanh Hóa - ")</f>
        <v>Xã Quảng Ngọc - Tỉnh Thanh Hóa - </v>
      </c>
      <c r="L366" s="7" t="str">
        <f>IFERROR(__xludf.DUMMYFUNCTION("""COMPUTED_VALUE"""),"0327987779")</f>
        <v>0327987779</v>
      </c>
      <c r="M366" s="7" t="str">
        <f>IFERROR(__xludf.DUMMYFUNCTION("""COMPUTED_VALUE"""),"038084018172")</f>
        <v>038084018172</v>
      </c>
      <c r="N366" s="17">
        <f>IFERROR(__xludf.DUMMYFUNCTION("""COMPUTED_VALUE"""),44666.0)</f>
        <v>44666</v>
      </c>
      <c r="O366" s="7" t="str">
        <f>IFERROR(__xludf.DUMMYFUNCTION("""COMPUTED_VALUE"""),"Cục Cảnh sát QLHC về TTXH")</f>
        <v>Cục Cảnh sát QLHC về TTXH</v>
      </c>
      <c r="P366" s="7" t="str">
        <f>IFERROR(__xludf.DUMMYFUNCTION("""COMPUTED_VALUE"""),"LĐPT")</f>
        <v>LĐPT</v>
      </c>
      <c r="Q366" s="7" t="str">
        <f>IFERROR(__xludf.DUMMYFUNCTION("""COMPUTED_VALUE"""),"Lao động phổ thông")</f>
        <v>Lao động phổ thông</v>
      </c>
      <c r="R366" s="17">
        <f>IFERROR(__xludf.DUMMYFUNCTION("""COMPUTED_VALUE"""),44623.0)</f>
        <v>44623</v>
      </c>
      <c r="S366" s="17">
        <f>IFERROR(__xludf.DUMMYFUNCTION("""COMPUTED_VALUE"""),44986.0)</f>
        <v>44986</v>
      </c>
      <c r="T366" s="7" t="str">
        <f>IFERROR(__xludf.DUMMYFUNCTION("""COMPUTED_VALUE"""),"Chính thức")</f>
        <v>Chính thức</v>
      </c>
      <c r="U366" s="7"/>
      <c r="V366" s="7"/>
      <c r="W366" s="7" t="str">
        <f>IFERROR(__xludf.DUMMYFUNCTION("""COMPUTED_VALUE"""),"3 năm 9 tháng")</f>
        <v>3 năm 9 tháng</v>
      </c>
      <c r="X366" s="7"/>
      <c r="Y366" s="7"/>
      <c r="Z366" s="7"/>
    </row>
    <row r="367">
      <c r="A367" s="21" t="str">
        <f>IFERROR(__xludf.DUMMYFUNCTION("""COMPUTED_VALUE"""),"4")</f>
        <v>4</v>
      </c>
      <c r="B367" s="7" t="str">
        <f>IFERROR(__xludf.DUMMYFUNCTION("""COMPUTED_VALUE"""),"PXSX1")</f>
        <v>PXSX1</v>
      </c>
      <c r="C367" s="7" t="str">
        <f>IFERROR(__xludf.DUMMYFUNCTION("""COMPUTED_VALUE"""),"Bộ phận nhiên liệu và gia công bán thành phẩm ")</f>
        <v>Bộ phận nhiên liệu và gia công bán thành phẩm </v>
      </c>
      <c r="D367" s="7" t="str">
        <f>IFERROR(__xludf.DUMMYFUNCTION("""COMPUTED_VALUE"""),"Dây chuyền gia công Ca A")</f>
        <v>Dây chuyền gia công Ca A</v>
      </c>
      <c r="E367" s="7" t="str">
        <f>IFERROR(__xludf.DUMMYFUNCTION("""COMPUTED_VALUE"""),"VH Phụ tráng men DC1")</f>
        <v>VH Phụ tráng men DC1</v>
      </c>
      <c r="F367" s="7" t="str">
        <f>IFERROR(__xludf.DUMMYFUNCTION("""COMPUTED_VALUE"""),"NV5182")</f>
        <v>NV5182</v>
      </c>
      <c r="G367" s="7">
        <f>IFERROR(__xludf.DUMMYFUNCTION("""COMPUTED_VALUE"""),315.0)</f>
        <v>315</v>
      </c>
      <c r="H367" s="7" t="str">
        <f>IFERROR(__xludf.DUMMYFUNCTION("""COMPUTED_VALUE"""),"Nguyễn Văn Thường")</f>
        <v>Nguyễn Văn Thường</v>
      </c>
      <c r="I367" s="7" t="str">
        <f>IFERROR(__xludf.DUMMYFUNCTION("""COMPUTED_VALUE"""),"Nam")</f>
        <v>Nam</v>
      </c>
      <c r="J367" s="17">
        <f>IFERROR(__xludf.DUMMYFUNCTION("""COMPUTED_VALUE"""),31233.0)</f>
        <v>31233</v>
      </c>
      <c r="K367" s="7" t="str">
        <f>IFERROR(__xludf.DUMMYFUNCTION("""COMPUTED_VALUE"""),"Xã Quảng Trường - Tỉnh Thanh Hoá ")</f>
        <v>Xã Quảng Trường - Tỉnh Thanh Hoá </v>
      </c>
      <c r="L367" s="7" t="str">
        <f>IFERROR(__xludf.DUMMYFUNCTION("""COMPUTED_VALUE"""),"0975086833")</f>
        <v>0975086833</v>
      </c>
      <c r="M367" s="7" t="str">
        <f>IFERROR(__xludf.DUMMYFUNCTION("""COMPUTED_VALUE"""),"038085050021")</f>
        <v>038085050021</v>
      </c>
      <c r="N367" s="17">
        <f>IFERROR(__xludf.DUMMYFUNCTION("""COMPUTED_VALUE"""),44419.0)</f>
        <v>44419</v>
      </c>
      <c r="O367" s="7" t="str">
        <f>IFERROR(__xludf.DUMMYFUNCTION("""COMPUTED_VALUE"""),"Cục Cảnh sát QLHC về TTXH")</f>
        <v>Cục Cảnh sát QLHC về TTXH</v>
      </c>
      <c r="P367" s="7" t="str">
        <f>IFERROR(__xludf.DUMMYFUNCTION("""COMPUTED_VALUE"""),"LĐPT")</f>
        <v>LĐPT</v>
      </c>
      <c r="Q367" s="7" t="str">
        <f>IFERROR(__xludf.DUMMYFUNCTION("""COMPUTED_VALUE"""),"Lao động phổ thông")</f>
        <v>Lao động phổ thông</v>
      </c>
      <c r="R367" s="17">
        <f>IFERROR(__xludf.DUMMYFUNCTION("""COMPUTED_VALUE"""),45425.0)</f>
        <v>45425</v>
      </c>
      <c r="S367" s="17">
        <f>IFERROR(__xludf.DUMMYFUNCTION("""COMPUTED_VALUE"""),45505.0)</f>
        <v>45505</v>
      </c>
      <c r="T367" s="7" t="str">
        <f>IFERROR(__xludf.DUMMYFUNCTION("""COMPUTED_VALUE"""),"Chính thức")</f>
        <v>Chính thức</v>
      </c>
      <c r="U367" s="7"/>
      <c r="V367" s="7"/>
      <c r="W367" s="7" t="str">
        <f>IFERROR(__xludf.DUMMYFUNCTION("""COMPUTED_VALUE"""),"1 năm 7 tháng")</f>
        <v>1 năm 7 tháng</v>
      </c>
      <c r="X367" s="7"/>
      <c r="Y367" s="7"/>
      <c r="Z367" s="7"/>
    </row>
    <row r="368">
      <c r="A368" s="21" t="str">
        <f>IFERROR(__xludf.DUMMYFUNCTION("""COMPUTED_VALUE"""),"5")</f>
        <v>5</v>
      </c>
      <c r="B368" s="7" t="str">
        <f>IFERROR(__xludf.DUMMYFUNCTION("""COMPUTED_VALUE"""),"PXSX1")</f>
        <v>PXSX1</v>
      </c>
      <c r="C368" s="7" t="str">
        <f>IFERROR(__xludf.DUMMYFUNCTION("""COMPUTED_VALUE"""),"Bộ phận nhiên liệu và gia công bán thành phẩm ")</f>
        <v>Bộ phận nhiên liệu và gia công bán thành phẩm </v>
      </c>
      <c r="D368" s="7" t="str">
        <f>IFERROR(__xludf.DUMMYFUNCTION("""COMPUTED_VALUE"""),"Dây chuyền gia công Ca A")</f>
        <v>Dây chuyền gia công Ca A</v>
      </c>
      <c r="E368" s="7" t="str">
        <f>IFERROR(__xludf.DUMMYFUNCTION("""COMPUTED_VALUE"""),"VH chính Máy ép DC 1")</f>
        <v>VH chính Máy ép DC 1</v>
      </c>
      <c r="F368" s="7" t="str">
        <f>IFERROR(__xludf.DUMMYFUNCTION("""COMPUTED_VALUE"""),"NV2304")</f>
        <v>NV2304</v>
      </c>
      <c r="G368" s="7">
        <f>IFERROR(__xludf.DUMMYFUNCTION("""COMPUTED_VALUE"""),158.0)</f>
        <v>158</v>
      </c>
      <c r="H368" s="7" t="str">
        <f>IFERROR(__xludf.DUMMYFUNCTION("""COMPUTED_VALUE"""),"Lê văn Tiến")</f>
        <v>Lê văn Tiến</v>
      </c>
      <c r="I368" s="7" t="str">
        <f>IFERROR(__xludf.DUMMYFUNCTION("""COMPUTED_VALUE"""),"Nam")</f>
        <v>Nam</v>
      </c>
      <c r="J368" s="17">
        <f>IFERROR(__xludf.DUMMYFUNCTION("""COMPUTED_VALUE"""),31386.0)</f>
        <v>31386</v>
      </c>
      <c r="K368" s="7" t="str">
        <f>IFERROR(__xludf.DUMMYFUNCTION("""COMPUTED_VALUE"""),"Thôn 4 - Xã Quảng Yên - Tỉnh Thanh Hóa")</f>
        <v>Thôn 4 - Xã Quảng Yên - Tỉnh Thanh Hóa</v>
      </c>
      <c r="L368" s="7" t="str">
        <f>IFERROR(__xludf.DUMMYFUNCTION("""COMPUTED_VALUE"""),"0983355736")</f>
        <v>0983355736</v>
      </c>
      <c r="M368" s="7" t="str">
        <f>IFERROR(__xludf.DUMMYFUNCTION("""COMPUTED_VALUE"""),"038085015675")</f>
        <v>038085015675</v>
      </c>
      <c r="N368" s="17">
        <f>IFERROR(__xludf.DUMMYFUNCTION("""COMPUTED_VALUE"""),43459.0)</f>
        <v>43459</v>
      </c>
      <c r="O368" s="7" t="str">
        <f>IFERROR(__xludf.DUMMYFUNCTION("""COMPUTED_VALUE"""),"Cục Cảnh sát QLHC về TTXH")</f>
        <v>Cục Cảnh sát QLHC về TTXH</v>
      </c>
      <c r="P368" s="7" t="str">
        <f>IFERROR(__xludf.DUMMYFUNCTION("""COMPUTED_VALUE"""),"LĐPT")</f>
        <v>LĐPT</v>
      </c>
      <c r="Q368" s="7" t="str">
        <f>IFERROR(__xludf.DUMMYFUNCTION("""COMPUTED_VALUE"""),"Lao động phổ thông")</f>
        <v>Lao động phổ thông</v>
      </c>
      <c r="R368" s="17">
        <f>IFERROR(__xludf.DUMMYFUNCTION("""COMPUTED_VALUE"""),45376.0)</f>
        <v>45376</v>
      </c>
      <c r="S368" s="17">
        <f>IFERROR(__xludf.DUMMYFUNCTION("""COMPUTED_VALUE"""),43983.0)</f>
        <v>43983</v>
      </c>
      <c r="T368" s="7" t="str">
        <f>IFERROR(__xludf.DUMMYFUNCTION("""COMPUTED_VALUE"""),"Chính thức")</f>
        <v>Chính thức</v>
      </c>
      <c r="U368" s="7"/>
      <c r="V368" s="7"/>
      <c r="W368" s="7" t="str">
        <f>IFERROR(__xludf.DUMMYFUNCTION("""COMPUTED_VALUE"""),"1 năm 9 tháng")</f>
        <v>1 năm 9 tháng</v>
      </c>
      <c r="X368" s="7"/>
      <c r="Y368" s="7"/>
      <c r="Z368" s="7"/>
    </row>
    <row r="369">
      <c r="A369" s="21" t="str">
        <f>IFERROR(__xludf.DUMMYFUNCTION("""COMPUTED_VALUE"""),"6")</f>
        <v>6</v>
      </c>
      <c r="B369" s="7" t="str">
        <f>IFERROR(__xludf.DUMMYFUNCTION("""COMPUTED_VALUE"""),"PXSX1")</f>
        <v>PXSX1</v>
      </c>
      <c r="C369" s="7" t="str">
        <f>IFERROR(__xludf.DUMMYFUNCTION("""COMPUTED_VALUE"""),"Bộ phận nhiên liệu và gia công bán thành phẩm ")</f>
        <v>Bộ phận nhiên liệu và gia công bán thành phẩm </v>
      </c>
      <c r="D369" s="7" t="str">
        <f>IFERROR(__xludf.DUMMYFUNCTION("""COMPUTED_VALUE"""),"Dây chuyền gia công Ca A")</f>
        <v>Dây chuyền gia công Ca A</v>
      </c>
      <c r="E369" s="7" t="str">
        <f>IFERROR(__xludf.DUMMYFUNCTION("""COMPUTED_VALUE"""),"VH Máy in kỹ thuật số")</f>
        <v>VH Máy in kỹ thuật số</v>
      </c>
      <c r="F369" s="7" t="str">
        <f>IFERROR(__xludf.DUMMYFUNCTION("""COMPUTED_VALUE"""),"NV1263")</f>
        <v>NV1263</v>
      </c>
      <c r="G369" s="7">
        <f>IFERROR(__xludf.DUMMYFUNCTION("""COMPUTED_VALUE"""),897.0)</f>
        <v>897</v>
      </c>
      <c r="H369" s="7" t="str">
        <f>IFERROR(__xludf.DUMMYFUNCTION("""COMPUTED_VALUE"""),"Nguyễn Xuân Dũng")</f>
        <v>Nguyễn Xuân Dũng</v>
      </c>
      <c r="I369" s="7" t="str">
        <f>IFERROR(__xludf.DUMMYFUNCTION("""COMPUTED_VALUE"""),"Nam")</f>
        <v>Nam</v>
      </c>
      <c r="J369" s="17">
        <f>IFERROR(__xludf.DUMMYFUNCTION("""COMPUTED_VALUE"""),31459.0)</f>
        <v>31459</v>
      </c>
      <c r="K369" s="7" t="str">
        <f>IFERROR(__xludf.DUMMYFUNCTION("""COMPUTED_VALUE"""),"Phố 5 - Phường Hàm Rồng - Tỉnh Thanh Hóa")</f>
        <v>Phố 5 - Phường Hàm Rồng - Tỉnh Thanh Hóa</v>
      </c>
      <c r="L369" s="7" t="str">
        <f>IFERROR(__xludf.DUMMYFUNCTION("""COMPUTED_VALUE"""),"0982311240")</f>
        <v>0982311240</v>
      </c>
      <c r="M369" s="7" t="str">
        <f>IFERROR(__xludf.DUMMYFUNCTION("""COMPUTED_VALUE"""),"038086012166")</f>
        <v>038086012166</v>
      </c>
      <c r="N369" s="17">
        <f>IFERROR(__xludf.DUMMYFUNCTION("""COMPUTED_VALUE"""),44375.0)</f>
        <v>44375</v>
      </c>
      <c r="O369" s="7" t="str">
        <f>IFERROR(__xludf.DUMMYFUNCTION("""COMPUTED_VALUE"""),"Cục Cảnh sát QLHC về TTXH")</f>
        <v>Cục Cảnh sát QLHC về TTXH</v>
      </c>
      <c r="P369" s="7" t="str">
        <f>IFERROR(__xludf.DUMMYFUNCTION("""COMPUTED_VALUE"""),"LĐPT")</f>
        <v>LĐPT</v>
      </c>
      <c r="Q369" s="7" t="str">
        <f>IFERROR(__xludf.DUMMYFUNCTION("""COMPUTED_VALUE"""),"Lao động phổ thông")</f>
        <v>Lao động phổ thông</v>
      </c>
      <c r="R369" s="17">
        <f>IFERROR(__xludf.DUMMYFUNCTION("""COMPUTED_VALUE"""),45736.0)</f>
        <v>45736</v>
      </c>
      <c r="S369" s="7"/>
      <c r="T369" s="7" t="str">
        <f>IFERROR(__xludf.DUMMYFUNCTION("""COMPUTED_VALUE"""),"Chính thức")</f>
        <v>Chính thức</v>
      </c>
      <c r="U369" s="7"/>
      <c r="V369" s="7"/>
      <c r="W369" s="7" t="str">
        <f>IFERROR(__xludf.DUMMYFUNCTION("""COMPUTED_VALUE"""),"0 năm 9 tháng")</f>
        <v>0 năm 9 tháng</v>
      </c>
      <c r="X369" s="7"/>
      <c r="Y369" s="7"/>
      <c r="Z369" s="7"/>
    </row>
    <row r="370">
      <c r="A370" s="21" t="str">
        <f>IFERROR(__xludf.DUMMYFUNCTION("""COMPUTED_VALUE"""),"7")</f>
        <v>7</v>
      </c>
      <c r="B370" s="7" t="str">
        <f>IFERROR(__xludf.DUMMYFUNCTION("""COMPUTED_VALUE"""),"PXSX1")</f>
        <v>PXSX1</v>
      </c>
      <c r="C370" s="7" t="str">
        <f>IFERROR(__xludf.DUMMYFUNCTION("""COMPUTED_VALUE"""),"Bộ phận nhiên liệu và gia công bán thành phẩm ")</f>
        <v>Bộ phận nhiên liệu và gia công bán thành phẩm </v>
      </c>
      <c r="D370" s="7" t="str">
        <f>IFERROR(__xludf.DUMMYFUNCTION("""COMPUTED_VALUE"""),"Dây chuyền gia công Ca A")</f>
        <v>Dây chuyền gia công Ca A</v>
      </c>
      <c r="E370" s="7" t="str">
        <f>IFERROR(__xludf.DUMMYFUNCTION("""COMPUTED_VALUE"""),"VH chính Máy ép DC 2")</f>
        <v>VH chính Máy ép DC 2</v>
      </c>
      <c r="F370" s="7" t="str">
        <f>IFERROR(__xludf.DUMMYFUNCTION("""COMPUTED_VALUE"""),"NV5367")</f>
        <v>NV5367</v>
      </c>
      <c r="G370" s="7">
        <f>IFERROR(__xludf.DUMMYFUNCTION("""COMPUTED_VALUE"""),794.0)</f>
        <v>794</v>
      </c>
      <c r="H370" s="7" t="str">
        <f>IFERROR(__xludf.DUMMYFUNCTION("""COMPUTED_VALUE"""),"Lê Trọng Việt")</f>
        <v>Lê Trọng Việt</v>
      </c>
      <c r="I370" s="7" t="str">
        <f>IFERROR(__xludf.DUMMYFUNCTION("""COMPUTED_VALUE"""),"Nam")</f>
        <v>Nam</v>
      </c>
      <c r="J370" s="17">
        <f>IFERROR(__xludf.DUMMYFUNCTION("""COMPUTED_VALUE"""),31656.0)</f>
        <v>31656</v>
      </c>
      <c r="K370" s="7" t="str">
        <f>IFERROR(__xludf.DUMMYFUNCTION("""COMPUTED_VALUE"""),"Xã Quảng Ninh - Tỉnh Thanh Hóa")</f>
        <v>Xã Quảng Ninh - Tỉnh Thanh Hóa</v>
      </c>
      <c r="L370" s="7" t="str">
        <f>IFERROR(__xludf.DUMMYFUNCTION("""COMPUTED_VALUE"""),"0782683786")</f>
        <v>0782683786</v>
      </c>
      <c r="M370" s="7" t="str">
        <f>IFERROR(__xludf.DUMMYFUNCTION("""COMPUTED_VALUE"""),"038086010476")</f>
        <v>038086010476</v>
      </c>
      <c r="N370" s="17">
        <f>IFERROR(__xludf.DUMMYFUNCTION("""COMPUTED_VALUE"""),44825.0)</f>
        <v>44825</v>
      </c>
      <c r="O370" s="7" t="str">
        <f>IFERROR(__xludf.DUMMYFUNCTION("""COMPUTED_VALUE"""),"Cục Cảnh sát QLHC về TTXH")</f>
        <v>Cục Cảnh sát QLHC về TTXH</v>
      </c>
      <c r="P370" s="7" t="str">
        <f>IFERROR(__xludf.DUMMYFUNCTION("""COMPUTED_VALUE"""),"LĐPT")</f>
        <v>LĐPT</v>
      </c>
      <c r="Q370" s="7" t="str">
        <f>IFERROR(__xludf.DUMMYFUNCTION("""COMPUTED_VALUE"""),"Lao động phổ thông")</f>
        <v>Lao động phổ thông</v>
      </c>
      <c r="R370" s="17">
        <f>IFERROR(__xludf.DUMMYFUNCTION("""COMPUTED_VALUE"""),45542.0)</f>
        <v>45542</v>
      </c>
      <c r="S370" s="7"/>
      <c r="T370" s="7" t="str">
        <f>IFERROR(__xludf.DUMMYFUNCTION("""COMPUTED_VALUE"""),"Chính thức")</f>
        <v>Chính thức</v>
      </c>
      <c r="U370" s="7"/>
      <c r="V370" s="7"/>
      <c r="W370" s="7" t="str">
        <f>IFERROR(__xludf.DUMMYFUNCTION("""COMPUTED_VALUE"""),"1 năm 3 tháng")</f>
        <v>1 năm 3 tháng</v>
      </c>
      <c r="X370" s="7"/>
      <c r="Y370" s="7"/>
      <c r="Z370" s="7"/>
    </row>
    <row r="371">
      <c r="A371" s="21" t="str">
        <f>IFERROR(__xludf.DUMMYFUNCTION("""COMPUTED_VALUE"""),"8")</f>
        <v>8</v>
      </c>
      <c r="B371" s="7" t="str">
        <f>IFERROR(__xludf.DUMMYFUNCTION("""COMPUTED_VALUE"""),"PXSX1")</f>
        <v>PXSX1</v>
      </c>
      <c r="C371" s="7" t="str">
        <f>IFERROR(__xludf.DUMMYFUNCTION("""COMPUTED_VALUE"""),"Bộ phận nhiên liệu và gia công bán thành phẩm ")</f>
        <v>Bộ phận nhiên liệu và gia công bán thành phẩm </v>
      </c>
      <c r="D371" s="7" t="str">
        <f>IFERROR(__xludf.DUMMYFUNCTION("""COMPUTED_VALUE"""),"Dây chuyền gia công Ca A")</f>
        <v>Dây chuyền gia công Ca A</v>
      </c>
      <c r="E371" s="7" t="str">
        <f>IFERROR(__xludf.DUMMYFUNCTION("""COMPUTED_VALUE"""),"Tổ trưởng - Phụ trách Dây chuyền gia công")</f>
        <v>Tổ trưởng - Phụ trách Dây chuyền gia công</v>
      </c>
      <c r="F371" s="7" t="str">
        <f>IFERROR(__xludf.DUMMYFUNCTION("""COMPUTED_VALUE"""),"NV1685")</f>
        <v>NV1685</v>
      </c>
      <c r="G371" s="7">
        <f>IFERROR(__xludf.DUMMYFUNCTION("""COMPUTED_VALUE"""),181.0)</f>
        <v>181</v>
      </c>
      <c r="H371" s="7" t="str">
        <f>IFERROR(__xludf.DUMMYFUNCTION("""COMPUTED_VALUE"""),"Nguyễn Văn Sơn")</f>
        <v>Nguyễn Văn Sơn</v>
      </c>
      <c r="I371" s="7" t="str">
        <f>IFERROR(__xludf.DUMMYFUNCTION("""COMPUTED_VALUE"""),"Nam")</f>
        <v>Nam</v>
      </c>
      <c r="J371" s="17">
        <f>IFERROR(__xludf.DUMMYFUNCTION("""COMPUTED_VALUE"""),32792.0)</f>
        <v>32792</v>
      </c>
      <c r="K371" s="7" t="str">
        <f>IFERROR(__xludf.DUMMYFUNCTION("""COMPUTED_VALUE"""),"Thôn 2 - Xã Quảng Bình - Tỉnh Thanh Hóa")</f>
        <v>Thôn 2 - Xã Quảng Bình - Tỉnh Thanh Hóa</v>
      </c>
      <c r="L371" s="7" t="str">
        <f>IFERROR(__xludf.DUMMYFUNCTION("""COMPUTED_VALUE"""),"0363571077")</f>
        <v>0363571077</v>
      </c>
      <c r="M371" s="7" t="str">
        <f>IFERROR(__xludf.DUMMYFUNCTION("""COMPUTED_VALUE"""),"040089019760")</f>
        <v>040089019760</v>
      </c>
      <c r="N371" s="17">
        <f>IFERROR(__xludf.DUMMYFUNCTION("""COMPUTED_VALUE"""),43940.0)</f>
        <v>43940</v>
      </c>
      <c r="O371" s="7" t="str">
        <f>IFERROR(__xludf.DUMMYFUNCTION("""COMPUTED_VALUE"""),"Cục Cảnh sát QLHC về TTXH")</f>
        <v>Cục Cảnh sát QLHC về TTXH</v>
      </c>
      <c r="P371" s="7" t="str">
        <f>IFERROR(__xludf.DUMMYFUNCTION("""COMPUTED_VALUE"""),"LĐPT")</f>
        <v>LĐPT</v>
      </c>
      <c r="Q371" s="7" t="str">
        <f>IFERROR(__xludf.DUMMYFUNCTION("""COMPUTED_VALUE"""),"Lao động phổ thông")</f>
        <v>Lao động phổ thông</v>
      </c>
      <c r="R371" s="17">
        <f>IFERROR(__xludf.DUMMYFUNCTION("""COMPUTED_VALUE"""),43338.0)</f>
        <v>43338</v>
      </c>
      <c r="S371" s="17">
        <f>IFERROR(__xludf.DUMMYFUNCTION("""COMPUTED_VALUE"""),43678.0)</f>
        <v>43678</v>
      </c>
      <c r="T371" s="7" t="str">
        <f>IFERROR(__xludf.DUMMYFUNCTION("""COMPUTED_VALUE"""),"Chính thức")</f>
        <v>Chính thức</v>
      </c>
      <c r="U371" s="7"/>
      <c r="V371" s="7"/>
      <c r="W371" s="7" t="str">
        <f>IFERROR(__xludf.DUMMYFUNCTION("""COMPUTED_VALUE"""),"7 năm 4 tháng")</f>
        <v>7 năm 4 tháng</v>
      </c>
      <c r="X371" s="7"/>
      <c r="Y371" s="7"/>
      <c r="Z371" s="7"/>
    </row>
    <row r="372">
      <c r="A372" s="21" t="str">
        <f>IFERROR(__xludf.DUMMYFUNCTION("""COMPUTED_VALUE"""),"9")</f>
        <v>9</v>
      </c>
      <c r="B372" s="7" t="str">
        <f>IFERROR(__xludf.DUMMYFUNCTION("""COMPUTED_VALUE"""),"PXSX1")</f>
        <v>PXSX1</v>
      </c>
      <c r="C372" s="7" t="str">
        <f>IFERROR(__xludf.DUMMYFUNCTION("""COMPUTED_VALUE"""),"Bộ phận nhiên liệu và gia công bán thành phẩm ")</f>
        <v>Bộ phận nhiên liệu và gia công bán thành phẩm </v>
      </c>
      <c r="D372" s="7" t="str">
        <f>IFERROR(__xludf.DUMMYFUNCTION("""COMPUTED_VALUE"""),"Dây chuyền gia công Ca A")</f>
        <v>Dây chuyền gia công Ca A</v>
      </c>
      <c r="E372" s="7" t="str">
        <f>IFERROR(__xludf.DUMMYFUNCTION("""COMPUTED_VALUE"""),"VH Chính tráng men DC1")</f>
        <v>VH Chính tráng men DC1</v>
      </c>
      <c r="F372" s="7" t="str">
        <f>IFERROR(__xludf.DUMMYFUNCTION("""COMPUTED_VALUE"""),"NV0888")</f>
        <v>NV0888</v>
      </c>
      <c r="G372" s="7">
        <f>IFERROR(__xludf.DUMMYFUNCTION("""COMPUTED_VALUE"""),178.0)</f>
        <v>178</v>
      </c>
      <c r="H372" s="7" t="str">
        <f>IFERROR(__xludf.DUMMYFUNCTION("""COMPUTED_VALUE"""),"Nguyễn Đức Chiến")</f>
        <v>Nguyễn Đức Chiến</v>
      </c>
      <c r="I372" s="7" t="str">
        <f>IFERROR(__xludf.DUMMYFUNCTION("""COMPUTED_VALUE"""),"Nam")</f>
        <v>Nam</v>
      </c>
      <c r="J372" s="17">
        <f>IFERROR(__xludf.DUMMYFUNCTION("""COMPUTED_VALUE"""),33105.0)</f>
        <v>33105</v>
      </c>
      <c r="K372" s="7" t="str">
        <f>IFERROR(__xludf.DUMMYFUNCTION("""COMPUTED_VALUE"""),"Xã Lưu Vệ - Tỉnh Thanh Hóa ")</f>
        <v>Xã Lưu Vệ - Tỉnh Thanh Hóa </v>
      </c>
      <c r="L372" s="7" t="str">
        <f>IFERROR(__xludf.DUMMYFUNCTION("""COMPUTED_VALUE"""),"0372498751")</f>
        <v>0372498751</v>
      </c>
      <c r="M372" s="7" t="str">
        <f>IFERROR(__xludf.DUMMYFUNCTION("""COMPUTED_VALUE"""),"038090035527")</f>
        <v>038090035527</v>
      </c>
      <c r="N372" s="17">
        <f>IFERROR(__xludf.DUMMYFUNCTION("""COMPUTED_VALUE"""),44439.0)</f>
        <v>44439</v>
      </c>
      <c r="O372" s="7" t="str">
        <f>IFERROR(__xludf.DUMMYFUNCTION("""COMPUTED_VALUE"""),"Cục Cảnh sát QLHC về TTXH")</f>
        <v>Cục Cảnh sát QLHC về TTXH</v>
      </c>
      <c r="P372" s="7" t="str">
        <f>IFERROR(__xludf.DUMMYFUNCTION("""COMPUTED_VALUE"""),"LĐPT")</f>
        <v>LĐPT</v>
      </c>
      <c r="Q372" s="7" t="str">
        <f>IFERROR(__xludf.DUMMYFUNCTION("""COMPUTED_VALUE"""),"Lao động phổ thông")</f>
        <v>Lao động phổ thông</v>
      </c>
      <c r="R372" s="17">
        <f>IFERROR(__xludf.DUMMYFUNCTION("""COMPUTED_VALUE"""),42849.0)</f>
        <v>42849</v>
      </c>
      <c r="S372" s="17">
        <f>IFERROR(__xludf.DUMMYFUNCTION("""COMPUTED_VALUE"""),43252.0)</f>
        <v>43252</v>
      </c>
      <c r="T372" s="7" t="str">
        <f>IFERROR(__xludf.DUMMYFUNCTION("""COMPUTED_VALUE"""),"Chính thức")</f>
        <v>Chính thức</v>
      </c>
      <c r="U372" s="7"/>
      <c r="V372" s="7"/>
      <c r="W372" s="7" t="str">
        <f>IFERROR(__xludf.DUMMYFUNCTION("""COMPUTED_VALUE"""),"8 năm 8 tháng")</f>
        <v>8 năm 8 tháng</v>
      </c>
      <c r="X372" s="7"/>
      <c r="Y372" s="7"/>
      <c r="Z372" s="7"/>
    </row>
    <row r="373">
      <c r="A373" s="21" t="str">
        <f>IFERROR(__xludf.DUMMYFUNCTION("""COMPUTED_VALUE"""),"10")</f>
        <v>10</v>
      </c>
      <c r="B373" s="7" t="str">
        <f>IFERROR(__xludf.DUMMYFUNCTION("""COMPUTED_VALUE"""),"PXSX1")</f>
        <v>PXSX1</v>
      </c>
      <c r="C373" s="7" t="str">
        <f>IFERROR(__xludf.DUMMYFUNCTION("""COMPUTED_VALUE"""),"Bộ phận nhiên liệu và gia công bán thành phẩm ")</f>
        <v>Bộ phận nhiên liệu và gia công bán thành phẩm </v>
      </c>
      <c r="D373" s="7" t="str">
        <f>IFERROR(__xludf.DUMMYFUNCTION("""COMPUTED_VALUE"""),"Dây chuyền gia công Ca A")</f>
        <v>Dây chuyền gia công Ca A</v>
      </c>
      <c r="E373" s="7" t="str">
        <f>IFERROR(__xludf.DUMMYFUNCTION("""COMPUTED_VALUE"""),"VH Chính tráng men DC2")</f>
        <v>VH Chính tráng men DC2</v>
      </c>
      <c r="F373" s="7" t="str">
        <f>IFERROR(__xludf.DUMMYFUNCTION("""COMPUTED_VALUE"""),"NV2209")</f>
        <v>NV2209</v>
      </c>
      <c r="G373" s="7">
        <f>IFERROR(__xludf.DUMMYFUNCTION("""COMPUTED_VALUE"""),153.0)</f>
        <v>153</v>
      </c>
      <c r="H373" s="7" t="str">
        <f>IFERROR(__xludf.DUMMYFUNCTION("""COMPUTED_VALUE"""),"Trần Văn Dũng")</f>
        <v>Trần Văn Dũng</v>
      </c>
      <c r="I373" s="7" t="str">
        <f>IFERROR(__xludf.DUMMYFUNCTION("""COMPUTED_VALUE"""),"Nam")</f>
        <v>Nam</v>
      </c>
      <c r="J373" s="17">
        <f>IFERROR(__xludf.DUMMYFUNCTION("""COMPUTED_VALUE"""),35014.0)</f>
        <v>35014</v>
      </c>
      <c r="K373" s="7" t="str">
        <f>IFERROR(__xludf.DUMMYFUNCTION("""COMPUTED_VALUE"""),"KP.Tây Nam - Phường Nam Sầm Sơn - Tỉnh Thanh Hóa - ")</f>
        <v>KP.Tây Nam - Phường Nam Sầm Sơn - Tỉnh Thanh Hóa - </v>
      </c>
      <c r="L373" s="7" t="str">
        <f>IFERROR(__xludf.DUMMYFUNCTION("""COMPUTED_VALUE"""),"0989365282")</f>
        <v>0989365282</v>
      </c>
      <c r="M373" s="7" t="str">
        <f>IFERROR(__xludf.DUMMYFUNCTION("""COMPUTED_VALUE"""),"038095040693")</f>
        <v>038095040693</v>
      </c>
      <c r="N373" s="17">
        <f>IFERROR(__xludf.DUMMYFUNCTION("""COMPUTED_VALUE"""),44425.0)</f>
        <v>44425</v>
      </c>
      <c r="O373" s="7" t="str">
        <f>IFERROR(__xludf.DUMMYFUNCTION("""COMPUTED_VALUE"""),"Cục Cảnh sát QLHC về TTXH")</f>
        <v>Cục Cảnh sát QLHC về TTXH</v>
      </c>
      <c r="P373" s="7" t="str">
        <f>IFERROR(__xludf.DUMMYFUNCTION("""COMPUTED_VALUE"""),"LĐPT")</f>
        <v>LĐPT</v>
      </c>
      <c r="Q373" s="7" t="str">
        <f>IFERROR(__xludf.DUMMYFUNCTION("""COMPUTED_VALUE"""),"Lao động phổ thông")</f>
        <v>Lao động phổ thông</v>
      </c>
      <c r="R373" s="17">
        <f>IFERROR(__xludf.DUMMYFUNCTION("""COMPUTED_VALUE"""),43995.0)</f>
        <v>43995</v>
      </c>
      <c r="S373" s="17">
        <f>IFERROR(__xludf.DUMMYFUNCTION("""COMPUTED_VALUE"""),44197.0)</f>
        <v>44197</v>
      </c>
      <c r="T373" s="7" t="str">
        <f>IFERROR(__xludf.DUMMYFUNCTION("""COMPUTED_VALUE"""),"Chính thức")</f>
        <v>Chính thức</v>
      </c>
      <c r="U373" s="7"/>
      <c r="V373" s="7"/>
      <c r="W373" s="7" t="str">
        <f>IFERROR(__xludf.DUMMYFUNCTION("""COMPUTED_VALUE"""),"5 năm 6 tháng")</f>
        <v>5 năm 6 tháng</v>
      </c>
      <c r="X373" s="7"/>
      <c r="Y373" s="7"/>
      <c r="Z373" s="7"/>
    </row>
    <row r="374">
      <c r="A374" s="21" t="str">
        <f>IFERROR(__xludf.DUMMYFUNCTION("""COMPUTED_VALUE"""),"11")</f>
        <v>11</v>
      </c>
      <c r="B374" s="7" t="str">
        <f>IFERROR(__xludf.DUMMYFUNCTION("""COMPUTED_VALUE"""),"PXSX1")</f>
        <v>PXSX1</v>
      </c>
      <c r="C374" s="7" t="str">
        <f>IFERROR(__xludf.DUMMYFUNCTION("""COMPUTED_VALUE"""),"Bộ phận nhiên liệu và gia công bán thành phẩm ")</f>
        <v>Bộ phận nhiên liệu và gia công bán thành phẩm </v>
      </c>
      <c r="D374" s="7" t="str">
        <f>IFERROR(__xludf.DUMMYFUNCTION("""COMPUTED_VALUE"""),"Dây chuyền gia công Ca A")</f>
        <v>Dây chuyền gia công Ca A</v>
      </c>
      <c r="E374" s="7" t="str">
        <f>IFERROR(__xludf.DUMMYFUNCTION("""COMPUTED_VALUE"""),"VH Sấy DC 2")</f>
        <v>VH Sấy DC 2</v>
      </c>
      <c r="F374" s="7" t="str">
        <f>IFERROR(__xludf.DUMMYFUNCTION("""COMPUTED_VALUE"""),"NV4435")</f>
        <v>NV4435</v>
      </c>
      <c r="G374" s="7">
        <f>IFERROR(__xludf.DUMMYFUNCTION("""COMPUTED_VALUE"""),159.0)</f>
        <v>159</v>
      </c>
      <c r="H374" s="7" t="str">
        <f>IFERROR(__xludf.DUMMYFUNCTION("""COMPUTED_VALUE"""),"NGuyễn Văn Anh")</f>
        <v>NGuyễn Văn Anh</v>
      </c>
      <c r="I374" s="7" t="str">
        <f>IFERROR(__xludf.DUMMYFUNCTION("""COMPUTED_VALUE"""),"Nam")</f>
        <v>Nam</v>
      </c>
      <c r="J374" s="17">
        <f>IFERROR(__xludf.DUMMYFUNCTION("""COMPUTED_VALUE"""),35317.0)</f>
        <v>35317</v>
      </c>
      <c r="K374" s="7" t="str">
        <f>IFERROR(__xludf.DUMMYFUNCTION("""COMPUTED_VALUE"""),"Xã Quảng Chính - Tỉnh Thanh Hóa")</f>
        <v>Xã Quảng Chính - Tỉnh Thanh Hóa</v>
      </c>
      <c r="L374" s="7" t="str">
        <f>IFERROR(__xludf.DUMMYFUNCTION("""COMPUTED_VALUE"""),"0374678602")</f>
        <v>0374678602</v>
      </c>
      <c r="M374" s="7" t="str">
        <f>IFERROR(__xludf.DUMMYFUNCTION("""COMPUTED_VALUE"""),"038096020649")</f>
        <v>038096020649</v>
      </c>
      <c r="N374" s="17">
        <f>IFERROR(__xludf.DUMMYFUNCTION("""COMPUTED_VALUE"""),44614.0)</f>
        <v>44614</v>
      </c>
      <c r="O374" s="7" t="str">
        <f>IFERROR(__xludf.DUMMYFUNCTION("""COMPUTED_VALUE"""),"Cục Cảnh sát QLHC về TTXH")</f>
        <v>Cục Cảnh sát QLHC về TTXH</v>
      </c>
      <c r="P374" s="7" t="str">
        <f>IFERROR(__xludf.DUMMYFUNCTION("""COMPUTED_VALUE"""),"LĐPT")</f>
        <v>LĐPT</v>
      </c>
      <c r="Q374" s="7" t="str">
        <f>IFERROR(__xludf.DUMMYFUNCTION("""COMPUTED_VALUE"""),"Lao động phổ thông")</f>
        <v>Lao động phổ thông</v>
      </c>
      <c r="R374" s="17">
        <f>IFERROR(__xludf.DUMMYFUNCTION("""COMPUTED_VALUE"""),45020.0)</f>
        <v>45020</v>
      </c>
      <c r="S374" s="17">
        <f>IFERROR(__xludf.DUMMYFUNCTION("""COMPUTED_VALUE"""),45292.0)</f>
        <v>45292</v>
      </c>
      <c r="T374" s="7" t="str">
        <f>IFERROR(__xludf.DUMMYFUNCTION("""COMPUTED_VALUE"""),"Chính thức")</f>
        <v>Chính thức</v>
      </c>
      <c r="U374" s="7"/>
      <c r="V374" s="7"/>
      <c r="W374" s="7" t="str">
        <f>IFERROR(__xludf.DUMMYFUNCTION("""COMPUTED_VALUE"""),"2 năm 8 tháng")</f>
        <v>2 năm 8 tháng</v>
      </c>
      <c r="X374" s="7"/>
      <c r="Y374" s="7"/>
      <c r="Z374" s="7"/>
    </row>
    <row r="375">
      <c r="A375" s="21" t="str">
        <f>IFERROR(__xludf.DUMMYFUNCTION("""COMPUTED_VALUE"""),"12")</f>
        <v>12</v>
      </c>
      <c r="B375" s="7" t="str">
        <f>IFERROR(__xludf.DUMMYFUNCTION("""COMPUTED_VALUE"""),"PXSX1")</f>
        <v>PXSX1</v>
      </c>
      <c r="C375" s="7" t="str">
        <f>IFERROR(__xludf.DUMMYFUNCTION("""COMPUTED_VALUE"""),"Bộ phận nhiên liệu và gia công bán thành phẩm ")</f>
        <v>Bộ phận nhiên liệu và gia công bán thành phẩm </v>
      </c>
      <c r="D375" s="7" t="str">
        <f>IFERROR(__xludf.DUMMYFUNCTION("""COMPUTED_VALUE"""),"Dây chuyền gia công Ca A")</f>
        <v>Dây chuyền gia công Ca A</v>
      </c>
      <c r="E375" s="7" t="str">
        <f>IFERROR(__xludf.DUMMYFUNCTION("""COMPUTED_VALUE"""),"VH Phụ tráng men DC1")</f>
        <v>VH Phụ tráng men DC1</v>
      </c>
      <c r="F375" s="7" t="str">
        <f>IFERROR(__xludf.DUMMYFUNCTION("""COMPUTED_VALUE"""),"NV5185")</f>
        <v>NV5185</v>
      </c>
      <c r="G375" s="7">
        <f>IFERROR(__xludf.DUMMYFUNCTION("""COMPUTED_VALUE"""),644.0)</f>
        <v>644</v>
      </c>
      <c r="H375" s="7" t="str">
        <f>IFERROR(__xludf.DUMMYFUNCTION("""COMPUTED_VALUE"""),"Đỗ Xuân Lợi")</f>
        <v>Đỗ Xuân Lợi</v>
      </c>
      <c r="I375" s="7" t="str">
        <f>IFERROR(__xludf.DUMMYFUNCTION("""COMPUTED_VALUE"""),"Nam")</f>
        <v>Nam</v>
      </c>
      <c r="J375" s="17">
        <f>IFERROR(__xludf.DUMMYFUNCTION("""COMPUTED_VALUE"""),36606.0)</f>
        <v>36606</v>
      </c>
      <c r="K375" s="7" t="str">
        <f>IFERROR(__xludf.DUMMYFUNCTION("""COMPUTED_VALUE"""),"Xã Quảng Chính - Tỉnh Thanh Hoá ")</f>
        <v>Xã Quảng Chính - Tỉnh Thanh Hoá </v>
      </c>
      <c r="L375" s="7" t="str">
        <f>IFERROR(__xludf.DUMMYFUNCTION("""COMPUTED_VALUE"""),"0985562204")</f>
        <v>0985562204</v>
      </c>
      <c r="M375" s="7" t="str">
        <f>IFERROR(__xludf.DUMMYFUNCTION("""COMPUTED_VALUE"""),"038200024405")</f>
        <v>038200024405</v>
      </c>
      <c r="N375" s="17">
        <f>IFERROR(__xludf.DUMMYFUNCTION("""COMPUTED_VALUE"""),44546.0)</f>
        <v>44546</v>
      </c>
      <c r="O375" s="7" t="str">
        <f>IFERROR(__xludf.DUMMYFUNCTION("""COMPUTED_VALUE"""),"Cục Cảnh sát QLHC về TTXH")</f>
        <v>Cục Cảnh sát QLHC về TTXH</v>
      </c>
      <c r="P375" s="7" t="str">
        <f>IFERROR(__xludf.DUMMYFUNCTION("""COMPUTED_VALUE"""),"LĐPT")</f>
        <v>LĐPT</v>
      </c>
      <c r="Q375" s="7" t="str">
        <f>IFERROR(__xludf.DUMMYFUNCTION("""COMPUTED_VALUE"""),"Lao động phổ thông")</f>
        <v>Lao động phổ thông</v>
      </c>
      <c r="R375" s="17">
        <f>IFERROR(__xludf.DUMMYFUNCTION("""COMPUTED_VALUE"""),45426.0)</f>
        <v>45426</v>
      </c>
      <c r="S375" s="17">
        <f>IFERROR(__xludf.DUMMYFUNCTION("""COMPUTED_VALUE"""),45505.0)</f>
        <v>45505</v>
      </c>
      <c r="T375" s="7" t="str">
        <f>IFERROR(__xludf.DUMMYFUNCTION("""COMPUTED_VALUE"""),"Chính thức")</f>
        <v>Chính thức</v>
      </c>
      <c r="U375" s="7"/>
      <c r="V375" s="7"/>
      <c r="W375" s="7" t="str">
        <f>IFERROR(__xludf.DUMMYFUNCTION("""COMPUTED_VALUE"""),"1 năm 7 tháng")</f>
        <v>1 năm 7 tháng</v>
      </c>
      <c r="X375" s="7"/>
      <c r="Y375" s="7"/>
      <c r="Z375" s="7"/>
    </row>
    <row r="376">
      <c r="A376" s="21" t="str">
        <f>IFERROR(__xludf.DUMMYFUNCTION("""COMPUTED_VALUE"""),"13")</f>
        <v>13</v>
      </c>
      <c r="B376" s="7" t="str">
        <f>IFERROR(__xludf.DUMMYFUNCTION("""COMPUTED_VALUE"""),"PXSX1")</f>
        <v>PXSX1</v>
      </c>
      <c r="C376" s="7" t="str">
        <f>IFERROR(__xludf.DUMMYFUNCTION("""COMPUTED_VALUE"""),"Bộ phận nhiên liệu và gia công bán thành phẩm ")</f>
        <v>Bộ phận nhiên liệu và gia công bán thành phẩm </v>
      </c>
      <c r="D376" s="7" t="str">
        <f>IFERROR(__xludf.DUMMYFUNCTION("""COMPUTED_VALUE"""),"Dây chuyền gia công Ca A")</f>
        <v>Dây chuyền gia công Ca A</v>
      </c>
      <c r="E376" s="7" t="str">
        <f>IFERROR(__xludf.DUMMYFUNCTION("""COMPUTED_VALUE"""),"VH bù DC1")</f>
        <v>VH bù DC1</v>
      </c>
      <c r="F376" s="7" t="str">
        <f>IFERROR(__xludf.DUMMYFUNCTION("""COMPUTED_VALUE"""),"NV5695")</f>
        <v>NV5695</v>
      </c>
      <c r="G376" s="7">
        <f>IFERROR(__xludf.DUMMYFUNCTION("""COMPUTED_VALUE"""),303.0)</f>
        <v>303</v>
      </c>
      <c r="H376" s="7" t="str">
        <f>IFERROR(__xludf.DUMMYFUNCTION("""COMPUTED_VALUE"""),"Lê Công Huấn")</f>
        <v>Lê Công Huấn</v>
      </c>
      <c r="I376" s="7" t="str">
        <f>IFERROR(__xludf.DUMMYFUNCTION("""COMPUTED_VALUE"""),"Nam")</f>
        <v>Nam</v>
      </c>
      <c r="J376" s="17">
        <f>IFERROR(__xludf.DUMMYFUNCTION("""COMPUTED_VALUE"""),33640.0)</f>
        <v>33640</v>
      </c>
      <c r="K376" s="7" t="str">
        <f>IFERROR(__xludf.DUMMYFUNCTION("""COMPUTED_VALUE"""),"Xã Quảng Ninh - Tỉnh Thanh Hóa")</f>
        <v>Xã Quảng Ninh - Tỉnh Thanh Hóa</v>
      </c>
      <c r="L376" s="7" t="str">
        <f>IFERROR(__xludf.DUMMYFUNCTION("""COMPUTED_VALUE"""),"0327987779")</f>
        <v>0327987779</v>
      </c>
      <c r="M376" s="7" t="str">
        <f>IFERROR(__xludf.DUMMYFUNCTION("""COMPUTED_VALUE"""),"038092004765")</f>
        <v>038092004765</v>
      </c>
      <c r="N376" s="17">
        <f>IFERROR(__xludf.DUMMYFUNCTION("""COMPUTED_VALUE"""),44427.0)</f>
        <v>44427</v>
      </c>
      <c r="O376" s="7" t="str">
        <f>IFERROR(__xludf.DUMMYFUNCTION("""COMPUTED_VALUE"""),"Cục Cảnh sát QLHC về TTXH")</f>
        <v>Cục Cảnh sát QLHC về TTXH</v>
      </c>
      <c r="P376" s="7" t="str">
        <f>IFERROR(__xludf.DUMMYFUNCTION("""COMPUTED_VALUE"""),"LĐPT")</f>
        <v>LĐPT</v>
      </c>
      <c r="Q376" s="7" t="str">
        <f>IFERROR(__xludf.DUMMYFUNCTION("""COMPUTED_VALUE"""),"Lao động phổ thông")</f>
        <v>Lao động phổ thông</v>
      </c>
      <c r="R376" s="17">
        <f>IFERROR(__xludf.DUMMYFUNCTION("""COMPUTED_VALUE"""),45908.0)</f>
        <v>45908</v>
      </c>
      <c r="S376" s="7"/>
      <c r="T376" s="7" t="str">
        <f>IFERROR(__xludf.DUMMYFUNCTION("""COMPUTED_VALUE"""),"Thử việc")</f>
        <v>Thử việc</v>
      </c>
      <c r="U376" s="7"/>
      <c r="V376" s="7"/>
      <c r="W376" s="7" t="str">
        <f>IFERROR(__xludf.DUMMYFUNCTION("""COMPUTED_VALUE"""),"0 năm 3 tháng")</f>
        <v>0 năm 3 tháng</v>
      </c>
      <c r="X376" s="7"/>
      <c r="Y376" s="7"/>
      <c r="Z376" s="7"/>
    </row>
    <row r="377">
      <c r="A377" s="21" t="str">
        <f>IFERROR(__xludf.DUMMYFUNCTION("""COMPUTED_VALUE"""),"14")</f>
        <v>14</v>
      </c>
      <c r="B377" s="7" t="str">
        <f>IFERROR(__xludf.DUMMYFUNCTION("""COMPUTED_VALUE"""),"PXSX1")</f>
        <v>PXSX1</v>
      </c>
      <c r="C377" s="7" t="str">
        <f>IFERROR(__xludf.DUMMYFUNCTION("""COMPUTED_VALUE"""),"Bộ phận nhiên liệu và gia công bán thành phẩm ")</f>
        <v>Bộ phận nhiên liệu và gia công bán thành phẩm </v>
      </c>
      <c r="D377" s="7" t="str">
        <f>IFERROR(__xludf.DUMMYFUNCTION("""COMPUTED_VALUE"""),"Dây chuyền gia công Ca A")</f>
        <v>Dây chuyền gia công Ca A</v>
      </c>
      <c r="E377" s="7" t="str">
        <f>IFERROR(__xludf.DUMMYFUNCTION("""COMPUTED_VALUE"""),"VH tráng Men")</f>
        <v>VH tráng Men</v>
      </c>
      <c r="F377" s="7" t="str">
        <f>IFERROR(__xludf.DUMMYFUNCTION("""COMPUTED_VALUE"""),"NV5706")</f>
        <v>NV5706</v>
      </c>
      <c r="G377" s="7">
        <f>IFERROR(__xludf.DUMMYFUNCTION("""COMPUTED_VALUE"""),1197.0)</f>
        <v>1197</v>
      </c>
      <c r="H377" s="7" t="str">
        <f>IFERROR(__xludf.DUMMYFUNCTION("""COMPUTED_VALUE"""),"Phạm Ngọc Khoa")</f>
        <v>Phạm Ngọc Khoa</v>
      </c>
      <c r="I377" s="7" t="str">
        <f>IFERROR(__xludf.DUMMYFUNCTION("""COMPUTED_VALUE"""),"Nam")</f>
        <v>Nam</v>
      </c>
      <c r="J377" s="17">
        <f>IFERROR(__xludf.DUMMYFUNCTION("""COMPUTED_VALUE"""),35259.0)</f>
        <v>35259</v>
      </c>
      <c r="K377" s="7" t="str">
        <f>IFERROR(__xludf.DUMMYFUNCTION("""COMPUTED_VALUE"""),"Châu Sơn - Xã Quảng Chính - Tỉnh Thanh Hóa")</f>
        <v>Châu Sơn - Xã Quảng Chính - Tỉnh Thanh Hóa</v>
      </c>
      <c r="L377" s="7" t="str">
        <f>IFERROR(__xludf.DUMMYFUNCTION("""COMPUTED_VALUE"""),"396240893")</f>
        <v>396240893</v>
      </c>
      <c r="M377" s="7" t="str">
        <f>IFERROR(__xludf.DUMMYFUNCTION("""COMPUTED_VALUE"""),"038096005265")</f>
        <v>038096005265</v>
      </c>
      <c r="N377" s="17">
        <f>IFERROR(__xludf.DUMMYFUNCTION("""COMPUTED_VALUE"""),44812.0)</f>
        <v>44812</v>
      </c>
      <c r="O377" s="7" t="str">
        <f>IFERROR(__xludf.DUMMYFUNCTION("""COMPUTED_VALUE"""),"Cục Cảnh sát QLHC về TTXH")</f>
        <v>Cục Cảnh sát QLHC về TTXH</v>
      </c>
      <c r="P377" s="7" t="str">
        <f>IFERROR(__xludf.DUMMYFUNCTION("""COMPUTED_VALUE"""),"LĐPT")</f>
        <v>LĐPT</v>
      </c>
      <c r="Q377" s="7" t="str">
        <f>IFERROR(__xludf.DUMMYFUNCTION("""COMPUTED_VALUE"""),"Lao động phổ thông")</f>
        <v>Lao động phổ thông</v>
      </c>
      <c r="R377" s="17">
        <f>IFERROR(__xludf.DUMMYFUNCTION("""COMPUTED_VALUE"""),45916.0)</f>
        <v>45916</v>
      </c>
      <c r="S377" s="7"/>
      <c r="T377" s="7" t="str">
        <f>IFERROR(__xludf.DUMMYFUNCTION("""COMPUTED_VALUE"""),"Thử việc")</f>
        <v>Thử việc</v>
      </c>
      <c r="U377" s="7"/>
      <c r="V377" s="7" t="str">
        <f>IFERROR(__xludf.DUMMYFUNCTION("""COMPUTED_VALUE"""),"Thử việc")</f>
        <v>Thử việc</v>
      </c>
      <c r="W377" s="7" t="str">
        <f>IFERROR(__xludf.DUMMYFUNCTION("""COMPUTED_VALUE"""),"0 năm 3 tháng")</f>
        <v>0 năm 3 tháng</v>
      </c>
      <c r="X377" s="7"/>
      <c r="Y377" s="7"/>
      <c r="Z377" s="7"/>
    </row>
    <row r="378">
      <c r="A378" s="21" t="str">
        <f>IFERROR(__xludf.DUMMYFUNCTION("""COMPUTED_VALUE"""),"15")</f>
        <v>15</v>
      </c>
      <c r="B378" s="7" t="str">
        <f>IFERROR(__xludf.DUMMYFUNCTION("""COMPUTED_VALUE"""),"PXSX1")</f>
        <v>PXSX1</v>
      </c>
      <c r="C378" s="7" t="str">
        <f>IFERROR(__xludf.DUMMYFUNCTION("""COMPUTED_VALUE"""),"Bộ phận nhiên liệu và gia công bán thành phẩm ")</f>
        <v>Bộ phận nhiên liệu và gia công bán thành phẩm </v>
      </c>
      <c r="D378" s="7" t="str">
        <f>IFERROR(__xludf.DUMMYFUNCTION("""COMPUTED_VALUE"""),"Dây chuyền gia công Ca A")</f>
        <v>Dây chuyền gia công Ca A</v>
      </c>
      <c r="E378" s="7" t="str">
        <f>IFERROR(__xludf.DUMMYFUNCTION("""COMPUTED_VALUE"""),"VH tráng Men")</f>
        <v>VH tráng Men</v>
      </c>
      <c r="F378" s="7" t="str">
        <f>IFERROR(__xludf.DUMMYFUNCTION("""COMPUTED_VALUE"""),"NV5716")</f>
        <v>NV5716</v>
      </c>
      <c r="G378" s="7">
        <f>IFERROR(__xludf.DUMMYFUNCTION("""COMPUTED_VALUE"""),1207.0)</f>
        <v>1207</v>
      </c>
      <c r="H378" s="7" t="str">
        <f>IFERROR(__xludf.DUMMYFUNCTION("""COMPUTED_VALUE"""),"Trần Văn Phương")</f>
        <v>Trần Văn Phương</v>
      </c>
      <c r="I378" s="7" t="str">
        <f>IFERROR(__xludf.DUMMYFUNCTION("""COMPUTED_VALUE"""),"Nam")</f>
        <v>Nam</v>
      </c>
      <c r="J378" s="17">
        <f>IFERROR(__xludf.DUMMYFUNCTION("""COMPUTED_VALUE"""),30046.0)</f>
        <v>30046</v>
      </c>
      <c r="K378" s="7" t="str">
        <f>IFERROR(__xludf.DUMMYFUNCTION("""COMPUTED_VALUE"""),"TDP Tây Nam - Phường Nam Sầm Sơn - Tỉnh Thanh Hóa")</f>
        <v>TDP Tây Nam - Phường Nam Sầm Sơn - Tỉnh Thanh Hóa</v>
      </c>
      <c r="L378" s="7" t="str">
        <f>IFERROR(__xludf.DUMMYFUNCTION("""COMPUTED_VALUE"""),"0964940787")</f>
        <v>0964940787</v>
      </c>
      <c r="M378" s="7" t="str">
        <f>IFERROR(__xludf.DUMMYFUNCTION("""COMPUTED_VALUE"""),"038082005652")</f>
        <v>038082005652</v>
      </c>
      <c r="N378" s="17">
        <f>IFERROR(__xludf.DUMMYFUNCTION("""COMPUTED_VALUE"""),44418.0)</f>
        <v>44418</v>
      </c>
      <c r="O378" s="7" t="str">
        <f>IFERROR(__xludf.DUMMYFUNCTION("""COMPUTED_VALUE"""),"Cục Cảnh sát QLHC về TTXH")</f>
        <v>Cục Cảnh sát QLHC về TTXH</v>
      </c>
      <c r="P378" s="7" t="str">
        <f>IFERROR(__xludf.DUMMYFUNCTION("""COMPUTED_VALUE"""),"LĐPT")</f>
        <v>LĐPT</v>
      </c>
      <c r="Q378" s="7" t="str">
        <f>IFERROR(__xludf.DUMMYFUNCTION("""COMPUTED_VALUE"""),"Lao động phổ thông")</f>
        <v>Lao động phổ thông</v>
      </c>
      <c r="R378" s="17">
        <f>IFERROR(__xludf.DUMMYFUNCTION("""COMPUTED_VALUE"""),45920.0)</f>
        <v>45920</v>
      </c>
      <c r="S378" s="7"/>
      <c r="T378" s="7" t="str">
        <f>IFERROR(__xludf.DUMMYFUNCTION("""COMPUTED_VALUE"""),"Thử việc")</f>
        <v>Thử việc</v>
      </c>
      <c r="U378" s="7"/>
      <c r="V378" s="7" t="str">
        <f>IFERROR(__xludf.DUMMYFUNCTION("""COMPUTED_VALUE"""),"Thử việc")</f>
        <v>Thử việc</v>
      </c>
      <c r="W378" s="7" t="str">
        <f>IFERROR(__xludf.DUMMYFUNCTION("""COMPUTED_VALUE"""),"0 năm 3 tháng")</f>
        <v>0 năm 3 tháng</v>
      </c>
      <c r="X378" s="7"/>
      <c r="Y378" s="7"/>
      <c r="Z378" s="7"/>
    </row>
    <row r="379">
      <c r="A379" s="21" t="str">
        <f>IFERROR(__xludf.DUMMYFUNCTION("""COMPUTED_VALUE"""),"16")</f>
        <v>16</v>
      </c>
      <c r="B379" s="7" t="str">
        <f>IFERROR(__xludf.DUMMYFUNCTION("""COMPUTED_VALUE"""),"PXSX1")</f>
        <v>PXSX1</v>
      </c>
      <c r="C379" s="7" t="str">
        <f>IFERROR(__xludf.DUMMYFUNCTION("""COMPUTED_VALUE"""),"Bộ phận nhiên liệu và gia công bán thành phẩm ")</f>
        <v>Bộ phận nhiên liệu và gia công bán thành phẩm </v>
      </c>
      <c r="D379" s="7" t="str">
        <f>IFERROR(__xludf.DUMMYFUNCTION("""COMPUTED_VALUE"""),"Dây chuyền gia công Ca A")</f>
        <v>Dây chuyền gia công Ca A</v>
      </c>
      <c r="E379" s="7" t="str">
        <f>IFERROR(__xludf.DUMMYFUNCTION("""COMPUTED_VALUE"""),"VH tráng Men")</f>
        <v>VH tráng Men</v>
      </c>
      <c r="F379" s="7" t="str">
        <f>IFERROR(__xludf.DUMMYFUNCTION("""COMPUTED_VALUE"""),"NV5370")</f>
        <v>NV5370</v>
      </c>
      <c r="G379" s="7">
        <f>IFERROR(__xludf.DUMMYFUNCTION("""COMPUTED_VALUE"""),788.0)</f>
        <v>788</v>
      </c>
      <c r="H379" s="7" t="str">
        <f>IFERROR(__xludf.DUMMYFUNCTION("""COMPUTED_VALUE"""),"Nguyễn Hữu  Sang")</f>
        <v>Nguyễn Hữu  Sang</v>
      </c>
      <c r="I379" s="7" t="str">
        <f>IFERROR(__xludf.DUMMYFUNCTION("""COMPUTED_VALUE"""),"Nam")</f>
        <v>Nam</v>
      </c>
      <c r="J379" s="17">
        <f>IFERROR(__xludf.DUMMYFUNCTION("""COMPUTED_VALUE"""),35219.0)</f>
        <v>35219</v>
      </c>
      <c r="K379" s="7" t="str">
        <f>IFERROR(__xludf.DUMMYFUNCTION("""COMPUTED_VALUE"""),"TDP- Thu Hảo- Phường Sầm Sơn - Tỉnh Thanh Hóa")</f>
        <v>TDP- Thu Hảo- Phường Sầm Sơn - Tỉnh Thanh Hóa</v>
      </c>
      <c r="L379" s="7" t="str">
        <f>IFERROR(__xludf.DUMMYFUNCTION("""COMPUTED_VALUE"""),"0977825173")</f>
        <v>0977825173</v>
      </c>
      <c r="M379" s="7" t="str">
        <f>IFERROR(__xludf.DUMMYFUNCTION("""COMPUTED_VALUE"""),"038096006389")</f>
        <v>038096006389</v>
      </c>
      <c r="N379" s="17">
        <f>IFERROR(__xludf.DUMMYFUNCTION("""COMPUTED_VALUE"""),44435.0)</f>
        <v>44435</v>
      </c>
      <c r="O379" s="7" t="str">
        <f>IFERROR(__xludf.DUMMYFUNCTION("""COMPUTED_VALUE"""),"Cục Cảnh sát QLHC về TTXH")</f>
        <v>Cục Cảnh sát QLHC về TTXH</v>
      </c>
      <c r="P379" s="7" t="str">
        <f>IFERROR(__xludf.DUMMYFUNCTION("""COMPUTED_VALUE"""),"LĐPT")</f>
        <v>LĐPT</v>
      </c>
      <c r="Q379" s="7" t="str">
        <f>IFERROR(__xludf.DUMMYFUNCTION("""COMPUTED_VALUE"""),"Lao động phổ thông")</f>
        <v>Lao động phổ thông</v>
      </c>
      <c r="R379" s="17">
        <f>IFERROR(__xludf.DUMMYFUNCTION("""COMPUTED_VALUE"""),45968.0)</f>
        <v>45968</v>
      </c>
      <c r="S379" s="17">
        <f>IFERROR(__xludf.DUMMYFUNCTION("""COMPUTED_VALUE"""),45968.0)</f>
        <v>45968</v>
      </c>
      <c r="T379" s="7" t="str">
        <f>IFERROR(__xludf.DUMMYFUNCTION("""COMPUTED_VALUE"""),"Chính thức")</f>
        <v>Chính thức</v>
      </c>
      <c r="U379" s="7"/>
      <c r="V379" s="7" t="str">
        <f>IFERROR(__xludf.DUMMYFUNCTION("""COMPUTED_VALUE"""),"Chính thức")</f>
        <v>Chính thức</v>
      </c>
      <c r="W379" s="7" t="str">
        <f>IFERROR(__xludf.DUMMYFUNCTION("""COMPUTED_VALUE"""),"0 năm 1 tháng")</f>
        <v>0 năm 1 tháng</v>
      </c>
      <c r="X379" s="7"/>
      <c r="Y379" s="7"/>
      <c r="Z379" s="7"/>
    </row>
    <row r="380">
      <c r="A380" s="21" t="str">
        <f>IFERROR(__xludf.DUMMYFUNCTION("""COMPUTED_VALUE"""),"1")</f>
        <v>1</v>
      </c>
      <c r="B380" s="7" t="str">
        <f>IFERROR(__xludf.DUMMYFUNCTION("""COMPUTED_VALUE"""),"PXSX1")</f>
        <v>PXSX1</v>
      </c>
      <c r="C380" s="7" t="str">
        <f>IFERROR(__xludf.DUMMYFUNCTION("""COMPUTED_VALUE"""),"Bộ phận nhiên liệu và gia công bán thành phẩm ")</f>
        <v>Bộ phận nhiên liệu và gia công bán thành phẩm </v>
      </c>
      <c r="D380" s="7" t="str">
        <f>IFERROR(__xludf.DUMMYFUNCTION("""COMPUTED_VALUE"""),"Dây chuyền gia công Ca B")</f>
        <v>Dây chuyền gia công Ca B</v>
      </c>
      <c r="E380" s="7" t="str">
        <f>IFERROR(__xludf.DUMMYFUNCTION("""COMPUTED_VALUE"""),"VH bù DC1")</f>
        <v>VH bù DC1</v>
      </c>
      <c r="F380" s="7" t="str">
        <f>IFERROR(__xludf.DUMMYFUNCTION("""COMPUTED_VALUE"""),"NV0182")</f>
        <v>NV0182</v>
      </c>
      <c r="G380" s="7">
        <f>IFERROR(__xludf.DUMMYFUNCTION("""COMPUTED_VALUE"""),122.0)</f>
        <v>122</v>
      </c>
      <c r="H380" s="7" t="str">
        <f>IFERROR(__xludf.DUMMYFUNCTION("""COMPUTED_VALUE"""),"Lê Như Hoàng")</f>
        <v>Lê Như Hoàng</v>
      </c>
      <c r="I380" s="7" t="str">
        <f>IFERROR(__xludf.DUMMYFUNCTION("""COMPUTED_VALUE"""),"Nam")</f>
        <v>Nam</v>
      </c>
      <c r="J380" s="17">
        <f>IFERROR(__xludf.DUMMYFUNCTION("""COMPUTED_VALUE"""),26726.0)</f>
        <v>26726</v>
      </c>
      <c r="K380" s="7" t="str">
        <f>IFERROR(__xludf.DUMMYFUNCTION("""COMPUTED_VALUE"""),"Xã Lưu Vệ - Tỉnh Thanh Hóa")</f>
        <v>Xã Lưu Vệ - Tỉnh Thanh Hóa</v>
      </c>
      <c r="L380" s="7" t="str">
        <f>IFERROR(__xludf.DUMMYFUNCTION("""COMPUTED_VALUE"""),"0981229172")</f>
        <v>0981229172</v>
      </c>
      <c r="M380" s="7" t="str">
        <f>IFERROR(__xludf.DUMMYFUNCTION("""COMPUTED_VALUE"""),"038073002133")</f>
        <v>038073002133</v>
      </c>
      <c r="N380" s="17">
        <f>IFERROR(__xludf.DUMMYFUNCTION("""COMPUTED_VALUE"""),44325.0)</f>
        <v>44325</v>
      </c>
      <c r="O380" s="7" t="str">
        <f>IFERROR(__xludf.DUMMYFUNCTION("""COMPUTED_VALUE"""),"Cục Cảnh sát QLHC về TTXH")</f>
        <v>Cục Cảnh sát QLHC về TTXH</v>
      </c>
      <c r="P380" s="7" t="str">
        <f>IFERROR(__xludf.DUMMYFUNCTION("""COMPUTED_VALUE"""),"LĐPT")</f>
        <v>LĐPT</v>
      </c>
      <c r="Q380" s="7" t="str">
        <f>IFERROR(__xludf.DUMMYFUNCTION("""COMPUTED_VALUE"""),"Lao động phổ thông")</f>
        <v>Lao động phổ thông</v>
      </c>
      <c r="R380" s="17">
        <f>IFERROR(__xludf.DUMMYFUNCTION("""COMPUTED_VALUE"""),37469.0)</f>
        <v>37469</v>
      </c>
      <c r="S380" s="17">
        <f>IFERROR(__xludf.DUMMYFUNCTION("""COMPUTED_VALUE"""),37469.0)</f>
        <v>37469</v>
      </c>
      <c r="T380" s="7" t="str">
        <f>IFERROR(__xludf.DUMMYFUNCTION("""COMPUTED_VALUE"""),"Chính thức")</f>
        <v>Chính thức</v>
      </c>
      <c r="U380" s="7"/>
      <c r="V380" s="7"/>
      <c r="W380" s="7" t="str">
        <f>IFERROR(__xludf.DUMMYFUNCTION("""COMPUTED_VALUE"""),"23 năm 4 tháng")</f>
        <v>23 năm 4 tháng</v>
      </c>
      <c r="X380" s="7"/>
      <c r="Y380" s="7"/>
      <c r="Z380" s="7"/>
    </row>
    <row r="381">
      <c r="A381" s="21" t="str">
        <f>IFERROR(__xludf.DUMMYFUNCTION("""COMPUTED_VALUE"""),"2")</f>
        <v>2</v>
      </c>
      <c r="B381" s="7" t="str">
        <f>IFERROR(__xludf.DUMMYFUNCTION("""COMPUTED_VALUE"""),"PXSX1")</f>
        <v>PXSX1</v>
      </c>
      <c r="C381" s="7" t="str">
        <f>IFERROR(__xludf.DUMMYFUNCTION("""COMPUTED_VALUE"""),"Bộ phận nhiên liệu và gia công bán thành phẩm ")</f>
        <v>Bộ phận nhiên liệu và gia công bán thành phẩm </v>
      </c>
      <c r="D381" s="7" t="str">
        <f>IFERROR(__xludf.DUMMYFUNCTION("""COMPUTED_VALUE"""),"Dây chuyền gia công Ca B")</f>
        <v>Dây chuyền gia công Ca B</v>
      </c>
      <c r="E381" s="7" t="str">
        <f>IFERROR(__xludf.DUMMYFUNCTION("""COMPUTED_VALUE"""),"VH bù DC2")</f>
        <v>VH bù DC2</v>
      </c>
      <c r="F381" s="7" t="str">
        <f>IFERROR(__xludf.DUMMYFUNCTION("""COMPUTED_VALUE"""),"NV0132")</f>
        <v>NV0132</v>
      </c>
      <c r="G381" s="7">
        <f>IFERROR(__xludf.DUMMYFUNCTION("""COMPUTED_VALUE"""),313.0)</f>
        <v>313</v>
      </c>
      <c r="H381" s="7" t="str">
        <f>IFERROR(__xludf.DUMMYFUNCTION("""COMPUTED_VALUE"""),"Lê Thị Bình")</f>
        <v>Lê Thị Bình</v>
      </c>
      <c r="I381" s="7" t="str">
        <f>IFERROR(__xludf.DUMMYFUNCTION("""COMPUTED_VALUE"""),"Nữ ")</f>
        <v>Nữ </v>
      </c>
      <c r="J381" s="17">
        <f>IFERROR(__xludf.DUMMYFUNCTION("""COMPUTED_VALUE"""),28298.0)</f>
        <v>28298</v>
      </c>
      <c r="K381" s="7" t="str">
        <f>IFERROR(__xludf.DUMMYFUNCTION("""COMPUTED_VALUE"""),"Phường An Hoạch -  Thành phố Thanh Hóa")</f>
        <v>Phường An Hoạch -  Thành phố Thanh Hóa</v>
      </c>
      <c r="L381" s="7" t="str">
        <f>IFERROR(__xludf.DUMMYFUNCTION("""COMPUTED_VALUE"""),"0394820975")</f>
        <v>0394820975</v>
      </c>
      <c r="M381" s="7" t="str">
        <f>IFERROR(__xludf.DUMMYFUNCTION("""COMPUTED_VALUE"""),"038177001338")</f>
        <v>038177001338</v>
      </c>
      <c r="N381" s="17">
        <f>IFERROR(__xludf.DUMMYFUNCTION("""COMPUTED_VALUE"""),42604.0)</f>
        <v>42604</v>
      </c>
      <c r="O381" s="7" t="str">
        <f>IFERROR(__xludf.DUMMYFUNCTION("""COMPUTED_VALUE"""),"Cục Cảnh sát QLHC về TTXH")</f>
        <v>Cục Cảnh sát QLHC về TTXH</v>
      </c>
      <c r="P381" s="7" t="str">
        <f>IFERROR(__xludf.DUMMYFUNCTION("""COMPUTED_VALUE"""),"LĐPT")</f>
        <v>LĐPT</v>
      </c>
      <c r="Q381" s="7" t="str">
        <f>IFERROR(__xludf.DUMMYFUNCTION("""COMPUTED_VALUE"""),"Lao động phổ thông")</f>
        <v>Lao động phổ thông</v>
      </c>
      <c r="R381" s="17">
        <f>IFERROR(__xludf.DUMMYFUNCTION("""COMPUTED_VALUE"""),41951.0)</f>
        <v>41951</v>
      </c>
      <c r="S381" s="17">
        <f>IFERROR(__xludf.DUMMYFUNCTION("""COMPUTED_VALUE"""),41951.0)</f>
        <v>41951</v>
      </c>
      <c r="T381" s="7" t="str">
        <f>IFERROR(__xludf.DUMMYFUNCTION("""COMPUTED_VALUE"""),"Chính thức")</f>
        <v>Chính thức</v>
      </c>
      <c r="U381" s="7"/>
      <c r="V381" s="7"/>
      <c r="W381" s="7" t="str">
        <f>IFERROR(__xludf.DUMMYFUNCTION("""COMPUTED_VALUE"""),"11 năm 1 tháng")</f>
        <v>11 năm 1 tháng</v>
      </c>
      <c r="X381" s="7"/>
      <c r="Y381" s="7"/>
      <c r="Z381" s="7"/>
    </row>
    <row r="382">
      <c r="A382" s="21" t="str">
        <f>IFERROR(__xludf.DUMMYFUNCTION("""COMPUTED_VALUE"""),"3")</f>
        <v>3</v>
      </c>
      <c r="B382" s="7" t="str">
        <f>IFERROR(__xludf.DUMMYFUNCTION("""COMPUTED_VALUE"""),"PXSX1")</f>
        <v>PXSX1</v>
      </c>
      <c r="C382" s="7" t="str">
        <f>IFERROR(__xludf.DUMMYFUNCTION("""COMPUTED_VALUE"""),"Bộ phận nhiên liệu và gia công bán thành phẩm ")</f>
        <v>Bộ phận nhiên liệu và gia công bán thành phẩm </v>
      </c>
      <c r="D382" s="7" t="str">
        <f>IFERROR(__xludf.DUMMYFUNCTION("""COMPUTED_VALUE"""),"Dây chuyền gia công Ca B")</f>
        <v>Dây chuyền gia công Ca B</v>
      </c>
      <c r="E382" s="7" t="str">
        <f>IFERROR(__xludf.DUMMYFUNCTION("""COMPUTED_VALUE"""),"VHC Máy in kỹ thuật số")</f>
        <v>VHC Máy in kỹ thuật số</v>
      </c>
      <c r="F382" s="7" t="str">
        <f>IFERROR(__xludf.DUMMYFUNCTION("""COMPUTED_VALUE"""),"NV2660")</f>
        <v>NV2660</v>
      </c>
      <c r="G382" s="7">
        <f>IFERROR(__xludf.DUMMYFUNCTION("""COMPUTED_VALUE"""),324.0)</f>
        <v>324</v>
      </c>
      <c r="H382" s="7" t="str">
        <f>IFERROR(__xludf.DUMMYFUNCTION("""COMPUTED_VALUE"""),"Nguyễn Trường Giang")</f>
        <v>Nguyễn Trường Giang</v>
      </c>
      <c r="I382" s="7" t="str">
        <f>IFERROR(__xludf.DUMMYFUNCTION("""COMPUTED_VALUE"""),"Nam")</f>
        <v>Nam</v>
      </c>
      <c r="J382" s="17">
        <f>IFERROR(__xludf.DUMMYFUNCTION("""COMPUTED_VALUE"""),28772.0)</f>
        <v>28772</v>
      </c>
      <c r="K382" s="7" t="str">
        <f>IFERROR(__xludf.DUMMYFUNCTION("""COMPUTED_VALUE"""),"Thọ Minh - Xã Trường Văn - Tỉnh Thanh Hóa")</f>
        <v>Thọ Minh - Xã Trường Văn - Tỉnh Thanh Hóa</v>
      </c>
      <c r="L382" s="7" t="str">
        <f>IFERROR(__xludf.DUMMYFUNCTION("""COMPUTED_VALUE"""),"0973288358")</f>
        <v>0973288358</v>
      </c>
      <c r="M382" s="7" t="str">
        <f>IFERROR(__xludf.DUMMYFUNCTION("""COMPUTED_VALUE"""),"038078016049")</f>
        <v>038078016049</v>
      </c>
      <c r="N382" s="17">
        <f>IFERROR(__xludf.DUMMYFUNCTION("""COMPUTED_VALUE"""),44778.0)</f>
        <v>44778</v>
      </c>
      <c r="O382" s="7" t="str">
        <f>IFERROR(__xludf.DUMMYFUNCTION("""COMPUTED_VALUE"""),"Cục Cảnh sát QLHC về TTXH")</f>
        <v>Cục Cảnh sát QLHC về TTXH</v>
      </c>
      <c r="P382" s="7" t="str">
        <f>IFERROR(__xludf.DUMMYFUNCTION("""COMPUTED_VALUE"""),"Trung cấp")</f>
        <v>Trung cấp</v>
      </c>
      <c r="Q382" s="7" t="str">
        <f>IFERROR(__xludf.DUMMYFUNCTION("""COMPUTED_VALUE"""),"CĐ hóa chất")</f>
        <v>CĐ hóa chất</v>
      </c>
      <c r="R382" s="17">
        <f>IFERROR(__xludf.DUMMYFUNCTION("""COMPUTED_VALUE"""),43819.0)</f>
        <v>43819</v>
      </c>
      <c r="S382" s="17">
        <f>IFERROR(__xludf.DUMMYFUNCTION("""COMPUTED_VALUE"""),44105.0)</f>
        <v>44105</v>
      </c>
      <c r="T382" s="7" t="str">
        <f>IFERROR(__xludf.DUMMYFUNCTION("""COMPUTED_VALUE"""),"Chính thức")</f>
        <v>Chính thức</v>
      </c>
      <c r="U382" s="7"/>
      <c r="V382" s="7"/>
      <c r="W382" s="7" t="str">
        <f>IFERROR(__xludf.DUMMYFUNCTION("""COMPUTED_VALUE"""),"6 năm 0 tháng")</f>
        <v>6 năm 0 tháng</v>
      </c>
      <c r="X382" s="7"/>
      <c r="Y382" s="7"/>
      <c r="Z382" s="7"/>
    </row>
    <row r="383">
      <c r="A383" s="21" t="str">
        <f>IFERROR(__xludf.DUMMYFUNCTION("""COMPUTED_VALUE"""),"4")</f>
        <v>4</v>
      </c>
      <c r="B383" s="7" t="str">
        <f>IFERROR(__xludf.DUMMYFUNCTION("""COMPUTED_VALUE"""),"PXSX1")</f>
        <v>PXSX1</v>
      </c>
      <c r="C383" s="7" t="str">
        <f>IFERROR(__xludf.DUMMYFUNCTION("""COMPUTED_VALUE"""),"Bộ phận nhiên liệu và gia công bán thành phẩm ")</f>
        <v>Bộ phận nhiên liệu và gia công bán thành phẩm </v>
      </c>
      <c r="D383" s="7" t="str">
        <f>IFERROR(__xludf.DUMMYFUNCTION("""COMPUTED_VALUE"""),"Dây chuyền gia công Ca B")</f>
        <v>Dây chuyền gia công Ca B</v>
      </c>
      <c r="E383" s="7" t="str">
        <f>IFERROR(__xludf.DUMMYFUNCTION("""COMPUTED_VALUE"""),"Vận hành chính")</f>
        <v>Vận hành chính</v>
      </c>
      <c r="F383" s="7" t="str">
        <f>IFERROR(__xludf.DUMMYFUNCTION("""COMPUTED_VALUE"""),"NV0194")</f>
        <v>NV0194</v>
      </c>
      <c r="G383" s="7">
        <f>IFERROR(__xludf.DUMMYFUNCTION("""COMPUTED_VALUE"""),706.0)</f>
        <v>706</v>
      </c>
      <c r="H383" s="7" t="str">
        <f>IFERROR(__xludf.DUMMYFUNCTION("""COMPUTED_VALUE"""),"Lương Xuân Tùng")</f>
        <v>Lương Xuân Tùng</v>
      </c>
      <c r="I383" s="7" t="str">
        <f>IFERROR(__xludf.DUMMYFUNCTION("""COMPUTED_VALUE"""),"Nam")</f>
        <v>Nam</v>
      </c>
      <c r="J383" s="17">
        <f>IFERROR(__xludf.DUMMYFUNCTION("""COMPUTED_VALUE"""),29298.0)</f>
        <v>29298</v>
      </c>
      <c r="K383" s="7" t="str">
        <f>IFERROR(__xludf.DUMMYFUNCTION("""COMPUTED_VALUE"""),"Xã Hoằng Lộc - Tỉnh Thanh Hóa")</f>
        <v>Xã Hoằng Lộc - Tỉnh Thanh Hóa</v>
      </c>
      <c r="L383" s="7" t="str">
        <f>IFERROR(__xludf.DUMMYFUNCTION("""COMPUTED_VALUE"""),"0949914300")</f>
        <v>0949914300</v>
      </c>
      <c r="M383" s="7" t="str">
        <f>IFERROR(__xludf.DUMMYFUNCTION("""COMPUTED_VALUE"""),"038080002461")</f>
        <v>038080002461</v>
      </c>
      <c r="N383" s="17">
        <f>IFERROR(__xludf.DUMMYFUNCTION("""COMPUTED_VALUE"""),44055.0)</f>
        <v>44055</v>
      </c>
      <c r="O383" s="7" t="str">
        <f>IFERROR(__xludf.DUMMYFUNCTION("""COMPUTED_VALUE"""),"Cục Cảnh sát QLHC về TTXH")</f>
        <v>Cục Cảnh sát QLHC về TTXH</v>
      </c>
      <c r="P383" s="7" t="str">
        <f>IFERROR(__xludf.DUMMYFUNCTION("""COMPUTED_VALUE"""),"LĐPT")</f>
        <v>LĐPT</v>
      </c>
      <c r="Q383" s="7" t="str">
        <f>IFERROR(__xludf.DUMMYFUNCTION("""COMPUTED_VALUE"""),"Lao động phổ thông")</f>
        <v>Lao động phổ thông</v>
      </c>
      <c r="R383" s="17">
        <f>IFERROR(__xludf.DUMMYFUNCTION("""COMPUTED_VALUE"""),39322.0)</f>
        <v>39322</v>
      </c>
      <c r="S383" s="17">
        <f>IFERROR(__xludf.DUMMYFUNCTION("""COMPUTED_VALUE"""),39322.0)</f>
        <v>39322</v>
      </c>
      <c r="T383" s="7" t="str">
        <f>IFERROR(__xludf.DUMMYFUNCTION("""COMPUTED_VALUE"""),"Chính thức")</f>
        <v>Chính thức</v>
      </c>
      <c r="U383" s="7"/>
      <c r="V383" s="7"/>
      <c r="W383" s="7" t="str">
        <f>IFERROR(__xludf.DUMMYFUNCTION("""COMPUTED_VALUE"""),"18 năm 4 tháng")</f>
        <v>18 năm 4 tháng</v>
      </c>
      <c r="X383" s="7"/>
      <c r="Y383" s="7"/>
      <c r="Z383" s="7"/>
    </row>
    <row r="384">
      <c r="A384" s="21" t="str">
        <f>IFERROR(__xludf.DUMMYFUNCTION("""COMPUTED_VALUE"""),"5")</f>
        <v>5</v>
      </c>
      <c r="B384" s="7" t="str">
        <f>IFERROR(__xludf.DUMMYFUNCTION("""COMPUTED_VALUE"""),"PXSX1")</f>
        <v>PXSX1</v>
      </c>
      <c r="C384" s="7" t="str">
        <f>IFERROR(__xludf.DUMMYFUNCTION("""COMPUTED_VALUE"""),"Bộ phận nhiên liệu và gia công bán thành phẩm ")</f>
        <v>Bộ phận nhiên liệu và gia công bán thành phẩm </v>
      </c>
      <c r="D384" s="7" t="str">
        <f>IFERROR(__xludf.DUMMYFUNCTION("""COMPUTED_VALUE"""),"Dây chuyền gia công Ca B")</f>
        <v>Dây chuyền gia công Ca B</v>
      </c>
      <c r="E384" s="7" t="str">
        <f>IFERROR(__xludf.DUMMYFUNCTION("""COMPUTED_VALUE"""),"VH Sấy DC 1")</f>
        <v>VH Sấy DC 1</v>
      </c>
      <c r="F384" s="7" t="str">
        <f>IFERROR(__xludf.DUMMYFUNCTION("""COMPUTED_VALUE"""),"NV2576")</f>
        <v>NV2576</v>
      </c>
      <c r="G384" s="7">
        <f>IFERROR(__xludf.DUMMYFUNCTION("""COMPUTED_VALUE"""),117.0)</f>
        <v>117</v>
      </c>
      <c r="H384" s="7" t="str">
        <f>IFERROR(__xludf.DUMMYFUNCTION("""COMPUTED_VALUE"""),"Nguyễn Đăng Điệp")</f>
        <v>Nguyễn Đăng Điệp</v>
      </c>
      <c r="I384" s="7" t="str">
        <f>IFERROR(__xludf.DUMMYFUNCTION("""COMPUTED_VALUE"""),"Nam")</f>
        <v>Nam</v>
      </c>
      <c r="J384" s="17">
        <f>IFERROR(__xludf.DUMMYFUNCTION("""COMPUTED_VALUE"""),29435.0)</f>
        <v>29435</v>
      </c>
      <c r="K384" s="7" t="str">
        <f>IFERROR(__xludf.DUMMYFUNCTION("""COMPUTED_VALUE"""),"Xã Hoằng Hoá - Tỉnh Thanh Hoá")</f>
        <v>Xã Hoằng Hoá - Tỉnh Thanh Hoá</v>
      </c>
      <c r="L384" s="7" t="str">
        <f>IFERROR(__xludf.DUMMYFUNCTION("""COMPUTED_VALUE"""),"0977514005")</f>
        <v>0977514005</v>
      </c>
      <c r="M384" s="7" t="str">
        <f>IFERROR(__xludf.DUMMYFUNCTION("""COMPUTED_VALUE"""),"038080003622")</f>
        <v>038080003622</v>
      </c>
      <c r="N384" s="17">
        <f>IFERROR(__xludf.DUMMYFUNCTION("""COMPUTED_VALUE"""),42746.0)</f>
        <v>42746</v>
      </c>
      <c r="O384" s="7" t="str">
        <f>IFERROR(__xludf.DUMMYFUNCTION("""COMPUTED_VALUE"""),"Cục Cảnh sát QLHC về TTXH")</f>
        <v>Cục Cảnh sát QLHC về TTXH</v>
      </c>
      <c r="P384" s="7" t="str">
        <f>IFERROR(__xludf.DUMMYFUNCTION("""COMPUTED_VALUE"""),"LĐPT")</f>
        <v>LĐPT</v>
      </c>
      <c r="Q384" s="7" t="str">
        <f>IFERROR(__xludf.DUMMYFUNCTION("""COMPUTED_VALUE"""),"Lao động phổ thông")</f>
        <v>Lao động phổ thông</v>
      </c>
      <c r="R384" s="17">
        <f>IFERROR(__xludf.DUMMYFUNCTION("""COMPUTED_VALUE"""),43735.0)</f>
        <v>43735</v>
      </c>
      <c r="S384" s="17">
        <f>IFERROR(__xludf.DUMMYFUNCTION("""COMPUTED_VALUE"""),44044.0)</f>
        <v>44044</v>
      </c>
      <c r="T384" s="7" t="str">
        <f>IFERROR(__xludf.DUMMYFUNCTION("""COMPUTED_VALUE"""),"Chính thức")</f>
        <v>Chính thức</v>
      </c>
      <c r="U384" s="7"/>
      <c r="V384" s="7"/>
      <c r="W384" s="7" t="str">
        <f>IFERROR(__xludf.DUMMYFUNCTION("""COMPUTED_VALUE"""),"6 năm 3 tháng")</f>
        <v>6 năm 3 tháng</v>
      </c>
      <c r="X384" s="7"/>
      <c r="Y384" s="7"/>
      <c r="Z384" s="7"/>
    </row>
    <row r="385">
      <c r="A385" s="21" t="str">
        <f>IFERROR(__xludf.DUMMYFUNCTION("""COMPUTED_VALUE"""),"6")</f>
        <v>6</v>
      </c>
      <c r="B385" s="7" t="str">
        <f>IFERROR(__xludf.DUMMYFUNCTION("""COMPUTED_VALUE"""),"PXSX1")</f>
        <v>PXSX1</v>
      </c>
      <c r="C385" s="7" t="str">
        <f>IFERROR(__xludf.DUMMYFUNCTION("""COMPUTED_VALUE"""),"Bộ phận nhiên liệu và gia công bán thành phẩm ")</f>
        <v>Bộ phận nhiên liệu và gia công bán thành phẩm </v>
      </c>
      <c r="D385" s="7" t="str">
        <f>IFERROR(__xludf.DUMMYFUNCTION("""COMPUTED_VALUE"""),"Dây chuyền gia công Ca B")</f>
        <v>Dây chuyền gia công Ca B</v>
      </c>
      <c r="E385" s="7" t="str">
        <f>IFERROR(__xludf.DUMMYFUNCTION("""COMPUTED_VALUE"""),"VH chính Máy ép DC 2")</f>
        <v>VH chính Máy ép DC 2</v>
      </c>
      <c r="F385" s="7" t="str">
        <f>IFERROR(__xludf.DUMMYFUNCTION("""COMPUTED_VALUE"""),"NV0181")</f>
        <v>NV0181</v>
      </c>
      <c r="G385" s="7">
        <f>IFERROR(__xludf.DUMMYFUNCTION("""COMPUTED_VALUE"""),338.0)</f>
        <v>338</v>
      </c>
      <c r="H385" s="7" t="str">
        <f>IFERROR(__xludf.DUMMYFUNCTION("""COMPUTED_VALUE"""),"Đào Xuân Hùng")</f>
        <v>Đào Xuân Hùng</v>
      </c>
      <c r="I385" s="7" t="str">
        <f>IFERROR(__xludf.DUMMYFUNCTION("""COMPUTED_VALUE"""),"Nam")</f>
        <v>Nam</v>
      </c>
      <c r="J385" s="17">
        <f>IFERROR(__xludf.DUMMYFUNCTION("""COMPUTED_VALUE"""),30231.0)</f>
        <v>30231</v>
      </c>
      <c r="K385" s="7" t="str">
        <f>IFERROR(__xludf.DUMMYFUNCTION("""COMPUTED_VALUE"""),"Phường Quảng Phú - Tỉnh Thanh Hóa ")</f>
        <v>Phường Quảng Phú - Tỉnh Thanh Hóa </v>
      </c>
      <c r="L385" s="7" t="str">
        <f>IFERROR(__xludf.DUMMYFUNCTION("""COMPUTED_VALUE"""),"0989365282")</f>
        <v>0989365282</v>
      </c>
      <c r="M385" s="7" t="str">
        <f>IFERROR(__xludf.DUMMYFUNCTION("""COMPUTED_VALUE"""),"038082003923")</f>
        <v>038082003923</v>
      </c>
      <c r="N385" s="17">
        <f>IFERROR(__xludf.DUMMYFUNCTION("""COMPUTED_VALUE"""),44545.0)</f>
        <v>44545</v>
      </c>
      <c r="O385" s="7" t="str">
        <f>IFERROR(__xludf.DUMMYFUNCTION("""COMPUTED_VALUE"""),"Cục Cảnh sát QLHC về TTXH")</f>
        <v>Cục Cảnh sát QLHC về TTXH</v>
      </c>
      <c r="P385" s="7" t="str">
        <f>IFERROR(__xludf.DUMMYFUNCTION("""COMPUTED_VALUE"""),"Trung cấp")</f>
        <v>Trung cấp</v>
      </c>
      <c r="Q385" s="7" t="str">
        <f>IFERROR(__xludf.DUMMYFUNCTION("""COMPUTED_VALUE"""),"Điện tử")</f>
        <v>Điện tử</v>
      </c>
      <c r="R385" s="17">
        <f>IFERROR(__xludf.DUMMYFUNCTION("""COMPUTED_VALUE"""),38838.0)</f>
        <v>38838</v>
      </c>
      <c r="S385" s="17">
        <f>IFERROR(__xludf.DUMMYFUNCTION("""COMPUTED_VALUE"""),38838.0)</f>
        <v>38838</v>
      </c>
      <c r="T385" s="7" t="str">
        <f>IFERROR(__xludf.DUMMYFUNCTION("""COMPUTED_VALUE"""),"Chính thức")</f>
        <v>Chính thức</v>
      </c>
      <c r="U385" s="7"/>
      <c r="V385" s="7"/>
      <c r="W385" s="7" t="str">
        <f>IFERROR(__xludf.DUMMYFUNCTION("""COMPUTED_VALUE"""),"19 năm 7 tháng")</f>
        <v>19 năm 7 tháng</v>
      </c>
      <c r="X385" s="7"/>
      <c r="Y385" s="7"/>
      <c r="Z385" s="7"/>
    </row>
    <row r="386">
      <c r="A386" s="21" t="str">
        <f>IFERROR(__xludf.DUMMYFUNCTION("""COMPUTED_VALUE"""),"7")</f>
        <v>7</v>
      </c>
      <c r="B386" s="7" t="str">
        <f>IFERROR(__xludf.DUMMYFUNCTION("""COMPUTED_VALUE"""),"PXSX1")</f>
        <v>PXSX1</v>
      </c>
      <c r="C386" s="7" t="str">
        <f>IFERROR(__xludf.DUMMYFUNCTION("""COMPUTED_VALUE"""),"Bộ phận nhiên liệu và gia công bán thành phẩm ")</f>
        <v>Bộ phận nhiên liệu và gia công bán thành phẩm </v>
      </c>
      <c r="D386" s="7" t="str">
        <f>IFERROR(__xludf.DUMMYFUNCTION("""COMPUTED_VALUE"""),"Dây chuyền gia công Ca B")</f>
        <v>Dây chuyền gia công Ca B</v>
      </c>
      <c r="E386" s="7" t="str">
        <f>IFERROR(__xludf.DUMMYFUNCTION("""COMPUTED_VALUE"""),"VH Sấy DC 2")</f>
        <v>VH Sấy DC 2</v>
      </c>
      <c r="F386" s="7" t="str">
        <f>IFERROR(__xludf.DUMMYFUNCTION("""COMPUTED_VALUE"""),"NV2359")</f>
        <v>NV2359</v>
      </c>
      <c r="G386" s="7">
        <f>IFERROR(__xludf.DUMMYFUNCTION("""COMPUTED_VALUE"""),326.0)</f>
        <v>326</v>
      </c>
      <c r="H386" s="7" t="str">
        <f>IFERROR(__xludf.DUMMYFUNCTION("""COMPUTED_VALUE"""),"Lê Duy Hợp")</f>
        <v>Lê Duy Hợp</v>
      </c>
      <c r="I386" s="7" t="str">
        <f>IFERROR(__xludf.DUMMYFUNCTION("""COMPUTED_VALUE"""),"Nam")</f>
        <v>Nam</v>
      </c>
      <c r="J386" s="17">
        <f>IFERROR(__xludf.DUMMYFUNCTION("""COMPUTED_VALUE"""),31274.0)</f>
        <v>31274</v>
      </c>
      <c r="K386" s="7" t="str">
        <f>IFERROR(__xludf.DUMMYFUNCTION("""COMPUTED_VALUE"""),"Thôn 1 - Xã Quảng Ninh - Tỉnh Thanh Hóa")</f>
        <v>Thôn 1 - Xã Quảng Ninh - Tỉnh Thanh Hóa</v>
      </c>
      <c r="L386" s="7" t="str">
        <f>IFERROR(__xludf.DUMMYFUNCTION("""COMPUTED_VALUE"""),"0363571077")</f>
        <v>0363571077</v>
      </c>
      <c r="M386" s="7" t="str">
        <f>IFERROR(__xludf.DUMMYFUNCTION("""COMPUTED_VALUE"""),"038085031622")</f>
        <v>038085031622</v>
      </c>
      <c r="N386" s="17">
        <f>IFERROR(__xludf.DUMMYFUNCTION("""COMPUTED_VALUE"""),44420.0)</f>
        <v>44420</v>
      </c>
      <c r="O386" s="7" t="str">
        <f>IFERROR(__xludf.DUMMYFUNCTION("""COMPUTED_VALUE"""),"Cục Cảnh sát QLHC về TTXH")</f>
        <v>Cục Cảnh sát QLHC về TTXH</v>
      </c>
      <c r="P386" s="7" t="str">
        <f>IFERROR(__xludf.DUMMYFUNCTION("""COMPUTED_VALUE"""),"LĐPT")</f>
        <v>LĐPT</v>
      </c>
      <c r="Q386" s="7" t="str">
        <f>IFERROR(__xludf.DUMMYFUNCTION("""COMPUTED_VALUE"""),"Lao động phổ thông")</f>
        <v>Lao động phổ thông</v>
      </c>
      <c r="R386" s="17">
        <f>IFERROR(__xludf.DUMMYFUNCTION("""COMPUTED_VALUE"""),43591.0)</f>
        <v>43591</v>
      </c>
      <c r="S386" s="17">
        <f>IFERROR(__xludf.DUMMYFUNCTION("""COMPUTED_VALUE"""),43983.0)</f>
        <v>43983</v>
      </c>
      <c r="T386" s="7" t="str">
        <f>IFERROR(__xludf.DUMMYFUNCTION("""COMPUTED_VALUE"""),"Chính thức")</f>
        <v>Chính thức</v>
      </c>
      <c r="U386" s="7"/>
      <c r="V386" s="7"/>
      <c r="W386" s="7" t="str">
        <f>IFERROR(__xludf.DUMMYFUNCTION("""COMPUTED_VALUE"""),"6 năm 7 tháng")</f>
        <v>6 năm 7 tháng</v>
      </c>
      <c r="X386" s="7"/>
      <c r="Y386" s="7"/>
      <c r="Z386" s="7"/>
    </row>
    <row r="387">
      <c r="A387" s="21" t="str">
        <f>IFERROR(__xludf.DUMMYFUNCTION("""COMPUTED_VALUE"""),"8")</f>
        <v>8</v>
      </c>
      <c r="B387" s="7" t="str">
        <f>IFERROR(__xludf.DUMMYFUNCTION("""COMPUTED_VALUE"""),"PXSX1")</f>
        <v>PXSX1</v>
      </c>
      <c r="C387" s="7" t="str">
        <f>IFERROR(__xludf.DUMMYFUNCTION("""COMPUTED_VALUE"""),"Bộ phận nhiên liệu và gia công bán thành phẩm ")</f>
        <v>Bộ phận nhiên liệu và gia công bán thành phẩm </v>
      </c>
      <c r="D387" s="7" t="str">
        <f>IFERROR(__xludf.DUMMYFUNCTION("""COMPUTED_VALUE"""),"Dây chuyền gia công Ca B")</f>
        <v>Dây chuyền gia công Ca B</v>
      </c>
      <c r="E387" s="7" t="str">
        <f>IFERROR(__xludf.DUMMYFUNCTION("""COMPUTED_VALUE"""),"Tổ trưởng - Phụ trách Dây chuyền gia công")</f>
        <v>Tổ trưởng - Phụ trách Dây chuyền gia công</v>
      </c>
      <c r="F387" s="7" t="str">
        <f>IFERROR(__xludf.DUMMYFUNCTION("""COMPUTED_VALUE"""),"NV0184")</f>
        <v>NV0184</v>
      </c>
      <c r="G387" s="7">
        <f>IFERROR(__xludf.DUMMYFUNCTION("""COMPUTED_VALUE"""),157.0)</f>
        <v>157</v>
      </c>
      <c r="H387" s="7" t="str">
        <f>IFERROR(__xludf.DUMMYFUNCTION("""COMPUTED_VALUE"""),"Hoàng Văn Đại")</f>
        <v>Hoàng Văn Đại</v>
      </c>
      <c r="I387" s="7" t="str">
        <f>IFERROR(__xludf.DUMMYFUNCTION("""COMPUTED_VALUE"""),"Nam")</f>
        <v>Nam</v>
      </c>
      <c r="J387" s="17">
        <f>IFERROR(__xludf.DUMMYFUNCTION("""COMPUTED_VALUE"""),32103.0)</f>
        <v>32103</v>
      </c>
      <c r="K387" s="7" t="str">
        <f>IFERROR(__xludf.DUMMYFUNCTION("""COMPUTED_VALUE"""),"Thôn2 - Phường Quảng Phú - Tỉnh Thanh Hóa")</f>
        <v>Thôn2 - Phường Quảng Phú - Tỉnh Thanh Hóa</v>
      </c>
      <c r="L387" s="7" t="str">
        <f>IFERROR(__xludf.DUMMYFUNCTION("""COMPUTED_VALUE"""),"0985672552")</f>
        <v>0985672552</v>
      </c>
      <c r="M387" s="7" t="str">
        <f>IFERROR(__xludf.DUMMYFUNCTION("""COMPUTED_VALUE"""),"038087008417")</f>
        <v>038087008417</v>
      </c>
      <c r="N387" s="17">
        <f>IFERROR(__xludf.DUMMYFUNCTION("""COMPUTED_VALUE"""),43048.0)</f>
        <v>43048</v>
      </c>
      <c r="O387" s="7" t="str">
        <f>IFERROR(__xludf.DUMMYFUNCTION("""COMPUTED_VALUE"""),"Cục Cảnh sát QLHC về TTXH")</f>
        <v>Cục Cảnh sát QLHC về TTXH</v>
      </c>
      <c r="P387" s="7" t="str">
        <f>IFERROR(__xludf.DUMMYFUNCTION("""COMPUTED_VALUE"""),"Trung cấp")</f>
        <v>Trung cấp</v>
      </c>
      <c r="Q387" s="7" t="str">
        <f>IFERROR(__xludf.DUMMYFUNCTION("""COMPUTED_VALUE"""),"Điện")</f>
        <v>Điện</v>
      </c>
      <c r="R387" s="17">
        <f>IFERROR(__xludf.DUMMYFUNCTION("""COMPUTED_VALUE"""),39908.0)</f>
        <v>39908</v>
      </c>
      <c r="S387" s="17">
        <f>IFERROR(__xludf.DUMMYFUNCTION("""COMPUTED_VALUE"""),44531.0)</f>
        <v>44531</v>
      </c>
      <c r="T387" s="7" t="str">
        <f>IFERROR(__xludf.DUMMYFUNCTION("""COMPUTED_VALUE"""),"Chính thức")</f>
        <v>Chính thức</v>
      </c>
      <c r="U387" s="7"/>
      <c r="V387" s="7"/>
      <c r="W387" s="7" t="str">
        <f>IFERROR(__xludf.DUMMYFUNCTION("""COMPUTED_VALUE"""),"16 năm 8 tháng")</f>
        <v>16 năm 8 tháng</v>
      </c>
      <c r="X387" s="7"/>
      <c r="Y387" s="7"/>
      <c r="Z387" s="7"/>
    </row>
    <row r="388">
      <c r="A388" s="21" t="str">
        <f>IFERROR(__xludf.DUMMYFUNCTION("""COMPUTED_VALUE"""),"9")</f>
        <v>9</v>
      </c>
      <c r="B388" s="7" t="str">
        <f>IFERROR(__xludf.DUMMYFUNCTION("""COMPUTED_VALUE"""),"PXSX1")</f>
        <v>PXSX1</v>
      </c>
      <c r="C388" s="7" t="str">
        <f>IFERROR(__xludf.DUMMYFUNCTION("""COMPUTED_VALUE"""),"Bộ phận nhiên liệu và gia công bán thành phẩm ")</f>
        <v>Bộ phận nhiên liệu và gia công bán thành phẩm </v>
      </c>
      <c r="D388" s="7" t="str">
        <f>IFERROR(__xludf.DUMMYFUNCTION("""COMPUTED_VALUE"""),"Dây chuyền gia công Ca B")</f>
        <v>Dây chuyền gia công Ca B</v>
      </c>
      <c r="E388" s="7" t="str">
        <f>IFERROR(__xludf.DUMMYFUNCTION("""COMPUTED_VALUE"""),"VH Chính tráng Engobe DC1 + DC2")</f>
        <v>VH Chính tráng Engobe DC1 + DC2</v>
      </c>
      <c r="F388" s="7" t="str">
        <f>IFERROR(__xludf.DUMMYFUNCTION("""COMPUTED_VALUE"""),"NV5076")</f>
        <v>NV5076</v>
      </c>
      <c r="G388" s="7">
        <f>IFERROR(__xludf.DUMMYFUNCTION("""COMPUTED_VALUE"""),325.0)</f>
        <v>325</v>
      </c>
      <c r="H388" s="7" t="str">
        <f>IFERROR(__xludf.DUMMYFUNCTION("""COMPUTED_VALUE"""),"Nguyễn Văn Khanh")</f>
        <v>Nguyễn Văn Khanh</v>
      </c>
      <c r="I388" s="7" t="str">
        <f>IFERROR(__xludf.DUMMYFUNCTION("""COMPUTED_VALUE"""),"Nam")</f>
        <v>Nam</v>
      </c>
      <c r="J388" s="17">
        <f>IFERROR(__xludf.DUMMYFUNCTION("""COMPUTED_VALUE"""),33161.0)</f>
        <v>33161</v>
      </c>
      <c r="K388" s="7" t="str">
        <f>IFERROR(__xludf.DUMMYFUNCTION("""COMPUTED_VALUE"""),"Xã Quảng Chính - Tỉnh Thanh Hóa")</f>
        <v>Xã Quảng Chính - Tỉnh Thanh Hóa</v>
      </c>
      <c r="L388" s="7" t="str">
        <f>IFERROR(__xludf.DUMMYFUNCTION("""COMPUTED_VALUE"""),"0362127853")</f>
        <v>0362127853</v>
      </c>
      <c r="M388" s="7" t="str">
        <f>IFERROR(__xludf.DUMMYFUNCTION("""COMPUTED_VALUE"""),"038090013722")</f>
        <v>038090013722</v>
      </c>
      <c r="N388" s="17">
        <f>IFERROR(__xludf.DUMMYFUNCTION("""COMPUTED_VALUE"""),44304.0)</f>
        <v>44304</v>
      </c>
      <c r="O388" s="7" t="str">
        <f>IFERROR(__xludf.DUMMYFUNCTION("""COMPUTED_VALUE"""),"Cục Cảnh sát QLHC về TTXH")</f>
        <v>Cục Cảnh sát QLHC về TTXH</v>
      </c>
      <c r="P388" s="7" t="str">
        <f>IFERROR(__xludf.DUMMYFUNCTION("""COMPUTED_VALUE"""),"LĐPT")</f>
        <v>LĐPT</v>
      </c>
      <c r="Q388" s="7" t="str">
        <f>IFERROR(__xludf.DUMMYFUNCTION("""COMPUTED_VALUE"""),"Lao động phổ thông")</f>
        <v>Lao động phổ thông</v>
      </c>
      <c r="R388" s="17">
        <f>IFERROR(__xludf.DUMMYFUNCTION("""COMPUTED_VALUE"""),45372.0)</f>
        <v>45372</v>
      </c>
      <c r="S388" s="17">
        <f>IFERROR(__xludf.DUMMYFUNCTION("""COMPUTED_VALUE"""),45444.0)</f>
        <v>45444</v>
      </c>
      <c r="T388" s="7" t="str">
        <f>IFERROR(__xludf.DUMMYFUNCTION("""COMPUTED_VALUE"""),"Chính thức")</f>
        <v>Chính thức</v>
      </c>
      <c r="U388" s="7"/>
      <c r="V388" s="7"/>
      <c r="W388" s="7" t="str">
        <f>IFERROR(__xludf.DUMMYFUNCTION("""COMPUTED_VALUE"""),"1 năm 9 tháng")</f>
        <v>1 năm 9 tháng</v>
      </c>
      <c r="X388" s="7"/>
      <c r="Y388" s="7"/>
      <c r="Z388" s="7"/>
    </row>
    <row r="389">
      <c r="A389" s="21" t="str">
        <f>IFERROR(__xludf.DUMMYFUNCTION("""COMPUTED_VALUE"""),"10")</f>
        <v>10</v>
      </c>
      <c r="B389" s="7" t="str">
        <f>IFERROR(__xludf.DUMMYFUNCTION("""COMPUTED_VALUE"""),"PXSX1")</f>
        <v>PXSX1</v>
      </c>
      <c r="C389" s="7" t="str">
        <f>IFERROR(__xludf.DUMMYFUNCTION("""COMPUTED_VALUE"""),"Bộ phận nhiên liệu và gia công bán thành phẩm ")</f>
        <v>Bộ phận nhiên liệu và gia công bán thành phẩm </v>
      </c>
      <c r="D389" s="7" t="str">
        <f>IFERROR(__xludf.DUMMYFUNCTION("""COMPUTED_VALUE"""),"Dây chuyền gia công Ca B")</f>
        <v>Dây chuyền gia công Ca B</v>
      </c>
      <c r="E389" s="7" t="str">
        <f>IFERROR(__xludf.DUMMYFUNCTION("""COMPUTED_VALUE"""),"VH bù DC2")</f>
        <v>VH bù DC2</v>
      </c>
      <c r="F389" s="7" t="str">
        <f>IFERROR(__xludf.DUMMYFUNCTION("""COMPUTED_VALUE"""),"NV1200")</f>
        <v>NV1200</v>
      </c>
      <c r="G389" s="7">
        <f>IFERROR(__xludf.DUMMYFUNCTION("""COMPUTED_VALUE"""),786.0)</f>
        <v>786</v>
      </c>
      <c r="H389" s="7" t="str">
        <f>IFERROR(__xludf.DUMMYFUNCTION("""COMPUTED_VALUE"""),"Trịnh Tuấn Linh")</f>
        <v>Trịnh Tuấn Linh</v>
      </c>
      <c r="I389" s="7" t="str">
        <f>IFERROR(__xludf.DUMMYFUNCTION("""COMPUTED_VALUE"""),"Nam")</f>
        <v>Nam</v>
      </c>
      <c r="J389" s="17">
        <f>IFERROR(__xludf.DUMMYFUNCTION("""COMPUTED_VALUE"""),33677.0)</f>
        <v>33677</v>
      </c>
      <c r="K389" s="7" t="str">
        <f>IFERROR(__xludf.DUMMYFUNCTION("""COMPUTED_VALUE"""),"Phường Sầm Sơn - Tỉnh Thanh Hóa")</f>
        <v>Phường Sầm Sơn - Tỉnh Thanh Hóa</v>
      </c>
      <c r="L389" s="7" t="str">
        <f>IFERROR(__xludf.DUMMYFUNCTION("""COMPUTED_VALUE"""),"0347705567")</f>
        <v>0347705567</v>
      </c>
      <c r="M389" s="7" t="str">
        <f>IFERROR(__xludf.DUMMYFUNCTION("""COMPUTED_VALUE"""),"038092001347")</f>
        <v>038092001347</v>
      </c>
      <c r="N389" s="17">
        <f>IFERROR(__xludf.DUMMYFUNCTION("""COMPUTED_VALUE"""),44424.0)</f>
        <v>44424</v>
      </c>
      <c r="O389" s="7" t="str">
        <f>IFERROR(__xludf.DUMMYFUNCTION("""COMPUTED_VALUE"""),"Cục Cảnh sát QLHC về TTXH")</f>
        <v>Cục Cảnh sát QLHC về TTXH</v>
      </c>
      <c r="P389" s="7" t="str">
        <f>IFERROR(__xludf.DUMMYFUNCTION("""COMPUTED_VALUE"""),"LĐPT")</f>
        <v>LĐPT</v>
      </c>
      <c r="Q389" s="7" t="str">
        <f>IFERROR(__xludf.DUMMYFUNCTION("""COMPUTED_VALUE"""),"Lao động phổ thông")</f>
        <v>Lao động phổ thông</v>
      </c>
      <c r="R389" s="17">
        <f>IFERROR(__xludf.DUMMYFUNCTION("""COMPUTED_VALUE"""),45518.0)</f>
        <v>45518</v>
      </c>
      <c r="S389" s="17">
        <f>IFERROR(__xludf.DUMMYFUNCTION("""COMPUTED_VALUE"""),45597.0)</f>
        <v>45597</v>
      </c>
      <c r="T389" s="7" t="str">
        <f>IFERROR(__xludf.DUMMYFUNCTION("""COMPUTED_VALUE"""),"Chính thức")</f>
        <v>Chính thức</v>
      </c>
      <c r="U389" s="7"/>
      <c r="V389" s="7"/>
      <c r="W389" s="7" t="str">
        <f>IFERROR(__xludf.DUMMYFUNCTION("""COMPUTED_VALUE"""),"1 năm 4 tháng")</f>
        <v>1 năm 4 tháng</v>
      </c>
      <c r="X389" s="7"/>
      <c r="Y389" s="7"/>
      <c r="Z389" s="7"/>
    </row>
    <row r="390">
      <c r="A390" s="21" t="str">
        <f>IFERROR(__xludf.DUMMYFUNCTION("""COMPUTED_VALUE"""),"11")</f>
        <v>11</v>
      </c>
      <c r="B390" s="7" t="str">
        <f>IFERROR(__xludf.DUMMYFUNCTION("""COMPUTED_VALUE"""),"PXSX1")</f>
        <v>PXSX1</v>
      </c>
      <c r="C390" s="7" t="str">
        <f>IFERROR(__xludf.DUMMYFUNCTION("""COMPUTED_VALUE"""),"Bộ phận nhiên liệu và gia công bán thành phẩm ")</f>
        <v>Bộ phận nhiên liệu và gia công bán thành phẩm </v>
      </c>
      <c r="D390" s="7" t="str">
        <f>IFERROR(__xludf.DUMMYFUNCTION("""COMPUTED_VALUE"""),"Dây chuyền gia công Ca B")</f>
        <v>Dây chuyền gia công Ca B</v>
      </c>
      <c r="E390" s="7" t="str">
        <f>IFERROR(__xludf.DUMMYFUNCTION("""COMPUTED_VALUE"""),"VH phụ Máy ép")</f>
        <v>VH phụ Máy ép</v>
      </c>
      <c r="F390" s="7" t="str">
        <f>IFERROR(__xludf.DUMMYFUNCTION("""COMPUTED_VALUE"""),"NV4433")</f>
        <v>NV4433</v>
      </c>
      <c r="G390" s="7">
        <f>IFERROR(__xludf.DUMMYFUNCTION("""COMPUTED_VALUE"""),113.0)</f>
        <v>113</v>
      </c>
      <c r="H390" s="7" t="str">
        <f>IFERROR(__xludf.DUMMYFUNCTION("""COMPUTED_VALUE"""),"Nguyễn Văn Đạt")</f>
        <v>Nguyễn Văn Đạt</v>
      </c>
      <c r="I390" s="7" t="str">
        <f>IFERROR(__xludf.DUMMYFUNCTION("""COMPUTED_VALUE"""),"Nam")</f>
        <v>Nam</v>
      </c>
      <c r="J390" s="17">
        <f>IFERROR(__xludf.DUMMYFUNCTION("""COMPUTED_VALUE"""),34039.0)</f>
        <v>34039</v>
      </c>
      <c r="K390" s="7" t="str">
        <f>IFERROR(__xludf.DUMMYFUNCTION("""COMPUTED_VALUE"""),"Xã Lưu Vệ - Tỉnh Thanh Hóa ")</f>
        <v>Xã Lưu Vệ - Tỉnh Thanh Hóa </v>
      </c>
      <c r="L390" s="7" t="str">
        <f>IFERROR(__xludf.DUMMYFUNCTION("""COMPUTED_VALUE"""),"0947598481")</f>
        <v>0947598481</v>
      </c>
      <c r="M390" s="7" t="str">
        <f>IFERROR(__xludf.DUMMYFUNCTION("""COMPUTED_VALUE"""),"038093033036")</f>
        <v>038093033036</v>
      </c>
      <c r="N390" s="17">
        <f>IFERROR(__xludf.DUMMYFUNCTION("""COMPUTED_VALUE"""),44511.0)</f>
        <v>44511</v>
      </c>
      <c r="O390" s="7" t="str">
        <f>IFERROR(__xludf.DUMMYFUNCTION("""COMPUTED_VALUE"""),"Cục Cảnh sát QLHC về TTXH")</f>
        <v>Cục Cảnh sát QLHC về TTXH</v>
      </c>
      <c r="P390" s="7" t="str">
        <f>IFERROR(__xludf.DUMMYFUNCTION("""COMPUTED_VALUE"""),"LĐPT")</f>
        <v>LĐPT</v>
      </c>
      <c r="Q390" s="7" t="str">
        <f>IFERROR(__xludf.DUMMYFUNCTION("""COMPUTED_VALUE"""),"Lao động phổ thông")</f>
        <v>Lao động phổ thông</v>
      </c>
      <c r="R390" s="17">
        <f>IFERROR(__xludf.DUMMYFUNCTION("""COMPUTED_VALUE"""),44784.0)</f>
        <v>44784</v>
      </c>
      <c r="S390" s="17">
        <f>IFERROR(__xludf.DUMMYFUNCTION("""COMPUTED_VALUE"""),44986.0)</f>
        <v>44986</v>
      </c>
      <c r="T390" s="7" t="str">
        <f>IFERROR(__xludf.DUMMYFUNCTION("""COMPUTED_VALUE"""),"Chính thức")</f>
        <v>Chính thức</v>
      </c>
      <c r="U390" s="7"/>
      <c r="V390" s="7"/>
      <c r="W390" s="7" t="str">
        <f>IFERROR(__xludf.DUMMYFUNCTION("""COMPUTED_VALUE"""),"3 năm 4 tháng")</f>
        <v>3 năm 4 tháng</v>
      </c>
      <c r="X390" s="7"/>
      <c r="Y390" s="7"/>
      <c r="Z390" s="7"/>
    </row>
    <row r="391">
      <c r="A391" s="21" t="str">
        <f>IFERROR(__xludf.DUMMYFUNCTION("""COMPUTED_VALUE"""),"12")</f>
        <v>12</v>
      </c>
      <c r="B391" s="7" t="str">
        <f>IFERROR(__xludf.DUMMYFUNCTION("""COMPUTED_VALUE"""),"PXSX1")</f>
        <v>PXSX1</v>
      </c>
      <c r="C391" s="7" t="str">
        <f>IFERROR(__xludf.DUMMYFUNCTION("""COMPUTED_VALUE"""),"Bộ phận nhiên liệu và gia công bán thành phẩm ")</f>
        <v>Bộ phận nhiên liệu và gia công bán thành phẩm </v>
      </c>
      <c r="D391" s="7" t="str">
        <f>IFERROR(__xludf.DUMMYFUNCTION("""COMPUTED_VALUE"""),"Dây chuyền gia công Ca B")</f>
        <v>Dây chuyền gia công Ca B</v>
      </c>
      <c r="E391" s="7" t="str">
        <f>IFERROR(__xludf.DUMMYFUNCTION("""COMPUTED_VALUE"""),"VH Chính tráng men DC1")</f>
        <v>VH Chính tráng men DC1</v>
      </c>
      <c r="F391" s="7" t="str">
        <f>IFERROR(__xludf.DUMMYFUNCTION("""COMPUTED_VALUE"""),"NV0178")</f>
        <v>NV0178</v>
      </c>
      <c r="G391" s="7">
        <f>IFERROR(__xludf.DUMMYFUNCTION("""COMPUTED_VALUE"""),344.0)</f>
        <v>344</v>
      </c>
      <c r="H391" s="7" t="str">
        <f>IFERROR(__xludf.DUMMYFUNCTION("""COMPUTED_VALUE"""),"Đoàn Văn Sơn")</f>
        <v>Đoàn Văn Sơn</v>
      </c>
      <c r="I391" s="7" t="str">
        <f>IFERROR(__xludf.DUMMYFUNCTION("""COMPUTED_VALUE"""),"Nam")</f>
        <v>Nam</v>
      </c>
      <c r="J391" s="17">
        <f>IFERROR(__xludf.DUMMYFUNCTION("""COMPUTED_VALUE"""),34247.0)</f>
        <v>34247</v>
      </c>
      <c r="K391" s="7" t="str">
        <f>IFERROR(__xludf.DUMMYFUNCTION("""COMPUTED_VALUE"""),"Yên Vực - Phường Nguyệt Viên - Tỉnh Thanh Hóa")</f>
        <v>Yên Vực - Phường Nguyệt Viên - Tỉnh Thanh Hóa</v>
      </c>
      <c r="L391" s="7" t="str">
        <f>IFERROR(__xludf.DUMMYFUNCTION("""COMPUTED_VALUE"""),"0985672552")</f>
        <v>0985672552</v>
      </c>
      <c r="M391" s="7" t="str">
        <f>IFERROR(__xludf.DUMMYFUNCTION("""COMPUTED_VALUE"""),"038093003002")</f>
        <v>038093003002</v>
      </c>
      <c r="N391" s="17">
        <f>IFERROR(__xludf.DUMMYFUNCTION("""COMPUTED_VALUE"""),44516.0)</f>
        <v>44516</v>
      </c>
      <c r="O391" s="7" t="str">
        <f>IFERROR(__xludf.DUMMYFUNCTION("""COMPUTED_VALUE"""),"Cục Cảnh sát QLHC về TTXH")</f>
        <v>Cục Cảnh sát QLHC về TTXH</v>
      </c>
      <c r="P391" s="7" t="str">
        <f>IFERROR(__xludf.DUMMYFUNCTION("""COMPUTED_VALUE"""),"LĐPT")</f>
        <v>LĐPT</v>
      </c>
      <c r="Q391" s="7" t="str">
        <f>IFERROR(__xludf.DUMMYFUNCTION("""COMPUTED_VALUE"""),"Lao động phổ thông")</f>
        <v>Lao động phổ thông</v>
      </c>
      <c r="R391" s="17">
        <f>IFERROR(__xludf.DUMMYFUNCTION("""COMPUTED_VALUE"""),42523.0)</f>
        <v>42523</v>
      </c>
      <c r="S391" s="17">
        <f>IFERROR(__xludf.DUMMYFUNCTION("""COMPUTED_VALUE"""),42948.0)</f>
        <v>42948</v>
      </c>
      <c r="T391" s="7" t="str">
        <f>IFERROR(__xludf.DUMMYFUNCTION("""COMPUTED_VALUE"""),"Chính thức")</f>
        <v>Chính thức</v>
      </c>
      <c r="U391" s="7"/>
      <c r="V391" s="7"/>
      <c r="W391" s="7" t="str">
        <f>IFERROR(__xludf.DUMMYFUNCTION("""COMPUTED_VALUE"""),"9 năm 6 tháng")</f>
        <v>9 năm 6 tháng</v>
      </c>
      <c r="X391" s="7"/>
      <c r="Y391" s="7"/>
      <c r="Z391" s="7"/>
    </row>
    <row r="392">
      <c r="A392" s="21" t="str">
        <f>IFERROR(__xludf.DUMMYFUNCTION("""COMPUTED_VALUE"""),"13")</f>
        <v>13</v>
      </c>
      <c r="B392" s="7" t="str">
        <f>IFERROR(__xludf.DUMMYFUNCTION("""COMPUTED_VALUE"""),"PXSX1")</f>
        <v>PXSX1</v>
      </c>
      <c r="C392" s="7" t="str">
        <f>IFERROR(__xludf.DUMMYFUNCTION("""COMPUTED_VALUE"""),"Bộ phận nhiên liệu và gia công bán thành phẩm ")</f>
        <v>Bộ phận nhiên liệu và gia công bán thành phẩm </v>
      </c>
      <c r="D392" s="7" t="str">
        <f>IFERROR(__xludf.DUMMYFUNCTION("""COMPUTED_VALUE"""),"Dây chuyền gia công Ca B")</f>
        <v>Dây chuyền gia công Ca B</v>
      </c>
      <c r="E392" s="7" t="str">
        <f>IFERROR(__xludf.DUMMYFUNCTION("""COMPUTED_VALUE"""),"VH Chính tráng men DC2")</f>
        <v>VH Chính tráng men DC2</v>
      </c>
      <c r="F392" s="7" t="str">
        <f>IFERROR(__xludf.DUMMYFUNCTION("""COMPUTED_VALUE"""),"NV3113")</f>
        <v>NV3113</v>
      </c>
      <c r="G392" s="7">
        <f>IFERROR(__xludf.DUMMYFUNCTION("""COMPUTED_VALUE"""),345.0)</f>
        <v>345</v>
      </c>
      <c r="H392" s="7" t="str">
        <f>IFERROR(__xludf.DUMMYFUNCTION("""COMPUTED_VALUE"""),"Lã Văn Yêu")</f>
        <v>Lã Văn Yêu</v>
      </c>
      <c r="I392" s="7" t="str">
        <f>IFERROR(__xludf.DUMMYFUNCTION("""COMPUTED_VALUE"""),"Nam")</f>
        <v>Nam</v>
      </c>
      <c r="J392" s="17">
        <f>IFERROR(__xludf.DUMMYFUNCTION("""COMPUTED_VALUE"""),34395.0)</f>
        <v>34395</v>
      </c>
      <c r="K392" s="7" t="str">
        <f>IFERROR(__xludf.DUMMYFUNCTION("""COMPUTED_VALUE"""),"Xã Lục Ngạn - Tỉnh Bắc Ninh")</f>
        <v>Xã Lục Ngạn - Tỉnh Bắc Ninh</v>
      </c>
      <c r="L392" s="7" t="str">
        <f>IFERROR(__xludf.DUMMYFUNCTION("""COMPUTED_VALUE"""),"0349493882")</f>
        <v>0349493882</v>
      </c>
      <c r="M392" s="7" t="str">
        <f>IFERROR(__xludf.DUMMYFUNCTION("""COMPUTED_VALUE"""),"024094014591")</f>
        <v>024094014591</v>
      </c>
      <c r="N392" s="17">
        <f>IFERROR(__xludf.DUMMYFUNCTION("""COMPUTED_VALUE"""),44762.0)</f>
        <v>44762</v>
      </c>
      <c r="O392" s="7" t="str">
        <f>IFERROR(__xludf.DUMMYFUNCTION("""COMPUTED_VALUE"""),"Cục Cảnh sát QLHC về TTXH")</f>
        <v>Cục Cảnh sát QLHC về TTXH</v>
      </c>
      <c r="P392" s="7" t="str">
        <f>IFERROR(__xludf.DUMMYFUNCTION("""COMPUTED_VALUE"""),"LĐPT")</f>
        <v>LĐPT</v>
      </c>
      <c r="Q392" s="7" t="str">
        <f>IFERROR(__xludf.DUMMYFUNCTION("""COMPUTED_VALUE"""),"Lao động phổ thông")</f>
        <v>Lao động phổ thông</v>
      </c>
      <c r="R392" s="17">
        <f>IFERROR(__xludf.DUMMYFUNCTION("""COMPUTED_VALUE"""),44973.0)</f>
        <v>44973</v>
      </c>
      <c r="S392" s="17">
        <f>IFERROR(__xludf.DUMMYFUNCTION("""COMPUTED_VALUE"""),45292.0)</f>
        <v>45292</v>
      </c>
      <c r="T392" s="7" t="str">
        <f>IFERROR(__xludf.DUMMYFUNCTION("""COMPUTED_VALUE"""),"Chính thức")</f>
        <v>Chính thức</v>
      </c>
      <c r="U392" s="7"/>
      <c r="V392" s="7"/>
      <c r="W392" s="7" t="str">
        <f>IFERROR(__xludf.DUMMYFUNCTION("""COMPUTED_VALUE"""),"2 năm 10 tháng")</f>
        <v>2 năm 10 tháng</v>
      </c>
      <c r="X392" s="7"/>
      <c r="Y392" s="7"/>
      <c r="Z392" s="7"/>
    </row>
    <row r="393">
      <c r="A393" s="21" t="str">
        <f>IFERROR(__xludf.DUMMYFUNCTION("""COMPUTED_VALUE"""),"14")</f>
        <v>14</v>
      </c>
      <c r="B393" s="7" t="str">
        <f>IFERROR(__xludf.DUMMYFUNCTION("""COMPUTED_VALUE"""),"PXSX1")</f>
        <v>PXSX1</v>
      </c>
      <c r="C393" s="7" t="str">
        <f>IFERROR(__xludf.DUMMYFUNCTION("""COMPUTED_VALUE"""),"Bộ phận nhiên liệu và gia công bán thành phẩm ")</f>
        <v>Bộ phận nhiên liệu và gia công bán thành phẩm </v>
      </c>
      <c r="D393" s="7" t="str">
        <f>IFERROR(__xludf.DUMMYFUNCTION("""COMPUTED_VALUE"""),"Dây chuyền gia công Ca B")</f>
        <v>Dây chuyền gia công Ca B</v>
      </c>
      <c r="E393" s="7" t="str">
        <f>IFERROR(__xludf.DUMMYFUNCTION("""COMPUTED_VALUE"""),"VH tráng Men")</f>
        <v>VH tráng Men</v>
      </c>
      <c r="F393" s="7" t="str">
        <f>IFERROR(__xludf.DUMMYFUNCTION("""COMPUTED_VALUE"""),"NV5742")</f>
        <v>NV5742</v>
      </c>
      <c r="G393" s="7">
        <f>IFERROR(__xludf.DUMMYFUNCTION("""COMPUTED_VALUE"""),1223.0)</f>
        <v>1223</v>
      </c>
      <c r="H393" s="7" t="str">
        <f>IFERROR(__xludf.DUMMYFUNCTION("""COMPUTED_VALUE"""),"Nguyễn  Mạnh Quyền")</f>
        <v>Nguyễn  Mạnh Quyền</v>
      </c>
      <c r="I393" s="7" t="str">
        <f>IFERROR(__xludf.DUMMYFUNCTION("""COMPUTED_VALUE"""),"Nam")</f>
        <v>Nam</v>
      </c>
      <c r="J393" s="17">
        <f>IFERROR(__xludf.DUMMYFUNCTION("""COMPUTED_VALUE"""),28277.0)</f>
        <v>28277</v>
      </c>
      <c r="K393" s="7" t="str">
        <f>IFERROR(__xludf.DUMMYFUNCTION("""COMPUTED_VALUE"""),"TDP Tây Nam - Phường Nam Sầm Sơn - Tỉnh Thanh Hóa")</f>
        <v>TDP Tây Nam - Phường Nam Sầm Sơn - Tỉnh Thanh Hóa</v>
      </c>
      <c r="L393" s="7" t="str">
        <f>IFERROR(__xludf.DUMMYFUNCTION("""COMPUTED_VALUE"""),"0962811304")</f>
        <v>0962811304</v>
      </c>
      <c r="M393" s="7" t="str">
        <f>IFERROR(__xludf.DUMMYFUNCTION("""COMPUTED_VALUE"""),"035077007863")</f>
        <v>035077007863</v>
      </c>
      <c r="N393" s="17">
        <f>IFERROR(__xludf.DUMMYFUNCTION("""COMPUTED_VALUE"""),44428.0)</f>
        <v>44428</v>
      </c>
      <c r="O393" s="7" t="str">
        <f>IFERROR(__xludf.DUMMYFUNCTION("""COMPUTED_VALUE"""),"Cục Cảnh sát QLHC về TTXH")</f>
        <v>Cục Cảnh sát QLHC về TTXH</v>
      </c>
      <c r="P393" s="7" t="str">
        <f>IFERROR(__xludf.DUMMYFUNCTION("""COMPUTED_VALUE"""),"LĐPT")</f>
        <v>LĐPT</v>
      </c>
      <c r="Q393" s="7" t="str">
        <f>IFERROR(__xludf.DUMMYFUNCTION("""COMPUTED_VALUE"""),"Lao động phổ thông")</f>
        <v>Lao động phổ thông</v>
      </c>
      <c r="R393" s="17">
        <f>IFERROR(__xludf.DUMMYFUNCTION("""COMPUTED_VALUE"""),45933.0)</f>
        <v>45933</v>
      </c>
      <c r="S393" s="7"/>
      <c r="T393" s="7" t="str">
        <f>IFERROR(__xludf.DUMMYFUNCTION("""COMPUTED_VALUE"""),"Thử việc")</f>
        <v>Thử việc</v>
      </c>
      <c r="U393" s="7"/>
      <c r="V393" s="7" t="str">
        <f>IFERROR(__xludf.DUMMYFUNCTION("""COMPUTED_VALUE"""),"Thử việc")</f>
        <v>Thử việc</v>
      </c>
      <c r="W393" s="7" t="str">
        <f>IFERROR(__xludf.DUMMYFUNCTION("""COMPUTED_VALUE"""),"0 năm 2 tháng")</f>
        <v>0 năm 2 tháng</v>
      </c>
      <c r="X393" s="7"/>
      <c r="Y393" s="7"/>
      <c r="Z393" s="7"/>
    </row>
    <row r="394">
      <c r="A394" s="21" t="str">
        <f>IFERROR(__xludf.DUMMYFUNCTION("""COMPUTED_VALUE"""),"15")</f>
        <v>15</v>
      </c>
      <c r="B394" s="7" t="str">
        <f>IFERROR(__xludf.DUMMYFUNCTION("""COMPUTED_VALUE"""),"PXSX1")</f>
        <v>PXSX1</v>
      </c>
      <c r="C394" s="7" t="str">
        <f>IFERROR(__xludf.DUMMYFUNCTION("""COMPUTED_VALUE"""),"Bộ phận nhiên liệu và gia công bán thành phẩm ")</f>
        <v>Bộ phận nhiên liệu và gia công bán thành phẩm </v>
      </c>
      <c r="D394" s="7" t="str">
        <f>IFERROR(__xludf.DUMMYFUNCTION("""COMPUTED_VALUE"""),"Dây chuyền gia công Ca B")</f>
        <v>Dây chuyền gia công Ca B</v>
      </c>
      <c r="E394" s="7" t="str">
        <f>IFERROR(__xludf.DUMMYFUNCTION("""COMPUTED_VALUE"""),"VH tráng Men")</f>
        <v>VH tráng Men</v>
      </c>
      <c r="F394" s="7" t="str">
        <f>IFERROR(__xludf.DUMMYFUNCTION("""COMPUTED_VALUE"""),"NV5813")</f>
        <v>NV5813</v>
      </c>
      <c r="G394" s="7">
        <f>IFERROR(__xludf.DUMMYFUNCTION("""COMPUTED_VALUE"""),1295.0)</f>
        <v>1295</v>
      </c>
      <c r="H394" s="7" t="str">
        <f>IFERROR(__xludf.DUMMYFUNCTION("""COMPUTED_VALUE"""),"Lê Nhất Nam")</f>
        <v>Lê Nhất Nam</v>
      </c>
      <c r="I394" s="7" t="str">
        <f>IFERROR(__xludf.DUMMYFUNCTION("""COMPUTED_VALUE"""),"Nam")</f>
        <v>Nam</v>
      </c>
      <c r="J394" s="17">
        <f>IFERROR(__xludf.DUMMYFUNCTION("""COMPUTED_VALUE"""),37527.0)</f>
        <v>37527</v>
      </c>
      <c r="K394" s="7" t="str">
        <f>IFERROR(__xludf.DUMMYFUNCTION("""COMPUTED_VALUE"""),"Thôn Hưng Đông- Xã Thắng Lợi - Tỉnh Thanh Hóa")</f>
        <v>Thôn Hưng Đông- Xã Thắng Lợi - Tỉnh Thanh Hóa</v>
      </c>
      <c r="L394" s="7" t="str">
        <f>IFERROR(__xludf.DUMMYFUNCTION("""COMPUTED_VALUE"""),"0948825002")</f>
        <v>0948825002</v>
      </c>
      <c r="M394" s="7" t="str">
        <f>IFERROR(__xludf.DUMMYFUNCTION("""COMPUTED_VALUE"""),"038202014065")</f>
        <v>038202014065</v>
      </c>
      <c r="N394" s="17">
        <f>IFERROR(__xludf.DUMMYFUNCTION("""COMPUTED_VALUE"""),44440.0)</f>
        <v>44440</v>
      </c>
      <c r="O394" s="7" t="str">
        <f>IFERROR(__xludf.DUMMYFUNCTION("""COMPUTED_VALUE"""),"Cục Cảnh sát QLHC về TTXH")</f>
        <v>Cục Cảnh sát QLHC về TTXH</v>
      </c>
      <c r="P394" s="7" t="str">
        <f>IFERROR(__xludf.DUMMYFUNCTION("""COMPUTED_VALUE"""),"LĐPT")</f>
        <v>LĐPT</v>
      </c>
      <c r="Q394" s="7" t="str">
        <f>IFERROR(__xludf.DUMMYFUNCTION("""COMPUTED_VALUE"""),"Lao động phổ thông")</f>
        <v>Lao động phổ thông</v>
      </c>
      <c r="R394" s="17">
        <f>IFERROR(__xludf.DUMMYFUNCTION("""COMPUTED_VALUE"""),45981.0)</f>
        <v>45981</v>
      </c>
      <c r="S394" s="7"/>
      <c r="T394" s="7" t="str">
        <f>IFERROR(__xludf.DUMMYFUNCTION("""COMPUTED_VALUE"""),"Thử việc")</f>
        <v>Thử việc</v>
      </c>
      <c r="U394" s="7"/>
      <c r="V394" s="7" t="str">
        <f>IFERROR(__xludf.DUMMYFUNCTION("""COMPUTED_VALUE"""),"Thử việc")</f>
        <v>Thử việc</v>
      </c>
      <c r="W394" s="7" t="str">
        <f>IFERROR(__xludf.DUMMYFUNCTION("""COMPUTED_VALUE"""),"0 năm 1 tháng")</f>
        <v>0 năm 1 tháng</v>
      </c>
      <c r="X394" s="7"/>
      <c r="Y394" s="7"/>
      <c r="Z394" s="7"/>
    </row>
    <row r="395">
      <c r="A395" s="21" t="str">
        <f>IFERROR(__xludf.DUMMYFUNCTION("""COMPUTED_VALUE"""),"1")</f>
        <v>1</v>
      </c>
      <c r="B395" s="7" t="str">
        <f>IFERROR(__xludf.DUMMYFUNCTION("""COMPUTED_VALUE"""),"PXSX1")</f>
        <v>PXSX1</v>
      </c>
      <c r="C395" s="7" t="str">
        <f>IFERROR(__xludf.DUMMYFUNCTION("""COMPUTED_VALUE"""),"Bộ phận nung và hoàn thiện sản phẩm")</f>
        <v>Bộ phận nung và hoàn thiện sản phẩm</v>
      </c>
      <c r="D395" s="7" t="str">
        <f>IFERROR(__xludf.DUMMYFUNCTION("""COMPUTED_VALUE"""),"Quản lý")</f>
        <v>Quản lý</v>
      </c>
      <c r="E395" s="7" t="str">
        <f>IFERROR(__xludf.DUMMYFUNCTION("""COMPUTED_VALUE"""),"CBKT - Phụ trách Lò nung")</f>
        <v>CBKT - Phụ trách Lò nung</v>
      </c>
      <c r="F395" s="7" t="str">
        <f>IFERROR(__xludf.DUMMYFUNCTION("""COMPUTED_VALUE"""),"NV0627")</f>
        <v>NV0627</v>
      </c>
      <c r="G395" s="7">
        <f>IFERROR(__xludf.DUMMYFUNCTION("""COMPUTED_VALUE"""),160.0)</f>
        <v>160</v>
      </c>
      <c r="H395" s="7" t="str">
        <f>IFERROR(__xludf.DUMMYFUNCTION("""COMPUTED_VALUE"""),"Lê Xuân Viên")</f>
        <v>Lê Xuân Viên</v>
      </c>
      <c r="I395" s="7" t="str">
        <f>IFERROR(__xludf.DUMMYFUNCTION("""COMPUTED_VALUE"""),"Nam")</f>
        <v>Nam</v>
      </c>
      <c r="J395" s="17">
        <f>IFERROR(__xludf.DUMMYFUNCTION("""COMPUTED_VALUE"""),30566.0)</f>
        <v>30566</v>
      </c>
      <c r="K395" s="7" t="str">
        <f>IFERROR(__xludf.DUMMYFUNCTION("""COMPUTED_VALUE"""),"Phú Quý - Phường Quảng Phú - Tỉnh Thanh Hóa ")</f>
        <v>Phú Quý - Phường Quảng Phú - Tỉnh Thanh Hóa </v>
      </c>
      <c r="L395" s="7" t="str">
        <f>IFERROR(__xludf.DUMMYFUNCTION("""COMPUTED_VALUE"""),"0384380976")</f>
        <v>0384380976</v>
      </c>
      <c r="M395" s="7" t="str">
        <f>IFERROR(__xludf.DUMMYFUNCTION("""COMPUTED_VALUE"""),"038083050292")</f>
        <v>038083050292</v>
      </c>
      <c r="N395" s="17">
        <f>IFERROR(__xludf.DUMMYFUNCTION("""COMPUTED_VALUE"""),44435.0)</f>
        <v>44435</v>
      </c>
      <c r="O395" s="7" t="str">
        <f>IFERROR(__xludf.DUMMYFUNCTION("""COMPUTED_VALUE"""),"Cục Cảnh sát QLHC về TTXH")</f>
        <v>Cục Cảnh sát QLHC về TTXH</v>
      </c>
      <c r="P395" s="7" t="str">
        <f>IFERROR(__xludf.DUMMYFUNCTION("""COMPUTED_VALUE"""),"Trung cấp")</f>
        <v>Trung cấp</v>
      </c>
      <c r="Q395" s="7" t="str">
        <f>IFERROR(__xludf.DUMMYFUNCTION("""COMPUTED_VALUE"""),"điện công nghiệp")</f>
        <v>điện công nghiệp</v>
      </c>
      <c r="R395" s="17">
        <f>IFERROR(__xludf.DUMMYFUNCTION("""COMPUTED_VALUE"""),42424.0)</f>
        <v>42424</v>
      </c>
      <c r="S395" s="17">
        <f>IFERROR(__xludf.DUMMYFUNCTION("""COMPUTED_VALUE"""),42856.0)</f>
        <v>42856</v>
      </c>
      <c r="T395" s="7" t="str">
        <f>IFERROR(__xludf.DUMMYFUNCTION("""COMPUTED_VALUE"""),"Chính thức")</f>
        <v>Chính thức</v>
      </c>
      <c r="U395" s="7"/>
      <c r="V395" s="7"/>
      <c r="W395" s="7" t="str">
        <f>IFERROR(__xludf.DUMMYFUNCTION("""COMPUTED_VALUE"""),"9 năm 10 tháng")</f>
        <v>9 năm 10 tháng</v>
      </c>
      <c r="X395" s="7"/>
      <c r="Y395" s="7"/>
      <c r="Z395" s="7"/>
    </row>
    <row r="396">
      <c r="A396" s="21" t="str">
        <f>IFERROR(__xludf.DUMMYFUNCTION("""COMPUTED_VALUE"""),"2")</f>
        <v>2</v>
      </c>
      <c r="B396" s="7" t="str">
        <f>IFERROR(__xludf.DUMMYFUNCTION("""COMPUTED_VALUE"""),"PXSX1")</f>
        <v>PXSX1</v>
      </c>
      <c r="C396" s="7" t="str">
        <f>IFERROR(__xludf.DUMMYFUNCTION("""COMPUTED_VALUE"""),"Bộ phận nung và hoàn thiện sản phẩm")</f>
        <v>Bộ phận nung và hoàn thiện sản phẩm</v>
      </c>
      <c r="D396" s="7" t="str">
        <f>IFERROR(__xludf.DUMMYFUNCTION("""COMPUTED_VALUE"""),"Quản lý")</f>
        <v>Quản lý</v>
      </c>
      <c r="E396" s="7" t="str">
        <f>IFERROR(__xludf.DUMMYFUNCTION("""COMPUTED_VALUE"""),"CBKT - Phụ trách Mài")</f>
        <v>CBKT - Phụ trách Mài</v>
      </c>
      <c r="F396" s="7" t="str">
        <f>IFERROR(__xludf.DUMMYFUNCTION("""COMPUTED_VALUE"""),"NV0665")</f>
        <v>NV0665</v>
      </c>
      <c r="G396" s="7">
        <f>IFERROR(__xludf.DUMMYFUNCTION("""COMPUTED_VALUE"""),297.0)</f>
        <v>297</v>
      </c>
      <c r="H396" s="7" t="str">
        <f>IFERROR(__xludf.DUMMYFUNCTION("""COMPUTED_VALUE"""),"Ngô Văn Minh")</f>
        <v>Ngô Văn Minh</v>
      </c>
      <c r="I396" s="7" t="str">
        <f>IFERROR(__xludf.DUMMYFUNCTION("""COMPUTED_VALUE"""),"Nam")</f>
        <v>Nam</v>
      </c>
      <c r="J396" s="17">
        <f>IFERROR(__xludf.DUMMYFUNCTION("""COMPUTED_VALUE"""),32299.0)</f>
        <v>32299</v>
      </c>
      <c r="K396" s="7" t="str">
        <f>IFERROR(__xludf.DUMMYFUNCTION("""COMPUTED_VALUE"""),"Châu Triều - Xã Hoằng Châu - Tỉnh thanh hóa")</f>
        <v>Châu Triều - Xã Hoằng Châu - Tỉnh thanh hóa</v>
      </c>
      <c r="L396" s="7" t="str">
        <f>IFERROR(__xludf.DUMMYFUNCTION("""COMPUTED_VALUE"""),"0926349766")</f>
        <v>0926349766</v>
      </c>
      <c r="M396" s="7" t="str">
        <f>IFERROR(__xludf.DUMMYFUNCTION("""COMPUTED_VALUE"""),"038088040538")</f>
        <v>038088040538</v>
      </c>
      <c r="N396" s="17">
        <f>IFERROR(__xludf.DUMMYFUNCTION("""COMPUTED_VALUE"""),44670.0)</f>
        <v>44670</v>
      </c>
      <c r="O396" s="7" t="str">
        <f>IFERROR(__xludf.DUMMYFUNCTION("""COMPUTED_VALUE"""),"Cục Cảnh sát QLHC về TTXH")</f>
        <v>Cục Cảnh sát QLHC về TTXH</v>
      </c>
      <c r="P396" s="7" t="str">
        <f>IFERROR(__xludf.DUMMYFUNCTION("""COMPUTED_VALUE"""),"Trung cấp")</f>
        <v>Trung cấp</v>
      </c>
      <c r="Q396" s="7" t="str">
        <f>IFERROR(__xludf.DUMMYFUNCTION("""COMPUTED_VALUE"""),"Nghề hàn")</f>
        <v>Nghề hàn</v>
      </c>
      <c r="R396" s="17">
        <f>IFERROR(__xludf.DUMMYFUNCTION("""COMPUTED_VALUE"""),44876.0)</f>
        <v>44876</v>
      </c>
      <c r="S396" s="17">
        <f>IFERROR(__xludf.DUMMYFUNCTION("""COMPUTED_VALUE"""),45047.0)</f>
        <v>45047</v>
      </c>
      <c r="T396" s="7" t="str">
        <f>IFERROR(__xludf.DUMMYFUNCTION("""COMPUTED_VALUE"""),"Chính thức")</f>
        <v>Chính thức</v>
      </c>
      <c r="U396" s="7"/>
      <c r="V396" s="7"/>
      <c r="W396" s="7" t="str">
        <f>IFERROR(__xludf.DUMMYFUNCTION("""COMPUTED_VALUE"""),"3 năm 1 tháng")</f>
        <v>3 năm 1 tháng</v>
      </c>
      <c r="X396" s="7"/>
      <c r="Y396" s="7"/>
      <c r="Z396" s="7"/>
    </row>
    <row r="397">
      <c r="A397" s="21" t="str">
        <f>IFERROR(__xludf.DUMMYFUNCTION("""COMPUTED_VALUE"""),"3")</f>
        <v>3</v>
      </c>
      <c r="B397" s="7" t="str">
        <f>IFERROR(__xludf.DUMMYFUNCTION("""COMPUTED_VALUE"""),"PXSX1")</f>
        <v>PXSX1</v>
      </c>
      <c r="C397" s="7" t="str">
        <f>IFERROR(__xludf.DUMMYFUNCTION("""COMPUTED_VALUE"""),"Bộ phận nung và hoàn thiện sản phẩm")</f>
        <v>Bộ phận nung và hoàn thiện sản phẩm</v>
      </c>
      <c r="D397" s="7" t="str">
        <f>IFERROR(__xludf.DUMMYFUNCTION("""COMPUTED_VALUE"""),"Quản lý")</f>
        <v>Quản lý</v>
      </c>
      <c r="E397" s="7" t="str">
        <f>IFERROR(__xludf.DUMMYFUNCTION("""COMPUTED_VALUE"""),"CBKT Mài")</f>
        <v>CBKT Mài</v>
      </c>
      <c r="F397" s="7" t="str">
        <f>IFERROR(__xludf.DUMMYFUNCTION("""COMPUTED_VALUE"""),"NV1612")</f>
        <v>NV1612</v>
      </c>
      <c r="G397" s="7">
        <f>IFERROR(__xludf.DUMMYFUNCTION("""COMPUTED_VALUE"""),339.0)</f>
        <v>339</v>
      </c>
      <c r="H397" s="7" t="str">
        <f>IFERROR(__xludf.DUMMYFUNCTION("""COMPUTED_VALUE"""),"Lê Văn Trường")</f>
        <v>Lê Văn Trường</v>
      </c>
      <c r="I397" s="7" t="str">
        <f>IFERROR(__xludf.DUMMYFUNCTION("""COMPUTED_VALUE"""),"Nam")</f>
        <v>Nam</v>
      </c>
      <c r="J397" s="17">
        <f>IFERROR(__xludf.DUMMYFUNCTION("""COMPUTED_VALUE"""),36401.0)</f>
        <v>36401</v>
      </c>
      <c r="K397" s="7" t="str">
        <f>IFERROR(__xludf.DUMMYFUNCTION("""COMPUTED_VALUE"""),"Thôn Phúc Thành - Xã Quảng Ninh - Tỉnh Thanh Hóa")</f>
        <v>Thôn Phúc Thành - Xã Quảng Ninh - Tỉnh Thanh Hóa</v>
      </c>
      <c r="L397" s="7" t="str">
        <f>IFERROR(__xludf.DUMMYFUNCTION("""COMPUTED_VALUE"""),"0362898988")</f>
        <v>0362898988</v>
      </c>
      <c r="M397" s="7" t="str">
        <f>IFERROR(__xludf.DUMMYFUNCTION("""COMPUTED_VALUE"""),"038099011809")</f>
        <v>038099011809</v>
      </c>
      <c r="N397" s="17">
        <f>IFERROR(__xludf.DUMMYFUNCTION("""COMPUTED_VALUE"""),42870.0)</f>
        <v>42870</v>
      </c>
      <c r="O397" s="7" t="str">
        <f>IFERROR(__xludf.DUMMYFUNCTION("""COMPUTED_VALUE"""),"Cục Cảnh sát QLHC về TTXH")</f>
        <v>Cục Cảnh sát QLHC về TTXH</v>
      </c>
      <c r="P397" s="7" t="str">
        <f>IFERROR(__xludf.DUMMYFUNCTION("""COMPUTED_VALUE"""),"LĐPT")</f>
        <v>LĐPT</v>
      </c>
      <c r="Q397" s="7" t="str">
        <f>IFERROR(__xludf.DUMMYFUNCTION("""COMPUTED_VALUE"""),"Lao động phổ thông")</f>
        <v>Lao động phổ thông</v>
      </c>
      <c r="R397" s="17">
        <f>IFERROR(__xludf.DUMMYFUNCTION("""COMPUTED_VALUE"""),43307.0)</f>
        <v>43307</v>
      </c>
      <c r="S397" s="17">
        <f>IFERROR(__xludf.DUMMYFUNCTION("""COMPUTED_VALUE"""),43647.0)</f>
        <v>43647</v>
      </c>
      <c r="T397" s="7" t="str">
        <f>IFERROR(__xludf.DUMMYFUNCTION("""COMPUTED_VALUE"""),"Chính thức")</f>
        <v>Chính thức</v>
      </c>
      <c r="U397" s="7"/>
      <c r="V397" s="7"/>
      <c r="W397" s="7" t="str">
        <f>IFERROR(__xludf.DUMMYFUNCTION("""COMPUTED_VALUE"""),"7 năm 5 tháng")</f>
        <v>7 năm 5 tháng</v>
      </c>
      <c r="X397" s="7"/>
      <c r="Y397" s="7"/>
      <c r="Z397" s="7"/>
    </row>
    <row r="398">
      <c r="A398" s="21" t="str">
        <f>IFERROR(__xludf.DUMMYFUNCTION("""COMPUTED_VALUE"""),"1")</f>
        <v>1</v>
      </c>
      <c r="B398" s="7" t="str">
        <f>IFERROR(__xludf.DUMMYFUNCTION("""COMPUTED_VALUE"""),"PXSX1")</f>
        <v>PXSX1</v>
      </c>
      <c r="C398" s="7" t="str">
        <f>IFERROR(__xludf.DUMMYFUNCTION("""COMPUTED_VALUE"""),"Bộ phận nung và hoàn thiện sản phẩm")</f>
        <v>Bộ phận nung và hoàn thiện sản phẩm</v>
      </c>
      <c r="D398" s="7" t="str">
        <f>IFERROR(__xludf.DUMMYFUNCTION("""COMPUTED_VALUE"""),"Lò nung Ca A")</f>
        <v>Lò nung Ca A</v>
      </c>
      <c r="E398" s="7" t="str">
        <f>IFERROR(__xludf.DUMMYFUNCTION("""COMPUTED_VALUE"""),"Dỡ gạch chính ")</f>
        <v>Dỡ gạch chính </v>
      </c>
      <c r="F398" s="7" t="str">
        <f>IFERROR(__xludf.DUMMYFUNCTION("""COMPUTED_VALUE"""),"NV4955")</f>
        <v>NV4955</v>
      </c>
      <c r="G398" s="7">
        <f>IFERROR(__xludf.DUMMYFUNCTION("""COMPUTED_VALUE"""),134.0)</f>
        <v>134</v>
      </c>
      <c r="H398" s="7" t="str">
        <f>IFERROR(__xludf.DUMMYFUNCTION("""COMPUTED_VALUE"""),"Nguyễn Văn Dũng (81)")</f>
        <v>Nguyễn Văn Dũng (81)</v>
      </c>
      <c r="I398" s="7" t="str">
        <f>IFERROR(__xludf.DUMMYFUNCTION("""COMPUTED_VALUE"""),"Nam")</f>
        <v>Nam</v>
      </c>
      <c r="J398" s="17">
        <f>IFERROR(__xludf.DUMMYFUNCTION("""COMPUTED_VALUE"""),29884.0)</f>
        <v>29884</v>
      </c>
      <c r="K398" s="7" t="str">
        <f>IFERROR(__xludf.DUMMYFUNCTION("""COMPUTED_VALUE"""),"Xã Quảng Yên - Tỉnh Thanh Hóa")</f>
        <v>Xã Quảng Yên - Tỉnh Thanh Hóa</v>
      </c>
      <c r="L398" s="7" t="str">
        <f>IFERROR(__xludf.DUMMYFUNCTION("""COMPUTED_VALUE"""),"0989527394")</f>
        <v>0989527394</v>
      </c>
      <c r="M398" s="7" t="str">
        <f>IFERROR(__xludf.DUMMYFUNCTION("""COMPUTED_VALUE"""),"038081036230")</f>
        <v>038081036230</v>
      </c>
      <c r="N398" s="17">
        <f>IFERROR(__xludf.DUMMYFUNCTION("""COMPUTED_VALUE"""),44419.0)</f>
        <v>44419</v>
      </c>
      <c r="O398" s="7" t="str">
        <f>IFERROR(__xludf.DUMMYFUNCTION("""COMPUTED_VALUE"""),"Cục Cảnh sát QLHC về TTXH")</f>
        <v>Cục Cảnh sát QLHC về TTXH</v>
      </c>
      <c r="P398" s="7" t="str">
        <f>IFERROR(__xludf.DUMMYFUNCTION("""COMPUTED_VALUE"""),"LĐPT")</f>
        <v>LĐPT</v>
      </c>
      <c r="Q398" s="7" t="str">
        <f>IFERROR(__xludf.DUMMYFUNCTION("""COMPUTED_VALUE"""),"Lao động phổ thông")</f>
        <v>Lao động phổ thông</v>
      </c>
      <c r="R398" s="17">
        <f>IFERROR(__xludf.DUMMYFUNCTION("""COMPUTED_VALUE"""),45177.0)</f>
        <v>45177</v>
      </c>
      <c r="S398" s="17">
        <f>IFERROR(__xludf.DUMMYFUNCTION("""COMPUTED_VALUE"""),45292.0)</f>
        <v>45292</v>
      </c>
      <c r="T398" s="7" t="str">
        <f>IFERROR(__xludf.DUMMYFUNCTION("""COMPUTED_VALUE"""),"Chính thức")</f>
        <v>Chính thức</v>
      </c>
      <c r="U398" s="7"/>
      <c r="V398" s="7"/>
      <c r="W398" s="7" t="str">
        <f>IFERROR(__xludf.DUMMYFUNCTION("""COMPUTED_VALUE"""),"2 năm 3 tháng")</f>
        <v>2 năm 3 tháng</v>
      </c>
      <c r="X398" s="7"/>
      <c r="Y398" s="7"/>
      <c r="Z398" s="7"/>
    </row>
    <row r="399">
      <c r="A399" s="21" t="str">
        <f>IFERROR(__xludf.DUMMYFUNCTION("""COMPUTED_VALUE"""),"2")</f>
        <v>2</v>
      </c>
      <c r="B399" s="7" t="str">
        <f>IFERROR(__xludf.DUMMYFUNCTION("""COMPUTED_VALUE"""),"PXSX1")</f>
        <v>PXSX1</v>
      </c>
      <c r="C399" s="7" t="str">
        <f>IFERROR(__xludf.DUMMYFUNCTION("""COMPUTED_VALUE"""),"Bộ phận nung và hoàn thiện sản phẩm")</f>
        <v>Bộ phận nung và hoàn thiện sản phẩm</v>
      </c>
      <c r="D399" s="7" t="str">
        <f>IFERROR(__xludf.DUMMYFUNCTION("""COMPUTED_VALUE"""),"Lò nung Ca A")</f>
        <v>Lò nung Ca A</v>
      </c>
      <c r="E399" s="7" t="str">
        <f>IFERROR(__xludf.DUMMYFUNCTION("""COMPUTED_VALUE"""),"Dỡ gạch chính ")</f>
        <v>Dỡ gạch chính </v>
      </c>
      <c r="F399" s="7" t="str">
        <f>IFERROR(__xludf.DUMMYFUNCTION("""COMPUTED_VALUE"""),"NV0213")</f>
        <v>NV0213</v>
      </c>
      <c r="G399" s="7">
        <f>IFERROR(__xludf.DUMMYFUNCTION("""COMPUTED_VALUE"""),154.0)</f>
        <v>154</v>
      </c>
      <c r="H399" s="7" t="str">
        <f>IFERROR(__xludf.DUMMYFUNCTION("""COMPUTED_VALUE"""),"Lê Duy Cường")</f>
        <v>Lê Duy Cường</v>
      </c>
      <c r="I399" s="7" t="str">
        <f>IFERROR(__xludf.DUMMYFUNCTION("""COMPUTED_VALUE"""),"Nam")</f>
        <v>Nam</v>
      </c>
      <c r="J399" s="17">
        <f>IFERROR(__xludf.DUMMYFUNCTION("""COMPUTED_VALUE"""),30790.0)</f>
        <v>30790</v>
      </c>
      <c r="K399" s="7" t="str">
        <f>IFERROR(__xludf.DUMMYFUNCTION("""COMPUTED_VALUE"""),"Ngọc Khê -  Xã Ngọc Minh -  Huyện Ngọc Lặc -  Tỉnh Thanh Hóa")</f>
        <v>Ngọc Khê -  Xã Ngọc Minh -  Huyện Ngọc Lặc -  Tỉnh Thanh Hóa</v>
      </c>
      <c r="L399" s="7" t="str">
        <f>IFERROR(__xludf.DUMMYFUNCTION("""COMPUTED_VALUE"""),"0967615955")</f>
        <v>0967615955</v>
      </c>
      <c r="M399" s="7" t="str">
        <f>IFERROR(__xludf.DUMMYFUNCTION("""COMPUTED_VALUE"""),"038084034111")</f>
        <v>038084034111</v>
      </c>
      <c r="N399" s="17">
        <f>IFERROR(__xludf.DUMMYFUNCTION("""COMPUTED_VALUE"""),44848.0)</f>
        <v>44848</v>
      </c>
      <c r="O399" s="7" t="str">
        <f>IFERROR(__xludf.DUMMYFUNCTION("""COMPUTED_VALUE"""),"Cục Cảnh sát QLHC về TTXH")</f>
        <v>Cục Cảnh sát QLHC về TTXH</v>
      </c>
      <c r="P399" s="7" t="str">
        <f>IFERROR(__xludf.DUMMYFUNCTION("""COMPUTED_VALUE"""),"LĐPT")</f>
        <v>LĐPT</v>
      </c>
      <c r="Q399" s="7" t="str">
        <f>IFERROR(__xludf.DUMMYFUNCTION("""COMPUTED_VALUE"""),"Lao động phổ thông")</f>
        <v>Lao động phổ thông</v>
      </c>
      <c r="R399" s="17">
        <f>IFERROR(__xludf.DUMMYFUNCTION("""COMPUTED_VALUE"""),42207.0)</f>
        <v>42207</v>
      </c>
      <c r="S399" s="17">
        <f>IFERROR(__xludf.DUMMYFUNCTION("""COMPUTED_VALUE"""),42207.0)</f>
        <v>42207</v>
      </c>
      <c r="T399" s="7" t="str">
        <f>IFERROR(__xludf.DUMMYFUNCTION("""COMPUTED_VALUE"""),"Chính thức")</f>
        <v>Chính thức</v>
      </c>
      <c r="U399" s="7"/>
      <c r="V399" s="7"/>
      <c r="W399" s="7" t="str">
        <f>IFERROR(__xludf.DUMMYFUNCTION("""COMPUTED_VALUE"""),"10 năm 5 tháng")</f>
        <v>10 năm 5 tháng</v>
      </c>
      <c r="X399" s="7"/>
      <c r="Y399" s="7"/>
      <c r="Z399" s="7"/>
    </row>
    <row r="400">
      <c r="A400" s="21" t="str">
        <f>IFERROR(__xludf.DUMMYFUNCTION("""COMPUTED_VALUE"""),"3")</f>
        <v>3</v>
      </c>
      <c r="B400" s="7" t="str">
        <f>IFERROR(__xludf.DUMMYFUNCTION("""COMPUTED_VALUE"""),"PXSX1")</f>
        <v>PXSX1</v>
      </c>
      <c r="C400" s="7" t="str">
        <f>IFERROR(__xludf.DUMMYFUNCTION("""COMPUTED_VALUE"""),"Bộ phận nung và hoàn thiện sản phẩm")</f>
        <v>Bộ phận nung và hoàn thiện sản phẩm</v>
      </c>
      <c r="D400" s="7" t="str">
        <f>IFERROR(__xludf.DUMMYFUNCTION("""COMPUTED_VALUE"""),"Lò nung Ca A")</f>
        <v>Lò nung Ca A</v>
      </c>
      <c r="E400" s="7" t="str">
        <f>IFERROR(__xludf.DUMMYFUNCTION("""COMPUTED_VALUE"""),"Tổ phó")</f>
        <v>Tổ phó</v>
      </c>
      <c r="F400" s="7" t="str">
        <f>IFERROR(__xludf.DUMMYFUNCTION("""COMPUTED_VALUE"""),"NV0208")</f>
        <v>NV0208</v>
      </c>
      <c r="G400" s="7">
        <f>IFERROR(__xludf.DUMMYFUNCTION("""COMPUTED_VALUE"""),192.0)</f>
        <v>192</v>
      </c>
      <c r="H400" s="7" t="str">
        <f>IFERROR(__xludf.DUMMYFUNCTION("""COMPUTED_VALUE"""),"Nguyễn Phú Kiên")</f>
        <v>Nguyễn Phú Kiên</v>
      </c>
      <c r="I400" s="7" t="str">
        <f>IFERROR(__xludf.DUMMYFUNCTION("""COMPUTED_VALUE"""),"Nam")</f>
        <v>Nam</v>
      </c>
      <c r="J400" s="17">
        <f>IFERROR(__xludf.DUMMYFUNCTION("""COMPUTED_VALUE"""),31141.0)</f>
        <v>31141</v>
      </c>
      <c r="K400" s="7" t="str">
        <f>IFERROR(__xludf.DUMMYFUNCTION("""COMPUTED_VALUE"""),"Thôn 8 - Phường Nam Sầm Sơn - Tỉnh Thanh Hóa")</f>
        <v>Thôn 8 - Phường Nam Sầm Sơn - Tỉnh Thanh Hóa</v>
      </c>
      <c r="L400" s="7" t="str">
        <f>IFERROR(__xludf.DUMMYFUNCTION("""COMPUTED_VALUE"""),"0349894897")</f>
        <v>0349894897</v>
      </c>
      <c r="M400" s="7" t="str">
        <f>IFERROR(__xludf.DUMMYFUNCTION("""COMPUTED_VALUE"""),"038085050714")</f>
        <v>038085050714</v>
      </c>
      <c r="N400" s="17">
        <f>IFERROR(__xludf.DUMMYFUNCTION("""COMPUTED_VALUE"""),44386.0)</f>
        <v>44386</v>
      </c>
      <c r="O400" s="7" t="str">
        <f>IFERROR(__xludf.DUMMYFUNCTION("""COMPUTED_VALUE"""),"Cục Cảnh sát QLHC về TTXH")</f>
        <v>Cục Cảnh sát QLHC về TTXH</v>
      </c>
      <c r="P400" s="7" t="str">
        <f>IFERROR(__xludf.DUMMYFUNCTION("""COMPUTED_VALUE"""),"LĐPT")</f>
        <v>LĐPT</v>
      </c>
      <c r="Q400" s="7" t="str">
        <f>IFERROR(__xludf.DUMMYFUNCTION("""COMPUTED_VALUE"""),"Lao động phổ thông")</f>
        <v>Lao động phổ thông</v>
      </c>
      <c r="R400" s="17">
        <f>IFERROR(__xludf.DUMMYFUNCTION("""COMPUTED_VALUE"""),40963.0)</f>
        <v>40963</v>
      </c>
      <c r="S400" s="17">
        <f>IFERROR(__xludf.DUMMYFUNCTION("""COMPUTED_VALUE"""),40963.0)</f>
        <v>40963</v>
      </c>
      <c r="T400" s="7" t="str">
        <f>IFERROR(__xludf.DUMMYFUNCTION("""COMPUTED_VALUE"""),"Chính thức")</f>
        <v>Chính thức</v>
      </c>
      <c r="U400" s="7"/>
      <c r="V400" s="7"/>
      <c r="W400" s="7" t="str">
        <f>IFERROR(__xludf.DUMMYFUNCTION("""COMPUTED_VALUE"""),"13 năm 10 tháng")</f>
        <v>13 năm 10 tháng</v>
      </c>
      <c r="X400" s="7"/>
      <c r="Y400" s="7"/>
      <c r="Z400" s="7"/>
    </row>
    <row r="401">
      <c r="A401" s="21" t="str">
        <f>IFERROR(__xludf.DUMMYFUNCTION("""COMPUTED_VALUE"""),"4")</f>
        <v>4</v>
      </c>
      <c r="B401" s="7" t="str">
        <f>IFERROR(__xludf.DUMMYFUNCTION("""COMPUTED_VALUE"""),"PXSX1")</f>
        <v>PXSX1</v>
      </c>
      <c r="C401" s="7" t="str">
        <f>IFERROR(__xludf.DUMMYFUNCTION("""COMPUTED_VALUE"""),"Bộ phận nung và hoàn thiện sản phẩm")</f>
        <v>Bộ phận nung và hoàn thiện sản phẩm</v>
      </c>
      <c r="D401" s="7" t="str">
        <f>IFERROR(__xludf.DUMMYFUNCTION("""COMPUTED_VALUE"""),"Lò nung Ca A")</f>
        <v>Lò nung Ca A</v>
      </c>
      <c r="E401" s="7" t="str">
        <f>IFERROR(__xludf.DUMMYFUNCTION("""COMPUTED_VALUE"""),"Vận hành chính")</f>
        <v>Vận hành chính</v>
      </c>
      <c r="F401" s="7" t="str">
        <f>IFERROR(__xludf.DUMMYFUNCTION("""COMPUTED_VALUE"""),"NV3496")</f>
        <v>NV3496</v>
      </c>
      <c r="G401" s="7">
        <f>IFERROR(__xludf.DUMMYFUNCTION("""COMPUTED_VALUE"""),302.0)</f>
        <v>302</v>
      </c>
      <c r="H401" s="7" t="str">
        <f>IFERROR(__xludf.DUMMYFUNCTION("""COMPUTED_VALUE"""),"Phạm Văn Minh")</f>
        <v>Phạm Văn Minh</v>
      </c>
      <c r="I401" s="7" t="str">
        <f>IFERROR(__xludf.DUMMYFUNCTION("""COMPUTED_VALUE"""),"Nam")</f>
        <v>Nam</v>
      </c>
      <c r="J401" s="17">
        <f>IFERROR(__xludf.DUMMYFUNCTION("""COMPUTED_VALUE"""),33057.0)</f>
        <v>33057</v>
      </c>
      <c r="K401" s="7" t="str">
        <f>IFERROR(__xludf.DUMMYFUNCTION("""COMPUTED_VALUE"""),"Xã Quảng Chính - Tỉnh Thanh Hóa")</f>
        <v>Xã Quảng Chính - Tỉnh Thanh Hóa</v>
      </c>
      <c r="L401" s="7" t="str">
        <f>IFERROR(__xludf.DUMMYFUNCTION("""COMPUTED_VALUE"""),"0869143108")</f>
        <v>0869143108</v>
      </c>
      <c r="M401" s="7" t="str">
        <f>IFERROR(__xludf.DUMMYFUNCTION("""COMPUTED_VALUE"""),"038090046098")</f>
        <v>038090046098</v>
      </c>
      <c r="N401" s="17">
        <f>IFERROR(__xludf.DUMMYFUNCTION("""COMPUTED_VALUE"""),44430.0)</f>
        <v>44430</v>
      </c>
      <c r="O401" s="7" t="str">
        <f>IFERROR(__xludf.DUMMYFUNCTION("""COMPUTED_VALUE"""),"Cục Cảnh sát QLHC về TTXH")</f>
        <v>Cục Cảnh sát QLHC về TTXH</v>
      </c>
      <c r="P401" s="7" t="str">
        <f>IFERROR(__xludf.DUMMYFUNCTION("""COMPUTED_VALUE"""),"LĐPT")</f>
        <v>LĐPT</v>
      </c>
      <c r="Q401" s="7" t="str">
        <f>IFERROR(__xludf.DUMMYFUNCTION("""COMPUTED_VALUE"""),"Lao động phổ thông")</f>
        <v>Lao động phổ thông</v>
      </c>
      <c r="R401" s="17">
        <f>IFERROR(__xludf.DUMMYFUNCTION("""COMPUTED_VALUE"""),44261.0)</f>
        <v>44261</v>
      </c>
      <c r="S401" s="17">
        <f>IFERROR(__xludf.DUMMYFUNCTION("""COMPUTED_VALUE"""),44562.0)</f>
        <v>44562</v>
      </c>
      <c r="T401" s="7" t="str">
        <f>IFERROR(__xludf.DUMMYFUNCTION("""COMPUTED_VALUE"""),"Chính thức")</f>
        <v>Chính thức</v>
      </c>
      <c r="U401" s="7"/>
      <c r="V401" s="7"/>
      <c r="W401" s="7" t="str">
        <f>IFERROR(__xludf.DUMMYFUNCTION("""COMPUTED_VALUE"""),"4 năm 9 tháng")</f>
        <v>4 năm 9 tháng</v>
      </c>
      <c r="X401" s="7"/>
      <c r="Y401" s="7"/>
      <c r="Z401" s="7"/>
    </row>
    <row r="402">
      <c r="A402" s="21" t="str">
        <f>IFERROR(__xludf.DUMMYFUNCTION("""COMPUTED_VALUE"""),"5")</f>
        <v>5</v>
      </c>
      <c r="B402" s="7" t="str">
        <f>IFERROR(__xludf.DUMMYFUNCTION("""COMPUTED_VALUE"""),"PXSX1")</f>
        <v>PXSX1</v>
      </c>
      <c r="C402" s="7" t="str">
        <f>IFERROR(__xludf.DUMMYFUNCTION("""COMPUTED_VALUE"""),"Bộ phận nung và hoàn thiện sản phẩm")</f>
        <v>Bộ phận nung và hoàn thiện sản phẩm</v>
      </c>
      <c r="D402" s="7" t="str">
        <f>IFERROR(__xludf.DUMMYFUNCTION("""COMPUTED_VALUE"""),"Lò nung Ca A")</f>
        <v>Lò nung Ca A</v>
      </c>
      <c r="E402" s="7" t="str">
        <f>IFERROR(__xludf.DUMMYFUNCTION("""COMPUTED_VALUE"""),"VH Đầu lò chính ")</f>
        <v>VH Đầu lò chính </v>
      </c>
      <c r="F402" s="7" t="str">
        <f>IFERROR(__xludf.DUMMYFUNCTION("""COMPUTED_VALUE"""),"NV0234")</f>
        <v>NV0234</v>
      </c>
      <c r="G402" s="7">
        <f>IFERROR(__xludf.DUMMYFUNCTION("""COMPUTED_VALUE"""),212.0)</f>
        <v>212</v>
      </c>
      <c r="H402" s="7" t="str">
        <f>IFERROR(__xludf.DUMMYFUNCTION("""COMPUTED_VALUE"""),"Vũ Trọng Chung")</f>
        <v>Vũ Trọng Chung</v>
      </c>
      <c r="I402" s="7" t="str">
        <f>IFERROR(__xludf.DUMMYFUNCTION("""COMPUTED_VALUE"""),"Nam")</f>
        <v>Nam</v>
      </c>
      <c r="J402" s="17">
        <f>IFERROR(__xludf.DUMMYFUNCTION("""COMPUTED_VALUE"""),33337.0)</f>
        <v>33337</v>
      </c>
      <c r="K402" s="7" t="str">
        <f>IFERROR(__xludf.DUMMYFUNCTION("""COMPUTED_VALUE"""),"Phường Quảng Phú - Tỉnh Thanh Hóa")</f>
        <v>Phường Quảng Phú - Tỉnh Thanh Hóa</v>
      </c>
      <c r="L402" s="7" t="str">
        <f>IFERROR(__xludf.DUMMYFUNCTION("""COMPUTED_VALUE"""),"0961079405")</f>
        <v>0961079405</v>
      </c>
      <c r="M402" s="7" t="str">
        <f>IFERROR(__xludf.DUMMYFUNCTION("""COMPUTED_VALUE"""),"038091024577")</f>
        <v>038091024577</v>
      </c>
      <c r="N402" s="17">
        <f>IFERROR(__xludf.DUMMYFUNCTION("""COMPUTED_VALUE"""),44317.0)</f>
        <v>44317</v>
      </c>
      <c r="O402" s="7" t="str">
        <f>IFERROR(__xludf.DUMMYFUNCTION("""COMPUTED_VALUE"""),"Cục Cảnh sát QLHC về TTXH")</f>
        <v>Cục Cảnh sát QLHC về TTXH</v>
      </c>
      <c r="P402" s="7" t="str">
        <f>IFERROR(__xludf.DUMMYFUNCTION("""COMPUTED_VALUE"""),"LĐPT")</f>
        <v>LĐPT</v>
      </c>
      <c r="Q402" s="7" t="str">
        <f>IFERROR(__xludf.DUMMYFUNCTION("""COMPUTED_VALUE"""),"Lao động phổ thông")</f>
        <v>Lao động phổ thông</v>
      </c>
      <c r="R402" s="17">
        <f>IFERROR(__xludf.DUMMYFUNCTION("""COMPUTED_VALUE"""),42428.0)</f>
        <v>42428</v>
      </c>
      <c r="S402" s="17">
        <f>IFERROR(__xludf.DUMMYFUNCTION("""COMPUTED_VALUE"""),42856.0)</f>
        <v>42856</v>
      </c>
      <c r="T402" s="7" t="str">
        <f>IFERROR(__xludf.DUMMYFUNCTION("""COMPUTED_VALUE"""),"Chính thức")</f>
        <v>Chính thức</v>
      </c>
      <c r="U402" s="7"/>
      <c r="V402" s="7"/>
      <c r="W402" s="7" t="str">
        <f>IFERROR(__xludf.DUMMYFUNCTION("""COMPUTED_VALUE"""),"9 năm 10 tháng")</f>
        <v>9 năm 10 tháng</v>
      </c>
      <c r="X402" s="7"/>
      <c r="Y402" s="7"/>
      <c r="Z402" s="7"/>
    </row>
    <row r="403">
      <c r="A403" s="21" t="str">
        <f>IFERROR(__xludf.DUMMYFUNCTION("""COMPUTED_VALUE"""),"6")</f>
        <v>6</v>
      </c>
      <c r="B403" s="7" t="str">
        <f>IFERROR(__xludf.DUMMYFUNCTION("""COMPUTED_VALUE"""),"PXSX1")</f>
        <v>PXSX1</v>
      </c>
      <c r="C403" s="7" t="str">
        <f>IFERROR(__xludf.DUMMYFUNCTION("""COMPUTED_VALUE"""),"Bộ phận nung và hoàn thiện sản phẩm")</f>
        <v>Bộ phận nung và hoàn thiện sản phẩm</v>
      </c>
      <c r="D403" s="7" t="str">
        <f>IFERROR(__xludf.DUMMYFUNCTION("""COMPUTED_VALUE"""),"Lò nung Ca A")</f>
        <v>Lò nung Ca A</v>
      </c>
      <c r="E403" s="7" t="str">
        <f>IFERROR(__xludf.DUMMYFUNCTION("""COMPUTED_VALUE"""),"Vận hành chính")</f>
        <v>Vận hành chính</v>
      </c>
      <c r="F403" s="7" t="str">
        <f>IFERROR(__xludf.DUMMYFUNCTION("""COMPUTED_VALUE"""),"NV3296")</f>
        <v>NV3296</v>
      </c>
      <c r="G403" s="7">
        <f>IFERROR(__xludf.DUMMYFUNCTION("""COMPUTED_VALUE"""),640.0)</f>
        <v>640</v>
      </c>
      <c r="H403" s="7" t="str">
        <f>IFERROR(__xludf.DUMMYFUNCTION("""COMPUTED_VALUE"""),"Lê Nhữ Đạt")</f>
        <v>Lê Nhữ Đạt</v>
      </c>
      <c r="I403" s="7" t="str">
        <f>IFERROR(__xludf.DUMMYFUNCTION("""COMPUTED_VALUE"""),"Nam")</f>
        <v>Nam</v>
      </c>
      <c r="J403" s="17">
        <f>IFERROR(__xludf.DUMMYFUNCTION("""COMPUTED_VALUE"""),34608.0)</f>
        <v>34608</v>
      </c>
      <c r="K403" s="7" t="str">
        <f>IFERROR(__xludf.DUMMYFUNCTION("""COMPUTED_VALUE"""),"KP Khanh Tiến - Phường Sầm Sơn - Tỉnh Thanh Hóa")</f>
        <v>KP Khanh Tiến - Phường Sầm Sơn - Tỉnh Thanh Hóa</v>
      </c>
      <c r="L403" s="7" t="str">
        <f>IFERROR(__xludf.DUMMYFUNCTION("""COMPUTED_VALUE"""),"0984273641")</f>
        <v>0984273641</v>
      </c>
      <c r="M403" s="7" t="str">
        <f>IFERROR(__xludf.DUMMYFUNCTION("""COMPUTED_VALUE"""),"038094016825")</f>
        <v>038094016825</v>
      </c>
      <c r="N403" s="17">
        <f>IFERROR(__xludf.DUMMYFUNCTION("""COMPUTED_VALUE"""),44419.0)</f>
        <v>44419</v>
      </c>
      <c r="O403" s="7" t="str">
        <f>IFERROR(__xludf.DUMMYFUNCTION("""COMPUTED_VALUE"""),"Cục Cảnh sát QLHC về TTXH")</f>
        <v>Cục Cảnh sát QLHC về TTXH</v>
      </c>
      <c r="P403" s="7" t="str">
        <f>IFERROR(__xludf.DUMMYFUNCTION("""COMPUTED_VALUE"""),"LĐPT")</f>
        <v>LĐPT</v>
      </c>
      <c r="Q403" s="7" t="str">
        <f>IFERROR(__xludf.DUMMYFUNCTION("""COMPUTED_VALUE"""),"Lao động phổ thông")</f>
        <v>Lao động phổ thông</v>
      </c>
      <c r="R403" s="17">
        <f>IFERROR(__xludf.DUMMYFUNCTION("""COMPUTED_VALUE"""),44108.0)</f>
        <v>44108</v>
      </c>
      <c r="S403" s="17">
        <f>IFERROR(__xludf.DUMMYFUNCTION("""COMPUTED_VALUE"""),44409.0)</f>
        <v>44409</v>
      </c>
      <c r="T403" s="7" t="str">
        <f>IFERROR(__xludf.DUMMYFUNCTION("""COMPUTED_VALUE"""),"Chính thức")</f>
        <v>Chính thức</v>
      </c>
      <c r="U403" s="7"/>
      <c r="V403" s="7"/>
      <c r="W403" s="7" t="str">
        <f>IFERROR(__xludf.DUMMYFUNCTION("""COMPUTED_VALUE"""),"5 năm 2 tháng")</f>
        <v>5 năm 2 tháng</v>
      </c>
      <c r="X403" s="7"/>
      <c r="Y403" s="7"/>
      <c r="Z403" s="7"/>
    </row>
    <row r="404">
      <c r="A404" s="21" t="str">
        <f>IFERROR(__xludf.DUMMYFUNCTION("""COMPUTED_VALUE"""),"7")</f>
        <v>7</v>
      </c>
      <c r="B404" s="7" t="str">
        <f>IFERROR(__xludf.DUMMYFUNCTION("""COMPUTED_VALUE"""),"PXSX1")</f>
        <v>PXSX1</v>
      </c>
      <c r="C404" s="7" t="str">
        <f>IFERROR(__xludf.DUMMYFUNCTION("""COMPUTED_VALUE"""),"Bộ phận nung và hoàn thiện sản phẩm")</f>
        <v>Bộ phận nung và hoàn thiện sản phẩm</v>
      </c>
      <c r="D404" s="7" t="str">
        <f>IFERROR(__xludf.DUMMYFUNCTION("""COMPUTED_VALUE"""),"Lò nung Ca A")</f>
        <v>Lò nung Ca A</v>
      </c>
      <c r="E404" s="7" t="str">
        <f>IFERROR(__xludf.DUMMYFUNCTION("""COMPUTED_VALUE"""),"Vận hành lò")</f>
        <v>Vận hành lò</v>
      </c>
      <c r="F404" s="7" t="str">
        <f>IFERROR(__xludf.DUMMYFUNCTION("""COMPUTED_VALUE"""),"NV4357")</f>
        <v>NV4357</v>
      </c>
      <c r="G404" s="7">
        <f>IFERROR(__xludf.DUMMYFUNCTION("""COMPUTED_VALUE"""),144.0)</f>
        <v>144</v>
      </c>
      <c r="H404" s="7" t="str">
        <f>IFERROR(__xludf.DUMMYFUNCTION("""COMPUTED_VALUE"""),"Nguyễn Tuấn Anh")</f>
        <v>Nguyễn Tuấn Anh</v>
      </c>
      <c r="I404" s="7" t="str">
        <f>IFERROR(__xludf.DUMMYFUNCTION("""COMPUTED_VALUE"""),"Nam")</f>
        <v>Nam</v>
      </c>
      <c r="J404" s="17">
        <f>IFERROR(__xludf.DUMMYFUNCTION("""COMPUTED_VALUE"""),37583.0)</f>
        <v>37583</v>
      </c>
      <c r="K404" s="7" t="str">
        <f>IFERROR(__xludf.DUMMYFUNCTION("""COMPUTED_VALUE"""),"Quân Bình - Xã Thọ Xuân - Tỉnh Thanh Hóa")</f>
        <v>Quân Bình - Xã Thọ Xuân - Tỉnh Thanh Hóa</v>
      </c>
      <c r="L404" s="7" t="str">
        <f>IFERROR(__xludf.DUMMYFUNCTION("""COMPUTED_VALUE"""),"0974450102")</f>
        <v>0974450102</v>
      </c>
      <c r="M404" s="7" t="str">
        <f>IFERROR(__xludf.DUMMYFUNCTION("""COMPUTED_VALUE"""),"038202019294")</f>
        <v>038202019294</v>
      </c>
      <c r="N404" s="17">
        <f>IFERROR(__xludf.DUMMYFUNCTION("""COMPUTED_VALUE"""),44379.0)</f>
        <v>44379</v>
      </c>
      <c r="O404" s="7" t="str">
        <f>IFERROR(__xludf.DUMMYFUNCTION("""COMPUTED_VALUE"""),"Cục Cảnh sát QLHC về TTXH")</f>
        <v>Cục Cảnh sát QLHC về TTXH</v>
      </c>
      <c r="P404" s="7" t="str">
        <f>IFERROR(__xludf.DUMMYFUNCTION("""COMPUTED_VALUE"""),"LĐPT")</f>
        <v>LĐPT</v>
      </c>
      <c r="Q404" s="7" t="str">
        <f>IFERROR(__xludf.DUMMYFUNCTION("""COMPUTED_VALUE"""),"Lao động phổ thông")</f>
        <v>Lao động phổ thông</v>
      </c>
      <c r="R404" s="17">
        <f>IFERROR(__xludf.DUMMYFUNCTION("""COMPUTED_VALUE"""),44741.0)</f>
        <v>44741</v>
      </c>
      <c r="S404" s="17">
        <f>IFERROR(__xludf.DUMMYFUNCTION("""COMPUTED_VALUE"""),44986.0)</f>
        <v>44986</v>
      </c>
      <c r="T404" s="7" t="str">
        <f>IFERROR(__xludf.DUMMYFUNCTION("""COMPUTED_VALUE"""),"Chính thức")</f>
        <v>Chính thức</v>
      </c>
      <c r="U404" s="7"/>
      <c r="V404" s="7" t="str">
        <f>IFERROR(__xludf.DUMMYFUNCTION("""COMPUTED_VALUE"""),"Nghỉ phép")</f>
        <v>Nghỉ phép</v>
      </c>
      <c r="W404" s="7" t="str">
        <f>IFERROR(__xludf.DUMMYFUNCTION("""COMPUTED_VALUE"""),"3 năm 6 tháng")</f>
        <v>3 năm 6 tháng</v>
      </c>
      <c r="X404" s="7"/>
      <c r="Y404" s="7"/>
      <c r="Z404" s="7"/>
    </row>
    <row r="405">
      <c r="A405" s="21" t="str">
        <f>IFERROR(__xludf.DUMMYFUNCTION("""COMPUTED_VALUE"""),"8")</f>
        <v>8</v>
      </c>
      <c r="B405" s="7" t="str">
        <f>IFERROR(__xludf.DUMMYFUNCTION("""COMPUTED_VALUE"""),"PXSX1")</f>
        <v>PXSX1</v>
      </c>
      <c r="C405" s="7" t="str">
        <f>IFERROR(__xludf.DUMMYFUNCTION("""COMPUTED_VALUE"""),"Bộ phận nung và hoàn thiện sản phẩm")</f>
        <v>Bộ phận nung và hoàn thiện sản phẩm</v>
      </c>
      <c r="D405" s="7" t="str">
        <f>IFERROR(__xludf.DUMMYFUNCTION("""COMPUTED_VALUE"""),"Lò nung Ca A")</f>
        <v>Lò nung Ca A</v>
      </c>
      <c r="E405" s="7" t="str">
        <f>IFERROR(__xludf.DUMMYFUNCTION("""COMPUTED_VALUE"""),"Bảo trì lò DC1")</f>
        <v>Bảo trì lò DC1</v>
      </c>
      <c r="F405" s="7" t="str">
        <f>IFERROR(__xludf.DUMMYFUNCTION("""COMPUTED_VALUE"""),"NV5752")</f>
        <v>NV5752</v>
      </c>
      <c r="G405" s="7">
        <f>IFERROR(__xludf.DUMMYFUNCTION("""COMPUTED_VALUE"""),1231.0)</f>
        <v>1231</v>
      </c>
      <c r="H405" s="7" t="str">
        <f>IFERROR(__xludf.DUMMYFUNCTION("""COMPUTED_VALUE"""),"Bùi Sỹ Ích")</f>
        <v>Bùi Sỹ Ích</v>
      </c>
      <c r="I405" s="7" t="str">
        <f>IFERROR(__xludf.DUMMYFUNCTION("""COMPUTED_VALUE"""),"Nam")</f>
        <v>Nam</v>
      </c>
      <c r="J405" s="17">
        <f>IFERROR(__xludf.DUMMYFUNCTION("""COMPUTED_VALUE"""),33759.0)</f>
        <v>33759</v>
      </c>
      <c r="K405" s="7" t="str">
        <f>IFERROR(__xludf.DUMMYFUNCTION("""COMPUTED_VALUE"""),"61 Hoàng Bùi Hoàn - TDP Phú Thọ- Xã Lưu Vệ - Tỉnh Thanh Hóa")</f>
        <v>61 Hoàng Bùi Hoàn - TDP Phú Thọ- Xã Lưu Vệ - Tỉnh Thanh Hóa</v>
      </c>
      <c r="L405" s="7" t="str">
        <f>IFERROR(__xludf.DUMMYFUNCTION("""COMPUTED_VALUE"""),"0964557446")</f>
        <v>0964557446</v>
      </c>
      <c r="M405" s="7" t="str">
        <f>IFERROR(__xludf.DUMMYFUNCTION("""COMPUTED_VALUE"""),"038092049683")</f>
        <v>038092049683</v>
      </c>
      <c r="N405" s="17">
        <f>IFERROR(__xludf.DUMMYFUNCTION("""COMPUTED_VALUE"""),44513.0)</f>
        <v>44513</v>
      </c>
      <c r="O405" s="7" t="str">
        <f>IFERROR(__xludf.DUMMYFUNCTION("""COMPUTED_VALUE"""),"Cục Cảnh sát QLHC về TTXH")</f>
        <v>Cục Cảnh sát QLHC về TTXH</v>
      </c>
      <c r="P405" s="7" t="str">
        <f>IFERROR(__xludf.DUMMYFUNCTION("""COMPUTED_VALUE"""),"LĐPT")</f>
        <v>LĐPT</v>
      </c>
      <c r="Q405" s="7" t="str">
        <f>IFERROR(__xludf.DUMMYFUNCTION("""COMPUTED_VALUE"""),"Lao động phổ thông")</f>
        <v>Lao động phổ thông</v>
      </c>
      <c r="R405" s="17">
        <f>IFERROR(__xludf.DUMMYFUNCTION("""COMPUTED_VALUE"""),45936.0)</f>
        <v>45936</v>
      </c>
      <c r="S405" s="7"/>
      <c r="T405" s="7" t="str">
        <f>IFERROR(__xludf.DUMMYFUNCTION("""COMPUTED_VALUE"""),"Thử việc")</f>
        <v>Thử việc</v>
      </c>
      <c r="U405" s="7"/>
      <c r="V405" s="7" t="str">
        <f>IFERROR(__xludf.DUMMYFUNCTION("""COMPUTED_VALUE"""),"Thử việc")</f>
        <v>Thử việc</v>
      </c>
      <c r="W405" s="7" t="str">
        <f>IFERROR(__xludf.DUMMYFUNCTION("""COMPUTED_VALUE"""),"0 năm 2 tháng")</f>
        <v>0 năm 2 tháng</v>
      </c>
      <c r="X405" s="7"/>
      <c r="Y405" s="7"/>
      <c r="Z405" s="7"/>
    </row>
    <row r="406">
      <c r="A406" s="21" t="str">
        <f>IFERROR(__xludf.DUMMYFUNCTION("""COMPUTED_VALUE"""),"9")</f>
        <v>9</v>
      </c>
      <c r="B406" s="7" t="str">
        <f>IFERROR(__xludf.DUMMYFUNCTION("""COMPUTED_VALUE"""),"PXSX1")</f>
        <v>PXSX1</v>
      </c>
      <c r="C406" s="7" t="str">
        <f>IFERROR(__xludf.DUMMYFUNCTION("""COMPUTED_VALUE"""),"Bộ phận nung và hoàn thiện sản phẩm")</f>
        <v>Bộ phận nung và hoàn thiện sản phẩm</v>
      </c>
      <c r="D406" s="7" t="str">
        <f>IFERROR(__xludf.DUMMYFUNCTION("""COMPUTED_VALUE"""),"Lò nung Ca A")</f>
        <v>Lò nung Ca A</v>
      </c>
      <c r="E406" s="7" t="str">
        <f>IFERROR(__xludf.DUMMYFUNCTION("""COMPUTED_VALUE"""),"Bảo trì lò DC2")</f>
        <v>Bảo trì lò DC2</v>
      </c>
      <c r="F406" s="7" t="str">
        <f>IFERROR(__xludf.DUMMYFUNCTION("""COMPUTED_VALUE"""),"NV5781")</f>
        <v>NV5781</v>
      </c>
      <c r="G406" s="7">
        <f>IFERROR(__xludf.DUMMYFUNCTION("""COMPUTED_VALUE"""),1262.0)</f>
        <v>1262</v>
      </c>
      <c r="H406" s="7" t="str">
        <f>IFERROR(__xludf.DUMMYFUNCTION("""COMPUTED_VALUE"""),"Phạm Văn Trung")</f>
        <v>Phạm Văn Trung</v>
      </c>
      <c r="I406" s="7" t="str">
        <f>IFERROR(__xludf.DUMMYFUNCTION("""COMPUTED_VALUE"""),"Nam")</f>
        <v>Nam</v>
      </c>
      <c r="J406" s="17">
        <f>IFERROR(__xludf.DUMMYFUNCTION("""COMPUTED_VALUE"""),36946.0)</f>
        <v>36946</v>
      </c>
      <c r="K406" s="7" t="str">
        <f>IFERROR(__xludf.DUMMYFUNCTION("""COMPUTED_VALUE"""),"TDP Thủ Phú- Phường Nam Sầm Sơn-Tỉnh Thanh Hóa")</f>
        <v>TDP Thủ Phú- Phường Nam Sầm Sơn-Tỉnh Thanh Hóa</v>
      </c>
      <c r="L406" s="7" t="str">
        <f>IFERROR(__xludf.DUMMYFUNCTION("""COMPUTED_VALUE"""),"0979741683")</f>
        <v>0979741683</v>
      </c>
      <c r="M406" s="7" t="str">
        <f>IFERROR(__xludf.DUMMYFUNCTION("""COMPUTED_VALUE"""),"03820102336")</f>
        <v>03820102336</v>
      </c>
      <c r="N406" s="17">
        <f>IFERROR(__xludf.DUMMYFUNCTION("""COMPUTED_VALUE"""),45069.0)</f>
        <v>45069</v>
      </c>
      <c r="O406" s="7" t="str">
        <f>IFERROR(__xludf.DUMMYFUNCTION("""COMPUTED_VALUE"""),"Cục Cảnh sát QLHC về TTXH")</f>
        <v>Cục Cảnh sát QLHC về TTXH</v>
      </c>
      <c r="P406" s="7" t="str">
        <f>IFERROR(__xludf.DUMMYFUNCTION("""COMPUTED_VALUE"""),"LĐPT")</f>
        <v>LĐPT</v>
      </c>
      <c r="Q406" s="7" t="str">
        <f>IFERROR(__xludf.DUMMYFUNCTION("""COMPUTED_VALUE"""),"Lao động phổ thông")</f>
        <v>Lao động phổ thông</v>
      </c>
      <c r="R406" s="17">
        <f>IFERROR(__xludf.DUMMYFUNCTION("""COMPUTED_VALUE"""),45960.0)</f>
        <v>45960</v>
      </c>
      <c r="S406" s="7"/>
      <c r="T406" s="7" t="str">
        <f>IFERROR(__xludf.DUMMYFUNCTION("""COMPUTED_VALUE"""),"Thử việc")</f>
        <v>Thử việc</v>
      </c>
      <c r="U406" s="7"/>
      <c r="V406" s="7" t="str">
        <f>IFERROR(__xludf.DUMMYFUNCTION("""COMPUTED_VALUE"""),"Thử việc")</f>
        <v>Thử việc</v>
      </c>
      <c r="W406" s="7" t="str">
        <f>IFERROR(__xludf.DUMMYFUNCTION("""COMPUTED_VALUE"""),"0 năm 2 tháng")</f>
        <v>0 năm 2 tháng</v>
      </c>
      <c r="X406" s="7"/>
      <c r="Y406" s="7"/>
      <c r="Z406" s="7"/>
    </row>
    <row r="407">
      <c r="A407" s="21" t="str">
        <f>IFERROR(__xludf.DUMMYFUNCTION("""COMPUTED_VALUE"""),"1")</f>
        <v>1</v>
      </c>
      <c r="B407" s="7" t="str">
        <f>IFERROR(__xludf.DUMMYFUNCTION("""COMPUTED_VALUE"""),"PXSX1")</f>
        <v>PXSX1</v>
      </c>
      <c r="C407" s="7" t="str">
        <f>IFERROR(__xludf.DUMMYFUNCTION("""COMPUTED_VALUE"""),"Bộ phận nung và hoàn thiện sản phẩm")</f>
        <v>Bộ phận nung và hoàn thiện sản phẩm</v>
      </c>
      <c r="D407" s="7" t="str">
        <f>IFERROR(__xludf.DUMMYFUNCTION("""COMPUTED_VALUE"""),"Lò nung Ca B")</f>
        <v>Lò nung Ca B</v>
      </c>
      <c r="E407" s="7" t="str">
        <f>IFERROR(__xludf.DUMMYFUNCTION("""COMPUTED_VALUE"""),"Dỡ gạch DC1")</f>
        <v>Dỡ gạch DC1</v>
      </c>
      <c r="F407" s="7" t="str">
        <f>IFERROR(__xludf.DUMMYFUNCTION("""COMPUTED_VALUE"""),"NV1596")</f>
        <v>NV1596</v>
      </c>
      <c r="G407" s="7">
        <f>IFERROR(__xludf.DUMMYFUNCTION("""COMPUTED_VALUE"""),133.0)</f>
        <v>133</v>
      </c>
      <c r="H407" s="7" t="str">
        <f>IFERROR(__xludf.DUMMYFUNCTION("""COMPUTED_VALUE"""),"Hoàng Minh Cảnh")</f>
        <v>Hoàng Minh Cảnh</v>
      </c>
      <c r="I407" s="7" t="str">
        <f>IFERROR(__xludf.DUMMYFUNCTION("""COMPUTED_VALUE"""),"Nam")</f>
        <v>Nam</v>
      </c>
      <c r="J407" s="17">
        <f>IFERROR(__xludf.DUMMYFUNCTION("""COMPUTED_VALUE"""),28783.0)</f>
        <v>28783</v>
      </c>
      <c r="K407" s="7" t="str">
        <f>IFERROR(__xludf.DUMMYFUNCTION("""COMPUTED_VALUE"""),"Khu phố 3 - Phường Quang Trung - Tỉnh Thanh Hóa")</f>
        <v>Khu phố 3 - Phường Quang Trung - Tỉnh Thanh Hóa</v>
      </c>
      <c r="L407" s="7" t="str">
        <f>IFERROR(__xludf.DUMMYFUNCTION("""COMPUTED_VALUE"""),"0358055456")</f>
        <v>0358055456</v>
      </c>
      <c r="M407" s="7" t="str">
        <f>IFERROR(__xludf.DUMMYFUNCTION("""COMPUTED_VALUE"""),"038078001218")</f>
        <v>038078001218</v>
      </c>
      <c r="N407" s="17">
        <f>IFERROR(__xludf.DUMMYFUNCTION("""COMPUTED_VALUE"""),42558.0)</f>
        <v>42558</v>
      </c>
      <c r="O407" s="7" t="str">
        <f>IFERROR(__xludf.DUMMYFUNCTION("""COMPUTED_VALUE"""),"Cục Cảnh sát QLHC về TTXH")</f>
        <v>Cục Cảnh sát QLHC về TTXH</v>
      </c>
      <c r="P407" s="7" t="str">
        <f>IFERROR(__xludf.DUMMYFUNCTION("""COMPUTED_VALUE"""),"Sơ cấp nghề")</f>
        <v>Sơ cấp nghề</v>
      </c>
      <c r="Q407" s="7" t="str">
        <f>IFERROR(__xludf.DUMMYFUNCTION("""COMPUTED_VALUE"""),"công nghệ thông tin")</f>
        <v>công nghệ thông tin</v>
      </c>
      <c r="R407" s="17">
        <f>IFERROR(__xludf.DUMMYFUNCTION("""COMPUTED_VALUE"""),43307.0)</f>
        <v>43307</v>
      </c>
      <c r="S407" s="17">
        <f>IFERROR(__xludf.DUMMYFUNCTION("""COMPUTED_VALUE"""),43647.0)</f>
        <v>43647</v>
      </c>
      <c r="T407" s="7" t="str">
        <f>IFERROR(__xludf.DUMMYFUNCTION("""COMPUTED_VALUE"""),"Chính thức")</f>
        <v>Chính thức</v>
      </c>
      <c r="U407" s="7"/>
      <c r="V407" s="7"/>
      <c r="W407" s="7" t="str">
        <f>IFERROR(__xludf.DUMMYFUNCTION("""COMPUTED_VALUE"""),"7 năm 5 tháng")</f>
        <v>7 năm 5 tháng</v>
      </c>
      <c r="X407" s="7"/>
      <c r="Y407" s="7"/>
      <c r="Z407" s="7"/>
    </row>
    <row r="408">
      <c r="A408" s="21" t="str">
        <f>IFERROR(__xludf.DUMMYFUNCTION("""COMPUTED_VALUE"""),"2")</f>
        <v>2</v>
      </c>
      <c r="B408" s="7" t="str">
        <f>IFERROR(__xludf.DUMMYFUNCTION("""COMPUTED_VALUE"""),"PXSX1")</f>
        <v>PXSX1</v>
      </c>
      <c r="C408" s="7" t="str">
        <f>IFERROR(__xludf.DUMMYFUNCTION("""COMPUTED_VALUE"""),"Bộ phận nung và hoàn thiện sản phẩm")</f>
        <v>Bộ phận nung và hoàn thiện sản phẩm</v>
      </c>
      <c r="D408" s="7" t="str">
        <f>IFERROR(__xludf.DUMMYFUNCTION("""COMPUTED_VALUE"""),"Lò nung Ca B")</f>
        <v>Lò nung Ca B</v>
      </c>
      <c r="E408" s="7" t="str">
        <f>IFERROR(__xludf.DUMMYFUNCTION("""COMPUTED_VALUE"""),"Dỡ gạch chính ")</f>
        <v>Dỡ gạch chính </v>
      </c>
      <c r="F408" s="7" t="str">
        <f>IFERROR(__xludf.DUMMYFUNCTION("""COMPUTED_VALUE"""),"NV0216")</f>
        <v>NV0216</v>
      </c>
      <c r="G408" s="7">
        <f>IFERROR(__xludf.DUMMYFUNCTION("""COMPUTED_VALUE"""),131.0)</f>
        <v>131</v>
      </c>
      <c r="H408" s="7" t="str">
        <f>IFERROR(__xludf.DUMMYFUNCTION("""COMPUTED_VALUE"""),"Nguyễn Văn Dũng (84)")</f>
        <v>Nguyễn Văn Dũng (84)</v>
      </c>
      <c r="I408" s="7" t="str">
        <f>IFERROR(__xludf.DUMMYFUNCTION("""COMPUTED_VALUE"""),"Nam")</f>
        <v>Nam</v>
      </c>
      <c r="J408" s="17">
        <f>IFERROR(__xludf.DUMMYFUNCTION("""COMPUTED_VALUE"""),30930.0)</f>
        <v>30930</v>
      </c>
      <c r="K408" s="7" t="str">
        <f>IFERROR(__xludf.DUMMYFUNCTION("""COMPUTED_VALUE"""),"Xã Lưu Vệ - Tỉnh Thanh Hóa ")</f>
        <v>Xã Lưu Vệ - Tỉnh Thanh Hóa </v>
      </c>
      <c r="L408" s="7" t="str">
        <f>IFERROR(__xludf.DUMMYFUNCTION("""COMPUTED_VALUE"""),"0975086833")</f>
        <v>0975086833</v>
      </c>
      <c r="M408" s="7" t="str">
        <f>IFERROR(__xludf.DUMMYFUNCTION("""COMPUTED_VALUE"""),"038084001290")</f>
        <v>038084001290</v>
      </c>
      <c r="N408" s="17">
        <f>IFERROR(__xludf.DUMMYFUNCTION("""COMPUTED_VALUE"""),44423.0)</f>
        <v>44423</v>
      </c>
      <c r="O408" s="7" t="str">
        <f>IFERROR(__xludf.DUMMYFUNCTION("""COMPUTED_VALUE"""),"Cục Cảnh sát QLHC về TTXH")</f>
        <v>Cục Cảnh sát QLHC về TTXH</v>
      </c>
      <c r="P408" s="7" t="str">
        <f>IFERROR(__xludf.DUMMYFUNCTION("""COMPUTED_VALUE"""),"LĐPT")</f>
        <v>LĐPT</v>
      </c>
      <c r="Q408" s="7" t="str">
        <f>IFERROR(__xludf.DUMMYFUNCTION("""COMPUTED_VALUE"""),"Lao động phổ thông")</f>
        <v>Lao động phổ thông</v>
      </c>
      <c r="R408" s="7"/>
      <c r="S408" s="7"/>
      <c r="T408" s="7" t="str">
        <f>IFERROR(__xludf.DUMMYFUNCTION("""COMPUTED_VALUE"""),"Chính thức")</f>
        <v>Chính thức</v>
      </c>
      <c r="U408" s="7"/>
      <c r="V408" s="7"/>
      <c r="W408" s="7"/>
      <c r="X408" s="7"/>
      <c r="Y408" s="7"/>
      <c r="Z408" s="7"/>
    </row>
    <row r="409">
      <c r="A409" s="21" t="str">
        <f>IFERROR(__xludf.DUMMYFUNCTION("""COMPUTED_VALUE"""),"3")</f>
        <v>3</v>
      </c>
      <c r="B409" s="7" t="str">
        <f>IFERROR(__xludf.DUMMYFUNCTION("""COMPUTED_VALUE"""),"PXSX1")</f>
        <v>PXSX1</v>
      </c>
      <c r="C409" s="7" t="str">
        <f>IFERROR(__xludf.DUMMYFUNCTION("""COMPUTED_VALUE"""),"Bộ phận nung và hoàn thiện sản phẩm")</f>
        <v>Bộ phận nung và hoàn thiện sản phẩm</v>
      </c>
      <c r="D409" s="7" t="str">
        <f>IFERROR(__xludf.DUMMYFUNCTION("""COMPUTED_VALUE"""),"Lò nung Ca B")</f>
        <v>Lò nung Ca B</v>
      </c>
      <c r="E409" s="7" t="str">
        <f>IFERROR(__xludf.DUMMYFUNCTION("""COMPUTED_VALUE"""),"Vận hành lò")</f>
        <v>Vận hành lò</v>
      </c>
      <c r="F409" s="7" t="str">
        <f>IFERROR(__xludf.DUMMYFUNCTION("""COMPUTED_VALUE"""),"NV2825")</f>
        <v>NV2825</v>
      </c>
      <c r="G409" s="7">
        <f>IFERROR(__xludf.DUMMYFUNCTION("""COMPUTED_VALUE"""),197.0)</f>
        <v>197</v>
      </c>
      <c r="H409" s="7" t="str">
        <f>IFERROR(__xludf.DUMMYFUNCTION("""COMPUTED_VALUE"""),"Đỗ Văn Tú")</f>
        <v>Đỗ Văn Tú</v>
      </c>
      <c r="I409" s="7" t="str">
        <f>IFERROR(__xludf.DUMMYFUNCTION("""COMPUTED_VALUE"""),"Nam")</f>
        <v>Nam</v>
      </c>
      <c r="J409" s="17">
        <f>IFERROR(__xludf.DUMMYFUNCTION("""COMPUTED_VALUE"""),30960.0)</f>
        <v>30960</v>
      </c>
      <c r="K409" s="7" t="str">
        <f>IFERROR(__xludf.DUMMYFUNCTION("""COMPUTED_VALUE"""),"Xã Vạn Lộc - Tỉnh Thanh Hóa")</f>
        <v>Xã Vạn Lộc - Tỉnh Thanh Hóa</v>
      </c>
      <c r="L409" s="7" t="str">
        <f>IFERROR(__xludf.DUMMYFUNCTION("""COMPUTED_VALUE"""),"0983034490")</f>
        <v>0983034490</v>
      </c>
      <c r="M409" s="7" t="str">
        <f>IFERROR(__xludf.DUMMYFUNCTION("""COMPUTED_VALUE"""),"038084037144")</f>
        <v>038084037144</v>
      </c>
      <c r="N409" s="17">
        <f>IFERROR(__xludf.DUMMYFUNCTION("""COMPUTED_VALUE"""),44941.0)</f>
        <v>44941</v>
      </c>
      <c r="O409" s="7" t="str">
        <f>IFERROR(__xludf.DUMMYFUNCTION("""COMPUTED_VALUE"""),"Cục Cảnh sát QLHC về TTXH")</f>
        <v>Cục Cảnh sát QLHC về TTXH</v>
      </c>
      <c r="P409" s="7" t="str">
        <f>IFERROR(__xludf.DUMMYFUNCTION("""COMPUTED_VALUE"""),"Cao đẳng")</f>
        <v>Cao đẳng</v>
      </c>
      <c r="Q409" s="7" t="str">
        <f>IFERROR(__xludf.DUMMYFUNCTION("""COMPUTED_VALUE"""),"công nghệ thông tin")</f>
        <v>công nghệ thông tin</v>
      </c>
      <c r="R409" s="17">
        <f>IFERROR(__xludf.DUMMYFUNCTION("""COMPUTED_VALUE"""),43886.0)</f>
        <v>43886</v>
      </c>
      <c r="S409" s="17">
        <f>IFERROR(__xludf.DUMMYFUNCTION("""COMPUTED_VALUE"""),44166.0)</f>
        <v>44166</v>
      </c>
      <c r="T409" s="7" t="str">
        <f>IFERROR(__xludf.DUMMYFUNCTION("""COMPUTED_VALUE"""),"Chính thức")</f>
        <v>Chính thức</v>
      </c>
      <c r="U409" s="7"/>
      <c r="V409" s="7"/>
      <c r="W409" s="7" t="str">
        <f>IFERROR(__xludf.DUMMYFUNCTION("""COMPUTED_VALUE"""),"5 năm 10 tháng")</f>
        <v>5 năm 10 tháng</v>
      </c>
      <c r="X409" s="7"/>
      <c r="Y409" s="7"/>
      <c r="Z409" s="7"/>
    </row>
    <row r="410">
      <c r="A410" s="21" t="str">
        <f>IFERROR(__xludf.DUMMYFUNCTION("""COMPUTED_VALUE"""),"4")</f>
        <v>4</v>
      </c>
      <c r="B410" s="7" t="str">
        <f>IFERROR(__xludf.DUMMYFUNCTION("""COMPUTED_VALUE"""),"PXSX1")</f>
        <v>PXSX1</v>
      </c>
      <c r="C410" s="7" t="str">
        <f>IFERROR(__xludf.DUMMYFUNCTION("""COMPUTED_VALUE"""),"Bộ phận nung và hoàn thiện sản phẩm")</f>
        <v>Bộ phận nung và hoàn thiện sản phẩm</v>
      </c>
      <c r="D410" s="7" t="str">
        <f>IFERROR(__xludf.DUMMYFUNCTION("""COMPUTED_VALUE"""),"Lò nung Ca B")</f>
        <v>Lò nung Ca B</v>
      </c>
      <c r="E410" s="7" t="str">
        <f>IFERROR(__xludf.DUMMYFUNCTION("""COMPUTED_VALUE"""),"Công nhân vận hành chính")</f>
        <v>Công nhân vận hành chính</v>
      </c>
      <c r="F410" s="7" t="str">
        <f>IFERROR(__xludf.DUMMYFUNCTION("""COMPUTED_VALUE"""),"NV0210")</f>
        <v>NV0210</v>
      </c>
      <c r="G410" s="7">
        <f>IFERROR(__xludf.DUMMYFUNCTION("""COMPUTED_VALUE"""),151.0)</f>
        <v>151</v>
      </c>
      <c r="H410" s="7" t="str">
        <f>IFERROR(__xludf.DUMMYFUNCTION("""COMPUTED_VALUE"""),"Nguyễn Hữu Thảo")</f>
        <v>Nguyễn Hữu Thảo</v>
      </c>
      <c r="I410" s="7" t="str">
        <f>IFERROR(__xludf.DUMMYFUNCTION("""COMPUTED_VALUE"""),"Nam")</f>
        <v>Nam</v>
      </c>
      <c r="J410" s="17">
        <f>IFERROR(__xludf.DUMMYFUNCTION("""COMPUTED_VALUE"""),31644.0)</f>
        <v>31644</v>
      </c>
      <c r="K410" s="7" t="str">
        <f>IFERROR(__xludf.DUMMYFUNCTION("""COMPUTED_VALUE"""),"Phường Quảng Phú - Tỉnh Thanh Hóa")</f>
        <v>Phường Quảng Phú - Tỉnh Thanh Hóa</v>
      </c>
      <c r="L410" s="7" t="str">
        <f>IFERROR(__xludf.DUMMYFUNCTION("""COMPUTED_VALUE"""),"0936003947")</f>
        <v>0936003947</v>
      </c>
      <c r="M410" s="7" t="str">
        <f>IFERROR(__xludf.DUMMYFUNCTION("""COMPUTED_VALUE"""),"038086048892")</f>
        <v>038086048892</v>
      </c>
      <c r="N410" s="17">
        <f>IFERROR(__xludf.DUMMYFUNCTION("""COMPUTED_VALUE"""),44422.0)</f>
        <v>44422</v>
      </c>
      <c r="O410" s="7" t="str">
        <f>IFERROR(__xludf.DUMMYFUNCTION("""COMPUTED_VALUE"""),"Cục Cảnh sát QLHC về TTXH")</f>
        <v>Cục Cảnh sát QLHC về TTXH</v>
      </c>
      <c r="P410" s="7" t="str">
        <f>IFERROR(__xludf.DUMMYFUNCTION("""COMPUTED_VALUE"""),"Trung cấp")</f>
        <v>Trung cấp</v>
      </c>
      <c r="Q410" s="7" t="str">
        <f>IFERROR(__xludf.DUMMYFUNCTION("""COMPUTED_VALUE"""),"Điện")</f>
        <v>Điện</v>
      </c>
      <c r="R410" s="17">
        <f>IFERROR(__xludf.DUMMYFUNCTION("""COMPUTED_VALUE"""),41204.0)</f>
        <v>41204</v>
      </c>
      <c r="S410" s="17">
        <f>IFERROR(__xludf.DUMMYFUNCTION("""COMPUTED_VALUE"""),41204.0)</f>
        <v>41204</v>
      </c>
      <c r="T410" s="7" t="str">
        <f>IFERROR(__xludf.DUMMYFUNCTION("""COMPUTED_VALUE"""),"Chính thức")</f>
        <v>Chính thức</v>
      </c>
      <c r="U410" s="7"/>
      <c r="V410" s="7"/>
      <c r="W410" s="7" t="str">
        <f>IFERROR(__xludf.DUMMYFUNCTION("""COMPUTED_VALUE"""),"13 năm 2 tháng")</f>
        <v>13 năm 2 tháng</v>
      </c>
      <c r="X410" s="7"/>
      <c r="Y410" s="7"/>
      <c r="Z410" s="7"/>
    </row>
    <row r="411">
      <c r="A411" s="21" t="str">
        <f>IFERROR(__xludf.DUMMYFUNCTION("""COMPUTED_VALUE"""),"5")</f>
        <v>5</v>
      </c>
      <c r="B411" s="7" t="str">
        <f>IFERROR(__xludf.DUMMYFUNCTION("""COMPUTED_VALUE"""),"PXSX1")</f>
        <v>PXSX1</v>
      </c>
      <c r="C411" s="7" t="str">
        <f>IFERROR(__xludf.DUMMYFUNCTION("""COMPUTED_VALUE"""),"Bộ phận nung và hoàn thiện sản phẩm")</f>
        <v>Bộ phận nung và hoàn thiện sản phẩm</v>
      </c>
      <c r="D411" s="7" t="str">
        <f>IFERROR(__xludf.DUMMYFUNCTION("""COMPUTED_VALUE"""),"Lò nung Ca B")</f>
        <v>Lò nung Ca B</v>
      </c>
      <c r="E411" s="7" t="str">
        <f>IFERROR(__xludf.DUMMYFUNCTION("""COMPUTED_VALUE"""),"Tổ phó - Phụ trách Lò nung")</f>
        <v>Tổ phó - Phụ trách Lò nung</v>
      </c>
      <c r="F411" s="7" t="str">
        <f>IFERROR(__xludf.DUMMYFUNCTION("""COMPUTED_VALUE"""),"NV1186")</f>
        <v>NV1186</v>
      </c>
      <c r="G411" s="7">
        <f>IFERROR(__xludf.DUMMYFUNCTION("""COMPUTED_VALUE"""),334.0)</f>
        <v>334</v>
      </c>
      <c r="H411" s="7" t="str">
        <f>IFERROR(__xludf.DUMMYFUNCTION("""COMPUTED_VALUE"""),"Nguyễn Xuân Hải")</f>
        <v>Nguyễn Xuân Hải</v>
      </c>
      <c r="I411" s="7" t="str">
        <f>IFERROR(__xludf.DUMMYFUNCTION("""COMPUTED_VALUE"""),"Nam")</f>
        <v>Nam</v>
      </c>
      <c r="J411" s="17">
        <f>IFERROR(__xludf.DUMMYFUNCTION("""COMPUTED_VALUE"""),31861.0)</f>
        <v>31861</v>
      </c>
      <c r="K411" s="7" t="str">
        <f>IFERROR(__xludf.DUMMYFUNCTION("""COMPUTED_VALUE"""),"01B/32 Phạm Ngủ Lão - Phường Hạc Thành - Tỉnh Thanh Hóa")</f>
        <v>01B/32 Phạm Ngủ Lão - Phường Hạc Thành - Tỉnh Thanh Hóa</v>
      </c>
      <c r="L411" s="7" t="str">
        <f>IFERROR(__xludf.DUMMYFUNCTION("""COMPUTED_VALUE"""),"0337896684")</f>
        <v>0337896684</v>
      </c>
      <c r="M411" s="7" t="str">
        <f>IFERROR(__xludf.DUMMYFUNCTION("""COMPUTED_VALUE"""),"038087036391")</f>
        <v>038087036391</v>
      </c>
      <c r="N411" s="17">
        <f>IFERROR(__xludf.DUMMYFUNCTION("""COMPUTED_VALUE"""),44460.0)</f>
        <v>44460</v>
      </c>
      <c r="O411" s="7" t="str">
        <f>IFERROR(__xludf.DUMMYFUNCTION("""COMPUTED_VALUE"""),"Cục Cảnh sát QLHC về TTXH")</f>
        <v>Cục Cảnh sát QLHC về TTXH</v>
      </c>
      <c r="P411" s="7" t="str">
        <f>IFERROR(__xludf.DUMMYFUNCTION("""COMPUTED_VALUE"""),"Đại học")</f>
        <v>Đại học</v>
      </c>
      <c r="Q411" s="7" t="str">
        <f>IFERROR(__xludf.DUMMYFUNCTION("""COMPUTED_VALUE"""),"Công nghệ chế tạo máy")</f>
        <v>Công nghệ chế tạo máy</v>
      </c>
      <c r="R411" s="17">
        <f>IFERROR(__xludf.DUMMYFUNCTION("""COMPUTED_VALUE"""),43129.0)</f>
        <v>43129</v>
      </c>
      <c r="S411" s="17">
        <f>IFERROR(__xludf.DUMMYFUNCTION("""COMPUTED_VALUE"""),44531.0)</f>
        <v>44531</v>
      </c>
      <c r="T411" s="7" t="str">
        <f>IFERROR(__xludf.DUMMYFUNCTION("""COMPUTED_VALUE"""),"Chính thức")</f>
        <v>Chính thức</v>
      </c>
      <c r="U411" s="7"/>
      <c r="V411" s="7" t="str">
        <f>IFERROR(__xludf.DUMMYFUNCTION("""COMPUTED_VALUE"""),"Nghỉ phép")</f>
        <v>Nghỉ phép</v>
      </c>
      <c r="W411" s="7" t="str">
        <f>IFERROR(__xludf.DUMMYFUNCTION("""COMPUTED_VALUE"""),"7 năm 11 tháng")</f>
        <v>7 năm 11 tháng</v>
      </c>
      <c r="X411" s="7"/>
      <c r="Y411" s="7"/>
      <c r="Z411" s="7"/>
    </row>
    <row r="412">
      <c r="A412" s="21" t="str">
        <f>IFERROR(__xludf.DUMMYFUNCTION("""COMPUTED_VALUE"""),"6")</f>
        <v>6</v>
      </c>
      <c r="B412" s="7" t="str">
        <f>IFERROR(__xludf.DUMMYFUNCTION("""COMPUTED_VALUE"""),"PXSX1")</f>
        <v>PXSX1</v>
      </c>
      <c r="C412" s="7" t="str">
        <f>IFERROR(__xludf.DUMMYFUNCTION("""COMPUTED_VALUE"""),"Bộ phận nung và hoàn thiện sản phẩm")</f>
        <v>Bộ phận nung và hoàn thiện sản phẩm</v>
      </c>
      <c r="D412" s="7" t="str">
        <f>IFERROR(__xludf.DUMMYFUNCTION("""COMPUTED_VALUE"""),"Lò nung Ca B")</f>
        <v>Lò nung Ca B</v>
      </c>
      <c r="E412" s="7" t="str">
        <f>IFERROR(__xludf.DUMMYFUNCTION("""COMPUTED_VALUE"""),"Vận hành chính")</f>
        <v>Vận hành chính</v>
      </c>
      <c r="F412" s="7" t="str">
        <f>IFERROR(__xludf.DUMMYFUNCTION("""COMPUTED_VALUE"""),"NV1092")</f>
        <v>NV1092</v>
      </c>
      <c r="G412" s="7">
        <f>IFERROR(__xludf.DUMMYFUNCTION("""COMPUTED_VALUE"""),272.0)</f>
        <v>272</v>
      </c>
      <c r="H412" s="7" t="str">
        <f>IFERROR(__xludf.DUMMYFUNCTION("""COMPUTED_VALUE"""),"Lê Bá Minh")</f>
        <v>Lê Bá Minh</v>
      </c>
      <c r="I412" s="7" t="str">
        <f>IFERROR(__xludf.DUMMYFUNCTION("""COMPUTED_VALUE"""),"Nam")</f>
        <v>Nam</v>
      </c>
      <c r="J412" s="17">
        <f>IFERROR(__xludf.DUMMYFUNCTION("""COMPUTED_VALUE"""),32764.0)</f>
        <v>32764</v>
      </c>
      <c r="K412" s="7" t="str">
        <f>IFERROR(__xludf.DUMMYFUNCTION("""COMPUTED_VALUE"""),"Thôn 2 - Phường Quảng Phú - Tỉnh Thanh Hóa")</f>
        <v>Thôn 2 - Phường Quảng Phú - Tỉnh Thanh Hóa</v>
      </c>
      <c r="L412" s="7" t="str">
        <f>IFERROR(__xludf.DUMMYFUNCTION("""COMPUTED_VALUE"""),"0868735700")</f>
        <v>0868735700</v>
      </c>
      <c r="M412" s="7" t="str">
        <f>IFERROR(__xludf.DUMMYFUNCTION("""COMPUTED_VALUE"""),"038081049182")</f>
        <v>038081049182</v>
      </c>
      <c r="N412" s="17">
        <f>IFERROR(__xludf.DUMMYFUNCTION("""COMPUTED_VALUE"""),44422.0)</f>
        <v>44422</v>
      </c>
      <c r="O412" s="7" t="str">
        <f>IFERROR(__xludf.DUMMYFUNCTION("""COMPUTED_VALUE"""),"Cục Cảnh sát QLHC về TTXH")</f>
        <v>Cục Cảnh sát QLHC về TTXH</v>
      </c>
      <c r="P412" s="7" t="str">
        <f>IFERROR(__xludf.DUMMYFUNCTION("""COMPUTED_VALUE"""),"LĐPT")</f>
        <v>LĐPT</v>
      </c>
      <c r="Q412" s="7" t="str">
        <f>IFERROR(__xludf.DUMMYFUNCTION("""COMPUTED_VALUE"""),"Lao động phổ thông")</f>
        <v>Lao động phổ thông</v>
      </c>
      <c r="R412" s="17">
        <f>IFERROR(__xludf.DUMMYFUNCTION("""COMPUTED_VALUE"""),43001.0)</f>
        <v>43001</v>
      </c>
      <c r="S412" s="17">
        <f>IFERROR(__xludf.DUMMYFUNCTION("""COMPUTED_VALUE"""),43001.0)</f>
        <v>43001</v>
      </c>
      <c r="T412" s="7" t="str">
        <f>IFERROR(__xludf.DUMMYFUNCTION("""COMPUTED_VALUE"""),"Chính thức")</f>
        <v>Chính thức</v>
      </c>
      <c r="U412" s="7"/>
      <c r="V412" s="7" t="str">
        <f>IFERROR(__xludf.DUMMYFUNCTION("""COMPUTED_VALUE"""),"Nghỉ phép")</f>
        <v>Nghỉ phép</v>
      </c>
      <c r="W412" s="7" t="str">
        <f>IFERROR(__xludf.DUMMYFUNCTION("""COMPUTED_VALUE"""),"8 năm 3 tháng")</f>
        <v>8 năm 3 tháng</v>
      </c>
      <c r="X412" s="7"/>
      <c r="Y412" s="7"/>
      <c r="Z412" s="7"/>
    </row>
    <row r="413">
      <c r="A413" s="21" t="str">
        <f>IFERROR(__xludf.DUMMYFUNCTION("""COMPUTED_VALUE"""),"7")</f>
        <v>7</v>
      </c>
      <c r="B413" s="7" t="str">
        <f>IFERROR(__xludf.DUMMYFUNCTION("""COMPUTED_VALUE"""),"PXSX1")</f>
        <v>PXSX1</v>
      </c>
      <c r="C413" s="7" t="str">
        <f>IFERROR(__xludf.DUMMYFUNCTION("""COMPUTED_VALUE"""),"Bộ phận nung và hoàn thiện sản phẩm")</f>
        <v>Bộ phận nung và hoàn thiện sản phẩm</v>
      </c>
      <c r="D413" s="7" t="str">
        <f>IFERROR(__xludf.DUMMYFUNCTION("""COMPUTED_VALUE"""),"Lò nung Ca B")</f>
        <v>Lò nung Ca B</v>
      </c>
      <c r="E413" s="7" t="str">
        <f>IFERROR(__xludf.DUMMYFUNCTION("""COMPUTED_VALUE"""),"Tổ phó")</f>
        <v>Tổ phó</v>
      </c>
      <c r="F413" s="7" t="str">
        <f>IFERROR(__xludf.DUMMYFUNCTION("""COMPUTED_VALUE"""),"NV0207")</f>
        <v>NV0207</v>
      </c>
      <c r="G413" s="7">
        <f>IFERROR(__xludf.DUMMYFUNCTION("""COMPUTED_VALUE"""),310.0)</f>
        <v>310</v>
      </c>
      <c r="H413" s="7" t="str">
        <f>IFERROR(__xludf.DUMMYFUNCTION("""COMPUTED_VALUE"""),"Nguyễn Phú Thêm")</f>
        <v>Nguyễn Phú Thêm</v>
      </c>
      <c r="I413" s="7" t="str">
        <f>IFERROR(__xludf.DUMMYFUNCTION("""COMPUTED_VALUE"""),"Nam")</f>
        <v>Nam</v>
      </c>
      <c r="J413" s="17">
        <f>IFERROR(__xludf.DUMMYFUNCTION("""COMPUTED_VALUE"""),33395.0)</f>
        <v>33395</v>
      </c>
      <c r="K413" s="7" t="str">
        <f>IFERROR(__xludf.DUMMYFUNCTION("""COMPUTED_VALUE"""),"Phường Nam Sầm Sơn - Tỉnh Thanh Hóa")</f>
        <v>Phường Nam Sầm Sơn - Tỉnh Thanh Hóa</v>
      </c>
      <c r="L413" s="7" t="str">
        <f>IFERROR(__xludf.DUMMYFUNCTION("""COMPUTED_VALUE"""),"0961543233")</f>
        <v>0961543233</v>
      </c>
      <c r="M413" s="7" t="str">
        <f>IFERROR(__xludf.DUMMYFUNCTION("""COMPUTED_VALUE"""),"038091012033")</f>
        <v>038091012033</v>
      </c>
      <c r="N413" s="17">
        <f>IFERROR(__xludf.DUMMYFUNCTION("""COMPUTED_VALUE"""),44418.0)</f>
        <v>44418</v>
      </c>
      <c r="O413" s="7" t="str">
        <f>IFERROR(__xludf.DUMMYFUNCTION("""COMPUTED_VALUE"""),"Cục Cảnh sát QLHC về TTXH")</f>
        <v>Cục Cảnh sát QLHC về TTXH</v>
      </c>
      <c r="P413" s="7" t="str">
        <f>IFERROR(__xludf.DUMMYFUNCTION("""COMPUTED_VALUE"""),"Trung cấp")</f>
        <v>Trung cấp</v>
      </c>
      <c r="Q413" s="7" t="str">
        <f>IFERROR(__xludf.DUMMYFUNCTION("""COMPUTED_VALUE"""),"Công nghệ kỹ thuật Ô tô")</f>
        <v>Công nghệ kỹ thuật Ô tô</v>
      </c>
      <c r="R413" s="17">
        <f>IFERROR(__xludf.DUMMYFUNCTION("""COMPUTED_VALUE"""),41933.0)</f>
        <v>41933</v>
      </c>
      <c r="S413" s="17">
        <f>IFERROR(__xludf.DUMMYFUNCTION("""COMPUTED_VALUE"""),41933.0)</f>
        <v>41933</v>
      </c>
      <c r="T413" s="7" t="str">
        <f>IFERROR(__xludf.DUMMYFUNCTION("""COMPUTED_VALUE"""),"Chính thức")</f>
        <v>Chính thức</v>
      </c>
      <c r="U413" s="7"/>
      <c r="V413" s="7"/>
      <c r="W413" s="7" t="str">
        <f>IFERROR(__xludf.DUMMYFUNCTION("""COMPUTED_VALUE"""),"11 năm 2 tháng")</f>
        <v>11 năm 2 tháng</v>
      </c>
      <c r="X413" s="7"/>
      <c r="Y413" s="7"/>
      <c r="Z413" s="7"/>
    </row>
    <row r="414">
      <c r="A414" s="21" t="str">
        <f>IFERROR(__xludf.DUMMYFUNCTION("""COMPUTED_VALUE"""),"8")</f>
        <v>8</v>
      </c>
      <c r="B414" s="7" t="str">
        <f>IFERROR(__xludf.DUMMYFUNCTION("""COMPUTED_VALUE"""),"PXSX1")</f>
        <v>PXSX1</v>
      </c>
      <c r="C414" s="7" t="str">
        <f>IFERROR(__xludf.DUMMYFUNCTION("""COMPUTED_VALUE"""),"Bộ phận nung và hoàn thiện sản phẩm")</f>
        <v>Bộ phận nung và hoàn thiện sản phẩm</v>
      </c>
      <c r="D414" s="7" t="str">
        <f>IFERROR(__xludf.DUMMYFUNCTION("""COMPUTED_VALUE"""),"Lò nung Ca B")</f>
        <v>Lò nung Ca B</v>
      </c>
      <c r="E414" s="7" t="str">
        <f>IFERROR(__xludf.DUMMYFUNCTION("""COMPUTED_VALUE"""),"Công nhân vận hành")</f>
        <v>Công nhân vận hành</v>
      </c>
      <c r="F414" s="7" t="str">
        <f>IFERROR(__xludf.DUMMYFUNCTION("""COMPUTED_VALUE"""),"NV3382")</f>
        <v>NV3382</v>
      </c>
      <c r="G414" s="7">
        <f>IFERROR(__xludf.DUMMYFUNCTION("""COMPUTED_VALUE"""),311.0)</f>
        <v>311</v>
      </c>
      <c r="H414" s="7" t="str">
        <f>IFERROR(__xludf.DUMMYFUNCTION("""COMPUTED_VALUE"""),"Đặng Đình Hà")</f>
        <v>Đặng Đình Hà</v>
      </c>
      <c r="I414" s="7" t="str">
        <f>IFERROR(__xludf.DUMMYFUNCTION("""COMPUTED_VALUE"""),"Nam")</f>
        <v>Nam</v>
      </c>
      <c r="J414" s="17">
        <f>IFERROR(__xludf.DUMMYFUNCTION("""COMPUTED_VALUE"""),33520.0)</f>
        <v>33520</v>
      </c>
      <c r="K414" s="7" t="str">
        <f>IFERROR(__xludf.DUMMYFUNCTION("""COMPUTED_VALUE"""),"Thôn 9 - Phường Nam Sầm Sơn - Tỉnh Thanh Hóa")</f>
        <v>Thôn 9 - Phường Nam Sầm Sơn - Tỉnh Thanh Hóa</v>
      </c>
      <c r="L414" s="7" t="str">
        <f>IFERROR(__xludf.DUMMYFUNCTION("""COMPUTED_VALUE"""),"0337758313")</f>
        <v>0337758313</v>
      </c>
      <c r="M414" s="7" t="str">
        <f>IFERROR(__xludf.DUMMYFUNCTION("""COMPUTED_VALUE"""),"038091014719")</f>
        <v>038091014719</v>
      </c>
      <c r="N414" s="17">
        <f>IFERROR(__xludf.DUMMYFUNCTION("""COMPUTED_VALUE"""),44418.0)</f>
        <v>44418</v>
      </c>
      <c r="O414" s="7" t="str">
        <f>IFERROR(__xludf.DUMMYFUNCTION("""COMPUTED_VALUE"""),"Cục Cảnh sát QLHC về TTXH")</f>
        <v>Cục Cảnh sát QLHC về TTXH</v>
      </c>
      <c r="P414" s="7" t="str">
        <f>IFERROR(__xludf.DUMMYFUNCTION("""COMPUTED_VALUE"""),"LĐPT")</f>
        <v>LĐPT</v>
      </c>
      <c r="Q414" s="7" t="str">
        <f>IFERROR(__xludf.DUMMYFUNCTION("""COMPUTED_VALUE"""),"Lao động phổ thông")</f>
        <v>Lao động phổ thông</v>
      </c>
      <c r="R414" s="17">
        <f>IFERROR(__xludf.DUMMYFUNCTION("""COMPUTED_VALUE"""),44152.0)</f>
        <v>44152</v>
      </c>
      <c r="S414" s="17">
        <f>IFERROR(__xludf.DUMMYFUNCTION("""COMPUTED_VALUE"""),44440.0)</f>
        <v>44440</v>
      </c>
      <c r="T414" s="7" t="str">
        <f>IFERROR(__xludf.DUMMYFUNCTION("""COMPUTED_VALUE"""),"Chính thức")</f>
        <v>Chính thức</v>
      </c>
      <c r="U414" s="7"/>
      <c r="V414" s="7"/>
      <c r="W414" s="7" t="str">
        <f>IFERROR(__xludf.DUMMYFUNCTION("""COMPUTED_VALUE"""),"5 năm 1 tháng")</f>
        <v>5 năm 1 tháng</v>
      </c>
      <c r="X414" s="7"/>
      <c r="Y414" s="7"/>
      <c r="Z414" s="7"/>
    </row>
    <row r="415">
      <c r="A415" s="21" t="str">
        <f>IFERROR(__xludf.DUMMYFUNCTION("""COMPUTED_VALUE"""),"9")</f>
        <v>9</v>
      </c>
      <c r="B415" s="7" t="str">
        <f>IFERROR(__xludf.DUMMYFUNCTION("""COMPUTED_VALUE"""),"PXSX1")</f>
        <v>PXSX1</v>
      </c>
      <c r="C415" s="7" t="str">
        <f>IFERROR(__xludf.DUMMYFUNCTION("""COMPUTED_VALUE"""),"Bộ phận nung và hoàn thiện sản phẩm")</f>
        <v>Bộ phận nung và hoàn thiện sản phẩm</v>
      </c>
      <c r="D415" s="7" t="str">
        <f>IFERROR(__xludf.DUMMYFUNCTION("""COMPUTED_VALUE"""),"Lò nung Ca B")</f>
        <v>Lò nung Ca B</v>
      </c>
      <c r="E415" s="7" t="str">
        <f>IFERROR(__xludf.DUMMYFUNCTION("""COMPUTED_VALUE"""),"Bảo trì lò DC1")</f>
        <v>Bảo trì lò DC1</v>
      </c>
      <c r="F415" s="7" t="str">
        <f>IFERROR(__xludf.DUMMYFUNCTION("""COMPUTED_VALUE"""),"NV4388")</f>
        <v>NV4388</v>
      </c>
      <c r="G415" s="7">
        <f>IFERROR(__xludf.DUMMYFUNCTION("""COMPUTED_VALUE"""),1265.0)</f>
        <v>1265</v>
      </c>
      <c r="H415" s="7" t="str">
        <f>IFERROR(__xludf.DUMMYFUNCTION("""COMPUTED_VALUE"""),"Đỗ Văn Hùng Anh")</f>
        <v>Đỗ Văn Hùng Anh</v>
      </c>
      <c r="I415" s="7" t="str">
        <f>IFERROR(__xludf.DUMMYFUNCTION("""COMPUTED_VALUE"""),"Nam")</f>
        <v>Nam</v>
      </c>
      <c r="J415" s="17">
        <f>IFERROR(__xludf.DUMMYFUNCTION("""COMPUTED_VALUE"""),36872.0)</f>
        <v>36872</v>
      </c>
      <c r="K415" s="7" t="str">
        <f>IFERROR(__xludf.DUMMYFUNCTION("""COMPUTED_VALUE"""),"TDP Đài Trúc- Phường Sầm Sơn - Tỉnh Thanh Hóa")</f>
        <v>TDP Đài Trúc- Phường Sầm Sơn - Tỉnh Thanh Hóa</v>
      </c>
      <c r="L415" s="7" t="str">
        <f>IFERROR(__xludf.DUMMYFUNCTION("""COMPUTED_VALUE"""),"0347178836")</f>
        <v>0347178836</v>
      </c>
      <c r="M415" s="7" t="str">
        <f>IFERROR(__xludf.DUMMYFUNCTION("""COMPUTED_VALUE"""),"038200019062")</f>
        <v>038200019062</v>
      </c>
      <c r="N415" s="17">
        <f>IFERROR(__xludf.DUMMYFUNCTION("""COMPUTED_VALUE"""),45422.0)</f>
        <v>45422</v>
      </c>
      <c r="O415" s="7" t="str">
        <f>IFERROR(__xludf.DUMMYFUNCTION("""COMPUTED_VALUE"""),"Cục Cảnh sát QLHC về TTXH")</f>
        <v>Cục Cảnh sát QLHC về TTXH</v>
      </c>
      <c r="P415" s="7" t="str">
        <f>IFERROR(__xludf.DUMMYFUNCTION("""COMPUTED_VALUE"""),"LĐPT")</f>
        <v>LĐPT</v>
      </c>
      <c r="Q415" s="7" t="str">
        <f>IFERROR(__xludf.DUMMYFUNCTION("""COMPUTED_VALUE"""),"Lao động phổ thông")</f>
        <v>Lao động phổ thông</v>
      </c>
      <c r="R415" s="17">
        <f>IFERROR(__xludf.DUMMYFUNCTION("""COMPUTED_VALUE"""),45961.0)</f>
        <v>45961</v>
      </c>
      <c r="S415" s="7"/>
      <c r="T415" s="7" t="str">
        <f>IFERROR(__xludf.DUMMYFUNCTION("""COMPUTED_VALUE"""),"Thử việc")</f>
        <v>Thử việc</v>
      </c>
      <c r="U415" s="7"/>
      <c r="V415" s="7" t="str">
        <f>IFERROR(__xludf.DUMMYFUNCTION("""COMPUTED_VALUE"""),"Thử việc")</f>
        <v>Thử việc</v>
      </c>
      <c r="W415" s="7" t="str">
        <f>IFERROR(__xludf.DUMMYFUNCTION("""COMPUTED_VALUE"""),"0 năm 2 tháng")</f>
        <v>0 năm 2 tháng</v>
      </c>
      <c r="X415" s="7"/>
      <c r="Y415" s="7"/>
      <c r="Z415" s="7"/>
    </row>
    <row r="416">
      <c r="A416" s="21" t="str">
        <f>IFERROR(__xludf.DUMMYFUNCTION("""COMPUTED_VALUE"""),"1")</f>
        <v>1</v>
      </c>
      <c r="B416" s="7" t="str">
        <f>IFERROR(__xludf.DUMMYFUNCTION("""COMPUTED_VALUE"""),"PXSX1")</f>
        <v>PXSX1</v>
      </c>
      <c r="C416" s="7" t="str">
        <f>IFERROR(__xludf.DUMMYFUNCTION("""COMPUTED_VALUE"""),"Bộ phận nung và hoàn thiện sản phẩm")</f>
        <v>Bộ phận nung và hoàn thiện sản phẩm</v>
      </c>
      <c r="D416" s="7" t="str">
        <f>IFERROR(__xludf.DUMMYFUNCTION("""COMPUTED_VALUE"""),"Dây chuyền Mài Ca A")</f>
        <v>Dây chuyền Mài Ca A</v>
      </c>
      <c r="E416" s="7" t="str">
        <f>IFERROR(__xludf.DUMMYFUNCTION("""COMPUTED_VALUE"""),"Bốc sót sau máy mài nano DC2")</f>
        <v>Bốc sót sau máy mài nano DC2</v>
      </c>
      <c r="F416" s="7" t="str">
        <f>IFERROR(__xludf.DUMMYFUNCTION("""COMPUTED_VALUE"""),"NV1336")</f>
        <v>NV1336</v>
      </c>
      <c r="G416" s="7">
        <f>IFERROR(__xludf.DUMMYFUNCTION("""COMPUTED_VALUE"""),273.0)</f>
        <v>273</v>
      </c>
      <c r="H416" s="7" t="str">
        <f>IFERROR(__xludf.DUMMYFUNCTION("""COMPUTED_VALUE"""),"Đinh Văn Đô")</f>
        <v>Đinh Văn Đô</v>
      </c>
      <c r="I416" s="7" t="str">
        <f>IFERROR(__xludf.DUMMYFUNCTION("""COMPUTED_VALUE"""),"Nam")</f>
        <v>Nam</v>
      </c>
      <c r="J416" s="17">
        <f>IFERROR(__xludf.DUMMYFUNCTION("""COMPUTED_VALUE"""),27780.0)</f>
        <v>27780</v>
      </c>
      <c r="K416" s="7" t="str">
        <f>IFERROR(__xludf.DUMMYFUNCTION("""COMPUTED_VALUE"""),"Châu Chính - Phường Sầm Sơn - Tỉnh Thanh Hóa")</f>
        <v>Châu Chính - Phường Sầm Sơn - Tỉnh Thanh Hóa</v>
      </c>
      <c r="L416" s="7" t="str">
        <f>IFERROR(__xludf.DUMMYFUNCTION("""COMPUTED_VALUE"""),"0332187499")</f>
        <v>0332187499</v>
      </c>
      <c r="M416" s="7" t="str">
        <f>IFERROR(__xludf.DUMMYFUNCTION("""COMPUTED_VALUE"""),"038076003636")</f>
        <v>038076003636</v>
      </c>
      <c r="N416" s="17">
        <f>IFERROR(__xludf.DUMMYFUNCTION("""COMPUTED_VALUE"""),42801.0)</f>
        <v>42801</v>
      </c>
      <c r="O416" s="7" t="str">
        <f>IFERROR(__xludf.DUMMYFUNCTION("""COMPUTED_VALUE"""),"Cục Cảnh sát QLHC về TTXH")</f>
        <v>Cục Cảnh sát QLHC về TTXH</v>
      </c>
      <c r="P416" s="7" t="str">
        <f>IFERROR(__xludf.DUMMYFUNCTION("""COMPUTED_VALUE"""),"LĐPT")</f>
        <v>LĐPT</v>
      </c>
      <c r="Q416" s="7" t="str">
        <f>IFERROR(__xludf.DUMMYFUNCTION("""COMPUTED_VALUE"""),"Lao động phổ thông")</f>
        <v>Lao động phổ thông</v>
      </c>
      <c r="R416" s="17">
        <f>IFERROR(__xludf.DUMMYFUNCTION("""COMPUTED_VALUE"""),43902.0)</f>
        <v>43902</v>
      </c>
      <c r="S416" s="17">
        <f>IFERROR(__xludf.DUMMYFUNCTION("""COMPUTED_VALUE"""),44197.0)</f>
        <v>44197</v>
      </c>
      <c r="T416" s="7" t="str">
        <f>IFERROR(__xludf.DUMMYFUNCTION("""COMPUTED_VALUE"""),"Chính thức")</f>
        <v>Chính thức</v>
      </c>
      <c r="U416" s="7"/>
      <c r="V416" s="7" t="str">
        <f>IFERROR(__xludf.DUMMYFUNCTION("""COMPUTED_VALUE"""),"Nghỉ phép")</f>
        <v>Nghỉ phép</v>
      </c>
      <c r="W416" s="7" t="str">
        <f>IFERROR(__xludf.DUMMYFUNCTION("""COMPUTED_VALUE"""),"5 năm 9 tháng")</f>
        <v>5 năm 9 tháng</v>
      </c>
      <c r="X416" s="7"/>
      <c r="Y416" s="7"/>
      <c r="Z416" s="7"/>
    </row>
    <row r="417">
      <c r="A417" s="21" t="str">
        <f>IFERROR(__xludf.DUMMYFUNCTION("""COMPUTED_VALUE"""),"2")</f>
        <v>2</v>
      </c>
      <c r="B417" s="7" t="str">
        <f>IFERROR(__xludf.DUMMYFUNCTION("""COMPUTED_VALUE"""),"PXSX1")</f>
        <v>PXSX1</v>
      </c>
      <c r="C417" s="7" t="str">
        <f>IFERROR(__xludf.DUMMYFUNCTION("""COMPUTED_VALUE"""),"Bộ phận nung và hoàn thiện sản phẩm")</f>
        <v>Bộ phận nung và hoàn thiện sản phẩm</v>
      </c>
      <c r="D417" s="7" t="str">
        <f>IFERROR(__xludf.DUMMYFUNCTION("""COMPUTED_VALUE"""),"Dây chuyền Mài Ca A")</f>
        <v>Dây chuyền Mài Ca A</v>
      </c>
      <c r="E417" s="7" t="str">
        <f>IFERROR(__xludf.DUMMYFUNCTION("""COMPUTED_VALUE"""),"VH Chính máy Nano DC1")</f>
        <v>VH Chính máy Nano DC1</v>
      </c>
      <c r="F417" s="7" t="str">
        <f>IFERROR(__xludf.DUMMYFUNCTION("""COMPUTED_VALUE"""),"NV5038")</f>
        <v>NV5038</v>
      </c>
      <c r="G417" s="7">
        <f>IFERROR(__xludf.DUMMYFUNCTION("""COMPUTED_VALUE"""),270.0)</f>
        <v>270</v>
      </c>
      <c r="H417" s="7" t="str">
        <f>IFERROR(__xludf.DUMMYFUNCTION("""COMPUTED_VALUE"""),"Phạm Ngọc Tân")</f>
        <v>Phạm Ngọc Tân</v>
      </c>
      <c r="I417" s="7" t="str">
        <f>IFERROR(__xludf.DUMMYFUNCTION("""COMPUTED_VALUE"""),"Nam")</f>
        <v>Nam</v>
      </c>
      <c r="J417" s="17">
        <f>IFERROR(__xludf.DUMMYFUNCTION("""COMPUTED_VALUE"""),29787.0)</f>
        <v>29787</v>
      </c>
      <c r="K417" s="7" t="str">
        <f>IFERROR(__xludf.DUMMYFUNCTION("""COMPUTED_VALUE"""),"Lê Thánh Tông - Phường Hạc Thành - Tỉnh Thanh Hóa")</f>
        <v>Lê Thánh Tông - Phường Hạc Thành - Tỉnh Thanh Hóa</v>
      </c>
      <c r="L417" s="7" t="str">
        <f>IFERROR(__xludf.DUMMYFUNCTION("""COMPUTED_VALUE"""),"0968603382")</f>
        <v>0968603382</v>
      </c>
      <c r="M417" s="7" t="str">
        <f>IFERROR(__xludf.DUMMYFUNCTION("""COMPUTED_VALUE"""),"038081007176")</f>
        <v>038081007176</v>
      </c>
      <c r="N417" s="17">
        <f>IFERROR(__xludf.DUMMYFUNCTION("""COMPUTED_VALUE"""),44311.0)</f>
        <v>44311</v>
      </c>
      <c r="O417" s="7" t="str">
        <f>IFERROR(__xludf.DUMMYFUNCTION("""COMPUTED_VALUE"""),"Cục Cảnh sát QLHC về TTXH")</f>
        <v>Cục Cảnh sát QLHC về TTXH</v>
      </c>
      <c r="P417" s="7" t="str">
        <f>IFERROR(__xludf.DUMMYFUNCTION("""COMPUTED_VALUE"""),"LĐPT")</f>
        <v>LĐPT</v>
      </c>
      <c r="Q417" s="7" t="str">
        <f>IFERROR(__xludf.DUMMYFUNCTION("""COMPUTED_VALUE"""),"Lao động phổ thông")</f>
        <v>Lao động phổ thông</v>
      </c>
      <c r="R417" s="17">
        <f>IFERROR(__xludf.DUMMYFUNCTION("""COMPUTED_VALUE"""),45356.0)</f>
        <v>45356</v>
      </c>
      <c r="S417" s="17">
        <f>IFERROR(__xludf.DUMMYFUNCTION("""COMPUTED_VALUE"""),45444.0)</f>
        <v>45444</v>
      </c>
      <c r="T417" s="7" t="str">
        <f>IFERROR(__xludf.DUMMYFUNCTION("""COMPUTED_VALUE"""),"Chính thức")</f>
        <v>Chính thức</v>
      </c>
      <c r="U417" s="7"/>
      <c r="V417" s="7"/>
      <c r="W417" s="7" t="str">
        <f>IFERROR(__xludf.DUMMYFUNCTION("""COMPUTED_VALUE"""),"1 năm 9 tháng")</f>
        <v>1 năm 9 tháng</v>
      </c>
      <c r="X417" s="7"/>
      <c r="Y417" s="7"/>
      <c r="Z417" s="7"/>
    </row>
    <row r="418">
      <c r="A418" s="21" t="str">
        <f>IFERROR(__xludf.DUMMYFUNCTION("""COMPUTED_VALUE"""),"3")</f>
        <v>3</v>
      </c>
      <c r="B418" s="7" t="str">
        <f>IFERROR(__xludf.DUMMYFUNCTION("""COMPUTED_VALUE"""),"PXSX1")</f>
        <v>PXSX1</v>
      </c>
      <c r="C418" s="7" t="str">
        <f>IFERROR(__xludf.DUMMYFUNCTION("""COMPUTED_VALUE"""),"Bộ phận nung và hoàn thiện sản phẩm")</f>
        <v>Bộ phận nung và hoàn thiện sản phẩm</v>
      </c>
      <c r="D418" s="7" t="str">
        <f>IFERROR(__xludf.DUMMYFUNCTION("""COMPUTED_VALUE"""),"Dây chuyền Mài Ca A")</f>
        <v>Dây chuyền Mài Ca A</v>
      </c>
      <c r="E418" s="7" t="str">
        <f>IFERROR(__xludf.DUMMYFUNCTION("""COMPUTED_VALUE"""),"Bốc sót sau máy mài nano DC1")</f>
        <v>Bốc sót sau máy mài nano DC1</v>
      </c>
      <c r="F418" s="7" t="str">
        <f>IFERROR(__xludf.DUMMYFUNCTION("""COMPUTED_VALUE"""),"NV4995")</f>
        <v>NV4995</v>
      </c>
      <c r="G418" s="7">
        <f>IFERROR(__xludf.DUMMYFUNCTION("""COMPUTED_VALUE"""),269.0)</f>
        <v>269</v>
      </c>
      <c r="H418" s="7" t="str">
        <f>IFERROR(__xludf.DUMMYFUNCTION("""COMPUTED_VALUE"""),"Phạm Duy Nam")</f>
        <v>Phạm Duy Nam</v>
      </c>
      <c r="I418" s="7" t="str">
        <f>IFERROR(__xludf.DUMMYFUNCTION("""COMPUTED_VALUE"""),"Nam")</f>
        <v>Nam</v>
      </c>
      <c r="J418" s="17">
        <f>IFERROR(__xludf.DUMMYFUNCTION("""COMPUTED_VALUE"""),30209.0)</f>
        <v>30209</v>
      </c>
      <c r="K418" s="7" t="str">
        <f>IFERROR(__xludf.DUMMYFUNCTION("""COMPUTED_VALUE"""),"Xã Quảng Bình - Tỉnh Thanh Hóa")</f>
        <v>Xã Quảng Bình - Tỉnh Thanh Hóa</v>
      </c>
      <c r="L418" s="7" t="str">
        <f>IFERROR(__xludf.DUMMYFUNCTION("""COMPUTED_VALUE"""),"0985278236")</f>
        <v>0985278236</v>
      </c>
      <c r="M418" s="7" t="str">
        <f>IFERROR(__xludf.DUMMYFUNCTION("""COMPUTED_VALUE"""),"038082017220")</f>
        <v>038082017220</v>
      </c>
      <c r="N418" s="17">
        <f>IFERROR(__xludf.DUMMYFUNCTION("""COMPUTED_VALUE"""),45149.0)</f>
        <v>45149</v>
      </c>
      <c r="O418" s="7" t="str">
        <f>IFERROR(__xludf.DUMMYFUNCTION("""COMPUTED_VALUE"""),"Cục Cảnh sát QLHC về TTXH")</f>
        <v>Cục Cảnh sát QLHC về TTXH</v>
      </c>
      <c r="P418" s="7" t="str">
        <f>IFERROR(__xludf.DUMMYFUNCTION("""COMPUTED_VALUE"""),"LĐPT")</f>
        <v>LĐPT</v>
      </c>
      <c r="Q418" s="7" t="str">
        <f>IFERROR(__xludf.DUMMYFUNCTION("""COMPUTED_VALUE"""),"Lao động phổ thông")</f>
        <v>Lao động phổ thông</v>
      </c>
      <c r="R418" s="17">
        <f>IFERROR(__xludf.DUMMYFUNCTION("""COMPUTED_VALUE"""),45342.0)</f>
        <v>45342</v>
      </c>
      <c r="S418" s="17">
        <f>IFERROR(__xludf.DUMMYFUNCTION("""COMPUTED_VALUE"""),45444.0)</f>
        <v>45444</v>
      </c>
      <c r="T418" s="7" t="str">
        <f>IFERROR(__xludf.DUMMYFUNCTION("""COMPUTED_VALUE"""),"Chính thức")</f>
        <v>Chính thức</v>
      </c>
      <c r="U418" s="7"/>
      <c r="V418" s="7"/>
      <c r="W418" s="7" t="str">
        <f>IFERROR(__xludf.DUMMYFUNCTION("""COMPUTED_VALUE"""),"1 năm 10 tháng")</f>
        <v>1 năm 10 tháng</v>
      </c>
      <c r="X418" s="7"/>
      <c r="Y418" s="7"/>
      <c r="Z418" s="7"/>
    </row>
    <row r="419">
      <c r="A419" s="21" t="str">
        <f>IFERROR(__xludf.DUMMYFUNCTION("""COMPUTED_VALUE"""),"4")</f>
        <v>4</v>
      </c>
      <c r="B419" s="7" t="str">
        <f>IFERROR(__xludf.DUMMYFUNCTION("""COMPUTED_VALUE"""),"PXSX1")</f>
        <v>PXSX1</v>
      </c>
      <c r="C419" s="7" t="str">
        <f>IFERROR(__xludf.DUMMYFUNCTION("""COMPUTED_VALUE"""),"Bộ phận nung và hoàn thiện sản phẩm")</f>
        <v>Bộ phận nung và hoàn thiện sản phẩm</v>
      </c>
      <c r="D419" s="7" t="str">
        <f>IFERROR(__xludf.DUMMYFUNCTION("""COMPUTED_VALUE"""),"Dây chuyền Mài Ca A")</f>
        <v>Dây chuyền Mài Ca A</v>
      </c>
      <c r="E419" s="7" t="str">
        <f>IFERROR(__xludf.DUMMYFUNCTION("""COMPUTED_VALUE"""),"Nhóm trưởng đầu rải")</f>
        <v>Nhóm trưởng đầu rải</v>
      </c>
      <c r="F419" s="7" t="str">
        <f>IFERROR(__xludf.DUMMYFUNCTION("""COMPUTED_VALUE"""),"NV0220")</f>
        <v>NV0220</v>
      </c>
      <c r="G419" s="7">
        <f>IFERROR(__xludf.DUMMYFUNCTION("""COMPUTED_VALUE"""),567.0)</f>
        <v>567</v>
      </c>
      <c r="H419" s="7" t="str">
        <f>IFERROR(__xludf.DUMMYFUNCTION("""COMPUTED_VALUE"""),"Lê Minh Tuân")</f>
        <v>Lê Minh Tuân</v>
      </c>
      <c r="I419" s="7" t="str">
        <f>IFERROR(__xludf.DUMMYFUNCTION("""COMPUTED_VALUE"""),"Nam")</f>
        <v>Nam</v>
      </c>
      <c r="J419" s="17">
        <f>IFERROR(__xludf.DUMMYFUNCTION("""COMPUTED_VALUE"""),30796.0)</f>
        <v>30796</v>
      </c>
      <c r="K419" s="7" t="str">
        <f>IFERROR(__xludf.DUMMYFUNCTION("""COMPUTED_VALUE"""),"Xã Hoằng Anh - TP Thanh Hóa")</f>
        <v>Xã Hoằng Anh - TP Thanh Hóa</v>
      </c>
      <c r="L419" s="7" t="str">
        <f>IFERROR(__xludf.DUMMYFUNCTION("""COMPUTED_VALUE"""),"0981096967")</f>
        <v>0981096967</v>
      </c>
      <c r="M419" s="7" t="str">
        <f>IFERROR(__xludf.DUMMYFUNCTION("""COMPUTED_VALUE"""),"038084034842")</f>
        <v>038084034842</v>
      </c>
      <c r="N419" s="17">
        <f>IFERROR(__xludf.DUMMYFUNCTION("""COMPUTED_VALUE"""),44440.0)</f>
        <v>44440</v>
      </c>
      <c r="O419" s="7" t="str">
        <f>IFERROR(__xludf.DUMMYFUNCTION("""COMPUTED_VALUE"""),"Cục Cảnh sát QLHC về TTXH")</f>
        <v>Cục Cảnh sát QLHC về TTXH</v>
      </c>
      <c r="P419" s="7" t="str">
        <f>IFERROR(__xludf.DUMMYFUNCTION("""COMPUTED_VALUE"""),"Cao đẳng")</f>
        <v>Cao đẳng</v>
      </c>
      <c r="Q419" s="7" t="str">
        <f>IFERROR(__xludf.DUMMYFUNCTION("""COMPUTED_VALUE"""),"Hóa dầu")</f>
        <v>Hóa dầu</v>
      </c>
      <c r="R419" s="17">
        <f>IFERROR(__xludf.DUMMYFUNCTION("""COMPUTED_VALUE"""),42444.0)</f>
        <v>42444</v>
      </c>
      <c r="S419" s="17">
        <f>IFERROR(__xludf.DUMMYFUNCTION("""COMPUTED_VALUE"""),42444.0)</f>
        <v>42444</v>
      </c>
      <c r="T419" s="7" t="str">
        <f>IFERROR(__xludf.DUMMYFUNCTION("""COMPUTED_VALUE"""),"Chính thức")</f>
        <v>Chính thức</v>
      </c>
      <c r="U419" s="7"/>
      <c r="V419" s="7"/>
      <c r="W419" s="7" t="str">
        <f>IFERROR(__xludf.DUMMYFUNCTION("""COMPUTED_VALUE"""),"9 năm 9 tháng")</f>
        <v>9 năm 9 tháng</v>
      </c>
      <c r="X419" s="7"/>
      <c r="Y419" s="7"/>
      <c r="Z419" s="7"/>
    </row>
    <row r="420">
      <c r="A420" s="21" t="str">
        <f>IFERROR(__xludf.DUMMYFUNCTION("""COMPUTED_VALUE"""),"5")</f>
        <v>5</v>
      </c>
      <c r="B420" s="7" t="str">
        <f>IFERROR(__xludf.DUMMYFUNCTION("""COMPUTED_VALUE"""),"PXSX1")</f>
        <v>PXSX1</v>
      </c>
      <c r="C420" s="7" t="str">
        <f>IFERROR(__xludf.DUMMYFUNCTION("""COMPUTED_VALUE"""),"Bộ phận nung và hoàn thiện sản phẩm")</f>
        <v>Bộ phận nung và hoàn thiện sản phẩm</v>
      </c>
      <c r="D420" s="7" t="str">
        <f>IFERROR(__xludf.DUMMYFUNCTION("""COMPUTED_VALUE"""),"Dây chuyền Mài Ca A")</f>
        <v>Dây chuyền Mài Ca A</v>
      </c>
      <c r="E420" s="7" t="str">
        <f>IFERROR(__xludf.DUMMYFUNCTION("""COMPUTED_VALUE"""),"Vận hành máy mài cạnh mức 1")</f>
        <v>Vận hành máy mài cạnh mức 1</v>
      </c>
      <c r="F420" s="7" t="str">
        <f>IFERROR(__xludf.DUMMYFUNCTION("""COMPUTED_VALUE"""),"NV3589")</f>
        <v>NV3589</v>
      </c>
      <c r="G420" s="7">
        <f>IFERROR(__xludf.DUMMYFUNCTION("""COMPUTED_VALUE"""),261.0)</f>
        <v>261</v>
      </c>
      <c r="H420" s="7" t="str">
        <f>IFERROR(__xludf.DUMMYFUNCTION("""COMPUTED_VALUE"""),"Lê Văn Biên")</f>
        <v>Lê Văn Biên</v>
      </c>
      <c r="I420" s="7" t="str">
        <f>IFERROR(__xludf.DUMMYFUNCTION("""COMPUTED_VALUE"""),"Nam")</f>
        <v>Nam</v>
      </c>
      <c r="J420" s="17">
        <f>IFERROR(__xludf.DUMMYFUNCTION("""COMPUTED_VALUE"""),31100.0)</f>
        <v>31100</v>
      </c>
      <c r="K420" s="7" t="str">
        <f>IFERROR(__xludf.DUMMYFUNCTION("""COMPUTED_VALUE"""),"Xã Quảng Yên - Tỉnh Thanh Hóa")</f>
        <v>Xã Quảng Yên - Tỉnh Thanh Hóa</v>
      </c>
      <c r="L420" s="7" t="str">
        <f>IFERROR(__xludf.DUMMYFUNCTION("""COMPUTED_VALUE"""),"0387605636")</f>
        <v>0387605636</v>
      </c>
      <c r="M420" s="7" t="str">
        <f>IFERROR(__xludf.DUMMYFUNCTION("""COMPUTED_VALUE"""),"038085040365")</f>
        <v>038085040365</v>
      </c>
      <c r="N420" s="17">
        <f>IFERROR(__xludf.DUMMYFUNCTION("""COMPUTED_VALUE"""),44375.0)</f>
        <v>44375</v>
      </c>
      <c r="O420" s="7" t="str">
        <f>IFERROR(__xludf.DUMMYFUNCTION("""COMPUTED_VALUE"""),"Cục Cảnh sát QLHC về TTXH")</f>
        <v>Cục Cảnh sát QLHC về TTXH</v>
      </c>
      <c r="P420" s="7" t="str">
        <f>IFERROR(__xludf.DUMMYFUNCTION("""COMPUTED_VALUE"""),"LĐPT")</f>
        <v>LĐPT</v>
      </c>
      <c r="Q420" s="7" t="str">
        <f>IFERROR(__xludf.DUMMYFUNCTION("""COMPUTED_VALUE"""),"Lao động phổ thông")</f>
        <v>Lao động phổ thông</v>
      </c>
      <c r="R420" s="17">
        <f>IFERROR(__xludf.DUMMYFUNCTION("""COMPUTED_VALUE"""),44506.0)</f>
        <v>44506</v>
      </c>
      <c r="S420" s="17">
        <f>IFERROR(__xludf.DUMMYFUNCTION("""COMPUTED_VALUE"""),44805.0)</f>
        <v>44805</v>
      </c>
      <c r="T420" s="7" t="str">
        <f>IFERROR(__xludf.DUMMYFUNCTION("""COMPUTED_VALUE"""),"Chính thức")</f>
        <v>Chính thức</v>
      </c>
      <c r="U420" s="7"/>
      <c r="V420" s="7"/>
      <c r="W420" s="7" t="str">
        <f>IFERROR(__xludf.DUMMYFUNCTION("""COMPUTED_VALUE"""),"4 năm 1 tháng")</f>
        <v>4 năm 1 tháng</v>
      </c>
      <c r="X420" s="7"/>
      <c r="Y420" s="7"/>
      <c r="Z420" s="7"/>
    </row>
    <row r="421">
      <c r="A421" s="21" t="str">
        <f>IFERROR(__xludf.DUMMYFUNCTION("""COMPUTED_VALUE"""),"6")</f>
        <v>6</v>
      </c>
      <c r="B421" s="7" t="str">
        <f>IFERROR(__xludf.DUMMYFUNCTION("""COMPUTED_VALUE"""),"PXSX1")</f>
        <v>PXSX1</v>
      </c>
      <c r="C421" s="7" t="str">
        <f>IFERROR(__xludf.DUMMYFUNCTION("""COMPUTED_VALUE"""),"Bộ phận nung và hoàn thiện sản phẩm")</f>
        <v>Bộ phận nung và hoàn thiện sản phẩm</v>
      </c>
      <c r="D421" s="7" t="str">
        <f>IFERROR(__xludf.DUMMYFUNCTION("""COMPUTED_VALUE"""),"Dây chuyền Mài Ca A")</f>
        <v>Dây chuyền Mài Ca A</v>
      </c>
      <c r="E421" s="7" t="str">
        <f>IFERROR(__xludf.DUMMYFUNCTION("""COMPUTED_VALUE"""),"Vận hành máy mài cạnh Mức 2")</f>
        <v>Vận hành máy mài cạnh Mức 2</v>
      </c>
      <c r="F421" s="7" t="str">
        <f>IFERROR(__xludf.DUMMYFUNCTION("""COMPUTED_VALUE"""),"NV4524")</f>
        <v>NV4524</v>
      </c>
      <c r="G421" s="7">
        <f>IFERROR(__xludf.DUMMYFUNCTION("""COMPUTED_VALUE"""),835.0)</f>
        <v>835</v>
      </c>
      <c r="H421" s="7" t="str">
        <f>IFERROR(__xludf.DUMMYFUNCTION("""COMPUTED_VALUE"""),"Nguyễn Hữu Dũng ")</f>
        <v>Nguyễn Hữu Dũng </v>
      </c>
      <c r="I421" s="7" t="str">
        <f>IFERROR(__xludf.DUMMYFUNCTION("""COMPUTED_VALUE"""),"Nam")</f>
        <v>Nam</v>
      </c>
      <c r="J421" s="17">
        <f>IFERROR(__xludf.DUMMYFUNCTION("""COMPUTED_VALUE"""),31420.0)</f>
        <v>31420</v>
      </c>
      <c r="K421" s="7" t="str">
        <f>IFERROR(__xludf.DUMMYFUNCTION("""COMPUTED_VALUE"""),"Xã An Nông - Tỉnh Thanh Hóa ")</f>
        <v>Xã An Nông - Tỉnh Thanh Hóa </v>
      </c>
      <c r="L421" s="7" t="str">
        <f>IFERROR(__xludf.DUMMYFUNCTION("""COMPUTED_VALUE"""),"0973444568")</f>
        <v>0973444568</v>
      </c>
      <c r="M421" s="7" t="str">
        <f>IFERROR(__xludf.DUMMYFUNCTION("""COMPUTED_VALUE"""),"038086004047")</f>
        <v>038086004047</v>
      </c>
      <c r="N421" s="17">
        <f>IFERROR(__xludf.DUMMYFUNCTION("""COMPUTED_VALUE"""),44759.0)</f>
        <v>44759</v>
      </c>
      <c r="O421" s="7" t="str">
        <f>IFERROR(__xludf.DUMMYFUNCTION("""COMPUTED_VALUE"""),"Cục Cảnh sát QLHC về TTXH")</f>
        <v>Cục Cảnh sát QLHC về TTXH</v>
      </c>
      <c r="P421" s="7" t="str">
        <f>IFERROR(__xludf.DUMMYFUNCTION("""COMPUTED_VALUE"""),"LĐPT")</f>
        <v>LĐPT</v>
      </c>
      <c r="Q421" s="7" t="str">
        <f>IFERROR(__xludf.DUMMYFUNCTION("""COMPUTED_VALUE"""),"Lao động phổ thông")</f>
        <v>Lao động phổ thông</v>
      </c>
      <c r="R421" s="17">
        <f>IFERROR(__xludf.DUMMYFUNCTION("""COMPUTED_VALUE"""),45696.0)</f>
        <v>45696</v>
      </c>
      <c r="S421" s="17">
        <f>IFERROR(__xludf.DUMMYFUNCTION("""COMPUTED_VALUE"""),45696.0)</f>
        <v>45696</v>
      </c>
      <c r="T421" s="7" t="str">
        <f>IFERROR(__xludf.DUMMYFUNCTION("""COMPUTED_VALUE"""),"Chính thức")</f>
        <v>Chính thức</v>
      </c>
      <c r="U421" s="7"/>
      <c r="V421" s="7"/>
      <c r="W421" s="7" t="str">
        <f>IFERROR(__xludf.DUMMYFUNCTION("""COMPUTED_VALUE"""),"0 năm 10 tháng")</f>
        <v>0 năm 10 tháng</v>
      </c>
      <c r="X421" s="7"/>
      <c r="Y421" s="7"/>
      <c r="Z421" s="7"/>
    </row>
    <row r="422">
      <c r="A422" s="21" t="str">
        <f>IFERROR(__xludf.DUMMYFUNCTION("""COMPUTED_VALUE"""),"7")</f>
        <v>7</v>
      </c>
      <c r="B422" s="7" t="str">
        <f>IFERROR(__xludf.DUMMYFUNCTION("""COMPUTED_VALUE"""),"PXSX1")</f>
        <v>PXSX1</v>
      </c>
      <c r="C422" s="7" t="str">
        <f>IFERROR(__xludf.DUMMYFUNCTION("""COMPUTED_VALUE"""),"Bộ phận nung và hoàn thiện sản phẩm")</f>
        <v>Bộ phận nung và hoàn thiện sản phẩm</v>
      </c>
      <c r="D422" s="7" t="str">
        <f>IFERROR(__xludf.DUMMYFUNCTION("""COMPUTED_VALUE"""),"Dây chuyền Mài Ca A")</f>
        <v>Dây chuyền Mài Ca A</v>
      </c>
      <c r="E422" s="7" t="str">
        <f>IFERROR(__xludf.DUMMYFUNCTION("""COMPUTED_VALUE"""),"Vận hành chính máy mài cạnh")</f>
        <v>Vận hành chính máy mài cạnh</v>
      </c>
      <c r="F422" s="7" t="str">
        <f>IFERROR(__xludf.DUMMYFUNCTION("""COMPUTED_VALUE"""),"NV3691")</f>
        <v>NV3691</v>
      </c>
      <c r="G422" s="7">
        <f>IFERROR(__xludf.DUMMYFUNCTION("""COMPUTED_VALUE"""),260.0)</f>
        <v>260</v>
      </c>
      <c r="H422" s="7" t="str">
        <f>IFERROR(__xludf.DUMMYFUNCTION("""COMPUTED_VALUE"""),"Nguyễn Duy Quỳnh")</f>
        <v>Nguyễn Duy Quỳnh</v>
      </c>
      <c r="I422" s="7" t="str">
        <f>IFERROR(__xludf.DUMMYFUNCTION("""COMPUTED_VALUE"""),"Nam")</f>
        <v>Nam</v>
      </c>
      <c r="J422" s="17">
        <f>IFERROR(__xludf.DUMMYFUNCTION("""COMPUTED_VALUE"""),31960.0)</f>
        <v>31960</v>
      </c>
      <c r="K422" s="7" t="str">
        <f>IFERROR(__xludf.DUMMYFUNCTION("""COMPUTED_VALUE"""),"Xã Hoằng Châu - Tỉnh Thanh Hóa")</f>
        <v>Xã Hoằng Châu - Tỉnh Thanh Hóa</v>
      </c>
      <c r="L422" s="7" t="str">
        <f>IFERROR(__xludf.DUMMYFUNCTION("""COMPUTED_VALUE"""),"0848316123")</f>
        <v>0848316123</v>
      </c>
      <c r="M422" s="7" t="str">
        <f>IFERROR(__xludf.DUMMYFUNCTION("""COMPUTED_VALUE"""),"038087033297")</f>
        <v>038087033297</v>
      </c>
      <c r="N422" s="17">
        <f>IFERROR(__xludf.DUMMYFUNCTION("""COMPUTED_VALUE"""),44894.0)</f>
        <v>44894</v>
      </c>
      <c r="O422" s="7" t="str">
        <f>IFERROR(__xludf.DUMMYFUNCTION("""COMPUTED_VALUE"""),"Cục Cảnh sát QLHC về TTXH")</f>
        <v>Cục Cảnh sát QLHC về TTXH</v>
      </c>
      <c r="P422" s="7" t="str">
        <f>IFERROR(__xludf.DUMMYFUNCTION("""COMPUTED_VALUE"""),"LĐPT")</f>
        <v>LĐPT</v>
      </c>
      <c r="Q422" s="7" t="str">
        <f>IFERROR(__xludf.DUMMYFUNCTION("""COMPUTED_VALUE"""),"Lao động phổ thông")</f>
        <v>Lao động phổ thông</v>
      </c>
      <c r="R422" s="17">
        <f>IFERROR(__xludf.DUMMYFUNCTION("""COMPUTED_VALUE"""),44350.0)</f>
        <v>44350</v>
      </c>
      <c r="S422" s="17">
        <f>IFERROR(__xludf.DUMMYFUNCTION("""COMPUTED_VALUE"""),44652.0)</f>
        <v>44652</v>
      </c>
      <c r="T422" s="7" t="str">
        <f>IFERROR(__xludf.DUMMYFUNCTION("""COMPUTED_VALUE"""),"Chính thức")</f>
        <v>Chính thức</v>
      </c>
      <c r="U422" s="7"/>
      <c r="V422" s="7"/>
      <c r="W422" s="7" t="str">
        <f>IFERROR(__xludf.DUMMYFUNCTION("""COMPUTED_VALUE"""),"4 năm 6 tháng")</f>
        <v>4 năm 6 tháng</v>
      </c>
      <c r="X422" s="7"/>
      <c r="Y422" s="7"/>
      <c r="Z422" s="7"/>
    </row>
    <row r="423">
      <c r="A423" s="21" t="str">
        <f>IFERROR(__xludf.DUMMYFUNCTION("""COMPUTED_VALUE"""),"8")</f>
        <v>8</v>
      </c>
      <c r="B423" s="7" t="str">
        <f>IFERROR(__xludf.DUMMYFUNCTION("""COMPUTED_VALUE"""),"PXSX1")</f>
        <v>PXSX1</v>
      </c>
      <c r="C423" s="7" t="str">
        <f>IFERROR(__xludf.DUMMYFUNCTION("""COMPUTED_VALUE"""),"Bộ phận nung và hoàn thiện sản phẩm")</f>
        <v>Bộ phận nung và hoàn thiện sản phẩm</v>
      </c>
      <c r="D423" s="7" t="str">
        <f>IFERROR(__xludf.DUMMYFUNCTION("""COMPUTED_VALUE"""),"Dây chuyền Mài Ca A")</f>
        <v>Dây chuyền Mài Ca A</v>
      </c>
      <c r="E423" s="7" t="str">
        <f>IFERROR(__xludf.DUMMYFUNCTION("""COMPUTED_VALUE"""),"Tổ phó")</f>
        <v>Tổ phó</v>
      </c>
      <c r="F423" s="7" t="str">
        <f>IFERROR(__xludf.DUMMYFUNCTION("""COMPUTED_VALUE"""),"NV0257")</f>
        <v>NV0257</v>
      </c>
      <c r="G423" s="7">
        <f>IFERROR(__xludf.DUMMYFUNCTION("""COMPUTED_VALUE"""),257.0)</f>
        <v>257</v>
      </c>
      <c r="H423" s="7" t="str">
        <f>IFERROR(__xludf.DUMMYFUNCTION("""COMPUTED_VALUE"""),"Lê Ngọc Khánh")</f>
        <v>Lê Ngọc Khánh</v>
      </c>
      <c r="I423" s="7" t="str">
        <f>IFERROR(__xludf.DUMMYFUNCTION("""COMPUTED_VALUE"""),"Nam")</f>
        <v>Nam</v>
      </c>
      <c r="J423" s="17">
        <f>IFERROR(__xludf.DUMMYFUNCTION("""COMPUTED_VALUE"""),33895.0)</f>
        <v>33895</v>
      </c>
      <c r="K423" s="7" t="str">
        <f>IFERROR(__xludf.DUMMYFUNCTION("""COMPUTED_VALUE"""),"Phường Quảng Phú - Tỉnh Thanh Hóa")</f>
        <v>Phường Quảng Phú - Tỉnh Thanh Hóa</v>
      </c>
      <c r="L423" s="7" t="str">
        <f>IFERROR(__xludf.DUMMYFUNCTION("""COMPUTED_VALUE"""),"0388264445")</f>
        <v>0388264445</v>
      </c>
      <c r="M423" s="7" t="str">
        <f>IFERROR(__xludf.DUMMYFUNCTION("""COMPUTED_VALUE"""),"038092045978")</f>
        <v>038092045978</v>
      </c>
      <c r="N423" s="17">
        <f>IFERROR(__xludf.DUMMYFUNCTION("""COMPUTED_VALUE"""),44422.0)</f>
        <v>44422</v>
      </c>
      <c r="O423" s="7" t="str">
        <f>IFERROR(__xludf.DUMMYFUNCTION("""COMPUTED_VALUE"""),"Cục Cảnh sát QLHC về TTXH")</f>
        <v>Cục Cảnh sát QLHC về TTXH</v>
      </c>
      <c r="P423" s="7" t="str">
        <f>IFERROR(__xludf.DUMMYFUNCTION("""COMPUTED_VALUE"""),"LĐPT")</f>
        <v>LĐPT</v>
      </c>
      <c r="Q423" s="7" t="str">
        <f>IFERROR(__xludf.DUMMYFUNCTION("""COMPUTED_VALUE"""),"Lao động phổ thông")</f>
        <v>Lao động phổ thông</v>
      </c>
      <c r="R423" s="17">
        <f>IFERROR(__xludf.DUMMYFUNCTION("""COMPUTED_VALUE"""),42063.0)</f>
        <v>42063</v>
      </c>
      <c r="S423" s="17">
        <f>IFERROR(__xludf.DUMMYFUNCTION("""COMPUTED_VALUE"""),42063.0)</f>
        <v>42063</v>
      </c>
      <c r="T423" s="7" t="str">
        <f>IFERROR(__xludf.DUMMYFUNCTION("""COMPUTED_VALUE"""),"Chính thức")</f>
        <v>Chính thức</v>
      </c>
      <c r="U423" s="7"/>
      <c r="V423" s="7"/>
      <c r="W423" s="7" t="str">
        <f>IFERROR(__xludf.DUMMYFUNCTION("""COMPUTED_VALUE"""),"10 năm 10 tháng")</f>
        <v>10 năm 10 tháng</v>
      </c>
      <c r="X423" s="7"/>
      <c r="Y423" s="7"/>
      <c r="Z423" s="7"/>
    </row>
    <row r="424">
      <c r="A424" s="21" t="str">
        <f>IFERROR(__xludf.DUMMYFUNCTION("""COMPUTED_VALUE"""),"9")</f>
        <v>9</v>
      </c>
      <c r="B424" s="7" t="str">
        <f>IFERROR(__xludf.DUMMYFUNCTION("""COMPUTED_VALUE"""),"PXSX1")</f>
        <v>PXSX1</v>
      </c>
      <c r="C424" s="7" t="str">
        <f>IFERROR(__xludf.DUMMYFUNCTION("""COMPUTED_VALUE"""),"Bộ phận nung và hoàn thiện sản phẩm")</f>
        <v>Bộ phận nung và hoàn thiện sản phẩm</v>
      </c>
      <c r="D424" s="7" t="str">
        <f>IFERROR(__xludf.DUMMYFUNCTION("""COMPUTED_VALUE"""),"Dây chuyền Mài Ca A")</f>
        <v>Dây chuyền Mài Ca A</v>
      </c>
      <c r="E424" s="7" t="str">
        <f>IFERROR(__xludf.DUMMYFUNCTION("""COMPUTED_VALUE"""),"Vận hành chính máy mài cạnh")</f>
        <v>Vận hành chính máy mài cạnh</v>
      </c>
      <c r="F424" s="7" t="str">
        <f>IFERROR(__xludf.DUMMYFUNCTION("""COMPUTED_VALUE"""),"NV0258")</f>
        <v>NV0258</v>
      </c>
      <c r="G424" s="7">
        <f>IFERROR(__xludf.DUMMYFUNCTION("""COMPUTED_VALUE"""),253.0)</f>
        <v>253</v>
      </c>
      <c r="H424" s="7" t="str">
        <f>IFERROR(__xludf.DUMMYFUNCTION("""COMPUTED_VALUE"""),"Lê Ngọc Trường")</f>
        <v>Lê Ngọc Trường</v>
      </c>
      <c r="I424" s="7" t="str">
        <f>IFERROR(__xludf.DUMMYFUNCTION("""COMPUTED_VALUE"""),"Nam")</f>
        <v>Nam</v>
      </c>
      <c r="J424" s="17">
        <f>IFERROR(__xludf.DUMMYFUNCTION("""COMPUTED_VALUE"""),33895.0)</f>
        <v>33895</v>
      </c>
      <c r="K424" s="7" t="str">
        <f>IFERROR(__xludf.DUMMYFUNCTION("""COMPUTED_VALUE"""),"Phường Quảng Phú - Tỉnh Thanh Hóa")</f>
        <v>Phường Quảng Phú - Tỉnh Thanh Hóa</v>
      </c>
      <c r="L424" s="7" t="str">
        <f>IFERROR(__xludf.DUMMYFUNCTION("""COMPUTED_VALUE"""),"0345213186")</f>
        <v>0345213186</v>
      </c>
      <c r="M424" s="7" t="str">
        <f>IFERROR(__xludf.DUMMYFUNCTION("""COMPUTED_VALUE"""),"038088013737")</f>
        <v>038088013737</v>
      </c>
      <c r="N424" s="17">
        <f>IFERROR(__xludf.DUMMYFUNCTION("""COMPUTED_VALUE"""),44272.0)</f>
        <v>44272</v>
      </c>
      <c r="O424" s="7" t="str">
        <f>IFERROR(__xludf.DUMMYFUNCTION("""COMPUTED_VALUE"""),"Cục Cảnh sát QLHC về TTXH")</f>
        <v>Cục Cảnh sát QLHC về TTXH</v>
      </c>
      <c r="P424" s="7" t="str">
        <f>IFERROR(__xludf.DUMMYFUNCTION("""COMPUTED_VALUE"""),"LĐPT")</f>
        <v>LĐPT</v>
      </c>
      <c r="Q424" s="7" t="str">
        <f>IFERROR(__xludf.DUMMYFUNCTION("""COMPUTED_VALUE"""),"Lao động phổ thông")</f>
        <v>Lao động phổ thông</v>
      </c>
      <c r="R424" s="17">
        <f>IFERROR(__xludf.DUMMYFUNCTION("""COMPUTED_VALUE"""),42063.0)</f>
        <v>42063</v>
      </c>
      <c r="S424" s="17">
        <f>IFERROR(__xludf.DUMMYFUNCTION("""COMPUTED_VALUE"""),42063.0)</f>
        <v>42063</v>
      </c>
      <c r="T424" s="7" t="str">
        <f>IFERROR(__xludf.DUMMYFUNCTION("""COMPUTED_VALUE"""),"Chính thức")</f>
        <v>Chính thức</v>
      </c>
      <c r="U424" s="7"/>
      <c r="V424" s="7"/>
      <c r="W424" s="7" t="str">
        <f>IFERROR(__xludf.DUMMYFUNCTION("""COMPUTED_VALUE"""),"10 năm 10 tháng")</f>
        <v>10 năm 10 tháng</v>
      </c>
      <c r="X424" s="7"/>
      <c r="Y424" s="7"/>
      <c r="Z424" s="7"/>
    </row>
    <row r="425">
      <c r="A425" s="21" t="str">
        <f>IFERROR(__xludf.DUMMYFUNCTION("""COMPUTED_VALUE"""),"10")</f>
        <v>10</v>
      </c>
      <c r="B425" s="7" t="str">
        <f>IFERROR(__xludf.DUMMYFUNCTION("""COMPUTED_VALUE"""),"PXSX1")</f>
        <v>PXSX1</v>
      </c>
      <c r="C425" s="7" t="str">
        <f>IFERROR(__xludf.DUMMYFUNCTION("""COMPUTED_VALUE"""),"Bộ phận nung và hoàn thiện sản phẩm")</f>
        <v>Bộ phận nung và hoàn thiện sản phẩm</v>
      </c>
      <c r="D425" s="7" t="str">
        <f>IFERROR(__xludf.DUMMYFUNCTION("""COMPUTED_VALUE"""),"Dây chuyền Mài Ca A")</f>
        <v>Dây chuyền Mài Ca A</v>
      </c>
      <c r="E425" s="7" t="str">
        <f>IFERROR(__xludf.DUMMYFUNCTION("""COMPUTED_VALUE"""),"Vận hành máy mài cạnh mức 1")</f>
        <v>Vận hành máy mài cạnh mức 1</v>
      </c>
      <c r="F425" s="7" t="str">
        <f>IFERROR(__xludf.DUMMYFUNCTION("""COMPUTED_VALUE"""),"NV3910")</f>
        <v>NV3910</v>
      </c>
      <c r="G425" s="7">
        <f>IFERROR(__xludf.DUMMYFUNCTION("""COMPUTED_VALUE"""),271.0)</f>
        <v>271</v>
      </c>
      <c r="H425" s="7" t="str">
        <f>IFERROR(__xludf.DUMMYFUNCTION("""COMPUTED_VALUE"""),"Uông Ngọc Quang")</f>
        <v>Uông Ngọc Quang</v>
      </c>
      <c r="I425" s="7" t="str">
        <f>IFERROR(__xludf.DUMMYFUNCTION("""COMPUTED_VALUE"""),"Nam")</f>
        <v>Nam</v>
      </c>
      <c r="J425" s="17">
        <f>IFERROR(__xludf.DUMMYFUNCTION("""COMPUTED_VALUE"""),34627.0)</f>
        <v>34627</v>
      </c>
      <c r="K425" s="7" t="str">
        <f>IFERROR(__xludf.DUMMYFUNCTION("""COMPUTED_VALUE"""),"Xã Quảng Bình - Tỉnh Thanh Hóa")</f>
        <v>Xã Quảng Bình - Tỉnh Thanh Hóa</v>
      </c>
      <c r="L425" s="7" t="str">
        <f>IFERROR(__xludf.DUMMYFUNCTION("""COMPUTED_VALUE"""),"0918408044")</f>
        <v>0918408044</v>
      </c>
      <c r="M425" s="7" t="str">
        <f>IFERROR(__xludf.DUMMYFUNCTION("""COMPUTED_VALUE"""),"038094007868")</f>
        <v>038094007868</v>
      </c>
      <c r="N425" s="17">
        <f>IFERROR(__xludf.DUMMYFUNCTION("""COMPUTED_VALUE"""),43180.0)</f>
        <v>43180</v>
      </c>
      <c r="O425" s="7" t="str">
        <f>IFERROR(__xludf.DUMMYFUNCTION("""COMPUTED_VALUE"""),"Cục Cảnh sát QLHC về TTXH")</f>
        <v>Cục Cảnh sát QLHC về TTXH</v>
      </c>
      <c r="P425" s="7" t="str">
        <f>IFERROR(__xludf.DUMMYFUNCTION("""COMPUTED_VALUE"""),"LĐPT")</f>
        <v>LĐPT</v>
      </c>
      <c r="Q425" s="7" t="str">
        <f>IFERROR(__xludf.DUMMYFUNCTION("""COMPUTED_VALUE"""),"Lao động phổ thông")</f>
        <v>Lao động phổ thông</v>
      </c>
      <c r="R425" s="17">
        <f>IFERROR(__xludf.DUMMYFUNCTION("""COMPUTED_VALUE"""),44205.0)</f>
        <v>44205</v>
      </c>
      <c r="S425" s="17">
        <f>IFERROR(__xludf.DUMMYFUNCTION("""COMPUTED_VALUE"""),44805.0)</f>
        <v>44805</v>
      </c>
      <c r="T425" s="7" t="str">
        <f>IFERROR(__xludf.DUMMYFUNCTION("""COMPUTED_VALUE"""),"Chính thức")</f>
        <v>Chính thức</v>
      </c>
      <c r="U425" s="7"/>
      <c r="V425" s="7"/>
      <c r="W425" s="7" t="str">
        <f>IFERROR(__xludf.DUMMYFUNCTION("""COMPUTED_VALUE"""),"4 năm 11 tháng")</f>
        <v>4 năm 11 tháng</v>
      </c>
      <c r="X425" s="7"/>
      <c r="Y425" s="7"/>
      <c r="Z425" s="7"/>
    </row>
    <row r="426">
      <c r="A426" s="21" t="str">
        <f>IFERROR(__xludf.DUMMYFUNCTION("""COMPUTED_VALUE"""),"11")</f>
        <v>11</v>
      </c>
      <c r="B426" s="7" t="str">
        <f>IFERROR(__xludf.DUMMYFUNCTION("""COMPUTED_VALUE"""),"PXSX1")</f>
        <v>PXSX1</v>
      </c>
      <c r="C426" s="7" t="str">
        <f>IFERROR(__xludf.DUMMYFUNCTION("""COMPUTED_VALUE"""),"Bộ phận nung và hoàn thiện sản phẩm")</f>
        <v>Bộ phận nung và hoàn thiện sản phẩm</v>
      </c>
      <c r="D426" s="7" t="str">
        <f>IFERROR(__xludf.DUMMYFUNCTION("""COMPUTED_VALUE"""),"Dây chuyền Mài Ca A")</f>
        <v>Dây chuyền Mài Ca A</v>
      </c>
      <c r="E426" s="7" t="str">
        <f>IFERROR(__xludf.DUMMYFUNCTION("""COMPUTED_VALUE"""),"Vận hành máy mài mặt Mức 1")</f>
        <v>Vận hành máy mài mặt Mức 1</v>
      </c>
      <c r="F426" s="7" t="str">
        <f>IFERROR(__xludf.DUMMYFUNCTION("""COMPUTED_VALUE"""),"NV1584")</f>
        <v>NV1584</v>
      </c>
      <c r="G426" s="7">
        <f>IFERROR(__xludf.DUMMYFUNCTION("""COMPUTED_VALUE"""),259.0)</f>
        <v>259</v>
      </c>
      <c r="H426" s="7" t="str">
        <f>IFERROR(__xludf.DUMMYFUNCTION("""COMPUTED_VALUE"""),"Phạm Văn Long")</f>
        <v>Phạm Văn Long</v>
      </c>
      <c r="I426" s="7" t="str">
        <f>IFERROR(__xludf.DUMMYFUNCTION("""COMPUTED_VALUE"""),"Nam")</f>
        <v>Nam</v>
      </c>
      <c r="J426" s="17">
        <f>IFERROR(__xludf.DUMMYFUNCTION("""COMPUTED_VALUE"""),35446.0)</f>
        <v>35446</v>
      </c>
      <c r="K426" s="7" t="str">
        <f>IFERROR(__xludf.DUMMYFUNCTION("""COMPUTED_VALUE"""),"Phường Quảng Phú - Tỉnh Thanh Hóa")</f>
        <v>Phường Quảng Phú - Tỉnh Thanh Hóa</v>
      </c>
      <c r="L426" s="7" t="str">
        <f>IFERROR(__xludf.DUMMYFUNCTION("""COMPUTED_VALUE"""),"0354186656")</f>
        <v>0354186656</v>
      </c>
      <c r="M426" s="7" t="str">
        <f>IFERROR(__xludf.DUMMYFUNCTION("""COMPUTED_VALUE"""),"038097011367")</f>
        <v>038097011367</v>
      </c>
      <c r="N426" s="17">
        <f>IFERROR(__xludf.DUMMYFUNCTION("""COMPUTED_VALUE"""),44419.0)</f>
        <v>44419</v>
      </c>
      <c r="O426" s="7" t="str">
        <f>IFERROR(__xludf.DUMMYFUNCTION("""COMPUTED_VALUE"""),"Cục Cảnh sát QLHC về TTXH")</f>
        <v>Cục Cảnh sát QLHC về TTXH</v>
      </c>
      <c r="P426" s="7" t="str">
        <f>IFERROR(__xludf.DUMMYFUNCTION("""COMPUTED_VALUE"""),"LĐPT")</f>
        <v>LĐPT</v>
      </c>
      <c r="Q426" s="7" t="str">
        <f>IFERROR(__xludf.DUMMYFUNCTION("""COMPUTED_VALUE"""),"Lao động phổ thông")</f>
        <v>Lao động phổ thông</v>
      </c>
      <c r="R426" s="17">
        <f>IFERROR(__xludf.DUMMYFUNCTION("""COMPUTED_VALUE"""),44643.0)</f>
        <v>44643</v>
      </c>
      <c r="S426" s="17">
        <f>IFERROR(__xludf.DUMMYFUNCTION("""COMPUTED_VALUE"""),45017.0)</f>
        <v>45017</v>
      </c>
      <c r="T426" s="7" t="str">
        <f>IFERROR(__xludf.DUMMYFUNCTION("""COMPUTED_VALUE"""),"Chính thức")</f>
        <v>Chính thức</v>
      </c>
      <c r="U426" s="7"/>
      <c r="V426" s="7"/>
      <c r="W426" s="7" t="str">
        <f>IFERROR(__xludf.DUMMYFUNCTION("""COMPUTED_VALUE"""),"3 năm 9 tháng")</f>
        <v>3 năm 9 tháng</v>
      </c>
      <c r="X426" s="7"/>
      <c r="Y426" s="7"/>
      <c r="Z426" s="7"/>
    </row>
    <row r="427">
      <c r="A427" s="21" t="str">
        <f>IFERROR(__xludf.DUMMYFUNCTION("""COMPUTED_VALUE"""),"12")</f>
        <v>12</v>
      </c>
      <c r="B427" s="7" t="str">
        <f>IFERROR(__xludf.DUMMYFUNCTION("""COMPUTED_VALUE"""),"PXSX1")</f>
        <v>PXSX1</v>
      </c>
      <c r="C427" s="7" t="str">
        <f>IFERROR(__xludf.DUMMYFUNCTION("""COMPUTED_VALUE"""),"Bộ phận nung và hoàn thiện sản phẩm")</f>
        <v>Bộ phận nung và hoàn thiện sản phẩm</v>
      </c>
      <c r="D427" s="7" t="str">
        <f>IFERROR(__xludf.DUMMYFUNCTION("""COMPUTED_VALUE"""),"Dây chuyền Mài Ca A")</f>
        <v>Dây chuyền Mài Ca A</v>
      </c>
      <c r="E427" s="7" t="str">
        <f>IFERROR(__xludf.DUMMYFUNCTION("""COMPUTED_VALUE"""),"Đầu rải DC1")</f>
        <v>Đầu rải DC1</v>
      </c>
      <c r="F427" s="7" t="str">
        <f>IFERROR(__xludf.DUMMYFUNCTION("""COMPUTED_VALUE"""),"NV2648")</f>
        <v>NV2648</v>
      </c>
      <c r="G427" s="7">
        <f>IFERROR(__xludf.DUMMYFUNCTION("""COMPUTED_VALUE"""),590.0)</f>
        <v>590</v>
      </c>
      <c r="H427" s="7" t="str">
        <f>IFERROR(__xludf.DUMMYFUNCTION("""COMPUTED_VALUE"""),"Nguyễn Thế Dũng")</f>
        <v>Nguyễn Thế Dũng</v>
      </c>
      <c r="I427" s="7" t="str">
        <f>IFERROR(__xludf.DUMMYFUNCTION("""COMPUTED_VALUE"""),"Nam")</f>
        <v>Nam</v>
      </c>
      <c r="J427" s="17">
        <f>IFERROR(__xludf.DUMMYFUNCTION("""COMPUTED_VALUE"""),36413.0)</f>
        <v>36413</v>
      </c>
      <c r="K427" s="7" t="str">
        <f>IFERROR(__xludf.DUMMYFUNCTION("""COMPUTED_VALUE"""),"K26 Chợ Đình - Phường Hàm Rồng - Tỉnh Thanh Hóa")</f>
        <v>K26 Chợ Đình - Phường Hàm Rồng - Tỉnh Thanh Hóa</v>
      </c>
      <c r="L427" s="7" t="str">
        <f>IFERROR(__xludf.DUMMYFUNCTION("""COMPUTED_VALUE"""),"0916943962")</f>
        <v>0916943962</v>
      </c>
      <c r="M427" s="7" t="str">
        <f>IFERROR(__xludf.DUMMYFUNCTION("""COMPUTED_VALUE"""),"038099005537")</f>
        <v>038099005537</v>
      </c>
      <c r="N427" s="17">
        <f>IFERROR(__xludf.DUMMYFUNCTION("""COMPUTED_VALUE"""),44453.0)</f>
        <v>44453</v>
      </c>
      <c r="O427" s="7" t="str">
        <f>IFERROR(__xludf.DUMMYFUNCTION("""COMPUTED_VALUE"""),"Cục Cảnh sát QLHC về TTXH")</f>
        <v>Cục Cảnh sát QLHC về TTXH</v>
      </c>
      <c r="P427" s="7" t="str">
        <f>IFERROR(__xludf.DUMMYFUNCTION("""COMPUTED_VALUE"""),"LĐPT")</f>
        <v>LĐPT</v>
      </c>
      <c r="Q427" s="7" t="str">
        <f>IFERROR(__xludf.DUMMYFUNCTION("""COMPUTED_VALUE"""),"Lao động phổ thông")</f>
        <v>Lao động phổ thông</v>
      </c>
      <c r="R427" s="17">
        <f>IFERROR(__xludf.DUMMYFUNCTION("""COMPUTED_VALUE"""),43791.0)</f>
        <v>43791</v>
      </c>
      <c r="S427" s="17">
        <f>IFERROR(__xludf.DUMMYFUNCTION("""COMPUTED_VALUE"""),44105.0)</f>
        <v>44105</v>
      </c>
      <c r="T427" s="7" t="str">
        <f>IFERROR(__xludf.DUMMYFUNCTION("""COMPUTED_VALUE"""),"Chính thức")</f>
        <v>Chính thức</v>
      </c>
      <c r="U427" s="7"/>
      <c r="V427" s="7"/>
      <c r="W427" s="7" t="str">
        <f>IFERROR(__xludf.DUMMYFUNCTION("""COMPUTED_VALUE"""),"6 năm 1 tháng")</f>
        <v>6 năm 1 tháng</v>
      </c>
      <c r="X427" s="7"/>
      <c r="Y427" s="7"/>
      <c r="Z427" s="7"/>
    </row>
    <row r="428">
      <c r="A428" s="21" t="str">
        <f>IFERROR(__xludf.DUMMYFUNCTION("""COMPUTED_VALUE"""),"13")</f>
        <v>13</v>
      </c>
      <c r="B428" s="7" t="str">
        <f>IFERROR(__xludf.DUMMYFUNCTION("""COMPUTED_VALUE"""),"PXSX1")</f>
        <v>PXSX1</v>
      </c>
      <c r="C428" s="7" t="str">
        <f>IFERROR(__xludf.DUMMYFUNCTION("""COMPUTED_VALUE"""),"Bộ phận nung và hoàn thiện sản phẩm")</f>
        <v>Bộ phận nung và hoàn thiện sản phẩm</v>
      </c>
      <c r="D428" s="7" t="str">
        <f>IFERROR(__xludf.DUMMYFUNCTION("""COMPUTED_VALUE"""),"Dây chuyền Mài Ca A")</f>
        <v>Dây chuyền Mài Ca A</v>
      </c>
      <c r="E428" s="7" t="str">
        <f>IFERROR(__xludf.DUMMYFUNCTION("""COMPUTED_VALUE"""),"VH Chính máy Nano DC2")</f>
        <v>VH Chính máy Nano DC2</v>
      </c>
      <c r="F428" s="7" t="str">
        <f>IFERROR(__xludf.DUMMYFUNCTION("""COMPUTED_VALUE"""),"NV3722")</f>
        <v>NV3722</v>
      </c>
      <c r="G428" s="7">
        <f>IFERROR(__xludf.DUMMYFUNCTION("""COMPUTED_VALUE"""),859.0)</f>
        <v>859</v>
      </c>
      <c r="H428" s="7" t="str">
        <f>IFERROR(__xludf.DUMMYFUNCTION("""COMPUTED_VALUE"""),"HOàng Văn Cường")</f>
        <v>HOàng Văn Cường</v>
      </c>
      <c r="I428" s="7" t="str">
        <f>IFERROR(__xludf.DUMMYFUNCTION("""COMPUTED_VALUE"""),"Nam")</f>
        <v>Nam</v>
      </c>
      <c r="J428" s="17">
        <f>IFERROR(__xludf.DUMMYFUNCTION("""COMPUTED_VALUE"""),36546.0)</f>
        <v>36546</v>
      </c>
      <c r="K428" s="7" t="str">
        <f>IFERROR(__xludf.DUMMYFUNCTION("""COMPUTED_VALUE"""),"Xã Hoằng Sơn - Tỉnh Thanh Hóa")</f>
        <v>Xã Hoằng Sơn - Tỉnh Thanh Hóa</v>
      </c>
      <c r="L428" s="7" t="str">
        <f>IFERROR(__xludf.DUMMYFUNCTION("""COMPUTED_VALUE"""),"0328961698")</f>
        <v>0328961698</v>
      </c>
      <c r="M428" s="7" t="str">
        <f>IFERROR(__xludf.DUMMYFUNCTION("""COMPUTED_VALUE"""),"038200014155")</f>
        <v>038200014155</v>
      </c>
      <c r="N428" s="17">
        <f>IFERROR(__xludf.DUMMYFUNCTION("""COMPUTED_VALUE"""),44568.0)</f>
        <v>44568</v>
      </c>
      <c r="O428" s="7" t="str">
        <f>IFERROR(__xludf.DUMMYFUNCTION("""COMPUTED_VALUE"""),"Cục Cảnh sát QLHC về TTXH")</f>
        <v>Cục Cảnh sát QLHC về TTXH</v>
      </c>
      <c r="P428" s="7" t="str">
        <f>IFERROR(__xludf.DUMMYFUNCTION("""COMPUTED_VALUE"""),"Cao đẳng")</f>
        <v>Cao đẳng</v>
      </c>
      <c r="Q428" s="7" t="str">
        <f>IFERROR(__xludf.DUMMYFUNCTION("""COMPUTED_VALUE"""),"điện công nghiệp")</f>
        <v>điện công nghiệp</v>
      </c>
      <c r="R428" s="17">
        <f>IFERROR(__xludf.DUMMYFUNCTION("""COMPUTED_VALUE"""),44363.0)</f>
        <v>44363</v>
      </c>
      <c r="S428" s="17">
        <f>IFERROR(__xludf.DUMMYFUNCTION("""COMPUTED_VALUE"""),44652.0)</f>
        <v>44652</v>
      </c>
      <c r="T428" s="7" t="str">
        <f>IFERROR(__xludf.DUMMYFUNCTION("""COMPUTED_VALUE"""),"Chính thức")</f>
        <v>Chính thức</v>
      </c>
      <c r="U428" s="7"/>
      <c r="V428" s="7"/>
      <c r="W428" s="7" t="str">
        <f>IFERROR(__xludf.DUMMYFUNCTION("""COMPUTED_VALUE"""),"4 năm 6 tháng")</f>
        <v>4 năm 6 tháng</v>
      </c>
      <c r="X428" s="7"/>
      <c r="Y428" s="7"/>
      <c r="Z428" s="7"/>
    </row>
    <row r="429">
      <c r="A429" s="21" t="str">
        <f>IFERROR(__xludf.DUMMYFUNCTION("""COMPUTED_VALUE"""),"14")</f>
        <v>14</v>
      </c>
      <c r="B429" s="7" t="str">
        <f>IFERROR(__xludf.DUMMYFUNCTION("""COMPUTED_VALUE"""),"PXSX1")</f>
        <v>PXSX1</v>
      </c>
      <c r="C429" s="7" t="str">
        <f>IFERROR(__xludf.DUMMYFUNCTION("""COMPUTED_VALUE"""),"Bộ phận nung và hoàn thiện sản phẩm")</f>
        <v>Bộ phận nung và hoàn thiện sản phẩm</v>
      </c>
      <c r="D429" s="7" t="str">
        <f>IFERROR(__xludf.DUMMYFUNCTION("""COMPUTED_VALUE"""),"Dây chuyền Mài Ca A")</f>
        <v>Dây chuyền Mài Ca A</v>
      </c>
      <c r="E429" s="7" t="str">
        <f>IFERROR(__xludf.DUMMYFUNCTION("""COMPUTED_VALUE"""),"Vận hành máy mài mặt Mức 1")</f>
        <v>Vận hành máy mài mặt Mức 1</v>
      </c>
      <c r="F429" s="7" t="str">
        <f>IFERROR(__xludf.DUMMYFUNCTION("""COMPUTED_VALUE"""),"NV4624")</f>
        <v>NV4624</v>
      </c>
      <c r="G429" s="7">
        <f>IFERROR(__xludf.DUMMYFUNCTION("""COMPUTED_VALUE"""),306.0)</f>
        <v>306</v>
      </c>
      <c r="H429" s="7" t="str">
        <f>IFERROR(__xludf.DUMMYFUNCTION("""COMPUTED_VALUE"""),"Vi Văn Thu")</f>
        <v>Vi Văn Thu</v>
      </c>
      <c r="I429" s="7" t="str">
        <f>IFERROR(__xludf.DUMMYFUNCTION("""COMPUTED_VALUE"""),"Nam")</f>
        <v>Nam</v>
      </c>
      <c r="J429" s="17">
        <f>IFERROR(__xludf.DUMMYFUNCTION("""COMPUTED_VALUE"""),37521.0)</f>
        <v>37521</v>
      </c>
      <c r="K429" s="7" t="str">
        <f>IFERROR(__xludf.DUMMYFUNCTION("""COMPUTED_VALUE"""),"Hữu Kiện- Sơn Kỳ - Nghệ An")</f>
        <v>Hữu Kiện- Sơn Kỳ - Nghệ An</v>
      </c>
      <c r="L429" s="7" t="str">
        <f>IFERROR(__xludf.DUMMYFUNCTION("""COMPUTED_VALUE"""),"0912688102")</f>
        <v>0912688102</v>
      </c>
      <c r="M429" s="7" t="str">
        <f>IFERROR(__xludf.DUMMYFUNCTION("""COMPUTED_VALUE"""),"040202006180")</f>
        <v>040202006180</v>
      </c>
      <c r="N429" s="17">
        <f>IFERROR(__xludf.DUMMYFUNCTION("""COMPUTED_VALUE"""),44379.0)</f>
        <v>44379</v>
      </c>
      <c r="O429" s="7" t="str">
        <f>IFERROR(__xludf.DUMMYFUNCTION("""COMPUTED_VALUE"""),"Cục Cảnh sát QLHC về TTXH")</f>
        <v>Cục Cảnh sát QLHC về TTXH</v>
      </c>
      <c r="P429" s="7" t="str">
        <f>IFERROR(__xludf.DUMMYFUNCTION("""COMPUTED_VALUE"""),"Trung cấp -  nghề")</f>
        <v>Trung cấp -  nghề</v>
      </c>
      <c r="Q429" s="7" t="str">
        <f>IFERROR(__xludf.DUMMYFUNCTION("""COMPUTED_VALUE"""),"khai thác tàu biển")</f>
        <v>khai thác tàu biển</v>
      </c>
      <c r="R429" s="17">
        <f>IFERROR(__xludf.DUMMYFUNCTION("""COMPUTED_VALUE"""),45444.0)</f>
        <v>45444</v>
      </c>
      <c r="S429" s="17">
        <f>IFERROR(__xludf.DUMMYFUNCTION("""COMPUTED_VALUE"""),45047.0)</f>
        <v>45047</v>
      </c>
      <c r="T429" s="7" t="str">
        <f>IFERROR(__xludf.DUMMYFUNCTION("""COMPUTED_VALUE"""),"Chính thức")</f>
        <v>Chính thức</v>
      </c>
      <c r="U429" s="7"/>
      <c r="V429" s="7"/>
      <c r="W429" s="7" t="str">
        <f>IFERROR(__xludf.DUMMYFUNCTION("""COMPUTED_VALUE"""),"1 năm 6 tháng")</f>
        <v>1 năm 6 tháng</v>
      </c>
      <c r="X429" s="7"/>
      <c r="Y429" s="7"/>
      <c r="Z429" s="7"/>
    </row>
    <row r="430">
      <c r="A430" s="21" t="str">
        <f>IFERROR(__xludf.DUMMYFUNCTION("""COMPUTED_VALUE"""),"15")</f>
        <v>15</v>
      </c>
      <c r="B430" s="7" t="str">
        <f>IFERROR(__xludf.DUMMYFUNCTION("""COMPUTED_VALUE"""),"PXSX1")</f>
        <v>PXSX1</v>
      </c>
      <c r="C430" s="7" t="str">
        <f>IFERROR(__xludf.DUMMYFUNCTION("""COMPUTED_VALUE"""),"Bộ phận nung và hoàn thiện sản phẩm")</f>
        <v>Bộ phận nung và hoàn thiện sản phẩm</v>
      </c>
      <c r="D430" s="7" t="str">
        <f>IFERROR(__xludf.DUMMYFUNCTION("""COMPUTED_VALUE"""),"Dây chuyền Mài Ca A")</f>
        <v>Dây chuyền Mài Ca A</v>
      </c>
      <c r="E430" s="7" t="str">
        <f>IFERROR(__xludf.DUMMYFUNCTION("""COMPUTED_VALUE"""),"Đầu rải DC1")</f>
        <v>Đầu rải DC1</v>
      </c>
      <c r="F430" s="7" t="str">
        <f>IFERROR(__xludf.DUMMYFUNCTION("""COMPUTED_VALUE"""),"NV5767")</f>
        <v>NV5767</v>
      </c>
      <c r="G430" s="7">
        <f>IFERROR(__xludf.DUMMYFUNCTION("""COMPUTED_VALUE"""),1248.0)</f>
        <v>1248</v>
      </c>
      <c r="H430" s="7" t="str">
        <f>IFERROR(__xludf.DUMMYFUNCTION("""COMPUTED_VALUE"""),"Nguyễn Bá Nghiêm")</f>
        <v>Nguyễn Bá Nghiêm</v>
      </c>
      <c r="I430" s="7" t="str">
        <f>IFERROR(__xludf.DUMMYFUNCTION("""COMPUTED_VALUE"""),"Nam")</f>
        <v>Nam</v>
      </c>
      <c r="J430" s="17">
        <f>IFERROR(__xludf.DUMMYFUNCTION("""COMPUTED_VALUE"""),32551.0)</f>
        <v>32551</v>
      </c>
      <c r="K430" s="7" t="str">
        <f>IFERROR(__xludf.DUMMYFUNCTION("""COMPUTED_VALUE"""),"Phố Hưng Long - Phường Quảng Phú - Tỉnh Thanh Hóa")</f>
        <v>Phố Hưng Long - Phường Quảng Phú - Tỉnh Thanh Hóa</v>
      </c>
      <c r="L430" s="7" t="str">
        <f>IFERROR(__xludf.DUMMYFUNCTION("""COMPUTED_VALUE"""),"0814616889")</f>
        <v>0814616889</v>
      </c>
      <c r="M430" s="7" t="str">
        <f>IFERROR(__xludf.DUMMYFUNCTION("""COMPUTED_VALUE"""),"038089024240")</f>
        <v>038089024240</v>
      </c>
      <c r="N430" s="17">
        <f>IFERROR(__xludf.DUMMYFUNCTION("""COMPUTED_VALUE"""),44317.0)</f>
        <v>44317</v>
      </c>
      <c r="O430" s="7" t="str">
        <f>IFERROR(__xludf.DUMMYFUNCTION("""COMPUTED_VALUE"""),"Cục Cảnh sát QLHC về TTXH")</f>
        <v>Cục Cảnh sát QLHC về TTXH</v>
      </c>
      <c r="P430" s="7" t="str">
        <f>IFERROR(__xludf.DUMMYFUNCTION("""COMPUTED_VALUE"""),"LĐPT")</f>
        <v>LĐPT</v>
      </c>
      <c r="Q430" s="7" t="str">
        <f>IFERROR(__xludf.DUMMYFUNCTION("""COMPUTED_VALUE"""),"Lao động phổ thông")</f>
        <v>Lao động phổ thông</v>
      </c>
      <c r="R430" s="17">
        <f>IFERROR(__xludf.DUMMYFUNCTION("""COMPUTED_VALUE"""),45947.0)</f>
        <v>45947</v>
      </c>
      <c r="S430" s="7"/>
      <c r="T430" s="7" t="str">
        <f>IFERROR(__xludf.DUMMYFUNCTION("""COMPUTED_VALUE"""),"Thử việc")</f>
        <v>Thử việc</v>
      </c>
      <c r="U430" s="7"/>
      <c r="V430" s="7" t="str">
        <f>IFERROR(__xludf.DUMMYFUNCTION("""COMPUTED_VALUE"""),"Thử việc")</f>
        <v>Thử việc</v>
      </c>
      <c r="W430" s="7" t="str">
        <f>IFERROR(__xludf.DUMMYFUNCTION("""COMPUTED_VALUE"""),"0 năm 2 tháng")</f>
        <v>0 năm 2 tháng</v>
      </c>
      <c r="X430" s="7"/>
      <c r="Y430" s="7"/>
      <c r="Z430" s="7"/>
    </row>
    <row r="431">
      <c r="A431" s="21" t="str">
        <f>IFERROR(__xludf.DUMMYFUNCTION("""COMPUTED_VALUE"""),"16")</f>
        <v>16</v>
      </c>
      <c r="B431" s="7" t="str">
        <f>IFERROR(__xludf.DUMMYFUNCTION("""COMPUTED_VALUE"""),"PXSX1")</f>
        <v>PXSX1</v>
      </c>
      <c r="C431" s="7" t="str">
        <f>IFERROR(__xludf.DUMMYFUNCTION("""COMPUTED_VALUE"""),"Bộ phận nung và hoàn thiện sản phẩm")</f>
        <v>Bộ phận nung và hoàn thiện sản phẩm</v>
      </c>
      <c r="D431" s="7" t="str">
        <f>IFERROR(__xludf.DUMMYFUNCTION("""COMPUTED_VALUE"""),"Dây chuyền Mài Ca A")</f>
        <v>Dây chuyền Mài Ca A</v>
      </c>
      <c r="E431" s="7" t="str">
        <f>IFERROR(__xludf.DUMMYFUNCTION("""COMPUTED_VALUE"""),"Đầu rải DC1")</f>
        <v>Đầu rải DC1</v>
      </c>
      <c r="F431" s="7" t="str">
        <f>IFERROR(__xludf.DUMMYFUNCTION("""COMPUTED_VALUE"""),"NV5804")</f>
        <v>NV5804</v>
      </c>
      <c r="G431" s="7">
        <f>IFERROR(__xludf.DUMMYFUNCTION("""COMPUTED_VALUE"""),1286.0)</f>
        <v>1286</v>
      </c>
      <c r="H431" s="7" t="str">
        <f>IFERROR(__xludf.DUMMYFUNCTION("""COMPUTED_VALUE"""),"Nguyễn Tuấn Anh")</f>
        <v>Nguyễn Tuấn Anh</v>
      </c>
      <c r="I431" s="7" t="str">
        <f>IFERROR(__xludf.DUMMYFUNCTION("""COMPUTED_VALUE"""),"Nam")</f>
        <v>Nam</v>
      </c>
      <c r="J431" s="17">
        <f>IFERROR(__xludf.DUMMYFUNCTION("""COMPUTED_VALUE"""),33739.0)</f>
        <v>33739</v>
      </c>
      <c r="K431" s="7" t="str">
        <f>IFERROR(__xludf.DUMMYFUNCTION("""COMPUTED_VALUE"""),"Phố Tân Hạnh - Phường Đông Sơn - Tỉnh Thanh Hóa")</f>
        <v>Phố Tân Hạnh - Phường Đông Sơn - Tỉnh Thanh Hóa</v>
      </c>
      <c r="L431" s="7" t="str">
        <f>IFERROR(__xludf.DUMMYFUNCTION("""COMPUTED_VALUE"""),"0911631992")</f>
        <v>0911631992</v>
      </c>
      <c r="M431" s="7" t="str">
        <f>IFERROR(__xludf.DUMMYFUNCTION("""COMPUTED_VALUE"""),"038092048028")</f>
        <v>038092048028</v>
      </c>
      <c r="N431" s="17">
        <f>IFERROR(__xludf.DUMMYFUNCTION("""COMPUTED_VALUE"""),44422.0)</f>
        <v>44422</v>
      </c>
      <c r="O431" s="7" t="str">
        <f>IFERROR(__xludf.DUMMYFUNCTION("""COMPUTED_VALUE"""),"Cục Cảnh sát QLHC về TTXH")</f>
        <v>Cục Cảnh sát QLHC về TTXH</v>
      </c>
      <c r="P431" s="7" t="str">
        <f>IFERROR(__xludf.DUMMYFUNCTION("""COMPUTED_VALUE"""),"LĐPT")</f>
        <v>LĐPT</v>
      </c>
      <c r="Q431" s="7" t="str">
        <f>IFERROR(__xludf.DUMMYFUNCTION("""COMPUTED_VALUE"""),"Lao động phổ thông")</f>
        <v>Lao động phổ thông</v>
      </c>
      <c r="R431" s="17">
        <f>IFERROR(__xludf.DUMMYFUNCTION("""COMPUTED_VALUE"""),45973.0)</f>
        <v>45973</v>
      </c>
      <c r="S431" s="7"/>
      <c r="T431" s="7" t="str">
        <f>IFERROR(__xludf.DUMMYFUNCTION("""COMPUTED_VALUE"""),"Thử việc")</f>
        <v>Thử việc</v>
      </c>
      <c r="U431" s="7"/>
      <c r="V431" s="7" t="str">
        <f>IFERROR(__xludf.DUMMYFUNCTION("""COMPUTED_VALUE"""),"Thử việc")</f>
        <v>Thử việc</v>
      </c>
      <c r="W431" s="7" t="str">
        <f>IFERROR(__xludf.DUMMYFUNCTION("""COMPUTED_VALUE"""),"0 năm 1 tháng")</f>
        <v>0 năm 1 tháng</v>
      </c>
      <c r="X431" s="7"/>
      <c r="Y431" s="7"/>
      <c r="Z431" s="7"/>
    </row>
    <row r="432">
      <c r="A432" s="21" t="str">
        <f>IFERROR(__xludf.DUMMYFUNCTION("""COMPUTED_VALUE"""),"1")</f>
        <v>1</v>
      </c>
      <c r="B432" s="7" t="str">
        <f>IFERROR(__xludf.DUMMYFUNCTION("""COMPUTED_VALUE"""),"PXSX1")</f>
        <v>PXSX1</v>
      </c>
      <c r="C432" s="7" t="str">
        <f>IFERROR(__xludf.DUMMYFUNCTION("""COMPUTED_VALUE"""),"Bộ phận nung và hoàn thiện sản phẩm")</f>
        <v>Bộ phận nung và hoàn thiện sản phẩm</v>
      </c>
      <c r="D432" s="7" t="str">
        <f>IFERROR(__xludf.DUMMYFUNCTION("""COMPUTED_VALUE"""),"Dây chuyền Mài Ca B")</f>
        <v>Dây chuyền Mài Ca B</v>
      </c>
      <c r="E432" s="7" t="str">
        <f>IFERROR(__xludf.DUMMYFUNCTION("""COMPUTED_VALUE"""),"Vận hành chính máy mài cạnh")</f>
        <v>Vận hành chính máy mài cạnh</v>
      </c>
      <c r="F432" s="7" t="str">
        <f>IFERROR(__xludf.DUMMYFUNCTION("""COMPUTED_VALUE"""),"NV3358")</f>
        <v>NV3358</v>
      </c>
      <c r="G432" s="7">
        <f>IFERROR(__xludf.DUMMYFUNCTION("""COMPUTED_VALUE"""),703.0)</f>
        <v>703</v>
      </c>
      <c r="H432" s="7" t="str">
        <f>IFERROR(__xludf.DUMMYFUNCTION("""COMPUTED_VALUE"""),"Trần Văn Hiệu")</f>
        <v>Trần Văn Hiệu</v>
      </c>
      <c r="I432" s="7" t="str">
        <f>IFERROR(__xludf.DUMMYFUNCTION("""COMPUTED_VALUE"""),"Nam")</f>
        <v>Nam</v>
      </c>
      <c r="J432" s="17">
        <f>IFERROR(__xludf.DUMMYFUNCTION("""COMPUTED_VALUE"""),30242.0)</f>
        <v>30242</v>
      </c>
      <c r="K432" s="7" t="str">
        <f>IFERROR(__xludf.DUMMYFUNCTION("""COMPUTED_VALUE"""),"Xã Quảng Ninh - Tỉnh Thanh Hóa")</f>
        <v>Xã Quảng Ninh - Tỉnh Thanh Hóa</v>
      </c>
      <c r="L432" s="7" t="str">
        <f>IFERROR(__xludf.DUMMYFUNCTION("""COMPUTED_VALUE"""),"0328961698")</f>
        <v>0328961698</v>
      </c>
      <c r="M432" s="7" t="str">
        <f>IFERROR(__xludf.DUMMYFUNCTION("""COMPUTED_VALUE"""),"038082003933")</f>
        <v>038082003933</v>
      </c>
      <c r="N432" s="17">
        <f>IFERROR(__xludf.DUMMYFUNCTION("""COMPUTED_VALUE"""),44419.0)</f>
        <v>44419</v>
      </c>
      <c r="O432" s="7" t="str">
        <f>IFERROR(__xludf.DUMMYFUNCTION("""COMPUTED_VALUE"""),"Cục Cảnh sát QLHC về TTXH")</f>
        <v>Cục Cảnh sát QLHC về TTXH</v>
      </c>
      <c r="P432" s="7" t="str">
        <f>IFERROR(__xludf.DUMMYFUNCTION("""COMPUTED_VALUE"""),"LĐPT")</f>
        <v>LĐPT</v>
      </c>
      <c r="Q432" s="7" t="str">
        <f>IFERROR(__xludf.DUMMYFUNCTION("""COMPUTED_VALUE"""),"Lao động phổ thông")</f>
        <v>Lao động phổ thông</v>
      </c>
      <c r="R432" s="17">
        <f>IFERROR(__xludf.DUMMYFUNCTION("""COMPUTED_VALUE"""),44127.0)</f>
        <v>44127</v>
      </c>
      <c r="S432" s="17">
        <f>IFERROR(__xludf.DUMMYFUNCTION("""COMPUTED_VALUE"""),44409.0)</f>
        <v>44409</v>
      </c>
      <c r="T432" s="7" t="str">
        <f>IFERROR(__xludf.DUMMYFUNCTION("""COMPUTED_VALUE"""),"Chính thức")</f>
        <v>Chính thức</v>
      </c>
      <c r="U432" s="7"/>
      <c r="V432" s="7"/>
      <c r="W432" s="7" t="str">
        <f>IFERROR(__xludf.DUMMYFUNCTION("""COMPUTED_VALUE"""),"5 năm 2 tháng")</f>
        <v>5 năm 2 tháng</v>
      </c>
      <c r="X432" s="7"/>
      <c r="Y432" s="7"/>
      <c r="Z432" s="7"/>
    </row>
    <row r="433">
      <c r="A433" s="21" t="str">
        <f>IFERROR(__xludf.DUMMYFUNCTION("""COMPUTED_VALUE"""),"2")</f>
        <v>2</v>
      </c>
      <c r="B433" s="7" t="str">
        <f>IFERROR(__xludf.DUMMYFUNCTION("""COMPUTED_VALUE"""),"PXSX1")</f>
        <v>PXSX1</v>
      </c>
      <c r="C433" s="7" t="str">
        <f>IFERROR(__xludf.DUMMYFUNCTION("""COMPUTED_VALUE"""),"Bộ phận nung và hoàn thiện sản phẩm")</f>
        <v>Bộ phận nung và hoàn thiện sản phẩm</v>
      </c>
      <c r="D433" s="7" t="str">
        <f>IFERROR(__xludf.DUMMYFUNCTION("""COMPUTED_VALUE"""),"Dây chuyền Mài Ca B")</f>
        <v>Dây chuyền Mài Ca B</v>
      </c>
      <c r="E433" s="7" t="str">
        <f>IFERROR(__xludf.DUMMYFUNCTION("""COMPUTED_VALUE"""),"Vận hành đầu rải")</f>
        <v>Vận hành đầu rải</v>
      </c>
      <c r="F433" s="7" t="str">
        <f>IFERROR(__xludf.DUMMYFUNCTION("""COMPUTED_VALUE"""),"NV3376")</f>
        <v>NV3376</v>
      </c>
      <c r="G433" s="7">
        <f>IFERROR(__xludf.DUMMYFUNCTION("""COMPUTED_VALUE"""),837.0)</f>
        <v>837</v>
      </c>
      <c r="H433" s="7" t="str">
        <f>IFERROR(__xludf.DUMMYFUNCTION("""COMPUTED_VALUE"""),"Lê Vạn Tâm ")</f>
        <v>Lê Vạn Tâm </v>
      </c>
      <c r="I433" s="7" t="str">
        <f>IFERROR(__xludf.DUMMYFUNCTION("""COMPUTED_VALUE"""),"Nam")</f>
        <v>Nam</v>
      </c>
      <c r="J433" s="17">
        <f>IFERROR(__xludf.DUMMYFUNCTION("""COMPUTED_VALUE"""),31041.0)</f>
        <v>31041</v>
      </c>
      <c r="K433" s="7" t="str">
        <f>IFERROR(__xludf.DUMMYFUNCTION("""COMPUTED_VALUE"""),"Thắng Sơn - Phường Sầm Sơn - Tỉnh Thanh Hóa ")</f>
        <v>Thắng Sơn - Phường Sầm Sơn - Tỉnh Thanh Hóa </v>
      </c>
      <c r="L433" s="7" t="str">
        <f>IFERROR(__xludf.DUMMYFUNCTION("""COMPUTED_VALUE"""),"0343251284")</f>
        <v>0343251284</v>
      </c>
      <c r="M433" s="7" t="str">
        <f>IFERROR(__xludf.DUMMYFUNCTION("""COMPUTED_VALUE"""),"038084021761")</f>
        <v>038084021761</v>
      </c>
      <c r="N433" s="17">
        <f>IFERROR(__xludf.DUMMYFUNCTION("""COMPUTED_VALUE"""),45666.0)</f>
        <v>45666</v>
      </c>
      <c r="O433" s="7" t="str">
        <f>IFERROR(__xludf.DUMMYFUNCTION("""COMPUTED_VALUE"""),"Cục Cảnh sát QLHC về TTXH")</f>
        <v>Cục Cảnh sát QLHC về TTXH</v>
      </c>
      <c r="P433" s="7" t="str">
        <f>IFERROR(__xludf.DUMMYFUNCTION("""COMPUTED_VALUE"""),"LĐPT")</f>
        <v>LĐPT</v>
      </c>
      <c r="Q433" s="7" t="str">
        <f>IFERROR(__xludf.DUMMYFUNCTION("""COMPUTED_VALUE"""),"Lao động phổ thông")</f>
        <v>Lao động phổ thông</v>
      </c>
      <c r="R433" s="17">
        <f>IFERROR(__xludf.DUMMYFUNCTION("""COMPUTED_VALUE"""),45698.0)</f>
        <v>45698</v>
      </c>
      <c r="S433" s="7"/>
      <c r="T433" s="7" t="str">
        <f>IFERROR(__xludf.DUMMYFUNCTION("""COMPUTED_VALUE"""),"Chính thức")</f>
        <v>Chính thức</v>
      </c>
      <c r="U433" s="7"/>
      <c r="V433" s="7"/>
      <c r="W433" s="7" t="str">
        <f>IFERROR(__xludf.DUMMYFUNCTION("""COMPUTED_VALUE"""),"0 năm 10 tháng")</f>
        <v>0 năm 10 tháng</v>
      </c>
      <c r="X433" s="7"/>
      <c r="Y433" s="7"/>
      <c r="Z433" s="7"/>
    </row>
    <row r="434">
      <c r="A434" s="21" t="str">
        <f>IFERROR(__xludf.DUMMYFUNCTION("""COMPUTED_VALUE"""),"3")</f>
        <v>3</v>
      </c>
      <c r="B434" s="7" t="str">
        <f>IFERROR(__xludf.DUMMYFUNCTION("""COMPUTED_VALUE"""),"PXSX1")</f>
        <v>PXSX1</v>
      </c>
      <c r="C434" s="7" t="str">
        <f>IFERROR(__xludf.DUMMYFUNCTION("""COMPUTED_VALUE"""),"Bộ phận nung và hoàn thiện sản phẩm")</f>
        <v>Bộ phận nung và hoàn thiện sản phẩm</v>
      </c>
      <c r="D434" s="7" t="str">
        <f>IFERROR(__xludf.DUMMYFUNCTION("""COMPUTED_VALUE"""),"Dây chuyền Mài Ca B")</f>
        <v>Dây chuyền Mài Ca B</v>
      </c>
      <c r="E434" s="7" t="str">
        <f>IFERROR(__xludf.DUMMYFUNCTION("""COMPUTED_VALUE"""),"Vận hành chính máy Nano")</f>
        <v>Vận hành chính máy Nano</v>
      </c>
      <c r="F434" s="7" t="str">
        <f>IFERROR(__xludf.DUMMYFUNCTION("""COMPUTED_VALUE"""),"NV4535")</f>
        <v>NV4535</v>
      </c>
      <c r="G434" s="7">
        <f>IFERROR(__xludf.DUMMYFUNCTION("""COMPUTED_VALUE"""),340.0)</f>
        <v>340</v>
      </c>
      <c r="H434" s="7" t="str">
        <f>IFERROR(__xludf.DUMMYFUNCTION("""COMPUTED_VALUE"""),"Lê Như Hiệp")</f>
        <v>Lê Như Hiệp</v>
      </c>
      <c r="I434" s="7" t="str">
        <f>IFERROR(__xludf.DUMMYFUNCTION("""COMPUTED_VALUE"""),"Nam")</f>
        <v>Nam</v>
      </c>
      <c r="J434" s="17">
        <f>IFERROR(__xludf.DUMMYFUNCTION("""COMPUTED_VALUE"""),31080.0)</f>
        <v>31080</v>
      </c>
      <c r="K434" s="7" t="str">
        <f>IFERROR(__xludf.DUMMYFUNCTION("""COMPUTED_VALUE"""),"Khu Minh Hòa - Xã Vạn Lộc - Tỉnh Thanh Hóa")</f>
        <v>Khu Minh Hòa - Xã Vạn Lộc - Tỉnh Thanh Hóa</v>
      </c>
      <c r="L434" s="7" t="str">
        <f>IFERROR(__xludf.DUMMYFUNCTION("""COMPUTED_VALUE"""),"0931351482")</f>
        <v>0931351482</v>
      </c>
      <c r="M434" s="7" t="str">
        <f>IFERROR(__xludf.DUMMYFUNCTION("""COMPUTED_VALUE"""),"038085000666")</f>
        <v>038085000666</v>
      </c>
      <c r="N434" s="17">
        <f>IFERROR(__xludf.DUMMYFUNCTION("""COMPUTED_VALUE"""),44435.0)</f>
        <v>44435</v>
      </c>
      <c r="O434" s="7" t="str">
        <f>IFERROR(__xludf.DUMMYFUNCTION("""COMPUTED_VALUE"""),"Cục Cảnh sát QLHC về TTXH")</f>
        <v>Cục Cảnh sát QLHC về TTXH</v>
      </c>
      <c r="P434" s="7" t="str">
        <f>IFERROR(__xludf.DUMMYFUNCTION("""COMPUTED_VALUE"""),"Cao đẳng")</f>
        <v>Cao đẳng</v>
      </c>
      <c r="Q434" s="7" t="str">
        <f>IFERROR(__xludf.DUMMYFUNCTION("""COMPUTED_VALUE"""),"Điện tử viễn thông")</f>
        <v>Điện tử viễn thông</v>
      </c>
      <c r="R434" s="17">
        <f>IFERROR(__xludf.DUMMYFUNCTION("""COMPUTED_VALUE"""),44958.0)</f>
        <v>44958</v>
      </c>
      <c r="S434" s="17">
        <f>IFERROR(__xludf.DUMMYFUNCTION("""COMPUTED_VALUE"""),45078.0)</f>
        <v>45078</v>
      </c>
      <c r="T434" s="7" t="str">
        <f>IFERROR(__xludf.DUMMYFUNCTION("""COMPUTED_VALUE"""),"Chính thức")</f>
        <v>Chính thức</v>
      </c>
      <c r="U434" s="7"/>
      <c r="V434" s="7"/>
      <c r="W434" s="7" t="str">
        <f>IFERROR(__xludf.DUMMYFUNCTION("""COMPUTED_VALUE"""),"2 năm 10 tháng")</f>
        <v>2 năm 10 tháng</v>
      </c>
      <c r="X434" s="7"/>
      <c r="Y434" s="7"/>
      <c r="Z434" s="7"/>
    </row>
    <row r="435">
      <c r="A435" s="21" t="str">
        <f>IFERROR(__xludf.DUMMYFUNCTION("""COMPUTED_VALUE"""),"4")</f>
        <v>4</v>
      </c>
      <c r="B435" s="7" t="str">
        <f>IFERROR(__xludf.DUMMYFUNCTION("""COMPUTED_VALUE"""),"PXSX1")</f>
        <v>PXSX1</v>
      </c>
      <c r="C435" s="7" t="str">
        <f>IFERROR(__xludf.DUMMYFUNCTION("""COMPUTED_VALUE"""),"Bộ phận nung và hoàn thiện sản phẩm")</f>
        <v>Bộ phận nung và hoàn thiện sản phẩm</v>
      </c>
      <c r="D435" s="7" t="str">
        <f>IFERROR(__xludf.DUMMYFUNCTION("""COMPUTED_VALUE"""),"Dây chuyền Mài Ca B")</f>
        <v>Dây chuyền Mài Ca B</v>
      </c>
      <c r="E435" s="7" t="str">
        <f>IFERROR(__xludf.DUMMYFUNCTION("""COMPUTED_VALUE"""),"Đầu rải DC2")</f>
        <v>Đầu rải DC2</v>
      </c>
      <c r="F435" s="7" t="str">
        <f>IFERROR(__xludf.DUMMYFUNCTION("""COMPUTED_VALUE"""),"NV5456")</f>
        <v>NV5456</v>
      </c>
      <c r="G435" s="7">
        <f>IFERROR(__xludf.DUMMYFUNCTION("""COMPUTED_VALUE"""),448.0)</f>
        <v>448</v>
      </c>
      <c r="H435" s="7" t="str">
        <f>IFERROR(__xludf.DUMMYFUNCTION("""COMPUTED_VALUE"""),"Nguyễn Văn Cường")</f>
        <v>Nguyễn Văn Cường</v>
      </c>
      <c r="I435" s="7" t="str">
        <f>IFERROR(__xludf.DUMMYFUNCTION("""COMPUTED_VALUE"""),"Nam")</f>
        <v>Nam</v>
      </c>
      <c r="J435" s="17">
        <f>IFERROR(__xludf.DUMMYFUNCTION("""COMPUTED_VALUE"""),31528.0)</f>
        <v>31528</v>
      </c>
      <c r="K435" s="7" t="str">
        <f>IFERROR(__xludf.DUMMYFUNCTION("""COMPUTED_VALUE"""),"Bái Trúc - Xã Lưu Vệ - Tỉnh Thanh Hóa ")</f>
        <v>Bái Trúc - Xã Lưu Vệ - Tỉnh Thanh Hóa </v>
      </c>
      <c r="L435" s="7" t="str">
        <f>IFERROR(__xludf.DUMMYFUNCTION("""COMPUTED_VALUE"""),"0964374489")</f>
        <v>0964374489</v>
      </c>
      <c r="M435" s="7" t="str">
        <f>IFERROR(__xludf.DUMMYFUNCTION("""COMPUTED_VALUE"""),"038086002014")</f>
        <v>038086002014</v>
      </c>
      <c r="N435" s="17">
        <f>IFERROR(__xludf.DUMMYFUNCTION("""COMPUTED_VALUE"""),44420.0)</f>
        <v>44420</v>
      </c>
      <c r="O435" s="7" t="str">
        <f>IFERROR(__xludf.DUMMYFUNCTION("""COMPUTED_VALUE"""),"Cục Cảnh sát QLHC về TTXH")</f>
        <v>Cục Cảnh sát QLHC về TTXH</v>
      </c>
      <c r="P435" s="7" t="str">
        <f>IFERROR(__xludf.DUMMYFUNCTION("""COMPUTED_VALUE"""),"LĐPT")</f>
        <v>LĐPT</v>
      </c>
      <c r="Q435" s="7" t="str">
        <f>IFERROR(__xludf.DUMMYFUNCTION("""COMPUTED_VALUE"""),"Lao động phổ thông")</f>
        <v>Lao động phổ thông</v>
      </c>
      <c r="R435" s="17">
        <f>IFERROR(__xludf.DUMMYFUNCTION("""COMPUTED_VALUE"""),45779.0)</f>
        <v>45779</v>
      </c>
      <c r="S435" s="7"/>
      <c r="T435" s="7" t="str">
        <f>IFERROR(__xludf.DUMMYFUNCTION("""COMPUTED_VALUE"""),"Chính thức")</f>
        <v>Chính thức</v>
      </c>
      <c r="U435" s="7"/>
      <c r="V435" s="7"/>
      <c r="W435" s="7" t="str">
        <f>IFERROR(__xludf.DUMMYFUNCTION("""COMPUTED_VALUE"""),"0 năm 7 tháng")</f>
        <v>0 năm 7 tháng</v>
      </c>
      <c r="X435" s="7"/>
      <c r="Y435" s="7"/>
      <c r="Z435" s="7"/>
    </row>
    <row r="436">
      <c r="A436" s="21" t="str">
        <f>IFERROR(__xludf.DUMMYFUNCTION("""COMPUTED_VALUE"""),"5")</f>
        <v>5</v>
      </c>
      <c r="B436" s="7" t="str">
        <f>IFERROR(__xludf.DUMMYFUNCTION("""COMPUTED_VALUE"""),"PXSX1")</f>
        <v>PXSX1</v>
      </c>
      <c r="C436" s="7" t="str">
        <f>IFERROR(__xludf.DUMMYFUNCTION("""COMPUTED_VALUE"""),"Bộ phận nung và hoàn thiện sản phẩm")</f>
        <v>Bộ phận nung và hoàn thiện sản phẩm</v>
      </c>
      <c r="D436" s="7" t="str">
        <f>IFERROR(__xludf.DUMMYFUNCTION("""COMPUTED_VALUE"""),"Dây chuyền Mài Ca B")</f>
        <v>Dây chuyền Mài Ca B</v>
      </c>
      <c r="E436" s="7" t="str">
        <f>IFERROR(__xludf.DUMMYFUNCTION("""COMPUTED_VALUE"""),"Đầu rải DC2")</f>
        <v>Đầu rải DC2</v>
      </c>
      <c r="F436" s="7" t="str">
        <f>IFERROR(__xludf.DUMMYFUNCTION("""COMPUTED_VALUE"""),"NV5465")</f>
        <v>NV5465</v>
      </c>
      <c r="G436" s="7">
        <f>IFERROR(__xludf.DUMMYFUNCTION("""COMPUTED_VALUE"""),944.0)</f>
        <v>944</v>
      </c>
      <c r="H436" s="7" t="str">
        <f>IFERROR(__xludf.DUMMYFUNCTION("""COMPUTED_VALUE"""),"Phạm Xuân Điệp")</f>
        <v>Phạm Xuân Điệp</v>
      </c>
      <c r="I436" s="7" t="str">
        <f>IFERROR(__xludf.DUMMYFUNCTION("""COMPUTED_VALUE"""),"Nam")</f>
        <v>Nam</v>
      </c>
      <c r="J436" s="17">
        <f>IFERROR(__xludf.DUMMYFUNCTION("""COMPUTED_VALUE"""),31602.0)</f>
        <v>31602</v>
      </c>
      <c r="K436" s="7" t="str">
        <f>IFERROR(__xludf.DUMMYFUNCTION("""COMPUTED_VALUE"""),"Phường Đông Quang - Tỉnh Thanh Hóa")</f>
        <v>Phường Đông Quang - Tỉnh Thanh Hóa</v>
      </c>
      <c r="L436" s="7" t="str">
        <f>IFERROR(__xludf.DUMMYFUNCTION("""COMPUTED_VALUE"""),"0325227948")</f>
        <v>0325227948</v>
      </c>
      <c r="M436" s="7" t="str">
        <f>IFERROR(__xludf.DUMMYFUNCTION("""COMPUTED_VALUE"""),"038086033417")</f>
        <v>038086033417</v>
      </c>
      <c r="N436" s="17">
        <f>IFERROR(__xludf.DUMMYFUNCTION("""COMPUTED_VALUE"""),44467.0)</f>
        <v>44467</v>
      </c>
      <c r="O436" s="7" t="str">
        <f>IFERROR(__xludf.DUMMYFUNCTION("""COMPUTED_VALUE"""),"Cục Cảnh sát QLHC về TTXH")</f>
        <v>Cục Cảnh sát QLHC về TTXH</v>
      </c>
      <c r="P436" s="7" t="str">
        <f>IFERROR(__xludf.DUMMYFUNCTION("""COMPUTED_VALUE"""),"LĐPT")</f>
        <v>LĐPT</v>
      </c>
      <c r="Q436" s="7" t="str">
        <f>IFERROR(__xludf.DUMMYFUNCTION("""COMPUTED_VALUE"""),"Lao động phổ thông")</f>
        <v>Lao động phổ thông</v>
      </c>
      <c r="R436" s="17">
        <f>IFERROR(__xludf.DUMMYFUNCTION("""COMPUTED_VALUE"""),45798.0)</f>
        <v>45798</v>
      </c>
      <c r="S436" s="7"/>
      <c r="T436" s="7" t="str">
        <f>IFERROR(__xludf.DUMMYFUNCTION("""COMPUTED_VALUE"""),"Chính thức")</f>
        <v>Chính thức</v>
      </c>
      <c r="U436" s="7"/>
      <c r="V436" s="7"/>
      <c r="W436" s="7" t="str">
        <f>IFERROR(__xludf.DUMMYFUNCTION("""COMPUTED_VALUE"""),"0 năm 7 tháng")</f>
        <v>0 năm 7 tháng</v>
      </c>
      <c r="X436" s="7"/>
      <c r="Y436" s="7"/>
      <c r="Z436" s="7"/>
    </row>
    <row r="437">
      <c r="A437" s="21" t="str">
        <f>IFERROR(__xludf.DUMMYFUNCTION("""COMPUTED_VALUE"""),"6")</f>
        <v>6</v>
      </c>
      <c r="B437" s="7" t="str">
        <f>IFERROR(__xludf.DUMMYFUNCTION("""COMPUTED_VALUE"""),"PXSX1")</f>
        <v>PXSX1</v>
      </c>
      <c r="C437" s="7" t="str">
        <f>IFERROR(__xludf.DUMMYFUNCTION("""COMPUTED_VALUE"""),"Bộ phận nung và hoàn thiện sản phẩm")</f>
        <v>Bộ phận nung và hoàn thiện sản phẩm</v>
      </c>
      <c r="D437" s="7" t="str">
        <f>IFERROR(__xludf.DUMMYFUNCTION("""COMPUTED_VALUE"""),"Dây chuyền Mài Ca B")</f>
        <v>Dây chuyền Mài Ca B</v>
      </c>
      <c r="E437" s="7" t="str">
        <f>IFERROR(__xludf.DUMMYFUNCTION("""COMPUTED_VALUE"""),"Bốc sót sau máy mài nano")</f>
        <v>Bốc sót sau máy mài nano</v>
      </c>
      <c r="F437" s="7" t="str">
        <f>IFERROR(__xludf.DUMMYFUNCTION("""COMPUTED_VALUE"""),"NV4045")</f>
        <v>NV4045</v>
      </c>
      <c r="G437" s="7">
        <f>IFERROR(__xludf.DUMMYFUNCTION("""COMPUTED_VALUE"""),321.0)</f>
        <v>321</v>
      </c>
      <c r="H437" s="7" t="str">
        <f>IFERROR(__xludf.DUMMYFUNCTION("""COMPUTED_VALUE"""),"Vũ Văn Tuấn")</f>
        <v>Vũ Văn Tuấn</v>
      </c>
      <c r="I437" s="7" t="str">
        <f>IFERROR(__xludf.DUMMYFUNCTION("""COMPUTED_VALUE"""),"Nam")</f>
        <v>Nam</v>
      </c>
      <c r="J437" s="17">
        <f>IFERROR(__xludf.DUMMYFUNCTION("""COMPUTED_VALUE"""),32675.0)</f>
        <v>32675</v>
      </c>
      <c r="K437" s="7" t="str">
        <f>IFERROR(__xludf.DUMMYFUNCTION("""COMPUTED_VALUE"""),"Xã Quảng Ninh - Tỉnh Thanh hóa")</f>
        <v>Xã Quảng Ninh - Tỉnh Thanh hóa</v>
      </c>
      <c r="L437" s="7" t="str">
        <f>IFERROR(__xludf.DUMMYFUNCTION("""COMPUTED_VALUE"""),"0988156765")</f>
        <v>0988156765</v>
      </c>
      <c r="M437" s="7" t="str">
        <f>IFERROR(__xludf.DUMMYFUNCTION("""COMPUTED_VALUE"""),"038089031433")</f>
        <v>038089031433</v>
      </c>
      <c r="N437" s="17">
        <f>IFERROR(__xludf.DUMMYFUNCTION("""COMPUTED_VALUE"""),44419.0)</f>
        <v>44419</v>
      </c>
      <c r="O437" s="7" t="str">
        <f>IFERROR(__xludf.DUMMYFUNCTION("""COMPUTED_VALUE"""),"Cục Cảnh sát QLHC về TTXH")</f>
        <v>Cục Cảnh sát QLHC về TTXH</v>
      </c>
      <c r="P437" s="7" t="str">
        <f>IFERROR(__xludf.DUMMYFUNCTION("""COMPUTED_VALUE"""),"LĐPT")</f>
        <v>LĐPT</v>
      </c>
      <c r="Q437" s="7" t="str">
        <f>IFERROR(__xludf.DUMMYFUNCTION("""COMPUTED_VALUE"""),"Lao động phổ thông")</f>
        <v>Lao động phổ thông</v>
      </c>
      <c r="R437" s="17">
        <f>IFERROR(__xludf.DUMMYFUNCTION("""COMPUTED_VALUE"""),44618.0)</f>
        <v>44618</v>
      </c>
      <c r="S437" s="17">
        <f>IFERROR(__xludf.DUMMYFUNCTION("""COMPUTED_VALUE"""),44986.0)</f>
        <v>44986</v>
      </c>
      <c r="T437" s="7" t="str">
        <f>IFERROR(__xludf.DUMMYFUNCTION("""COMPUTED_VALUE"""),"Chính thức")</f>
        <v>Chính thức</v>
      </c>
      <c r="U437" s="7"/>
      <c r="V437" s="7"/>
      <c r="W437" s="7" t="str">
        <f>IFERROR(__xludf.DUMMYFUNCTION("""COMPUTED_VALUE"""),"3 năm 10 tháng")</f>
        <v>3 năm 10 tháng</v>
      </c>
      <c r="X437" s="7"/>
      <c r="Y437" s="7"/>
      <c r="Z437" s="7"/>
    </row>
    <row r="438">
      <c r="A438" s="21" t="str">
        <f>IFERROR(__xludf.DUMMYFUNCTION("""COMPUTED_VALUE"""),"7")</f>
        <v>7</v>
      </c>
      <c r="B438" s="7" t="str">
        <f>IFERROR(__xludf.DUMMYFUNCTION("""COMPUTED_VALUE"""),"PXSX1")</f>
        <v>PXSX1</v>
      </c>
      <c r="C438" s="7" t="str">
        <f>IFERROR(__xludf.DUMMYFUNCTION("""COMPUTED_VALUE"""),"Bộ phận nung và hoàn thiện sản phẩm")</f>
        <v>Bộ phận nung và hoàn thiện sản phẩm</v>
      </c>
      <c r="D438" s="7" t="str">
        <f>IFERROR(__xludf.DUMMYFUNCTION("""COMPUTED_VALUE"""),"Dây chuyền Mài Ca B")</f>
        <v>Dây chuyền Mài Ca B</v>
      </c>
      <c r="E438" s="7" t="str">
        <f>IFERROR(__xludf.DUMMYFUNCTION("""COMPUTED_VALUE"""),"Vận hành máy mài cạnh mức 1")</f>
        <v>Vận hành máy mài cạnh mức 1</v>
      </c>
      <c r="F438" s="7" t="str">
        <f>IFERROR(__xludf.DUMMYFUNCTION("""COMPUTED_VALUE"""),"NV4978")</f>
        <v>NV4978</v>
      </c>
      <c r="G438" s="7">
        <f>IFERROR(__xludf.DUMMYFUNCTION("""COMPUTED_VALUE"""),305.0)</f>
        <v>305</v>
      </c>
      <c r="H438" s="7" t="str">
        <f>IFERROR(__xludf.DUMMYFUNCTION("""COMPUTED_VALUE"""),"Lê Văn Hưng")</f>
        <v>Lê Văn Hưng</v>
      </c>
      <c r="I438" s="7" t="str">
        <f>IFERROR(__xludf.DUMMYFUNCTION("""COMPUTED_VALUE"""),"Nam")</f>
        <v>Nam</v>
      </c>
      <c r="J438" s="17">
        <f>IFERROR(__xludf.DUMMYFUNCTION("""COMPUTED_VALUE"""),32739.0)</f>
        <v>32739</v>
      </c>
      <c r="K438" s="7" t="str">
        <f>IFERROR(__xludf.DUMMYFUNCTION("""COMPUTED_VALUE"""),"Phường Đông Quang - Tỉnh Thanh Hóa")</f>
        <v>Phường Đông Quang - Tỉnh Thanh Hóa</v>
      </c>
      <c r="L438" s="7" t="str">
        <f>IFERROR(__xludf.DUMMYFUNCTION("""COMPUTED_VALUE"""),"0968976196")</f>
        <v>0968976196</v>
      </c>
      <c r="M438" s="7" t="str">
        <f>IFERROR(__xludf.DUMMYFUNCTION("""COMPUTED_VALUE"""),"038089036583")</f>
        <v>038089036583</v>
      </c>
      <c r="N438" s="17">
        <f>IFERROR(__xludf.DUMMYFUNCTION("""COMPUTED_VALUE"""),44358.0)</f>
        <v>44358</v>
      </c>
      <c r="O438" s="7" t="str">
        <f>IFERROR(__xludf.DUMMYFUNCTION("""COMPUTED_VALUE"""),"Cục Cảnh sát QLHC về TTXH")</f>
        <v>Cục Cảnh sát QLHC về TTXH</v>
      </c>
      <c r="P438" s="7" t="str">
        <f>IFERROR(__xludf.DUMMYFUNCTION("""COMPUTED_VALUE"""),"LĐPT")</f>
        <v>LĐPT</v>
      </c>
      <c r="Q438" s="7" t="str">
        <f>IFERROR(__xludf.DUMMYFUNCTION("""COMPUTED_VALUE"""),"Lao động phổ thông")</f>
        <v>Lao động phổ thông</v>
      </c>
      <c r="R438" s="17">
        <f>IFERROR(__xludf.DUMMYFUNCTION("""COMPUTED_VALUE"""),45285.0)</f>
        <v>45285</v>
      </c>
      <c r="S438" s="17">
        <f>IFERROR(__xludf.DUMMYFUNCTION("""COMPUTED_VALUE"""),45383.0)</f>
        <v>45383</v>
      </c>
      <c r="T438" s="7" t="str">
        <f>IFERROR(__xludf.DUMMYFUNCTION("""COMPUTED_VALUE"""),"Chính thức")</f>
        <v>Chính thức</v>
      </c>
      <c r="U438" s="7"/>
      <c r="V438" s="7"/>
      <c r="W438" s="7" t="str">
        <f>IFERROR(__xludf.DUMMYFUNCTION("""COMPUTED_VALUE"""),"2 năm 0 tháng")</f>
        <v>2 năm 0 tháng</v>
      </c>
      <c r="X438" s="7"/>
      <c r="Y438" s="7"/>
      <c r="Z438" s="7"/>
    </row>
    <row r="439">
      <c r="A439" s="21" t="str">
        <f>IFERROR(__xludf.DUMMYFUNCTION("""COMPUTED_VALUE"""),"8")</f>
        <v>8</v>
      </c>
      <c r="B439" s="7" t="str">
        <f>IFERROR(__xludf.DUMMYFUNCTION("""COMPUTED_VALUE"""),"PXSX1")</f>
        <v>PXSX1</v>
      </c>
      <c r="C439" s="7" t="str">
        <f>IFERROR(__xludf.DUMMYFUNCTION("""COMPUTED_VALUE"""),"Bộ phận nung và hoàn thiện sản phẩm")</f>
        <v>Bộ phận nung và hoàn thiện sản phẩm</v>
      </c>
      <c r="D439" s="7" t="str">
        <f>IFERROR(__xludf.DUMMYFUNCTION("""COMPUTED_VALUE"""),"Dây chuyền Mài Ca B")</f>
        <v>Dây chuyền Mài Ca B</v>
      </c>
      <c r="E439" s="7" t="str">
        <f>IFERROR(__xludf.DUMMYFUNCTION("""COMPUTED_VALUE"""),"Vận hành máy mài cạnh mức 1")</f>
        <v>Vận hành máy mài cạnh mức 1</v>
      </c>
      <c r="F439" s="7" t="str">
        <f>IFERROR(__xludf.DUMMYFUNCTION("""COMPUTED_VALUE"""),"NV4896")</f>
        <v>NV4896</v>
      </c>
      <c r="G439" s="7">
        <f>IFERROR(__xludf.DUMMYFUNCTION("""COMPUTED_VALUE"""),319.0)</f>
        <v>319</v>
      </c>
      <c r="H439" s="7" t="str">
        <f>IFERROR(__xludf.DUMMYFUNCTION("""COMPUTED_VALUE"""),"Nguyễn Văn Gia")</f>
        <v>Nguyễn Văn Gia</v>
      </c>
      <c r="I439" s="7" t="str">
        <f>IFERROR(__xludf.DUMMYFUNCTION("""COMPUTED_VALUE"""),"Nam")</f>
        <v>Nam</v>
      </c>
      <c r="J439" s="17">
        <f>IFERROR(__xludf.DUMMYFUNCTION("""COMPUTED_VALUE"""),33010.0)</f>
        <v>33010</v>
      </c>
      <c r="K439" s="7" t="str">
        <f>IFERROR(__xludf.DUMMYFUNCTION("""COMPUTED_VALUE"""),"Xã Vĩnh Lộc - Tỉnh Thanh Hóa")</f>
        <v>Xã Vĩnh Lộc - Tỉnh Thanh Hóa</v>
      </c>
      <c r="L439" s="7" t="str">
        <f>IFERROR(__xludf.DUMMYFUNCTION("""COMPUTED_VALUE"""),"0983800370")</f>
        <v>0983800370</v>
      </c>
      <c r="M439" s="7" t="str">
        <f>IFERROR(__xludf.DUMMYFUNCTION("""COMPUTED_VALUE"""),"038090016293")</f>
        <v>038090016293</v>
      </c>
      <c r="N439" s="17">
        <f>IFERROR(__xludf.DUMMYFUNCTION("""COMPUTED_VALUE"""),44833.0)</f>
        <v>44833</v>
      </c>
      <c r="O439" s="7" t="str">
        <f>IFERROR(__xludf.DUMMYFUNCTION("""COMPUTED_VALUE"""),"Cục Cảnh sát QLHC về TTXH")</f>
        <v>Cục Cảnh sát QLHC về TTXH</v>
      </c>
      <c r="P439" s="7" t="str">
        <f>IFERROR(__xludf.DUMMYFUNCTION("""COMPUTED_VALUE"""),"LĐPT")</f>
        <v>LĐPT</v>
      </c>
      <c r="Q439" s="7" t="str">
        <f>IFERROR(__xludf.DUMMYFUNCTION("""COMPUTED_VALUE"""),"Lao động phổ thông")</f>
        <v>Lao động phổ thông</v>
      </c>
      <c r="R439" s="17">
        <f>IFERROR(__xludf.DUMMYFUNCTION("""COMPUTED_VALUE"""),45353.0)</f>
        <v>45353</v>
      </c>
      <c r="S439" s="17">
        <f>IFERROR(__xludf.DUMMYFUNCTION("""COMPUTED_VALUE"""),45474.0)</f>
        <v>45474</v>
      </c>
      <c r="T439" s="7" t="str">
        <f>IFERROR(__xludf.DUMMYFUNCTION("""COMPUTED_VALUE"""),"Chính thức")</f>
        <v>Chính thức</v>
      </c>
      <c r="U439" s="7"/>
      <c r="V439" s="7"/>
      <c r="W439" s="7" t="str">
        <f>IFERROR(__xludf.DUMMYFUNCTION("""COMPUTED_VALUE"""),"1 năm 9 tháng")</f>
        <v>1 năm 9 tháng</v>
      </c>
      <c r="X439" s="7"/>
      <c r="Y439" s="7"/>
      <c r="Z439" s="7"/>
    </row>
    <row r="440">
      <c r="A440" s="21" t="str">
        <f>IFERROR(__xludf.DUMMYFUNCTION("""COMPUTED_VALUE"""),"9")</f>
        <v>9</v>
      </c>
      <c r="B440" s="7" t="str">
        <f>IFERROR(__xludf.DUMMYFUNCTION("""COMPUTED_VALUE"""),"PXSX1")</f>
        <v>PXSX1</v>
      </c>
      <c r="C440" s="7" t="str">
        <f>IFERROR(__xludf.DUMMYFUNCTION("""COMPUTED_VALUE"""),"Bộ phận nung và hoàn thiện sản phẩm")</f>
        <v>Bộ phận nung và hoàn thiện sản phẩm</v>
      </c>
      <c r="D440" s="7" t="str">
        <f>IFERROR(__xludf.DUMMYFUNCTION("""COMPUTED_VALUE"""),"Dây chuyền Mài Ca B")</f>
        <v>Dây chuyền Mài Ca B</v>
      </c>
      <c r="E440" s="7" t="str">
        <f>IFERROR(__xludf.DUMMYFUNCTION("""COMPUTED_VALUE"""),"Nhóm trưởng đầu rải")</f>
        <v>Nhóm trưởng đầu rải</v>
      </c>
      <c r="F440" s="7" t="str">
        <f>IFERROR(__xludf.DUMMYFUNCTION("""COMPUTED_VALUE"""),"NV0259")</f>
        <v>NV0259</v>
      </c>
      <c r="G440" s="7">
        <f>IFERROR(__xludf.DUMMYFUNCTION("""COMPUTED_VALUE"""),317.0)</f>
        <v>317</v>
      </c>
      <c r="H440" s="7" t="str">
        <f>IFERROR(__xludf.DUMMYFUNCTION("""COMPUTED_VALUE"""),"Lữ Trọng Nam")</f>
        <v>Lữ Trọng Nam</v>
      </c>
      <c r="I440" s="7" t="str">
        <f>IFERROR(__xludf.DUMMYFUNCTION("""COMPUTED_VALUE"""),"Nam")</f>
        <v>Nam</v>
      </c>
      <c r="J440" s="17">
        <f>IFERROR(__xludf.DUMMYFUNCTION("""COMPUTED_VALUE"""),33366.0)</f>
        <v>33366</v>
      </c>
      <c r="K440" s="7" t="str">
        <f>IFERROR(__xludf.DUMMYFUNCTION("""COMPUTED_VALUE"""),"Xã Quảng Ninh - Tỉnh Thanh Hóa")</f>
        <v>Xã Quảng Ninh - Tỉnh Thanh Hóa</v>
      </c>
      <c r="L440" s="7" t="str">
        <f>IFERROR(__xludf.DUMMYFUNCTION("""COMPUTED_VALUE"""),"0354186656")</f>
        <v>0354186656</v>
      </c>
      <c r="M440" s="7" t="str">
        <f>IFERROR(__xludf.DUMMYFUNCTION("""COMPUTED_VALUE"""),"038091039486")</f>
        <v>038091039486</v>
      </c>
      <c r="N440" s="17">
        <f>IFERROR(__xludf.DUMMYFUNCTION("""COMPUTED_VALUE"""),44427.0)</f>
        <v>44427</v>
      </c>
      <c r="O440" s="7" t="str">
        <f>IFERROR(__xludf.DUMMYFUNCTION("""COMPUTED_VALUE"""),"Cục Cảnh sát QLHC về TTXH")</f>
        <v>Cục Cảnh sát QLHC về TTXH</v>
      </c>
      <c r="P440" s="7" t="str">
        <f>IFERROR(__xludf.DUMMYFUNCTION("""COMPUTED_VALUE"""),"LĐPT")</f>
        <v>LĐPT</v>
      </c>
      <c r="Q440" s="7" t="str">
        <f>IFERROR(__xludf.DUMMYFUNCTION("""COMPUTED_VALUE"""),"Lao động phổ thông")</f>
        <v>Lao động phổ thông</v>
      </c>
      <c r="R440" s="17">
        <f>IFERROR(__xludf.DUMMYFUNCTION("""COMPUTED_VALUE"""),42081.0)</f>
        <v>42081</v>
      </c>
      <c r="S440" s="17">
        <f>IFERROR(__xludf.DUMMYFUNCTION("""COMPUTED_VALUE"""),42081.0)</f>
        <v>42081</v>
      </c>
      <c r="T440" s="7" t="str">
        <f>IFERROR(__xludf.DUMMYFUNCTION("""COMPUTED_VALUE"""),"Chính thức")</f>
        <v>Chính thức</v>
      </c>
      <c r="U440" s="7"/>
      <c r="V440" s="7"/>
      <c r="W440" s="7" t="str">
        <f>IFERROR(__xludf.DUMMYFUNCTION("""COMPUTED_VALUE"""),"10 năm 9 tháng")</f>
        <v>10 năm 9 tháng</v>
      </c>
      <c r="X440" s="7"/>
      <c r="Y440" s="7"/>
      <c r="Z440" s="7"/>
    </row>
    <row r="441">
      <c r="A441" s="21" t="str">
        <f>IFERROR(__xludf.DUMMYFUNCTION("""COMPUTED_VALUE"""),"10")</f>
        <v>10</v>
      </c>
      <c r="B441" s="7" t="str">
        <f>IFERROR(__xludf.DUMMYFUNCTION("""COMPUTED_VALUE"""),"PXSX1")</f>
        <v>PXSX1</v>
      </c>
      <c r="C441" s="7" t="str">
        <f>IFERROR(__xludf.DUMMYFUNCTION("""COMPUTED_VALUE"""),"Bộ phận nung và hoàn thiện sản phẩm")</f>
        <v>Bộ phận nung và hoàn thiện sản phẩm</v>
      </c>
      <c r="D441" s="7" t="str">
        <f>IFERROR(__xludf.DUMMYFUNCTION("""COMPUTED_VALUE"""),"Dây chuyền Mài Ca B")</f>
        <v>Dây chuyền Mài Ca B</v>
      </c>
      <c r="E441" s="7" t="str">
        <f>IFERROR(__xludf.DUMMYFUNCTION("""COMPUTED_VALUE"""),"Vận hành chính máy mài mặt")</f>
        <v>Vận hành chính máy mài mặt</v>
      </c>
      <c r="F441" s="7" t="str">
        <f>IFERROR(__xludf.DUMMYFUNCTION("""COMPUTED_VALUE"""),"NV0224")</f>
        <v>NV0224</v>
      </c>
      <c r="G441" s="7">
        <f>IFERROR(__xludf.DUMMYFUNCTION("""COMPUTED_VALUE"""),296.0)</f>
        <v>296</v>
      </c>
      <c r="H441" s="7" t="str">
        <f>IFERROR(__xludf.DUMMYFUNCTION("""COMPUTED_VALUE"""),"Hà Xuân Đạt")</f>
        <v>Hà Xuân Đạt</v>
      </c>
      <c r="I441" s="7" t="str">
        <f>IFERROR(__xludf.DUMMYFUNCTION("""COMPUTED_VALUE"""),"Nam")</f>
        <v>Nam</v>
      </c>
      <c r="J441" s="17">
        <f>IFERROR(__xludf.DUMMYFUNCTION("""COMPUTED_VALUE"""),33458.0)</f>
        <v>33458</v>
      </c>
      <c r="K441" s="7" t="str">
        <f>IFERROR(__xludf.DUMMYFUNCTION("""COMPUTED_VALUE"""),"Thôn Châu Sơn - Xã Quảng Chính - Tỉnh Thanh Hóa")</f>
        <v>Thôn Châu Sơn - Xã Quảng Chính - Tỉnh Thanh Hóa</v>
      </c>
      <c r="L441" s="7" t="str">
        <f>IFERROR(__xludf.DUMMYFUNCTION("""COMPUTED_VALUE"""),"0848316123")</f>
        <v>0848316123</v>
      </c>
      <c r="M441" s="7" t="str">
        <f>IFERROR(__xludf.DUMMYFUNCTION("""COMPUTED_VALUE"""),"038091019488")</f>
        <v>038091019488</v>
      </c>
      <c r="N441" s="17">
        <f>IFERROR(__xludf.DUMMYFUNCTION("""COMPUTED_VALUE"""),44440.0)</f>
        <v>44440</v>
      </c>
      <c r="O441" s="7" t="str">
        <f>IFERROR(__xludf.DUMMYFUNCTION("""COMPUTED_VALUE"""),"Cục Cảnh sát QLHC về TTXH")</f>
        <v>Cục Cảnh sát QLHC về TTXH</v>
      </c>
      <c r="P441" s="7" t="str">
        <f>IFERROR(__xludf.DUMMYFUNCTION("""COMPUTED_VALUE"""),"LĐPT")</f>
        <v>LĐPT</v>
      </c>
      <c r="Q441" s="7" t="str">
        <f>IFERROR(__xludf.DUMMYFUNCTION("""COMPUTED_VALUE"""),"Lao động phổ thông")</f>
        <v>Lao động phổ thông</v>
      </c>
      <c r="R441" s="17">
        <f>IFERROR(__xludf.DUMMYFUNCTION("""COMPUTED_VALUE"""),44033.0)</f>
        <v>44033</v>
      </c>
      <c r="S441" s="17">
        <f>IFERROR(__xludf.DUMMYFUNCTION("""COMPUTED_VALUE"""),44317.0)</f>
        <v>44317</v>
      </c>
      <c r="T441" s="7" t="str">
        <f>IFERROR(__xludf.DUMMYFUNCTION("""COMPUTED_VALUE"""),"Chính thức")</f>
        <v>Chính thức</v>
      </c>
      <c r="U441" s="7"/>
      <c r="V441" s="7"/>
      <c r="W441" s="7" t="str">
        <f>IFERROR(__xludf.DUMMYFUNCTION("""COMPUTED_VALUE"""),"5 năm 5 tháng")</f>
        <v>5 năm 5 tháng</v>
      </c>
      <c r="X441" s="7"/>
      <c r="Y441" s="7"/>
      <c r="Z441" s="7"/>
    </row>
    <row r="442">
      <c r="A442" s="21" t="str">
        <f>IFERROR(__xludf.DUMMYFUNCTION("""COMPUTED_VALUE"""),"11")</f>
        <v>11</v>
      </c>
      <c r="B442" s="7" t="str">
        <f>IFERROR(__xludf.DUMMYFUNCTION("""COMPUTED_VALUE"""),"PXSX1")</f>
        <v>PXSX1</v>
      </c>
      <c r="C442" s="7" t="str">
        <f>IFERROR(__xludf.DUMMYFUNCTION("""COMPUTED_VALUE"""),"Bộ phận nung và hoàn thiện sản phẩm")</f>
        <v>Bộ phận nung và hoàn thiện sản phẩm</v>
      </c>
      <c r="D442" s="7" t="str">
        <f>IFERROR(__xludf.DUMMYFUNCTION("""COMPUTED_VALUE"""),"Dây chuyền Mài Ca B")</f>
        <v>Dây chuyền Mài Ca B</v>
      </c>
      <c r="E442" s="7" t="str">
        <f>IFERROR(__xludf.DUMMYFUNCTION("""COMPUTED_VALUE"""),"Đầu rải DC2")</f>
        <v>Đầu rải DC2</v>
      </c>
      <c r="F442" s="7" t="str">
        <f>IFERROR(__xludf.DUMMYFUNCTION("""COMPUTED_VALUE"""),"NV5530")</f>
        <v>NV5530</v>
      </c>
      <c r="G442" s="7">
        <f>IFERROR(__xludf.DUMMYFUNCTION("""COMPUTED_VALUE"""),1012.0)</f>
        <v>1012</v>
      </c>
      <c r="H442" s="7" t="str">
        <f>IFERROR(__xludf.DUMMYFUNCTION("""COMPUTED_VALUE"""),"Lê Vạn Long")</f>
        <v>Lê Vạn Long</v>
      </c>
      <c r="I442" s="7" t="str">
        <f>IFERROR(__xludf.DUMMYFUNCTION("""COMPUTED_VALUE"""),"Nam")</f>
        <v>Nam</v>
      </c>
      <c r="J442" s="17">
        <f>IFERROR(__xludf.DUMMYFUNCTION("""COMPUTED_VALUE"""),34099.0)</f>
        <v>34099</v>
      </c>
      <c r="K442" s="7" t="str">
        <f>IFERROR(__xludf.DUMMYFUNCTION("""COMPUTED_VALUE"""),"Xã Hoằng Châu - Tỉnh Thanh Hóa")</f>
        <v>Xã Hoằng Châu - Tỉnh Thanh Hóa</v>
      </c>
      <c r="L442" s="7" t="str">
        <f>IFERROR(__xludf.DUMMYFUNCTION("""COMPUTED_VALUE"""),"0984625236")</f>
        <v>0984625236</v>
      </c>
      <c r="M442" s="7" t="str">
        <f>IFERROR(__xludf.DUMMYFUNCTION("""COMPUTED_VALUE"""),"038093017810")</f>
        <v>038093017810</v>
      </c>
      <c r="N442" s="17">
        <f>IFERROR(__xludf.DUMMYFUNCTION("""COMPUTED_VALUE"""),45344.0)</f>
        <v>45344</v>
      </c>
      <c r="O442" s="7" t="str">
        <f>IFERROR(__xludf.DUMMYFUNCTION("""COMPUTED_VALUE"""),"Cục Cảnh sát QLHC về TTXH")</f>
        <v>Cục Cảnh sát QLHC về TTXH</v>
      </c>
      <c r="P442" s="7" t="str">
        <f>IFERROR(__xludf.DUMMYFUNCTION("""COMPUTED_VALUE"""),"LĐPT")</f>
        <v>LĐPT</v>
      </c>
      <c r="Q442" s="7" t="str">
        <f>IFERROR(__xludf.DUMMYFUNCTION("""COMPUTED_VALUE"""),"Lao động phổ thông")</f>
        <v>Lao động phổ thông</v>
      </c>
      <c r="R442" s="17">
        <f>IFERROR(__xludf.DUMMYFUNCTION("""COMPUTED_VALUE"""),45818.0)</f>
        <v>45818</v>
      </c>
      <c r="S442" s="7"/>
      <c r="T442" s="7" t="str">
        <f>IFERROR(__xludf.DUMMYFUNCTION("""COMPUTED_VALUE"""),"Chính thức")</f>
        <v>Chính thức</v>
      </c>
      <c r="U442" s="7"/>
      <c r="V442" s="7"/>
      <c r="W442" s="7" t="str">
        <f>IFERROR(__xludf.DUMMYFUNCTION("""COMPUTED_VALUE"""),"0 năm 6 tháng")</f>
        <v>0 năm 6 tháng</v>
      </c>
      <c r="X442" s="7"/>
      <c r="Y442" s="7"/>
      <c r="Z442" s="7"/>
    </row>
    <row r="443">
      <c r="A443" s="21" t="str">
        <f>IFERROR(__xludf.DUMMYFUNCTION("""COMPUTED_VALUE"""),"12")</f>
        <v>12</v>
      </c>
      <c r="B443" s="7" t="str">
        <f>IFERROR(__xludf.DUMMYFUNCTION("""COMPUTED_VALUE"""),"PXSX1")</f>
        <v>PXSX1</v>
      </c>
      <c r="C443" s="7" t="str">
        <f>IFERROR(__xludf.DUMMYFUNCTION("""COMPUTED_VALUE"""),"Bộ phận nung và hoàn thiện sản phẩm")</f>
        <v>Bộ phận nung và hoàn thiện sản phẩm</v>
      </c>
      <c r="D443" s="7" t="str">
        <f>IFERROR(__xludf.DUMMYFUNCTION("""COMPUTED_VALUE"""),"Dây chuyền Mài Ca B")</f>
        <v>Dây chuyền Mài Ca B</v>
      </c>
      <c r="E443" s="7" t="str">
        <f>IFERROR(__xludf.DUMMYFUNCTION("""COMPUTED_VALUE"""),"Vận hành máy mài mặt Mức 1")</f>
        <v>Vận hành máy mài mặt Mức 1</v>
      </c>
      <c r="F443" s="7" t="str">
        <f>IFERROR(__xludf.DUMMYFUNCTION("""COMPUTED_VALUE"""),"NV5052")</f>
        <v>NV5052</v>
      </c>
      <c r="G443" s="7">
        <f>IFERROR(__xludf.DUMMYFUNCTION("""COMPUTED_VALUE"""),295.0)</f>
        <v>295</v>
      </c>
      <c r="H443" s="7" t="str">
        <f>IFERROR(__xludf.DUMMYFUNCTION("""COMPUTED_VALUE"""),"Cao Thế Vinh")</f>
        <v>Cao Thế Vinh</v>
      </c>
      <c r="I443" s="7" t="str">
        <f>IFERROR(__xludf.DUMMYFUNCTION("""COMPUTED_VALUE"""),"Nam")</f>
        <v>Nam</v>
      </c>
      <c r="J443" s="17">
        <f>IFERROR(__xludf.DUMMYFUNCTION("""COMPUTED_VALUE"""),34121.0)</f>
        <v>34121</v>
      </c>
      <c r="K443" s="7" t="str">
        <f>IFERROR(__xludf.DUMMYFUNCTION("""COMPUTED_VALUE"""),"Xã Hoằng Châu - Tỉnh Thanh Hóa")</f>
        <v>Xã Hoằng Châu - Tỉnh Thanh Hóa</v>
      </c>
      <c r="L443" s="7" t="str">
        <f>IFERROR(__xludf.DUMMYFUNCTION("""COMPUTED_VALUE"""),"0969215576")</f>
        <v>0969215576</v>
      </c>
      <c r="M443" s="7" t="str">
        <f>IFERROR(__xludf.DUMMYFUNCTION("""COMPUTED_VALUE"""),"038093035753")</f>
        <v>038093035753</v>
      </c>
      <c r="N443" s="17">
        <f>IFERROR(__xludf.DUMMYFUNCTION("""COMPUTED_VALUE"""),44965.0)</f>
        <v>44965</v>
      </c>
      <c r="O443" s="7" t="str">
        <f>IFERROR(__xludf.DUMMYFUNCTION("""COMPUTED_VALUE"""),"Cục Cảnh sát QLHC về TTXH")</f>
        <v>Cục Cảnh sát QLHC về TTXH</v>
      </c>
      <c r="P443" s="7" t="str">
        <f>IFERROR(__xludf.DUMMYFUNCTION("""COMPUTED_VALUE"""),"LĐPT")</f>
        <v>LĐPT</v>
      </c>
      <c r="Q443" s="7" t="str">
        <f>IFERROR(__xludf.DUMMYFUNCTION("""COMPUTED_VALUE"""),"Lao động phổ thông")</f>
        <v>Lao động phổ thông</v>
      </c>
      <c r="R443" s="17">
        <f>IFERROR(__xludf.DUMMYFUNCTION("""COMPUTED_VALUE"""),45364.0)</f>
        <v>45364</v>
      </c>
      <c r="S443" s="17">
        <f>IFERROR(__xludf.DUMMYFUNCTION("""COMPUTED_VALUE"""),45444.0)</f>
        <v>45444</v>
      </c>
      <c r="T443" s="7" t="str">
        <f>IFERROR(__xludf.DUMMYFUNCTION("""COMPUTED_VALUE"""),"Chính thức")</f>
        <v>Chính thức</v>
      </c>
      <c r="U443" s="7"/>
      <c r="V443" s="7"/>
      <c r="W443" s="7" t="str">
        <f>IFERROR(__xludf.DUMMYFUNCTION("""COMPUTED_VALUE"""),"1 năm 9 tháng")</f>
        <v>1 năm 9 tháng</v>
      </c>
      <c r="X443" s="7"/>
      <c r="Y443" s="7"/>
      <c r="Z443" s="7"/>
    </row>
    <row r="444">
      <c r="A444" s="21" t="str">
        <f>IFERROR(__xludf.DUMMYFUNCTION("""COMPUTED_VALUE"""),"13")</f>
        <v>13</v>
      </c>
      <c r="B444" s="7" t="str">
        <f>IFERROR(__xludf.DUMMYFUNCTION("""COMPUTED_VALUE"""),"PXSX1")</f>
        <v>PXSX1</v>
      </c>
      <c r="C444" s="7" t="str">
        <f>IFERROR(__xludf.DUMMYFUNCTION("""COMPUTED_VALUE"""),"Bộ phận nung và hoàn thiện sản phẩm")</f>
        <v>Bộ phận nung và hoàn thiện sản phẩm</v>
      </c>
      <c r="D444" s="7" t="str">
        <f>IFERROR(__xludf.DUMMYFUNCTION("""COMPUTED_VALUE"""),"Dây chuyền Mài Ca B")</f>
        <v>Dây chuyền Mài Ca B</v>
      </c>
      <c r="E444" s="7" t="str">
        <f>IFERROR(__xludf.DUMMYFUNCTION("""COMPUTED_VALUE"""),"Bốc lai phụ + Đóng hộp DC2")</f>
        <v>Bốc lai phụ + Đóng hộp DC2</v>
      </c>
      <c r="F444" s="7" t="str">
        <f>IFERROR(__xludf.DUMMYFUNCTION("""COMPUTED_VALUE"""),"NV0233")</f>
        <v>NV0233</v>
      </c>
      <c r="G444" s="7">
        <f>IFERROR(__xludf.DUMMYFUNCTION("""COMPUTED_VALUE"""),652.0)</f>
        <v>652</v>
      </c>
      <c r="H444" s="7" t="str">
        <f>IFERROR(__xludf.DUMMYFUNCTION("""COMPUTED_VALUE"""),"Trần Văn Thê")</f>
        <v>Trần Văn Thê</v>
      </c>
      <c r="I444" s="7" t="str">
        <f>IFERROR(__xludf.DUMMYFUNCTION("""COMPUTED_VALUE"""),"Nam")</f>
        <v>Nam</v>
      </c>
      <c r="J444" s="17">
        <f>IFERROR(__xludf.DUMMYFUNCTION("""COMPUTED_VALUE"""),34133.0)</f>
        <v>34133</v>
      </c>
      <c r="K444" s="7" t="str">
        <f>IFERROR(__xludf.DUMMYFUNCTION("""COMPUTED_VALUE"""),"KP Tây Nam - Phường Nam Sầm Sơn - Tỉnh Thanh Hóa")</f>
        <v>KP Tây Nam - Phường Nam Sầm Sơn - Tỉnh Thanh Hóa</v>
      </c>
      <c r="L444" s="7" t="str">
        <f>IFERROR(__xludf.DUMMYFUNCTION("""COMPUTED_VALUE"""),"0965435146")</f>
        <v>0965435146</v>
      </c>
      <c r="M444" s="7" t="str">
        <f>IFERROR(__xludf.DUMMYFUNCTION("""COMPUTED_VALUE"""),"038093019515")</f>
        <v>038093019515</v>
      </c>
      <c r="N444" s="17">
        <f>IFERROR(__xludf.DUMMYFUNCTION("""COMPUTED_VALUE"""),44311.0)</f>
        <v>44311</v>
      </c>
      <c r="O444" s="7" t="str">
        <f>IFERROR(__xludf.DUMMYFUNCTION("""COMPUTED_VALUE"""),"Cục Cảnh sát QLHC về TTXH")</f>
        <v>Cục Cảnh sát QLHC về TTXH</v>
      </c>
      <c r="P444" s="7" t="str">
        <f>IFERROR(__xludf.DUMMYFUNCTION("""COMPUTED_VALUE"""),"Chứng chỉ nghề")</f>
        <v>Chứng chỉ nghề</v>
      </c>
      <c r="Q444" s="7" t="str">
        <f>IFERROR(__xludf.DUMMYFUNCTION("""COMPUTED_VALUE"""),"Nghề hàn")</f>
        <v>Nghề hàn</v>
      </c>
      <c r="R444" s="7"/>
      <c r="S444" s="17">
        <f>IFERROR(__xludf.DUMMYFUNCTION("""COMPUTED_VALUE"""),45803.0)</f>
        <v>45803</v>
      </c>
      <c r="T444" s="7" t="str">
        <f>IFERROR(__xludf.DUMMYFUNCTION("""COMPUTED_VALUE"""),"Chính thức")</f>
        <v>Chính thức</v>
      </c>
      <c r="U444" s="7"/>
      <c r="V444" s="7"/>
      <c r="W444" s="7" t="str">
        <f>IFERROR(__xludf.DUMMYFUNCTION("""COMPUTED_VALUE"""),"0 năm 7 tháng")</f>
        <v>0 năm 7 tháng</v>
      </c>
      <c r="X444" s="7"/>
      <c r="Y444" s="7"/>
      <c r="Z444" s="7"/>
    </row>
    <row r="445">
      <c r="A445" s="21" t="str">
        <f>IFERROR(__xludf.DUMMYFUNCTION("""COMPUTED_VALUE"""),"14")</f>
        <v>14</v>
      </c>
      <c r="B445" s="7" t="str">
        <f>IFERROR(__xludf.DUMMYFUNCTION("""COMPUTED_VALUE"""),"PXSX1")</f>
        <v>PXSX1</v>
      </c>
      <c r="C445" s="7" t="str">
        <f>IFERROR(__xludf.DUMMYFUNCTION("""COMPUTED_VALUE"""),"Bộ phận nung và hoàn thiện sản phẩm")</f>
        <v>Bộ phận nung và hoàn thiện sản phẩm</v>
      </c>
      <c r="D445" s="7" t="str">
        <f>IFERROR(__xludf.DUMMYFUNCTION("""COMPUTED_VALUE"""),"Dây chuyền Mài Ca B")</f>
        <v>Dây chuyền Mài Ca B</v>
      </c>
      <c r="E445" s="7" t="str">
        <f>IFERROR(__xludf.DUMMYFUNCTION("""COMPUTED_VALUE"""),"Vận hành chính máy Nano")</f>
        <v>Vận hành chính máy Nano</v>
      </c>
      <c r="F445" s="7" t="str">
        <f>IFERROR(__xludf.DUMMYFUNCTION("""COMPUTED_VALUE"""),"NV3949")</f>
        <v>NV3949</v>
      </c>
      <c r="G445" s="7">
        <f>IFERROR(__xludf.DUMMYFUNCTION("""COMPUTED_VALUE"""),318.0)</f>
        <v>318</v>
      </c>
      <c r="H445" s="7" t="str">
        <f>IFERROR(__xludf.DUMMYFUNCTION("""COMPUTED_VALUE"""),"Lê Văn Nam")</f>
        <v>Lê Văn Nam</v>
      </c>
      <c r="I445" s="7" t="str">
        <f>IFERROR(__xludf.DUMMYFUNCTION("""COMPUTED_VALUE"""),"Nam")</f>
        <v>Nam</v>
      </c>
      <c r="J445" s="17">
        <f>IFERROR(__xludf.DUMMYFUNCTION("""COMPUTED_VALUE"""),34249.0)</f>
        <v>34249</v>
      </c>
      <c r="K445" s="7" t="str">
        <f>IFERROR(__xludf.DUMMYFUNCTION("""COMPUTED_VALUE"""),"13B/90 Lê Thần Tông - Phường Hạc Thành")</f>
        <v>13B/90 Lê Thần Tông - Phường Hạc Thành</v>
      </c>
      <c r="L445" s="7" t="str">
        <f>IFERROR(__xludf.DUMMYFUNCTION("""COMPUTED_VALUE"""),"0387605636")</f>
        <v>0387605636</v>
      </c>
      <c r="M445" s="7" t="str">
        <f>IFERROR(__xludf.DUMMYFUNCTION("""COMPUTED_VALUE"""),"038093026205")</f>
        <v>038093026205</v>
      </c>
      <c r="N445" s="17">
        <f>IFERROR(__xludf.DUMMYFUNCTION("""COMPUTED_VALUE"""),44427.0)</f>
        <v>44427</v>
      </c>
      <c r="O445" s="7" t="str">
        <f>IFERROR(__xludf.DUMMYFUNCTION("""COMPUTED_VALUE"""),"Cục Cảnh sát QLHC về TTXH")</f>
        <v>Cục Cảnh sát QLHC về TTXH</v>
      </c>
      <c r="P445" s="7" t="str">
        <f>IFERROR(__xludf.DUMMYFUNCTION("""COMPUTED_VALUE"""),"Đại học")</f>
        <v>Đại học</v>
      </c>
      <c r="Q445" s="7" t="str">
        <f>IFERROR(__xludf.DUMMYFUNCTION("""COMPUTED_VALUE"""),"Kỹ thuật tài nguyên nước")</f>
        <v>Kỹ thuật tài nguyên nước</v>
      </c>
      <c r="R445" s="17">
        <f>IFERROR(__xludf.DUMMYFUNCTION("""COMPUTED_VALUE"""),44529.0)</f>
        <v>44529</v>
      </c>
      <c r="S445" s="17">
        <f>IFERROR(__xludf.DUMMYFUNCTION("""COMPUTED_VALUE"""),44805.0)</f>
        <v>44805</v>
      </c>
      <c r="T445" s="7" t="str">
        <f>IFERROR(__xludf.DUMMYFUNCTION("""COMPUTED_VALUE"""),"Chính thức")</f>
        <v>Chính thức</v>
      </c>
      <c r="U445" s="7"/>
      <c r="V445" s="7"/>
      <c r="W445" s="7" t="str">
        <f>IFERROR(__xludf.DUMMYFUNCTION("""COMPUTED_VALUE"""),"4 năm 1 tháng")</f>
        <v>4 năm 1 tháng</v>
      </c>
      <c r="X445" s="7"/>
      <c r="Y445" s="7"/>
      <c r="Z445" s="7"/>
    </row>
    <row r="446">
      <c r="A446" s="21" t="str">
        <f>IFERROR(__xludf.DUMMYFUNCTION("""COMPUTED_VALUE"""),"15")</f>
        <v>15</v>
      </c>
      <c r="B446" s="7" t="str">
        <f>IFERROR(__xludf.DUMMYFUNCTION("""COMPUTED_VALUE"""),"PXSX1")</f>
        <v>PXSX1</v>
      </c>
      <c r="C446" s="7" t="str">
        <f>IFERROR(__xludf.DUMMYFUNCTION("""COMPUTED_VALUE"""),"Bộ phận nung và hoàn thiện sản phẩm")</f>
        <v>Bộ phận nung và hoàn thiện sản phẩm</v>
      </c>
      <c r="D446" s="7" t="str">
        <f>IFERROR(__xludf.DUMMYFUNCTION("""COMPUTED_VALUE"""),"Dây chuyền Mài Ca B")</f>
        <v>Dây chuyền Mài Ca B</v>
      </c>
      <c r="E446" s="7" t="str">
        <f>IFERROR(__xludf.DUMMYFUNCTION("""COMPUTED_VALUE"""),"Tổ phó")</f>
        <v>Tổ phó</v>
      </c>
      <c r="F446" s="7" t="str">
        <f>IFERROR(__xludf.DUMMYFUNCTION("""COMPUTED_VALUE"""),"NV4794")</f>
        <v>NV4794</v>
      </c>
      <c r="G446" s="7">
        <f>IFERROR(__xludf.DUMMYFUNCTION("""COMPUTED_VALUE"""),708.0)</f>
        <v>708</v>
      </c>
      <c r="H446" s="7" t="str">
        <f>IFERROR(__xludf.DUMMYFUNCTION("""COMPUTED_VALUE"""),"Bùi Văn Chinh")</f>
        <v>Bùi Văn Chinh</v>
      </c>
      <c r="I446" s="7" t="str">
        <f>IFERROR(__xludf.DUMMYFUNCTION("""COMPUTED_VALUE"""),"Nam")</f>
        <v>Nam</v>
      </c>
      <c r="J446" s="17">
        <f>IFERROR(__xludf.DUMMYFUNCTION("""COMPUTED_VALUE"""),36746.0)</f>
        <v>36746</v>
      </c>
      <c r="K446" s="7" t="str">
        <f>IFERROR(__xludf.DUMMYFUNCTION("""COMPUTED_VALUE"""),"Xã Hoằng Châu - Tỉnh Thanh Hóa")</f>
        <v>Xã Hoằng Châu - Tỉnh Thanh Hóa</v>
      </c>
      <c r="L446" s="7" t="str">
        <f>IFERROR(__xludf.DUMMYFUNCTION("""COMPUTED_VALUE"""),"0399890034")</f>
        <v>0399890034</v>
      </c>
      <c r="M446" s="7" t="str">
        <f>IFERROR(__xludf.DUMMYFUNCTION("""COMPUTED_VALUE"""),"038200007349")</f>
        <v>038200007349</v>
      </c>
      <c r="N446" s="17">
        <f>IFERROR(__xludf.DUMMYFUNCTION("""COMPUTED_VALUE"""),44568.0)</f>
        <v>44568</v>
      </c>
      <c r="O446" s="7" t="str">
        <f>IFERROR(__xludf.DUMMYFUNCTION("""COMPUTED_VALUE"""),"Cục Cảnh sát QLHC về TTXH")</f>
        <v>Cục Cảnh sát QLHC về TTXH</v>
      </c>
      <c r="P446" s="7" t="str">
        <f>IFERROR(__xludf.DUMMYFUNCTION("""COMPUTED_VALUE"""),"Cử nhân")</f>
        <v>Cử nhân</v>
      </c>
      <c r="Q446" s="7" t="str">
        <f>IFERROR(__xludf.DUMMYFUNCTION("""COMPUTED_VALUE"""),"Du lịch")</f>
        <v>Du lịch</v>
      </c>
      <c r="R446" s="17">
        <f>IFERROR(__xludf.DUMMYFUNCTION("""COMPUTED_VALUE"""),45034.0)</f>
        <v>45034</v>
      </c>
      <c r="S446" s="17">
        <f>IFERROR(__xludf.DUMMYFUNCTION("""COMPUTED_VALUE"""),45292.0)</f>
        <v>45292</v>
      </c>
      <c r="T446" s="7" t="str">
        <f>IFERROR(__xludf.DUMMYFUNCTION("""COMPUTED_VALUE"""),"Chính thức")</f>
        <v>Chính thức</v>
      </c>
      <c r="U446" s="7"/>
      <c r="V446" s="7"/>
      <c r="W446" s="7" t="str">
        <f>IFERROR(__xludf.DUMMYFUNCTION("""COMPUTED_VALUE"""),"2 năm 8 tháng")</f>
        <v>2 năm 8 tháng</v>
      </c>
      <c r="X446" s="7"/>
      <c r="Y446" s="7"/>
      <c r="Z446" s="7"/>
    </row>
    <row r="447">
      <c r="A447" s="21" t="str">
        <f>IFERROR(__xludf.DUMMYFUNCTION("""COMPUTED_VALUE"""),"16")</f>
        <v>16</v>
      </c>
      <c r="B447" s="7" t="str">
        <f>IFERROR(__xludf.DUMMYFUNCTION("""COMPUTED_VALUE"""),"PXSX1")</f>
        <v>PXSX1</v>
      </c>
      <c r="C447" s="7" t="str">
        <f>IFERROR(__xludf.DUMMYFUNCTION("""COMPUTED_VALUE"""),"Bộ phận nung và hoàn thiện sản phẩm")</f>
        <v>Bộ phận nung và hoàn thiện sản phẩm</v>
      </c>
      <c r="D447" s="7" t="str">
        <f>IFERROR(__xludf.DUMMYFUNCTION("""COMPUTED_VALUE"""),"Dây chuyền Mài Ca B")</f>
        <v>Dây chuyền Mài Ca B</v>
      </c>
      <c r="E447" s="7" t="str">
        <f>IFERROR(__xludf.DUMMYFUNCTION("""COMPUTED_VALUE"""),"Bốc sót sau máy mài nano DC1")</f>
        <v>Bốc sót sau máy mài nano DC1</v>
      </c>
      <c r="F447" s="7" t="str">
        <f>IFERROR(__xludf.DUMMYFUNCTION("""COMPUTED_VALUE"""),"NV5741")</f>
        <v>NV5741</v>
      </c>
      <c r="G447" s="7">
        <f>IFERROR(__xludf.DUMMYFUNCTION("""COMPUTED_VALUE"""),1221.0)</f>
        <v>1221</v>
      </c>
      <c r="H447" s="7" t="str">
        <f>IFERROR(__xludf.DUMMYFUNCTION("""COMPUTED_VALUE"""),"Lê Văn Đức")</f>
        <v>Lê Văn Đức</v>
      </c>
      <c r="I447" s="7" t="str">
        <f>IFERROR(__xludf.DUMMYFUNCTION("""COMPUTED_VALUE"""),"Nam")</f>
        <v>Nam</v>
      </c>
      <c r="J447" s="17">
        <f>IFERROR(__xludf.DUMMYFUNCTION("""COMPUTED_VALUE"""),34665.0)</f>
        <v>34665</v>
      </c>
      <c r="K447" s="7" t="str">
        <f>IFERROR(__xludf.DUMMYFUNCTION("""COMPUTED_VALUE"""),"Yên Trạch - Phường Sầm Sơn - Tỉnh Thanh Hóa")</f>
        <v>Yên Trạch - Phường Sầm Sơn - Tỉnh Thanh Hóa</v>
      </c>
      <c r="L447" s="7" t="str">
        <f>IFERROR(__xludf.DUMMYFUNCTION("""COMPUTED_VALUE"""),"0328281194")</f>
        <v>0328281194</v>
      </c>
      <c r="M447" s="7" t="str">
        <f>IFERROR(__xludf.DUMMYFUNCTION("""COMPUTED_VALUE"""),"038094009010")</f>
        <v>038094009010</v>
      </c>
      <c r="N447" s="17">
        <f>IFERROR(__xludf.DUMMYFUNCTION("""COMPUTED_VALUE"""),44941.0)</f>
        <v>44941</v>
      </c>
      <c r="O447" s="7" t="str">
        <f>IFERROR(__xludf.DUMMYFUNCTION("""COMPUTED_VALUE"""),"Cục Cảnh sát QLHC về TTXH")</f>
        <v>Cục Cảnh sát QLHC về TTXH</v>
      </c>
      <c r="P447" s="7" t="str">
        <f>IFERROR(__xludf.DUMMYFUNCTION("""COMPUTED_VALUE"""),"LĐPT")</f>
        <v>LĐPT</v>
      </c>
      <c r="Q447" s="7" t="str">
        <f>IFERROR(__xludf.DUMMYFUNCTION("""COMPUTED_VALUE"""),"Lao động phổ thông")</f>
        <v>Lao động phổ thông</v>
      </c>
      <c r="R447" s="17">
        <f>IFERROR(__xludf.DUMMYFUNCTION("""COMPUTED_VALUE"""),45932.0)</f>
        <v>45932</v>
      </c>
      <c r="S447" s="7"/>
      <c r="T447" s="7" t="str">
        <f>IFERROR(__xludf.DUMMYFUNCTION("""COMPUTED_VALUE"""),"Thử việc")</f>
        <v>Thử việc</v>
      </c>
      <c r="U447" s="7"/>
      <c r="V447" s="7" t="str">
        <f>IFERROR(__xludf.DUMMYFUNCTION("""COMPUTED_VALUE"""),"Thử việc")</f>
        <v>Thử việc</v>
      </c>
      <c r="W447" s="7" t="str">
        <f>IFERROR(__xludf.DUMMYFUNCTION("""COMPUTED_VALUE"""),"0 năm 2 tháng")</f>
        <v>0 năm 2 tháng</v>
      </c>
      <c r="X447" s="7"/>
      <c r="Y447" s="7"/>
      <c r="Z447" s="7"/>
    </row>
    <row r="448">
      <c r="A448" s="21" t="str">
        <f>IFERROR(__xludf.DUMMYFUNCTION("""COMPUTED_VALUE"""),"1")</f>
        <v>1</v>
      </c>
      <c r="B448" s="7" t="str">
        <f>IFERROR(__xludf.DUMMYFUNCTION("""COMPUTED_VALUE"""),"PXSX1")</f>
        <v>PXSX1</v>
      </c>
      <c r="C448" s="7" t="str">
        <f>IFERROR(__xludf.DUMMYFUNCTION("""COMPUTED_VALUE"""),"Bộ phận nung và hoàn thiện sản phẩm")</f>
        <v>Bộ phận nung và hoàn thiện sản phẩm</v>
      </c>
      <c r="D448" s="7" t="str">
        <f>IFERROR(__xludf.DUMMYFUNCTION("""COMPUTED_VALUE"""),"Đóng hộp Ca A")</f>
        <v>Đóng hộp Ca A</v>
      </c>
      <c r="E448" s="7" t="str">
        <f>IFERROR(__xludf.DUMMYFUNCTION("""COMPUTED_VALUE"""),"Hoàn thiện palet DC1")</f>
        <v>Hoàn thiện palet DC1</v>
      </c>
      <c r="F448" s="7" t="str">
        <f>IFERROR(__xludf.DUMMYFUNCTION("""COMPUTED_VALUE"""),"NV0129")</f>
        <v>NV0129</v>
      </c>
      <c r="G448" s="7">
        <f>IFERROR(__xludf.DUMMYFUNCTION("""COMPUTED_VALUE"""),281.0)</f>
        <v>281</v>
      </c>
      <c r="H448" s="7" t="str">
        <f>IFERROR(__xludf.DUMMYFUNCTION("""COMPUTED_VALUE"""),"Lê Thị Tuyên")</f>
        <v>Lê Thị Tuyên</v>
      </c>
      <c r="I448" s="7" t="str">
        <f>IFERROR(__xludf.DUMMYFUNCTION("""COMPUTED_VALUE"""),"Nữ ")</f>
        <v>Nữ </v>
      </c>
      <c r="J448" s="17">
        <f>IFERROR(__xludf.DUMMYFUNCTION("""COMPUTED_VALUE"""),25534.0)</f>
        <v>25534</v>
      </c>
      <c r="K448" s="7" t="str">
        <f>IFERROR(__xludf.DUMMYFUNCTION("""COMPUTED_VALUE"""),"Tân Hạnh - Phường Đông Sơn - Tỉnh Thanh Hóa")</f>
        <v>Tân Hạnh - Phường Đông Sơn - Tỉnh Thanh Hóa</v>
      </c>
      <c r="L448" s="7" t="str">
        <f>IFERROR(__xludf.DUMMYFUNCTION("""COMPUTED_VALUE"""),"0987508475")</f>
        <v>0987508475</v>
      </c>
      <c r="M448" s="7" t="str">
        <f>IFERROR(__xludf.DUMMYFUNCTION("""COMPUTED_VALUE"""),"038169001613")</f>
        <v>038169001613</v>
      </c>
      <c r="N448" s="17">
        <f>IFERROR(__xludf.DUMMYFUNCTION("""COMPUTED_VALUE"""),42871.0)</f>
        <v>42871</v>
      </c>
      <c r="O448" s="7" t="str">
        <f>IFERROR(__xludf.DUMMYFUNCTION("""COMPUTED_VALUE"""),"Cục Cảnh sát QLHC về TTXH")</f>
        <v>Cục Cảnh sát QLHC về TTXH</v>
      </c>
      <c r="P448" s="7" t="str">
        <f>IFERROR(__xludf.DUMMYFUNCTION("""COMPUTED_VALUE"""),"LĐPT")</f>
        <v>LĐPT</v>
      </c>
      <c r="Q448" s="7" t="str">
        <f>IFERROR(__xludf.DUMMYFUNCTION("""COMPUTED_VALUE"""),"Lao động phổ thông")</f>
        <v>Lao động phổ thông</v>
      </c>
      <c r="R448" s="17">
        <f>IFERROR(__xludf.DUMMYFUNCTION("""COMPUTED_VALUE"""),41951.0)</f>
        <v>41951</v>
      </c>
      <c r="S448" s="17">
        <f>IFERROR(__xludf.DUMMYFUNCTION("""COMPUTED_VALUE"""),41951.0)</f>
        <v>41951</v>
      </c>
      <c r="T448" s="7" t="str">
        <f>IFERROR(__xludf.DUMMYFUNCTION("""COMPUTED_VALUE"""),"Chính thức")</f>
        <v>Chính thức</v>
      </c>
      <c r="U448" s="7"/>
      <c r="V448" s="7"/>
      <c r="W448" s="7" t="str">
        <f>IFERROR(__xludf.DUMMYFUNCTION("""COMPUTED_VALUE"""),"11 năm 1 tháng")</f>
        <v>11 năm 1 tháng</v>
      </c>
      <c r="X448" s="7"/>
      <c r="Y448" s="7"/>
      <c r="Z448" s="7"/>
    </row>
    <row r="449">
      <c r="A449" s="21" t="str">
        <f>IFERROR(__xludf.DUMMYFUNCTION("""COMPUTED_VALUE"""),"2")</f>
        <v>2</v>
      </c>
      <c r="B449" s="7" t="str">
        <f>IFERROR(__xludf.DUMMYFUNCTION("""COMPUTED_VALUE"""),"PXSX1")</f>
        <v>PXSX1</v>
      </c>
      <c r="C449" s="7" t="str">
        <f>IFERROR(__xludf.DUMMYFUNCTION("""COMPUTED_VALUE"""),"Bộ phận nung và hoàn thiện sản phẩm")</f>
        <v>Bộ phận nung và hoàn thiện sản phẩm</v>
      </c>
      <c r="D449" s="7" t="str">
        <f>IFERROR(__xludf.DUMMYFUNCTION("""COMPUTED_VALUE"""),"Đóng hộp Ca A")</f>
        <v>Đóng hộp Ca A</v>
      </c>
      <c r="E449" s="7" t="str">
        <f>IFERROR(__xludf.DUMMYFUNCTION("""COMPUTED_VALUE"""),"VH máy đóng hộp")</f>
        <v>VH máy đóng hộp</v>
      </c>
      <c r="F449" s="7" t="str">
        <f>IFERROR(__xludf.DUMMYFUNCTION("""COMPUTED_VALUE"""),"NV5339")</f>
        <v>NV5339</v>
      </c>
      <c r="G449" s="7">
        <f>IFERROR(__xludf.DUMMYFUNCTION("""COMPUTED_VALUE"""),331.0)</f>
        <v>331</v>
      </c>
      <c r="H449" s="7" t="str">
        <f>IFERROR(__xludf.DUMMYFUNCTION("""COMPUTED_VALUE"""),"Lê Văn Dương")</f>
        <v>Lê Văn Dương</v>
      </c>
      <c r="I449" s="7" t="str">
        <f>IFERROR(__xludf.DUMMYFUNCTION("""COMPUTED_VALUE"""),"Nam")</f>
        <v>Nam</v>
      </c>
      <c r="J449" s="17">
        <f>IFERROR(__xludf.DUMMYFUNCTION("""COMPUTED_VALUE"""),26027.0)</f>
        <v>26027</v>
      </c>
      <c r="K449" s="7" t="str">
        <f>IFERROR(__xludf.DUMMYFUNCTION("""COMPUTED_VALUE"""),"Phường Quàng Phú - Tỉnh Thanh Hóa")</f>
        <v>Phường Quàng Phú - Tỉnh Thanh Hóa</v>
      </c>
      <c r="L449" s="7" t="str">
        <f>IFERROR(__xludf.DUMMYFUNCTION("""COMPUTED_VALUE"""),"0977405893")</f>
        <v>0977405893</v>
      </c>
      <c r="M449" s="7" t="str">
        <f>IFERROR(__xludf.DUMMYFUNCTION("""COMPUTED_VALUE"""),"038071024965")</f>
        <v>038071024965</v>
      </c>
      <c r="N449" s="17">
        <f>IFERROR(__xludf.DUMMYFUNCTION("""COMPUTED_VALUE"""),44419.0)</f>
        <v>44419</v>
      </c>
      <c r="O449" s="7" t="str">
        <f>IFERROR(__xludf.DUMMYFUNCTION("""COMPUTED_VALUE"""),"Cục Cảnh sát QLHC về TTXH")</f>
        <v>Cục Cảnh sát QLHC về TTXH</v>
      </c>
      <c r="P449" s="7" t="str">
        <f>IFERROR(__xludf.DUMMYFUNCTION("""COMPUTED_VALUE"""),"LĐPT")</f>
        <v>LĐPT</v>
      </c>
      <c r="Q449" s="7" t="str">
        <f>IFERROR(__xludf.DUMMYFUNCTION("""COMPUTED_VALUE"""),"Lao động phổ thông")</f>
        <v>Lao động phổ thông</v>
      </c>
      <c r="R449" s="7"/>
      <c r="S449" s="17">
        <f>IFERROR(__xludf.DUMMYFUNCTION("""COMPUTED_VALUE"""),45566.0)</f>
        <v>45566</v>
      </c>
      <c r="T449" s="7" t="str">
        <f>IFERROR(__xludf.DUMMYFUNCTION("""COMPUTED_VALUE"""),"Chính thức")</f>
        <v>Chính thức</v>
      </c>
      <c r="U449" s="7"/>
      <c r="V449" s="7"/>
      <c r="W449" s="7" t="str">
        <f>IFERROR(__xludf.DUMMYFUNCTION("""COMPUTED_VALUE"""),"1 năm 2 tháng")</f>
        <v>1 năm 2 tháng</v>
      </c>
      <c r="X449" s="7"/>
      <c r="Y449" s="7"/>
      <c r="Z449" s="7"/>
    </row>
    <row r="450">
      <c r="A450" s="21" t="str">
        <f>IFERROR(__xludf.DUMMYFUNCTION("""COMPUTED_VALUE"""),"3")</f>
        <v>3</v>
      </c>
      <c r="B450" s="7" t="str">
        <f>IFERROR(__xludf.DUMMYFUNCTION("""COMPUTED_VALUE"""),"PXSX1")</f>
        <v>PXSX1</v>
      </c>
      <c r="C450" s="7" t="str">
        <f>IFERROR(__xludf.DUMMYFUNCTION("""COMPUTED_VALUE"""),"Bộ phận nung và hoàn thiện sản phẩm")</f>
        <v>Bộ phận nung và hoàn thiện sản phẩm</v>
      </c>
      <c r="D450" s="7" t="str">
        <f>IFERROR(__xludf.DUMMYFUNCTION("""COMPUTED_VALUE"""),"Đóng hộp Ca A")</f>
        <v>Đóng hộp Ca A</v>
      </c>
      <c r="E450" s="7" t="str">
        <f>IFERROR(__xludf.DUMMYFUNCTION("""COMPUTED_VALUE"""),"Bốc lai phụ + Đóng hộp DC1")</f>
        <v>Bốc lai phụ + Đóng hộp DC1</v>
      </c>
      <c r="F450" s="7" t="str">
        <f>IFERROR(__xludf.DUMMYFUNCTION("""COMPUTED_VALUE"""),"NV5518")</f>
        <v>NV5518</v>
      </c>
      <c r="G450" s="7">
        <f>IFERROR(__xludf.DUMMYFUNCTION("""COMPUTED_VALUE"""),1001.0)</f>
        <v>1001</v>
      </c>
      <c r="H450" s="7" t="str">
        <f>IFERROR(__xludf.DUMMYFUNCTION("""COMPUTED_VALUE"""),"Đinh Ngọc Tuyên")</f>
        <v>Đinh Ngọc Tuyên</v>
      </c>
      <c r="I450" s="7" t="str">
        <f>IFERROR(__xludf.DUMMYFUNCTION("""COMPUTED_VALUE"""),"Nam")</f>
        <v>Nam</v>
      </c>
      <c r="J450" s="17">
        <f>IFERROR(__xludf.DUMMYFUNCTION("""COMPUTED_VALUE"""),26942.0)</f>
        <v>26942</v>
      </c>
      <c r="K450" s="7" t="str">
        <f>IFERROR(__xludf.DUMMYFUNCTION("""COMPUTED_VALUE"""),"Xã Xuân Hòa – Tỉnh Thanh Hóa")</f>
        <v>Xã Xuân Hòa – Tỉnh Thanh Hóa</v>
      </c>
      <c r="L450" s="7" t="str">
        <f>IFERROR(__xludf.DUMMYFUNCTION("""COMPUTED_VALUE"""),"0857404289")</f>
        <v>0857404289</v>
      </c>
      <c r="M450" s="7" t="str">
        <f>IFERROR(__xludf.DUMMYFUNCTION("""COMPUTED_VALUE"""),"038073009982")</f>
        <v>038073009982</v>
      </c>
      <c r="N450" s="17">
        <f>IFERROR(__xludf.DUMMYFUNCTION("""COMPUTED_VALUE"""),44971.0)</f>
        <v>44971</v>
      </c>
      <c r="O450" s="7" t="str">
        <f>IFERROR(__xludf.DUMMYFUNCTION("""COMPUTED_VALUE"""),"Cục Cảnh sát QLHC về TTXH")</f>
        <v>Cục Cảnh sát QLHC về TTXH</v>
      </c>
      <c r="P450" s="7" t="str">
        <f>IFERROR(__xludf.DUMMYFUNCTION("""COMPUTED_VALUE"""),"LĐPT")</f>
        <v>LĐPT</v>
      </c>
      <c r="Q450" s="7" t="str">
        <f>IFERROR(__xludf.DUMMYFUNCTION("""COMPUTED_VALUE"""),"Lao động phổ thông")</f>
        <v>Lao động phổ thông</v>
      </c>
      <c r="R450" s="17">
        <f>IFERROR(__xludf.DUMMYFUNCTION("""COMPUTED_VALUE"""),45813.0)</f>
        <v>45813</v>
      </c>
      <c r="S450" s="7"/>
      <c r="T450" s="7" t="str">
        <f>IFERROR(__xludf.DUMMYFUNCTION("""COMPUTED_VALUE"""),"Chính thức")</f>
        <v>Chính thức</v>
      </c>
      <c r="U450" s="7"/>
      <c r="V450" s="7"/>
      <c r="W450" s="7" t="str">
        <f>IFERROR(__xludf.DUMMYFUNCTION("""COMPUTED_VALUE"""),"0 năm 6 tháng")</f>
        <v>0 năm 6 tháng</v>
      </c>
      <c r="X450" s="7"/>
      <c r="Y450" s="7"/>
      <c r="Z450" s="7"/>
    </row>
    <row r="451">
      <c r="A451" s="21" t="str">
        <f>IFERROR(__xludf.DUMMYFUNCTION("""COMPUTED_VALUE"""),"4")</f>
        <v>4</v>
      </c>
      <c r="B451" s="7" t="str">
        <f>IFERROR(__xludf.DUMMYFUNCTION("""COMPUTED_VALUE"""),"PXSX1")</f>
        <v>PXSX1</v>
      </c>
      <c r="C451" s="7" t="str">
        <f>IFERROR(__xludf.DUMMYFUNCTION("""COMPUTED_VALUE"""),"Bộ phận nung và hoàn thiện sản phẩm")</f>
        <v>Bộ phận nung và hoàn thiện sản phẩm</v>
      </c>
      <c r="D451" s="7" t="str">
        <f>IFERROR(__xludf.DUMMYFUNCTION("""COMPUTED_VALUE"""),"Đóng hộp Ca A")</f>
        <v>Đóng hộp Ca A</v>
      </c>
      <c r="E451" s="7" t="str">
        <f>IFERROR(__xludf.DUMMYFUNCTION("""COMPUTED_VALUE"""),"CN đóng hộp")</f>
        <v>CN đóng hộp</v>
      </c>
      <c r="F451" s="7" t="str">
        <f>IFERROR(__xludf.DUMMYFUNCTION("""COMPUTED_VALUE"""),"NV0688")</f>
        <v>NV0688</v>
      </c>
      <c r="G451" s="7">
        <f>IFERROR(__xludf.DUMMYFUNCTION("""COMPUTED_VALUE"""),682.0)</f>
        <v>682</v>
      </c>
      <c r="H451" s="7" t="str">
        <f>IFERROR(__xludf.DUMMYFUNCTION("""COMPUTED_VALUE"""),"Trần Thị Sinh")</f>
        <v>Trần Thị Sinh</v>
      </c>
      <c r="I451" s="7" t="str">
        <f>IFERROR(__xludf.DUMMYFUNCTION("""COMPUTED_VALUE"""),"Nữ ")</f>
        <v>Nữ </v>
      </c>
      <c r="J451" s="17">
        <f>IFERROR(__xludf.DUMMYFUNCTION("""COMPUTED_VALUE"""),28176.0)</f>
        <v>28176</v>
      </c>
      <c r="K451" s="7" t="str">
        <f>IFERROR(__xludf.DUMMYFUNCTION("""COMPUTED_VALUE"""),"Phường Hạc Thành - Tỉnh Thanh Hóa")</f>
        <v>Phường Hạc Thành - Tỉnh Thanh Hóa</v>
      </c>
      <c r="L451" s="7" t="str">
        <f>IFERROR(__xludf.DUMMYFUNCTION("""COMPUTED_VALUE"""),"0865001875")</f>
        <v>0865001875</v>
      </c>
      <c r="M451" s="7" t="str">
        <f>IFERROR(__xludf.DUMMYFUNCTION("""COMPUTED_VALUE"""),"038177008327")</f>
        <v>038177008327</v>
      </c>
      <c r="N451" s="17">
        <f>IFERROR(__xludf.DUMMYFUNCTION("""COMPUTED_VALUE"""),43599.0)</f>
        <v>43599</v>
      </c>
      <c r="O451" s="7" t="str">
        <f>IFERROR(__xludf.DUMMYFUNCTION("""COMPUTED_VALUE"""),"Cục Cảnh sát QLHC về TTXH")</f>
        <v>Cục Cảnh sát QLHC về TTXH</v>
      </c>
      <c r="P451" s="7" t="str">
        <f>IFERROR(__xludf.DUMMYFUNCTION("""COMPUTED_VALUE"""),"LĐPT")</f>
        <v>LĐPT</v>
      </c>
      <c r="Q451" s="7" t="str">
        <f>IFERROR(__xludf.DUMMYFUNCTION("""COMPUTED_VALUE"""),"Lao động phổ thông")</f>
        <v>Lao động phổ thông</v>
      </c>
      <c r="R451" s="17">
        <f>IFERROR(__xludf.DUMMYFUNCTION("""COMPUTED_VALUE"""),42461.0)</f>
        <v>42461</v>
      </c>
      <c r="S451" s="17">
        <f>IFERROR(__xludf.DUMMYFUNCTION("""COMPUTED_VALUE"""),42491.0)</f>
        <v>42491</v>
      </c>
      <c r="T451" s="7" t="str">
        <f>IFERROR(__xludf.DUMMYFUNCTION("""COMPUTED_VALUE"""),"Chính thức")</f>
        <v>Chính thức</v>
      </c>
      <c r="U451" s="7"/>
      <c r="V451" s="7"/>
      <c r="W451" s="7" t="str">
        <f>IFERROR(__xludf.DUMMYFUNCTION("""COMPUTED_VALUE"""),"9 năm 8 tháng")</f>
        <v>9 năm 8 tháng</v>
      </c>
      <c r="X451" s="7"/>
      <c r="Y451" s="7"/>
      <c r="Z451" s="7"/>
    </row>
    <row r="452">
      <c r="A452" s="21" t="str">
        <f>IFERROR(__xludf.DUMMYFUNCTION("""COMPUTED_VALUE"""),"5")</f>
        <v>5</v>
      </c>
      <c r="B452" s="7" t="str">
        <f>IFERROR(__xludf.DUMMYFUNCTION("""COMPUTED_VALUE"""),"PXSX1")</f>
        <v>PXSX1</v>
      </c>
      <c r="C452" s="7" t="str">
        <f>IFERROR(__xludf.DUMMYFUNCTION("""COMPUTED_VALUE"""),"Bộ phận nung và hoàn thiện sản phẩm")</f>
        <v>Bộ phận nung và hoàn thiện sản phẩm</v>
      </c>
      <c r="D452" s="7" t="str">
        <f>IFERROR(__xludf.DUMMYFUNCTION("""COMPUTED_VALUE"""),"Đóng hộp Ca A")</f>
        <v>Đóng hộp Ca A</v>
      </c>
      <c r="E452" s="7" t="str">
        <f>IFERROR(__xludf.DUMMYFUNCTION("""COMPUTED_VALUE"""),"Hoàn thiện palet DC2")</f>
        <v>Hoàn thiện palet DC2</v>
      </c>
      <c r="F452" s="7" t="str">
        <f>IFERROR(__xludf.DUMMYFUNCTION("""COMPUTED_VALUE"""),"NV5671")</f>
        <v>NV5671</v>
      </c>
      <c r="G452" s="7">
        <f>IFERROR(__xludf.DUMMYFUNCTION("""COMPUTED_VALUE"""),1165.0)</f>
        <v>1165</v>
      </c>
      <c r="H452" s="7" t="str">
        <f>IFERROR(__xludf.DUMMYFUNCTION("""COMPUTED_VALUE"""),"Tô Thị Lưu")</f>
        <v>Tô Thị Lưu</v>
      </c>
      <c r="I452" s="7" t="str">
        <f>IFERROR(__xludf.DUMMYFUNCTION("""COMPUTED_VALUE"""),"Nữ")</f>
        <v>Nữ</v>
      </c>
      <c r="J452" s="17">
        <f>IFERROR(__xludf.DUMMYFUNCTION("""COMPUTED_VALUE"""),28378.0)</f>
        <v>28378</v>
      </c>
      <c r="K452" s="7" t="str">
        <f>IFERROR(__xludf.DUMMYFUNCTION("""COMPUTED_VALUE"""),"Thôn 3 - Xã Quảng Bình - Tỉnh Thanh Hóa")</f>
        <v>Thôn 3 - Xã Quảng Bình - Tỉnh Thanh Hóa</v>
      </c>
      <c r="L452" s="7" t="str">
        <f>IFERROR(__xludf.DUMMYFUNCTION("""COMPUTED_VALUE"""),"0964752308")</f>
        <v>0964752308</v>
      </c>
      <c r="M452" s="7" t="str">
        <f>IFERROR(__xludf.DUMMYFUNCTION("""COMPUTED_VALUE"""),"038177003644")</f>
        <v>038177003644</v>
      </c>
      <c r="N452" s="17">
        <f>IFERROR(__xludf.DUMMYFUNCTION("""COMPUTED_VALUE"""),44435.0)</f>
        <v>44435</v>
      </c>
      <c r="O452" s="7" t="str">
        <f>IFERROR(__xludf.DUMMYFUNCTION("""COMPUTED_VALUE"""),"Cục Cảnh sát QLHC về TTXH")</f>
        <v>Cục Cảnh sát QLHC về TTXH</v>
      </c>
      <c r="P452" s="7" t="str">
        <f>IFERROR(__xludf.DUMMYFUNCTION("""COMPUTED_VALUE"""),"LĐPT")</f>
        <v>LĐPT</v>
      </c>
      <c r="Q452" s="7" t="str">
        <f>IFERROR(__xludf.DUMMYFUNCTION("""COMPUTED_VALUE"""),"Lao động phổ thông")</f>
        <v>Lao động phổ thông</v>
      </c>
      <c r="R452" s="17">
        <f>IFERROR(__xludf.DUMMYFUNCTION("""COMPUTED_VALUE"""),45898.0)</f>
        <v>45898</v>
      </c>
      <c r="S452" s="17">
        <f>IFERROR(__xludf.DUMMYFUNCTION("""COMPUTED_VALUE"""),45929.0)</f>
        <v>45929</v>
      </c>
      <c r="T452" s="7" t="str">
        <f>IFERROR(__xludf.DUMMYFUNCTION("""COMPUTED_VALUE"""),"Thử việc")</f>
        <v>Thử việc</v>
      </c>
      <c r="U452" s="7"/>
      <c r="V452" s="7" t="str">
        <f>IFERROR(__xludf.DUMMYFUNCTION("""COMPUTED_VALUE"""),"Thử việc")</f>
        <v>Thử việc</v>
      </c>
      <c r="W452" s="7" t="str">
        <f>IFERROR(__xludf.DUMMYFUNCTION("""COMPUTED_VALUE"""),"0 năm 4 tháng")</f>
        <v>0 năm 4 tháng</v>
      </c>
      <c r="X452" s="7"/>
      <c r="Y452" s="7"/>
      <c r="Z452" s="7"/>
    </row>
    <row r="453">
      <c r="A453" s="21" t="str">
        <f>IFERROR(__xludf.DUMMYFUNCTION("""COMPUTED_VALUE"""),"6")</f>
        <v>6</v>
      </c>
      <c r="B453" s="7" t="str">
        <f>IFERROR(__xludf.DUMMYFUNCTION("""COMPUTED_VALUE"""),"PXSX1")</f>
        <v>PXSX1</v>
      </c>
      <c r="C453" s="7" t="str">
        <f>IFERROR(__xludf.DUMMYFUNCTION("""COMPUTED_VALUE"""),"Bộ phận nung và hoàn thiện sản phẩm")</f>
        <v>Bộ phận nung và hoàn thiện sản phẩm</v>
      </c>
      <c r="D453" s="7" t="str">
        <f>IFERROR(__xludf.DUMMYFUNCTION("""COMPUTED_VALUE"""),"Đóng hộp Ca A")</f>
        <v>Đóng hộp Ca A</v>
      </c>
      <c r="E453" s="7" t="str">
        <f>IFERROR(__xludf.DUMMYFUNCTION("""COMPUTED_VALUE"""),"VH máy đóng hộp")</f>
        <v>VH máy đóng hộp</v>
      </c>
      <c r="F453" s="7" t="str">
        <f>IFERROR(__xludf.DUMMYFUNCTION("""COMPUTED_VALUE"""),"NV5089")</f>
        <v>NV5089</v>
      </c>
      <c r="G453" s="7">
        <f>IFERROR(__xludf.DUMMYFUNCTION("""COMPUTED_VALUE"""),925.0)</f>
        <v>925</v>
      </c>
      <c r="H453" s="7" t="str">
        <f>IFERROR(__xludf.DUMMYFUNCTION("""COMPUTED_VALUE"""),"Đỗ Ngọc Tuấn ")</f>
        <v>Đỗ Ngọc Tuấn </v>
      </c>
      <c r="I453" s="7" t="str">
        <f>IFERROR(__xludf.DUMMYFUNCTION("""COMPUTED_VALUE"""),"Nam")</f>
        <v>Nam</v>
      </c>
      <c r="J453" s="17">
        <f>IFERROR(__xludf.DUMMYFUNCTION("""COMPUTED_VALUE"""),29097.0)</f>
        <v>29097</v>
      </c>
      <c r="K453" s="7" t="str">
        <f>IFERROR(__xludf.DUMMYFUNCTION("""COMPUTED_VALUE"""),"Phố Thành Mai - Phường Quảng Phú - Tỉnh Thanh hóa ")</f>
        <v>Phố Thành Mai - Phường Quảng Phú - Tỉnh Thanh hóa </v>
      </c>
      <c r="L453" s="7" t="str">
        <f>IFERROR(__xludf.DUMMYFUNCTION("""COMPUTED_VALUE"""),"0981940131")</f>
        <v>0981940131</v>
      </c>
      <c r="M453" s="7" t="str">
        <f>IFERROR(__xludf.DUMMYFUNCTION("""COMPUTED_VALUE"""),"038079011757")</f>
        <v>038079011757</v>
      </c>
      <c r="N453" s="17">
        <f>IFERROR(__xludf.DUMMYFUNCTION("""COMPUTED_VALUE"""),44992.0)</f>
        <v>44992</v>
      </c>
      <c r="O453" s="7" t="str">
        <f>IFERROR(__xludf.DUMMYFUNCTION("""COMPUTED_VALUE"""),"Cục Cảnh sát QLHC về TTXH")</f>
        <v>Cục Cảnh sát QLHC về TTXH</v>
      </c>
      <c r="P453" s="7" t="str">
        <f>IFERROR(__xludf.DUMMYFUNCTION("""COMPUTED_VALUE"""),"LĐPT")</f>
        <v>LĐPT</v>
      </c>
      <c r="Q453" s="7" t="str">
        <f>IFERROR(__xludf.DUMMYFUNCTION("""COMPUTED_VALUE"""),"Lao động phổ thông")</f>
        <v>Lao động phổ thông</v>
      </c>
      <c r="R453" s="17">
        <f>IFERROR(__xludf.DUMMYFUNCTION("""COMPUTED_VALUE"""),45791.0)</f>
        <v>45791</v>
      </c>
      <c r="S453" s="7"/>
      <c r="T453" s="7" t="str">
        <f>IFERROR(__xludf.DUMMYFUNCTION("""COMPUTED_VALUE"""),"Chính thức")</f>
        <v>Chính thức</v>
      </c>
      <c r="U453" s="7"/>
      <c r="V453" s="7"/>
      <c r="W453" s="7" t="str">
        <f>IFERROR(__xludf.DUMMYFUNCTION("""COMPUTED_VALUE"""),"0 năm 7 tháng")</f>
        <v>0 năm 7 tháng</v>
      </c>
      <c r="X453" s="7"/>
      <c r="Y453" s="7"/>
      <c r="Z453" s="7"/>
    </row>
    <row r="454">
      <c r="A454" s="21" t="str">
        <f>IFERROR(__xludf.DUMMYFUNCTION("""COMPUTED_VALUE"""),"7")</f>
        <v>7</v>
      </c>
      <c r="B454" s="7" t="str">
        <f>IFERROR(__xludf.DUMMYFUNCTION("""COMPUTED_VALUE"""),"PXSX1")</f>
        <v>PXSX1</v>
      </c>
      <c r="C454" s="7" t="str">
        <f>IFERROR(__xludf.DUMMYFUNCTION("""COMPUTED_VALUE"""),"Bộ phận nung và hoàn thiện sản phẩm")</f>
        <v>Bộ phận nung và hoàn thiện sản phẩm</v>
      </c>
      <c r="D454" s="7" t="str">
        <f>IFERROR(__xludf.DUMMYFUNCTION("""COMPUTED_VALUE"""),"Đóng hộp Ca A")</f>
        <v>Đóng hộp Ca A</v>
      </c>
      <c r="E454" s="7" t="str">
        <f>IFERROR(__xludf.DUMMYFUNCTION("""COMPUTED_VALUE"""),"Tổ trưởng - Phụ trách Đóng hộp")</f>
        <v>Tổ trưởng - Phụ trách Đóng hộp</v>
      </c>
      <c r="F454" s="7" t="str">
        <f>IFERROR(__xludf.DUMMYFUNCTION("""COMPUTED_VALUE"""),"NV0269")</f>
        <v>NV0269</v>
      </c>
      <c r="G454" s="7">
        <f>IFERROR(__xludf.DUMMYFUNCTION("""COMPUTED_VALUE"""),637.0)</f>
        <v>637</v>
      </c>
      <c r="H454" s="7" t="str">
        <f>IFERROR(__xludf.DUMMYFUNCTION("""COMPUTED_VALUE"""),"Đoàn Ngọc Thanh")</f>
        <v>Đoàn Ngọc Thanh</v>
      </c>
      <c r="I454" s="7" t="str">
        <f>IFERROR(__xludf.DUMMYFUNCTION("""COMPUTED_VALUE"""),"Nam")</f>
        <v>Nam</v>
      </c>
      <c r="J454" s="17">
        <f>IFERROR(__xludf.DUMMYFUNCTION("""COMPUTED_VALUE"""),29147.0)</f>
        <v>29147</v>
      </c>
      <c r="K454" s="7" t="str">
        <f>IFERROR(__xludf.DUMMYFUNCTION("""COMPUTED_VALUE"""),"Xã Lưu Vệ - Tỉnh Thanh Hóa ")</f>
        <v>Xã Lưu Vệ - Tỉnh Thanh Hóa </v>
      </c>
      <c r="L454" s="7" t="str">
        <f>IFERROR(__xludf.DUMMYFUNCTION("""COMPUTED_VALUE"""),"0946202784")</f>
        <v>0946202784</v>
      </c>
      <c r="M454" s="7" t="str">
        <f>IFERROR(__xludf.DUMMYFUNCTION("""COMPUTED_VALUE"""),"038079003793")</f>
        <v>038079003793</v>
      </c>
      <c r="N454" s="17">
        <f>IFERROR(__xludf.DUMMYFUNCTION("""COMPUTED_VALUE"""),42814.0)</f>
        <v>42814</v>
      </c>
      <c r="O454" s="7" t="str">
        <f>IFERROR(__xludf.DUMMYFUNCTION("""COMPUTED_VALUE"""),"Cục Cảnh sát QLHC về TTXH")</f>
        <v>Cục Cảnh sát QLHC về TTXH</v>
      </c>
      <c r="P454" s="7" t="str">
        <f>IFERROR(__xludf.DUMMYFUNCTION("""COMPUTED_VALUE"""),"Cao đẳng")</f>
        <v>Cao đẳng</v>
      </c>
      <c r="Q454" s="7" t="str">
        <f>IFERROR(__xludf.DUMMYFUNCTION("""COMPUTED_VALUE"""),"điện công nghiệp")</f>
        <v>điện công nghiệp</v>
      </c>
      <c r="R454" s="17">
        <f>IFERROR(__xludf.DUMMYFUNCTION("""COMPUTED_VALUE"""),42570.0)</f>
        <v>42570</v>
      </c>
      <c r="S454" s="17">
        <f>IFERROR(__xludf.DUMMYFUNCTION("""COMPUTED_VALUE"""),42570.0)</f>
        <v>42570</v>
      </c>
      <c r="T454" s="7" t="str">
        <f>IFERROR(__xludf.DUMMYFUNCTION("""COMPUTED_VALUE"""),"Chính thức")</f>
        <v>Chính thức</v>
      </c>
      <c r="U454" s="7"/>
      <c r="V454" s="7"/>
      <c r="W454" s="7" t="str">
        <f>IFERROR(__xludf.DUMMYFUNCTION("""COMPUTED_VALUE"""),"9 năm 5 tháng")</f>
        <v>9 năm 5 tháng</v>
      </c>
      <c r="X454" s="7"/>
      <c r="Y454" s="7"/>
      <c r="Z454" s="7"/>
    </row>
    <row r="455">
      <c r="A455" s="21" t="str">
        <f>IFERROR(__xludf.DUMMYFUNCTION("""COMPUTED_VALUE"""),"8")</f>
        <v>8</v>
      </c>
      <c r="B455" s="7" t="str">
        <f>IFERROR(__xludf.DUMMYFUNCTION("""COMPUTED_VALUE"""),"PXSX1")</f>
        <v>PXSX1</v>
      </c>
      <c r="C455" s="7" t="str">
        <f>IFERROR(__xludf.DUMMYFUNCTION("""COMPUTED_VALUE"""),"Bộ phận nung và hoàn thiện sản phẩm")</f>
        <v>Bộ phận nung và hoàn thiện sản phẩm</v>
      </c>
      <c r="D455" s="7" t="str">
        <f>IFERROR(__xludf.DUMMYFUNCTION("""COMPUTED_VALUE"""),"Đóng hộp Ca A")</f>
        <v>Đóng hộp Ca A</v>
      </c>
      <c r="E455" s="7" t="str">
        <f>IFERROR(__xludf.DUMMYFUNCTION("""COMPUTED_VALUE"""),"Bể nước thải")</f>
        <v>Bể nước thải</v>
      </c>
      <c r="F455" s="7" t="str">
        <f>IFERROR(__xludf.DUMMYFUNCTION("""COMPUTED_VALUE"""),"NV2781")</f>
        <v>NV2781</v>
      </c>
      <c r="G455" s="7">
        <f>IFERROR(__xludf.DUMMYFUNCTION("""COMPUTED_VALUE"""),806.0)</f>
        <v>806</v>
      </c>
      <c r="H455" s="7" t="str">
        <f>IFERROR(__xludf.DUMMYFUNCTION("""COMPUTED_VALUE"""),"Nguyễn Hoàng Kỷ")</f>
        <v>Nguyễn Hoàng Kỷ</v>
      </c>
      <c r="I455" s="7" t="str">
        <f>IFERROR(__xludf.DUMMYFUNCTION("""COMPUTED_VALUE"""),"Nam")</f>
        <v>Nam</v>
      </c>
      <c r="J455" s="17">
        <f>IFERROR(__xludf.DUMMYFUNCTION("""COMPUTED_VALUE"""),29397.0)</f>
        <v>29397</v>
      </c>
      <c r="K455" s="7" t="str">
        <f>IFERROR(__xludf.DUMMYFUNCTION("""COMPUTED_VALUE"""),"SN 399 Đường Yết Kiêu - Phường Quảng Phú - Tỉnh Thanh hóa ")</f>
        <v>SN 399 Đường Yết Kiêu - Phường Quảng Phú - Tỉnh Thanh hóa </v>
      </c>
      <c r="L455" s="7" t="str">
        <f>IFERROR(__xludf.DUMMYFUNCTION("""COMPUTED_VALUE"""),"0337758313")</f>
        <v>0337758313</v>
      </c>
      <c r="M455" s="7" t="str">
        <f>IFERROR(__xludf.DUMMYFUNCTION("""COMPUTED_VALUE"""),"038080040025")</f>
        <v>038080040025</v>
      </c>
      <c r="N455" s="17">
        <f>IFERROR(__xludf.DUMMYFUNCTION("""COMPUTED_VALUE"""),44459.0)</f>
        <v>44459</v>
      </c>
      <c r="O455" s="7" t="str">
        <f>IFERROR(__xludf.DUMMYFUNCTION("""COMPUTED_VALUE"""),"Cục Cảnh sát QLHC về TTXH")</f>
        <v>Cục Cảnh sát QLHC về TTXH</v>
      </c>
      <c r="P455" s="7" t="str">
        <f>IFERROR(__xludf.DUMMYFUNCTION("""COMPUTED_VALUE"""),"LĐPT")</f>
        <v>LĐPT</v>
      </c>
      <c r="Q455" s="7" t="str">
        <f>IFERROR(__xludf.DUMMYFUNCTION("""COMPUTED_VALUE"""),"Lao động phổ thông")</f>
        <v>Lao động phổ thông</v>
      </c>
      <c r="R455" s="17">
        <f>IFERROR(__xludf.DUMMYFUNCTION("""COMPUTED_VALUE"""),44033.0)</f>
        <v>44033</v>
      </c>
      <c r="S455" s="17">
        <f>IFERROR(__xludf.DUMMYFUNCTION("""COMPUTED_VALUE"""),44317.0)</f>
        <v>44317</v>
      </c>
      <c r="T455" s="7" t="str">
        <f>IFERROR(__xludf.DUMMYFUNCTION("""COMPUTED_VALUE"""),"Chính thức")</f>
        <v>Chính thức</v>
      </c>
      <c r="U455" s="7"/>
      <c r="V455" s="7"/>
      <c r="W455" s="7" t="str">
        <f>IFERROR(__xludf.DUMMYFUNCTION("""COMPUTED_VALUE"""),"5 năm 5 tháng")</f>
        <v>5 năm 5 tháng</v>
      </c>
      <c r="X455" s="7"/>
      <c r="Y455" s="7"/>
      <c r="Z455" s="7"/>
    </row>
    <row r="456">
      <c r="A456" s="21" t="str">
        <f>IFERROR(__xludf.DUMMYFUNCTION("""COMPUTED_VALUE"""),"9")</f>
        <v>9</v>
      </c>
      <c r="B456" s="7" t="str">
        <f>IFERROR(__xludf.DUMMYFUNCTION("""COMPUTED_VALUE"""),"PXSX1")</f>
        <v>PXSX1</v>
      </c>
      <c r="C456" s="7" t="str">
        <f>IFERROR(__xludf.DUMMYFUNCTION("""COMPUTED_VALUE"""),"Bộ phận nung và hoàn thiện sản phẩm")</f>
        <v>Bộ phận nung và hoàn thiện sản phẩm</v>
      </c>
      <c r="D456" s="7" t="str">
        <f>IFERROR(__xludf.DUMMYFUNCTION("""COMPUTED_VALUE"""),"Đóng hộp Ca A")</f>
        <v>Đóng hộp Ca A</v>
      </c>
      <c r="E456" s="7" t="str">
        <f>IFERROR(__xludf.DUMMYFUNCTION("""COMPUTED_VALUE"""),"Hoàn thiện palet mức 1")</f>
        <v>Hoàn thiện palet mức 1</v>
      </c>
      <c r="F456" s="7" t="str">
        <f>IFERROR(__xludf.DUMMYFUNCTION("""COMPUTED_VALUE"""),"NV1838")</f>
        <v>NV1838</v>
      </c>
      <c r="G456" s="7">
        <f>IFERROR(__xludf.DUMMYFUNCTION("""COMPUTED_VALUE"""),779.0)</f>
        <v>779</v>
      </c>
      <c r="H456" s="7" t="str">
        <f>IFERROR(__xludf.DUMMYFUNCTION("""COMPUTED_VALUE"""),"Cao Thị Oanh")</f>
        <v>Cao Thị Oanh</v>
      </c>
      <c r="I456" s="7" t="str">
        <f>IFERROR(__xludf.DUMMYFUNCTION("""COMPUTED_VALUE"""),"Nữ ")</f>
        <v>Nữ </v>
      </c>
      <c r="J456" s="17">
        <f>IFERROR(__xludf.DUMMYFUNCTION("""COMPUTED_VALUE"""),29409.0)</f>
        <v>29409</v>
      </c>
      <c r="K456" s="7" t="str">
        <f>IFERROR(__xludf.DUMMYFUNCTION("""COMPUTED_VALUE"""),"Thôn Thắng Phú - Xã Quảng Ngọc - Tỉnh Thanh Hóa")</f>
        <v>Thôn Thắng Phú - Xã Quảng Ngọc - Tỉnh Thanh Hóa</v>
      </c>
      <c r="L456" s="7" t="str">
        <f>IFERROR(__xludf.DUMMYFUNCTION("""COMPUTED_VALUE"""),"0369749036")</f>
        <v>0369749036</v>
      </c>
      <c r="M456" s="7" t="str">
        <f>IFERROR(__xludf.DUMMYFUNCTION("""COMPUTED_VALUE"""),"038180010725")</f>
        <v>038180010725</v>
      </c>
      <c r="N456" s="17">
        <f>IFERROR(__xludf.DUMMYFUNCTION("""COMPUTED_VALUE"""),44419.0)</f>
        <v>44419</v>
      </c>
      <c r="O456" s="7" t="str">
        <f>IFERROR(__xludf.DUMMYFUNCTION("""COMPUTED_VALUE"""),"Cục Cảnh sát QLHC về TTXH")</f>
        <v>Cục Cảnh sát QLHC về TTXH</v>
      </c>
      <c r="P456" s="7" t="str">
        <f>IFERROR(__xludf.DUMMYFUNCTION("""COMPUTED_VALUE"""),"LĐPT")</f>
        <v>LĐPT</v>
      </c>
      <c r="Q456" s="7" t="str">
        <f>IFERROR(__xludf.DUMMYFUNCTION("""COMPUTED_VALUE"""),"Lao động phổ thông")</f>
        <v>Lao động phổ thông</v>
      </c>
      <c r="R456" s="17">
        <f>IFERROR(__xludf.DUMMYFUNCTION("""COMPUTED_VALUE"""),43364.0)</f>
        <v>43364</v>
      </c>
      <c r="S456" s="17">
        <f>IFERROR(__xludf.DUMMYFUNCTION("""COMPUTED_VALUE"""),43678.0)</f>
        <v>43678</v>
      </c>
      <c r="T456" s="7" t="str">
        <f>IFERROR(__xludf.DUMMYFUNCTION("""COMPUTED_VALUE"""),"Chính thức")</f>
        <v>Chính thức</v>
      </c>
      <c r="U456" s="7"/>
      <c r="V456" s="7"/>
      <c r="W456" s="7" t="str">
        <f>IFERROR(__xludf.DUMMYFUNCTION("""COMPUTED_VALUE"""),"7 năm 3 tháng")</f>
        <v>7 năm 3 tháng</v>
      </c>
      <c r="X456" s="7"/>
      <c r="Y456" s="7"/>
      <c r="Z456" s="7"/>
    </row>
    <row r="457">
      <c r="A457" s="21" t="str">
        <f>IFERROR(__xludf.DUMMYFUNCTION("""COMPUTED_VALUE"""),"10")</f>
        <v>10</v>
      </c>
      <c r="B457" s="7" t="str">
        <f>IFERROR(__xludf.DUMMYFUNCTION("""COMPUTED_VALUE"""),"PXSX1")</f>
        <v>PXSX1</v>
      </c>
      <c r="C457" s="7" t="str">
        <f>IFERROR(__xludf.DUMMYFUNCTION("""COMPUTED_VALUE"""),"Bộ phận nung và hoàn thiện sản phẩm")</f>
        <v>Bộ phận nung và hoàn thiện sản phẩm</v>
      </c>
      <c r="D457" s="7" t="str">
        <f>IFERROR(__xludf.DUMMYFUNCTION("""COMPUTED_VALUE"""),"Đóng hộp Ca A")</f>
        <v>Đóng hộp Ca A</v>
      </c>
      <c r="E457" s="7" t="str">
        <f>IFERROR(__xludf.DUMMYFUNCTION("""COMPUTED_VALUE"""),"VH máy đóng hộp")</f>
        <v>VH máy đóng hộp</v>
      </c>
      <c r="F457" s="7" t="str">
        <f>IFERROR(__xludf.DUMMYFUNCTION("""COMPUTED_VALUE"""),"NV5017")</f>
        <v>NV5017</v>
      </c>
      <c r="G457" s="7">
        <f>IFERROR(__xludf.DUMMYFUNCTION("""COMPUTED_VALUE"""),797.0)</f>
        <v>797</v>
      </c>
      <c r="H457" s="7" t="str">
        <f>IFERROR(__xludf.DUMMYFUNCTION("""COMPUTED_VALUE"""),"Tạ Hữu Sơn")</f>
        <v>Tạ Hữu Sơn</v>
      </c>
      <c r="I457" s="7" t="str">
        <f>IFERROR(__xludf.DUMMYFUNCTION("""COMPUTED_VALUE"""),"Nam")</f>
        <v>Nam</v>
      </c>
      <c r="J457" s="17">
        <f>IFERROR(__xludf.DUMMYFUNCTION("""COMPUTED_VALUE"""),30187.0)</f>
        <v>30187</v>
      </c>
      <c r="K457" s="7" t="str">
        <f>IFERROR(__xludf.DUMMYFUNCTION("""COMPUTED_VALUE"""),"Xã Hoằng Hóa - Tỉnh Thanh Hóa")</f>
        <v>Xã Hoằng Hóa - Tỉnh Thanh Hóa</v>
      </c>
      <c r="L457" s="7" t="str">
        <f>IFERROR(__xludf.DUMMYFUNCTION("""COMPUTED_VALUE"""),"0378454075")</f>
        <v>0378454075</v>
      </c>
      <c r="M457" s="7" t="str">
        <f>IFERROR(__xludf.DUMMYFUNCTION("""COMPUTED_VALUE"""),"038082031002")</f>
        <v>038082031002</v>
      </c>
      <c r="N457" s="17">
        <f>IFERROR(__xludf.DUMMYFUNCTION("""COMPUTED_VALUE"""),44656.0)</f>
        <v>44656</v>
      </c>
      <c r="O457" s="7" t="str">
        <f>IFERROR(__xludf.DUMMYFUNCTION("""COMPUTED_VALUE"""),"Cục Cảnh sát QLHC về TTXH")</f>
        <v>Cục Cảnh sát QLHC về TTXH</v>
      </c>
      <c r="P457" s="7" t="str">
        <f>IFERROR(__xludf.DUMMYFUNCTION("""COMPUTED_VALUE"""),"LĐPT")</f>
        <v>LĐPT</v>
      </c>
      <c r="Q457" s="7" t="str">
        <f>IFERROR(__xludf.DUMMYFUNCTION("""COMPUTED_VALUE"""),"Lao động phổ thông")</f>
        <v>Lao động phổ thông</v>
      </c>
      <c r="R457" s="17">
        <f>IFERROR(__xludf.DUMMYFUNCTION("""COMPUTED_VALUE"""),45349.0)</f>
        <v>45349</v>
      </c>
      <c r="S457" s="17">
        <f>IFERROR(__xludf.DUMMYFUNCTION("""COMPUTED_VALUE"""),45505.0)</f>
        <v>45505</v>
      </c>
      <c r="T457" s="7" t="str">
        <f>IFERROR(__xludf.DUMMYFUNCTION("""COMPUTED_VALUE"""),"Chính thức")</f>
        <v>Chính thức</v>
      </c>
      <c r="U457" s="7"/>
      <c r="V457" s="7"/>
      <c r="W457" s="7" t="str">
        <f>IFERROR(__xludf.DUMMYFUNCTION("""COMPUTED_VALUE"""),"1 năm 10 tháng")</f>
        <v>1 năm 10 tháng</v>
      </c>
      <c r="X457" s="7"/>
      <c r="Y457" s="7"/>
      <c r="Z457" s="7"/>
    </row>
    <row r="458">
      <c r="A458" s="21" t="str">
        <f>IFERROR(__xludf.DUMMYFUNCTION("""COMPUTED_VALUE"""),"11")</f>
        <v>11</v>
      </c>
      <c r="B458" s="7" t="str">
        <f>IFERROR(__xludf.DUMMYFUNCTION("""COMPUTED_VALUE"""),"PXSX1")</f>
        <v>PXSX1</v>
      </c>
      <c r="C458" s="7" t="str">
        <f>IFERROR(__xludf.DUMMYFUNCTION("""COMPUTED_VALUE"""),"Bộ phận nung và hoàn thiện sản phẩm")</f>
        <v>Bộ phận nung và hoàn thiện sản phẩm</v>
      </c>
      <c r="D458" s="7" t="str">
        <f>IFERROR(__xludf.DUMMYFUNCTION("""COMPUTED_VALUE"""),"Đóng hộp Ca A")</f>
        <v>Đóng hộp Ca A</v>
      </c>
      <c r="E458" s="7" t="str">
        <f>IFERROR(__xludf.DUMMYFUNCTION("""COMPUTED_VALUE"""),"Bốc lai")</f>
        <v>Bốc lai</v>
      </c>
      <c r="F458" s="7" t="str">
        <f>IFERROR(__xludf.DUMMYFUNCTION("""COMPUTED_VALUE"""),"NV5633")</f>
        <v>NV5633</v>
      </c>
      <c r="G458" s="7">
        <f>IFERROR(__xludf.DUMMYFUNCTION("""COMPUTED_VALUE"""),1123.0)</f>
        <v>1123</v>
      </c>
      <c r="H458" s="7" t="str">
        <f>IFERROR(__xludf.DUMMYFUNCTION("""COMPUTED_VALUE"""),"Dương Thị Nhã")</f>
        <v>Dương Thị Nhã</v>
      </c>
      <c r="I458" s="7" t="str">
        <f>IFERROR(__xludf.DUMMYFUNCTION("""COMPUTED_VALUE"""),"Nữ")</f>
        <v>Nữ</v>
      </c>
      <c r="J458" s="17">
        <f>IFERROR(__xludf.DUMMYFUNCTION("""COMPUTED_VALUE"""),30393.0)</f>
        <v>30393</v>
      </c>
      <c r="K458" s="7" t="str">
        <f>IFERROR(__xludf.DUMMYFUNCTION("""COMPUTED_VALUE"""),"Thôn Linh Nga - Xã Quảng Bình - Tỉnh Thanh Hóa")</f>
        <v>Thôn Linh Nga - Xã Quảng Bình - Tỉnh Thanh Hóa</v>
      </c>
      <c r="L458" s="7" t="str">
        <f>IFERROR(__xludf.DUMMYFUNCTION("""COMPUTED_VALUE"""),"0568165239")</f>
        <v>0568165239</v>
      </c>
      <c r="M458" s="7" t="str">
        <f>IFERROR(__xludf.DUMMYFUNCTION("""COMPUTED_VALUE"""),"092183008752")</f>
        <v>092183008752</v>
      </c>
      <c r="N458" s="17">
        <f>IFERROR(__xludf.DUMMYFUNCTION("""COMPUTED_VALUE"""),44522.0)</f>
        <v>44522</v>
      </c>
      <c r="O458" s="7" t="str">
        <f>IFERROR(__xludf.DUMMYFUNCTION("""COMPUTED_VALUE"""),"Cục Cảnh sát QLHC về TTXH")</f>
        <v>Cục Cảnh sát QLHC về TTXH</v>
      </c>
      <c r="P458" s="7" t="str">
        <f>IFERROR(__xludf.DUMMYFUNCTION("""COMPUTED_VALUE"""),"LĐPT")</f>
        <v>LĐPT</v>
      </c>
      <c r="Q458" s="7" t="str">
        <f>IFERROR(__xludf.DUMMYFUNCTION("""COMPUTED_VALUE"""),"Lao động phổ thông")</f>
        <v>Lao động phổ thông</v>
      </c>
      <c r="R458" s="17">
        <f>IFERROR(__xludf.DUMMYFUNCTION("""COMPUTED_VALUE"""),45863.0)</f>
        <v>45863</v>
      </c>
      <c r="S458" s="7"/>
      <c r="T458" s="7" t="str">
        <f>IFERROR(__xludf.DUMMYFUNCTION("""COMPUTED_VALUE"""),"Thử việc")</f>
        <v>Thử việc</v>
      </c>
      <c r="U458" s="7"/>
      <c r="V458" s="7"/>
      <c r="W458" s="7" t="str">
        <f>IFERROR(__xludf.DUMMYFUNCTION("""COMPUTED_VALUE"""),"0 năm 5 tháng")</f>
        <v>0 năm 5 tháng</v>
      </c>
      <c r="X458" s="7"/>
      <c r="Y458" s="7"/>
      <c r="Z458" s="7"/>
    </row>
    <row r="459">
      <c r="A459" s="21" t="str">
        <f>IFERROR(__xludf.DUMMYFUNCTION("""COMPUTED_VALUE"""),"12")</f>
        <v>12</v>
      </c>
      <c r="B459" s="7" t="str">
        <f>IFERROR(__xludf.DUMMYFUNCTION("""COMPUTED_VALUE"""),"PXSX1")</f>
        <v>PXSX1</v>
      </c>
      <c r="C459" s="7" t="str">
        <f>IFERROR(__xludf.DUMMYFUNCTION("""COMPUTED_VALUE"""),"Bộ phận nung và hoàn thiện sản phẩm")</f>
        <v>Bộ phận nung và hoàn thiện sản phẩm</v>
      </c>
      <c r="D459" s="7" t="str">
        <f>IFERROR(__xludf.DUMMYFUNCTION("""COMPUTED_VALUE"""),"Đóng hộp Ca A")</f>
        <v>Đóng hộp Ca A</v>
      </c>
      <c r="E459" s="7" t="str">
        <f>IFERROR(__xludf.DUMMYFUNCTION("""COMPUTED_VALUE"""),"Xe nâng")</f>
        <v>Xe nâng</v>
      </c>
      <c r="F459" s="7" t="str">
        <f>IFERROR(__xludf.DUMMYFUNCTION("""COMPUTED_VALUE"""),"NV5494")</f>
        <v>NV5494</v>
      </c>
      <c r="G459" s="7">
        <f>IFERROR(__xludf.DUMMYFUNCTION("""COMPUTED_VALUE"""),977.0)</f>
        <v>977</v>
      </c>
      <c r="H459" s="7" t="str">
        <f>IFERROR(__xludf.DUMMYFUNCTION("""COMPUTED_VALUE"""),"Nguyễn Văn Long")</f>
        <v>Nguyễn Văn Long</v>
      </c>
      <c r="I459" s="7" t="str">
        <f>IFERROR(__xludf.DUMMYFUNCTION("""COMPUTED_VALUE"""),"Nam")</f>
        <v>Nam</v>
      </c>
      <c r="J459" s="17">
        <f>IFERROR(__xludf.DUMMYFUNCTION("""COMPUTED_VALUE"""),31356.0)</f>
        <v>31356</v>
      </c>
      <c r="K459" s="7" t="str">
        <f>IFERROR(__xludf.DUMMYFUNCTION("""COMPUTED_VALUE"""),"Thôn Phú Cường- Phường Quảng Phú - Tỉnh Thanh Hóa")</f>
        <v>Thôn Phú Cường- Phường Quảng Phú - Tỉnh Thanh Hóa</v>
      </c>
      <c r="L459" s="7" t="str">
        <f>IFERROR(__xludf.DUMMYFUNCTION("""COMPUTED_VALUE"""),"0983297889")</f>
        <v>0983297889</v>
      </c>
      <c r="M459" s="7" t="str">
        <f>IFERROR(__xludf.DUMMYFUNCTION("""COMPUTED_VALUE"""),"038085012518")</f>
        <v>038085012518</v>
      </c>
      <c r="N459" s="17">
        <f>IFERROR(__xludf.DUMMYFUNCTION("""COMPUTED_VALUE"""),44553.0)</f>
        <v>44553</v>
      </c>
      <c r="O459" s="7" t="str">
        <f>IFERROR(__xludf.DUMMYFUNCTION("""COMPUTED_VALUE"""),"Cục Cảnh sát QLHC về TTXH")</f>
        <v>Cục Cảnh sát QLHC về TTXH</v>
      </c>
      <c r="P459" s="7" t="str">
        <f>IFERROR(__xludf.DUMMYFUNCTION("""COMPUTED_VALUE"""),"LĐPT")</f>
        <v>LĐPT</v>
      </c>
      <c r="Q459" s="7" t="str">
        <f>IFERROR(__xludf.DUMMYFUNCTION("""COMPUTED_VALUE"""),"Lao động phổ thông")</f>
        <v>Lao động phổ thông</v>
      </c>
      <c r="R459" s="7"/>
      <c r="S459" s="17">
        <f>IFERROR(__xludf.DUMMYFUNCTION("""COMPUTED_VALUE"""),45838.0)</f>
        <v>45838</v>
      </c>
      <c r="T459" s="7" t="str">
        <f>IFERROR(__xludf.DUMMYFUNCTION("""COMPUTED_VALUE"""),"Chính thức")</f>
        <v>Chính thức</v>
      </c>
      <c r="U459" s="7"/>
      <c r="V459" s="7"/>
      <c r="W459" s="7" t="str">
        <f>IFERROR(__xludf.DUMMYFUNCTION("""COMPUTED_VALUE"""),"0 năm 6 tháng")</f>
        <v>0 năm 6 tháng</v>
      </c>
      <c r="X459" s="7"/>
      <c r="Y459" s="7"/>
      <c r="Z459" s="7"/>
    </row>
    <row r="460">
      <c r="A460" s="21" t="str">
        <f>IFERROR(__xludf.DUMMYFUNCTION("""COMPUTED_VALUE"""),"13")</f>
        <v>13</v>
      </c>
      <c r="B460" s="7" t="str">
        <f>IFERROR(__xludf.DUMMYFUNCTION("""COMPUTED_VALUE"""),"PXSX1")</f>
        <v>PXSX1</v>
      </c>
      <c r="C460" s="7" t="str">
        <f>IFERROR(__xludf.DUMMYFUNCTION("""COMPUTED_VALUE"""),"Bộ phận nung và hoàn thiện sản phẩm")</f>
        <v>Bộ phận nung và hoàn thiện sản phẩm</v>
      </c>
      <c r="D460" s="7" t="str">
        <f>IFERROR(__xludf.DUMMYFUNCTION("""COMPUTED_VALUE"""),"Đóng hộp Ca A")</f>
        <v>Đóng hộp Ca A</v>
      </c>
      <c r="E460" s="7" t="str">
        <f>IFERROR(__xludf.DUMMYFUNCTION("""COMPUTED_VALUE"""),"Nhóm trưởng")</f>
        <v>Nhóm trưởng</v>
      </c>
      <c r="F460" s="7" t="str">
        <f>IFERROR(__xludf.DUMMYFUNCTION("""COMPUTED_VALUE"""),"NV0228")</f>
        <v>NV0228</v>
      </c>
      <c r="G460" s="7">
        <f>IFERROR(__xludf.DUMMYFUNCTION("""COMPUTED_VALUE"""),697.0)</f>
        <v>697</v>
      </c>
      <c r="H460" s="7" t="str">
        <f>IFERROR(__xludf.DUMMYFUNCTION("""COMPUTED_VALUE"""),"Lê Văn Tình")</f>
        <v>Lê Văn Tình</v>
      </c>
      <c r="I460" s="7" t="str">
        <f>IFERROR(__xludf.DUMMYFUNCTION("""COMPUTED_VALUE"""),"Nam")</f>
        <v>Nam</v>
      </c>
      <c r="J460" s="17">
        <f>IFERROR(__xludf.DUMMYFUNCTION("""COMPUTED_VALUE"""),32668.0)</f>
        <v>32668</v>
      </c>
      <c r="K460" s="7" t="str">
        <f>IFERROR(__xludf.DUMMYFUNCTION("""COMPUTED_VALUE"""),"Xã Lưu Vệ - Tỉnh Thanh Hóa ")</f>
        <v>Xã Lưu Vệ - Tỉnh Thanh Hóa </v>
      </c>
      <c r="L460" s="7" t="str">
        <f>IFERROR(__xludf.DUMMYFUNCTION("""COMPUTED_VALUE"""),"0865001875")</f>
        <v>0865001875</v>
      </c>
      <c r="M460" s="7" t="str">
        <f>IFERROR(__xludf.DUMMYFUNCTION("""COMPUTED_VALUE"""),"038089025928")</f>
        <v>038089025928</v>
      </c>
      <c r="N460" s="17">
        <f>IFERROR(__xludf.DUMMYFUNCTION("""COMPUTED_VALUE"""),44375.0)</f>
        <v>44375</v>
      </c>
      <c r="O460" s="7" t="str">
        <f>IFERROR(__xludf.DUMMYFUNCTION("""COMPUTED_VALUE"""),"Cục Cảnh sát QLHC về TTXH")</f>
        <v>Cục Cảnh sát QLHC về TTXH</v>
      </c>
      <c r="P460" s="7" t="str">
        <f>IFERROR(__xludf.DUMMYFUNCTION("""COMPUTED_VALUE"""),"LĐPT")</f>
        <v>LĐPT</v>
      </c>
      <c r="Q460" s="7" t="str">
        <f>IFERROR(__xludf.DUMMYFUNCTION("""COMPUTED_VALUE"""),"Lao động phổ thông")</f>
        <v>Lao động phổ thông</v>
      </c>
      <c r="R460" s="17">
        <f>IFERROR(__xludf.DUMMYFUNCTION("""COMPUTED_VALUE"""),42067.0)</f>
        <v>42067</v>
      </c>
      <c r="S460" s="17">
        <f>IFERROR(__xludf.DUMMYFUNCTION("""COMPUTED_VALUE"""),42067.0)</f>
        <v>42067</v>
      </c>
      <c r="T460" s="7" t="str">
        <f>IFERROR(__xludf.DUMMYFUNCTION("""COMPUTED_VALUE"""),"Chính thức")</f>
        <v>Chính thức</v>
      </c>
      <c r="U460" s="7"/>
      <c r="V460" s="7"/>
      <c r="W460" s="7" t="str">
        <f>IFERROR(__xludf.DUMMYFUNCTION("""COMPUTED_VALUE"""),"10 năm 9 tháng")</f>
        <v>10 năm 9 tháng</v>
      </c>
      <c r="X460" s="7"/>
      <c r="Y460" s="7"/>
      <c r="Z460" s="7"/>
    </row>
    <row r="461">
      <c r="A461" s="21" t="str">
        <f>IFERROR(__xludf.DUMMYFUNCTION("""COMPUTED_VALUE"""),"14")</f>
        <v>14</v>
      </c>
      <c r="B461" s="7" t="str">
        <f>IFERROR(__xludf.DUMMYFUNCTION("""COMPUTED_VALUE"""),"PXSX1")</f>
        <v>PXSX1</v>
      </c>
      <c r="C461" s="7" t="str">
        <f>IFERROR(__xludf.DUMMYFUNCTION("""COMPUTED_VALUE"""),"Bộ phận nung và hoàn thiện sản phẩm")</f>
        <v>Bộ phận nung và hoàn thiện sản phẩm</v>
      </c>
      <c r="D461" s="7" t="str">
        <f>IFERROR(__xludf.DUMMYFUNCTION("""COMPUTED_VALUE"""),"Đóng hộp Ca A")</f>
        <v>Đóng hộp Ca A</v>
      </c>
      <c r="E461" s="7" t="str">
        <f>IFERROR(__xludf.DUMMYFUNCTION("""COMPUTED_VALUE"""),"Xe nâng")</f>
        <v>Xe nâng</v>
      </c>
      <c r="F461" s="7" t="str">
        <f>IFERROR(__xludf.DUMMYFUNCTION("""COMPUTED_VALUE"""),"NV1801")</f>
        <v>NV1801</v>
      </c>
      <c r="G461" s="7">
        <f>IFERROR(__xludf.DUMMYFUNCTION("""COMPUTED_VALUE"""),168.0)</f>
        <v>168</v>
      </c>
      <c r="H461" s="7" t="str">
        <f>IFERROR(__xludf.DUMMYFUNCTION("""COMPUTED_VALUE"""),"Nguyễn Anh Dũng")</f>
        <v>Nguyễn Anh Dũng</v>
      </c>
      <c r="I461" s="7" t="str">
        <f>IFERROR(__xludf.DUMMYFUNCTION("""COMPUTED_VALUE"""),"Nam")</f>
        <v>Nam</v>
      </c>
      <c r="J461" s="17">
        <f>IFERROR(__xludf.DUMMYFUNCTION("""COMPUTED_VALUE"""),33062.0)</f>
        <v>33062</v>
      </c>
      <c r="K461" s="7" t="str">
        <f>IFERROR(__xludf.DUMMYFUNCTION("""COMPUTED_VALUE"""),"Số Nhà 32 - Lương Đắc Bằng - Phường Hạc Thành - Tỉnh Thanh Hóa")</f>
        <v>Số Nhà 32 - Lương Đắc Bằng - Phường Hạc Thành - Tỉnh Thanh Hóa</v>
      </c>
      <c r="L461" s="7" t="str">
        <f>IFERROR(__xludf.DUMMYFUNCTION("""COMPUTED_VALUE"""),"0917283228")</f>
        <v>0917283228</v>
      </c>
      <c r="M461" s="7" t="str">
        <f>IFERROR(__xludf.DUMMYFUNCTION("""COMPUTED_VALUE"""),"038090021606")</f>
        <v>038090021606</v>
      </c>
      <c r="N461" s="17">
        <f>IFERROR(__xludf.DUMMYFUNCTION("""COMPUTED_VALUE"""),43945.0)</f>
        <v>43945</v>
      </c>
      <c r="O461" s="7" t="str">
        <f>IFERROR(__xludf.DUMMYFUNCTION("""COMPUTED_VALUE"""),"Cục Cảnh sát QLHC về TTXH")</f>
        <v>Cục Cảnh sát QLHC về TTXH</v>
      </c>
      <c r="P461" s="7" t="str">
        <f>IFERROR(__xludf.DUMMYFUNCTION("""COMPUTED_VALUE"""),"Bằng nghề")</f>
        <v>Bằng nghề</v>
      </c>
      <c r="Q461" s="7" t="str">
        <f>IFERROR(__xludf.DUMMYFUNCTION("""COMPUTED_VALUE"""),"Lái xe Hạng B2")</f>
        <v>Lái xe Hạng B2</v>
      </c>
      <c r="R461" s="17">
        <f>IFERROR(__xludf.DUMMYFUNCTION("""COMPUTED_VALUE"""),43356.0)</f>
        <v>43356</v>
      </c>
      <c r="S461" s="17">
        <f>IFERROR(__xludf.DUMMYFUNCTION("""COMPUTED_VALUE"""),43678.0)</f>
        <v>43678</v>
      </c>
      <c r="T461" s="7" t="str">
        <f>IFERROR(__xludf.DUMMYFUNCTION("""COMPUTED_VALUE"""),"Chính thức")</f>
        <v>Chính thức</v>
      </c>
      <c r="U461" s="7"/>
      <c r="V461" s="7"/>
      <c r="W461" s="7" t="str">
        <f>IFERROR(__xludf.DUMMYFUNCTION("""COMPUTED_VALUE"""),"7 năm 3 tháng")</f>
        <v>7 năm 3 tháng</v>
      </c>
      <c r="X461" s="7"/>
      <c r="Y461" s="7"/>
      <c r="Z461" s="7"/>
    </row>
    <row r="462">
      <c r="A462" s="21" t="str">
        <f>IFERROR(__xludf.DUMMYFUNCTION("""COMPUTED_VALUE"""),"15")</f>
        <v>15</v>
      </c>
      <c r="B462" s="7" t="str">
        <f>IFERROR(__xludf.DUMMYFUNCTION("""COMPUTED_VALUE"""),"PXSX1")</f>
        <v>PXSX1</v>
      </c>
      <c r="C462" s="7" t="str">
        <f>IFERROR(__xludf.DUMMYFUNCTION("""COMPUTED_VALUE"""),"Bộ phận nung và hoàn thiện sản phẩm")</f>
        <v>Bộ phận nung và hoàn thiện sản phẩm</v>
      </c>
      <c r="D462" s="7" t="str">
        <f>IFERROR(__xludf.DUMMYFUNCTION("""COMPUTED_VALUE"""),"Đóng hộp Ca A")</f>
        <v>Đóng hộp Ca A</v>
      </c>
      <c r="E462" s="7" t="str">
        <f>IFERROR(__xludf.DUMMYFUNCTION("""COMPUTED_VALUE"""),"Tổ trưởng - Phụ trách Đóng hộp")</f>
        <v>Tổ trưởng - Phụ trách Đóng hộp</v>
      </c>
      <c r="F462" s="7" t="str">
        <f>IFERROR(__xludf.DUMMYFUNCTION("""COMPUTED_VALUE"""),"NV0980")</f>
        <v>NV0980</v>
      </c>
      <c r="G462" s="7">
        <f>IFERROR(__xludf.DUMMYFUNCTION("""COMPUTED_VALUE"""),702.0)</f>
        <v>702</v>
      </c>
      <c r="H462" s="7" t="str">
        <f>IFERROR(__xludf.DUMMYFUNCTION("""COMPUTED_VALUE"""),"Cao Văn Mùi")</f>
        <v>Cao Văn Mùi</v>
      </c>
      <c r="I462" s="7" t="str">
        <f>IFERROR(__xludf.DUMMYFUNCTION("""COMPUTED_VALUE"""),"Nam")</f>
        <v>Nam</v>
      </c>
      <c r="J462" s="17">
        <f>IFERROR(__xludf.DUMMYFUNCTION("""COMPUTED_VALUE"""),33719.0)</f>
        <v>33719</v>
      </c>
      <c r="K462" s="7" t="str">
        <f>IFERROR(__xludf.DUMMYFUNCTION("""COMPUTED_VALUE"""),"Thôn 8 - Phường Nam Sầm Sơn - Tỉnh Thanh Hóa")</f>
        <v>Thôn 8 - Phường Nam Sầm Sơn - Tỉnh Thanh Hóa</v>
      </c>
      <c r="L462" s="7" t="str">
        <f>IFERROR(__xludf.DUMMYFUNCTION("""COMPUTED_VALUE"""),"0367417918")</f>
        <v>0367417918</v>
      </c>
      <c r="M462" s="7" t="str">
        <f>IFERROR(__xludf.DUMMYFUNCTION("""COMPUTED_VALUE"""),"038092035376")</f>
        <v>038092035376</v>
      </c>
      <c r="N462" s="7"/>
      <c r="O462" s="7" t="str">
        <f>IFERROR(__xludf.DUMMYFUNCTION("""COMPUTED_VALUE"""),"Cục Cảnh sát QLHC về TTXH")</f>
        <v>Cục Cảnh sát QLHC về TTXH</v>
      </c>
      <c r="P462" s="7" t="str">
        <f>IFERROR(__xludf.DUMMYFUNCTION("""COMPUTED_VALUE"""),"LĐPT")</f>
        <v>LĐPT</v>
      </c>
      <c r="Q462" s="7" t="str">
        <f>IFERROR(__xludf.DUMMYFUNCTION("""COMPUTED_VALUE"""),"Lao động phổ thông")</f>
        <v>Lao động phổ thông</v>
      </c>
      <c r="R462" s="17">
        <f>IFERROR(__xludf.DUMMYFUNCTION("""COMPUTED_VALUE"""),42884.0)</f>
        <v>42884</v>
      </c>
      <c r="S462" s="17">
        <f>IFERROR(__xludf.DUMMYFUNCTION("""COMPUTED_VALUE"""),42884.0)</f>
        <v>42884</v>
      </c>
      <c r="T462" s="7" t="str">
        <f>IFERROR(__xludf.DUMMYFUNCTION("""COMPUTED_VALUE"""),"Chính thức")</f>
        <v>Chính thức</v>
      </c>
      <c r="U462" s="7"/>
      <c r="V462" s="7"/>
      <c r="W462" s="7" t="str">
        <f>IFERROR(__xludf.DUMMYFUNCTION("""COMPUTED_VALUE"""),"8 năm 7 tháng")</f>
        <v>8 năm 7 tháng</v>
      </c>
      <c r="X462" s="7"/>
      <c r="Y462" s="7"/>
      <c r="Z462" s="7"/>
    </row>
    <row r="463">
      <c r="A463" s="21" t="str">
        <f>IFERROR(__xludf.DUMMYFUNCTION("""COMPUTED_VALUE"""),"16")</f>
        <v>16</v>
      </c>
      <c r="B463" s="7" t="str">
        <f>IFERROR(__xludf.DUMMYFUNCTION("""COMPUTED_VALUE"""),"PXSX1")</f>
        <v>PXSX1</v>
      </c>
      <c r="C463" s="7" t="str">
        <f>IFERROR(__xludf.DUMMYFUNCTION("""COMPUTED_VALUE"""),"Bộ phận nung và hoàn thiện sản phẩm")</f>
        <v>Bộ phận nung và hoàn thiện sản phẩm</v>
      </c>
      <c r="D463" s="7" t="str">
        <f>IFERROR(__xludf.DUMMYFUNCTION("""COMPUTED_VALUE"""),"Đóng hộp Ca A")</f>
        <v>Đóng hộp Ca A</v>
      </c>
      <c r="E463" s="7" t="str">
        <f>IFERROR(__xludf.DUMMYFUNCTION("""COMPUTED_VALUE"""),"Hoàn thiện palet DC2")</f>
        <v>Hoàn thiện palet DC2</v>
      </c>
      <c r="F463" s="7" t="str">
        <f>IFERROR(__xludf.DUMMYFUNCTION("""COMPUTED_VALUE"""),"NV5657")</f>
        <v>NV5657</v>
      </c>
      <c r="G463" s="7">
        <f>IFERROR(__xludf.DUMMYFUNCTION("""COMPUTED_VALUE"""),1150.0)</f>
        <v>1150</v>
      </c>
      <c r="H463" s="7" t="str">
        <f>IFERROR(__xludf.DUMMYFUNCTION("""COMPUTED_VALUE"""),"Vũ Đức Bền")</f>
        <v>Vũ Đức Bền</v>
      </c>
      <c r="I463" s="7" t="str">
        <f>IFERROR(__xludf.DUMMYFUNCTION("""COMPUTED_VALUE"""),"Nam")</f>
        <v>Nam</v>
      </c>
      <c r="J463" s="17">
        <f>IFERROR(__xludf.DUMMYFUNCTION("""COMPUTED_VALUE"""),34509.0)</f>
        <v>34509</v>
      </c>
      <c r="K463" s="7" t="str">
        <f>IFERROR(__xludf.DUMMYFUNCTION("""COMPUTED_VALUE"""),"KP Phúc Đức - Phường Sầm Sơn - Tỉnh Thanh Hóa")</f>
        <v>KP Phúc Đức - Phường Sầm Sơn - Tỉnh Thanh Hóa</v>
      </c>
      <c r="L463" s="7" t="str">
        <f>IFERROR(__xludf.DUMMYFUNCTION("""COMPUTED_VALUE"""),"0777635595")</f>
        <v>0777635595</v>
      </c>
      <c r="M463" s="7" t="str">
        <f>IFERROR(__xludf.DUMMYFUNCTION("""COMPUTED_VALUE"""),"038094011287")</f>
        <v>038094011287</v>
      </c>
      <c r="N463" s="17">
        <f>IFERROR(__xludf.DUMMYFUNCTION("""COMPUTED_VALUE"""),44928.0)</f>
        <v>44928</v>
      </c>
      <c r="O463" s="7" t="str">
        <f>IFERROR(__xludf.DUMMYFUNCTION("""COMPUTED_VALUE"""),"Cục Cảnh sát QLHC về TTXH")</f>
        <v>Cục Cảnh sát QLHC về TTXH</v>
      </c>
      <c r="P463" s="7" t="str">
        <f>IFERROR(__xludf.DUMMYFUNCTION("""COMPUTED_VALUE"""),"LĐPT")</f>
        <v>LĐPT</v>
      </c>
      <c r="Q463" s="7" t="str">
        <f>IFERROR(__xludf.DUMMYFUNCTION("""COMPUTED_VALUE"""),"Lao động phổ thông")</f>
        <v>Lao động phổ thông</v>
      </c>
      <c r="R463" s="17">
        <f>IFERROR(__xludf.DUMMYFUNCTION("""COMPUTED_VALUE"""),45880.0)</f>
        <v>45880</v>
      </c>
      <c r="S463" s="17">
        <f>IFERROR(__xludf.DUMMYFUNCTION("""COMPUTED_VALUE"""),45911.0)</f>
        <v>45911</v>
      </c>
      <c r="T463" s="7" t="str">
        <f>IFERROR(__xludf.DUMMYFUNCTION("""COMPUTED_VALUE"""),"Thử việc")</f>
        <v>Thử việc</v>
      </c>
      <c r="U463" s="7"/>
      <c r="V463" s="7" t="str">
        <f>IFERROR(__xludf.DUMMYFUNCTION("""COMPUTED_VALUE"""),"Thử việc")</f>
        <v>Thử việc</v>
      </c>
      <c r="W463" s="7" t="str">
        <f>IFERROR(__xludf.DUMMYFUNCTION("""COMPUTED_VALUE"""),"0 năm 4 tháng")</f>
        <v>0 năm 4 tháng</v>
      </c>
      <c r="X463" s="7"/>
      <c r="Y463" s="7"/>
      <c r="Z463" s="7"/>
    </row>
    <row r="464">
      <c r="A464" s="21" t="str">
        <f>IFERROR(__xludf.DUMMYFUNCTION("""COMPUTED_VALUE"""),"17")</f>
        <v>17</v>
      </c>
      <c r="B464" s="7" t="str">
        <f>IFERROR(__xludf.DUMMYFUNCTION("""COMPUTED_VALUE"""),"PXSX1")</f>
        <v>PXSX1</v>
      </c>
      <c r="C464" s="7" t="str">
        <f>IFERROR(__xludf.DUMMYFUNCTION("""COMPUTED_VALUE"""),"Bộ phận nung và hoàn thiện sản phẩm")</f>
        <v>Bộ phận nung và hoàn thiện sản phẩm</v>
      </c>
      <c r="D464" s="7" t="str">
        <f>IFERROR(__xludf.DUMMYFUNCTION("""COMPUTED_VALUE"""),"Đóng hộp Ca A")</f>
        <v>Đóng hộp Ca A</v>
      </c>
      <c r="E464" s="7" t="str">
        <f>IFERROR(__xludf.DUMMYFUNCTION("""COMPUTED_VALUE"""),"Xe nâng")</f>
        <v>Xe nâng</v>
      </c>
      <c r="F464" s="7" t="str">
        <f>IFERROR(__xludf.DUMMYFUNCTION("""COMPUTED_VALUE"""),"NV1391")</f>
        <v>NV1391</v>
      </c>
      <c r="G464" s="7">
        <f>IFERROR(__xludf.DUMMYFUNCTION("""COMPUTED_VALUE"""),347.0)</f>
        <v>347</v>
      </c>
      <c r="H464" s="7" t="str">
        <f>IFERROR(__xludf.DUMMYFUNCTION("""COMPUTED_VALUE"""),"Lê Văn Dinh")</f>
        <v>Lê Văn Dinh</v>
      </c>
      <c r="I464" s="7" t="str">
        <f>IFERROR(__xludf.DUMMYFUNCTION("""COMPUTED_VALUE"""),"Nam")</f>
        <v>Nam</v>
      </c>
      <c r="J464" s="17">
        <f>IFERROR(__xludf.DUMMYFUNCTION("""COMPUTED_VALUE"""),34765.0)</f>
        <v>34765</v>
      </c>
      <c r="K464" s="7" t="str">
        <f>IFERROR(__xludf.DUMMYFUNCTION("""COMPUTED_VALUE"""),"Thôn Xuân Thắng - Xã Quảng Ngọc - Tỉnh Thanh Hóa ")</f>
        <v>Thôn Xuân Thắng - Xã Quảng Ngọc - Tỉnh Thanh Hóa </v>
      </c>
      <c r="L464" s="7" t="str">
        <f>IFERROR(__xludf.DUMMYFUNCTION("""COMPUTED_VALUE"""),"376447636")</f>
        <v>376447636</v>
      </c>
      <c r="M464" s="7" t="str">
        <f>IFERROR(__xludf.DUMMYFUNCTION("""COMPUTED_VALUE"""),"038095032137")</f>
        <v>038095032137</v>
      </c>
      <c r="N464" s="17">
        <f>IFERROR(__xludf.DUMMYFUNCTION("""COMPUTED_VALUE"""),44724.0)</f>
        <v>44724</v>
      </c>
      <c r="O464" s="7" t="str">
        <f>IFERROR(__xludf.DUMMYFUNCTION("""COMPUTED_VALUE"""),"Cục Cảnh sát QLHC về TTXH")</f>
        <v>Cục Cảnh sát QLHC về TTXH</v>
      </c>
      <c r="P464" s="7" t="str">
        <f>IFERROR(__xludf.DUMMYFUNCTION("""COMPUTED_VALUE"""),"LĐPT")</f>
        <v>LĐPT</v>
      </c>
      <c r="Q464" s="7" t="str">
        <f>IFERROR(__xludf.DUMMYFUNCTION("""COMPUTED_VALUE"""),"Lao động phổ thông")</f>
        <v>Lao động phổ thông</v>
      </c>
      <c r="R464" s="7"/>
      <c r="S464" s="17">
        <f>IFERROR(__xludf.DUMMYFUNCTION("""COMPUTED_VALUE"""),45426.0)</f>
        <v>45426</v>
      </c>
      <c r="T464" s="7" t="str">
        <f>IFERROR(__xludf.DUMMYFUNCTION("""COMPUTED_VALUE"""),"Chính thức")</f>
        <v>Chính thức</v>
      </c>
      <c r="U464" s="7"/>
      <c r="V464" s="7" t="str">
        <f>IFERROR(__xludf.DUMMYFUNCTION("""COMPUTED_VALUE"""),"Chính thức")</f>
        <v>Chính thức</v>
      </c>
      <c r="W464" s="7" t="str">
        <f>IFERROR(__xludf.DUMMYFUNCTION("""COMPUTED_VALUE"""),"1 năm 7 tháng")</f>
        <v>1 năm 7 tháng</v>
      </c>
      <c r="X464" s="7"/>
      <c r="Y464" s="7"/>
      <c r="Z464" s="7"/>
    </row>
    <row r="465">
      <c r="A465" s="21" t="str">
        <f>IFERROR(__xludf.DUMMYFUNCTION("""COMPUTED_VALUE"""),"18")</f>
        <v>18</v>
      </c>
      <c r="B465" s="7" t="str">
        <f>IFERROR(__xludf.DUMMYFUNCTION("""COMPUTED_VALUE"""),"PXSX1")</f>
        <v>PXSX1</v>
      </c>
      <c r="C465" s="7" t="str">
        <f>IFERROR(__xludf.DUMMYFUNCTION("""COMPUTED_VALUE"""),"Bộ phận nung và hoàn thiện sản phẩm")</f>
        <v>Bộ phận nung và hoàn thiện sản phẩm</v>
      </c>
      <c r="D465" s="7" t="str">
        <f>IFERROR(__xludf.DUMMYFUNCTION("""COMPUTED_VALUE"""),"Đóng hộp Ca A")</f>
        <v>Đóng hộp Ca A</v>
      </c>
      <c r="E465" s="7" t="str">
        <f>IFERROR(__xludf.DUMMYFUNCTION("""COMPUTED_VALUE"""),"Hoàn thiện palet DC1")</f>
        <v>Hoàn thiện palet DC1</v>
      </c>
      <c r="F465" s="7" t="str">
        <f>IFERROR(__xludf.DUMMYFUNCTION("""COMPUTED_VALUE"""),"NV5631")</f>
        <v>NV5631</v>
      </c>
      <c r="G465" s="7">
        <f>IFERROR(__xludf.DUMMYFUNCTION("""COMPUTED_VALUE"""),1121.0)</f>
        <v>1121</v>
      </c>
      <c r="H465" s="7" t="str">
        <f>IFERROR(__xludf.DUMMYFUNCTION("""COMPUTED_VALUE"""),"Lê Văn Tuân")</f>
        <v>Lê Văn Tuân</v>
      </c>
      <c r="I465" s="7" t="str">
        <f>IFERROR(__xludf.DUMMYFUNCTION("""COMPUTED_VALUE"""),"Nam")</f>
        <v>Nam</v>
      </c>
      <c r="J465" s="17">
        <f>IFERROR(__xludf.DUMMYFUNCTION("""COMPUTED_VALUE"""),35954.0)</f>
        <v>35954</v>
      </c>
      <c r="K465" s="7" t="str">
        <f>IFERROR(__xludf.DUMMYFUNCTION("""COMPUTED_VALUE"""),"Tổ DP Bái Trúc - Xã Lưu Vệ -Tỉnh Thanh Hóa")</f>
        <v>Tổ DP Bái Trúc - Xã Lưu Vệ -Tỉnh Thanh Hóa</v>
      </c>
      <c r="L465" s="7" t="str">
        <f>IFERROR(__xludf.DUMMYFUNCTION("""COMPUTED_VALUE"""),"0899991583")</f>
        <v>0899991583</v>
      </c>
      <c r="M465" s="7" t="str">
        <f>IFERROR(__xludf.DUMMYFUNCTION("""COMPUTED_VALUE"""),"038098030667")</f>
        <v>038098030667</v>
      </c>
      <c r="N465" s="17">
        <f>IFERROR(__xludf.DUMMYFUNCTION("""COMPUTED_VALUE"""),44622.0)</f>
        <v>44622</v>
      </c>
      <c r="O465" s="7" t="str">
        <f>IFERROR(__xludf.DUMMYFUNCTION("""COMPUTED_VALUE"""),"Cục Cảnh sát QLHC về TTXH")</f>
        <v>Cục Cảnh sát QLHC về TTXH</v>
      </c>
      <c r="P465" s="7" t="str">
        <f>IFERROR(__xludf.DUMMYFUNCTION("""COMPUTED_VALUE"""),"LĐPT")</f>
        <v>LĐPT</v>
      </c>
      <c r="Q465" s="7" t="str">
        <f>IFERROR(__xludf.DUMMYFUNCTION("""COMPUTED_VALUE"""),"Lao động phổ thông")</f>
        <v>Lao động phổ thông</v>
      </c>
      <c r="R465" s="17">
        <f>IFERROR(__xludf.DUMMYFUNCTION("""COMPUTED_VALUE"""),45856.0)</f>
        <v>45856</v>
      </c>
      <c r="S465" s="7"/>
      <c r="T465" s="7" t="str">
        <f>IFERROR(__xludf.DUMMYFUNCTION("""COMPUTED_VALUE"""),"Thử việc")</f>
        <v>Thử việc</v>
      </c>
      <c r="U465" s="7"/>
      <c r="V465" s="7"/>
      <c r="W465" s="7" t="str">
        <f>IFERROR(__xludf.DUMMYFUNCTION("""COMPUTED_VALUE"""),"0 năm 5 tháng")</f>
        <v>0 năm 5 tháng</v>
      </c>
      <c r="X465" s="7"/>
      <c r="Y465" s="7"/>
      <c r="Z465" s="7"/>
    </row>
    <row r="466">
      <c r="A466" s="21" t="str">
        <f>IFERROR(__xludf.DUMMYFUNCTION("""COMPUTED_VALUE"""),"19")</f>
        <v>19</v>
      </c>
      <c r="B466" s="7" t="str">
        <f>IFERROR(__xludf.DUMMYFUNCTION("""COMPUTED_VALUE"""),"PXSX1")</f>
        <v>PXSX1</v>
      </c>
      <c r="C466" s="7" t="str">
        <f>IFERROR(__xludf.DUMMYFUNCTION("""COMPUTED_VALUE"""),"Bộ phận nung và hoàn thiện sản phẩm")</f>
        <v>Bộ phận nung và hoàn thiện sản phẩm</v>
      </c>
      <c r="D466" s="7" t="str">
        <f>IFERROR(__xludf.DUMMYFUNCTION("""COMPUTED_VALUE"""),"Đóng hộp Ca A")</f>
        <v>Đóng hộp Ca A</v>
      </c>
      <c r="E466" s="7" t="str">
        <f>IFERROR(__xludf.DUMMYFUNCTION("""COMPUTED_VALUE"""),"Bốc lai phụ + Đóng hộp DC1")</f>
        <v>Bốc lai phụ + Đóng hộp DC1</v>
      </c>
      <c r="F466" s="7" t="str">
        <f>IFERROR(__xludf.DUMMYFUNCTION("""COMPUTED_VALUE"""),"NV5486")</f>
        <v>NV5486</v>
      </c>
      <c r="G466" s="7">
        <f>IFERROR(__xludf.DUMMYFUNCTION("""COMPUTED_VALUE"""),967.0)</f>
        <v>967</v>
      </c>
      <c r="H466" s="7" t="str">
        <f>IFERROR(__xludf.DUMMYFUNCTION("""COMPUTED_VALUE"""),"Vũ Đức Trắc")</f>
        <v>Vũ Đức Trắc</v>
      </c>
      <c r="I466" s="7" t="str">
        <f>IFERROR(__xludf.DUMMYFUNCTION("""COMPUTED_VALUE"""),"Nam")</f>
        <v>Nam</v>
      </c>
      <c r="J466" s="17">
        <f>IFERROR(__xludf.DUMMYFUNCTION("""COMPUTED_VALUE"""),38457.0)</f>
        <v>38457</v>
      </c>
      <c r="K466" s="7" t="str">
        <f>IFERROR(__xludf.DUMMYFUNCTION("""COMPUTED_VALUE"""),"Phường Sầm Sơn- Tỉnh Thanh Hóa ")</f>
        <v>Phường Sầm Sơn- Tỉnh Thanh Hóa </v>
      </c>
      <c r="L466" s="7" t="str">
        <f>IFERROR(__xludf.DUMMYFUNCTION("""COMPUTED_VALUE"""),"0963407543")</f>
        <v>0963407543</v>
      </c>
      <c r="M466" s="7" t="str">
        <f>IFERROR(__xludf.DUMMYFUNCTION("""COMPUTED_VALUE"""),"038205003441")</f>
        <v>038205003441</v>
      </c>
      <c r="N466" s="17">
        <f>IFERROR(__xludf.DUMMYFUNCTION("""COMPUTED_VALUE"""),44979.0)</f>
        <v>44979</v>
      </c>
      <c r="O466" s="7" t="str">
        <f>IFERROR(__xludf.DUMMYFUNCTION("""COMPUTED_VALUE"""),"Cục Cảnh sát QLHC về TTXH")</f>
        <v>Cục Cảnh sát QLHC về TTXH</v>
      </c>
      <c r="P466" s="7" t="str">
        <f>IFERROR(__xludf.DUMMYFUNCTION("""COMPUTED_VALUE"""),"LĐPT")</f>
        <v>LĐPT</v>
      </c>
      <c r="Q466" s="7" t="str">
        <f>IFERROR(__xludf.DUMMYFUNCTION("""COMPUTED_VALUE"""),"Lao động phổ thông")</f>
        <v>Lao động phổ thông</v>
      </c>
      <c r="R466" s="17">
        <f>IFERROR(__xludf.DUMMYFUNCTION("""COMPUTED_VALUE"""),45805.0)</f>
        <v>45805</v>
      </c>
      <c r="S466" s="7"/>
      <c r="T466" s="7" t="str">
        <f>IFERROR(__xludf.DUMMYFUNCTION("""COMPUTED_VALUE"""),"Chính thức")</f>
        <v>Chính thức</v>
      </c>
      <c r="U466" s="7"/>
      <c r="V466" s="7"/>
      <c r="W466" s="7" t="str">
        <f>IFERROR(__xludf.DUMMYFUNCTION("""COMPUTED_VALUE"""),"0 năm 7 tháng")</f>
        <v>0 năm 7 tháng</v>
      </c>
      <c r="X466" s="7"/>
      <c r="Y466" s="7"/>
      <c r="Z466" s="7"/>
    </row>
    <row r="467">
      <c r="A467" s="21" t="str">
        <f>IFERROR(__xludf.DUMMYFUNCTION("""COMPUTED_VALUE"""),"20")</f>
        <v>20</v>
      </c>
      <c r="B467" s="7" t="str">
        <f>IFERROR(__xludf.DUMMYFUNCTION("""COMPUTED_VALUE"""),"PXSX1")</f>
        <v>PXSX1</v>
      </c>
      <c r="C467" s="7" t="str">
        <f>IFERROR(__xludf.DUMMYFUNCTION("""COMPUTED_VALUE"""),"Bộ phận nung và hoàn thiện sản phẩm")</f>
        <v>Bộ phận nung và hoàn thiện sản phẩm</v>
      </c>
      <c r="D467" s="7" t="str">
        <f>IFERROR(__xludf.DUMMYFUNCTION("""COMPUTED_VALUE"""),"Đóng hộp Ca A")</f>
        <v>Đóng hộp Ca A</v>
      </c>
      <c r="E467" s="7" t="str">
        <f>IFERROR(__xludf.DUMMYFUNCTION("""COMPUTED_VALUE"""),"Hoàn thiện palet DC1")</f>
        <v>Hoàn thiện palet DC1</v>
      </c>
      <c r="F467" s="7" t="str">
        <f>IFERROR(__xludf.DUMMYFUNCTION("""COMPUTED_VALUE"""),"NV5712")</f>
        <v>NV5712</v>
      </c>
      <c r="G467" s="7">
        <f>IFERROR(__xludf.DUMMYFUNCTION("""COMPUTED_VALUE"""),1203.0)</f>
        <v>1203</v>
      </c>
      <c r="H467" s="7" t="str">
        <f>IFERROR(__xludf.DUMMYFUNCTION("""COMPUTED_VALUE"""),"Phạm Thị Hà")</f>
        <v>Phạm Thị Hà</v>
      </c>
      <c r="I467" s="7" t="str">
        <f>IFERROR(__xludf.DUMMYFUNCTION("""COMPUTED_VALUE"""),"Nữ")</f>
        <v>Nữ</v>
      </c>
      <c r="J467" s="17">
        <f>IFERROR(__xludf.DUMMYFUNCTION("""COMPUTED_VALUE"""),27529.0)</f>
        <v>27529</v>
      </c>
      <c r="K467" s="7" t="str">
        <f>IFERROR(__xludf.DUMMYFUNCTION("""COMPUTED_VALUE"""),"Thôn Trung Đình - Xã Lưu Vệ - Tỉnh Thanh Hóa")</f>
        <v>Thôn Trung Đình - Xã Lưu Vệ - Tỉnh Thanh Hóa</v>
      </c>
      <c r="L467" s="7" t="str">
        <f>IFERROR(__xludf.DUMMYFUNCTION("""COMPUTED_VALUE"""),"0963491174")</f>
        <v>0963491174</v>
      </c>
      <c r="M467" s="7" t="str">
        <f>IFERROR(__xludf.DUMMYFUNCTION("""COMPUTED_VALUE"""),"038179020708")</f>
        <v>038179020708</v>
      </c>
      <c r="N467" s="17">
        <f>IFERROR(__xludf.DUMMYFUNCTION("""COMPUTED_VALUE"""),44375.0)</f>
        <v>44375</v>
      </c>
      <c r="O467" s="7" t="str">
        <f>IFERROR(__xludf.DUMMYFUNCTION("""COMPUTED_VALUE"""),"Cục Cảnh sát QLHC về TTXH")</f>
        <v>Cục Cảnh sát QLHC về TTXH</v>
      </c>
      <c r="P467" s="7" t="str">
        <f>IFERROR(__xludf.DUMMYFUNCTION("""COMPUTED_VALUE"""),"LĐPT")</f>
        <v>LĐPT</v>
      </c>
      <c r="Q467" s="7" t="str">
        <f>IFERROR(__xludf.DUMMYFUNCTION("""COMPUTED_VALUE"""),"Lao động phổ thông")</f>
        <v>Lao động phổ thông</v>
      </c>
      <c r="R467" s="17">
        <f>IFERROR(__xludf.DUMMYFUNCTION("""COMPUTED_VALUE"""),45917.0)</f>
        <v>45917</v>
      </c>
      <c r="S467" s="17">
        <f>IFERROR(__xludf.DUMMYFUNCTION("""COMPUTED_VALUE"""),45947.0)</f>
        <v>45947</v>
      </c>
      <c r="T467" s="7" t="str">
        <f>IFERROR(__xludf.DUMMYFUNCTION("""COMPUTED_VALUE"""),"Chính thức")</f>
        <v>Chính thức</v>
      </c>
      <c r="U467" s="7"/>
      <c r="V467" s="7" t="str">
        <f>IFERROR(__xludf.DUMMYFUNCTION("""COMPUTED_VALUE"""),"Chính thức")</f>
        <v>Chính thức</v>
      </c>
      <c r="W467" s="7" t="str">
        <f>IFERROR(__xludf.DUMMYFUNCTION("""COMPUTED_VALUE"""),"0 năm 3 tháng")</f>
        <v>0 năm 3 tháng</v>
      </c>
      <c r="X467" s="7"/>
      <c r="Y467" s="7"/>
      <c r="Z467" s="7"/>
    </row>
    <row r="468">
      <c r="A468" s="21" t="str">
        <f>IFERROR(__xludf.DUMMYFUNCTION("""COMPUTED_VALUE"""),"1")</f>
        <v>1</v>
      </c>
      <c r="B468" s="7" t="str">
        <f>IFERROR(__xludf.DUMMYFUNCTION("""COMPUTED_VALUE"""),"PXSX1")</f>
        <v>PXSX1</v>
      </c>
      <c r="C468" s="7" t="str">
        <f>IFERROR(__xludf.DUMMYFUNCTION("""COMPUTED_VALUE"""),"Bộ phận nung và hoàn thiện sản phẩm")</f>
        <v>Bộ phận nung và hoàn thiện sản phẩm</v>
      </c>
      <c r="D468" s="7" t="str">
        <f>IFERROR(__xludf.DUMMYFUNCTION("""COMPUTED_VALUE"""),"Đóng hộp Ca B")</f>
        <v>Đóng hộp Ca B</v>
      </c>
      <c r="E468" s="7" t="str">
        <f>IFERROR(__xludf.DUMMYFUNCTION("""COMPUTED_VALUE"""),"Xe nâng")</f>
        <v>Xe nâng</v>
      </c>
      <c r="F468" s="7" t="str">
        <f>IFERROR(__xludf.DUMMYFUNCTION("""COMPUTED_VALUE"""),"NV5637")</f>
        <v>NV5637</v>
      </c>
      <c r="G468" s="7">
        <f>IFERROR(__xludf.DUMMYFUNCTION("""COMPUTED_VALUE"""),1127.0)</f>
        <v>1127</v>
      </c>
      <c r="H468" s="7" t="str">
        <f>IFERROR(__xludf.DUMMYFUNCTION("""COMPUTED_VALUE"""),"Đào Đình Quyết")</f>
        <v>Đào Đình Quyết</v>
      </c>
      <c r="I468" s="7" t="str">
        <f>IFERROR(__xludf.DUMMYFUNCTION("""COMPUTED_VALUE"""),"Nam")</f>
        <v>Nam</v>
      </c>
      <c r="J468" s="17">
        <f>IFERROR(__xludf.DUMMYFUNCTION("""COMPUTED_VALUE"""),27142.0)</f>
        <v>27142</v>
      </c>
      <c r="K468" s="7" t="str">
        <f>IFERROR(__xludf.DUMMYFUNCTION("""COMPUTED_VALUE"""),"Tổ dân phố 5- Phường Quảng Phú- Tỉnh Thanh hóa")</f>
        <v>Tổ dân phố 5- Phường Quảng Phú- Tỉnh Thanh hóa</v>
      </c>
      <c r="L468" s="7" t="str">
        <f>IFERROR(__xludf.DUMMYFUNCTION("""COMPUTED_VALUE"""),"0385558639")</f>
        <v>0385558639</v>
      </c>
      <c r="M468" s="7" t="str">
        <f>IFERROR(__xludf.DUMMYFUNCTION("""COMPUTED_VALUE"""),"038074026313")</f>
        <v>038074026313</v>
      </c>
      <c r="N468" s="17">
        <f>IFERROR(__xludf.DUMMYFUNCTION("""COMPUTED_VALUE"""),44746.0)</f>
        <v>44746</v>
      </c>
      <c r="O468" s="7" t="str">
        <f>IFERROR(__xludf.DUMMYFUNCTION("""COMPUTED_VALUE"""),"Cục Cảnh sát QLHC về TTXH")</f>
        <v>Cục Cảnh sát QLHC về TTXH</v>
      </c>
      <c r="P468" s="7" t="str">
        <f>IFERROR(__xludf.DUMMYFUNCTION("""COMPUTED_VALUE"""),"LĐPT")</f>
        <v>LĐPT</v>
      </c>
      <c r="Q468" s="7" t="str">
        <f>IFERROR(__xludf.DUMMYFUNCTION("""COMPUTED_VALUE"""),"Lao động phổ thông")</f>
        <v>Lao động phổ thông</v>
      </c>
      <c r="R468" s="17">
        <f>IFERROR(__xludf.DUMMYFUNCTION("""COMPUTED_VALUE"""),45867.0)</f>
        <v>45867</v>
      </c>
      <c r="S468" s="7"/>
      <c r="T468" s="7" t="str">
        <f>IFERROR(__xludf.DUMMYFUNCTION("""COMPUTED_VALUE"""),"Thử việc")</f>
        <v>Thử việc</v>
      </c>
      <c r="U468" s="7"/>
      <c r="V468" s="7" t="str">
        <f>IFERROR(__xludf.DUMMYFUNCTION("""COMPUTED_VALUE"""),"Thử việc")</f>
        <v>Thử việc</v>
      </c>
      <c r="W468" s="7" t="str">
        <f>IFERROR(__xludf.DUMMYFUNCTION("""COMPUTED_VALUE"""),"0 năm 5 tháng")</f>
        <v>0 năm 5 tháng</v>
      </c>
      <c r="X468" s="7"/>
      <c r="Y468" s="7"/>
      <c r="Z468" s="7"/>
    </row>
    <row r="469">
      <c r="A469" s="21" t="str">
        <f>IFERROR(__xludf.DUMMYFUNCTION("""COMPUTED_VALUE"""),"2")</f>
        <v>2</v>
      </c>
      <c r="B469" s="7" t="str">
        <f>IFERROR(__xludf.DUMMYFUNCTION("""COMPUTED_VALUE"""),"PXSX1")</f>
        <v>PXSX1</v>
      </c>
      <c r="C469" s="7" t="str">
        <f>IFERROR(__xludf.DUMMYFUNCTION("""COMPUTED_VALUE"""),"Bộ phận nung và hoàn thiện sản phẩm")</f>
        <v>Bộ phận nung và hoàn thiện sản phẩm</v>
      </c>
      <c r="D469" s="7" t="str">
        <f>IFERROR(__xludf.DUMMYFUNCTION("""COMPUTED_VALUE"""),"Đóng hộp Ca B")</f>
        <v>Đóng hộp Ca B</v>
      </c>
      <c r="E469" s="7" t="str">
        <f>IFERROR(__xludf.DUMMYFUNCTION("""COMPUTED_VALUE"""),"Xe nâng")</f>
        <v>Xe nâng</v>
      </c>
      <c r="F469" s="7" t="str">
        <f>IFERROR(__xludf.DUMMYFUNCTION("""COMPUTED_VALUE"""),"NV1559")</f>
        <v>NV1559</v>
      </c>
      <c r="G469" s="7">
        <f>IFERROR(__xludf.DUMMYFUNCTION("""COMPUTED_VALUE"""),696.0)</f>
        <v>696</v>
      </c>
      <c r="H469" s="7" t="str">
        <f>IFERROR(__xludf.DUMMYFUNCTION("""COMPUTED_VALUE"""),"Bùi Quang Hải")</f>
        <v>Bùi Quang Hải</v>
      </c>
      <c r="I469" s="7" t="str">
        <f>IFERROR(__xludf.DUMMYFUNCTION("""COMPUTED_VALUE"""),"Nam")</f>
        <v>Nam</v>
      </c>
      <c r="J469" s="17">
        <f>IFERROR(__xludf.DUMMYFUNCTION("""COMPUTED_VALUE"""),27313.0)</f>
        <v>27313</v>
      </c>
      <c r="K469" s="7" t="str">
        <f>IFERROR(__xludf.DUMMYFUNCTION("""COMPUTED_VALUE"""),"SN 83 Ngô Từ - Phường Hạc Thành - Tỉnh Thanh Hóa")</f>
        <v>SN 83 Ngô Từ - Phường Hạc Thành - Tỉnh Thanh Hóa</v>
      </c>
      <c r="L469" s="7" t="str">
        <f>IFERROR(__xludf.DUMMYFUNCTION("""COMPUTED_VALUE"""),"0347967745")</f>
        <v>0347967745</v>
      </c>
      <c r="M469" s="7" t="str">
        <f>IFERROR(__xludf.DUMMYFUNCTION("""COMPUTED_VALUE"""),"038074021196")</f>
        <v>038074021196</v>
      </c>
      <c r="N469" s="17">
        <f>IFERROR(__xludf.DUMMYFUNCTION("""COMPUTED_VALUE"""),44435.0)</f>
        <v>44435</v>
      </c>
      <c r="O469" s="7" t="str">
        <f>IFERROR(__xludf.DUMMYFUNCTION("""COMPUTED_VALUE"""),"Cục Cảnh sát QLHC về TTXH")</f>
        <v>Cục Cảnh sát QLHC về TTXH</v>
      </c>
      <c r="P469" s="7" t="str">
        <f>IFERROR(__xludf.DUMMYFUNCTION("""COMPUTED_VALUE"""),"Bằng nghề")</f>
        <v>Bằng nghề</v>
      </c>
      <c r="Q469" s="7" t="str">
        <f>IFERROR(__xludf.DUMMYFUNCTION("""COMPUTED_VALUE"""),"Lái máy xúc")</f>
        <v>Lái máy xúc</v>
      </c>
      <c r="R469" s="17">
        <f>IFERROR(__xludf.DUMMYFUNCTION("""COMPUTED_VALUE"""),43288.0)</f>
        <v>43288</v>
      </c>
      <c r="S469" s="17">
        <f>IFERROR(__xludf.DUMMYFUNCTION("""COMPUTED_VALUE"""),43647.0)</f>
        <v>43647</v>
      </c>
      <c r="T469" s="7" t="str">
        <f>IFERROR(__xludf.DUMMYFUNCTION("""COMPUTED_VALUE"""),"Chính thức")</f>
        <v>Chính thức</v>
      </c>
      <c r="U469" s="7"/>
      <c r="V469" s="7"/>
      <c r="W469" s="7" t="str">
        <f>IFERROR(__xludf.DUMMYFUNCTION("""COMPUTED_VALUE"""),"7 năm 5 tháng")</f>
        <v>7 năm 5 tháng</v>
      </c>
      <c r="X469" s="7"/>
      <c r="Y469" s="7"/>
      <c r="Z469" s="7"/>
    </row>
    <row r="470">
      <c r="A470" s="21" t="str">
        <f>IFERROR(__xludf.DUMMYFUNCTION("""COMPUTED_VALUE"""),"3")</f>
        <v>3</v>
      </c>
      <c r="B470" s="7" t="str">
        <f>IFERROR(__xludf.DUMMYFUNCTION("""COMPUTED_VALUE"""),"PXSX1")</f>
        <v>PXSX1</v>
      </c>
      <c r="C470" s="7" t="str">
        <f>IFERROR(__xludf.DUMMYFUNCTION("""COMPUTED_VALUE"""),"Bộ phận nung và hoàn thiện sản phẩm")</f>
        <v>Bộ phận nung và hoàn thiện sản phẩm</v>
      </c>
      <c r="D470" s="7" t="str">
        <f>IFERROR(__xludf.DUMMYFUNCTION("""COMPUTED_VALUE"""),"Đóng hộp Ca B")</f>
        <v>Đóng hộp Ca B</v>
      </c>
      <c r="E470" s="7" t="str">
        <f>IFERROR(__xludf.DUMMYFUNCTION("""COMPUTED_VALUE"""),"Bể nước thải")</f>
        <v>Bể nước thải</v>
      </c>
      <c r="F470" s="7" t="str">
        <f>IFERROR(__xludf.DUMMYFUNCTION("""COMPUTED_VALUE"""),"NV1007")</f>
        <v>NV1007</v>
      </c>
      <c r="G470" s="7">
        <f>IFERROR(__xludf.DUMMYFUNCTION("""COMPUTED_VALUE"""),700.0)</f>
        <v>700</v>
      </c>
      <c r="H470" s="7" t="str">
        <f>IFERROR(__xludf.DUMMYFUNCTION("""COMPUTED_VALUE"""),"Đào Văn Tính")</f>
        <v>Đào Văn Tính</v>
      </c>
      <c r="I470" s="7" t="str">
        <f>IFERROR(__xludf.DUMMYFUNCTION("""COMPUTED_VALUE"""),"Nam")</f>
        <v>Nam</v>
      </c>
      <c r="J470" s="17">
        <f>IFERROR(__xludf.DUMMYFUNCTION("""COMPUTED_VALUE"""),27577.0)</f>
        <v>27577</v>
      </c>
      <c r="K470" s="7" t="str">
        <f>IFERROR(__xludf.DUMMYFUNCTION("""COMPUTED_VALUE"""),"Thôn 5 - Phường Quảng Phú - Tỉnh Thanh Hóa")</f>
        <v>Thôn 5 - Phường Quảng Phú - Tỉnh Thanh Hóa</v>
      </c>
      <c r="L470" s="7" t="str">
        <f>IFERROR(__xludf.DUMMYFUNCTION("""COMPUTED_VALUE"""),"0899630986")</f>
        <v>0899630986</v>
      </c>
      <c r="M470" s="7" t="str">
        <f>IFERROR(__xludf.DUMMYFUNCTION("""COMPUTED_VALUE"""),"038075010617")</f>
        <v>038075010617</v>
      </c>
      <c r="N470" s="17">
        <f>IFERROR(__xludf.DUMMYFUNCTION("""COMPUTED_VALUE"""),44375.0)</f>
        <v>44375</v>
      </c>
      <c r="O470" s="7" t="str">
        <f>IFERROR(__xludf.DUMMYFUNCTION("""COMPUTED_VALUE"""),"Cục Cảnh sát QLHC về TTXH")</f>
        <v>Cục Cảnh sát QLHC về TTXH</v>
      </c>
      <c r="P470" s="7" t="str">
        <f>IFERROR(__xludf.DUMMYFUNCTION("""COMPUTED_VALUE"""),"LĐPT")</f>
        <v>LĐPT</v>
      </c>
      <c r="Q470" s="7" t="str">
        <f>IFERROR(__xludf.DUMMYFUNCTION("""COMPUTED_VALUE"""),"Lao động phổ thông")</f>
        <v>Lao động phổ thông</v>
      </c>
      <c r="R470" s="17">
        <f>IFERROR(__xludf.DUMMYFUNCTION("""COMPUTED_VALUE"""),42913.0)</f>
        <v>42913</v>
      </c>
      <c r="S470" s="17">
        <f>IFERROR(__xludf.DUMMYFUNCTION("""COMPUTED_VALUE"""),42913.0)</f>
        <v>42913</v>
      </c>
      <c r="T470" s="7" t="str">
        <f>IFERROR(__xludf.DUMMYFUNCTION("""COMPUTED_VALUE"""),"Chính thức")</f>
        <v>Chính thức</v>
      </c>
      <c r="U470" s="7"/>
      <c r="V470" s="7"/>
      <c r="W470" s="7" t="str">
        <f>IFERROR(__xludf.DUMMYFUNCTION("""COMPUTED_VALUE"""),"8 năm 6 tháng")</f>
        <v>8 năm 6 tháng</v>
      </c>
      <c r="X470" s="7"/>
      <c r="Y470" s="7"/>
      <c r="Z470" s="7"/>
    </row>
    <row r="471">
      <c r="A471" s="21" t="str">
        <f>IFERROR(__xludf.DUMMYFUNCTION("""COMPUTED_VALUE"""),"4")</f>
        <v>4</v>
      </c>
      <c r="B471" s="7" t="str">
        <f>IFERROR(__xludf.DUMMYFUNCTION("""COMPUTED_VALUE"""),"PXSX1")</f>
        <v>PXSX1</v>
      </c>
      <c r="C471" s="7" t="str">
        <f>IFERROR(__xludf.DUMMYFUNCTION("""COMPUTED_VALUE"""),"Bộ phận nung và hoàn thiện sản phẩm")</f>
        <v>Bộ phận nung và hoàn thiện sản phẩm</v>
      </c>
      <c r="D471" s="7" t="str">
        <f>IFERROR(__xludf.DUMMYFUNCTION("""COMPUTED_VALUE"""),"Đóng hộp Ca B")</f>
        <v>Đóng hộp Ca B</v>
      </c>
      <c r="E471" s="7" t="str">
        <f>IFERROR(__xludf.DUMMYFUNCTION("""COMPUTED_VALUE"""),"CN đóng hộp")</f>
        <v>CN đóng hộp</v>
      </c>
      <c r="F471" s="7" t="str">
        <f>IFERROR(__xludf.DUMMYFUNCTION("""COMPUTED_VALUE"""),"NV0495")</f>
        <v>NV0495</v>
      </c>
      <c r="G471" s="7">
        <f>IFERROR(__xludf.DUMMYFUNCTION("""COMPUTED_VALUE"""),343.0)</f>
        <v>343</v>
      </c>
      <c r="H471" s="7" t="str">
        <f>IFERROR(__xludf.DUMMYFUNCTION("""COMPUTED_VALUE"""),"Nguyễn Thị Huệ")</f>
        <v>Nguyễn Thị Huệ</v>
      </c>
      <c r="I471" s="7" t="str">
        <f>IFERROR(__xludf.DUMMYFUNCTION("""COMPUTED_VALUE"""),"Nữ ")</f>
        <v>Nữ </v>
      </c>
      <c r="J471" s="17">
        <f>IFERROR(__xludf.DUMMYFUNCTION("""COMPUTED_VALUE"""),29358.0)</f>
        <v>29358</v>
      </c>
      <c r="K471" s="7" t="str">
        <f>IFERROR(__xludf.DUMMYFUNCTION("""COMPUTED_VALUE"""),"Phố Đông Lễ - Phường Hạc Thành - Tỉnh Thanh Hóa")</f>
        <v>Phố Đông Lễ - Phường Hạc Thành - Tỉnh Thanh Hóa</v>
      </c>
      <c r="L471" s="7" t="str">
        <f>IFERROR(__xludf.DUMMYFUNCTION("""COMPUTED_VALUE"""),"0333392367")</f>
        <v>0333392367</v>
      </c>
      <c r="M471" s="7" t="str">
        <f>IFERROR(__xludf.DUMMYFUNCTION("""COMPUTED_VALUE"""),"038180002649")</f>
        <v>038180002649</v>
      </c>
      <c r="N471" s="17">
        <f>IFERROR(__xludf.DUMMYFUNCTION("""COMPUTED_VALUE"""),44311.0)</f>
        <v>44311</v>
      </c>
      <c r="O471" s="7" t="str">
        <f>IFERROR(__xludf.DUMMYFUNCTION("""COMPUTED_VALUE"""),"Cục Cảnh sát QLHC về TTXH")</f>
        <v>Cục Cảnh sát QLHC về TTXH</v>
      </c>
      <c r="P471" s="7" t="str">
        <f>IFERROR(__xludf.DUMMYFUNCTION("""COMPUTED_VALUE"""),"LĐPT")</f>
        <v>LĐPT</v>
      </c>
      <c r="Q471" s="7" t="str">
        <f>IFERROR(__xludf.DUMMYFUNCTION("""COMPUTED_VALUE"""),"Lao động phổ thông")</f>
        <v>Lao động phổ thông</v>
      </c>
      <c r="R471" s="17">
        <f>IFERROR(__xludf.DUMMYFUNCTION("""COMPUTED_VALUE"""),40807.0)</f>
        <v>40807</v>
      </c>
      <c r="S471" s="17">
        <f>IFERROR(__xludf.DUMMYFUNCTION("""COMPUTED_VALUE"""),40807.0)</f>
        <v>40807</v>
      </c>
      <c r="T471" s="7" t="str">
        <f>IFERROR(__xludf.DUMMYFUNCTION("""COMPUTED_VALUE"""),"Chính thức")</f>
        <v>Chính thức</v>
      </c>
      <c r="U471" s="7"/>
      <c r="V471" s="7"/>
      <c r="W471" s="7" t="str">
        <f>IFERROR(__xludf.DUMMYFUNCTION("""COMPUTED_VALUE"""),"14 năm 3 tháng")</f>
        <v>14 năm 3 tháng</v>
      </c>
      <c r="X471" s="7"/>
      <c r="Y471" s="7"/>
      <c r="Z471" s="7"/>
    </row>
    <row r="472">
      <c r="A472" s="21" t="str">
        <f>IFERROR(__xludf.DUMMYFUNCTION("""COMPUTED_VALUE"""),"5")</f>
        <v>5</v>
      </c>
      <c r="B472" s="7" t="str">
        <f>IFERROR(__xludf.DUMMYFUNCTION("""COMPUTED_VALUE"""),"PXSX1")</f>
        <v>PXSX1</v>
      </c>
      <c r="C472" s="7" t="str">
        <f>IFERROR(__xludf.DUMMYFUNCTION("""COMPUTED_VALUE"""),"Bộ phận nung và hoàn thiện sản phẩm")</f>
        <v>Bộ phận nung và hoàn thiện sản phẩm</v>
      </c>
      <c r="D472" s="7" t="str">
        <f>IFERROR(__xludf.DUMMYFUNCTION("""COMPUTED_VALUE"""),"Đóng hộp Ca B")</f>
        <v>Đóng hộp Ca B</v>
      </c>
      <c r="E472" s="7" t="str">
        <f>IFERROR(__xludf.DUMMYFUNCTION("""COMPUTED_VALUE"""),"Hoàn thiện palet mức 1")</f>
        <v>Hoàn thiện palet mức 1</v>
      </c>
      <c r="F472" s="7" t="str">
        <f>IFERROR(__xludf.DUMMYFUNCTION("""COMPUTED_VALUE"""),"NV1881")</f>
        <v>NV1881</v>
      </c>
      <c r="G472" s="7">
        <f>IFERROR(__xludf.DUMMYFUNCTION("""COMPUTED_VALUE"""),332.0)</f>
        <v>332</v>
      </c>
      <c r="H472" s="7" t="str">
        <f>IFERROR(__xludf.DUMMYFUNCTION("""COMPUTED_VALUE"""),"Nguyễn Thị Nhung")</f>
        <v>Nguyễn Thị Nhung</v>
      </c>
      <c r="I472" s="7" t="str">
        <f>IFERROR(__xludf.DUMMYFUNCTION("""COMPUTED_VALUE"""),"Nữ ")</f>
        <v>Nữ </v>
      </c>
      <c r="J472" s="17">
        <f>IFERROR(__xludf.DUMMYFUNCTION("""COMPUTED_VALUE"""),29540.0)</f>
        <v>29540</v>
      </c>
      <c r="K472" s="7" t="str">
        <f>IFERROR(__xludf.DUMMYFUNCTION("""COMPUTED_VALUE"""),"Thôn Tri Hòa - Xã Lưu Vệ - Tỉnh Thanh Hóa Hóa")</f>
        <v>Thôn Tri Hòa - Xã Lưu Vệ - Tỉnh Thanh Hóa Hóa</v>
      </c>
      <c r="L472" s="7" t="str">
        <f>IFERROR(__xludf.DUMMYFUNCTION("""COMPUTED_VALUE"""),"0339881604")</f>
        <v>0339881604</v>
      </c>
      <c r="M472" s="7" t="str">
        <f>IFERROR(__xludf.DUMMYFUNCTION("""COMPUTED_VALUE"""),"038180011439")</f>
        <v>038180011439</v>
      </c>
      <c r="N472" s="17">
        <f>IFERROR(__xludf.DUMMYFUNCTION("""COMPUTED_VALUE"""),44375.0)</f>
        <v>44375</v>
      </c>
      <c r="O472" s="7" t="str">
        <f>IFERROR(__xludf.DUMMYFUNCTION("""COMPUTED_VALUE"""),"Cục Cảnh sát QLHC về TTXH")</f>
        <v>Cục Cảnh sát QLHC về TTXH</v>
      </c>
      <c r="P472" s="7" t="str">
        <f>IFERROR(__xludf.DUMMYFUNCTION("""COMPUTED_VALUE"""),"LĐPT")</f>
        <v>LĐPT</v>
      </c>
      <c r="Q472" s="7" t="str">
        <f>IFERROR(__xludf.DUMMYFUNCTION("""COMPUTED_VALUE"""),"Lao động phổ thông")</f>
        <v>Lao động phổ thông</v>
      </c>
      <c r="R472" s="17">
        <f>IFERROR(__xludf.DUMMYFUNCTION("""COMPUTED_VALUE"""),43389.0)</f>
        <v>43389</v>
      </c>
      <c r="S472" s="17">
        <f>IFERROR(__xludf.DUMMYFUNCTION("""COMPUTED_VALUE"""),43739.0)</f>
        <v>43739</v>
      </c>
      <c r="T472" s="7" t="str">
        <f>IFERROR(__xludf.DUMMYFUNCTION("""COMPUTED_VALUE"""),"Chính thức")</f>
        <v>Chính thức</v>
      </c>
      <c r="U472" s="7"/>
      <c r="V472" s="7"/>
      <c r="W472" s="7" t="str">
        <f>IFERROR(__xludf.DUMMYFUNCTION("""COMPUTED_VALUE"""),"7 năm 2 tháng")</f>
        <v>7 năm 2 tháng</v>
      </c>
      <c r="X472" s="7"/>
      <c r="Y472" s="7"/>
      <c r="Z472" s="7"/>
    </row>
    <row r="473">
      <c r="A473" s="21" t="str">
        <f>IFERROR(__xludf.DUMMYFUNCTION("""COMPUTED_VALUE"""),"6")</f>
        <v>6</v>
      </c>
      <c r="B473" s="7" t="str">
        <f>IFERROR(__xludf.DUMMYFUNCTION("""COMPUTED_VALUE"""),"PXSX1")</f>
        <v>PXSX1</v>
      </c>
      <c r="C473" s="7" t="str">
        <f>IFERROR(__xludf.DUMMYFUNCTION("""COMPUTED_VALUE"""),"Bộ phận nung và hoàn thiện sản phẩm")</f>
        <v>Bộ phận nung và hoàn thiện sản phẩm</v>
      </c>
      <c r="D473" s="7" t="str">
        <f>IFERROR(__xludf.DUMMYFUNCTION("""COMPUTED_VALUE"""),"Đóng hộp Ca B")</f>
        <v>Đóng hộp Ca B</v>
      </c>
      <c r="E473" s="7" t="str">
        <f>IFERROR(__xludf.DUMMYFUNCTION("""COMPUTED_VALUE"""),"Xe nâng")</f>
        <v>Xe nâng</v>
      </c>
      <c r="F473" s="7" t="str">
        <f>IFERROR(__xludf.DUMMYFUNCTION("""COMPUTED_VALUE"""),"NV1648")</f>
        <v>NV1648</v>
      </c>
      <c r="G473" s="7">
        <f>IFERROR(__xludf.DUMMYFUNCTION("""COMPUTED_VALUE"""),477.0)</f>
        <v>477</v>
      </c>
      <c r="H473" s="7" t="str">
        <f>IFERROR(__xludf.DUMMYFUNCTION("""COMPUTED_VALUE"""),"Nguyễn Văn Cầu")</f>
        <v>Nguyễn Văn Cầu</v>
      </c>
      <c r="I473" s="7" t="str">
        <f>IFERROR(__xludf.DUMMYFUNCTION("""COMPUTED_VALUE"""),"Nam")</f>
        <v>Nam</v>
      </c>
      <c r="J473" s="17">
        <f>IFERROR(__xludf.DUMMYFUNCTION("""COMPUTED_VALUE"""),29629.0)</f>
        <v>29629</v>
      </c>
      <c r="K473" s="7" t="str">
        <f>IFERROR(__xludf.DUMMYFUNCTION("""COMPUTED_VALUE"""),"Phố 8 - Phường Quảng Phú - Tỉnh Thanh Hóa ")</f>
        <v>Phố 8 - Phường Quảng Phú - Tỉnh Thanh Hóa </v>
      </c>
      <c r="L473" s="7" t="str">
        <f>IFERROR(__xludf.DUMMYFUNCTION("""COMPUTED_VALUE"""),"0349819615")</f>
        <v>0349819615</v>
      </c>
      <c r="M473" s="7" t="str">
        <f>IFERROR(__xludf.DUMMYFUNCTION("""COMPUTED_VALUE"""),"038080036651")</f>
        <v>038080036651</v>
      </c>
      <c r="N473" s="17">
        <f>IFERROR(__xludf.DUMMYFUNCTION("""COMPUTED_VALUE"""),44422.0)</f>
        <v>44422</v>
      </c>
      <c r="O473" s="7" t="str">
        <f>IFERROR(__xludf.DUMMYFUNCTION("""COMPUTED_VALUE"""),"Cục Cảnh sát QLHC về TTXH")</f>
        <v>Cục Cảnh sát QLHC về TTXH</v>
      </c>
      <c r="P473" s="7" t="str">
        <f>IFERROR(__xludf.DUMMYFUNCTION("""COMPUTED_VALUE"""),"Sơ cấp nghề")</f>
        <v>Sơ cấp nghề</v>
      </c>
      <c r="Q473" s="7" t="str">
        <f>IFERROR(__xludf.DUMMYFUNCTION("""COMPUTED_VALUE"""),"Nghề hàn")</f>
        <v>Nghề hàn</v>
      </c>
      <c r="R473" s="7"/>
      <c r="S473" s="17">
        <f>IFERROR(__xludf.DUMMYFUNCTION("""COMPUTED_VALUE"""),43678.0)</f>
        <v>43678</v>
      </c>
      <c r="T473" s="7" t="str">
        <f>IFERROR(__xludf.DUMMYFUNCTION("""COMPUTED_VALUE"""),"Chính thức")</f>
        <v>Chính thức</v>
      </c>
      <c r="U473" s="7"/>
      <c r="V473" s="7"/>
      <c r="W473" s="7" t="str">
        <f>IFERROR(__xludf.DUMMYFUNCTION("""COMPUTED_VALUE"""),"6 năm 4 tháng")</f>
        <v>6 năm 4 tháng</v>
      </c>
      <c r="X473" s="7"/>
      <c r="Y473" s="7"/>
      <c r="Z473" s="7"/>
    </row>
    <row r="474">
      <c r="A474" s="21" t="str">
        <f>IFERROR(__xludf.DUMMYFUNCTION("""COMPUTED_VALUE"""),"7")</f>
        <v>7</v>
      </c>
      <c r="B474" s="7" t="str">
        <f>IFERROR(__xludf.DUMMYFUNCTION("""COMPUTED_VALUE"""),"PXSX1")</f>
        <v>PXSX1</v>
      </c>
      <c r="C474" s="7" t="str">
        <f>IFERROR(__xludf.DUMMYFUNCTION("""COMPUTED_VALUE"""),"Bộ phận nung và hoàn thiện sản phẩm")</f>
        <v>Bộ phận nung và hoàn thiện sản phẩm</v>
      </c>
      <c r="D474" s="7" t="str">
        <f>IFERROR(__xludf.DUMMYFUNCTION("""COMPUTED_VALUE"""),"Đóng hộp Ca B")</f>
        <v>Đóng hộp Ca B</v>
      </c>
      <c r="E474" s="7" t="str">
        <f>IFERROR(__xludf.DUMMYFUNCTION("""COMPUTED_VALUE"""),"Hoàn thiện Palet mức 1")</f>
        <v>Hoàn thiện Palet mức 1</v>
      </c>
      <c r="F474" s="7" t="str">
        <f>IFERROR(__xludf.DUMMYFUNCTION("""COMPUTED_VALUE"""),"NV0874")</f>
        <v>NV0874</v>
      </c>
      <c r="G474" s="7">
        <f>IFERROR(__xludf.DUMMYFUNCTION("""COMPUTED_VALUE"""),701.0)</f>
        <v>701</v>
      </c>
      <c r="H474" s="7" t="str">
        <f>IFERROR(__xludf.DUMMYFUNCTION("""COMPUTED_VALUE"""),"Trần Công Phú")</f>
        <v>Trần Công Phú</v>
      </c>
      <c r="I474" s="7" t="str">
        <f>IFERROR(__xludf.DUMMYFUNCTION("""COMPUTED_VALUE"""),"Nam")</f>
        <v>Nam</v>
      </c>
      <c r="J474" s="17">
        <f>IFERROR(__xludf.DUMMYFUNCTION("""COMPUTED_VALUE"""),30534.0)</f>
        <v>30534</v>
      </c>
      <c r="K474" s="7" t="str">
        <f>IFERROR(__xludf.DUMMYFUNCTION("""COMPUTED_VALUE"""),"Thôn 2 - Phường Quảng Phú - Tỉnh Thanh Hóa ")</f>
        <v>Thôn 2 - Phường Quảng Phú - Tỉnh Thanh Hóa </v>
      </c>
      <c r="L474" s="7" t="str">
        <f>IFERROR(__xludf.DUMMYFUNCTION("""COMPUTED_VALUE"""),"0912470616")</f>
        <v>0912470616</v>
      </c>
      <c r="M474" s="7" t="str">
        <f>IFERROR(__xludf.DUMMYFUNCTION("""COMPUTED_VALUE"""),"038083032991")</f>
        <v>038083032991</v>
      </c>
      <c r="N474" s="17">
        <f>IFERROR(__xludf.DUMMYFUNCTION("""COMPUTED_VALUE"""),44422.0)</f>
        <v>44422</v>
      </c>
      <c r="O474" s="7" t="str">
        <f>IFERROR(__xludf.DUMMYFUNCTION("""COMPUTED_VALUE"""),"Cục Cảnh sát QLHC về TTXH")</f>
        <v>Cục Cảnh sát QLHC về TTXH</v>
      </c>
      <c r="P474" s="7" t="str">
        <f>IFERROR(__xludf.DUMMYFUNCTION("""COMPUTED_VALUE"""),"LĐPT")</f>
        <v>LĐPT</v>
      </c>
      <c r="Q474" s="7" t="str">
        <f>IFERROR(__xludf.DUMMYFUNCTION("""COMPUTED_VALUE"""),"Lao động phổ thông")</f>
        <v>Lao động phổ thông</v>
      </c>
      <c r="R474" s="17">
        <f>IFERROR(__xludf.DUMMYFUNCTION("""COMPUTED_VALUE"""),42790.0)</f>
        <v>42790</v>
      </c>
      <c r="S474" s="17">
        <f>IFERROR(__xludf.DUMMYFUNCTION("""COMPUTED_VALUE"""),42790.0)</f>
        <v>42790</v>
      </c>
      <c r="T474" s="7" t="str">
        <f>IFERROR(__xludf.DUMMYFUNCTION("""COMPUTED_VALUE"""),"Chính thức")</f>
        <v>Chính thức</v>
      </c>
      <c r="U474" s="7"/>
      <c r="V474" s="7"/>
      <c r="W474" s="7" t="str">
        <f>IFERROR(__xludf.DUMMYFUNCTION("""COMPUTED_VALUE"""),"8 năm 10 tháng")</f>
        <v>8 năm 10 tháng</v>
      </c>
      <c r="X474" s="7"/>
      <c r="Y474" s="7"/>
      <c r="Z474" s="7"/>
    </row>
    <row r="475">
      <c r="A475" s="21" t="str">
        <f>IFERROR(__xludf.DUMMYFUNCTION("""COMPUTED_VALUE"""),"8")</f>
        <v>8</v>
      </c>
      <c r="B475" s="7" t="str">
        <f>IFERROR(__xludf.DUMMYFUNCTION("""COMPUTED_VALUE"""),"PXSX1")</f>
        <v>PXSX1</v>
      </c>
      <c r="C475" s="7" t="str">
        <f>IFERROR(__xludf.DUMMYFUNCTION("""COMPUTED_VALUE"""),"Bộ phận nung và hoàn thiện sản phẩm")</f>
        <v>Bộ phận nung và hoàn thiện sản phẩm</v>
      </c>
      <c r="D475" s="7" t="str">
        <f>IFERROR(__xludf.DUMMYFUNCTION("""COMPUTED_VALUE"""),"Đóng hộp Ca B")</f>
        <v>Đóng hộp Ca B</v>
      </c>
      <c r="E475" s="7" t="str">
        <f>IFERROR(__xludf.DUMMYFUNCTION("""COMPUTED_VALUE"""),"Hoàn thiện palet mức 1")</f>
        <v>Hoàn thiện palet mức 1</v>
      </c>
      <c r="F475" s="7" t="str">
        <f>IFERROR(__xludf.DUMMYFUNCTION("""COMPUTED_VALUE"""),"NV0352")</f>
        <v>NV0352</v>
      </c>
      <c r="G475" s="7">
        <f>IFERROR(__xludf.DUMMYFUNCTION("""COMPUTED_VALUE"""),341.0)</f>
        <v>341</v>
      </c>
      <c r="H475" s="7" t="str">
        <f>IFERROR(__xludf.DUMMYFUNCTION("""COMPUTED_VALUE"""),"Nguyễn Thị Vân")</f>
        <v>Nguyễn Thị Vân</v>
      </c>
      <c r="I475" s="7" t="str">
        <f>IFERROR(__xludf.DUMMYFUNCTION("""COMPUTED_VALUE"""),"Nữ ")</f>
        <v>Nữ </v>
      </c>
      <c r="J475" s="17">
        <f>IFERROR(__xludf.DUMMYFUNCTION("""COMPUTED_VALUE"""),30916.0)</f>
        <v>30916</v>
      </c>
      <c r="K475" s="7" t="str">
        <f>IFERROR(__xludf.DUMMYFUNCTION("""COMPUTED_VALUE"""),"Xã Hoằng Giang - Tỉnh Thanh Hóa")</f>
        <v>Xã Hoằng Giang - Tỉnh Thanh Hóa</v>
      </c>
      <c r="L475" s="7" t="str">
        <f>IFERROR(__xludf.DUMMYFUNCTION("""COMPUTED_VALUE"""),"0387874699")</f>
        <v>0387874699</v>
      </c>
      <c r="M475" s="7" t="str">
        <f>IFERROR(__xludf.DUMMYFUNCTION("""COMPUTED_VALUE"""),"038184005795")</f>
        <v>038184005795</v>
      </c>
      <c r="N475" s="17">
        <f>IFERROR(__xludf.DUMMYFUNCTION("""COMPUTED_VALUE"""),42753.0)</f>
        <v>42753</v>
      </c>
      <c r="O475" s="7" t="str">
        <f>IFERROR(__xludf.DUMMYFUNCTION("""COMPUTED_VALUE"""),"Cục Cảnh sát QLHC về TTXH")</f>
        <v>Cục Cảnh sát QLHC về TTXH</v>
      </c>
      <c r="P475" s="7" t="str">
        <f>IFERROR(__xludf.DUMMYFUNCTION("""COMPUTED_VALUE"""),"LĐPT")</f>
        <v>LĐPT</v>
      </c>
      <c r="Q475" s="7" t="str">
        <f>IFERROR(__xludf.DUMMYFUNCTION("""COMPUTED_VALUE"""),"Lao động phổ thông")</f>
        <v>Lao động phổ thông</v>
      </c>
      <c r="R475" s="17">
        <f>IFERROR(__xludf.DUMMYFUNCTION("""COMPUTED_VALUE"""),39341.0)</f>
        <v>39341</v>
      </c>
      <c r="S475" s="17">
        <f>IFERROR(__xludf.DUMMYFUNCTION("""COMPUTED_VALUE"""),39341.0)</f>
        <v>39341</v>
      </c>
      <c r="T475" s="7" t="str">
        <f>IFERROR(__xludf.DUMMYFUNCTION("""COMPUTED_VALUE"""),"Chính thức")</f>
        <v>Chính thức</v>
      </c>
      <c r="U475" s="7"/>
      <c r="V475" s="7"/>
      <c r="W475" s="7" t="str">
        <f>IFERROR(__xludf.DUMMYFUNCTION("""COMPUTED_VALUE"""),"18 năm 3 tháng")</f>
        <v>18 năm 3 tháng</v>
      </c>
      <c r="X475" s="7"/>
      <c r="Y475" s="7"/>
      <c r="Z475" s="7"/>
    </row>
    <row r="476">
      <c r="A476" s="21" t="str">
        <f>IFERROR(__xludf.DUMMYFUNCTION("""COMPUTED_VALUE"""),"9")</f>
        <v>9</v>
      </c>
      <c r="B476" s="7" t="str">
        <f>IFERROR(__xludf.DUMMYFUNCTION("""COMPUTED_VALUE"""),"PXSX1")</f>
        <v>PXSX1</v>
      </c>
      <c r="C476" s="7" t="str">
        <f>IFERROR(__xludf.DUMMYFUNCTION("""COMPUTED_VALUE"""),"Bộ phận nung và hoàn thiện sản phẩm")</f>
        <v>Bộ phận nung và hoàn thiện sản phẩm</v>
      </c>
      <c r="D476" s="7" t="str">
        <f>IFERROR(__xludf.DUMMYFUNCTION("""COMPUTED_VALUE"""),"Đóng hộp Ca B")</f>
        <v>Đóng hộp Ca B</v>
      </c>
      <c r="E476" s="7" t="str">
        <f>IFERROR(__xludf.DUMMYFUNCTION("""COMPUTED_VALUE"""),"VH máy đóng hộp")</f>
        <v>VH máy đóng hộp</v>
      </c>
      <c r="F476" s="7" t="str">
        <f>IFERROR(__xludf.DUMMYFUNCTION("""COMPUTED_VALUE"""),"NV2563")</f>
        <v>NV2563</v>
      </c>
      <c r="G476" s="7">
        <f>IFERROR(__xludf.DUMMYFUNCTION("""COMPUTED_VALUE"""),892.0)</f>
        <v>892</v>
      </c>
      <c r="H476" s="7" t="str">
        <f>IFERROR(__xludf.DUMMYFUNCTION("""COMPUTED_VALUE"""),"Nguyễn Trọng Chung")</f>
        <v>Nguyễn Trọng Chung</v>
      </c>
      <c r="I476" s="7" t="str">
        <f>IFERROR(__xludf.DUMMYFUNCTION("""COMPUTED_VALUE"""),"Nam")</f>
        <v>Nam</v>
      </c>
      <c r="J476" s="17">
        <f>IFERROR(__xludf.DUMMYFUNCTION("""COMPUTED_VALUE"""),31021.0)</f>
        <v>31021</v>
      </c>
      <c r="K476" s="7" t="str">
        <f>IFERROR(__xludf.DUMMYFUNCTION("""COMPUTED_VALUE"""),"Thôn 1- Xã Hoằng Lộc - Tỉnh Thanh Hóa")</f>
        <v>Thôn 1- Xã Hoằng Lộc - Tỉnh Thanh Hóa</v>
      </c>
      <c r="L476" s="7" t="str">
        <f>IFERROR(__xludf.DUMMYFUNCTION("""COMPUTED_VALUE"""),"0983789952")</f>
        <v>0983789952</v>
      </c>
      <c r="M476" s="7" t="str">
        <f>IFERROR(__xludf.DUMMYFUNCTION("""COMPUTED_VALUE"""),"038084042695")</f>
        <v>038084042695</v>
      </c>
      <c r="N476" s="17">
        <f>IFERROR(__xludf.DUMMYFUNCTION("""COMPUTED_VALUE"""),44554.0)</f>
        <v>44554</v>
      </c>
      <c r="O476" s="7" t="str">
        <f>IFERROR(__xludf.DUMMYFUNCTION("""COMPUTED_VALUE"""),"Cục Cảnh sát QLHC về TTXH")</f>
        <v>Cục Cảnh sát QLHC về TTXH</v>
      </c>
      <c r="P476" s="7" t="str">
        <f>IFERROR(__xludf.DUMMYFUNCTION("""COMPUTED_VALUE"""),"LĐPT")</f>
        <v>LĐPT</v>
      </c>
      <c r="Q476" s="7" t="str">
        <f>IFERROR(__xludf.DUMMYFUNCTION("""COMPUTED_VALUE"""),"Lao động phổ thông")</f>
        <v>Lao động phổ thông</v>
      </c>
      <c r="R476" s="17">
        <f>IFERROR(__xludf.DUMMYFUNCTION("""COMPUTED_VALUE"""),45733.0)</f>
        <v>45733</v>
      </c>
      <c r="S476" s="7"/>
      <c r="T476" s="7" t="str">
        <f>IFERROR(__xludf.DUMMYFUNCTION("""COMPUTED_VALUE"""),"Chính thức")</f>
        <v>Chính thức</v>
      </c>
      <c r="U476" s="7"/>
      <c r="V476" s="7"/>
      <c r="W476" s="7" t="str">
        <f>IFERROR(__xludf.DUMMYFUNCTION("""COMPUTED_VALUE"""),"0 năm 9 tháng")</f>
        <v>0 năm 9 tháng</v>
      </c>
      <c r="X476" s="7"/>
      <c r="Y476" s="7"/>
      <c r="Z476" s="7"/>
    </row>
    <row r="477">
      <c r="A477" s="21" t="str">
        <f>IFERROR(__xludf.DUMMYFUNCTION("""COMPUTED_VALUE"""),"10")</f>
        <v>10</v>
      </c>
      <c r="B477" s="7" t="str">
        <f>IFERROR(__xludf.DUMMYFUNCTION("""COMPUTED_VALUE"""),"PXSX1")</f>
        <v>PXSX1</v>
      </c>
      <c r="C477" s="7" t="str">
        <f>IFERROR(__xludf.DUMMYFUNCTION("""COMPUTED_VALUE"""),"Bộ phận nung và hoàn thiện sản phẩm")</f>
        <v>Bộ phận nung và hoàn thiện sản phẩm</v>
      </c>
      <c r="D477" s="7" t="str">
        <f>IFERROR(__xludf.DUMMYFUNCTION("""COMPUTED_VALUE"""),"Đóng hộp Ca B")</f>
        <v>Đóng hộp Ca B</v>
      </c>
      <c r="E477" s="7" t="str">
        <f>IFERROR(__xludf.DUMMYFUNCTION("""COMPUTED_VALUE"""),"VH chính đóng hộp DC1")</f>
        <v>VH chính đóng hộp DC1</v>
      </c>
      <c r="F477" s="7" t="str">
        <f>IFERROR(__xludf.DUMMYFUNCTION("""COMPUTED_VALUE"""),"NV3371")</f>
        <v>NV3371</v>
      </c>
      <c r="G477" s="7">
        <f>IFERROR(__xludf.DUMMYFUNCTION("""COMPUTED_VALUE"""),348.0)</f>
        <v>348</v>
      </c>
      <c r="H477" s="7" t="str">
        <f>IFERROR(__xludf.DUMMYFUNCTION("""COMPUTED_VALUE"""),"Lê Văn Dũng")</f>
        <v>Lê Văn Dũng</v>
      </c>
      <c r="I477" s="7" t="str">
        <f>IFERROR(__xludf.DUMMYFUNCTION("""COMPUTED_VALUE"""),"Nam")</f>
        <v>Nam</v>
      </c>
      <c r="J477" s="17">
        <f>IFERROR(__xludf.DUMMYFUNCTION("""COMPUTED_VALUE"""),31499.0)</f>
        <v>31499</v>
      </c>
      <c r="K477" s="7" t="str">
        <f>IFERROR(__xludf.DUMMYFUNCTION("""COMPUTED_VALUE"""),"Thôn 10 - Xã Điền Quang - Tỉnh Thanh Hóa")</f>
        <v>Thôn 10 - Xã Điền Quang - Tỉnh Thanh Hóa</v>
      </c>
      <c r="L477" s="7" t="str">
        <f>IFERROR(__xludf.DUMMYFUNCTION("""COMPUTED_VALUE"""),"0934427326")</f>
        <v>0934427326</v>
      </c>
      <c r="M477" s="7" t="str">
        <f>IFERROR(__xludf.DUMMYFUNCTION("""COMPUTED_VALUE"""),"038086045414")</f>
        <v>038086045414</v>
      </c>
      <c r="N477" s="17">
        <f>IFERROR(__xludf.DUMMYFUNCTION("""COMPUTED_VALUE"""),44465.0)</f>
        <v>44465</v>
      </c>
      <c r="O477" s="7" t="str">
        <f>IFERROR(__xludf.DUMMYFUNCTION("""COMPUTED_VALUE"""),"Cục Cảnh sát QLHC về TTXH")</f>
        <v>Cục Cảnh sát QLHC về TTXH</v>
      </c>
      <c r="P477" s="7" t="str">
        <f>IFERROR(__xludf.DUMMYFUNCTION("""COMPUTED_VALUE"""),"LĐPT")</f>
        <v>LĐPT</v>
      </c>
      <c r="Q477" s="7" t="str">
        <f>IFERROR(__xludf.DUMMYFUNCTION("""COMPUTED_VALUE"""),"Lao động phổ thông")</f>
        <v>Lao động phổ thông</v>
      </c>
      <c r="R477" s="17">
        <f>IFERROR(__xludf.DUMMYFUNCTION("""COMPUTED_VALUE"""),44133.0)</f>
        <v>44133</v>
      </c>
      <c r="S477" s="17">
        <f>IFERROR(__xludf.DUMMYFUNCTION("""COMPUTED_VALUE"""),44409.0)</f>
        <v>44409</v>
      </c>
      <c r="T477" s="7" t="str">
        <f>IFERROR(__xludf.DUMMYFUNCTION("""COMPUTED_VALUE"""),"Chính thức")</f>
        <v>Chính thức</v>
      </c>
      <c r="U477" s="7"/>
      <c r="V477" s="7"/>
      <c r="W477" s="7" t="str">
        <f>IFERROR(__xludf.DUMMYFUNCTION("""COMPUTED_VALUE"""),"5 năm 2 tháng")</f>
        <v>5 năm 2 tháng</v>
      </c>
      <c r="X477" s="7"/>
      <c r="Y477" s="7"/>
      <c r="Z477" s="7"/>
    </row>
    <row r="478">
      <c r="A478" s="21" t="str">
        <f>IFERROR(__xludf.DUMMYFUNCTION("""COMPUTED_VALUE"""),"11")</f>
        <v>11</v>
      </c>
      <c r="B478" s="7" t="str">
        <f>IFERROR(__xludf.DUMMYFUNCTION("""COMPUTED_VALUE"""),"PXSX1")</f>
        <v>PXSX1</v>
      </c>
      <c r="C478" s="7" t="str">
        <f>IFERROR(__xludf.DUMMYFUNCTION("""COMPUTED_VALUE"""),"Bộ phận nung và hoàn thiện sản phẩm")</f>
        <v>Bộ phận nung và hoàn thiện sản phẩm</v>
      </c>
      <c r="D478" s="7" t="str">
        <f>IFERROR(__xludf.DUMMYFUNCTION("""COMPUTED_VALUE"""),"Đóng hộp Ca B")</f>
        <v>Đóng hộp Ca B</v>
      </c>
      <c r="E478" s="7" t="str">
        <f>IFERROR(__xludf.DUMMYFUNCTION("""COMPUTED_VALUE"""),"Tổ trưởng - Phụ trách Đóng hộp")</f>
        <v>Tổ trưởng - Phụ trách Đóng hộp</v>
      </c>
      <c r="F478" s="7" t="str">
        <f>IFERROR(__xludf.DUMMYFUNCTION("""COMPUTED_VALUE"""),"NV0264")</f>
        <v>NV0264</v>
      </c>
      <c r="G478" s="7">
        <f>IFERROR(__xludf.DUMMYFUNCTION("""COMPUTED_VALUE"""),327.0)</f>
        <v>327</v>
      </c>
      <c r="H478" s="7" t="str">
        <f>IFERROR(__xludf.DUMMYFUNCTION("""COMPUTED_VALUE"""),"Vương Huy Trường")</f>
        <v>Vương Huy Trường</v>
      </c>
      <c r="I478" s="7" t="str">
        <f>IFERROR(__xludf.DUMMYFUNCTION("""COMPUTED_VALUE"""),"Nam")</f>
        <v>Nam</v>
      </c>
      <c r="J478" s="17">
        <f>IFERROR(__xludf.DUMMYFUNCTION("""COMPUTED_VALUE"""),32790.0)</f>
        <v>32790</v>
      </c>
      <c r="K478" s="7" t="str">
        <f>IFERROR(__xludf.DUMMYFUNCTION("""COMPUTED_VALUE"""),"Xã Quảng Ngọc - Tỉnh Thanh Hóa")</f>
        <v>Xã Quảng Ngọc - Tỉnh Thanh Hóa</v>
      </c>
      <c r="L478" s="7" t="str">
        <f>IFERROR(__xludf.DUMMYFUNCTION("""COMPUTED_VALUE"""),"0337228517")</f>
        <v>0337228517</v>
      </c>
      <c r="M478" s="7" t="str">
        <f>IFERROR(__xludf.DUMMYFUNCTION("""COMPUTED_VALUE"""),"038089030962")</f>
        <v>038089030962</v>
      </c>
      <c r="N478" s="17">
        <f>IFERROR(__xludf.DUMMYFUNCTION("""COMPUTED_VALUE"""),44418.0)</f>
        <v>44418</v>
      </c>
      <c r="O478" s="7" t="str">
        <f>IFERROR(__xludf.DUMMYFUNCTION("""COMPUTED_VALUE"""),"Cục Cảnh sát QLHC về TTXH")</f>
        <v>Cục Cảnh sát QLHC về TTXH</v>
      </c>
      <c r="P478" s="7" t="str">
        <f>IFERROR(__xludf.DUMMYFUNCTION("""COMPUTED_VALUE"""),"LĐPT")</f>
        <v>LĐPT</v>
      </c>
      <c r="Q478" s="7" t="str">
        <f>IFERROR(__xludf.DUMMYFUNCTION("""COMPUTED_VALUE"""),"Lao động phổ thông")</f>
        <v>Lao động phổ thông</v>
      </c>
      <c r="R478" s="17">
        <f>IFERROR(__xludf.DUMMYFUNCTION("""COMPUTED_VALUE"""),42196.0)</f>
        <v>42196</v>
      </c>
      <c r="S478" s="17">
        <f>IFERROR(__xludf.DUMMYFUNCTION("""COMPUTED_VALUE"""),42196.0)</f>
        <v>42196</v>
      </c>
      <c r="T478" s="7" t="str">
        <f>IFERROR(__xludf.DUMMYFUNCTION("""COMPUTED_VALUE"""),"Chính thức")</f>
        <v>Chính thức</v>
      </c>
      <c r="U478" s="7"/>
      <c r="V478" s="7"/>
      <c r="W478" s="7" t="str">
        <f>IFERROR(__xludf.DUMMYFUNCTION("""COMPUTED_VALUE"""),"10 năm 5 tháng")</f>
        <v>10 năm 5 tháng</v>
      </c>
      <c r="X478" s="7"/>
      <c r="Y478" s="7"/>
      <c r="Z478" s="7"/>
    </row>
    <row r="479">
      <c r="A479" s="21" t="str">
        <f>IFERROR(__xludf.DUMMYFUNCTION("""COMPUTED_VALUE"""),"12")</f>
        <v>12</v>
      </c>
      <c r="B479" s="7" t="str">
        <f>IFERROR(__xludf.DUMMYFUNCTION("""COMPUTED_VALUE"""),"PXSX1")</f>
        <v>PXSX1</v>
      </c>
      <c r="C479" s="7" t="str">
        <f>IFERROR(__xludf.DUMMYFUNCTION("""COMPUTED_VALUE"""),"Bộ phận nung và hoàn thiện sản phẩm")</f>
        <v>Bộ phận nung và hoàn thiện sản phẩm</v>
      </c>
      <c r="D479" s="7" t="str">
        <f>IFERROR(__xludf.DUMMYFUNCTION("""COMPUTED_VALUE"""),"Đóng hộp Ca B")</f>
        <v>Đóng hộp Ca B</v>
      </c>
      <c r="E479" s="7" t="str">
        <f>IFERROR(__xludf.DUMMYFUNCTION("""COMPUTED_VALUE"""),"Nhóm trưởng đóng hộp")</f>
        <v>Nhóm trưởng đóng hộp</v>
      </c>
      <c r="F479" s="7" t="str">
        <f>IFERROR(__xludf.DUMMYFUNCTION("""COMPUTED_VALUE"""),"NV3746")</f>
        <v>NV3746</v>
      </c>
      <c r="G479" s="7">
        <f>IFERROR(__xludf.DUMMYFUNCTION("""COMPUTED_VALUE"""),699.0)</f>
        <v>699</v>
      </c>
      <c r="H479" s="7" t="str">
        <f>IFERROR(__xludf.DUMMYFUNCTION("""COMPUTED_VALUE"""),"Vũ Ngọc Kiên")</f>
        <v>Vũ Ngọc Kiên</v>
      </c>
      <c r="I479" s="7" t="str">
        <f>IFERROR(__xludf.DUMMYFUNCTION("""COMPUTED_VALUE"""),"Nam")</f>
        <v>Nam</v>
      </c>
      <c r="J479" s="17">
        <f>IFERROR(__xludf.DUMMYFUNCTION("""COMPUTED_VALUE"""),33465.0)</f>
        <v>33465</v>
      </c>
      <c r="K479" s="7" t="str">
        <f>IFERROR(__xludf.DUMMYFUNCTION("""COMPUTED_VALUE"""),"Đồng Tâm - Xã Quảng Chính - Tỉnh Thanh Hóa")</f>
        <v>Đồng Tâm - Xã Quảng Chính - Tỉnh Thanh Hóa</v>
      </c>
      <c r="L479" s="7" t="str">
        <f>IFERROR(__xludf.DUMMYFUNCTION("""COMPUTED_VALUE"""),"0353524001")</f>
        <v>0353524001</v>
      </c>
      <c r="M479" s="7" t="str">
        <f>IFERROR(__xludf.DUMMYFUNCTION("""COMPUTED_VALUE"""),"038091033064")</f>
        <v>038091033064</v>
      </c>
      <c r="N479" s="17">
        <f>IFERROR(__xludf.DUMMYFUNCTION("""COMPUTED_VALUE"""),44325.0)</f>
        <v>44325</v>
      </c>
      <c r="O479" s="7" t="str">
        <f>IFERROR(__xludf.DUMMYFUNCTION("""COMPUTED_VALUE"""),"Cục Cảnh sát QLHC về TTXH")</f>
        <v>Cục Cảnh sát QLHC về TTXH</v>
      </c>
      <c r="P479" s="7" t="str">
        <f>IFERROR(__xludf.DUMMYFUNCTION("""COMPUTED_VALUE"""),"LĐPT")</f>
        <v>LĐPT</v>
      </c>
      <c r="Q479" s="7" t="str">
        <f>IFERROR(__xludf.DUMMYFUNCTION("""COMPUTED_VALUE"""),"Lao động phổ thông")</f>
        <v>Lao động phổ thông</v>
      </c>
      <c r="R479" s="17">
        <f>IFERROR(__xludf.DUMMYFUNCTION("""COMPUTED_VALUE"""),45377.0)</f>
        <v>45377</v>
      </c>
      <c r="S479" s="17">
        <f>IFERROR(__xludf.DUMMYFUNCTION("""COMPUTED_VALUE"""),45444.0)</f>
        <v>45444</v>
      </c>
      <c r="T479" s="7" t="str">
        <f>IFERROR(__xludf.DUMMYFUNCTION("""COMPUTED_VALUE"""),"Chính thức")</f>
        <v>Chính thức</v>
      </c>
      <c r="U479" s="7"/>
      <c r="V479" s="7" t="str">
        <f>IFERROR(__xludf.DUMMYFUNCTION("""COMPUTED_VALUE"""),"Nghỉ phép")</f>
        <v>Nghỉ phép</v>
      </c>
      <c r="W479" s="7" t="str">
        <f>IFERROR(__xludf.DUMMYFUNCTION("""COMPUTED_VALUE"""),"1 năm 9 tháng")</f>
        <v>1 năm 9 tháng</v>
      </c>
      <c r="X479" s="7"/>
      <c r="Y479" s="7"/>
      <c r="Z479" s="7"/>
    </row>
    <row r="480">
      <c r="A480" s="21" t="str">
        <f>IFERROR(__xludf.DUMMYFUNCTION("""COMPUTED_VALUE"""),"13")</f>
        <v>13</v>
      </c>
      <c r="B480" s="7" t="str">
        <f>IFERROR(__xludf.DUMMYFUNCTION("""COMPUTED_VALUE"""),"PXSX1")</f>
        <v>PXSX1</v>
      </c>
      <c r="C480" s="7" t="str">
        <f>IFERROR(__xludf.DUMMYFUNCTION("""COMPUTED_VALUE"""),"Bộ phận nung và hoàn thiện sản phẩm")</f>
        <v>Bộ phận nung và hoàn thiện sản phẩm</v>
      </c>
      <c r="D480" s="7" t="str">
        <f>IFERROR(__xludf.DUMMYFUNCTION("""COMPUTED_VALUE"""),"Đóng hộp Ca B")</f>
        <v>Đóng hộp Ca B</v>
      </c>
      <c r="E480" s="7" t="str">
        <f>IFERROR(__xludf.DUMMYFUNCTION("""COMPUTED_VALUE"""),"Hoàn thiện Palet mức 1")</f>
        <v>Hoàn thiện Palet mức 1</v>
      </c>
      <c r="F480" s="7" t="str">
        <f>IFERROR(__xludf.DUMMYFUNCTION("""COMPUTED_VALUE"""),"NV5400")</f>
        <v>NV5400</v>
      </c>
      <c r="G480" s="7">
        <f>IFERROR(__xludf.DUMMYFUNCTION("""COMPUTED_VALUE"""),840.0)</f>
        <v>840</v>
      </c>
      <c r="H480" s="7" t="str">
        <f>IFERROR(__xludf.DUMMYFUNCTION("""COMPUTED_VALUE"""),"Lê Thị Tuyết ")</f>
        <v>Lê Thị Tuyết </v>
      </c>
      <c r="I480" s="7" t="str">
        <f>IFERROR(__xludf.DUMMYFUNCTION("""COMPUTED_VALUE"""),"Nữ ")</f>
        <v>Nữ </v>
      </c>
      <c r="J480" s="17">
        <f>IFERROR(__xludf.DUMMYFUNCTION("""COMPUTED_VALUE"""),33583.0)</f>
        <v>33583</v>
      </c>
      <c r="K480" s="7" t="str">
        <f>IFERROR(__xludf.DUMMYFUNCTION("""COMPUTED_VALUE"""),"Xã Thượng Ninh - Tỉnh Thanh hóa ")</f>
        <v>Xã Thượng Ninh - Tỉnh Thanh hóa </v>
      </c>
      <c r="L480" s="7" t="str">
        <f>IFERROR(__xludf.DUMMYFUNCTION("""COMPUTED_VALUE"""),"0839440559")</f>
        <v>0839440559</v>
      </c>
      <c r="M480" s="7" t="str">
        <f>IFERROR(__xludf.DUMMYFUNCTION("""COMPUTED_VALUE"""),"038191000713")</f>
        <v>038191000713</v>
      </c>
      <c r="N480" s="17">
        <f>IFERROR(__xludf.DUMMYFUNCTION("""COMPUTED_VALUE"""),44458.0)</f>
        <v>44458</v>
      </c>
      <c r="O480" s="7" t="str">
        <f>IFERROR(__xludf.DUMMYFUNCTION("""COMPUTED_VALUE"""),"Cục Cảnh sát QLHC về TTXH")</f>
        <v>Cục Cảnh sát QLHC về TTXH</v>
      </c>
      <c r="P480" s="7" t="str">
        <f>IFERROR(__xludf.DUMMYFUNCTION("""COMPUTED_VALUE"""),"LĐPT")</f>
        <v>LĐPT</v>
      </c>
      <c r="Q480" s="7" t="str">
        <f>IFERROR(__xludf.DUMMYFUNCTION("""COMPUTED_VALUE"""),"Lao động phổ thông")</f>
        <v>Lao động phổ thông</v>
      </c>
      <c r="R480" s="17">
        <f>IFERROR(__xludf.DUMMYFUNCTION("""COMPUTED_VALUE"""),45700.0)</f>
        <v>45700</v>
      </c>
      <c r="S480" s="7"/>
      <c r="T480" s="7" t="str">
        <f>IFERROR(__xludf.DUMMYFUNCTION("""COMPUTED_VALUE"""),"Chính thức")</f>
        <v>Chính thức</v>
      </c>
      <c r="U480" s="7"/>
      <c r="V480" s="7"/>
      <c r="W480" s="7" t="str">
        <f>IFERROR(__xludf.DUMMYFUNCTION("""COMPUTED_VALUE"""),"0 năm 10 tháng")</f>
        <v>0 năm 10 tháng</v>
      </c>
      <c r="X480" s="7"/>
      <c r="Y480" s="7"/>
      <c r="Z480" s="7"/>
    </row>
    <row r="481">
      <c r="A481" s="21" t="str">
        <f>IFERROR(__xludf.DUMMYFUNCTION("""COMPUTED_VALUE"""),"14")</f>
        <v>14</v>
      </c>
      <c r="B481" s="7" t="str">
        <f>IFERROR(__xludf.DUMMYFUNCTION("""COMPUTED_VALUE"""),"PXSX1")</f>
        <v>PXSX1</v>
      </c>
      <c r="C481" s="7" t="str">
        <f>IFERROR(__xludf.DUMMYFUNCTION("""COMPUTED_VALUE"""),"Bộ phận nung và hoàn thiện sản phẩm")</f>
        <v>Bộ phận nung và hoàn thiện sản phẩm</v>
      </c>
      <c r="D481" s="7" t="str">
        <f>IFERROR(__xludf.DUMMYFUNCTION("""COMPUTED_VALUE"""),"Đóng hộp Ca B")</f>
        <v>Đóng hộp Ca B</v>
      </c>
      <c r="E481" s="7" t="str">
        <f>IFERROR(__xludf.DUMMYFUNCTION("""COMPUTED_VALUE"""),"Bốc lai phụ + Đóng hộp DC1")</f>
        <v>Bốc lai phụ + Đóng hộp DC1</v>
      </c>
      <c r="F481" s="7" t="str">
        <f>IFERROR(__xludf.DUMMYFUNCTION("""COMPUTED_VALUE"""),"NV5642")</f>
        <v>NV5642</v>
      </c>
      <c r="G481" s="7">
        <f>IFERROR(__xludf.DUMMYFUNCTION("""COMPUTED_VALUE"""),1133.0)</f>
        <v>1133</v>
      </c>
      <c r="H481" s="7" t="str">
        <f>IFERROR(__xludf.DUMMYFUNCTION("""COMPUTED_VALUE"""),"Nguyễn Xuân Hòa")</f>
        <v>Nguyễn Xuân Hòa</v>
      </c>
      <c r="I481" s="7" t="str">
        <f>IFERROR(__xludf.DUMMYFUNCTION("""COMPUTED_VALUE"""),"Nam")</f>
        <v>Nam</v>
      </c>
      <c r="J481" s="17">
        <f>IFERROR(__xludf.DUMMYFUNCTION("""COMPUTED_VALUE"""),35330.0)</f>
        <v>35330</v>
      </c>
      <c r="K481" s="7" t="str">
        <f>IFERROR(__xludf.DUMMYFUNCTION("""COMPUTED_VALUE"""),"Thôn Xuân Thắng- Xã Quảng Ngọc - Tỉnh Thanh Hóa")</f>
        <v>Thôn Xuân Thắng- Xã Quảng Ngọc - Tỉnh Thanh Hóa</v>
      </c>
      <c r="L481" s="7" t="str">
        <f>IFERROR(__xludf.DUMMYFUNCTION("""COMPUTED_VALUE"""),"0907065900")</f>
        <v>0907065900</v>
      </c>
      <c r="M481" s="7" t="str">
        <f>IFERROR(__xludf.DUMMYFUNCTION("""COMPUTED_VALUE"""),"038096034142")</f>
        <v>038096034142</v>
      </c>
      <c r="N481" s="17">
        <f>IFERROR(__xludf.DUMMYFUNCTION("""COMPUTED_VALUE"""),44325.0)</f>
        <v>44325</v>
      </c>
      <c r="O481" s="7" t="str">
        <f>IFERROR(__xludf.DUMMYFUNCTION("""COMPUTED_VALUE"""),"Cục Cảnh sát QLHC về TTXH")</f>
        <v>Cục Cảnh sát QLHC về TTXH</v>
      </c>
      <c r="P481" s="7" t="str">
        <f>IFERROR(__xludf.DUMMYFUNCTION("""COMPUTED_VALUE"""),"LĐPT")</f>
        <v>LĐPT</v>
      </c>
      <c r="Q481" s="7" t="str">
        <f>IFERROR(__xludf.DUMMYFUNCTION("""COMPUTED_VALUE"""),"Lao động phổ thông")</f>
        <v>Lao động phổ thông</v>
      </c>
      <c r="R481" s="17">
        <f>IFERROR(__xludf.DUMMYFUNCTION("""COMPUTED_VALUE"""),45870.0)</f>
        <v>45870</v>
      </c>
      <c r="S481" s="17">
        <f>IFERROR(__xludf.DUMMYFUNCTION("""COMPUTED_VALUE"""),45901.0)</f>
        <v>45901</v>
      </c>
      <c r="T481" s="7" t="str">
        <f>IFERROR(__xludf.DUMMYFUNCTION("""COMPUTED_VALUE"""),"Thử việc")</f>
        <v>Thử việc</v>
      </c>
      <c r="U481" s="7"/>
      <c r="V481" s="7" t="str">
        <f>IFERROR(__xludf.DUMMYFUNCTION("""COMPUTED_VALUE"""),"Thử việc")</f>
        <v>Thử việc</v>
      </c>
      <c r="W481" s="7" t="str">
        <f>IFERROR(__xludf.DUMMYFUNCTION("""COMPUTED_VALUE"""),"0 năm 4 tháng")</f>
        <v>0 năm 4 tháng</v>
      </c>
      <c r="X481" s="7"/>
      <c r="Y481" s="7"/>
      <c r="Z481" s="7"/>
    </row>
    <row r="482">
      <c r="A482" s="21" t="str">
        <f>IFERROR(__xludf.DUMMYFUNCTION("""COMPUTED_VALUE"""),"15")</f>
        <v>15</v>
      </c>
      <c r="B482" s="7" t="str">
        <f>IFERROR(__xludf.DUMMYFUNCTION("""COMPUTED_VALUE"""),"PXSX1")</f>
        <v>PXSX1</v>
      </c>
      <c r="C482" s="7" t="str">
        <f>IFERROR(__xludf.DUMMYFUNCTION("""COMPUTED_VALUE"""),"Bộ phận nung và hoàn thiện sản phẩm")</f>
        <v>Bộ phận nung và hoàn thiện sản phẩm</v>
      </c>
      <c r="D482" s="7" t="str">
        <f>IFERROR(__xludf.DUMMYFUNCTION("""COMPUTED_VALUE"""),"Đóng hộp Ca B")</f>
        <v>Đóng hộp Ca B</v>
      </c>
      <c r="E482" s="7" t="str">
        <f>IFERROR(__xludf.DUMMYFUNCTION("""COMPUTED_VALUE"""),"Bốc lai phụ + Đóng hộp DC1")</f>
        <v>Bốc lai phụ + Đóng hộp DC1</v>
      </c>
      <c r="F482" s="7" t="str">
        <f>IFERROR(__xludf.DUMMYFUNCTION("""COMPUTED_VALUE"""),"NV5066")</f>
        <v>NV5066</v>
      </c>
      <c r="G482" s="7">
        <f>IFERROR(__xludf.DUMMYFUNCTION("""COMPUTED_VALUE"""),350.0)</f>
        <v>350</v>
      </c>
      <c r="H482" s="7" t="str">
        <f>IFERROR(__xludf.DUMMYFUNCTION("""COMPUTED_VALUE"""),"Phạm Văn Dũng")</f>
        <v>Phạm Văn Dũng</v>
      </c>
      <c r="I482" s="7" t="str">
        <f>IFERROR(__xludf.DUMMYFUNCTION("""COMPUTED_VALUE"""),"Nam")</f>
        <v>Nam</v>
      </c>
      <c r="J482" s="17">
        <f>IFERROR(__xludf.DUMMYFUNCTION("""COMPUTED_VALUE"""),35472.0)</f>
        <v>35472</v>
      </c>
      <c r="K482" s="7" t="str">
        <f>IFERROR(__xludf.DUMMYFUNCTION("""COMPUTED_VALUE"""),"Xã Quảng Ninh - Tỉnh Thanh Hóa")</f>
        <v>Xã Quảng Ninh - Tỉnh Thanh Hóa</v>
      </c>
      <c r="L482" s="7" t="str">
        <f>IFERROR(__xludf.DUMMYFUNCTION("""COMPUTED_VALUE"""),"0347830467")</f>
        <v>0347830467</v>
      </c>
      <c r="M482" s="7" t="str">
        <f>IFERROR(__xludf.DUMMYFUNCTION("""COMPUTED_VALUE"""),"038097001833")</f>
        <v>038097001833</v>
      </c>
      <c r="N482" s="17">
        <f>IFERROR(__xludf.DUMMYFUNCTION("""COMPUTED_VALUE"""),44746.0)</f>
        <v>44746</v>
      </c>
      <c r="O482" s="7" t="str">
        <f>IFERROR(__xludf.DUMMYFUNCTION("""COMPUTED_VALUE"""),"Cục Cảnh sát QLHC về TTXH")</f>
        <v>Cục Cảnh sát QLHC về TTXH</v>
      </c>
      <c r="P482" s="7" t="str">
        <f>IFERROR(__xludf.DUMMYFUNCTION("""COMPUTED_VALUE"""),"LĐPT")</f>
        <v>LĐPT</v>
      </c>
      <c r="Q482" s="7" t="str">
        <f>IFERROR(__xludf.DUMMYFUNCTION("""COMPUTED_VALUE"""),"Lao động phổ thông")</f>
        <v>Lao động phổ thông</v>
      </c>
      <c r="R482" s="17">
        <f>IFERROR(__xludf.DUMMYFUNCTION("""COMPUTED_VALUE"""),45822.0)</f>
        <v>45822</v>
      </c>
      <c r="S482" s="7"/>
      <c r="T482" s="7" t="str">
        <f>IFERROR(__xludf.DUMMYFUNCTION("""COMPUTED_VALUE"""),"Chính thức")</f>
        <v>Chính thức</v>
      </c>
      <c r="U482" s="7"/>
      <c r="V482" s="7"/>
      <c r="W482" s="7" t="str">
        <f>IFERROR(__xludf.DUMMYFUNCTION("""COMPUTED_VALUE"""),"0 năm 6 tháng")</f>
        <v>0 năm 6 tháng</v>
      </c>
      <c r="X482" s="7"/>
      <c r="Y482" s="7"/>
      <c r="Z482" s="7"/>
    </row>
    <row r="483">
      <c r="A483" s="21" t="str">
        <f>IFERROR(__xludf.DUMMYFUNCTION("""COMPUTED_VALUE"""),"16")</f>
        <v>16</v>
      </c>
      <c r="B483" s="7" t="str">
        <f>IFERROR(__xludf.DUMMYFUNCTION("""COMPUTED_VALUE"""),"PXSX1")</f>
        <v>PXSX1</v>
      </c>
      <c r="C483" s="7" t="str">
        <f>IFERROR(__xludf.DUMMYFUNCTION("""COMPUTED_VALUE"""),"Bộ phận nung và hoàn thiện sản phẩm")</f>
        <v>Bộ phận nung và hoàn thiện sản phẩm</v>
      </c>
      <c r="D483" s="7" t="str">
        <f>IFERROR(__xludf.DUMMYFUNCTION("""COMPUTED_VALUE"""),"Đóng hộp Ca B")</f>
        <v>Đóng hộp Ca B</v>
      </c>
      <c r="E483" s="7" t="str">
        <f>IFERROR(__xludf.DUMMYFUNCTION("""COMPUTED_VALUE"""),"CN đóng hộp")</f>
        <v>CN đóng hộp</v>
      </c>
      <c r="F483" s="7" t="str">
        <f>IFERROR(__xludf.DUMMYFUNCTION("""COMPUTED_VALUE"""),"NV1406")</f>
        <v>NV1406</v>
      </c>
      <c r="G483" s="7">
        <f>IFERROR(__xludf.DUMMYFUNCTION("""COMPUTED_VALUE"""),330.0)</f>
        <v>330</v>
      </c>
      <c r="H483" s="7" t="str">
        <f>IFERROR(__xludf.DUMMYFUNCTION("""COMPUTED_VALUE"""),"Trịnh Đình Dũng")</f>
        <v>Trịnh Đình Dũng</v>
      </c>
      <c r="I483" s="7" t="str">
        <f>IFERROR(__xludf.DUMMYFUNCTION("""COMPUTED_VALUE"""),"Nam")</f>
        <v>Nam</v>
      </c>
      <c r="J483" s="17">
        <f>IFERROR(__xludf.DUMMYFUNCTION("""COMPUTED_VALUE"""),35902.0)</f>
        <v>35902</v>
      </c>
      <c r="K483" s="7" t="str">
        <f>IFERROR(__xludf.DUMMYFUNCTION("""COMPUTED_VALUE"""),"65 Ngô Từ - Phường Hạc Thành - Tỉnh Thanh Hóa")</f>
        <v>65 Ngô Từ - Phường Hạc Thành - Tỉnh Thanh Hóa</v>
      </c>
      <c r="L483" s="7" t="str">
        <f>IFERROR(__xludf.DUMMYFUNCTION("""COMPUTED_VALUE"""),"0983227655")</f>
        <v>0983227655</v>
      </c>
      <c r="M483" s="7" t="str">
        <f>IFERROR(__xludf.DUMMYFUNCTION("""COMPUTED_VALUE"""),"038098022770")</f>
        <v>038098022770</v>
      </c>
      <c r="N483" s="17">
        <f>IFERROR(__xludf.DUMMYFUNCTION("""COMPUTED_VALUE"""),44375.0)</f>
        <v>44375</v>
      </c>
      <c r="O483" s="7" t="str">
        <f>IFERROR(__xludf.DUMMYFUNCTION("""COMPUTED_VALUE"""),"Cục Cảnh sát QLHC về TTXH")</f>
        <v>Cục Cảnh sát QLHC về TTXH</v>
      </c>
      <c r="P483" s="7" t="str">
        <f>IFERROR(__xludf.DUMMYFUNCTION("""COMPUTED_VALUE"""),"Trung cấp")</f>
        <v>Trung cấp</v>
      </c>
      <c r="Q483" s="7" t="str">
        <f>IFERROR(__xludf.DUMMYFUNCTION("""COMPUTED_VALUE"""),"Công nghệ hàn")</f>
        <v>Công nghệ hàn</v>
      </c>
      <c r="R483" s="17">
        <f>IFERROR(__xludf.DUMMYFUNCTION("""COMPUTED_VALUE"""),43238.0)</f>
        <v>43238</v>
      </c>
      <c r="S483" s="17">
        <f>IFERROR(__xludf.DUMMYFUNCTION("""COMPUTED_VALUE"""),43586.0)</f>
        <v>43586</v>
      </c>
      <c r="T483" s="7" t="str">
        <f>IFERROR(__xludf.DUMMYFUNCTION("""COMPUTED_VALUE"""),"Chính thức")</f>
        <v>Chính thức</v>
      </c>
      <c r="U483" s="7"/>
      <c r="V483" s="7"/>
      <c r="W483" s="7" t="str">
        <f>IFERROR(__xludf.DUMMYFUNCTION("""COMPUTED_VALUE"""),"7 năm 7 tháng")</f>
        <v>7 năm 7 tháng</v>
      </c>
      <c r="X483" s="7"/>
      <c r="Y483" s="7"/>
      <c r="Z483" s="7"/>
    </row>
    <row r="484">
      <c r="A484" s="21" t="str">
        <f>IFERROR(__xludf.DUMMYFUNCTION("""COMPUTED_VALUE"""),"17")</f>
        <v>17</v>
      </c>
      <c r="B484" s="7" t="str">
        <f>IFERROR(__xludf.DUMMYFUNCTION("""COMPUTED_VALUE"""),"PXSX1")</f>
        <v>PXSX1</v>
      </c>
      <c r="C484" s="7" t="str">
        <f>IFERROR(__xludf.DUMMYFUNCTION("""COMPUTED_VALUE"""),"Bộ phận nung và hoàn thiện sản phẩm")</f>
        <v>Bộ phận nung và hoàn thiện sản phẩm</v>
      </c>
      <c r="D484" s="7" t="str">
        <f>IFERROR(__xludf.DUMMYFUNCTION("""COMPUTED_VALUE"""),"Đóng hộp Ca B")</f>
        <v>Đóng hộp Ca B</v>
      </c>
      <c r="E484" s="7" t="str">
        <f>IFERROR(__xludf.DUMMYFUNCTION("""COMPUTED_VALUE"""),"VH máy đóng hộp")</f>
        <v>VH máy đóng hộp</v>
      </c>
      <c r="F484" s="7" t="str">
        <f>IFERROR(__xludf.DUMMYFUNCTION("""COMPUTED_VALUE"""),"NV5459")</f>
        <v>NV5459</v>
      </c>
      <c r="G484" s="7">
        <f>IFERROR(__xludf.DUMMYFUNCTION("""COMPUTED_VALUE"""),921.0)</f>
        <v>921</v>
      </c>
      <c r="H484" s="7" t="str">
        <f>IFERROR(__xludf.DUMMYFUNCTION("""COMPUTED_VALUE"""),"Vương Huy Sự ")</f>
        <v>Vương Huy Sự </v>
      </c>
      <c r="I484" s="7" t="str">
        <f>IFERROR(__xludf.DUMMYFUNCTION("""COMPUTED_VALUE"""),"Nam")</f>
        <v>Nam</v>
      </c>
      <c r="J484" s="17">
        <f>IFERROR(__xludf.DUMMYFUNCTION("""COMPUTED_VALUE"""),37149.0)</f>
        <v>37149</v>
      </c>
      <c r="K484" s="7" t="str">
        <f>IFERROR(__xludf.DUMMYFUNCTION("""COMPUTED_VALUE"""),"Xã Quảng Ngọc - Tỉnh Thanh Hóa ")</f>
        <v>Xã Quảng Ngọc - Tỉnh Thanh Hóa </v>
      </c>
      <c r="L484" s="7" t="str">
        <f>IFERROR(__xludf.DUMMYFUNCTION("""COMPUTED_VALUE"""),"0392078247")</f>
        <v>0392078247</v>
      </c>
      <c r="M484" s="7" t="str">
        <f>IFERROR(__xludf.DUMMYFUNCTION("""COMPUTED_VALUE"""),"038201013707")</f>
        <v>038201013707</v>
      </c>
      <c r="N484" s="17">
        <f>IFERROR(__xludf.DUMMYFUNCTION("""COMPUTED_VALUE"""),44964.0)</f>
        <v>44964</v>
      </c>
      <c r="O484" s="7" t="str">
        <f>IFERROR(__xludf.DUMMYFUNCTION("""COMPUTED_VALUE"""),"Cục Cảnh sát QLHC về TTXH")</f>
        <v>Cục Cảnh sát QLHC về TTXH</v>
      </c>
      <c r="P484" s="7" t="str">
        <f>IFERROR(__xludf.DUMMYFUNCTION("""COMPUTED_VALUE"""),"LĐPT")</f>
        <v>LĐPT</v>
      </c>
      <c r="Q484" s="7" t="str">
        <f>IFERROR(__xludf.DUMMYFUNCTION("""COMPUTED_VALUE"""),"Lao động phổ thông")</f>
        <v>Lao động phổ thông</v>
      </c>
      <c r="R484" s="17">
        <f>IFERROR(__xludf.DUMMYFUNCTION("""COMPUTED_VALUE"""),45783.0)</f>
        <v>45783</v>
      </c>
      <c r="S484" s="7"/>
      <c r="T484" s="7" t="str">
        <f>IFERROR(__xludf.DUMMYFUNCTION("""COMPUTED_VALUE"""),"Chính thức")</f>
        <v>Chính thức</v>
      </c>
      <c r="U484" s="7"/>
      <c r="V484" s="7"/>
      <c r="W484" s="7" t="str">
        <f>IFERROR(__xludf.DUMMYFUNCTION("""COMPUTED_VALUE"""),"0 năm 7 tháng")</f>
        <v>0 năm 7 tháng</v>
      </c>
      <c r="X484" s="7"/>
      <c r="Y484" s="7"/>
      <c r="Z484" s="7"/>
    </row>
    <row r="485">
      <c r="A485" s="21" t="str">
        <f>IFERROR(__xludf.DUMMYFUNCTION("""COMPUTED_VALUE"""),"18")</f>
        <v>18</v>
      </c>
      <c r="B485" s="7" t="str">
        <f>IFERROR(__xludf.DUMMYFUNCTION("""COMPUTED_VALUE"""),"PXSX1")</f>
        <v>PXSX1</v>
      </c>
      <c r="C485" s="7" t="str">
        <f>IFERROR(__xludf.DUMMYFUNCTION("""COMPUTED_VALUE"""),"Bộ phận nung và hoàn thiện sản phẩm")</f>
        <v>Bộ phận nung và hoàn thiện sản phẩm</v>
      </c>
      <c r="D485" s="7" t="str">
        <f>IFERROR(__xludf.DUMMYFUNCTION("""COMPUTED_VALUE"""),"Đóng hộp Ca B")</f>
        <v>Đóng hộp Ca B</v>
      </c>
      <c r="E485" s="7" t="str">
        <f>IFERROR(__xludf.DUMMYFUNCTION("""COMPUTED_VALUE"""),"Hoàn thiện palet DC1")</f>
        <v>Hoàn thiện palet DC1</v>
      </c>
      <c r="F485" s="7" t="str">
        <f>IFERROR(__xludf.DUMMYFUNCTION("""COMPUTED_VALUE"""),"NV5709")</f>
        <v>NV5709</v>
      </c>
      <c r="G485" s="7">
        <f>IFERROR(__xludf.DUMMYFUNCTION("""COMPUTED_VALUE"""),1200.0)</f>
        <v>1200</v>
      </c>
      <c r="H485" s="7" t="str">
        <f>IFERROR(__xludf.DUMMYFUNCTION("""COMPUTED_VALUE"""),"Lê Thị Nga")</f>
        <v>Lê Thị Nga</v>
      </c>
      <c r="I485" s="7" t="str">
        <f>IFERROR(__xludf.DUMMYFUNCTION("""COMPUTED_VALUE"""),"Nữ")</f>
        <v>Nữ</v>
      </c>
      <c r="J485" s="17">
        <f>IFERROR(__xludf.DUMMYFUNCTION("""COMPUTED_VALUE"""),28481.0)</f>
        <v>28481</v>
      </c>
      <c r="K485" s="7" t="str">
        <f>IFERROR(__xludf.DUMMYFUNCTION("""COMPUTED_VALUE"""),"94 Nguyễn Trãi - Phường Sầm Sơn -Thanh Hóa")</f>
        <v>94 Nguyễn Trãi - Phường Sầm Sơn -Thanh Hóa</v>
      </c>
      <c r="L485" s="7" t="str">
        <f>IFERROR(__xludf.DUMMYFUNCTION("""COMPUTED_VALUE"""),"0387706197")</f>
        <v>0387706197</v>
      </c>
      <c r="M485" s="7" t="str">
        <f>IFERROR(__xludf.DUMMYFUNCTION("""COMPUTED_VALUE"""),"038177010993")</f>
        <v>038177010993</v>
      </c>
      <c r="N485" s="17">
        <f>IFERROR(__xludf.DUMMYFUNCTION("""COMPUTED_VALUE"""),44418.0)</f>
        <v>44418</v>
      </c>
      <c r="O485" s="7" t="str">
        <f>IFERROR(__xludf.DUMMYFUNCTION("""COMPUTED_VALUE"""),"Cục Cảnh sát QLHC về TTXH")</f>
        <v>Cục Cảnh sát QLHC về TTXH</v>
      </c>
      <c r="P485" s="7" t="str">
        <f>IFERROR(__xludf.DUMMYFUNCTION("""COMPUTED_VALUE"""),"LĐPT")</f>
        <v>LĐPT</v>
      </c>
      <c r="Q485" s="7" t="str">
        <f>IFERROR(__xludf.DUMMYFUNCTION("""COMPUTED_VALUE"""),"Lao động phổ thông")</f>
        <v>Lao động phổ thông</v>
      </c>
      <c r="R485" s="17">
        <f>IFERROR(__xludf.DUMMYFUNCTION("""COMPUTED_VALUE"""),45916.0)</f>
        <v>45916</v>
      </c>
      <c r="S485" s="7"/>
      <c r="T485" s="7" t="str">
        <f>IFERROR(__xludf.DUMMYFUNCTION("""COMPUTED_VALUE"""),"Thử việc")</f>
        <v>Thử việc</v>
      </c>
      <c r="U485" s="7"/>
      <c r="V485" s="7" t="str">
        <f>IFERROR(__xludf.DUMMYFUNCTION("""COMPUTED_VALUE"""),"Thử việc")</f>
        <v>Thử việc</v>
      </c>
      <c r="W485" s="7" t="str">
        <f>IFERROR(__xludf.DUMMYFUNCTION("""COMPUTED_VALUE"""),"0 năm 3 tháng")</f>
        <v>0 năm 3 tháng</v>
      </c>
      <c r="X485" s="7"/>
      <c r="Y485" s="7"/>
      <c r="Z485" s="7"/>
    </row>
    <row r="486">
      <c r="A486" s="21" t="str">
        <f>IFERROR(__xludf.DUMMYFUNCTION("""COMPUTED_VALUE"""),"19")</f>
        <v>19</v>
      </c>
      <c r="B486" s="7" t="str">
        <f>IFERROR(__xludf.DUMMYFUNCTION("""COMPUTED_VALUE"""),"PXSX1")</f>
        <v>PXSX1</v>
      </c>
      <c r="C486" s="7" t="str">
        <f>IFERROR(__xludf.DUMMYFUNCTION("""COMPUTED_VALUE"""),"Bộ phận nung và hoàn thiện sản phẩm")</f>
        <v>Bộ phận nung và hoàn thiện sản phẩm</v>
      </c>
      <c r="D486" s="7" t="str">
        <f>IFERROR(__xludf.DUMMYFUNCTION("""COMPUTED_VALUE"""),"Đóng hộp Ca B")</f>
        <v>Đóng hộp Ca B</v>
      </c>
      <c r="E486" s="7" t="str">
        <f>IFERROR(__xludf.DUMMYFUNCTION("""COMPUTED_VALUE"""),"Hoàn thiện palet DC1")</f>
        <v>Hoàn thiện palet DC1</v>
      </c>
      <c r="F486" s="7" t="str">
        <f>IFERROR(__xludf.DUMMYFUNCTION("""COMPUTED_VALUE"""),"NV5419")</f>
        <v>NV5419</v>
      </c>
      <c r="G486" s="7">
        <f>IFERROR(__xludf.DUMMYFUNCTION("""COMPUTED_VALUE"""),869.0)</f>
        <v>869</v>
      </c>
      <c r="H486" s="7" t="str">
        <f>IFERROR(__xludf.DUMMYFUNCTION("""COMPUTED_VALUE"""),"Vương Huy Phúc")</f>
        <v>Vương Huy Phúc</v>
      </c>
      <c r="I486" s="7" t="str">
        <f>IFERROR(__xludf.DUMMYFUNCTION("""COMPUTED_VALUE"""),"Nam")</f>
        <v>Nam</v>
      </c>
      <c r="J486" s="17">
        <f>IFERROR(__xludf.DUMMYFUNCTION("""COMPUTED_VALUE"""),35557.0)</f>
        <v>35557</v>
      </c>
      <c r="K486" s="7" t="str">
        <f>IFERROR(__xludf.DUMMYFUNCTION("""COMPUTED_VALUE"""),"Thôn Yên Hưng - Xã Quảng Ngọc - Tỉnh Thanh Hóa")</f>
        <v>Thôn Yên Hưng - Xã Quảng Ngọc - Tỉnh Thanh Hóa</v>
      </c>
      <c r="L486" s="7" t="str">
        <f>IFERROR(__xludf.DUMMYFUNCTION("""COMPUTED_VALUE"""),"0961887557")</f>
        <v>0961887557</v>
      </c>
      <c r="M486" s="7" t="str">
        <f>IFERROR(__xludf.DUMMYFUNCTION("""COMPUTED_VALUE"""),"038097027204")</f>
        <v>038097027204</v>
      </c>
      <c r="N486" s="17">
        <f>IFERROR(__xludf.DUMMYFUNCTION("""COMPUTED_VALUE"""),44418.0)</f>
        <v>44418</v>
      </c>
      <c r="O486" s="7" t="str">
        <f>IFERROR(__xludf.DUMMYFUNCTION("""COMPUTED_VALUE"""),"Cục Cảnh sát QLHC về TTXH")</f>
        <v>Cục Cảnh sát QLHC về TTXH</v>
      </c>
      <c r="P486" s="7" t="str">
        <f>IFERROR(__xludf.DUMMYFUNCTION("""COMPUTED_VALUE"""),"LĐPT")</f>
        <v>LĐPT</v>
      </c>
      <c r="Q486" s="7" t="str">
        <f>IFERROR(__xludf.DUMMYFUNCTION("""COMPUTED_VALUE"""),"Lao động phổ thông")</f>
        <v>Lao động phổ thông</v>
      </c>
      <c r="R486" s="7"/>
      <c r="S486" s="17">
        <f>IFERROR(__xludf.DUMMYFUNCTION("""COMPUTED_VALUE"""),45947.0)</f>
        <v>45947</v>
      </c>
      <c r="T486" s="7" t="str">
        <f>IFERROR(__xludf.DUMMYFUNCTION("""COMPUTED_VALUE"""),"Chính thức")</f>
        <v>Chính thức</v>
      </c>
      <c r="U486" s="7"/>
      <c r="V486" s="7" t="str">
        <f>IFERROR(__xludf.DUMMYFUNCTION("""COMPUTED_VALUE"""),"Chính thức")</f>
        <v>Chính thức</v>
      </c>
      <c r="W486" s="7" t="str">
        <f>IFERROR(__xludf.DUMMYFUNCTION("""COMPUTED_VALUE"""),"0 năm 2 tháng")</f>
        <v>0 năm 2 tháng</v>
      </c>
      <c r="X486" s="7"/>
      <c r="Y486" s="7"/>
      <c r="Z486" s="7"/>
    </row>
    <row r="487">
      <c r="A487" s="21" t="str">
        <f>IFERROR(__xludf.DUMMYFUNCTION("""COMPUTED_VALUE"""),"20")</f>
        <v>20</v>
      </c>
      <c r="B487" s="7" t="str">
        <f>IFERROR(__xludf.DUMMYFUNCTION("""COMPUTED_VALUE"""),"PXSX1")</f>
        <v>PXSX1</v>
      </c>
      <c r="C487" s="7" t="str">
        <f>IFERROR(__xludf.DUMMYFUNCTION("""COMPUTED_VALUE"""),"Bộ phận nung và hoàn thiện sản phẩm")</f>
        <v>Bộ phận nung và hoàn thiện sản phẩm</v>
      </c>
      <c r="D487" s="7" t="str">
        <f>IFERROR(__xludf.DUMMYFUNCTION("""COMPUTED_VALUE"""),"Đóng hộp Ca B")</f>
        <v>Đóng hộp Ca B</v>
      </c>
      <c r="E487" s="7" t="str">
        <f>IFERROR(__xludf.DUMMYFUNCTION("""COMPUTED_VALUE"""),"Hoàn thiện palet DC1")</f>
        <v>Hoàn thiện palet DC1</v>
      </c>
      <c r="F487" s="7" t="str">
        <f>IFERROR(__xludf.DUMMYFUNCTION("""COMPUTED_VALUE"""),"NV5418")</f>
        <v>NV5418</v>
      </c>
      <c r="G487" s="7">
        <f>IFERROR(__xludf.DUMMYFUNCTION("""COMPUTED_VALUE"""),868.0)</f>
        <v>868</v>
      </c>
      <c r="H487" s="7" t="str">
        <f>IFERROR(__xludf.DUMMYFUNCTION("""COMPUTED_VALUE"""),"Vương Huy Tân")</f>
        <v>Vương Huy Tân</v>
      </c>
      <c r="I487" s="7" t="str">
        <f>IFERROR(__xludf.DUMMYFUNCTION("""COMPUTED_VALUE"""),"Nam")</f>
        <v>Nam</v>
      </c>
      <c r="J487" s="17">
        <f>IFERROR(__xludf.DUMMYFUNCTION("""COMPUTED_VALUE"""),34895.0)</f>
        <v>34895</v>
      </c>
      <c r="K487" s="7" t="str">
        <f>IFERROR(__xludf.DUMMYFUNCTION("""COMPUTED_VALUE"""),"Thôn Yên Hưng - Xã Quảng Ngọc - Tỉnh Thanh Hóa")</f>
        <v>Thôn Yên Hưng - Xã Quảng Ngọc - Tỉnh Thanh Hóa</v>
      </c>
      <c r="L487" s="7" t="str">
        <f>IFERROR(__xludf.DUMMYFUNCTION("""COMPUTED_VALUE"""),"0842451636")</f>
        <v>0842451636</v>
      </c>
      <c r="M487" s="7" t="str">
        <f>IFERROR(__xludf.DUMMYFUNCTION("""COMPUTED_VALUE"""),"038095010774")</f>
        <v>038095010774</v>
      </c>
      <c r="N487" s="17">
        <f>IFERROR(__xludf.DUMMYFUNCTION("""COMPUTED_VALUE"""),44308.0)</f>
        <v>44308</v>
      </c>
      <c r="O487" s="7" t="str">
        <f>IFERROR(__xludf.DUMMYFUNCTION("""COMPUTED_VALUE"""),"Cục Cảnh sát QLHC về TTXH")</f>
        <v>Cục Cảnh sát QLHC về TTXH</v>
      </c>
      <c r="P487" s="7" t="str">
        <f>IFERROR(__xludf.DUMMYFUNCTION("""COMPUTED_VALUE"""),"LĐPT")</f>
        <v>LĐPT</v>
      </c>
      <c r="Q487" s="7" t="str">
        <f>IFERROR(__xludf.DUMMYFUNCTION("""COMPUTED_VALUE"""),"Lao động phổ thông")</f>
        <v>Lao động phổ thông</v>
      </c>
      <c r="R487" s="17">
        <f>IFERROR(__xludf.DUMMYFUNCTION("""COMPUTED_VALUE"""),45950.0)</f>
        <v>45950</v>
      </c>
      <c r="S487" s="17">
        <f>IFERROR(__xludf.DUMMYFUNCTION("""COMPUTED_VALUE"""),45950.0)</f>
        <v>45950</v>
      </c>
      <c r="T487" s="7" t="str">
        <f>IFERROR(__xludf.DUMMYFUNCTION("""COMPUTED_VALUE"""),"Chính thức")</f>
        <v>Chính thức</v>
      </c>
      <c r="U487" s="7"/>
      <c r="V487" s="7" t="str">
        <f>IFERROR(__xludf.DUMMYFUNCTION("""COMPUTED_VALUE"""),"Chính thức")</f>
        <v>Chính thức</v>
      </c>
      <c r="W487" s="7" t="str">
        <f>IFERROR(__xludf.DUMMYFUNCTION("""COMPUTED_VALUE"""),"0 năm 2 tháng")</f>
        <v>0 năm 2 tháng</v>
      </c>
      <c r="X487" s="7"/>
      <c r="Y487" s="7"/>
      <c r="Z487" s="7"/>
    </row>
    <row r="488">
      <c r="A488" s="21" t="str">
        <f>IFERROR(__xludf.DUMMYFUNCTION("""COMPUTED_VALUE"""),"1")</f>
        <v>1</v>
      </c>
      <c r="B488" s="7" t="str">
        <f>IFERROR(__xludf.DUMMYFUNCTION("""COMPUTED_VALUE"""),"PXSX1")</f>
        <v>PXSX1</v>
      </c>
      <c r="C488" s="7" t="str">
        <f>IFERROR(__xludf.DUMMYFUNCTION("""COMPUTED_VALUE"""),"Phòng Kỹ thuật")</f>
        <v>Phòng Kỹ thuật</v>
      </c>
      <c r="D488" s="7" t="str">
        <f>IFERROR(__xludf.DUMMYFUNCTION("""COMPUTED_VALUE"""),"Bộ phận Kỹ thuật - hành chính")</f>
        <v>Bộ phận Kỹ thuật - hành chính</v>
      </c>
      <c r="E488" s="7" t="str">
        <f>IFERROR(__xludf.DUMMYFUNCTION("""COMPUTED_VALUE"""),"Trưởng phòng Kỹ thuật")</f>
        <v>Trưởng phòng Kỹ thuật</v>
      </c>
      <c r="F488" s="7" t="str">
        <f>IFERROR(__xludf.DUMMYFUNCTION("""COMPUTED_VALUE"""),"NV0451")</f>
        <v>NV0451</v>
      </c>
      <c r="G488" s="7">
        <f>IFERROR(__xludf.DUMMYFUNCTION("""COMPUTED_VALUE"""),519.0)</f>
        <v>519</v>
      </c>
      <c r="H488" s="7" t="str">
        <f>IFERROR(__xludf.DUMMYFUNCTION("""COMPUTED_VALUE"""),"Hồ Xuân Tùng")</f>
        <v>Hồ Xuân Tùng</v>
      </c>
      <c r="I488" s="7" t="str">
        <f>IFERROR(__xludf.DUMMYFUNCTION("""COMPUTED_VALUE"""),"Nam")</f>
        <v>Nam</v>
      </c>
      <c r="J488" s="17">
        <f>IFERROR(__xludf.DUMMYFUNCTION("""COMPUTED_VALUE"""),28439.0)</f>
        <v>28439</v>
      </c>
      <c r="K488" s="7" t="str">
        <f>IFERROR(__xludf.DUMMYFUNCTION("""COMPUTED_VALUE"""),"14 Đường Bùi Sỹ Lâm -  Tổ dân phố 2 - Xã Lưu Vệ - Tỉnh Thanh Hóa")</f>
        <v>14 Đường Bùi Sỹ Lâm -  Tổ dân phố 2 - Xã Lưu Vệ - Tỉnh Thanh Hóa</v>
      </c>
      <c r="L488" s="7" t="str">
        <f>IFERROR(__xludf.DUMMYFUNCTION("""COMPUTED_VALUE"""),"0949018386")</f>
        <v>0949018386</v>
      </c>
      <c r="M488" s="7" t="str">
        <f>IFERROR(__xludf.DUMMYFUNCTION("""COMPUTED_VALUE"""),"038077009075")</f>
        <v>038077009075</v>
      </c>
      <c r="N488" s="17">
        <f>IFERROR(__xludf.DUMMYFUNCTION("""COMPUTED_VALUE"""),44420.0)</f>
        <v>44420</v>
      </c>
      <c r="O488" s="7" t="str">
        <f>IFERROR(__xludf.DUMMYFUNCTION("""COMPUTED_VALUE"""),"Cục Cảnh sát QLHC về TTXH")</f>
        <v>Cục Cảnh sát QLHC về TTXH</v>
      </c>
      <c r="P488" s="7" t="str">
        <f>IFERROR(__xludf.DUMMYFUNCTION("""COMPUTED_VALUE"""),"Đại học")</f>
        <v>Đại học</v>
      </c>
      <c r="Q488" s="7" t="str">
        <f>IFERROR(__xludf.DUMMYFUNCTION("""COMPUTED_VALUE"""),"Kỹ sư điện")</f>
        <v>Kỹ sư điện</v>
      </c>
      <c r="R488" s="17">
        <f>IFERROR(__xludf.DUMMYFUNCTION("""COMPUTED_VALUE"""),37483.0)</f>
        <v>37483</v>
      </c>
      <c r="S488" s="17">
        <f>IFERROR(__xludf.DUMMYFUNCTION("""COMPUTED_VALUE"""),37483.0)</f>
        <v>37483</v>
      </c>
      <c r="T488" s="7" t="str">
        <f>IFERROR(__xludf.DUMMYFUNCTION("""COMPUTED_VALUE"""),"Chính thức")</f>
        <v>Chính thức</v>
      </c>
      <c r="U488" s="7"/>
      <c r="V488" s="7" t="str">
        <f>IFERROR(__xludf.DUMMYFUNCTION("""COMPUTED_VALUE"""),"Nghỉ phép")</f>
        <v>Nghỉ phép</v>
      </c>
      <c r="W488" s="7" t="str">
        <f>IFERROR(__xludf.DUMMYFUNCTION("""COMPUTED_VALUE"""),"23 năm 4 tháng")</f>
        <v>23 năm 4 tháng</v>
      </c>
      <c r="X488" s="7"/>
      <c r="Y488" s="7"/>
      <c r="Z488" s="7"/>
    </row>
    <row r="489">
      <c r="A489" s="21" t="str">
        <f>IFERROR(__xludf.DUMMYFUNCTION("""COMPUTED_VALUE"""),"2")</f>
        <v>2</v>
      </c>
      <c r="B489" s="7" t="str">
        <f>IFERROR(__xludf.DUMMYFUNCTION("""COMPUTED_VALUE"""),"PXSX1")</f>
        <v>PXSX1</v>
      </c>
      <c r="C489" s="7" t="str">
        <f>IFERROR(__xludf.DUMMYFUNCTION("""COMPUTED_VALUE"""),"Phòng Kỹ thuật")</f>
        <v>Phòng Kỹ thuật</v>
      </c>
      <c r="D489" s="7" t="str">
        <f>IFERROR(__xludf.DUMMYFUNCTION("""COMPUTED_VALUE"""),"Bộ phận Kỹ thuật - hành chính")</f>
        <v>Bộ phận Kỹ thuật - hành chính</v>
      </c>
      <c r="E489" s="7" t="str">
        <f>IFERROR(__xludf.DUMMYFUNCTION("""COMPUTED_VALUE"""),"Phó phòng Kỹ thuật")</f>
        <v>Phó phòng Kỹ thuật</v>
      </c>
      <c r="F489" s="7" t="str">
        <f>IFERROR(__xludf.DUMMYFUNCTION("""COMPUTED_VALUE"""),"NV0090")</f>
        <v>NV0090</v>
      </c>
      <c r="G489" s="7">
        <f>IFERROR(__xludf.DUMMYFUNCTION("""COMPUTED_VALUE"""),173.0)</f>
        <v>173</v>
      </c>
      <c r="H489" s="7" t="str">
        <f>IFERROR(__xludf.DUMMYFUNCTION("""COMPUTED_VALUE"""),"Vũ Xuân Lân")</f>
        <v>Vũ Xuân Lân</v>
      </c>
      <c r="I489" s="7" t="str">
        <f>IFERROR(__xludf.DUMMYFUNCTION("""COMPUTED_VALUE"""),"Nam")</f>
        <v>Nam</v>
      </c>
      <c r="J489" s="17">
        <f>IFERROR(__xludf.DUMMYFUNCTION("""COMPUTED_VALUE"""),29160.0)</f>
        <v>29160</v>
      </c>
      <c r="K489" s="7" t="str">
        <f>IFERROR(__xludf.DUMMYFUNCTION("""COMPUTED_VALUE"""),"SN - 302 - Bà Triệu - Phường Hạc Thành - Tỉnh Thanh Hóa")</f>
        <v>SN - 302 - Bà Triệu - Phường Hạc Thành - Tỉnh Thanh Hóa</v>
      </c>
      <c r="L489" s="7" t="str">
        <f>IFERROR(__xludf.DUMMYFUNCTION("""COMPUTED_VALUE"""),"0973028656")</f>
        <v>0973028656</v>
      </c>
      <c r="M489" s="7" t="str">
        <f>IFERROR(__xludf.DUMMYFUNCTION("""COMPUTED_VALUE"""),"038079023367")</f>
        <v>038079023367</v>
      </c>
      <c r="N489" s="17">
        <f>IFERROR(__xludf.DUMMYFUNCTION("""COMPUTED_VALUE"""),44375.0)</f>
        <v>44375</v>
      </c>
      <c r="O489" s="7" t="str">
        <f>IFERROR(__xludf.DUMMYFUNCTION("""COMPUTED_VALUE"""),"Cục Cảnh sát QLHC về TTXH")</f>
        <v>Cục Cảnh sát QLHC về TTXH</v>
      </c>
      <c r="P489" s="7" t="str">
        <f>IFERROR(__xludf.DUMMYFUNCTION("""COMPUTED_VALUE"""),"Trung cấp")</f>
        <v>Trung cấp</v>
      </c>
      <c r="Q489" s="7" t="str">
        <f>IFERROR(__xludf.DUMMYFUNCTION("""COMPUTED_VALUE"""),"Điện tử")</f>
        <v>Điện tử</v>
      </c>
      <c r="R489" s="17">
        <f>IFERROR(__xludf.DUMMYFUNCTION("""COMPUTED_VALUE"""),36892.0)</f>
        <v>36892</v>
      </c>
      <c r="S489" s="17">
        <f>IFERROR(__xludf.DUMMYFUNCTION("""COMPUTED_VALUE"""),36892.0)</f>
        <v>36892</v>
      </c>
      <c r="T489" s="7" t="str">
        <f>IFERROR(__xludf.DUMMYFUNCTION("""COMPUTED_VALUE"""),"Chính thức")</f>
        <v>Chính thức</v>
      </c>
      <c r="U489" s="7"/>
      <c r="V489" s="7"/>
      <c r="W489" s="7" t="str">
        <f>IFERROR(__xludf.DUMMYFUNCTION("""COMPUTED_VALUE"""),"24 năm 11 tháng")</f>
        <v>24 năm 11 tháng</v>
      </c>
      <c r="X489" s="7"/>
      <c r="Y489" s="7"/>
      <c r="Z489" s="7"/>
    </row>
    <row r="490">
      <c r="A490" s="21" t="str">
        <f>IFERROR(__xludf.DUMMYFUNCTION("""COMPUTED_VALUE"""),"3")</f>
        <v>3</v>
      </c>
      <c r="B490" s="7" t="str">
        <f>IFERROR(__xludf.DUMMYFUNCTION("""COMPUTED_VALUE"""),"PXSX1")</f>
        <v>PXSX1</v>
      </c>
      <c r="C490" s="7" t="str">
        <f>IFERROR(__xludf.DUMMYFUNCTION("""COMPUTED_VALUE"""),"Phòng Kỹ thuật")</f>
        <v>Phòng Kỹ thuật</v>
      </c>
      <c r="D490" s="7" t="str">
        <f>IFERROR(__xludf.DUMMYFUNCTION("""COMPUTED_VALUE"""),"Bộ phận Kỹ thuật - hành chính")</f>
        <v>Bộ phận Kỹ thuật - hành chính</v>
      </c>
      <c r="E490" s="7" t="str">
        <f>IFERROR(__xludf.DUMMYFUNCTION("""COMPUTED_VALUE"""),"Nhân viên kỹ thuật")</f>
        <v>Nhân viên kỹ thuật</v>
      </c>
      <c r="F490" s="7" t="str">
        <f>IFERROR(__xludf.DUMMYFUNCTION("""COMPUTED_VALUE"""),"NV0111")</f>
        <v>NV0111</v>
      </c>
      <c r="G490" s="7">
        <f>IFERROR(__xludf.DUMMYFUNCTION("""COMPUTED_VALUE"""),566.0)</f>
        <v>566</v>
      </c>
      <c r="H490" s="7" t="str">
        <f>IFERROR(__xludf.DUMMYFUNCTION("""COMPUTED_VALUE"""),"Vũ Hoàng Long")</f>
        <v>Vũ Hoàng Long</v>
      </c>
      <c r="I490" s="7" t="str">
        <f>IFERROR(__xludf.DUMMYFUNCTION("""COMPUTED_VALUE"""),"Nam")</f>
        <v>Nam</v>
      </c>
      <c r="J490" s="17">
        <f>IFERROR(__xludf.DUMMYFUNCTION("""COMPUTED_VALUE"""),31208.0)</f>
        <v>31208</v>
      </c>
      <c r="K490" s="7" t="str">
        <f>IFERROR(__xludf.DUMMYFUNCTION("""COMPUTED_VALUE"""),"Xã Cẩm Vân - Tỉnh Thanh Hóa")</f>
        <v>Xã Cẩm Vân - Tỉnh Thanh Hóa</v>
      </c>
      <c r="L490" s="7" t="str">
        <f>IFERROR(__xludf.DUMMYFUNCTION("""COMPUTED_VALUE"""),"0986728142")</f>
        <v>0986728142</v>
      </c>
      <c r="M490" s="7" t="str">
        <f>IFERROR(__xludf.DUMMYFUNCTION("""COMPUTED_VALUE"""),"038085037218")</f>
        <v>038085037218</v>
      </c>
      <c r="N490" s="17">
        <f>IFERROR(__xludf.DUMMYFUNCTION("""COMPUTED_VALUE"""),44445.0)</f>
        <v>44445</v>
      </c>
      <c r="O490" s="7" t="str">
        <f>IFERROR(__xludf.DUMMYFUNCTION("""COMPUTED_VALUE"""),"Cục Cảnh sát QLHC về TTXH")</f>
        <v>Cục Cảnh sát QLHC về TTXH</v>
      </c>
      <c r="P490" s="7" t="str">
        <f>IFERROR(__xludf.DUMMYFUNCTION("""COMPUTED_VALUE"""),"Trung cấp")</f>
        <v>Trung cấp</v>
      </c>
      <c r="Q490" s="7" t="str">
        <f>IFERROR(__xludf.DUMMYFUNCTION("""COMPUTED_VALUE"""),"Cơ khí cắt gọt")</f>
        <v>Cơ khí cắt gọt</v>
      </c>
      <c r="R490" s="17">
        <f>IFERROR(__xludf.DUMMYFUNCTION("""COMPUTED_VALUE"""),42062.0)</f>
        <v>42062</v>
      </c>
      <c r="S490" s="17">
        <f>IFERROR(__xludf.DUMMYFUNCTION("""COMPUTED_VALUE"""),42062.0)</f>
        <v>42062</v>
      </c>
      <c r="T490" s="7" t="str">
        <f>IFERROR(__xludf.DUMMYFUNCTION("""COMPUTED_VALUE"""),"Chính thức")</f>
        <v>Chính thức</v>
      </c>
      <c r="U490" s="7"/>
      <c r="V490" s="7"/>
      <c r="W490" s="7" t="str">
        <f>IFERROR(__xludf.DUMMYFUNCTION("""COMPUTED_VALUE"""),"10 năm 10 tháng")</f>
        <v>10 năm 10 tháng</v>
      </c>
      <c r="X490" s="7"/>
      <c r="Y490" s="7"/>
      <c r="Z490" s="7"/>
    </row>
    <row r="491">
      <c r="A491" s="21" t="str">
        <f>IFERROR(__xludf.DUMMYFUNCTION("""COMPUTED_VALUE"""),"4")</f>
        <v>4</v>
      </c>
      <c r="B491" s="7" t="str">
        <f>IFERROR(__xludf.DUMMYFUNCTION("""COMPUTED_VALUE"""),"PXSX1")</f>
        <v>PXSX1</v>
      </c>
      <c r="C491" s="7" t="str">
        <f>IFERROR(__xludf.DUMMYFUNCTION("""COMPUTED_VALUE"""),"Phòng Kỹ thuật")</f>
        <v>Phòng Kỹ thuật</v>
      </c>
      <c r="D491" s="7" t="str">
        <f>IFERROR(__xludf.DUMMYFUNCTION("""COMPUTED_VALUE"""),"Bộ phận Kỹ thuật - hành chính")</f>
        <v>Bộ phận Kỹ thuật - hành chính</v>
      </c>
      <c r="E491" s="7" t="str">
        <f>IFERROR(__xludf.DUMMYFUNCTION("""COMPUTED_VALUE"""),"Phó phòng Kỹ thuật")</f>
        <v>Phó phòng Kỹ thuật</v>
      </c>
      <c r="F491" s="7" t="str">
        <f>IFERROR(__xludf.DUMMYFUNCTION("""COMPUTED_VALUE"""),"NV0321")</f>
        <v>NV0321</v>
      </c>
      <c r="G491" s="7">
        <f>IFERROR(__xludf.DUMMYFUNCTION("""COMPUTED_VALUE"""),209.0)</f>
        <v>209</v>
      </c>
      <c r="H491" s="7" t="str">
        <f>IFERROR(__xludf.DUMMYFUNCTION("""COMPUTED_VALUE"""),"Trần Văn Chung")</f>
        <v>Trần Văn Chung</v>
      </c>
      <c r="I491" s="7" t="str">
        <f>IFERROR(__xludf.DUMMYFUNCTION("""COMPUTED_VALUE"""),"Nam")</f>
        <v>Nam</v>
      </c>
      <c r="J491" s="17">
        <f>IFERROR(__xludf.DUMMYFUNCTION("""COMPUTED_VALUE"""),31536.0)</f>
        <v>31536</v>
      </c>
      <c r="K491" s="7" t="str">
        <f>IFERROR(__xludf.DUMMYFUNCTION("""COMPUTED_VALUE"""),"Xã Thắng Lợi - Tỉnh Thanh Hóa")</f>
        <v>Xã Thắng Lợi - Tỉnh Thanh Hóa</v>
      </c>
      <c r="L491" s="7" t="str">
        <f>IFERROR(__xludf.DUMMYFUNCTION("""COMPUTED_VALUE"""),"0982493658")</f>
        <v>0982493658</v>
      </c>
      <c r="M491" s="7" t="str">
        <f>IFERROR(__xludf.DUMMYFUNCTION("""COMPUTED_VALUE"""),"038086003022")</f>
        <v>038086003022</v>
      </c>
      <c r="N491" s="17">
        <f>IFERROR(__xludf.DUMMYFUNCTION("""COMPUTED_VALUE"""),42663.0)</f>
        <v>42663</v>
      </c>
      <c r="O491" s="7" t="str">
        <f>IFERROR(__xludf.DUMMYFUNCTION("""COMPUTED_VALUE"""),"Cục Cảnh sát QLHC về TTXH")</f>
        <v>Cục Cảnh sát QLHC về TTXH</v>
      </c>
      <c r="P491" s="7" t="str">
        <f>IFERROR(__xludf.DUMMYFUNCTION("""COMPUTED_VALUE"""),"Đại học")</f>
        <v>Đại học</v>
      </c>
      <c r="Q491" s="7" t="str">
        <f>IFERROR(__xludf.DUMMYFUNCTION("""COMPUTED_VALUE"""),"Cơ điện tử")</f>
        <v>Cơ điện tử</v>
      </c>
      <c r="R491" s="17">
        <f>IFERROR(__xludf.DUMMYFUNCTION("""COMPUTED_VALUE"""),41943.0)</f>
        <v>41943</v>
      </c>
      <c r="S491" s="17">
        <f>IFERROR(__xludf.DUMMYFUNCTION("""COMPUTED_VALUE"""),41713.0)</f>
        <v>41713</v>
      </c>
      <c r="T491" s="7" t="str">
        <f>IFERROR(__xludf.DUMMYFUNCTION("""COMPUTED_VALUE"""),"Chính thức")</f>
        <v>Chính thức</v>
      </c>
      <c r="U491" s="7"/>
      <c r="V491" s="7"/>
      <c r="W491" s="7" t="str">
        <f>IFERROR(__xludf.DUMMYFUNCTION("""COMPUTED_VALUE"""),"11 năm 2 tháng")</f>
        <v>11 năm 2 tháng</v>
      </c>
      <c r="X491" s="7"/>
      <c r="Y491" s="7"/>
      <c r="Z491" s="7"/>
    </row>
    <row r="492">
      <c r="A492" s="21" t="str">
        <f>IFERROR(__xludf.DUMMYFUNCTION("""COMPUTED_VALUE"""),"5")</f>
        <v>5</v>
      </c>
      <c r="B492" s="7" t="str">
        <f>IFERROR(__xludf.DUMMYFUNCTION("""COMPUTED_VALUE"""),"PXSX1")</f>
        <v>PXSX1</v>
      </c>
      <c r="C492" s="7" t="str">
        <f>IFERROR(__xludf.DUMMYFUNCTION("""COMPUTED_VALUE"""),"Phòng Kỹ thuật")</f>
        <v>Phòng Kỹ thuật</v>
      </c>
      <c r="D492" s="7" t="str">
        <f>IFERROR(__xludf.DUMMYFUNCTION("""COMPUTED_VALUE"""),"Bộ phận Kỹ thuật - hành chính")</f>
        <v>Bộ phận Kỹ thuật - hành chính</v>
      </c>
      <c r="E492" s="7" t="str">
        <f>IFERROR(__xludf.DUMMYFUNCTION("""COMPUTED_VALUE"""),"Nhân viên kỹ thuật")</f>
        <v>Nhân viên kỹ thuật</v>
      </c>
      <c r="F492" s="7" t="str">
        <f>IFERROR(__xludf.DUMMYFUNCTION("""COMPUTED_VALUE"""),"NV0102")</f>
        <v>NV0102</v>
      </c>
      <c r="G492" s="7">
        <f>IFERROR(__xludf.DUMMYFUNCTION("""COMPUTED_VALUE"""),213.0)</f>
        <v>213</v>
      </c>
      <c r="H492" s="7" t="str">
        <f>IFERROR(__xludf.DUMMYFUNCTION("""COMPUTED_VALUE"""),"Lê Mạnh Cường")</f>
        <v>Lê Mạnh Cường</v>
      </c>
      <c r="I492" s="7" t="str">
        <f>IFERROR(__xludf.DUMMYFUNCTION("""COMPUTED_VALUE"""),"Nam")</f>
        <v>Nam</v>
      </c>
      <c r="J492" s="17">
        <f>IFERROR(__xludf.DUMMYFUNCTION("""COMPUTED_VALUE"""),33271.0)</f>
        <v>33271</v>
      </c>
      <c r="K492" s="7" t="str">
        <f>IFERROR(__xludf.DUMMYFUNCTION("""COMPUTED_VALUE"""),"Xã Lưu Vệ - Tỉnh Thanh Hóa ")</f>
        <v>Xã Lưu Vệ - Tỉnh Thanh Hóa </v>
      </c>
      <c r="L492" s="7" t="str">
        <f>IFERROR(__xludf.DUMMYFUNCTION("""COMPUTED_VALUE"""),"0911525983")</f>
        <v>0911525983</v>
      </c>
      <c r="M492" s="7" t="str">
        <f>IFERROR(__xludf.DUMMYFUNCTION("""COMPUTED_VALUE"""),"038091043801")</f>
        <v>038091043801</v>
      </c>
      <c r="N492" s="17">
        <f>IFERROR(__xludf.DUMMYFUNCTION("""COMPUTED_VALUE"""),44418.0)</f>
        <v>44418</v>
      </c>
      <c r="O492" s="7" t="str">
        <f>IFERROR(__xludf.DUMMYFUNCTION("""COMPUTED_VALUE"""),"Cục Cảnh sát QLHC về TTXH")</f>
        <v>Cục Cảnh sát QLHC về TTXH</v>
      </c>
      <c r="P492" s="7" t="str">
        <f>IFERROR(__xludf.DUMMYFUNCTION("""COMPUTED_VALUE"""),"Cao đẳng nghề")</f>
        <v>Cao đẳng nghề</v>
      </c>
      <c r="Q492" s="7" t="str">
        <f>IFERROR(__xludf.DUMMYFUNCTION("""COMPUTED_VALUE"""),"Công nghệ cơ khí chế tạo máy")</f>
        <v>Công nghệ cơ khí chế tạo máy</v>
      </c>
      <c r="R492" s="17">
        <f>IFERROR(__xludf.DUMMYFUNCTION("""COMPUTED_VALUE"""),41713.0)</f>
        <v>41713</v>
      </c>
      <c r="S492" s="17">
        <f>IFERROR(__xludf.DUMMYFUNCTION("""COMPUTED_VALUE"""),41713.0)</f>
        <v>41713</v>
      </c>
      <c r="T492" s="7" t="str">
        <f>IFERROR(__xludf.DUMMYFUNCTION("""COMPUTED_VALUE"""),"Chính thức")</f>
        <v>Chính thức</v>
      </c>
      <c r="U492" s="7"/>
      <c r="V492" s="7" t="str">
        <f>IFERROR(__xludf.DUMMYFUNCTION("""COMPUTED_VALUE"""),"Nghỉ phép")</f>
        <v>Nghỉ phép</v>
      </c>
      <c r="W492" s="7" t="str">
        <f>IFERROR(__xludf.DUMMYFUNCTION("""COMPUTED_VALUE"""),"11 năm 9 tháng")</f>
        <v>11 năm 9 tháng</v>
      </c>
      <c r="X492" s="7"/>
      <c r="Y492" s="7"/>
      <c r="Z492" s="7"/>
    </row>
    <row r="493">
      <c r="A493" s="21" t="str">
        <f>IFERROR(__xludf.DUMMYFUNCTION("""COMPUTED_VALUE"""),"6")</f>
        <v>6</v>
      </c>
      <c r="B493" s="7" t="str">
        <f>IFERROR(__xludf.DUMMYFUNCTION("""COMPUTED_VALUE"""),"PXSX1")</f>
        <v>PXSX1</v>
      </c>
      <c r="C493" s="7" t="str">
        <f>IFERROR(__xludf.DUMMYFUNCTION("""COMPUTED_VALUE"""),"Phòng Kỹ thuật")</f>
        <v>Phòng Kỹ thuật</v>
      </c>
      <c r="D493" s="7" t="str">
        <f>IFERROR(__xludf.DUMMYFUNCTION("""COMPUTED_VALUE"""),"Bộ phận Kỹ thuật - hành chính")</f>
        <v>Bộ phận Kỹ thuật - hành chính</v>
      </c>
      <c r="E493" s="7" t="str">
        <f>IFERROR(__xludf.DUMMYFUNCTION("""COMPUTED_VALUE"""),"Nhân viên kỹ thuật")</f>
        <v>Nhân viên kỹ thuật</v>
      </c>
      <c r="F493" s="7" t="str">
        <f>IFERROR(__xludf.DUMMYFUNCTION("""COMPUTED_VALUE"""),"NV3557")</f>
        <v>NV3557</v>
      </c>
      <c r="G493" s="7">
        <f>IFERROR(__xludf.DUMMYFUNCTION("""COMPUTED_VALUE"""),277.0)</f>
        <v>277</v>
      </c>
      <c r="H493" s="7" t="str">
        <f>IFERROR(__xludf.DUMMYFUNCTION("""COMPUTED_VALUE"""),"Nguyễn Xuân Vũ")</f>
        <v>Nguyễn Xuân Vũ</v>
      </c>
      <c r="I493" s="7" t="str">
        <f>IFERROR(__xludf.DUMMYFUNCTION("""COMPUTED_VALUE"""),"Nam")</f>
        <v>Nam</v>
      </c>
      <c r="J493" s="17">
        <f>IFERROR(__xludf.DUMMYFUNCTION("""COMPUTED_VALUE"""),35560.0)</f>
        <v>35560</v>
      </c>
      <c r="K493" s="7" t="str">
        <f>IFERROR(__xludf.DUMMYFUNCTION("""COMPUTED_VALUE"""),"Xã Hoằng Lộc - Tỉnh Thanh Hóa")</f>
        <v>Xã Hoằng Lộc - Tỉnh Thanh Hóa</v>
      </c>
      <c r="L493" s="7" t="str">
        <f>IFERROR(__xludf.DUMMYFUNCTION("""COMPUTED_VALUE"""),"0337885437")</f>
        <v>0337885437</v>
      </c>
      <c r="M493" s="7" t="str">
        <f>IFERROR(__xludf.DUMMYFUNCTION("""COMPUTED_VALUE"""),"038097017957")</f>
        <v>038097017957</v>
      </c>
      <c r="N493" s="17">
        <f>IFERROR(__xludf.DUMMYFUNCTION("""COMPUTED_VALUE"""),44568.0)</f>
        <v>44568</v>
      </c>
      <c r="O493" s="7" t="str">
        <f>IFERROR(__xludf.DUMMYFUNCTION("""COMPUTED_VALUE"""),"Cục Cảnh sát QLHC về TTXH")</f>
        <v>Cục Cảnh sát QLHC về TTXH</v>
      </c>
      <c r="P493" s="7" t="str">
        <f>IFERROR(__xludf.DUMMYFUNCTION("""COMPUTED_VALUE"""),"Kỹ sư")</f>
        <v>Kỹ sư</v>
      </c>
      <c r="Q493" s="7" t="str">
        <f>IFERROR(__xludf.DUMMYFUNCTION("""COMPUTED_VALUE"""),"Công nghệ kỹ thuật điện -  điện tử")</f>
        <v>Công nghệ kỹ thuật điện -  điện tử</v>
      </c>
      <c r="R493" s="17">
        <f>IFERROR(__xludf.DUMMYFUNCTION("""COMPUTED_VALUE"""),44440.0)</f>
        <v>44440</v>
      </c>
      <c r="S493" s="17">
        <f>IFERROR(__xludf.DUMMYFUNCTION("""COMPUTED_VALUE"""),44501.0)</f>
        <v>44501</v>
      </c>
      <c r="T493" s="7" t="str">
        <f>IFERROR(__xludf.DUMMYFUNCTION("""COMPUTED_VALUE"""),"Chính thức")</f>
        <v>Chính thức</v>
      </c>
      <c r="U493" s="7"/>
      <c r="V493" s="7"/>
      <c r="W493" s="7" t="str">
        <f>IFERROR(__xludf.DUMMYFUNCTION("""COMPUTED_VALUE"""),"4 năm 3 tháng")</f>
        <v>4 năm 3 tháng</v>
      </c>
      <c r="X493" s="7"/>
      <c r="Y493" s="7"/>
      <c r="Z493" s="7"/>
    </row>
    <row r="494">
      <c r="A494" s="21" t="str">
        <f>IFERROR(__xludf.DUMMYFUNCTION("""COMPUTED_VALUE"""),"7")</f>
        <v>7</v>
      </c>
      <c r="B494" s="7" t="str">
        <f>IFERROR(__xludf.DUMMYFUNCTION("""COMPUTED_VALUE"""),"PXSX1")</f>
        <v>PXSX1</v>
      </c>
      <c r="C494" s="7" t="str">
        <f>IFERROR(__xludf.DUMMYFUNCTION("""COMPUTED_VALUE"""),"Phòng Kỹ thuật")</f>
        <v>Phòng Kỹ thuật</v>
      </c>
      <c r="D494" s="7" t="str">
        <f>IFERROR(__xludf.DUMMYFUNCTION("""COMPUTED_VALUE"""),"Bộ phận Kỹ thuật - hành chính")</f>
        <v>Bộ phận Kỹ thuật - hành chính</v>
      </c>
      <c r="E494" s="7" t="str">
        <f>IFERROR(__xludf.DUMMYFUNCTION("""COMPUTED_VALUE"""),"Nhân viên kỹ thuật")</f>
        <v>Nhân viên kỹ thuật</v>
      </c>
      <c r="F494" s="7" t="str">
        <f>IFERROR(__xludf.DUMMYFUNCTION("""COMPUTED_VALUE"""),"NV5784")</f>
        <v>NV5784</v>
      </c>
      <c r="G494" s="7">
        <f>IFERROR(__xludf.DUMMYFUNCTION("""COMPUTED_VALUE"""),1266.0)</f>
        <v>1266</v>
      </c>
      <c r="H494" s="7" t="str">
        <f>IFERROR(__xludf.DUMMYFUNCTION("""COMPUTED_VALUE"""),"Hoàng Lê Cường ")</f>
        <v>Hoàng Lê Cường </v>
      </c>
      <c r="I494" s="7" t="str">
        <f>IFERROR(__xludf.DUMMYFUNCTION("""COMPUTED_VALUE"""),"Nam")</f>
        <v>Nam</v>
      </c>
      <c r="J494" s="17">
        <f>IFERROR(__xludf.DUMMYFUNCTION("""COMPUTED_VALUE"""),45916.0)</f>
        <v>45916</v>
      </c>
      <c r="K494" s="7" t="str">
        <f>IFERROR(__xludf.DUMMYFUNCTION("""COMPUTED_VALUE"""),"Phố 3- Phường Nguyệt Viên - Tỉnh Thanh Hóa")</f>
        <v>Phố 3- Phường Nguyệt Viên - Tỉnh Thanh Hóa</v>
      </c>
      <c r="L494" s="7" t="str">
        <f>IFERROR(__xludf.DUMMYFUNCTION("""COMPUTED_VALUE"""),"0349778749")</f>
        <v>0349778749</v>
      </c>
      <c r="M494" s="7" t="str">
        <f>IFERROR(__xludf.DUMMYFUNCTION("""COMPUTED_VALUE"""),"038092049350")</f>
        <v>038092049350</v>
      </c>
      <c r="N494" s="17">
        <f>IFERROR(__xludf.DUMMYFUNCTION("""COMPUTED_VALUE"""),45306.0)</f>
        <v>45306</v>
      </c>
      <c r="O494" s="7" t="str">
        <f>IFERROR(__xludf.DUMMYFUNCTION("""COMPUTED_VALUE"""),"Cục Cảnh sát QLHC về TTXH")</f>
        <v>Cục Cảnh sát QLHC về TTXH</v>
      </c>
      <c r="P494" s="7" t="str">
        <f>IFERROR(__xludf.DUMMYFUNCTION("""COMPUTED_VALUE"""),"Đại học")</f>
        <v>Đại học</v>
      </c>
      <c r="Q494" s="7" t="str">
        <f>IFERROR(__xludf.DUMMYFUNCTION("""COMPUTED_VALUE"""),"Kỹ sư cơ khí")</f>
        <v>Kỹ sư cơ khí</v>
      </c>
      <c r="R494" s="17">
        <f>IFERROR(__xludf.DUMMYFUNCTION("""COMPUTED_VALUE"""),45962.0)</f>
        <v>45962</v>
      </c>
      <c r="S494" s="7"/>
      <c r="T494" s="7" t="str">
        <f>IFERROR(__xludf.DUMMYFUNCTION("""COMPUTED_VALUE"""),"Thử việc")</f>
        <v>Thử việc</v>
      </c>
      <c r="U494" s="7"/>
      <c r="V494" s="7" t="str">
        <f>IFERROR(__xludf.DUMMYFUNCTION("""COMPUTED_VALUE"""),"Thử việc")</f>
        <v>Thử việc</v>
      </c>
      <c r="W494" s="7" t="str">
        <f>IFERROR(__xludf.DUMMYFUNCTION("""COMPUTED_VALUE"""),"0 năm 1 tháng")</f>
        <v>0 năm 1 tháng</v>
      </c>
      <c r="X494" s="7"/>
      <c r="Y494" s="7"/>
      <c r="Z494" s="7"/>
    </row>
    <row r="495">
      <c r="A495" s="21" t="str">
        <f>IFERROR(__xludf.DUMMYFUNCTION("""COMPUTED_VALUE"""),"1")</f>
        <v>1</v>
      </c>
      <c r="B495" s="7" t="str">
        <f>IFERROR(__xludf.DUMMYFUNCTION("""COMPUTED_VALUE"""),"PXSX1")</f>
        <v>PXSX1</v>
      </c>
      <c r="C495" s="7" t="str">
        <f>IFERROR(__xludf.DUMMYFUNCTION("""COMPUTED_VALUE"""),"Phòng Kỹ thuật")</f>
        <v>Phòng Kỹ thuật</v>
      </c>
      <c r="D495" s="7" t="str">
        <f>IFERROR(__xludf.DUMMYFUNCTION("""COMPUTED_VALUE"""),"Bảo dưỡng Dây chuyền mài PXSX1")</f>
        <v>Bảo dưỡng Dây chuyền mài PXSX1</v>
      </c>
      <c r="E495" s="7" t="str">
        <f>IFERROR(__xludf.DUMMYFUNCTION("""COMPUTED_VALUE"""),"Bảo dưỡng vật tư mức 1")</f>
        <v>Bảo dưỡng vật tư mức 1</v>
      </c>
      <c r="F495" s="7" t="str">
        <f>IFERROR(__xludf.DUMMYFUNCTION("""COMPUTED_VALUE"""),"NV2399")</f>
        <v>NV2399</v>
      </c>
      <c r="G495" s="7">
        <f>IFERROR(__xludf.DUMMYFUNCTION("""COMPUTED_VALUE"""),170.0)</f>
        <v>170</v>
      </c>
      <c r="H495" s="7" t="str">
        <f>IFERROR(__xludf.DUMMYFUNCTION("""COMPUTED_VALUE"""),"Hoàng Ngọc Quang")</f>
        <v>Hoàng Ngọc Quang</v>
      </c>
      <c r="I495" s="7" t="str">
        <f>IFERROR(__xludf.DUMMYFUNCTION("""COMPUTED_VALUE"""),"Nam")</f>
        <v>Nam</v>
      </c>
      <c r="J495" s="17">
        <f>IFERROR(__xludf.DUMMYFUNCTION("""COMPUTED_VALUE"""),28326.0)</f>
        <v>28326</v>
      </c>
      <c r="K495" s="7" t="str">
        <f>IFERROR(__xludf.DUMMYFUNCTION("""COMPUTED_VALUE"""),"Phố 8 - Phường Quảng Phú - Tỉnh Thanh Hóa")</f>
        <v>Phố 8 - Phường Quảng Phú - Tỉnh Thanh Hóa</v>
      </c>
      <c r="L495" s="7" t="str">
        <f>IFERROR(__xludf.DUMMYFUNCTION("""COMPUTED_VALUE"""),"0904435399")</f>
        <v>0904435399</v>
      </c>
      <c r="M495" s="7" t="str">
        <f>IFERROR(__xludf.DUMMYFUNCTION("""COMPUTED_VALUE"""),"038077016657")</f>
        <v>038077016657</v>
      </c>
      <c r="N495" s="17">
        <f>IFERROR(__xludf.DUMMYFUNCTION("""COMPUTED_VALUE"""),44568.0)</f>
        <v>44568</v>
      </c>
      <c r="O495" s="7" t="str">
        <f>IFERROR(__xludf.DUMMYFUNCTION("""COMPUTED_VALUE"""),"Cục Cảnh sát QLHC về TTXH")</f>
        <v>Cục Cảnh sát QLHC về TTXH</v>
      </c>
      <c r="P495" s="7" t="str">
        <f>IFERROR(__xludf.DUMMYFUNCTION("""COMPUTED_VALUE"""),"Bằng nghề")</f>
        <v>Bằng nghề</v>
      </c>
      <c r="Q495" s="7" t="str">
        <f>IFERROR(__xludf.DUMMYFUNCTION("""COMPUTED_VALUE"""),"Vận hành sửa chữa điện")</f>
        <v>Vận hành sửa chữa điện</v>
      </c>
      <c r="R495" s="17">
        <f>IFERROR(__xludf.DUMMYFUNCTION("""COMPUTED_VALUE"""),43634.0)</f>
        <v>43634</v>
      </c>
      <c r="S495" s="17">
        <f>IFERROR(__xludf.DUMMYFUNCTION("""COMPUTED_VALUE"""),43739.0)</f>
        <v>43739</v>
      </c>
      <c r="T495" s="7" t="str">
        <f>IFERROR(__xludf.DUMMYFUNCTION("""COMPUTED_VALUE"""),"Chính thức")</f>
        <v>Chính thức</v>
      </c>
      <c r="U495" s="7"/>
      <c r="V495" s="7"/>
      <c r="W495" s="7" t="str">
        <f>IFERROR(__xludf.DUMMYFUNCTION("""COMPUTED_VALUE"""),"6 năm 6 tháng")</f>
        <v>6 năm 6 tháng</v>
      </c>
      <c r="X495" s="7"/>
      <c r="Y495" s="7"/>
      <c r="Z495" s="7"/>
    </row>
    <row r="496">
      <c r="A496" s="21" t="str">
        <f>IFERROR(__xludf.DUMMYFUNCTION("""COMPUTED_VALUE"""),"2")</f>
        <v>2</v>
      </c>
      <c r="B496" s="7" t="str">
        <f>IFERROR(__xludf.DUMMYFUNCTION("""COMPUTED_VALUE"""),"PXSX1")</f>
        <v>PXSX1</v>
      </c>
      <c r="C496" s="7" t="str">
        <f>IFERROR(__xludf.DUMMYFUNCTION("""COMPUTED_VALUE"""),"Phòng Kỹ thuật")</f>
        <v>Phòng Kỹ thuật</v>
      </c>
      <c r="D496" s="7" t="str">
        <f>IFERROR(__xludf.DUMMYFUNCTION("""COMPUTED_VALUE"""),"Bảo dưỡng Dây chuyền mài PXSX1")</f>
        <v>Bảo dưỡng Dây chuyền mài PXSX1</v>
      </c>
      <c r="E496" s="7" t="str">
        <f>IFERROR(__xludf.DUMMYFUNCTION("""COMPUTED_VALUE"""),"Bảo dưỡng vật tư mức 1")</f>
        <v>Bảo dưỡng vật tư mức 1</v>
      </c>
      <c r="F496" s="7" t="str">
        <f>IFERROR(__xludf.DUMMYFUNCTION("""COMPUTED_VALUE"""),"NV4622")</f>
        <v>NV4622</v>
      </c>
      <c r="G496" s="7">
        <f>IFERROR(__xludf.DUMMYFUNCTION("""COMPUTED_VALUE"""),262.0)</f>
        <v>262</v>
      </c>
      <c r="H496" s="7" t="str">
        <f>IFERROR(__xludf.DUMMYFUNCTION("""COMPUTED_VALUE"""),"Mai Văn Tiến")</f>
        <v>Mai Văn Tiến</v>
      </c>
      <c r="I496" s="7" t="str">
        <f>IFERROR(__xludf.DUMMYFUNCTION("""COMPUTED_VALUE"""),"Nam")</f>
        <v>Nam</v>
      </c>
      <c r="J496" s="17">
        <f>IFERROR(__xludf.DUMMYFUNCTION("""COMPUTED_VALUE"""),29777.0)</f>
        <v>29777</v>
      </c>
      <c r="K496" s="7" t="str">
        <f>IFERROR(__xludf.DUMMYFUNCTION("""COMPUTED_VALUE"""),"Phường Đông Sơn - Tỉnh Thanh Hóa")</f>
        <v>Phường Đông Sơn - Tỉnh Thanh Hóa</v>
      </c>
      <c r="L496" s="7" t="str">
        <f>IFERROR(__xludf.DUMMYFUNCTION("""COMPUTED_VALUE"""),"0971808741")</f>
        <v>0971808741</v>
      </c>
      <c r="M496" s="7" t="str">
        <f>IFERROR(__xludf.DUMMYFUNCTION("""COMPUTED_VALUE"""),"038081035660")</f>
        <v>038081035660</v>
      </c>
      <c r="N496" s="17">
        <f>IFERROR(__xludf.DUMMYFUNCTION("""COMPUTED_VALUE"""),44423.0)</f>
        <v>44423</v>
      </c>
      <c r="O496" s="7" t="str">
        <f>IFERROR(__xludf.DUMMYFUNCTION("""COMPUTED_VALUE"""),"Cục Cảnh sát QLHC về TTXH")</f>
        <v>Cục Cảnh sát QLHC về TTXH</v>
      </c>
      <c r="P496" s="7" t="str">
        <f>IFERROR(__xludf.DUMMYFUNCTION("""COMPUTED_VALUE"""),"LĐPT")</f>
        <v>LĐPT</v>
      </c>
      <c r="Q496" s="7" t="str">
        <f>IFERROR(__xludf.DUMMYFUNCTION("""COMPUTED_VALUE"""),"Lao động phổ thông")</f>
        <v>Lao động phổ thông</v>
      </c>
      <c r="R496" s="17">
        <f>IFERROR(__xludf.DUMMYFUNCTION("""COMPUTED_VALUE"""),44958.0)</f>
        <v>44958</v>
      </c>
      <c r="S496" s="17">
        <f>IFERROR(__xludf.DUMMYFUNCTION("""COMPUTED_VALUE"""),45047.0)</f>
        <v>45047</v>
      </c>
      <c r="T496" s="7" t="str">
        <f>IFERROR(__xludf.DUMMYFUNCTION("""COMPUTED_VALUE"""),"Chính thức")</f>
        <v>Chính thức</v>
      </c>
      <c r="U496" s="7"/>
      <c r="V496" s="7"/>
      <c r="W496" s="7" t="str">
        <f>IFERROR(__xludf.DUMMYFUNCTION("""COMPUTED_VALUE"""),"2 năm 10 tháng")</f>
        <v>2 năm 10 tháng</v>
      </c>
      <c r="X496" s="7"/>
      <c r="Y496" s="7"/>
      <c r="Z496" s="7"/>
    </row>
    <row r="497">
      <c r="A497" s="21" t="str">
        <f>IFERROR(__xludf.DUMMYFUNCTION("""COMPUTED_VALUE"""),"3")</f>
        <v>3</v>
      </c>
      <c r="B497" s="7" t="str">
        <f>IFERROR(__xludf.DUMMYFUNCTION("""COMPUTED_VALUE"""),"PXSX1")</f>
        <v>PXSX1</v>
      </c>
      <c r="C497" s="7" t="str">
        <f>IFERROR(__xludf.DUMMYFUNCTION("""COMPUTED_VALUE"""),"Phòng Kỹ thuật")</f>
        <v>Phòng Kỹ thuật</v>
      </c>
      <c r="D497" s="7" t="str">
        <f>IFERROR(__xludf.DUMMYFUNCTION("""COMPUTED_VALUE"""),"Bảo dưỡng Dây chuyền mài PXSX1")</f>
        <v>Bảo dưỡng Dây chuyền mài PXSX1</v>
      </c>
      <c r="E497" s="7" t="str">
        <f>IFERROR(__xludf.DUMMYFUNCTION("""COMPUTED_VALUE"""),"Tổ Phó bảo dưỡng mài")</f>
        <v>Tổ Phó bảo dưỡng mài</v>
      </c>
      <c r="F497" s="7" t="str">
        <f>IFERROR(__xludf.DUMMYFUNCTION("""COMPUTED_VALUE"""),"NV4627")</f>
        <v>NV4627</v>
      </c>
      <c r="G497" s="7">
        <f>IFERROR(__xludf.DUMMYFUNCTION("""COMPUTED_VALUE"""),285.0)</f>
        <v>285</v>
      </c>
      <c r="H497" s="7" t="str">
        <f>IFERROR(__xludf.DUMMYFUNCTION("""COMPUTED_VALUE"""),"Mai Văn Tới")</f>
        <v>Mai Văn Tới</v>
      </c>
      <c r="I497" s="7" t="str">
        <f>IFERROR(__xludf.DUMMYFUNCTION("""COMPUTED_VALUE"""),"Nam")</f>
        <v>Nam</v>
      </c>
      <c r="J497" s="17">
        <f>IFERROR(__xludf.DUMMYFUNCTION("""COMPUTED_VALUE"""),31340.0)</f>
        <v>31340</v>
      </c>
      <c r="K497" s="7" t="str">
        <f>IFERROR(__xludf.DUMMYFUNCTION("""COMPUTED_VALUE"""),"Phường Đông Sơn - Tỉnh Thanh Hóa")</f>
        <v>Phường Đông Sơn - Tỉnh Thanh Hóa</v>
      </c>
      <c r="L497" s="7" t="str">
        <f>IFERROR(__xludf.DUMMYFUNCTION("""COMPUTED_VALUE"""),"0347967745")</f>
        <v>0347967745</v>
      </c>
      <c r="M497" s="7" t="str">
        <f>IFERROR(__xludf.DUMMYFUNCTION("""COMPUTED_VALUE"""),"038085010728")</f>
        <v>038085010728</v>
      </c>
      <c r="N497" s="17">
        <f>IFERROR(__xludf.DUMMYFUNCTION("""COMPUTED_VALUE"""),44546.0)</f>
        <v>44546</v>
      </c>
      <c r="O497" s="7" t="str">
        <f>IFERROR(__xludf.DUMMYFUNCTION("""COMPUTED_VALUE"""),"Cục Cảnh sát QLHC về TTXH")</f>
        <v>Cục Cảnh sát QLHC về TTXH</v>
      </c>
      <c r="P497" s="7" t="str">
        <f>IFERROR(__xludf.DUMMYFUNCTION("""COMPUTED_VALUE"""),"LĐPT")</f>
        <v>LĐPT</v>
      </c>
      <c r="Q497" s="7" t="str">
        <f>IFERROR(__xludf.DUMMYFUNCTION("""COMPUTED_VALUE"""),"Lao động phổ thông")</f>
        <v>Lao động phổ thông</v>
      </c>
      <c r="R497" s="17">
        <f>IFERROR(__xludf.DUMMYFUNCTION("""COMPUTED_VALUE"""),44958.0)</f>
        <v>44958</v>
      </c>
      <c r="S497" s="17">
        <f>IFERROR(__xludf.DUMMYFUNCTION("""COMPUTED_VALUE"""),45047.0)</f>
        <v>45047</v>
      </c>
      <c r="T497" s="7" t="str">
        <f>IFERROR(__xludf.DUMMYFUNCTION("""COMPUTED_VALUE"""),"Chính thức")</f>
        <v>Chính thức</v>
      </c>
      <c r="U497" s="7"/>
      <c r="V497" s="7"/>
      <c r="W497" s="7" t="str">
        <f>IFERROR(__xludf.DUMMYFUNCTION("""COMPUTED_VALUE"""),"2 năm 10 tháng")</f>
        <v>2 năm 10 tháng</v>
      </c>
      <c r="X497" s="7"/>
      <c r="Y497" s="7"/>
      <c r="Z497" s="7"/>
    </row>
    <row r="498">
      <c r="A498" s="21" t="str">
        <f>IFERROR(__xludf.DUMMYFUNCTION("""COMPUTED_VALUE"""),"4")</f>
        <v>4</v>
      </c>
      <c r="B498" s="7" t="str">
        <f>IFERROR(__xludf.DUMMYFUNCTION("""COMPUTED_VALUE"""),"PXSX1")</f>
        <v>PXSX1</v>
      </c>
      <c r="C498" s="7" t="str">
        <f>IFERROR(__xludf.DUMMYFUNCTION("""COMPUTED_VALUE"""),"Phòng Kỹ thuật")</f>
        <v>Phòng Kỹ thuật</v>
      </c>
      <c r="D498" s="7" t="str">
        <f>IFERROR(__xludf.DUMMYFUNCTION("""COMPUTED_VALUE"""),"Bảo dưỡng Dây chuyền mài PXSX1")</f>
        <v>Bảo dưỡng Dây chuyền mài PXSX1</v>
      </c>
      <c r="E498" s="7" t="str">
        <f>IFERROR(__xludf.DUMMYFUNCTION("""COMPUTED_VALUE"""),"Bảo dưỡng vật tư mức 1")</f>
        <v>Bảo dưỡng vật tư mức 1</v>
      </c>
      <c r="F498" s="7" t="str">
        <f>IFERROR(__xludf.DUMMYFUNCTION("""COMPUTED_VALUE"""),"NV2261")</f>
        <v>NV2261</v>
      </c>
      <c r="G498" s="7">
        <f>IFERROR(__xludf.DUMMYFUNCTION("""COMPUTED_VALUE"""),255.0)</f>
        <v>255</v>
      </c>
      <c r="H498" s="7" t="str">
        <f>IFERROR(__xludf.DUMMYFUNCTION("""COMPUTED_VALUE"""),"Nguyễn Văn Danh")</f>
        <v>Nguyễn Văn Danh</v>
      </c>
      <c r="I498" s="7" t="str">
        <f>IFERROR(__xludf.DUMMYFUNCTION("""COMPUTED_VALUE"""),"Nam")</f>
        <v>Nam</v>
      </c>
      <c r="J498" s="17">
        <f>IFERROR(__xludf.DUMMYFUNCTION("""COMPUTED_VALUE"""),31344.0)</f>
        <v>31344</v>
      </c>
      <c r="K498" s="7" t="str">
        <f>IFERROR(__xludf.DUMMYFUNCTION("""COMPUTED_VALUE"""),"Thôn 8 - Phường Quảng Phú - Tỉnh Thanh Hóa")</f>
        <v>Thôn 8 - Phường Quảng Phú - Tỉnh Thanh Hóa</v>
      </c>
      <c r="L498" s="7" t="str">
        <f>IFERROR(__xludf.DUMMYFUNCTION("""COMPUTED_VALUE"""),"0784206232")</f>
        <v>0784206232</v>
      </c>
      <c r="M498" s="7" t="str">
        <f>IFERROR(__xludf.DUMMYFUNCTION("""COMPUTED_VALUE"""),"038085014207")</f>
        <v>038085014207</v>
      </c>
      <c r="N498" s="17">
        <f>IFERROR(__xludf.DUMMYFUNCTION("""COMPUTED_VALUE"""),43510.0)</f>
        <v>43510</v>
      </c>
      <c r="O498" s="7" t="str">
        <f>IFERROR(__xludf.DUMMYFUNCTION("""COMPUTED_VALUE"""),"Cục Cảnh sát QLHC về TTXH")</f>
        <v>Cục Cảnh sát QLHC về TTXH</v>
      </c>
      <c r="P498" s="7" t="str">
        <f>IFERROR(__xludf.DUMMYFUNCTION("""COMPUTED_VALUE"""),"Bằng nghề")</f>
        <v>Bằng nghề</v>
      </c>
      <c r="Q498" s="7" t="str">
        <f>IFERROR(__xludf.DUMMYFUNCTION("""COMPUTED_VALUE"""),"Hàn điện nâng cao 3G")</f>
        <v>Hàn điện nâng cao 3G</v>
      </c>
      <c r="R498" s="17">
        <f>IFERROR(__xludf.DUMMYFUNCTION("""COMPUTED_VALUE"""),44031.0)</f>
        <v>44031</v>
      </c>
      <c r="S498" s="17">
        <f>IFERROR(__xludf.DUMMYFUNCTION("""COMPUTED_VALUE"""),44317.0)</f>
        <v>44317</v>
      </c>
      <c r="T498" s="7" t="str">
        <f>IFERROR(__xludf.DUMMYFUNCTION("""COMPUTED_VALUE"""),"Chính thức")</f>
        <v>Chính thức</v>
      </c>
      <c r="U498" s="7"/>
      <c r="V498" s="7"/>
      <c r="W498" s="7" t="str">
        <f>IFERROR(__xludf.DUMMYFUNCTION("""COMPUTED_VALUE"""),"5 năm 5 tháng")</f>
        <v>5 năm 5 tháng</v>
      </c>
      <c r="X498" s="7"/>
      <c r="Y498" s="7"/>
      <c r="Z498" s="7"/>
    </row>
    <row r="499">
      <c r="A499" s="21" t="str">
        <f>IFERROR(__xludf.DUMMYFUNCTION("""COMPUTED_VALUE"""),"5")</f>
        <v>5</v>
      </c>
      <c r="B499" s="7" t="str">
        <f>IFERROR(__xludf.DUMMYFUNCTION("""COMPUTED_VALUE"""),"PXSX1")</f>
        <v>PXSX1</v>
      </c>
      <c r="C499" s="7" t="str">
        <f>IFERROR(__xludf.DUMMYFUNCTION("""COMPUTED_VALUE"""),"Phòng Kỹ thuật")</f>
        <v>Phòng Kỹ thuật</v>
      </c>
      <c r="D499" s="7" t="str">
        <f>IFERROR(__xludf.DUMMYFUNCTION("""COMPUTED_VALUE"""),"Bảo dưỡng Dây chuyền mài PXSX1")</f>
        <v>Bảo dưỡng Dây chuyền mài PXSX1</v>
      </c>
      <c r="E499" s="7" t="str">
        <f>IFERROR(__xludf.DUMMYFUNCTION("""COMPUTED_VALUE"""),"Bảo dưỡng vật tư mức 1")</f>
        <v>Bảo dưỡng vật tư mức 1</v>
      </c>
      <c r="F499" s="7" t="str">
        <f>IFERROR(__xludf.DUMMYFUNCTION("""COMPUTED_VALUE"""),"NV0248")</f>
        <v>NV0248</v>
      </c>
      <c r="G499" s="7">
        <f>IFERROR(__xludf.DUMMYFUNCTION("""COMPUTED_VALUE"""),286.0)</f>
        <v>286</v>
      </c>
      <c r="H499" s="7" t="str">
        <f>IFERROR(__xludf.DUMMYFUNCTION("""COMPUTED_VALUE"""),"Hoàng Kim Thảo")</f>
        <v>Hoàng Kim Thảo</v>
      </c>
      <c r="I499" s="7" t="str">
        <f>IFERROR(__xludf.DUMMYFUNCTION("""COMPUTED_VALUE"""),"Nam")</f>
        <v>Nam</v>
      </c>
      <c r="J499" s="17">
        <f>IFERROR(__xludf.DUMMYFUNCTION("""COMPUTED_VALUE"""),31972.0)</f>
        <v>31972</v>
      </c>
      <c r="K499" s="7" t="str">
        <f>IFERROR(__xludf.DUMMYFUNCTION("""COMPUTED_VALUE"""),"Xã Quảng Yên - Tỉnh Thanh Hóa")</f>
        <v>Xã Quảng Yên - Tỉnh Thanh Hóa</v>
      </c>
      <c r="L499" s="7" t="str">
        <f>IFERROR(__xludf.DUMMYFUNCTION("""COMPUTED_VALUE"""),"0899630986")</f>
        <v>0899630986</v>
      </c>
      <c r="M499" s="7" t="str">
        <f>IFERROR(__xludf.DUMMYFUNCTION("""COMPUTED_VALUE"""),"038087039603")</f>
        <v>038087039603</v>
      </c>
      <c r="N499" s="17">
        <f>IFERROR(__xludf.DUMMYFUNCTION("""COMPUTED_VALUE"""),44412.0)</f>
        <v>44412</v>
      </c>
      <c r="O499" s="7" t="str">
        <f>IFERROR(__xludf.DUMMYFUNCTION("""COMPUTED_VALUE"""),"Cục Cảnh sát QLHC về TTXH")</f>
        <v>Cục Cảnh sát QLHC về TTXH</v>
      </c>
      <c r="P499" s="7" t="str">
        <f>IFERROR(__xludf.DUMMYFUNCTION("""COMPUTED_VALUE"""),"LĐPT")</f>
        <v>LĐPT</v>
      </c>
      <c r="Q499" s="7" t="str">
        <f>IFERROR(__xludf.DUMMYFUNCTION("""COMPUTED_VALUE"""),"Lao động phổ thông")</f>
        <v>Lao động phổ thông</v>
      </c>
      <c r="R499" s="17">
        <f>IFERROR(__xludf.DUMMYFUNCTION("""COMPUTED_VALUE"""),41430.0)</f>
        <v>41430</v>
      </c>
      <c r="S499" s="17">
        <f>IFERROR(__xludf.DUMMYFUNCTION("""COMPUTED_VALUE"""),41430.0)</f>
        <v>41430</v>
      </c>
      <c r="T499" s="7" t="str">
        <f>IFERROR(__xludf.DUMMYFUNCTION("""COMPUTED_VALUE"""),"Chính thức")</f>
        <v>Chính thức</v>
      </c>
      <c r="U499" s="7"/>
      <c r="V499" s="7"/>
      <c r="W499" s="7" t="str">
        <f>IFERROR(__xludf.DUMMYFUNCTION("""COMPUTED_VALUE"""),"12 năm 6 tháng")</f>
        <v>12 năm 6 tháng</v>
      </c>
      <c r="X499" s="7"/>
      <c r="Y499" s="7"/>
      <c r="Z499" s="7"/>
    </row>
    <row r="500">
      <c r="A500" s="21" t="str">
        <f>IFERROR(__xludf.DUMMYFUNCTION("""COMPUTED_VALUE"""),"6")</f>
        <v>6</v>
      </c>
      <c r="B500" s="7" t="str">
        <f>IFERROR(__xludf.DUMMYFUNCTION("""COMPUTED_VALUE"""),"PXSX1")</f>
        <v>PXSX1</v>
      </c>
      <c r="C500" s="7" t="str">
        <f>IFERROR(__xludf.DUMMYFUNCTION("""COMPUTED_VALUE"""),"Phòng Kỹ thuật")</f>
        <v>Phòng Kỹ thuật</v>
      </c>
      <c r="D500" s="7" t="str">
        <f>IFERROR(__xludf.DUMMYFUNCTION("""COMPUTED_VALUE"""),"Bảo dưỡng Dây chuyền mài PXSX1")</f>
        <v>Bảo dưỡng Dây chuyền mài PXSX1</v>
      </c>
      <c r="E500" s="7" t="str">
        <f>IFERROR(__xludf.DUMMYFUNCTION("""COMPUTED_VALUE"""),"Bảo dưỡng vật tư mức 1")</f>
        <v>Bảo dưỡng vật tư mức 1</v>
      </c>
      <c r="F500" s="7" t="str">
        <f>IFERROR(__xludf.DUMMYFUNCTION("""COMPUTED_VALUE"""),"NV4626")</f>
        <v>NV4626</v>
      </c>
      <c r="G500" s="7">
        <f>IFERROR(__xludf.DUMMYFUNCTION("""COMPUTED_VALUE"""),256.0)</f>
        <v>256</v>
      </c>
      <c r="H500" s="7" t="str">
        <f>IFERROR(__xludf.DUMMYFUNCTION("""COMPUTED_VALUE"""),"Lê Nguyên Trường")</f>
        <v>Lê Nguyên Trường</v>
      </c>
      <c r="I500" s="7" t="str">
        <f>IFERROR(__xludf.DUMMYFUNCTION("""COMPUTED_VALUE"""),"Nam")</f>
        <v>Nam</v>
      </c>
      <c r="J500" s="17">
        <f>IFERROR(__xludf.DUMMYFUNCTION("""COMPUTED_VALUE"""),33533.0)</f>
        <v>33533</v>
      </c>
      <c r="K500" s="7" t="str">
        <f>IFERROR(__xludf.DUMMYFUNCTION("""COMPUTED_VALUE"""),"Xã Trung Chính - Tỉnh Thanh Hóa")</f>
        <v>Xã Trung Chính - Tỉnh Thanh Hóa</v>
      </c>
      <c r="L500" s="7" t="str">
        <f>IFERROR(__xludf.DUMMYFUNCTION("""COMPUTED_VALUE"""),"0362944929")</f>
        <v>0362944929</v>
      </c>
      <c r="M500" s="7" t="str">
        <f>IFERROR(__xludf.DUMMYFUNCTION("""COMPUTED_VALUE"""),"038091006374")</f>
        <v>038091006374</v>
      </c>
      <c r="N500" s="17">
        <f>IFERROR(__xludf.DUMMYFUNCTION("""COMPUTED_VALUE"""),44439.0)</f>
        <v>44439</v>
      </c>
      <c r="O500" s="7" t="str">
        <f>IFERROR(__xludf.DUMMYFUNCTION("""COMPUTED_VALUE"""),"Cục Cảnh sát QLHC về TTXH")</f>
        <v>Cục Cảnh sát QLHC về TTXH</v>
      </c>
      <c r="P500" s="7" t="str">
        <f>IFERROR(__xludf.DUMMYFUNCTION("""COMPUTED_VALUE"""),"LĐPT")</f>
        <v>LĐPT</v>
      </c>
      <c r="Q500" s="7" t="str">
        <f>IFERROR(__xludf.DUMMYFUNCTION("""COMPUTED_VALUE"""),"Lao động phổ thông")</f>
        <v>Lao động phổ thông</v>
      </c>
      <c r="R500" s="17">
        <f>IFERROR(__xludf.DUMMYFUNCTION("""COMPUTED_VALUE"""),44958.0)</f>
        <v>44958</v>
      </c>
      <c r="S500" s="17">
        <f>IFERROR(__xludf.DUMMYFUNCTION("""COMPUTED_VALUE"""),45047.0)</f>
        <v>45047</v>
      </c>
      <c r="T500" s="7" t="str">
        <f>IFERROR(__xludf.DUMMYFUNCTION("""COMPUTED_VALUE"""),"Chính thức")</f>
        <v>Chính thức</v>
      </c>
      <c r="U500" s="7"/>
      <c r="V500" s="7"/>
      <c r="W500" s="7" t="str">
        <f>IFERROR(__xludf.DUMMYFUNCTION("""COMPUTED_VALUE"""),"2 năm 10 tháng")</f>
        <v>2 năm 10 tháng</v>
      </c>
      <c r="X500" s="7"/>
      <c r="Y500" s="7"/>
      <c r="Z500" s="7"/>
    </row>
    <row r="501">
      <c r="A501" s="21" t="str">
        <f>IFERROR(__xludf.DUMMYFUNCTION("""COMPUTED_VALUE"""),"7")</f>
        <v>7</v>
      </c>
      <c r="B501" s="7" t="str">
        <f>IFERROR(__xludf.DUMMYFUNCTION("""COMPUTED_VALUE"""),"PXSX1")</f>
        <v>PXSX1</v>
      </c>
      <c r="C501" s="7" t="str">
        <f>IFERROR(__xludf.DUMMYFUNCTION("""COMPUTED_VALUE"""),"Phòng Kỹ thuật")</f>
        <v>Phòng Kỹ thuật</v>
      </c>
      <c r="D501" s="7" t="str">
        <f>IFERROR(__xludf.DUMMYFUNCTION("""COMPUTED_VALUE"""),"Bảo dưỡng Dây chuyền mài PXSX1")</f>
        <v>Bảo dưỡng Dây chuyền mài PXSX1</v>
      </c>
      <c r="E501" s="7" t="str">
        <f>IFERROR(__xludf.DUMMYFUNCTION("""COMPUTED_VALUE"""),"Bảo dưỡng vật tư mức 1")</f>
        <v>Bảo dưỡng vật tư mức 1</v>
      </c>
      <c r="F501" s="7" t="str">
        <f>IFERROR(__xludf.DUMMYFUNCTION("""COMPUTED_VALUE"""),"NV4148")</f>
        <v>NV4148</v>
      </c>
      <c r="G501" s="7">
        <f>IFERROR(__xludf.DUMMYFUNCTION("""COMPUTED_VALUE"""),686.0)</f>
        <v>686</v>
      </c>
      <c r="H501" s="7" t="str">
        <f>IFERROR(__xludf.DUMMYFUNCTION("""COMPUTED_VALUE"""),"Nguyễn Huy Tuyên")</f>
        <v>Nguyễn Huy Tuyên</v>
      </c>
      <c r="I501" s="7" t="str">
        <f>IFERROR(__xludf.DUMMYFUNCTION("""COMPUTED_VALUE"""),"Nam")</f>
        <v>Nam</v>
      </c>
      <c r="J501" s="17">
        <f>IFERROR(__xludf.DUMMYFUNCTION("""COMPUTED_VALUE"""),33659.0)</f>
        <v>33659</v>
      </c>
      <c r="K501" s="7" t="str">
        <f>IFERROR(__xludf.DUMMYFUNCTION("""COMPUTED_VALUE"""),"Ba Đình - Xã Hoằng Sơn - Tỉnh Thanh Hóa")</f>
        <v>Ba Đình - Xã Hoằng Sơn - Tỉnh Thanh Hóa</v>
      </c>
      <c r="L501" s="7" t="str">
        <f>IFERROR(__xludf.DUMMYFUNCTION("""COMPUTED_VALUE"""),"0353524001")</f>
        <v>0353524001</v>
      </c>
      <c r="M501" s="7" t="str">
        <f>IFERROR(__xludf.DUMMYFUNCTION("""COMPUTED_VALUE"""),"038092044958")</f>
        <v>038092044958</v>
      </c>
      <c r="N501" s="17">
        <f>IFERROR(__xludf.DUMMYFUNCTION("""COMPUTED_VALUE"""),44428.0)</f>
        <v>44428</v>
      </c>
      <c r="O501" s="7" t="str">
        <f>IFERROR(__xludf.DUMMYFUNCTION("""COMPUTED_VALUE"""),"Cục Cảnh sát QLHC về TTXH")</f>
        <v>Cục Cảnh sát QLHC về TTXH</v>
      </c>
      <c r="P501" s="7" t="str">
        <f>IFERROR(__xludf.DUMMYFUNCTION("""COMPUTED_VALUE"""),"Trung cấp")</f>
        <v>Trung cấp</v>
      </c>
      <c r="Q501" s="7" t="str">
        <f>IFERROR(__xludf.DUMMYFUNCTION("""COMPUTED_VALUE"""),"Nghề hàn")</f>
        <v>Nghề hàn</v>
      </c>
      <c r="R501" s="17">
        <f>IFERROR(__xludf.DUMMYFUNCTION("""COMPUTED_VALUE"""),44672.0)</f>
        <v>44672</v>
      </c>
      <c r="S501" s="17">
        <f>IFERROR(__xludf.DUMMYFUNCTION("""COMPUTED_VALUE"""),44986.0)</f>
        <v>44986</v>
      </c>
      <c r="T501" s="7" t="str">
        <f>IFERROR(__xludf.DUMMYFUNCTION("""COMPUTED_VALUE"""),"Chính thức")</f>
        <v>Chính thức</v>
      </c>
      <c r="U501" s="7"/>
      <c r="V501" s="7"/>
      <c r="W501" s="7" t="str">
        <f>IFERROR(__xludf.DUMMYFUNCTION("""COMPUTED_VALUE"""),"3 năm 8 tháng")</f>
        <v>3 năm 8 tháng</v>
      </c>
      <c r="X501" s="7"/>
      <c r="Y501" s="7"/>
      <c r="Z501" s="7"/>
    </row>
    <row r="502">
      <c r="A502" s="21" t="str">
        <f>IFERROR(__xludf.DUMMYFUNCTION("""COMPUTED_VALUE"""),"8")</f>
        <v>8</v>
      </c>
      <c r="B502" s="7" t="str">
        <f>IFERROR(__xludf.DUMMYFUNCTION("""COMPUTED_VALUE"""),"PXSX1")</f>
        <v>PXSX1</v>
      </c>
      <c r="C502" s="7" t="str">
        <f>IFERROR(__xludf.DUMMYFUNCTION("""COMPUTED_VALUE"""),"Phòng Kỹ thuật")</f>
        <v>Phòng Kỹ thuật</v>
      </c>
      <c r="D502" s="7" t="str">
        <f>IFERROR(__xludf.DUMMYFUNCTION("""COMPUTED_VALUE"""),"Bảo dưỡng Dây chuyền mài PXSX1")</f>
        <v>Bảo dưỡng Dây chuyền mài PXSX1</v>
      </c>
      <c r="E502" s="7" t="str">
        <f>IFERROR(__xludf.DUMMYFUNCTION("""COMPUTED_VALUE"""),"Bảo dưỡng vật tư mức 1")</f>
        <v>Bảo dưỡng vật tư mức 1</v>
      </c>
      <c r="F502" s="7" t="str">
        <f>IFERROR(__xludf.DUMMYFUNCTION("""COMPUTED_VALUE"""),"NV5002")</f>
        <v>NV5002</v>
      </c>
      <c r="G502" s="7">
        <f>IFERROR(__xludf.DUMMYFUNCTION("""COMPUTED_VALUE"""),274.0)</f>
        <v>274</v>
      </c>
      <c r="H502" s="7" t="str">
        <f>IFERROR(__xludf.DUMMYFUNCTION("""COMPUTED_VALUE"""),"Nguyễn Doãn Anh")</f>
        <v>Nguyễn Doãn Anh</v>
      </c>
      <c r="I502" s="7" t="str">
        <f>IFERROR(__xludf.DUMMYFUNCTION("""COMPUTED_VALUE"""),"Nam")</f>
        <v>Nam</v>
      </c>
      <c r="J502" s="17">
        <f>IFERROR(__xludf.DUMMYFUNCTION("""COMPUTED_VALUE"""),33880.0)</f>
        <v>33880</v>
      </c>
      <c r="K502" s="7" t="str">
        <f>IFERROR(__xludf.DUMMYFUNCTION("""COMPUTED_VALUE"""),"Xã An Nông - Tỉnh Thanh hóa")</f>
        <v>Xã An Nông - Tỉnh Thanh hóa</v>
      </c>
      <c r="L502" s="7" t="str">
        <f>IFERROR(__xludf.DUMMYFUNCTION("""COMPUTED_VALUE"""),"0965197125")</f>
        <v>0965197125</v>
      </c>
      <c r="M502" s="7" t="str">
        <f>IFERROR(__xludf.DUMMYFUNCTION("""COMPUTED_VALUE"""),"038090031991")</f>
        <v>038090031991</v>
      </c>
      <c r="N502" s="17">
        <f>IFERROR(__xludf.DUMMYFUNCTION("""COMPUTED_VALUE"""),44546.0)</f>
        <v>44546</v>
      </c>
      <c r="O502" s="7" t="str">
        <f>IFERROR(__xludf.DUMMYFUNCTION("""COMPUTED_VALUE"""),"Cục Cảnh sát QLHC về TTXH")</f>
        <v>Cục Cảnh sát QLHC về TTXH</v>
      </c>
      <c r="P502" s="7" t="str">
        <f>IFERROR(__xludf.DUMMYFUNCTION("""COMPUTED_VALUE"""),"Trung cấp, nghề")</f>
        <v>Trung cấp, nghề</v>
      </c>
      <c r="Q502" s="7" t="str">
        <f>IFERROR(__xludf.DUMMYFUNCTION("""COMPUTED_VALUE"""),"Nghề hàn")</f>
        <v>Nghề hàn</v>
      </c>
      <c r="R502" s="17">
        <f>IFERROR(__xludf.DUMMYFUNCTION("""COMPUTED_VALUE"""),45341.0)</f>
        <v>45341</v>
      </c>
      <c r="S502" s="17">
        <f>IFERROR(__xludf.DUMMYFUNCTION("""COMPUTED_VALUE"""),45444.0)</f>
        <v>45444</v>
      </c>
      <c r="T502" s="7" t="str">
        <f>IFERROR(__xludf.DUMMYFUNCTION("""COMPUTED_VALUE"""),"Chính thức")</f>
        <v>Chính thức</v>
      </c>
      <c r="U502" s="7"/>
      <c r="V502" s="7"/>
      <c r="W502" s="7" t="str">
        <f>IFERROR(__xludf.DUMMYFUNCTION("""COMPUTED_VALUE"""),"1 năm 10 tháng")</f>
        <v>1 năm 10 tháng</v>
      </c>
      <c r="X502" s="7"/>
      <c r="Y502" s="7"/>
      <c r="Z502" s="7"/>
    </row>
    <row r="503">
      <c r="A503" s="21" t="str">
        <f>IFERROR(__xludf.DUMMYFUNCTION("""COMPUTED_VALUE"""),"9")</f>
        <v>9</v>
      </c>
      <c r="B503" s="7" t="str">
        <f>IFERROR(__xludf.DUMMYFUNCTION("""COMPUTED_VALUE"""),"PXSX1")</f>
        <v>PXSX1</v>
      </c>
      <c r="C503" s="7" t="str">
        <f>IFERROR(__xludf.DUMMYFUNCTION("""COMPUTED_VALUE"""),"Phòng Kỹ thuật")</f>
        <v>Phòng Kỹ thuật</v>
      </c>
      <c r="D503" s="7" t="str">
        <f>IFERROR(__xludf.DUMMYFUNCTION("""COMPUTED_VALUE"""),"Bảo dưỡng Dây chuyền mài PXSX1")</f>
        <v>Bảo dưỡng Dây chuyền mài PXSX1</v>
      </c>
      <c r="E503" s="7" t="str">
        <f>IFERROR(__xludf.DUMMYFUNCTION("""COMPUTED_VALUE"""),"Bảo dưỡng vật tư mức 2")</f>
        <v>Bảo dưỡng vật tư mức 2</v>
      </c>
      <c r="F503" s="7" t="str">
        <f>IFERROR(__xludf.DUMMYFUNCTION("""COMPUTED_VALUE"""),"NV5511")</f>
        <v>NV5511</v>
      </c>
      <c r="G503" s="7">
        <f>IFERROR(__xludf.DUMMYFUNCTION("""COMPUTED_VALUE"""),994.0)</f>
        <v>994</v>
      </c>
      <c r="H503" s="7" t="str">
        <f>IFERROR(__xludf.DUMMYFUNCTION("""COMPUTED_VALUE"""),"Lê Bá Hiệu")</f>
        <v>Lê Bá Hiệu</v>
      </c>
      <c r="I503" s="7" t="str">
        <f>IFERROR(__xludf.DUMMYFUNCTION("""COMPUTED_VALUE"""),"Nam")</f>
        <v>Nam</v>
      </c>
      <c r="J503" s="17">
        <f>IFERROR(__xludf.DUMMYFUNCTION("""COMPUTED_VALUE"""),34025.0)</f>
        <v>34025</v>
      </c>
      <c r="K503" s="7" t="str">
        <f>IFERROR(__xludf.DUMMYFUNCTION("""COMPUTED_VALUE"""),"Phường Đông Sơn - Tỉnh Thanh Hóa")</f>
        <v>Phường Đông Sơn - Tỉnh Thanh Hóa</v>
      </c>
      <c r="L503" s="7" t="str">
        <f>IFERROR(__xludf.DUMMYFUNCTION("""COMPUTED_VALUE"""),"0334827697")</f>
        <v>0334827697</v>
      </c>
      <c r="M503" s="7" t="str">
        <f>IFERROR(__xludf.DUMMYFUNCTION("""COMPUTED_VALUE"""),"038093036007")</f>
        <v>038093036007</v>
      </c>
      <c r="N503" s="17">
        <f>IFERROR(__xludf.DUMMYFUNCTION("""COMPUTED_VALUE"""),44972.0)</f>
        <v>44972</v>
      </c>
      <c r="O503" s="7" t="str">
        <f>IFERROR(__xludf.DUMMYFUNCTION("""COMPUTED_VALUE"""),"Cục Cảnh sát QLHC về TTXH")</f>
        <v>Cục Cảnh sát QLHC về TTXH</v>
      </c>
      <c r="P503" s="7" t="str">
        <f>IFERROR(__xludf.DUMMYFUNCTION("""COMPUTED_VALUE"""),"LĐPT")</f>
        <v>LĐPT</v>
      </c>
      <c r="Q503" s="7" t="str">
        <f>IFERROR(__xludf.DUMMYFUNCTION("""COMPUTED_VALUE"""),"Lao động phổ thông")</f>
        <v>Lao động phổ thông</v>
      </c>
      <c r="R503" s="17">
        <f>IFERROR(__xludf.DUMMYFUNCTION("""COMPUTED_VALUE"""),45812.0)</f>
        <v>45812</v>
      </c>
      <c r="S503" s="7"/>
      <c r="T503" s="7" t="str">
        <f>IFERROR(__xludf.DUMMYFUNCTION("""COMPUTED_VALUE"""),"Chính thức")</f>
        <v>Chính thức</v>
      </c>
      <c r="U503" s="7"/>
      <c r="V503" s="7"/>
      <c r="W503" s="7" t="str">
        <f>IFERROR(__xludf.DUMMYFUNCTION("""COMPUTED_VALUE"""),"0 năm 6 tháng")</f>
        <v>0 năm 6 tháng</v>
      </c>
      <c r="X503" s="7"/>
      <c r="Y503" s="7"/>
      <c r="Z503" s="7"/>
    </row>
    <row r="504">
      <c r="A504" s="21" t="str">
        <f>IFERROR(__xludf.DUMMYFUNCTION("""COMPUTED_VALUE"""),"1")</f>
        <v>1</v>
      </c>
      <c r="B504" s="7" t="str">
        <f>IFERROR(__xludf.DUMMYFUNCTION("""COMPUTED_VALUE"""),"PXSX1")</f>
        <v>PXSX1</v>
      </c>
      <c r="C504" s="7" t="str">
        <f>IFERROR(__xludf.DUMMYFUNCTION("""COMPUTED_VALUE"""),"Phòng Kỹ thuật")</f>
        <v>Phòng Kỹ thuật</v>
      </c>
      <c r="D504" s="7" t="str">
        <f>IFERROR(__xludf.DUMMYFUNCTION("""COMPUTED_VALUE"""),"Cơ điện hành chính")</f>
        <v>Cơ điện hành chính</v>
      </c>
      <c r="E504" s="7" t="str">
        <f>IFERROR(__xludf.DUMMYFUNCTION("""COMPUTED_VALUE"""),"Cơ điện hành chính")</f>
        <v>Cơ điện hành chính</v>
      </c>
      <c r="F504" s="7" t="str">
        <f>IFERROR(__xludf.DUMMYFUNCTION("""COMPUTED_VALUE"""),"NV5176")</f>
        <v>NV5176</v>
      </c>
      <c r="G504" s="7">
        <f>IFERROR(__xludf.DUMMYFUNCTION("""COMPUTED_VALUE"""),653.0)</f>
        <v>653</v>
      </c>
      <c r="H504" s="7" t="str">
        <f>IFERROR(__xludf.DUMMYFUNCTION("""COMPUTED_VALUE"""),"Nguyễn Quốc Huy")</f>
        <v>Nguyễn Quốc Huy</v>
      </c>
      <c r="I504" s="7" t="str">
        <f>IFERROR(__xludf.DUMMYFUNCTION("""COMPUTED_VALUE"""),"Nam")</f>
        <v>Nam</v>
      </c>
      <c r="J504" s="17">
        <f>IFERROR(__xludf.DUMMYFUNCTION("""COMPUTED_VALUE"""),26398.0)</f>
        <v>26398</v>
      </c>
      <c r="K504" s="7" t="str">
        <f>IFERROR(__xludf.DUMMYFUNCTION("""COMPUTED_VALUE"""),"467 Nguyễn Trãi - Phường Hạc Thành - Tỉnh Thanh Hóa")</f>
        <v>467 Nguyễn Trãi - Phường Hạc Thành - Tỉnh Thanh Hóa</v>
      </c>
      <c r="L504" s="7" t="str">
        <f>IFERROR(__xludf.DUMMYFUNCTION("""COMPUTED_VALUE"""),"0975946979")</f>
        <v>0975946979</v>
      </c>
      <c r="M504" s="7" t="str">
        <f>IFERROR(__xludf.DUMMYFUNCTION("""COMPUTED_VALUE"""),"038072004243")</f>
        <v>038072004243</v>
      </c>
      <c r="N504" s="17">
        <f>IFERROR(__xludf.DUMMYFUNCTION("""COMPUTED_VALUE"""),44901.0)</f>
        <v>44901</v>
      </c>
      <c r="O504" s="7" t="str">
        <f>IFERROR(__xludf.DUMMYFUNCTION("""COMPUTED_VALUE"""),"Cục Cảnh sát QLHC về TTXH")</f>
        <v>Cục Cảnh sát QLHC về TTXH</v>
      </c>
      <c r="P504" s="7" t="str">
        <f>IFERROR(__xludf.DUMMYFUNCTION("""COMPUTED_VALUE"""),"Bằng nghề")</f>
        <v>Bằng nghề</v>
      </c>
      <c r="Q504" s="7" t="str">
        <f>IFERROR(__xludf.DUMMYFUNCTION("""COMPUTED_VALUE"""),"Thợ lắp đặt máy")</f>
        <v>Thợ lắp đặt máy</v>
      </c>
      <c r="R504" s="17">
        <f>IFERROR(__xludf.DUMMYFUNCTION("""COMPUTED_VALUE"""),45482.0)</f>
        <v>45482</v>
      </c>
      <c r="S504" s="17">
        <f>IFERROR(__xludf.DUMMYFUNCTION("""COMPUTED_VALUE"""),45597.0)</f>
        <v>45597</v>
      </c>
      <c r="T504" s="7" t="str">
        <f>IFERROR(__xludf.DUMMYFUNCTION("""COMPUTED_VALUE"""),"Chính thức")</f>
        <v>Chính thức</v>
      </c>
      <c r="U504" s="7"/>
      <c r="V504" s="7"/>
      <c r="W504" s="7" t="str">
        <f>IFERROR(__xludf.DUMMYFUNCTION("""COMPUTED_VALUE"""),"1 năm 5 tháng")</f>
        <v>1 năm 5 tháng</v>
      </c>
      <c r="X504" s="7"/>
      <c r="Y504" s="7"/>
      <c r="Z504" s="7"/>
    </row>
    <row r="505">
      <c r="A505" s="21" t="str">
        <f>IFERROR(__xludf.DUMMYFUNCTION("""COMPUTED_VALUE"""),"2")</f>
        <v>2</v>
      </c>
      <c r="B505" s="7" t="str">
        <f>IFERROR(__xludf.DUMMYFUNCTION("""COMPUTED_VALUE"""),"PXSX1")</f>
        <v>PXSX1</v>
      </c>
      <c r="C505" s="7" t="str">
        <f>IFERROR(__xludf.DUMMYFUNCTION("""COMPUTED_VALUE"""),"Phòng Kỹ thuật")</f>
        <v>Phòng Kỹ thuật</v>
      </c>
      <c r="D505" s="7" t="str">
        <f>IFERROR(__xludf.DUMMYFUNCTION("""COMPUTED_VALUE"""),"Cơ điện hành chính")</f>
        <v>Cơ điện hành chính</v>
      </c>
      <c r="E505" s="7" t="str">
        <f>IFERROR(__xludf.DUMMYFUNCTION("""COMPUTED_VALUE"""),"Cơ điện hành chính")</f>
        <v>Cơ điện hành chính</v>
      </c>
      <c r="F505" s="7" t="str">
        <f>IFERROR(__xludf.DUMMYFUNCTION("""COMPUTED_VALUE"""),"NV5113")</f>
        <v>NV5113</v>
      </c>
      <c r="G505" s="7">
        <f>IFERROR(__xludf.DUMMYFUNCTION("""COMPUTED_VALUE"""),205.0)</f>
        <v>205</v>
      </c>
      <c r="H505" s="7" t="str">
        <f>IFERROR(__xludf.DUMMYFUNCTION("""COMPUTED_VALUE"""),"Mai Đình Tiến")</f>
        <v>Mai Đình Tiến</v>
      </c>
      <c r="I505" s="7" t="str">
        <f>IFERROR(__xludf.DUMMYFUNCTION("""COMPUTED_VALUE"""),"Nam")</f>
        <v>Nam</v>
      </c>
      <c r="J505" s="17">
        <f>IFERROR(__xludf.DUMMYFUNCTION("""COMPUTED_VALUE"""),28600.0)</f>
        <v>28600</v>
      </c>
      <c r="K505" s="7" t="str">
        <f>IFERROR(__xludf.DUMMYFUNCTION("""COMPUTED_VALUE"""),"Xã Lưu Vệ - Tỉnh Thanh Hóa")</f>
        <v>Xã Lưu Vệ - Tỉnh Thanh Hóa</v>
      </c>
      <c r="L505" s="7"/>
      <c r="M505" s="7" t="str">
        <f>IFERROR(__xludf.DUMMYFUNCTION("""COMPUTED_VALUE"""),"038078005837")</f>
        <v>038078005837</v>
      </c>
      <c r="N505" s="17">
        <f>IFERROR(__xludf.DUMMYFUNCTION("""COMPUTED_VALUE"""),44375.0)</f>
        <v>44375</v>
      </c>
      <c r="O505" s="7" t="str">
        <f>IFERROR(__xludf.DUMMYFUNCTION("""COMPUTED_VALUE"""),"Cục Cảnh sát QLHC về TTXH")</f>
        <v>Cục Cảnh sát QLHC về TTXH</v>
      </c>
      <c r="P505" s="7" t="str">
        <f>IFERROR(__xludf.DUMMYFUNCTION("""COMPUTED_VALUE"""),"Bằng nghề")</f>
        <v>Bằng nghề</v>
      </c>
      <c r="Q505" s="7" t="str">
        <f>IFERROR(__xludf.DUMMYFUNCTION("""COMPUTED_VALUE"""),"Nghề hàn")</f>
        <v>Nghề hàn</v>
      </c>
      <c r="R505" s="17">
        <f>IFERROR(__xludf.DUMMYFUNCTION("""COMPUTED_VALUE"""),45385.0)</f>
        <v>45385</v>
      </c>
      <c r="S505" s="17">
        <f>IFERROR(__xludf.DUMMYFUNCTION("""COMPUTED_VALUE"""),45474.0)</f>
        <v>45474</v>
      </c>
      <c r="T505" s="7" t="str">
        <f>IFERROR(__xludf.DUMMYFUNCTION("""COMPUTED_VALUE"""),"Chính thức")</f>
        <v>Chính thức</v>
      </c>
      <c r="U505" s="7"/>
      <c r="V505" s="7" t="str">
        <f>IFERROR(__xludf.DUMMYFUNCTION("""COMPUTED_VALUE"""),"Nghỉ phép")</f>
        <v>Nghỉ phép</v>
      </c>
      <c r="W505" s="7" t="str">
        <f>IFERROR(__xludf.DUMMYFUNCTION("""COMPUTED_VALUE"""),"1 năm 8 tháng")</f>
        <v>1 năm 8 tháng</v>
      </c>
      <c r="X505" s="7"/>
      <c r="Y505" s="7"/>
      <c r="Z505" s="7"/>
    </row>
    <row r="506">
      <c r="A506" s="21" t="str">
        <f>IFERROR(__xludf.DUMMYFUNCTION("""COMPUTED_VALUE"""),"3")</f>
        <v>3</v>
      </c>
      <c r="B506" s="7" t="str">
        <f>IFERROR(__xludf.DUMMYFUNCTION("""COMPUTED_VALUE"""),"PXSX1")</f>
        <v>PXSX1</v>
      </c>
      <c r="C506" s="7" t="str">
        <f>IFERROR(__xludf.DUMMYFUNCTION("""COMPUTED_VALUE"""),"Phòng Kỹ thuật")</f>
        <v>Phòng Kỹ thuật</v>
      </c>
      <c r="D506" s="7" t="str">
        <f>IFERROR(__xludf.DUMMYFUNCTION("""COMPUTED_VALUE"""),"Cơ điện hành chính")</f>
        <v>Cơ điện hành chính</v>
      </c>
      <c r="E506" s="7" t="str">
        <f>IFERROR(__xludf.DUMMYFUNCTION("""COMPUTED_VALUE"""),"TT cơ điện - kỹ thuật")</f>
        <v>TT cơ điện - kỹ thuật</v>
      </c>
      <c r="F506" s="7" t="str">
        <f>IFERROR(__xludf.DUMMYFUNCTION("""COMPUTED_VALUE"""),"NV0718")</f>
        <v>NV0718</v>
      </c>
      <c r="G506" s="7">
        <f>IFERROR(__xludf.DUMMYFUNCTION("""COMPUTED_VALUE"""),164.0)</f>
        <v>164</v>
      </c>
      <c r="H506" s="7" t="str">
        <f>IFERROR(__xludf.DUMMYFUNCTION("""COMPUTED_VALUE"""),"Nguyễn Đình Phương")</f>
        <v>Nguyễn Đình Phương</v>
      </c>
      <c r="I506" s="7" t="str">
        <f>IFERROR(__xludf.DUMMYFUNCTION("""COMPUTED_VALUE"""),"Nam")</f>
        <v>Nam</v>
      </c>
      <c r="J506" s="17">
        <f>IFERROR(__xludf.DUMMYFUNCTION("""COMPUTED_VALUE"""),29402.0)</f>
        <v>29402</v>
      </c>
      <c r="K506" s="7" t="str">
        <f>IFERROR(__xludf.DUMMYFUNCTION("""COMPUTED_VALUE"""),"KP.Phúc Đức - Phường Sầm Sơn - Tỉnh Thanh Hóa - ")</f>
        <v>KP.Phúc Đức - Phường Sầm Sơn - Tỉnh Thanh Hóa - </v>
      </c>
      <c r="L506" s="7" t="str">
        <f>IFERROR(__xludf.DUMMYFUNCTION("""COMPUTED_VALUE"""),"0374281478")</f>
        <v>0374281478</v>
      </c>
      <c r="M506" s="7" t="str">
        <f>IFERROR(__xludf.DUMMYFUNCTION("""COMPUTED_VALUE"""),"038080039040")</f>
        <v>038080039040</v>
      </c>
      <c r="N506" s="17">
        <f>IFERROR(__xludf.DUMMYFUNCTION("""COMPUTED_VALUE"""),44364.0)</f>
        <v>44364</v>
      </c>
      <c r="O506" s="7" t="str">
        <f>IFERROR(__xludf.DUMMYFUNCTION("""COMPUTED_VALUE"""),"Cục Cảnh sát QLHC về TTXH")</f>
        <v>Cục Cảnh sát QLHC về TTXH</v>
      </c>
      <c r="P506" s="7" t="str">
        <f>IFERROR(__xludf.DUMMYFUNCTION("""COMPUTED_VALUE"""),"Trung cấp")</f>
        <v>Trung cấp</v>
      </c>
      <c r="Q506" s="7" t="str">
        <f>IFERROR(__xludf.DUMMYFUNCTION("""COMPUTED_VALUE"""),"Thợ nguội sửa chữa xe máy")</f>
        <v>Thợ nguội sửa chữa xe máy</v>
      </c>
      <c r="R506" s="17">
        <f>IFERROR(__xludf.DUMMYFUNCTION("""COMPUTED_VALUE"""),39322.0)</f>
        <v>39322</v>
      </c>
      <c r="S506" s="17">
        <f>IFERROR(__xludf.DUMMYFUNCTION("""COMPUTED_VALUE"""),39322.0)</f>
        <v>39322</v>
      </c>
      <c r="T506" s="7" t="str">
        <f>IFERROR(__xludf.DUMMYFUNCTION("""COMPUTED_VALUE"""),"Chính thức")</f>
        <v>Chính thức</v>
      </c>
      <c r="U506" s="7"/>
      <c r="V506" s="7"/>
      <c r="W506" s="7" t="str">
        <f>IFERROR(__xludf.DUMMYFUNCTION("""COMPUTED_VALUE"""),"18 năm 4 tháng")</f>
        <v>18 năm 4 tháng</v>
      </c>
      <c r="X506" s="7"/>
      <c r="Y506" s="7"/>
      <c r="Z506" s="7"/>
    </row>
    <row r="507">
      <c r="A507" s="21" t="str">
        <f>IFERROR(__xludf.DUMMYFUNCTION("""COMPUTED_VALUE"""),"4")</f>
        <v>4</v>
      </c>
      <c r="B507" s="7" t="str">
        <f>IFERROR(__xludf.DUMMYFUNCTION("""COMPUTED_VALUE"""),"PXSX1")</f>
        <v>PXSX1</v>
      </c>
      <c r="C507" s="7" t="str">
        <f>IFERROR(__xludf.DUMMYFUNCTION("""COMPUTED_VALUE"""),"Phòng Kỹ thuật")</f>
        <v>Phòng Kỹ thuật</v>
      </c>
      <c r="D507" s="7" t="str">
        <f>IFERROR(__xludf.DUMMYFUNCTION("""COMPUTED_VALUE"""),"Cơ điện hành chính")</f>
        <v>Cơ điện hành chính</v>
      </c>
      <c r="E507" s="7" t="str">
        <f>IFERROR(__xludf.DUMMYFUNCTION("""COMPUTED_VALUE"""),"Tổ phó cơ điện")</f>
        <v>Tổ phó cơ điện</v>
      </c>
      <c r="F507" s="7" t="str">
        <f>IFERROR(__xludf.DUMMYFUNCTION("""COMPUTED_VALUE"""),"NV0116")</f>
        <v>NV0116</v>
      </c>
      <c r="G507" s="7">
        <f>IFERROR(__xludf.DUMMYFUNCTION("""COMPUTED_VALUE"""),214.0)</f>
        <v>214</v>
      </c>
      <c r="H507" s="7" t="str">
        <f>IFERROR(__xludf.DUMMYFUNCTION("""COMPUTED_VALUE"""),"Lê Viết Hùng")</f>
        <v>Lê Viết Hùng</v>
      </c>
      <c r="I507" s="7" t="str">
        <f>IFERROR(__xludf.DUMMYFUNCTION("""COMPUTED_VALUE"""),"Nam")</f>
        <v>Nam</v>
      </c>
      <c r="J507" s="17">
        <f>IFERROR(__xludf.DUMMYFUNCTION("""COMPUTED_VALUE"""),29596.0)</f>
        <v>29596</v>
      </c>
      <c r="K507" s="7" t="str">
        <f>IFERROR(__xludf.DUMMYFUNCTION("""COMPUTED_VALUE"""),"Xã Hoằng Hóa - Tỉnh Thanh Hóa")</f>
        <v>Xã Hoằng Hóa - Tỉnh Thanh Hóa</v>
      </c>
      <c r="L507" s="7" t="str">
        <f>IFERROR(__xludf.DUMMYFUNCTION("""COMPUTED_VALUE"""),"0347051515")</f>
        <v>0347051515</v>
      </c>
      <c r="M507" s="7" t="str">
        <f>IFERROR(__xludf.DUMMYFUNCTION("""COMPUTED_VALUE"""),"038081031390")</f>
        <v>038081031390</v>
      </c>
      <c r="N507" s="17">
        <f>IFERROR(__xludf.DUMMYFUNCTION("""COMPUTED_VALUE"""),44244.0)</f>
        <v>44244</v>
      </c>
      <c r="O507" s="7" t="str">
        <f>IFERROR(__xludf.DUMMYFUNCTION("""COMPUTED_VALUE"""),"Cục Cảnh sát QLHC về TTXH")</f>
        <v>Cục Cảnh sát QLHC về TTXH</v>
      </c>
      <c r="P507" s="7" t="str">
        <f>IFERROR(__xludf.DUMMYFUNCTION("""COMPUTED_VALUE"""),"Trung cấp")</f>
        <v>Trung cấp</v>
      </c>
      <c r="Q507" s="7" t="str">
        <f>IFERROR(__xludf.DUMMYFUNCTION("""COMPUTED_VALUE"""),"Xây lắp điện")</f>
        <v>Xây lắp điện</v>
      </c>
      <c r="R507" s="17">
        <f>IFERROR(__xludf.DUMMYFUNCTION("""COMPUTED_VALUE"""),42423.0)</f>
        <v>42423</v>
      </c>
      <c r="S507" s="17">
        <f>IFERROR(__xludf.DUMMYFUNCTION("""COMPUTED_VALUE"""),42423.0)</f>
        <v>42423</v>
      </c>
      <c r="T507" s="7" t="str">
        <f>IFERROR(__xludf.DUMMYFUNCTION("""COMPUTED_VALUE"""),"Chính thức")</f>
        <v>Chính thức</v>
      </c>
      <c r="U507" s="7"/>
      <c r="V507" s="7"/>
      <c r="W507" s="7" t="str">
        <f>IFERROR(__xludf.DUMMYFUNCTION("""COMPUTED_VALUE"""),"9 năm 10 tháng")</f>
        <v>9 năm 10 tháng</v>
      </c>
      <c r="X507" s="7"/>
      <c r="Y507" s="7"/>
      <c r="Z507" s="7"/>
    </row>
    <row r="508">
      <c r="A508" s="21" t="str">
        <f>IFERROR(__xludf.DUMMYFUNCTION("""COMPUTED_VALUE"""),"5")</f>
        <v>5</v>
      </c>
      <c r="B508" s="7" t="str">
        <f>IFERROR(__xludf.DUMMYFUNCTION("""COMPUTED_VALUE"""),"PXSX1")</f>
        <v>PXSX1</v>
      </c>
      <c r="C508" s="7" t="str">
        <f>IFERROR(__xludf.DUMMYFUNCTION("""COMPUTED_VALUE"""),"Phòng Kỹ thuật")</f>
        <v>Phòng Kỹ thuật</v>
      </c>
      <c r="D508" s="7" t="str">
        <f>IFERROR(__xludf.DUMMYFUNCTION("""COMPUTED_VALUE"""),"Cơ điện hành chính")</f>
        <v>Cơ điện hành chính</v>
      </c>
      <c r="E508" s="7" t="str">
        <f>IFERROR(__xludf.DUMMYFUNCTION("""COMPUTED_VALUE"""),"Cơ điện hành chính")</f>
        <v>Cơ điện hành chính</v>
      </c>
      <c r="F508" s="7" t="str">
        <f>IFERROR(__xludf.DUMMYFUNCTION("""COMPUTED_VALUE"""),"NV1243")</f>
        <v>NV1243</v>
      </c>
      <c r="G508" s="7">
        <f>IFERROR(__xludf.DUMMYFUNCTION("""COMPUTED_VALUE"""),216.0)</f>
        <v>216</v>
      </c>
      <c r="H508" s="7" t="str">
        <f>IFERROR(__xludf.DUMMYFUNCTION("""COMPUTED_VALUE"""),"Nguyễn Quý Hoạt")</f>
        <v>Nguyễn Quý Hoạt</v>
      </c>
      <c r="I508" s="7" t="str">
        <f>IFERROR(__xludf.DUMMYFUNCTION("""COMPUTED_VALUE"""),"Nam")</f>
        <v>Nam</v>
      </c>
      <c r="J508" s="17">
        <f>IFERROR(__xludf.DUMMYFUNCTION("""COMPUTED_VALUE"""),31266.0)</f>
        <v>31266</v>
      </c>
      <c r="K508" s="7" t="str">
        <f>IFERROR(__xludf.DUMMYFUNCTION("""COMPUTED_VALUE"""),"Thôn Nịnh Dụ - Xã Quảng Ninh - Tỉnh Thanh Hóa")</f>
        <v>Thôn Nịnh Dụ - Xã Quảng Ninh - Tỉnh Thanh Hóa</v>
      </c>
      <c r="L508" s="7" t="str">
        <f>IFERROR(__xludf.DUMMYFUNCTION("""COMPUTED_VALUE"""),"0986732530")</f>
        <v>0986732530</v>
      </c>
      <c r="M508" s="7" t="str">
        <f>IFERROR(__xludf.DUMMYFUNCTION("""COMPUTED_VALUE"""),"038085011515")</f>
        <v>038085011515</v>
      </c>
      <c r="N508" s="17">
        <f>IFERROR(__xludf.DUMMYFUNCTION("""COMPUTED_VALUE"""),43193.0)</f>
        <v>43193</v>
      </c>
      <c r="O508" s="7" t="str">
        <f>IFERROR(__xludf.DUMMYFUNCTION("""COMPUTED_VALUE"""),"Cục Cảnh sát QLHC về TTXH")</f>
        <v>Cục Cảnh sát QLHC về TTXH</v>
      </c>
      <c r="P508" s="7" t="str">
        <f>IFERROR(__xludf.DUMMYFUNCTION("""COMPUTED_VALUE"""),"Sơ cấp nghề")</f>
        <v>Sơ cấp nghề</v>
      </c>
      <c r="Q508" s="7" t="str">
        <f>IFERROR(__xludf.DUMMYFUNCTION("""COMPUTED_VALUE"""),"điện công nghiệp")</f>
        <v>điện công nghiệp</v>
      </c>
      <c r="R508" s="17">
        <f>IFERROR(__xludf.DUMMYFUNCTION("""COMPUTED_VALUE"""),43174.0)</f>
        <v>43174</v>
      </c>
      <c r="S508" s="17">
        <f>IFERROR(__xludf.DUMMYFUNCTION("""COMPUTED_VALUE"""),43174.0)</f>
        <v>43174</v>
      </c>
      <c r="T508" s="7" t="str">
        <f>IFERROR(__xludf.DUMMYFUNCTION("""COMPUTED_VALUE"""),"Chính thức")</f>
        <v>Chính thức</v>
      </c>
      <c r="U508" s="7"/>
      <c r="V508" s="7"/>
      <c r="W508" s="7" t="str">
        <f>IFERROR(__xludf.DUMMYFUNCTION("""COMPUTED_VALUE"""),"7 năm 9 tháng")</f>
        <v>7 năm 9 tháng</v>
      </c>
      <c r="X508" s="7"/>
      <c r="Y508" s="7"/>
      <c r="Z508" s="7"/>
    </row>
    <row r="509">
      <c r="A509" s="21" t="str">
        <f>IFERROR(__xludf.DUMMYFUNCTION("""COMPUTED_VALUE"""),"6")</f>
        <v>6</v>
      </c>
      <c r="B509" s="7" t="str">
        <f>IFERROR(__xludf.DUMMYFUNCTION("""COMPUTED_VALUE"""),"PXSX1")</f>
        <v>PXSX1</v>
      </c>
      <c r="C509" s="7" t="str">
        <f>IFERROR(__xludf.DUMMYFUNCTION("""COMPUTED_VALUE"""),"Phòng Kỹ thuật")</f>
        <v>Phòng Kỹ thuật</v>
      </c>
      <c r="D509" s="7" t="str">
        <f>IFERROR(__xludf.DUMMYFUNCTION("""COMPUTED_VALUE"""),"Cơ điện hành chính")</f>
        <v>Cơ điện hành chính</v>
      </c>
      <c r="E509" s="7" t="str">
        <f>IFERROR(__xludf.DUMMYFUNCTION("""COMPUTED_VALUE"""),"Cơ điện hành chính")</f>
        <v>Cơ điện hành chính</v>
      </c>
      <c r="F509" s="7" t="str">
        <f>IFERROR(__xludf.DUMMYFUNCTION("""COMPUTED_VALUE"""),"NV0117")</f>
        <v>NV0117</v>
      </c>
      <c r="G509" s="7">
        <f>IFERROR(__xludf.DUMMYFUNCTION("""COMPUTED_VALUE"""),188.0)</f>
        <v>188</v>
      </c>
      <c r="H509" s="7" t="str">
        <f>IFERROR(__xludf.DUMMYFUNCTION("""COMPUTED_VALUE"""),"Văn Như Hùng")</f>
        <v>Văn Như Hùng</v>
      </c>
      <c r="I509" s="7" t="str">
        <f>IFERROR(__xludf.DUMMYFUNCTION("""COMPUTED_VALUE"""),"Nam")</f>
        <v>Nam</v>
      </c>
      <c r="J509" s="17">
        <f>IFERROR(__xludf.DUMMYFUNCTION("""COMPUTED_VALUE"""),33533.0)</f>
        <v>33533</v>
      </c>
      <c r="K509" s="7" t="str">
        <f>IFERROR(__xludf.DUMMYFUNCTION("""COMPUTED_VALUE"""),"Xã Hà Trung - Tỉnh Thanh Hóa")</f>
        <v>Xã Hà Trung - Tỉnh Thanh Hóa</v>
      </c>
      <c r="L509" s="7" t="str">
        <f>IFERROR(__xludf.DUMMYFUNCTION("""COMPUTED_VALUE"""),"0917942024")</f>
        <v>0917942024</v>
      </c>
      <c r="M509" s="7" t="str">
        <f>IFERROR(__xludf.DUMMYFUNCTION("""COMPUTED_VALUE"""),"038091040483")</f>
        <v>038091040483</v>
      </c>
      <c r="N509" s="17">
        <f>IFERROR(__xludf.DUMMYFUNCTION("""COMPUTED_VALUE"""),44440.0)</f>
        <v>44440</v>
      </c>
      <c r="O509" s="7" t="str">
        <f>IFERROR(__xludf.DUMMYFUNCTION("""COMPUTED_VALUE"""),"Cục Cảnh sát QLHC về TTXH")</f>
        <v>Cục Cảnh sát QLHC về TTXH</v>
      </c>
      <c r="P509" s="7" t="str">
        <f>IFERROR(__xludf.DUMMYFUNCTION("""COMPUTED_VALUE"""),"Cao đẳng")</f>
        <v>Cao đẳng</v>
      </c>
      <c r="Q509" s="7" t="str">
        <f>IFERROR(__xludf.DUMMYFUNCTION("""COMPUTED_VALUE"""),"điện công nghiệp")</f>
        <v>điện công nghiệp</v>
      </c>
      <c r="R509" s="17">
        <f>IFERROR(__xludf.DUMMYFUNCTION("""COMPUTED_VALUE"""),42486.0)</f>
        <v>42486</v>
      </c>
      <c r="S509" s="17">
        <f>IFERROR(__xludf.DUMMYFUNCTION("""COMPUTED_VALUE"""),42486.0)</f>
        <v>42486</v>
      </c>
      <c r="T509" s="7" t="str">
        <f>IFERROR(__xludf.DUMMYFUNCTION("""COMPUTED_VALUE"""),"Chính thức")</f>
        <v>Chính thức</v>
      </c>
      <c r="U509" s="7"/>
      <c r="V509" s="7"/>
      <c r="W509" s="7" t="str">
        <f>IFERROR(__xludf.DUMMYFUNCTION("""COMPUTED_VALUE"""),"9 năm 8 tháng")</f>
        <v>9 năm 8 tháng</v>
      </c>
      <c r="X509" s="7"/>
      <c r="Y509" s="7"/>
      <c r="Z509" s="7"/>
    </row>
    <row r="510">
      <c r="A510" s="21" t="str">
        <f>IFERROR(__xludf.DUMMYFUNCTION("""COMPUTED_VALUE"""),"7")</f>
        <v>7</v>
      </c>
      <c r="B510" s="7" t="str">
        <f>IFERROR(__xludf.DUMMYFUNCTION("""COMPUTED_VALUE"""),"PXSX1")</f>
        <v>PXSX1</v>
      </c>
      <c r="C510" s="7" t="str">
        <f>IFERROR(__xludf.DUMMYFUNCTION("""COMPUTED_VALUE"""),"Phòng Kỹ thuật")</f>
        <v>Phòng Kỹ thuật</v>
      </c>
      <c r="D510" s="7" t="str">
        <f>IFERROR(__xludf.DUMMYFUNCTION("""COMPUTED_VALUE"""),"Cơ điện hành chính")</f>
        <v>Cơ điện hành chính</v>
      </c>
      <c r="E510" s="7" t="str">
        <f>IFERROR(__xludf.DUMMYFUNCTION("""COMPUTED_VALUE"""),"Cơ điện hành chính")</f>
        <v>Cơ điện hành chính</v>
      </c>
      <c r="F510" s="7" t="str">
        <f>IFERROR(__xludf.DUMMYFUNCTION("""COMPUTED_VALUE"""),"NV2367")</f>
        <v>NV2367</v>
      </c>
      <c r="G510" s="7">
        <f>IFERROR(__xludf.DUMMYFUNCTION("""COMPUTED_VALUE"""),171.0)</f>
        <v>171</v>
      </c>
      <c r="H510" s="7" t="str">
        <f>IFERROR(__xludf.DUMMYFUNCTION("""COMPUTED_VALUE"""),"Nguyễn Danh Vinh")</f>
        <v>Nguyễn Danh Vinh</v>
      </c>
      <c r="I510" s="7" t="str">
        <f>IFERROR(__xludf.DUMMYFUNCTION("""COMPUTED_VALUE"""),"Nam")</f>
        <v>Nam</v>
      </c>
      <c r="J510" s="17">
        <f>IFERROR(__xludf.DUMMYFUNCTION("""COMPUTED_VALUE"""),34842.0)</f>
        <v>34842</v>
      </c>
      <c r="K510" s="7" t="str">
        <f>IFERROR(__xludf.DUMMYFUNCTION("""COMPUTED_VALUE"""),"Xã Hóa Quỳ - Tỉnh Thanh Hóa")</f>
        <v>Xã Hóa Quỳ - Tỉnh Thanh Hóa</v>
      </c>
      <c r="L510" s="7" t="str">
        <f>IFERROR(__xludf.DUMMYFUNCTION("""COMPUTED_VALUE"""),"0976376279")</f>
        <v>0976376279</v>
      </c>
      <c r="M510" s="7" t="str">
        <f>IFERROR(__xludf.DUMMYFUNCTION("""COMPUTED_VALUE"""),"038095020567")</f>
        <v>038095020567</v>
      </c>
      <c r="N510" s="17">
        <f>IFERROR(__xludf.DUMMYFUNCTION("""COMPUTED_VALUE"""),44389.0)</f>
        <v>44389</v>
      </c>
      <c r="O510" s="7" t="str">
        <f>IFERROR(__xludf.DUMMYFUNCTION("""COMPUTED_VALUE"""),"Cục Cảnh sát QLHC về TTXH")</f>
        <v>Cục Cảnh sát QLHC về TTXH</v>
      </c>
      <c r="P510" s="7" t="str">
        <f>IFERROR(__xludf.DUMMYFUNCTION("""COMPUTED_VALUE"""),"Cao đẳng")</f>
        <v>Cao đẳng</v>
      </c>
      <c r="Q510" s="7" t="str">
        <f>IFERROR(__xludf.DUMMYFUNCTION("""COMPUTED_VALUE"""),"Hệ thống điện")</f>
        <v>Hệ thống điện</v>
      </c>
      <c r="R510" s="17">
        <f>IFERROR(__xludf.DUMMYFUNCTION("""COMPUTED_VALUE"""),43594.0)</f>
        <v>43594</v>
      </c>
      <c r="S510" s="17">
        <f>IFERROR(__xludf.DUMMYFUNCTION("""COMPUTED_VALUE"""),43983.0)</f>
        <v>43983</v>
      </c>
      <c r="T510" s="7" t="str">
        <f>IFERROR(__xludf.DUMMYFUNCTION("""COMPUTED_VALUE"""),"Chính thức")</f>
        <v>Chính thức</v>
      </c>
      <c r="U510" s="7"/>
      <c r="V510" s="7"/>
      <c r="W510" s="7" t="str">
        <f>IFERROR(__xludf.DUMMYFUNCTION("""COMPUTED_VALUE"""),"6 năm 7 tháng")</f>
        <v>6 năm 7 tháng</v>
      </c>
      <c r="X510" s="7"/>
      <c r="Y510" s="7"/>
      <c r="Z510" s="7"/>
    </row>
    <row r="511">
      <c r="A511" s="21" t="str">
        <f>IFERROR(__xludf.DUMMYFUNCTION("""COMPUTED_VALUE"""),"8")</f>
        <v>8</v>
      </c>
      <c r="B511" s="7" t="str">
        <f>IFERROR(__xludf.DUMMYFUNCTION("""COMPUTED_VALUE"""),"PXSX1")</f>
        <v>PXSX1</v>
      </c>
      <c r="C511" s="7" t="str">
        <f>IFERROR(__xludf.DUMMYFUNCTION("""COMPUTED_VALUE"""),"Phòng Kỹ thuật")</f>
        <v>Phòng Kỹ thuật</v>
      </c>
      <c r="D511" s="7" t="str">
        <f>IFERROR(__xludf.DUMMYFUNCTION("""COMPUTED_VALUE"""),"Cơ điện hành chính")</f>
        <v>Cơ điện hành chính</v>
      </c>
      <c r="E511" s="7" t="str">
        <f>IFERROR(__xludf.DUMMYFUNCTION("""COMPUTED_VALUE"""),"Cơ điện")</f>
        <v>Cơ điện</v>
      </c>
      <c r="F511" s="7" t="str">
        <f>IFERROR(__xludf.DUMMYFUNCTION("""COMPUTED_VALUE"""),"NV3619")</f>
        <v>NV3619</v>
      </c>
      <c r="G511" s="7">
        <f>IFERROR(__xludf.DUMMYFUNCTION("""COMPUTED_VALUE"""),162.0)</f>
        <v>162</v>
      </c>
      <c r="H511" s="7" t="str">
        <f>IFERROR(__xludf.DUMMYFUNCTION("""COMPUTED_VALUE"""),"Trần Quang Huynh")</f>
        <v>Trần Quang Huynh</v>
      </c>
      <c r="I511" s="7" t="str">
        <f>IFERROR(__xludf.DUMMYFUNCTION("""COMPUTED_VALUE"""),"Nam")</f>
        <v>Nam</v>
      </c>
      <c r="J511" s="17">
        <f>IFERROR(__xludf.DUMMYFUNCTION("""COMPUTED_VALUE"""),35753.0)</f>
        <v>35753</v>
      </c>
      <c r="K511" s="7" t="str">
        <f>IFERROR(__xludf.DUMMYFUNCTION("""COMPUTED_VALUE"""),"Xã Quảng Ninh - Tỉnh Thanh Hóa")</f>
        <v>Xã Quảng Ninh - Tỉnh Thanh Hóa</v>
      </c>
      <c r="L511" s="7" t="str">
        <f>IFERROR(__xludf.DUMMYFUNCTION("""COMPUTED_VALUE"""),"0977326982")</f>
        <v>0977326982</v>
      </c>
      <c r="M511" s="7" t="str">
        <f>IFERROR(__xludf.DUMMYFUNCTION("""COMPUTED_VALUE"""),"038097030277")</f>
        <v>038097030277</v>
      </c>
      <c r="N511" s="17">
        <f>IFERROR(__xludf.DUMMYFUNCTION("""COMPUTED_VALUE"""),44419.0)</f>
        <v>44419</v>
      </c>
      <c r="O511" s="7" t="str">
        <f>IFERROR(__xludf.DUMMYFUNCTION("""COMPUTED_VALUE"""),"Cục Cảnh sát QLHC về TTXH")</f>
        <v>Cục Cảnh sát QLHC về TTXH</v>
      </c>
      <c r="P511" s="7" t="str">
        <f>IFERROR(__xludf.DUMMYFUNCTION("""COMPUTED_VALUE"""),"Cao đẳng nghề")</f>
        <v>Cao đẳng nghề</v>
      </c>
      <c r="Q511" s="7" t="str">
        <f>IFERROR(__xludf.DUMMYFUNCTION("""COMPUTED_VALUE"""),"Cơ điện tử")</f>
        <v>Cơ điện tử</v>
      </c>
      <c r="R511" s="17">
        <f>IFERROR(__xludf.DUMMYFUNCTION("""COMPUTED_VALUE"""),44308.0)</f>
        <v>44308</v>
      </c>
      <c r="S511" s="17">
        <f>IFERROR(__xludf.DUMMYFUNCTION("""COMPUTED_VALUE"""),44621.0)</f>
        <v>44621</v>
      </c>
      <c r="T511" s="7" t="str">
        <f>IFERROR(__xludf.DUMMYFUNCTION("""COMPUTED_VALUE"""),"Chính thức")</f>
        <v>Chính thức</v>
      </c>
      <c r="U511" s="7"/>
      <c r="V511" s="7"/>
      <c r="W511" s="7" t="str">
        <f>IFERROR(__xludf.DUMMYFUNCTION("""COMPUTED_VALUE"""),"4 năm 8 tháng")</f>
        <v>4 năm 8 tháng</v>
      </c>
      <c r="X511" s="7"/>
      <c r="Y511" s="7"/>
      <c r="Z511" s="7"/>
    </row>
    <row r="512">
      <c r="A512" s="21" t="str">
        <f>IFERROR(__xludf.DUMMYFUNCTION("""COMPUTED_VALUE"""),"9")</f>
        <v>9</v>
      </c>
      <c r="B512" s="7" t="str">
        <f>IFERROR(__xludf.DUMMYFUNCTION("""COMPUTED_VALUE"""),"PXSX1")</f>
        <v>PXSX1</v>
      </c>
      <c r="C512" s="7" t="str">
        <f>IFERROR(__xludf.DUMMYFUNCTION("""COMPUTED_VALUE"""),"Phòng Kỹ thuật")</f>
        <v>Phòng Kỹ thuật</v>
      </c>
      <c r="D512" s="7" t="str">
        <f>IFERROR(__xludf.DUMMYFUNCTION("""COMPUTED_VALUE"""),"Cơ điện hành chính")</f>
        <v>Cơ điện hành chính</v>
      </c>
      <c r="E512" s="7" t="str">
        <f>IFERROR(__xludf.DUMMYFUNCTION("""COMPUTED_VALUE"""),"CĐHC mức 5")</f>
        <v>CĐHC mức 5</v>
      </c>
      <c r="F512" s="7" t="str">
        <f>IFERROR(__xludf.DUMMYFUNCTION("""COMPUTED_VALUE"""),"NV5765")</f>
        <v>NV5765</v>
      </c>
      <c r="G512" s="7">
        <f>IFERROR(__xludf.DUMMYFUNCTION("""COMPUTED_VALUE"""),1246.0)</f>
        <v>1246</v>
      </c>
      <c r="H512" s="7" t="str">
        <f>IFERROR(__xludf.DUMMYFUNCTION("""COMPUTED_VALUE"""),"Lê Văn Tư")</f>
        <v>Lê Văn Tư</v>
      </c>
      <c r="I512" s="7" t="str">
        <f>IFERROR(__xludf.DUMMYFUNCTION("""COMPUTED_VALUE"""),"Nam")</f>
        <v>Nam</v>
      </c>
      <c r="J512" s="17">
        <f>IFERROR(__xludf.DUMMYFUNCTION("""COMPUTED_VALUE"""),29627.0)</f>
        <v>29627</v>
      </c>
      <c r="K512" s="7" t="str">
        <f>IFERROR(__xludf.DUMMYFUNCTION("""COMPUTED_VALUE"""),"Thôn Hà Nội - Xã Hoàng Sơn - Tỉnh Thanh Hóa")</f>
        <v>Thôn Hà Nội - Xã Hoàng Sơn - Tỉnh Thanh Hóa</v>
      </c>
      <c r="L512" s="7" t="str">
        <f>IFERROR(__xludf.DUMMYFUNCTION("""COMPUTED_VALUE"""),"0363013234")</f>
        <v>0363013234</v>
      </c>
      <c r="M512" s="7" t="str">
        <f>IFERROR(__xludf.DUMMYFUNCTION("""COMPUTED_VALUE"""),"038081029763")</f>
        <v>038081029763</v>
      </c>
      <c r="N512" s="17">
        <f>IFERROR(__xludf.DUMMYFUNCTION("""COMPUTED_VALUE"""),44425.0)</f>
        <v>44425</v>
      </c>
      <c r="O512" s="7" t="str">
        <f>IFERROR(__xludf.DUMMYFUNCTION("""COMPUTED_VALUE"""),"Cục Cảnh sát QLHC về TTXH")</f>
        <v>Cục Cảnh sát QLHC về TTXH</v>
      </c>
      <c r="P512" s="7" t="str">
        <f>IFERROR(__xludf.DUMMYFUNCTION("""COMPUTED_VALUE"""),"Lao động có tay nghề")</f>
        <v>Lao động có tay nghề</v>
      </c>
      <c r="Q512" s="7" t="str">
        <f>IFERROR(__xludf.DUMMYFUNCTION("""COMPUTED_VALUE"""),"Bằng Nghề điện")</f>
        <v>Bằng Nghề điện</v>
      </c>
      <c r="R512" s="17">
        <f>IFERROR(__xludf.DUMMYFUNCTION("""COMPUTED_VALUE"""),45947.0)</f>
        <v>45947</v>
      </c>
      <c r="S512" s="7"/>
      <c r="T512" s="7" t="str">
        <f>IFERROR(__xludf.DUMMYFUNCTION("""COMPUTED_VALUE"""),"Thử việc")</f>
        <v>Thử việc</v>
      </c>
      <c r="U512" s="7"/>
      <c r="V512" s="7" t="str">
        <f>IFERROR(__xludf.DUMMYFUNCTION("""COMPUTED_VALUE"""),"Thử việc")</f>
        <v>Thử việc</v>
      </c>
      <c r="W512" s="7" t="str">
        <f>IFERROR(__xludf.DUMMYFUNCTION("""COMPUTED_VALUE"""),"0 năm 2 tháng")</f>
        <v>0 năm 2 tháng</v>
      </c>
      <c r="X512" s="7"/>
      <c r="Y512" s="7"/>
      <c r="Z512" s="7"/>
    </row>
    <row r="513">
      <c r="A513" s="21" t="str">
        <f>IFERROR(__xludf.DUMMYFUNCTION("""COMPUTED_VALUE"""),"10")</f>
        <v>10</v>
      </c>
      <c r="B513" s="7" t="str">
        <f>IFERROR(__xludf.DUMMYFUNCTION("""COMPUTED_VALUE"""),"PXSX1")</f>
        <v>PXSX1</v>
      </c>
      <c r="C513" s="7" t="str">
        <f>IFERROR(__xludf.DUMMYFUNCTION("""COMPUTED_VALUE"""),"Phòng Kỹ thuật")</f>
        <v>Phòng Kỹ thuật</v>
      </c>
      <c r="D513" s="7" t="str">
        <f>IFERROR(__xludf.DUMMYFUNCTION("""COMPUTED_VALUE"""),"Cơ điện hành chính")</f>
        <v>Cơ điện hành chính</v>
      </c>
      <c r="E513" s="7" t="str">
        <f>IFERROR(__xludf.DUMMYFUNCTION("""COMPUTED_VALUE"""),"CĐHC mức 5")</f>
        <v>CĐHC mức 5</v>
      </c>
      <c r="F513" s="7" t="str">
        <f>IFERROR(__xludf.DUMMYFUNCTION("""COMPUTED_VALUE"""),"NV5415")</f>
        <v>NV5415</v>
      </c>
      <c r="G513" s="7">
        <f>IFERROR(__xludf.DUMMYFUNCTION("""COMPUTED_VALUE"""),865.0)</f>
        <v>865</v>
      </c>
      <c r="H513" s="7" t="str">
        <f>IFERROR(__xludf.DUMMYFUNCTION("""COMPUTED_VALUE"""),"Lê Đình Hùng ")</f>
        <v>Lê Đình Hùng </v>
      </c>
      <c r="I513" s="7" t="str">
        <f>IFERROR(__xludf.DUMMYFUNCTION("""COMPUTED_VALUE"""),"Nam")</f>
        <v>Nam</v>
      </c>
      <c r="J513" s="17">
        <f>IFERROR(__xludf.DUMMYFUNCTION("""COMPUTED_VALUE"""),32685.0)</f>
        <v>32685</v>
      </c>
      <c r="K513" s="7" t="str">
        <f>IFERROR(__xludf.DUMMYFUNCTION("""COMPUTED_VALUE"""),"TDP Thành Huy -  Phường Đông Sơn - Tỉnh Thanh Hóa")</f>
        <v>TDP Thành Huy -  Phường Đông Sơn - Tỉnh Thanh Hóa</v>
      </c>
      <c r="L513" s="7" t="str">
        <f>IFERROR(__xludf.DUMMYFUNCTION("""COMPUTED_VALUE"""),"0394614700")</f>
        <v>0394614700</v>
      </c>
      <c r="M513" s="7" t="str">
        <f>IFERROR(__xludf.DUMMYFUNCTION("""COMPUTED_VALUE"""),"038089046640")</f>
        <v>038089046640</v>
      </c>
      <c r="N513" s="17">
        <f>IFERROR(__xludf.DUMMYFUNCTION("""COMPUTED_VALUE"""),44524.0)</f>
        <v>44524</v>
      </c>
      <c r="O513" s="7" t="str">
        <f>IFERROR(__xludf.DUMMYFUNCTION("""COMPUTED_VALUE"""),"Cục Cảnh sát QLHC về TTXH")</f>
        <v>Cục Cảnh sát QLHC về TTXH</v>
      </c>
      <c r="P513" s="7" t="str">
        <f>IFERROR(__xludf.DUMMYFUNCTION("""COMPUTED_VALUE"""),"Cao đẳng")</f>
        <v>Cao đẳng</v>
      </c>
      <c r="Q513" s="7" t="str">
        <f>IFERROR(__xludf.DUMMYFUNCTION("""COMPUTED_VALUE"""),"Công nghệ Ô tô")</f>
        <v>Công nghệ Ô tô</v>
      </c>
      <c r="R513" s="7"/>
      <c r="S513" s="17">
        <f>IFERROR(__xludf.DUMMYFUNCTION("""COMPUTED_VALUE"""),45966.0)</f>
        <v>45966</v>
      </c>
      <c r="T513" s="7" t="str">
        <f>IFERROR(__xludf.DUMMYFUNCTION("""COMPUTED_VALUE"""),"Chính thức")</f>
        <v>Chính thức</v>
      </c>
      <c r="U513" s="7"/>
      <c r="V513" s="7" t="str">
        <f>IFERROR(__xludf.DUMMYFUNCTION("""COMPUTED_VALUE"""),"Chính thức")</f>
        <v>Chính thức</v>
      </c>
      <c r="W513" s="7" t="str">
        <f>IFERROR(__xludf.DUMMYFUNCTION("""COMPUTED_VALUE"""),"0 năm 1 tháng")</f>
        <v>0 năm 1 tháng</v>
      </c>
      <c r="X513" s="7"/>
      <c r="Y513" s="7"/>
      <c r="Z513" s="7"/>
    </row>
    <row r="514">
      <c r="A514" s="21" t="str">
        <f>IFERROR(__xludf.DUMMYFUNCTION("""COMPUTED_VALUE"""),"1")</f>
        <v>1</v>
      </c>
      <c r="B514" s="7" t="str">
        <f>IFERROR(__xludf.DUMMYFUNCTION("""COMPUTED_VALUE"""),"PXSX1")</f>
        <v>PXSX1</v>
      </c>
      <c r="C514" s="7" t="str">
        <f>IFERROR(__xludf.DUMMYFUNCTION("""COMPUTED_VALUE"""),"Phòng Kỹ thuật")</f>
        <v>Phòng Kỹ thuật</v>
      </c>
      <c r="D514" s="7" t="str">
        <f>IFERROR(__xludf.DUMMYFUNCTION("""COMPUTED_VALUE"""),"Cơ điện Ca A")</f>
        <v>Cơ điện Ca A</v>
      </c>
      <c r="E514" s="7" t="str">
        <f>IFERROR(__xludf.DUMMYFUNCTION("""COMPUTED_VALUE"""),"Cơ điện đi ca")</f>
        <v>Cơ điện đi ca</v>
      </c>
      <c r="F514" s="7" t="str">
        <f>IFERROR(__xludf.DUMMYFUNCTION("""COMPUTED_VALUE"""),"NV5006")</f>
        <v>NV5006</v>
      </c>
      <c r="G514" s="7">
        <f>IFERROR(__xludf.DUMMYFUNCTION("""COMPUTED_VALUE"""),664.0)</f>
        <v>664</v>
      </c>
      <c r="H514" s="7" t="str">
        <f>IFERROR(__xludf.DUMMYFUNCTION("""COMPUTED_VALUE"""),"Lê Công Dụng")</f>
        <v>Lê Công Dụng</v>
      </c>
      <c r="I514" s="7" t="str">
        <f>IFERROR(__xludf.DUMMYFUNCTION("""COMPUTED_VALUE"""),"Nam")</f>
        <v>Nam</v>
      </c>
      <c r="J514" s="17">
        <f>IFERROR(__xludf.DUMMYFUNCTION("""COMPUTED_VALUE"""),32336.0)</f>
        <v>32336</v>
      </c>
      <c r="K514" s="7" t="str">
        <f>IFERROR(__xludf.DUMMYFUNCTION("""COMPUTED_VALUE"""),"Xã Quảng Ninh - Tỉnh Thanh Hóa")</f>
        <v>Xã Quảng Ninh - Tỉnh Thanh Hóa</v>
      </c>
      <c r="L514" s="7"/>
      <c r="M514" s="7" t="str">
        <f>IFERROR(__xludf.DUMMYFUNCTION("""COMPUTED_VALUE"""),"038088007571")</f>
        <v>038088007571</v>
      </c>
      <c r="N514" s="17">
        <f>IFERROR(__xludf.DUMMYFUNCTION("""COMPUTED_VALUE"""),44983.0)</f>
        <v>44983</v>
      </c>
      <c r="O514" s="7" t="str">
        <f>IFERROR(__xludf.DUMMYFUNCTION("""COMPUTED_VALUE"""),"Cục Cảnh sát QLHC về TTXH")</f>
        <v>Cục Cảnh sát QLHC về TTXH</v>
      </c>
      <c r="P514" s="7" t="str">
        <f>IFERROR(__xludf.DUMMYFUNCTION("""COMPUTED_VALUE"""),"Cao đẳng nghề")</f>
        <v>Cao đẳng nghề</v>
      </c>
      <c r="Q514" s="7" t="str">
        <f>IFERROR(__xludf.DUMMYFUNCTION("""COMPUTED_VALUE"""),"Nghề hàn")</f>
        <v>Nghề hàn</v>
      </c>
      <c r="R514" s="17">
        <f>IFERROR(__xludf.DUMMYFUNCTION("""COMPUTED_VALUE"""),45348.0)</f>
        <v>45348</v>
      </c>
      <c r="S514" s="17">
        <f>IFERROR(__xludf.DUMMYFUNCTION("""COMPUTED_VALUE"""),45444.0)</f>
        <v>45444</v>
      </c>
      <c r="T514" s="7" t="str">
        <f>IFERROR(__xludf.DUMMYFUNCTION("""COMPUTED_VALUE"""),"Chính thức")</f>
        <v>Chính thức</v>
      </c>
      <c r="U514" s="7"/>
      <c r="V514" s="7"/>
      <c r="W514" s="7" t="str">
        <f>IFERROR(__xludf.DUMMYFUNCTION("""COMPUTED_VALUE"""),"1 năm 10 tháng")</f>
        <v>1 năm 10 tháng</v>
      </c>
      <c r="X514" s="7"/>
      <c r="Y514" s="7"/>
      <c r="Z514" s="7"/>
    </row>
    <row r="515">
      <c r="A515" s="21" t="str">
        <f>IFERROR(__xludf.DUMMYFUNCTION("""COMPUTED_VALUE"""),"2")</f>
        <v>2</v>
      </c>
      <c r="B515" s="7" t="str">
        <f>IFERROR(__xludf.DUMMYFUNCTION("""COMPUTED_VALUE"""),"PXSX1")</f>
        <v>PXSX1</v>
      </c>
      <c r="C515" s="7" t="str">
        <f>IFERROR(__xludf.DUMMYFUNCTION("""COMPUTED_VALUE"""),"Phòng Kỹ thuật")</f>
        <v>Phòng Kỹ thuật</v>
      </c>
      <c r="D515" s="7" t="str">
        <f>IFERROR(__xludf.DUMMYFUNCTION("""COMPUTED_VALUE"""),"Cơ điện Ca A")</f>
        <v>Cơ điện Ca A</v>
      </c>
      <c r="E515" s="7" t="str">
        <f>IFERROR(__xludf.DUMMYFUNCTION("""COMPUTED_VALUE"""),"NT cơ điện đi ca")</f>
        <v>NT cơ điện đi ca</v>
      </c>
      <c r="F515" s="7" t="str">
        <f>IFERROR(__xludf.DUMMYFUNCTION("""COMPUTED_VALUE"""),"NV0960")</f>
        <v>NV0960</v>
      </c>
      <c r="G515" s="7">
        <f>IFERROR(__xludf.DUMMYFUNCTION("""COMPUTED_VALUE"""),584.0)</f>
        <v>584</v>
      </c>
      <c r="H515" s="7" t="str">
        <f>IFERROR(__xludf.DUMMYFUNCTION("""COMPUTED_VALUE"""),"Lê Văn Nam")</f>
        <v>Lê Văn Nam</v>
      </c>
      <c r="I515" s="7" t="str">
        <f>IFERROR(__xludf.DUMMYFUNCTION("""COMPUTED_VALUE"""),"Nam")</f>
        <v>Nam</v>
      </c>
      <c r="J515" s="17">
        <f>IFERROR(__xludf.DUMMYFUNCTION("""COMPUTED_VALUE"""),32883.0)</f>
        <v>32883</v>
      </c>
      <c r="K515" s="7" t="str">
        <f>IFERROR(__xludf.DUMMYFUNCTION("""COMPUTED_VALUE"""),"20/438 Phú Liên - Phường Hạc Thành - Tỉnh Thanh Hóa")</f>
        <v>20/438 Phú Liên - Phường Hạc Thành - Tỉnh Thanh Hóa</v>
      </c>
      <c r="L515" s="7" t="str">
        <f>IFERROR(__xludf.DUMMYFUNCTION("""COMPUTED_VALUE"""),"0964923636")</f>
        <v>0964923636</v>
      </c>
      <c r="M515" s="7" t="str">
        <f>IFERROR(__xludf.DUMMYFUNCTION("""COMPUTED_VALUE"""),"038090038478")</f>
        <v>038090038478</v>
      </c>
      <c r="N515" s="17">
        <f>IFERROR(__xludf.DUMMYFUNCTION("""COMPUTED_VALUE"""),44418.0)</f>
        <v>44418</v>
      </c>
      <c r="O515" s="7" t="str">
        <f>IFERROR(__xludf.DUMMYFUNCTION("""COMPUTED_VALUE"""),"Cục Cảnh sát QLHC về TTXH")</f>
        <v>Cục Cảnh sát QLHC về TTXH</v>
      </c>
      <c r="P515" s="7" t="str">
        <f>IFERROR(__xludf.DUMMYFUNCTION("""COMPUTED_VALUE"""),"Trung cấp")</f>
        <v>Trung cấp</v>
      </c>
      <c r="Q515" s="7" t="str">
        <f>IFERROR(__xludf.DUMMYFUNCTION("""COMPUTED_VALUE"""),"Cơ khí")</f>
        <v>Cơ khí</v>
      </c>
      <c r="R515" s="17">
        <f>IFERROR(__xludf.DUMMYFUNCTION("""COMPUTED_VALUE"""),42864.0)</f>
        <v>42864</v>
      </c>
      <c r="S515" s="17">
        <f>IFERROR(__xludf.DUMMYFUNCTION("""COMPUTED_VALUE"""),42864.0)</f>
        <v>42864</v>
      </c>
      <c r="T515" s="7" t="str">
        <f>IFERROR(__xludf.DUMMYFUNCTION("""COMPUTED_VALUE"""),"Chính thức")</f>
        <v>Chính thức</v>
      </c>
      <c r="U515" s="7"/>
      <c r="V515" s="7"/>
      <c r="W515" s="7" t="str">
        <f>IFERROR(__xludf.DUMMYFUNCTION("""COMPUTED_VALUE"""),"8 năm 7 tháng")</f>
        <v>8 năm 7 tháng</v>
      </c>
      <c r="X515" s="7"/>
      <c r="Y515" s="7"/>
      <c r="Z515" s="7"/>
    </row>
    <row r="516">
      <c r="A516" s="21" t="str">
        <f>IFERROR(__xludf.DUMMYFUNCTION("""COMPUTED_VALUE"""),"3")</f>
        <v>3</v>
      </c>
      <c r="B516" s="7" t="str">
        <f>IFERROR(__xludf.DUMMYFUNCTION("""COMPUTED_VALUE"""),"PXSX1")</f>
        <v>PXSX1</v>
      </c>
      <c r="C516" s="7" t="str">
        <f>IFERROR(__xludf.DUMMYFUNCTION("""COMPUTED_VALUE"""),"Phòng Kỹ thuật")</f>
        <v>Phòng Kỹ thuật</v>
      </c>
      <c r="D516" s="7" t="str">
        <f>IFERROR(__xludf.DUMMYFUNCTION("""COMPUTED_VALUE"""),"Cơ điện Ca A")</f>
        <v>Cơ điện Ca A</v>
      </c>
      <c r="E516" s="7" t="str">
        <f>IFERROR(__xludf.DUMMYFUNCTION("""COMPUTED_VALUE"""),"Cơ điện đi ca")</f>
        <v>Cơ điện đi ca</v>
      </c>
      <c r="F516" s="7" t="str">
        <f>IFERROR(__xludf.DUMMYFUNCTION("""COMPUTED_VALUE"""),"NV1264")</f>
        <v>NV1264</v>
      </c>
      <c r="G516" s="7">
        <f>IFERROR(__xludf.DUMMYFUNCTION("""COMPUTED_VALUE"""),293.0)</f>
        <v>293</v>
      </c>
      <c r="H516" s="7" t="str">
        <f>IFERROR(__xludf.DUMMYFUNCTION("""COMPUTED_VALUE"""),"Mai Đình Tư")</f>
        <v>Mai Đình Tư</v>
      </c>
      <c r="I516" s="7" t="str">
        <f>IFERROR(__xludf.DUMMYFUNCTION("""COMPUTED_VALUE"""),"Nam")</f>
        <v>Nam</v>
      </c>
      <c r="J516" s="17">
        <f>IFERROR(__xludf.DUMMYFUNCTION("""COMPUTED_VALUE"""),33628.0)</f>
        <v>33628</v>
      </c>
      <c r="K516" s="7" t="str">
        <f>IFERROR(__xludf.DUMMYFUNCTION("""COMPUTED_VALUE"""),"Đồng Võng - Xã Lưu Vệ - Tỉnh Thanh Hóa")</f>
        <v>Đồng Võng - Xã Lưu Vệ - Tỉnh Thanh Hóa</v>
      </c>
      <c r="L516" s="7" t="str">
        <f>IFERROR(__xludf.DUMMYFUNCTION("""COMPUTED_VALUE"""),"0986290832")</f>
        <v>0986290832</v>
      </c>
      <c r="M516" s="7" t="str">
        <f>IFERROR(__xludf.DUMMYFUNCTION("""COMPUTED_VALUE"""),"038092010179")</f>
        <v>038092010179</v>
      </c>
      <c r="N516" s="17">
        <f>IFERROR(__xludf.DUMMYFUNCTION("""COMPUTED_VALUE"""),44375.0)</f>
        <v>44375</v>
      </c>
      <c r="O516" s="7" t="str">
        <f>IFERROR(__xludf.DUMMYFUNCTION("""COMPUTED_VALUE"""),"Cục Cảnh sát QLHC về TTXH")</f>
        <v>Cục Cảnh sát QLHC về TTXH</v>
      </c>
      <c r="P516" s="7" t="str">
        <f>IFERROR(__xludf.DUMMYFUNCTION("""COMPUTED_VALUE"""),"Trung cấp, nghề")</f>
        <v>Trung cấp, nghề</v>
      </c>
      <c r="Q516" s="7" t="str">
        <f>IFERROR(__xludf.DUMMYFUNCTION("""COMPUTED_VALUE"""),"Điện công nghiệp")</f>
        <v>Điện công nghiệp</v>
      </c>
      <c r="R516" s="17">
        <f>IFERROR(__xludf.DUMMYFUNCTION("""COMPUTED_VALUE"""),44169.0)</f>
        <v>44169</v>
      </c>
      <c r="S516" s="17">
        <f>IFERROR(__xludf.DUMMYFUNCTION("""COMPUTED_VALUE"""),44169.0)</f>
        <v>44169</v>
      </c>
      <c r="T516" s="7" t="str">
        <f>IFERROR(__xludf.DUMMYFUNCTION("""COMPUTED_VALUE"""),"Chính thức")</f>
        <v>Chính thức</v>
      </c>
      <c r="U516" s="7"/>
      <c r="V516" s="7"/>
      <c r="W516" s="7" t="str">
        <f>IFERROR(__xludf.DUMMYFUNCTION("""COMPUTED_VALUE"""),"5 năm 0 tháng")</f>
        <v>5 năm 0 tháng</v>
      </c>
      <c r="X516" s="7"/>
      <c r="Y516" s="7"/>
      <c r="Z516" s="7"/>
    </row>
    <row r="517">
      <c r="A517" s="21" t="str">
        <f>IFERROR(__xludf.DUMMYFUNCTION("""COMPUTED_VALUE"""),"4")</f>
        <v>4</v>
      </c>
      <c r="B517" s="7" t="str">
        <f>IFERROR(__xludf.DUMMYFUNCTION("""COMPUTED_VALUE"""),"PXSX1")</f>
        <v>PXSX1</v>
      </c>
      <c r="C517" s="7" t="str">
        <f>IFERROR(__xludf.DUMMYFUNCTION("""COMPUTED_VALUE"""),"Phòng Kỹ thuật")</f>
        <v>Phòng Kỹ thuật</v>
      </c>
      <c r="D517" s="7" t="str">
        <f>IFERROR(__xludf.DUMMYFUNCTION("""COMPUTED_VALUE"""),"Cơ điện Ca A")</f>
        <v>Cơ điện Ca A</v>
      </c>
      <c r="E517" s="7" t="str">
        <f>IFERROR(__xludf.DUMMYFUNCTION("""COMPUTED_VALUE"""),"Cơ điện đi ca")</f>
        <v>Cơ điện đi ca</v>
      </c>
      <c r="F517" s="7" t="str">
        <f>IFERROR(__xludf.DUMMYFUNCTION("""COMPUTED_VALUE"""),"NV4979")</f>
        <v>NV4979</v>
      </c>
      <c r="G517" s="7">
        <f>IFERROR(__xludf.DUMMYFUNCTION("""COMPUTED_VALUE"""),694.0)</f>
        <v>694</v>
      </c>
      <c r="H517" s="7" t="str">
        <f>IFERROR(__xludf.DUMMYFUNCTION("""COMPUTED_VALUE"""),"Lê Thanh Anh")</f>
        <v>Lê Thanh Anh</v>
      </c>
      <c r="I517" s="7" t="str">
        <f>IFERROR(__xludf.DUMMYFUNCTION("""COMPUTED_VALUE"""),"Nam")</f>
        <v>Nam</v>
      </c>
      <c r="J517" s="17">
        <f>IFERROR(__xludf.DUMMYFUNCTION("""COMPUTED_VALUE"""),34933.0)</f>
        <v>34933</v>
      </c>
      <c r="K517" s="7" t="str">
        <f>IFERROR(__xludf.DUMMYFUNCTION("""COMPUTED_VALUE"""),"Xã Quảng Ngọc - Tỉnh Thanh Hóa ")</f>
        <v>Xã Quảng Ngọc - Tỉnh Thanh Hóa </v>
      </c>
      <c r="L517" s="7" t="str">
        <f>IFERROR(__xludf.DUMMYFUNCTION("""COMPUTED_VALUE"""),"0344256558")</f>
        <v>0344256558</v>
      </c>
      <c r="M517" s="7" t="str">
        <f>IFERROR(__xludf.DUMMYFUNCTION("""COMPUTED_VALUE"""),"038095023407")</f>
        <v>038095023407</v>
      </c>
      <c r="N517" s="17">
        <f>IFERROR(__xludf.DUMMYFUNCTION("""COMPUTED_VALUE"""),44779.0)</f>
        <v>44779</v>
      </c>
      <c r="O517" s="7" t="str">
        <f>IFERROR(__xludf.DUMMYFUNCTION("""COMPUTED_VALUE"""),"Cục Cảnh sát QLHC về TTXH")</f>
        <v>Cục Cảnh sát QLHC về TTXH</v>
      </c>
      <c r="P517" s="7" t="str">
        <f>IFERROR(__xludf.DUMMYFUNCTION("""COMPUTED_VALUE"""),"Đại học")</f>
        <v>Đại học</v>
      </c>
      <c r="Q517" s="7" t="str">
        <f>IFERROR(__xludf.DUMMYFUNCTION("""COMPUTED_VALUE"""),"Công nghệ kỹ thuật điện -  điện tử")</f>
        <v>Công nghệ kỹ thuật điện -  điện tử</v>
      </c>
      <c r="R517" s="17">
        <f>IFERROR(__xludf.DUMMYFUNCTION("""COMPUTED_VALUE"""),45285.0)</f>
        <v>45285</v>
      </c>
      <c r="S517" s="17">
        <f>IFERROR(__xludf.DUMMYFUNCTION("""COMPUTED_VALUE"""),45383.0)</f>
        <v>45383</v>
      </c>
      <c r="T517" s="7" t="str">
        <f>IFERROR(__xludf.DUMMYFUNCTION("""COMPUTED_VALUE"""),"Chính thức")</f>
        <v>Chính thức</v>
      </c>
      <c r="U517" s="7"/>
      <c r="V517" s="7" t="str">
        <f>IFERROR(__xludf.DUMMYFUNCTION("""COMPUTED_VALUE"""),"Nghỉ phép")</f>
        <v>Nghỉ phép</v>
      </c>
      <c r="W517" s="7" t="str">
        <f>IFERROR(__xludf.DUMMYFUNCTION("""COMPUTED_VALUE"""),"2 năm 0 tháng")</f>
        <v>2 năm 0 tháng</v>
      </c>
      <c r="X517" s="7"/>
      <c r="Y517" s="7"/>
      <c r="Z517" s="7"/>
    </row>
    <row r="518">
      <c r="A518" s="21" t="str">
        <f>IFERROR(__xludf.DUMMYFUNCTION("""COMPUTED_VALUE"""),"1")</f>
        <v>1</v>
      </c>
      <c r="B518" s="7" t="str">
        <f>IFERROR(__xludf.DUMMYFUNCTION("""COMPUTED_VALUE"""),"PXSX1")</f>
        <v>PXSX1</v>
      </c>
      <c r="C518" s="7" t="str">
        <f>IFERROR(__xludf.DUMMYFUNCTION("""COMPUTED_VALUE"""),"Phòng Kỹ thuật")</f>
        <v>Phòng Kỹ thuật</v>
      </c>
      <c r="D518" s="7" t="str">
        <f>IFERROR(__xludf.DUMMYFUNCTION("""COMPUTED_VALUE"""),"Cơ điện Ca B")</f>
        <v>Cơ điện Ca B</v>
      </c>
      <c r="E518" s="7" t="str">
        <f>IFERROR(__xludf.DUMMYFUNCTION("""COMPUTED_VALUE"""),"Cơ điện đi ca")</f>
        <v>Cơ điện đi ca</v>
      </c>
      <c r="F518" s="7" t="str">
        <f>IFERROR(__xludf.DUMMYFUNCTION("""COMPUTED_VALUE"""),"NV5500")</f>
        <v>NV5500</v>
      </c>
      <c r="G518" s="7">
        <f>IFERROR(__xludf.DUMMYFUNCTION("""COMPUTED_VALUE"""),983.0)</f>
        <v>983</v>
      </c>
      <c r="H518" s="7" t="str">
        <f>IFERROR(__xludf.DUMMYFUNCTION("""COMPUTED_VALUE"""),"Hồ Xuân Khải")</f>
        <v>Hồ Xuân Khải</v>
      </c>
      <c r="I518" s="7" t="str">
        <f>IFERROR(__xludf.DUMMYFUNCTION("""COMPUTED_VALUE"""),"Nam")</f>
        <v>Nam</v>
      </c>
      <c r="J518" s="17">
        <f>IFERROR(__xludf.DUMMYFUNCTION("""COMPUTED_VALUE"""),31104.0)</f>
        <v>31104</v>
      </c>
      <c r="K518" s="7" t="str">
        <f>IFERROR(__xludf.DUMMYFUNCTION("""COMPUTED_VALUE"""),"Xã Tiên Trang - Tỉnh Thanh Hóa")</f>
        <v>Xã Tiên Trang - Tỉnh Thanh Hóa</v>
      </c>
      <c r="L518" s="7" t="str">
        <f>IFERROR(__xludf.DUMMYFUNCTION("""COMPUTED_VALUE"""),"0356273745")</f>
        <v>0356273745</v>
      </c>
      <c r="M518" s="7" t="str">
        <f>IFERROR(__xludf.DUMMYFUNCTION("""COMPUTED_VALUE"""),"038085016548")</f>
        <v>038085016548</v>
      </c>
      <c r="N518" s="17">
        <f>IFERROR(__xludf.DUMMYFUNCTION("""COMPUTED_VALUE"""),45733.0)</f>
        <v>45733</v>
      </c>
      <c r="O518" s="7" t="str">
        <f>IFERROR(__xludf.DUMMYFUNCTION("""COMPUTED_VALUE"""),"Bộ công an")</f>
        <v>Bộ công an</v>
      </c>
      <c r="P518" s="7" t="str">
        <f>IFERROR(__xludf.DUMMYFUNCTION("""COMPUTED_VALUE"""),"Đại học")</f>
        <v>Đại học</v>
      </c>
      <c r="Q518" s="7" t="str">
        <f>IFERROR(__xludf.DUMMYFUNCTION("""COMPUTED_VALUE"""),"Kỹ sư điện")</f>
        <v>Kỹ sư điện</v>
      </c>
      <c r="R518" s="17">
        <f>IFERROR(__xludf.DUMMYFUNCTION("""COMPUTED_VALUE"""),45810.0)</f>
        <v>45810</v>
      </c>
      <c r="S518" s="7"/>
      <c r="T518" s="7" t="str">
        <f>IFERROR(__xludf.DUMMYFUNCTION("""COMPUTED_VALUE"""),"Chính thức")</f>
        <v>Chính thức</v>
      </c>
      <c r="U518" s="7"/>
      <c r="V518" s="7"/>
      <c r="W518" s="7" t="str">
        <f>IFERROR(__xludf.DUMMYFUNCTION("""COMPUTED_VALUE"""),"0 năm 6 tháng")</f>
        <v>0 năm 6 tháng</v>
      </c>
      <c r="X518" s="7"/>
      <c r="Y518" s="7"/>
      <c r="Z518" s="7"/>
    </row>
    <row r="519">
      <c r="A519" s="21" t="str">
        <f>IFERROR(__xludf.DUMMYFUNCTION("""COMPUTED_VALUE"""),"2")</f>
        <v>2</v>
      </c>
      <c r="B519" s="7" t="str">
        <f>IFERROR(__xludf.DUMMYFUNCTION("""COMPUTED_VALUE"""),"PXSX1")</f>
        <v>PXSX1</v>
      </c>
      <c r="C519" s="7" t="str">
        <f>IFERROR(__xludf.DUMMYFUNCTION("""COMPUTED_VALUE"""),"Phòng Kỹ thuật")</f>
        <v>Phòng Kỹ thuật</v>
      </c>
      <c r="D519" s="7" t="str">
        <f>IFERROR(__xludf.DUMMYFUNCTION("""COMPUTED_VALUE"""),"Cơ điện Ca B")</f>
        <v>Cơ điện Ca B</v>
      </c>
      <c r="E519" s="7" t="str">
        <f>IFERROR(__xludf.DUMMYFUNCTION("""COMPUTED_VALUE"""),"Kỹ thuật đi ca")</f>
        <v>Kỹ thuật đi ca</v>
      </c>
      <c r="F519" s="7" t="str">
        <f>IFERROR(__xludf.DUMMYFUNCTION("""COMPUTED_VALUE"""),"NV0105")</f>
        <v>NV0105</v>
      </c>
      <c r="G519" s="7">
        <f>IFERROR(__xludf.DUMMYFUNCTION("""COMPUTED_VALUE"""),278.0)</f>
        <v>278</v>
      </c>
      <c r="H519" s="7" t="str">
        <f>IFERROR(__xludf.DUMMYFUNCTION("""COMPUTED_VALUE"""),"Trần Văn Luân")</f>
        <v>Trần Văn Luân</v>
      </c>
      <c r="I519" s="7" t="str">
        <f>IFERROR(__xludf.DUMMYFUNCTION("""COMPUTED_VALUE"""),"Nam")</f>
        <v>Nam</v>
      </c>
      <c r="J519" s="17">
        <f>IFERROR(__xludf.DUMMYFUNCTION("""COMPUTED_VALUE"""),32146.0)</f>
        <v>32146</v>
      </c>
      <c r="K519" s="7" t="str">
        <f>IFERROR(__xludf.DUMMYFUNCTION("""COMPUTED_VALUE"""),"Phố Thành Yên - Phường Quảng Phú - Tỉnh Thanh Hóa")</f>
        <v>Phố Thành Yên - Phường Quảng Phú - Tỉnh Thanh Hóa</v>
      </c>
      <c r="L519" s="7" t="str">
        <f>IFERROR(__xludf.DUMMYFUNCTION("""COMPUTED_VALUE"""),"0936313345")</f>
        <v>0936313345</v>
      </c>
      <c r="M519" s="7" t="str">
        <f>IFERROR(__xludf.DUMMYFUNCTION("""COMPUTED_VALUE"""),"038088042659")</f>
        <v>038088042659</v>
      </c>
      <c r="N519" s="17">
        <f>IFERROR(__xludf.DUMMYFUNCTION("""COMPUTED_VALUE"""),44375.0)</f>
        <v>44375</v>
      </c>
      <c r="O519" s="7" t="str">
        <f>IFERROR(__xludf.DUMMYFUNCTION("""COMPUTED_VALUE"""),"Cục Cảnh sát QLHC về TTXH")</f>
        <v>Cục Cảnh sát QLHC về TTXH</v>
      </c>
      <c r="P519" s="7" t="str">
        <f>IFERROR(__xludf.DUMMYFUNCTION("""COMPUTED_VALUE"""),"Cao đẳng")</f>
        <v>Cao đẳng</v>
      </c>
      <c r="Q519" s="7" t="str">
        <f>IFERROR(__xludf.DUMMYFUNCTION("""COMPUTED_VALUE"""),"điện công nghiệp")</f>
        <v>điện công nghiệp</v>
      </c>
      <c r="R519" s="17">
        <f>IFERROR(__xludf.DUMMYFUNCTION("""COMPUTED_VALUE"""),41754.0)</f>
        <v>41754</v>
      </c>
      <c r="S519" s="17">
        <f>IFERROR(__xludf.DUMMYFUNCTION("""COMPUTED_VALUE"""),41754.0)</f>
        <v>41754</v>
      </c>
      <c r="T519" s="7" t="str">
        <f>IFERROR(__xludf.DUMMYFUNCTION("""COMPUTED_VALUE"""),"Chính thức")</f>
        <v>Chính thức</v>
      </c>
      <c r="U519" s="7"/>
      <c r="V519" s="7"/>
      <c r="W519" s="7" t="str">
        <f>IFERROR(__xludf.DUMMYFUNCTION("""COMPUTED_VALUE"""),"11 năm 8 tháng")</f>
        <v>11 năm 8 tháng</v>
      </c>
      <c r="X519" s="7"/>
      <c r="Y519" s="7"/>
      <c r="Z519" s="7"/>
    </row>
    <row r="520">
      <c r="A520" s="21" t="str">
        <f>IFERROR(__xludf.DUMMYFUNCTION("""COMPUTED_VALUE"""),"3")</f>
        <v>3</v>
      </c>
      <c r="B520" s="7" t="str">
        <f>IFERROR(__xludf.DUMMYFUNCTION("""COMPUTED_VALUE"""),"PXSX1")</f>
        <v>PXSX1</v>
      </c>
      <c r="C520" s="7" t="str">
        <f>IFERROR(__xludf.DUMMYFUNCTION("""COMPUTED_VALUE"""),"Phòng Kỹ thuật")</f>
        <v>Phòng Kỹ thuật</v>
      </c>
      <c r="D520" s="7" t="str">
        <f>IFERROR(__xludf.DUMMYFUNCTION("""COMPUTED_VALUE"""),"Cơ điện Ca B")</f>
        <v>Cơ điện Ca B</v>
      </c>
      <c r="E520" s="7" t="str">
        <f>IFERROR(__xludf.DUMMYFUNCTION("""COMPUTED_VALUE"""),"NT cơ điện đi ca")</f>
        <v>NT cơ điện đi ca</v>
      </c>
      <c r="F520" s="7" t="str">
        <f>IFERROR(__xludf.DUMMYFUNCTION("""COMPUTED_VALUE"""),"NV0866")</f>
        <v>NV0866</v>
      </c>
      <c r="G520" s="7">
        <f>IFERROR(__xludf.DUMMYFUNCTION("""COMPUTED_VALUE"""),280.0)</f>
        <v>280</v>
      </c>
      <c r="H520" s="7" t="str">
        <f>IFERROR(__xludf.DUMMYFUNCTION("""COMPUTED_VALUE"""),"Lê Công Dương")</f>
        <v>Lê Công Dương</v>
      </c>
      <c r="I520" s="7" t="str">
        <f>IFERROR(__xludf.DUMMYFUNCTION("""COMPUTED_VALUE"""),"Nam")</f>
        <v>Nam</v>
      </c>
      <c r="J520" s="17">
        <f>IFERROR(__xludf.DUMMYFUNCTION("""COMPUTED_VALUE"""),33803.0)</f>
        <v>33803</v>
      </c>
      <c r="K520" s="7" t="str">
        <f>IFERROR(__xludf.DUMMYFUNCTION("""COMPUTED_VALUE"""),"Xã Quảng Ninh - Tỉnh Thanh Hóa")</f>
        <v>Xã Quảng Ninh - Tỉnh Thanh Hóa</v>
      </c>
      <c r="L520" s="7" t="str">
        <f>IFERROR(__xludf.DUMMYFUNCTION("""COMPUTED_VALUE"""),"0373071831")</f>
        <v>0373071831</v>
      </c>
      <c r="M520" s="7" t="str">
        <f>IFERROR(__xludf.DUMMYFUNCTION("""COMPUTED_VALUE"""),"038092018206")</f>
        <v>038092018206</v>
      </c>
      <c r="N520" s="17">
        <f>IFERROR(__xludf.DUMMYFUNCTION("""COMPUTED_VALUE"""),44419.0)</f>
        <v>44419</v>
      </c>
      <c r="O520" s="7" t="str">
        <f>IFERROR(__xludf.DUMMYFUNCTION("""COMPUTED_VALUE"""),"Cục Cảnh sát QLHC về TTXH")</f>
        <v>Cục Cảnh sát QLHC về TTXH</v>
      </c>
      <c r="P520" s="7" t="str">
        <f>IFERROR(__xludf.DUMMYFUNCTION("""COMPUTED_VALUE"""),"Cao đẳng")</f>
        <v>Cao đẳng</v>
      </c>
      <c r="Q520" s="7" t="str">
        <f>IFERROR(__xludf.DUMMYFUNCTION("""COMPUTED_VALUE"""),"Kỹ thuật máy lạnh - điều hòa không khí")</f>
        <v>Kỹ thuật máy lạnh - điều hòa không khí</v>
      </c>
      <c r="R520" s="17">
        <f>IFERROR(__xludf.DUMMYFUNCTION("""COMPUTED_VALUE"""),42822.0)</f>
        <v>42822</v>
      </c>
      <c r="S520" s="17">
        <f>IFERROR(__xludf.DUMMYFUNCTION("""COMPUTED_VALUE"""),42822.0)</f>
        <v>42822</v>
      </c>
      <c r="T520" s="7" t="str">
        <f>IFERROR(__xludf.DUMMYFUNCTION("""COMPUTED_VALUE"""),"Chính thức")</f>
        <v>Chính thức</v>
      </c>
      <c r="U520" s="7"/>
      <c r="V520" s="7"/>
      <c r="W520" s="7" t="str">
        <f>IFERROR(__xludf.DUMMYFUNCTION("""COMPUTED_VALUE"""),"8 năm 9 tháng")</f>
        <v>8 năm 9 tháng</v>
      </c>
      <c r="X520" s="7"/>
      <c r="Y520" s="7"/>
      <c r="Z520" s="7"/>
    </row>
    <row r="521">
      <c r="A521" s="21" t="str">
        <f>IFERROR(__xludf.DUMMYFUNCTION("""COMPUTED_VALUE"""),"4")</f>
        <v>4</v>
      </c>
      <c r="B521" s="7" t="str">
        <f>IFERROR(__xludf.DUMMYFUNCTION("""COMPUTED_VALUE"""),"PXSX1")</f>
        <v>PXSX1</v>
      </c>
      <c r="C521" s="7" t="str">
        <f>IFERROR(__xludf.DUMMYFUNCTION("""COMPUTED_VALUE"""),"Phòng Kỹ thuật")</f>
        <v>Phòng Kỹ thuật</v>
      </c>
      <c r="D521" s="7" t="str">
        <f>IFERROR(__xludf.DUMMYFUNCTION("""COMPUTED_VALUE"""),"Cơ điện Ca B")</f>
        <v>Cơ điện Ca B</v>
      </c>
      <c r="E521" s="7" t="str">
        <f>IFERROR(__xludf.DUMMYFUNCTION("""COMPUTED_VALUE"""),"Cơ điện đi ca")</f>
        <v>Cơ điện đi ca</v>
      </c>
      <c r="F521" s="7" t="str">
        <f>IFERROR(__xludf.DUMMYFUNCTION("""COMPUTED_VALUE"""),"NV4537")</f>
        <v>NV4537</v>
      </c>
      <c r="G521" s="7">
        <f>IFERROR(__xludf.DUMMYFUNCTION("""COMPUTED_VALUE"""),299.0)</f>
        <v>299</v>
      </c>
      <c r="H521" s="7" t="str">
        <f>IFERROR(__xludf.DUMMYFUNCTION("""COMPUTED_VALUE"""),"Phạm Hùng Tráng")</f>
        <v>Phạm Hùng Tráng</v>
      </c>
      <c r="I521" s="7" t="str">
        <f>IFERROR(__xludf.DUMMYFUNCTION("""COMPUTED_VALUE"""),"Nam")</f>
        <v>Nam</v>
      </c>
      <c r="J521" s="17">
        <f>IFERROR(__xludf.DUMMYFUNCTION("""COMPUTED_VALUE"""),34026.0)</f>
        <v>34026</v>
      </c>
      <c r="K521" s="7" t="str">
        <f>IFERROR(__xludf.DUMMYFUNCTION("""COMPUTED_VALUE"""),"Phường Sầm Sơn - Tỉnh Thanh Hóa")</f>
        <v>Phường Sầm Sơn - Tỉnh Thanh Hóa</v>
      </c>
      <c r="L521" s="7" t="str">
        <f>IFERROR(__xludf.DUMMYFUNCTION("""COMPUTED_VALUE"""),"0967449105")</f>
        <v>0967449105</v>
      </c>
      <c r="M521" s="7" t="str">
        <f>IFERROR(__xludf.DUMMYFUNCTION("""COMPUTED_VALUE"""),"394702995")</f>
        <v>394702995</v>
      </c>
      <c r="N521" s="17">
        <f>IFERROR(__xludf.DUMMYFUNCTION("""COMPUTED_VALUE"""),44436.0)</f>
        <v>44436</v>
      </c>
      <c r="O521" s="7" t="str">
        <f>IFERROR(__xludf.DUMMYFUNCTION("""COMPUTED_VALUE"""),"Cục Cảnh sát QLHC về TTXH")</f>
        <v>Cục Cảnh sát QLHC về TTXH</v>
      </c>
      <c r="P521" s="7" t="str">
        <f>IFERROR(__xludf.DUMMYFUNCTION("""COMPUTED_VALUE"""),"Cao đẳng")</f>
        <v>Cao đẳng</v>
      </c>
      <c r="Q521" s="7" t="str">
        <f>IFERROR(__xludf.DUMMYFUNCTION("""COMPUTED_VALUE"""),"Công nghệ kỹ thuật điiện")</f>
        <v>Công nghệ kỹ thuật điiện</v>
      </c>
      <c r="R521" s="17">
        <f>IFERROR(__xludf.DUMMYFUNCTION("""COMPUTED_VALUE"""),44959.0)</f>
        <v>44959</v>
      </c>
      <c r="S521" s="17">
        <f>IFERROR(__xludf.DUMMYFUNCTION("""COMPUTED_VALUE"""),45292.0)</f>
        <v>45292</v>
      </c>
      <c r="T521" s="7" t="str">
        <f>IFERROR(__xludf.DUMMYFUNCTION("""COMPUTED_VALUE"""),"Chính thức")</f>
        <v>Chính thức</v>
      </c>
      <c r="U521" s="7"/>
      <c r="V521" s="7" t="str">
        <f>IFERROR(__xludf.DUMMYFUNCTION("""COMPUTED_VALUE"""),"Nghỉ phép")</f>
        <v>Nghỉ phép</v>
      </c>
      <c r="W521" s="7" t="str">
        <f>IFERROR(__xludf.DUMMYFUNCTION("""COMPUTED_VALUE"""),"2 năm 10 tháng")</f>
        <v>2 năm 10 tháng</v>
      </c>
      <c r="X521" s="7"/>
      <c r="Y521" s="7"/>
      <c r="Z521" s="7"/>
    </row>
    <row r="522">
      <c r="A522" s="21" t="str">
        <f>IFERROR(__xludf.DUMMYFUNCTION("""COMPUTED_VALUE"""),"1")</f>
        <v>1</v>
      </c>
      <c r="B522" s="7" t="str">
        <f>IFERROR(__xludf.DUMMYFUNCTION("""COMPUTED_VALUE"""),"PXSX1")</f>
        <v>PXSX1</v>
      </c>
      <c r="C522" s="7" t="str">
        <f>IFERROR(__xludf.DUMMYFUNCTION("""COMPUTED_VALUE"""),"Phòng Kỹ thuật")</f>
        <v>Phòng Kỹ thuật</v>
      </c>
      <c r="D522" s="7" t="str">
        <f>IFERROR(__xludf.DUMMYFUNCTION("""COMPUTED_VALUE"""),"Cơ điện Ca C")</f>
        <v>Cơ điện Ca C</v>
      </c>
      <c r="E522" s="7" t="str">
        <f>IFERROR(__xludf.DUMMYFUNCTION("""COMPUTED_VALUE"""),"Nhóm trưởng")</f>
        <v>Nhóm trưởng</v>
      </c>
      <c r="F522" s="7" t="str">
        <f>IFERROR(__xludf.DUMMYFUNCTION("""COMPUTED_VALUE"""),"NV0119")</f>
        <v>NV0119</v>
      </c>
      <c r="G522" s="7">
        <f>IFERROR(__xludf.DUMMYFUNCTION("""COMPUTED_VALUE"""),688.0)</f>
        <v>688</v>
      </c>
      <c r="H522" s="7" t="str">
        <f>IFERROR(__xludf.DUMMYFUNCTION("""COMPUTED_VALUE"""),"Nguyễn Văn Học")</f>
        <v>Nguyễn Văn Học</v>
      </c>
      <c r="I522" s="7" t="str">
        <f>IFERROR(__xludf.DUMMYFUNCTION("""COMPUTED_VALUE"""),"Nam")</f>
        <v>Nam</v>
      </c>
      <c r="J522" s="17">
        <f>IFERROR(__xludf.DUMMYFUNCTION("""COMPUTED_VALUE"""),30179.0)</f>
        <v>30179</v>
      </c>
      <c r="K522" s="7" t="str">
        <f>IFERROR(__xludf.DUMMYFUNCTION("""COMPUTED_VALUE"""),"Phường Hạc Thành - Tỉnh Thanh Hóa")</f>
        <v>Phường Hạc Thành - Tỉnh Thanh Hóa</v>
      </c>
      <c r="L522" s="7" t="str">
        <f>IFERROR(__xludf.DUMMYFUNCTION("""COMPUTED_VALUE"""),"0825736685")</f>
        <v>0825736685</v>
      </c>
      <c r="M522" s="7" t="str">
        <f>IFERROR(__xludf.DUMMYFUNCTION("""COMPUTED_VALUE"""),"038082016703")</f>
        <v>038082016703</v>
      </c>
      <c r="N522" s="17">
        <f>IFERROR(__xludf.DUMMYFUNCTION("""COMPUTED_VALUE"""),43705.0)</f>
        <v>43705</v>
      </c>
      <c r="O522" s="7" t="str">
        <f>IFERROR(__xludf.DUMMYFUNCTION("""COMPUTED_VALUE"""),"Cục Cảnh sát QLHC về TTXH")</f>
        <v>Cục Cảnh sát QLHC về TTXH</v>
      </c>
      <c r="P522" s="7" t="str">
        <f>IFERROR(__xludf.DUMMYFUNCTION("""COMPUTED_VALUE"""),"Trung cấp")</f>
        <v>Trung cấp</v>
      </c>
      <c r="Q522" s="7" t="str">
        <f>IFERROR(__xludf.DUMMYFUNCTION("""COMPUTED_VALUE"""),"Điện xí nghiệp")</f>
        <v>Điện xí nghiệp</v>
      </c>
      <c r="R522" s="17">
        <f>IFERROR(__xludf.DUMMYFUNCTION("""COMPUTED_VALUE"""),42517.0)</f>
        <v>42517</v>
      </c>
      <c r="S522" s="17">
        <f>IFERROR(__xludf.DUMMYFUNCTION("""COMPUTED_VALUE"""),42517.0)</f>
        <v>42517</v>
      </c>
      <c r="T522" s="7" t="str">
        <f>IFERROR(__xludf.DUMMYFUNCTION("""COMPUTED_VALUE"""),"Chính thức")</f>
        <v>Chính thức</v>
      </c>
      <c r="U522" s="7"/>
      <c r="V522" s="7"/>
      <c r="W522" s="7" t="str">
        <f>IFERROR(__xludf.DUMMYFUNCTION("""COMPUTED_VALUE"""),"9 năm 7 tháng")</f>
        <v>9 năm 7 tháng</v>
      </c>
      <c r="X522" s="7"/>
      <c r="Y522" s="7"/>
      <c r="Z522" s="7"/>
    </row>
    <row r="523">
      <c r="A523" s="21" t="str">
        <f>IFERROR(__xludf.DUMMYFUNCTION("""COMPUTED_VALUE"""),"2")</f>
        <v>2</v>
      </c>
      <c r="B523" s="7" t="str">
        <f>IFERROR(__xludf.DUMMYFUNCTION("""COMPUTED_VALUE"""),"PXSX1")</f>
        <v>PXSX1</v>
      </c>
      <c r="C523" s="7" t="str">
        <f>IFERROR(__xludf.DUMMYFUNCTION("""COMPUTED_VALUE"""),"Phòng Kỹ thuật")</f>
        <v>Phòng Kỹ thuật</v>
      </c>
      <c r="D523" s="7" t="str">
        <f>IFERROR(__xludf.DUMMYFUNCTION("""COMPUTED_VALUE"""),"Cơ điện Ca C")</f>
        <v>Cơ điện Ca C</v>
      </c>
      <c r="E523" s="7" t="str">
        <f>IFERROR(__xludf.DUMMYFUNCTION("""COMPUTED_VALUE"""),"Cơ điện đi ca")</f>
        <v>Cơ điện đi ca</v>
      </c>
      <c r="F523" s="7" t="str">
        <f>IFERROR(__xludf.DUMMYFUNCTION("""COMPUTED_VALUE"""),"NV4423")</f>
        <v>NV4423</v>
      </c>
      <c r="G523" s="7">
        <f>IFERROR(__xludf.DUMMYFUNCTION("""COMPUTED_VALUE"""),252.0)</f>
        <v>252</v>
      </c>
      <c r="H523" s="7" t="str">
        <f>IFERROR(__xludf.DUMMYFUNCTION("""COMPUTED_VALUE"""),"Bùi Văn Tuấn")</f>
        <v>Bùi Văn Tuấn</v>
      </c>
      <c r="I523" s="7" t="str">
        <f>IFERROR(__xludf.DUMMYFUNCTION("""COMPUTED_VALUE"""),"Nam")</f>
        <v>Nam</v>
      </c>
      <c r="J523" s="17">
        <f>IFERROR(__xludf.DUMMYFUNCTION("""COMPUTED_VALUE"""),32606.0)</f>
        <v>32606</v>
      </c>
      <c r="K523" s="7" t="str">
        <f>IFERROR(__xludf.DUMMYFUNCTION("""COMPUTED_VALUE"""),"Xã Lưu Vệ - Tỉnh Thanh Hóa ")</f>
        <v>Xã Lưu Vệ - Tỉnh Thanh Hóa </v>
      </c>
      <c r="L523" s="7" t="str">
        <f>IFERROR(__xludf.DUMMYFUNCTION("""COMPUTED_VALUE"""),"0978453186")</f>
        <v>0978453186</v>
      </c>
      <c r="M523" s="7" t="str">
        <f>IFERROR(__xludf.DUMMYFUNCTION("""COMPUTED_VALUE"""),"038089025961")</f>
        <v>038089025961</v>
      </c>
      <c r="N523" s="17">
        <f>IFERROR(__xludf.DUMMYFUNCTION("""COMPUTED_VALUE"""),44791.0)</f>
        <v>44791</v>
      </c>
      <c r="O523" s="7" t="str">
        <f>IFERROR(__xludf.DUMMYFUNCTION("""COMPUTED_VALUE"""),"Cục Cảnh sát QLHC về TTXH")</f>
        <v>Cục Cảnh sát QLHC về TTXH</v>
      </c>
      <c r="P523" s="7" t="str">
        <f>IFERROR(__xludf.DUMMYFUNCTION("""COMPUTED_VALUE"""),"Cao đẳng")</f>
        <v>Cao đẳng</v>
      </c>
      <c r="Q523" s="7" t="str">
        <f>IFERROR(__xludf.DUMMYFUNCTION("""COMPUTED_VALUE"""),"Nghề hàn")</f>
        <v>Nghề hàn</v>
      </c>
      <c r="R523" s="17">
        <f>IFERROR(__xludf.DUMMYFUNCTION("""COMPUTED_VALUE"""),44776.0)</f>
        <v>44776</v>
      </c>
      <c r="S523" s="17">
        <f>IFERROR(__xludf.DUMMYFUNCTION("""COMPUTED_VALUE"""),44986.0)</f>
        <v>44986</v>
      </c>
      <c r="T523" s="7" t="str">
        <f>IFERROR(__xludf.DUMMYFUNCTION("""COMPUTED_VALUE"""),"Chính thức")</f>
        <v>Chính thức</v>
      </c>
      <c r="U523" s="7"/>
      <c r="V523" s="7"/>
      <c r="W523" s="7" t="str">
        <f>IFERROR(__xludf.DUMMYFUNCTION("""COMPUTED_VALUE"""),"3 năm 4 tháng")</f>
        <v>3 năm 4 tháng</v>
      </c>
      <c r="X523" s="7"/>
      <c r="Y523" s="7"/>
      <c r="Z523" s="7"/>
    </row>
    <row r="524">
      <c r="A524" s="21" t="str">
        <f>IFERROR(__xludf.DUMMYFUNCTION("""COMPUTED_VALUE"""),"3")</f>
        <v>3</v>
      </c>
      <c r="B524" s="7" t="str">
        <f>IFERROR(__xludf.DUMMYFUNCTION("""COMPUTED_VALUE"""),"PXSX1")</f>
        <v>PXSX1</v>
      </c>
      <c r="C524" s="7" t="str">
        <f>IFERROR(__xludf.DUMMYFUNCTION("""COMPUTED_VALUE"""),"Phòng Kỹ thuật")</f>
        <v>Phòng Kỹ thuật</v>
      </c>
      <c r="D524" s="7" t="str">
        <f>IFERROR(__xludf.DUMMYFUNCTION("""COMPUTED_VALUE"""),"Cơ điện Ca C")</f>
        <v>Cơ điện Ca C</v>
      </c>
      <c r="E524" s="7" t="str">
        <f>IFERROR(__xludf.DUMMYFUNCTION("""COMPUTED_VALUE"""),"Kỹ thuật đi ca")</f>
        <v>Kỹ thuật đi ca</v>
      </c>
      <c r="F524" s="7" t="str">
        <f>IFERROR(__xludf.DUMMYFUNCTION("""COMPUTED_VALUE"""),"NV0986")</f>
        <v>NV0986</v>
      </c>
      <c r="G524" s="7">
        <f>IFERROR(__xludf.DUMMYFUNCTION("""COMPUTED_VALUE"""),161.0)</f>
        <v>161</v>
      </c>
      <c r="H524" s="7" t="str">
        <f>IFERROR(__xludf.DUMMYFUNCTION("""COMPUTED_VALUE"""),"Nguyễn Bá Quân")</f>
        <v>Nguyễn Bá Quân</v>
      </c>
      <c r="I524" s="7" t="str">
        <f>IFERROR(__xludf.DUMMYFUNCTION("""COMPUTED_VALUE"""),"Nam")</f>
        <v>Nam</v>
      </c>
      <c r="J524" s="17">
        <f>IFERROR(__xludf.DUMMYFUNCTION("""COMPUTED_VALUE"""),33966.0)</f>
        <v>33966</v>
      </c>
      <c r="K524" s="7" t="str">
        <f>IFERROR(__xludf.DUMMYFUNCTION("""COMPUTED_VALUE"""),"SN 04/68 Ái Sơn - Phường Hạc Thành - Tỉnh Thanh Hóa")</f>
        <v>SN 04/68 Ái Sơn - Phường Hạc Thành - Tỉnh Thanh Hóa</v>
      </c>
      <c r="L524" s="7" t="str">
        <f>IFERROR(__xludf.DUMMYFUNCTION("""COMPUTED_VALUE"""),"0333022566")</f>
        <v>0333022566</v>
      </c>
      <c r="M524" s="7" t="str">
        <f>IFERROR(__xludf.DUMMYFUNCTION("""COMPUTED_VALUE"""),"038092006705")</f>
        <v>038092006705</v>
      </c>
      <c r="N524" s="17">
        <f>IFERROR(__xludf.DUMMYFUNCTION("""COMPUTED_VALUE"""),43705.0)</f>
        <v>43705</v>
      </c>
      <c r="O524" s="7" t="str">
        <f>IFERROR(__xludf.DUMMYFUNCTION("""COMPUTED_VALUE"""),"Cục Cảnh sát QLHC về TTXH")</f>
        <v>Cục Cảnh sát QLHC về TTXH</v>
      </c>
      <c r="P524" s="7" t="str">
        <f>IFERROR(__xludf.DUMMYFUNCTION("""COMPUTED_VALUE"""),"Đại học")</f>
        <v>Đại học</v>
      </c>
      <c r="Q524" s="7" t="str">
        <f>IFERROR(__xludf.DUMMYFUNCTION("""COMPUTED_VALUE"""),"Công nghệ kỹ thuật điện -  điện tử")</f>
        <v>Công nghệ kỹ thuật điện -  điện tử</v>
      </c>
      <c r="R524" s="17">
        <f>IFERROR(__xludf.DUMMYFUNCTION("""COMPUTED_VALUE"""),42892.0)</f>
        <v>42892</v>
      </c>
      <c r="S524" s="17">
        <f>IFERROR(__xludf.DUMMYFUNCTION("""COMPUTED_VALUE"""),42892.0)</f>
        <v>42892</v>
      </c>
      <c r="T524" s="7" t="str">
        <f>IFERROR(__xludf.DUMMYFUNCTION("""COMPUTED_VALUE"""),"Chính thức")</f>
        <v>Chính thức</v>
      </c>
      <c r="U524" s="7"/>
      <c r="V524" s="7"/>
      <c r="W524" s="7" t="str">
        <f>IFERROR(__xludf.DUMMYFUNCTION("""COMPUTED_VALUE"""),"8 năm 6 tháng")</f>
        <v>8 năm 6 tháng</v>
      </c>
      <c r="X524" s="7"/>
      <c r="Y524" s="7"/>
      <c r="Z524" s="7"/>
    </row>
    <row r="525">
      <c r="A525" s="21" t="str">
        <f>IFERROR(__xludf.DUMMYFUNCTION("""COMPUTED_VALUE"""),"4")</f>
        <v>4</v>
      </c>
      <c r="B525" s="7" t="str">
        <f>IFERROR(__xludf.DUMMYFUNCTION("""COMPUTED_VALUE"""),"PXSX1")</f>
        <v>PXSX1</v>
      </c>
      <c r="C525" s="7" t="str">
        <f>IFERROR(__xludf.DUMMYFUNCTION("""COMPUTED_VALUE"""),"Phòng Kỹ thuật")</f>
        <v>Phòng Kỹ thuật</v>
      </c>
      <c r="D525" s="7" t="str">
        <f>IFERROR(__xludf.DUMMYFUNCTION("""COMPUTED_VALUE"""),"Cơ điện Ca C")</f>
        <v>Cơ điện Ca C</v>
      </c>
      <c r="E525" s="7" t="str">
        <f>IFERROR(__xludf.DUMMYFUNCTION("""COMPUTED_VALUE"""),"Cơ điện")</f>
        <v>Cơ điện</v>
      </c>
      <c r="F525" s="7" t="str">
        <f>IFERROR(__xludf.DUMMYFUNCTION("""COMPUTED_VALUE"""),"NV5118")</f>
        <v>NV5118</v>
      </c>
      <c r="G525" s="7">
        <f>IFERROR(__xludf.DUMMYFUNCTION("""COMPUTED_VALUE"""),287.0)</f>
        <v>287</v>
      </c>
      <c r="H525" s="7" t="str">
        <f>IFERROR(__xludf.DUMMYFUNCTION("""COMPUTED_VALUE"""),"La Văn Long")</f>
        <v>La Văn Long</v>
      </c>
      <c r="I525" s="7" t="str">
        <f>IFERROR(__xludf.DUMMYFUNCTION("""COMPUTED_VALUE"""),"Nam")</f>
        <v>Nam</v>
      </c>
      <c r="J525" s="17">
        <f>IFERROR(__xludf.DUMMYFUNCTION("""COMPUTED_VALUE"""),34583.0)</f>
        <v>34583</v>
      </c>
      <c r="K525" s="7" t="str">
        <f>IFERROR(__xludf.DUMMYFUNCTION("""COMPUTED_VALUE"""),"Xã Triệu Lộc - Tỉnh Thanh Hóa")</f>
        <v>Xã Triệu Lộc - Tỉnh Thanh Hóa</v>
      </c>
      <c r="L525" s="7" t="str">
        <f>IFERROR(__xludf.DUMMYFUNCTION("""COMPUTED_VALUE"""),"0329730677")</f>
        <v>0329730677</v>
      </c>
      <c r="M525" s="7" t="str">
        <f>IFERROR(__xludf.DUMMYFUNCTION("""COMPUTED_VALUE"""),"038094043176")</f>
        <v>038094043176</v>
      </c>
      <c r="N525" s="17">
        <f>IFERROR(__xludf.DUMMYFUNCTION("""COMPUTED_VALUE"""),44427.0)</f>
        <v>44427</v>
      </c>
      <c r="O525" s="7" t="str">
        <f>IFERROR(__xludf.DUMMYFUNCTION("""COMPUTED_VALUE"""),"Cục Cảnh sát QLHC về TTXH")</f>
        <v>Cục Cảnh sát QLHC về TTXH</v>
      </c>
      <c r="P525" s="7" t="str">
        <f>IFERROR(__xludf.DUMMYFUNCTION("""COMPUTED_VALUE"""),"Cao đẳng nghề")</f>
        <v>Cao đẳng nghề</v>
      </c>
      <c r="Q525" s="7" t="str">
        <f>IFERROR(__xludf.DUMMYFUNCTION("""COMPUTED_VALUE"""),"Điện công nghiệp")</f>
        <v>Điện công nghiệp</v>
      </c>
      <c r="R525" s="17">
        <f>IFERROR(__xludf.DUMMYFUNCTION("""COMPUTED_VALUE"""),45387.0)</f>
        <v>45387</v>
      </c>
      <c r="S525" s="17">
        <f>IFERROR(__xludf.DUMMYFUNCTION("""COMPUTED_VALUE"""),45474.0)</f>
        <v>45474</v>
      </c>
      <c r="T525" s="7" t="str">
        <f>IFERROR(__xludf.DUMMYFUNCTION("""COMPUTED_VALUE"""),"Chính thức")</f>
        <v>Chính thức</v>
      </c>
      <c r="U525" s="7"/>
      <c r="V525" s="7"/>
      <c r="W525" s="7" t="str">
        <f>IFERROR(__xludf.DUMMYFUNCTION("""COMPUTED_VALUE"""),"1 năm 8 tháng")</f>
        <v>1 năm 8 tháng</v>
      </c>
      <c r="X525" s="7"/>
      <c r="Y525" s="7"/>
      <c r="Z525" s="7"/>
    </row>
    <row r="526">
      <c r="A526" s="21" t="str">
        <f>IFERROR(__xludf.DUMMYFUNCTION("""COMPUTED_VALUE"""),"1")</f>
        <v>1</v>
      </c>
      <c r="B526" s="7" t="str">
        <f>IFERROR(__xludf.DUMMYFUNCTION("""COMPUTED_VALUE"""),"PXSX1")</f>
        <v>PXSX1</v>
      </c>
      <c r="C526" s="7" t="str">
        <f>IFERROR(__xludf.DUMMYFUNCTION("""COMPUTED_VALUE"""),"Phòng Kỹ thuật")</f>
        <v>Phòng Kỹ thuật</v>
      </c>
      <c r="D526" s="7" t="str">
        <f>IFERROR(__xludf.DUMMYFUNCTION("""COMPUTED_VALUE"""),"Gia công - Quấn động cơ")</f>
        <v>Gia công - Quấn động cơ</v>
      </c>
      <c r="E526" s="7" t="str">
        <f>IFERROR(__xludf.DUMMYFUNCTION("""COMPUTED_VALUE"""),"Tổ phó Gia công")</f>
        <v>Tổ phó Gia công</v>
      </c>
      <c r="F526" s="7" t="str">
        <f>IFERROR(__xludf.DUMMYFUNCTION("""COMPUTED_VALUE"""),"NV0471")</f>
        <v>NV0471</v>
      </c>
      <c r="G526" s="7">
        <f>IFERROR(__xludf.DUMMYFUNCTION("""COMPUTED_VALUE"""),250.0)</f>
        <v>250</v>
      </c>
      <c r="H526" s="7" t="str">
        <f>IFERROR(__xludf.DUMMYFUNCTION("""COMPUTED_VALUE"""),"Lê Bật Kiên")</f>
        <v>Lê Bật Kiên</v>
      </c>
      <c r="I526" s="7" t="str">
        <f>IFERROR(__xludf.DUMMYFUNCTION("""COMPUTED_VALUE"""),"Nam")</f>
        <v>Nam</v>
      </c>
      <c r="J526" s="17">
        <f>IFERROR(__xludf.DUMMYFUNCTION("""COMPUTED_VALUE"""),26803.0)</f>
        <v>26803</v>
      </c>
      <c r="K526" s="7" t="str">
        <f>IFERROR(__xludf.DUMMYFUNCTION("""COMPUTED_VALUE"""),"Tổ Dân Phố 10 - Xã Tân Ninh - Tỉnh Thanh Hóa")</f>
        <v>Tổ Dân Phố 10 - Xã Tân Ninh - Tỉnh Thanh Hóa</v>
      </c>
      <c r="L526" s="7" t="str">
        <f>IFERROR(__xludf.DUMMYFUNCTION("""COMPUTED_VALUE"""),"0373888579")</f>
        <v>0373888579</v>
      </c>
      <c r="M526" s="7" t="str">
        <f>IFERROR(__xludf.DUMMYFUNCTION("""COMPUTED_VALUE"""),"038073001264")</f>
        <v>038073001264</v>
      </c>
      <c r="N526" s="17">
        <f>IFERROR(__xludf.DUMMYFUNCTION("""COMPUTED_VALUE"""),42585.0)</f>
        <v>42585</v>
      </c>
      <c r="O526" s="7" t="str">
        <f>IFERROR(__xludf.DUMMYFUNCTION("""COMPUTED_VALUE"""),"Cục Cảnh sát QLHC về TTXH")</f>
        <v>Cục Cảnh sát QLHC về TTXH</v>
      </c>
      <c r="P526" s="7" t="str">
        <f>IFERROR(__xludf.DUMMYFUNCTION("""COMPUTED_VALUE"""),"Công nhân kỹ thuật")</f>
        <v>Công nhân kỹ thuật</v>
      </c>
      <c r="Q526" s="7" t="str">
        <f>IFERROR(__xludf.DUMMYFUNCTION("""COMPUTED_VALUE"""),"Nghề tiện")</f>
        <v>Nghề tiện</v>
      </c>
      <c r="R526" s="17">
        <f>IFERROR(__xludf.DUMMYFUNCTION("""COMPUTED_VALUE"""),42661.0)</f>
        <v>42661</v>
      </c>
      <c r="S526" s="17">
        <f>IFERROR(__xludf.DUMMYFUNCTION("""COMPUTED_VALUE"""),42661.0)</f>
        <v>42661</v>
      </c>
      <c r="T526" s="7" t="str">
        <f>IFERROR(__xludf.DUMMYFUNCTION("""COMPUTED_VALUE"""),"Chính thức")</f>
        <v>Chính thức</v>
      </c>
      <c r="U526" s="7"/>
      <c r="V526" s="7"/>
      <c r="W526" s="7" t="str">
        <f>IFERROR(__xludf.DUMMYFUNCTION("""COMPUTED_VALUE"""),"9 năm 2 tháng")</f>
        <v>9 năm 2 tháng</v>
      </c>
      <c r="X526" s="7"/>
      <c r="Y526" s="7"/>
      <c r="Z526" s="7"/>
    </row>
    <row r="527">
      <c r="A527" s="21" t="str">
        <f>IFERROR(__xludf.DUMMYFUNCTION("""COMPUTED_VALUE"""),"2")</f>
        <v>2</v>
      </c>
      <c r="B527" s="7" t="str">
        <f>IFERROR(__xludf.DUMMYFUNCTION("""COMPUTED_VALUE"""),"PXSX1")</f>
        <v>PXSX1</v>
      </c>
      <c r="C527" s="7" t="str">
        <f>IFERROR(__xludf.DUMMYFUNCTION("""COMPUTED_VALUE"""),"Phòng Kỹ thuật")</f>
        <v>Phòng Kỹ thuật</v>
      </c>
      <c r="D527" s="7" t="str">
        <f>IFERROR(__xludf.DUMMYFUNCTION("""COMPUTED_VALUE"""),"Gia công - Quấn động cơ")</f>
        <v>Gia công - Quấn động cơ</v>
      </c>
      <c r="E527" s="7" t="str">
        <f>IFERROR(__xludf.DUMMYFUNCTION("""COMPUTED_VALUE"""),"CN gia công mức 1")</f>
        <v>CN gia công mức 1</v>
      </c>
      <c r="F527" s="7" t="str">
        <f>IFERROR(__xludf.DUMMYFUNCTION("""COMPUTED_VALUE"""),"NV4008")</f>
        <v>NV4008</v>
      </c>
      <c r="G527" s="7">
        <f>IFERROR(__xludf.DUMMYFUNCTION("""COMPUTED_VALUE"""),145.0)</f>
        <v>145</v>
      </c>
      <c r="H527" s="7" t="str">
        <f>IFERROR(__xludf.DUMMYFUNCTION("""COMPUTED_VALUE"""),"Cao Viết Kiên")</f>
        <v>Cao Viết Kiên</v>
      </c>
      <c r="I527" s="7" t="str">
        <f>IFERROR(__xludf.DUMMYFUNCTION("""COMPUTED_VALUE"""),"Nam")</f>
        <v>Nam</v>
      </c>
      <c r="J527" s="17">
        <f>IFERROR(__xludf.DUMMYFUNCTION("""COMPUTED_VALUE"""),28402.0)</f>
        <v>28402</v>
      </c>
      <c r="K527" s="7" t="str">
        <f>IFERROR(__xludf.DUMMYFUNCTION("""COMPUTED_VALUE"""),"Phố 8 - Phường Quảng Phú - Tỉnh Thanh Hóa")</f>
        <v>Phố 8 - Phường Quảng Phú - Tỉnh Thanh Hóa</v>
      </c>
      <c r="L527" s="7" t="str">
        <f>IFERROR(__xludf.DUMMYFUNCTION("""COMPUTED_VALUE"""),"0868086091")</f>
        <v>0868086091</v>
      </c>
      <c r="M527" s="7" t="str">
        <f>IFERROR(__xludf.DUMMYFUNCTION("""COMPUTED_VALUE"""),"038077016220")</f>
        <v>038077016220</v>
      </c>
      <c r="N527" s="17">
        <f>IFERROR(__xludf.DUMMYFUNCTION("""COMPUTED_VALUE"""),44636.0)</f>
        <v>44636</v>
      </c>
      <c r="O527" s="7" t="str">
        <f>IFERROR(__xludf.DUMMYFUNCTION("""COMPUTED_VALUE"""),"Cục Cảnh sát QLHC về TTXH")</f>
        <v>Cục Cảnh sát QLHC về TTXH</v>
      </c>
      <c r="P527" s="7" t="str">
        <f>IFERROR(__xludf.DUMMYFUNCTION("""COMPUTED_VALUE"""),"Bằng nghề")</f>
        <v>Bằng nghề</v>
      </c>
      <c r="Q527" s="7" t="str">
        <f>IFERROR(__xludf.DUMMYFUNCTION("""COMPUTED_VALUE"""),"Điện sửa chữa")</f>
        <v>Điện sửa chữa</v>
      </c>
      <c r="R527" s="17">
        <f>IFERROR(__xludf.DUMMYFUNCTION("""COMPUTED_VALUE"""),44609.0)</f>
        <v>44609</v>
      </c>
      <c r="S527" s="17">
        <f>IFERROR(__xludf.DUMMYFUNCTION("""COMPUTED_VALUE"""),44986.0)</f>
        <v>44986</v>
      </c>
      <c r="T527" s="7" t="str">
        <f>IFERROR(__xludf.DUMMYFUNCTION("""COMPUTED_VALUE"""),"Chính thức")</f>
        <v>Chính thức</v>
      </c>
      <c r="U527" s="7"/>
      <c r="V527" s="7"/>
      <c r="W527" s="7" t="str">
        <f>IFERROR(__xludf.DUMMYFUNCTION("""COMPUTED_VALUE"""),"3 năm 10 tháng")</f>
        <v>3 năm 10 tháng</v>
      </c>
      <c r="X527" s="7"/>
      <c r="Y527" s="7"/>
      <c r="Z527" s="7"/>
    </row>
    <row r="528">
      <c r="A528" s="21" t="str">
        <f>IFERROR(__xludf.DUMMYFUNCTION("""COMPUTED_VALUE"""),"3")</f>
        <v>3</v>
      </c>
      <c r="B528" s="7" t="str">
        <f>IFERROR(__xludf.DUMMYFUNCTION("""COMPUTED_VALUE"""),"PXSX1")</f>
        <v>PXSX1</v>
      </c>
      <c r="C528" s="7" t="str">
        <f>IFERROR(__xludf.DUMMYFUNCTION("""COMPUTED_VALUE"""),"Phòng Kỹ thuật")</f>
        <v>Phòng Kỹ thuật</v>
      </c>
      <c r="D528" s="7" t="str">
        <f>IFERROR(__xludf.DUMMYFUNCTION("""COMPUTED_VALUE"""),"Gia công - Quấn động cơ")</f>
        <v>Gia công - Quấn động cơ</v>
      </c>
      <c r="E528" s="7" t="str">
        <f>IFERROR(__xludf.DUMMYFUNCTION("""COMPUTED_VALUE"""),"Nhóm trưởng quấn động cơ")</f>
        <v>Nhóm trưởng quấn động cơ</v>
      </c>
      <c r="F528" s="7" t="str">
        <f>IFERROR(__xludf.DUMMYFUNCTION("""COMPUTED_VALUE"""),"NV1196")</f>
        <v>NV1196</v>
      </c>
      <c r="G528" s="7">
        <f>IFERROR(__xludf.DUMMYFUNCTION("""COMPUTED_VALUE"""),146.0)</f>
        <v>146</v>
      </c>
      <c r="H528" s="7" t="str">
        <f>IFERROR(__xludf.DUMMYFUNCTION("""COMPUTED_VALUE"""),"Lê Thanh Đường")</f>
        <v>Lê Thanh Đường</v>
      </c>
      <c r="I528" s="7" t="str">
        <f>IFERROR(__xludf.DUMMYFUNCTION("""COMPUTED_VALUE"""),"Nam")</f>
        <v>Nam</v>
      </c>
      <c r="J528" s="17">
        <f>IFERROR(__xludf.DUMMYFUNCTION("""COMPUTED_VALUE"""),28464.0)</f>
        <v>28464</v>
      </c>
      <c r="K528" s="7" t="str">
        <f>IFERROR(__xludf.DUMMYFUNCTION("""COMPUTED_VALUE"""),"Thôn Bình Tây - Xã Hoằng Lộc - Tỉnh Thanh Hóa")</f>
        <v>Thôn Bình Tây - Xã Hoằng Lộc - Tỉnh Thanh Hóa</v>
      </c>
      <c r="L528" s="7" t="str">
        <f>IFERROR(__xludf.DUMMYFUNCTION("""COMPUTED_VALUE"""),"0347636568")</f>
        <v>0347636568</v>
      </c>
      <c r="M528" s="7" t="str">
        <f>IFERROR(__xludf.DUMMYFUNCTION("""COMPUTED_VALUE"""),"038077027798")</f>
        <v>038077027798</v>
      </c>
      <c r="N528" s="17">
        <f>IFERROR(__xludf.DUMMYFUNCTION("""COMPUTED_VALUE"""),44435.0)</f>
        <v>44435</v>
      </c>
      <c r="O528" s="7" t="str">
        <f>IFERROR(__xludf.DUMMYFUNCTION("""COMPUTED_VALUE"""),"Cục Cảnh sát QLHC về TTXH")</f>
        <v>Cục Cảnh sát QLHC về TTXH</v>
      </c>
      <c r="P528" s="7" t="str">
        <f>IFERROR(__xludf.DUMMYFUNCTION("""COMPUTED_VALUE"""),"Lao động có tay nghề")</f>
        <v>Lao động có tay nghề</v>
      </c>
      <c r="Q528" s="7" t="str">
        <f>IFERROR(__xludf.DUMMYFUNCTION("""COMPUTED_VALUE"""),"Cuốn động cơ")</f>
        <v>Cuốn động cơ</v>
      </c>
      <c r="R528" s="17">
        <f>IFERROR(__xludf.DUMMYFUNCTION("""COMPUTED_VALUE"""),42822.0)</f>
        <v>42822</v>
      </c>
      <c r="S528" s="17">
        <f>IFERROR(__xludf.DUMMYFUNCTION("""COMPUTED_VALUE"""),43154.0)</f>
        <v>43154</v>
      </c>
      <c r="T528" s="7" t="str">
        <f>IFERROR(__xludf.DUMMYFUNCTION("""COMPUTED_VALUE"""),"Chính thức")</f>
        <v>Chính thức</v>
      </c>
      <c r="U528" s="7"/>
      <c r="V528" s="7"/>
      <c r="W528" s="7" t="str">
        <f>IFERROR(__xludf.DUMMYFUNCTION("""COMPUTED_VALUE"""),"8 năm 9 tháng")</f>
        <v>8 năm 9 tháng</v>
      </c>
      <c r="X528" s="7"/>
      <c r="Y528" s="7"/>
      <c r="Z528" s="7"/>
    </row>
    <row r="529">
      <c r="A529" s="21" t="str">
        <f>IFERROR(__xludf.DUMMYFUNCTION("""COMPUTED_VALUE"""),"4")</f>
        <v>4</v>
      </c>
      <c r="B529" s="7" t="str">
        <f>IFERROR(__xludf.DUMMYFUNCTION("""COMPUTED_VALUE"""),"PXSX1")</f>
        <v>PXSX1</v>
      </c>
      <c r="C529" s="7" t="str">
        <f>IFERROR(__xludf.DUMMYFUNCTION("""COMPUTED_VALUE"""),"Phòng Kỹ thuật")</f>
        <v>Phòng Kỹ thuật</v>
      </c>
      <c r="D529" s="7" t="str">
        <f>IFERROR(__xludf.DUMMYFUNCTION("""COMPUTED_VALUE"""),"Gia công - Quấn động cơ")</f>
        <v>Gia công - Quấn động cơ</v>
      </c>
      <c r="E529" s="7" t="str">
        <f>IFERROR(__xludf.DUMMYFUNCTION("""COMPUTED_VALUE"""),"CN gia công mức 3")</f>
        <v>CN gia công mức 3</v>
      </c>
      <c r="F529" s="7" t="str">
        <f>IFERROR(__xludf.DUMMYFUNCTION("""COMPUTED_VALUE"""),"NV5398")</f>
        <v>NV5398</v>
      </c>
      <c r="G529" s="7">
        <f>IFERROR(__xludf.DUMMYFUNCTION("""COMPUTED_VALUE"""),836.0)</f>
        <v>836</v>
      </c>
      <c r="H529" s="7" t="str">
        <f>IFERROR(__xludf.DUMMYFUNCTION("""COMPUTED_VALUE"""),"Lại Hữu Lâm ")</f>
        <v>Lại Hữu Lâm </v>
      </c>
      <c r="I529" s="7" t="str">
        <f>IFERROR(__xludf.DUMMYFUNCTION("""COMPUTED_VALUE"""),"Nam")</f>
        <v>Nam</v>
      </c>
      <c r="J529" s="17">
        <f>IFERROR(__xludf.DUMMYFUNCTION("""COMPUTED_VALUE"""),28830.0)</f>
        <v>28830</v>
      </c>
      <c r="K529" s="7" t="str">
        <f>IFERROR(__xludf.DUMMYFUNCTION("""COMPUTED_VALUE"""),"Linh Hưng - Xã Quảng Ngọc - Tỉnh Thanh Hóa")</f>
        <v>Linh Hưng - Xã Quảng Ngọc - Tỉnh Thanh Hóa</v>
      </c>
      <c r="L529" s="7" t="str">
        <f>IFERROR(__xludf.DUMMYFUNCTION("""COMPUTED_VALUE"""),"0368586001")</f>
        <v>0368586001</v>
      </c>
      <c r="M529" s="7" t="str">
        <f>IFERROR(__xludf.DUMMYFUNCTION("""COMPUTED_VALUE"""),"038078029222")</f>
        <v>038078029222</v>
      </c>
      <c r="N529" s="17">
        <f>IFERROR(__xludf.DUMMYFUNCTION("""COMPUTED_VALUE"""),45642.0)</f>
        <v>45642</v>
      </c>
      <c r="O529" s="7" t="str">
        <f>IFERROR(__xludf.DUMMYFUNCTION("""COMPUTED_VALUE"""),"Cục Cảnh sát QLHC về TTXH")</f>
        <v>Cục Cảnh sát QLHC về TTXH</v>
      </c>
      <c r="P529" s="7" t="str">
        <f>IFERROR(__xludf.DUMMYFUNCTION("""COMPUTED_VALUE"""),"Trung cấp")</f>
        <v>Trung cấp</v>
      </c>
      <c r="Q529" s="7" t="str">
        <f>IFERROR(__xludf.DUMMYFUNCTION("""COMPUTED_VALUE"""),"Trung cấp Sửa chữa điện xí nghiệp")</f>
        <v>Trung cấp Sửa chữa điện xí nghiệp</v>
      </c>
      <c r="R529" s="17">
        <f>IFERROR(__xludf.DUMMYFUNCTION("""COMPUTED_VALUE"""),45698.0)</f>
        <v>45698</v>
      </c>
      <c r="S529" s="7"/>
      <c r="T529" s="7" t="str">
        <f>IFERROR(__xludf.DUMMYFUNCTION("""COMPUTED_VALUE"""),"Chính thức")</f>
        <v>Chính thức</v>
      </c>
      <c r="U529" s="7"/>
      <c r="V529" s="7"/>
      <c r="W529" s="7" t="str">
        <f>IFERROR(__xludf.DUMMYFUNCTION("""COMPUTED_VALUE"""),"0 năm 10 tháng")</f>
        <v>0 năm 10 tháng</v>
      </c>
      <c r="X529" s="7"/>
      <c r="Y529" s="7"/>
      <c r="Z529" s="7"/>
    </row>
    <row r="530">
      <c r="A530" s="21" t="str">
        <f>IFERROR(__xludf.DUMMYFUNCTION("""COMPUTED_VALUE"""),"5")</f>
        <v>5</v>
      </c>
      <c r="B530" s="7" t="str">
        <f>IFERROR(__xludf.DUMMYFUNCTION("""COMPUTED_VALUE"""),"PXSX1")</f>
        <v>PXSX1</v>
      </c>
      <c r="C530" s="7" t="str">
        <f>IFERROR(__xludf.DUMMYFUNCTION("""COMPUTED_VALUE"""),"Phòng Kỹ thuật")</f>
        <v>Phòng Kỹ thuật</v>
      </c>
      <c r="D530" s="7" t="str">
        <f>IFERROR(__xludf.DUMMYFUNCTION("""COMPUTED_VALUE"""),"Gia công - Quấn động cơ")</f>
        <v>Gia công - Quấn động cơ</v>
      </c>
      <c r="E530" s="7" t="str">
        <f>IFERROR(__xludf.DUMMYFUNCTION("""COMPUTED_VALUE"""),"CBKT kiêm Tổ trưởng gia công")</f>
        <v>CBKT kiêm Tổ trưởng gia công</v>
      </c>
      <c r="F530" s="7" t="str">
        <f>IFERROR(__xludf.DUMMYFUNCTION("""COMPUTED_VALUE"""),"NV0110")</f>
        <v>NV0110</v>
      </c>
      <c r="G530" s="7">
        <f>IFERROR(__xludf.DUMMYFUNCTION("""COMPUTED_VALUE"""),247.0)</f>
        <v>247</v>
      </c>
      <c r="H530" s="7" t="str">
        <f>IFERROR(__xludf.DUMMYFUNCTION("""COMPUTED_VALUE"""),"Lê Bá Hữu")</f>
        <v>Lê Bá Hữu</v>
      </c>
      <c r="I530" s="7" t="str">
        <f>IFERROR(__xludf.DUMMYFUNCTION("""COMPUTED_VALUE"""),"Nam")</f>
        <v>Nam</v>
      </c>
      <c r="J530" s="17">
        <f>IFERROR(__xludf.DUMMYFUNCTION("""COMPUTED_VALUE"""),28900.0)</f>
        <v>28900</v>
      </c>
      <c r="K530" s="7" t="str">
        <f>IFERROR(__xludf.DUMMYFUNCTION("""COMPUTED_VALUE"""),"Thôn 8 - Xã Hoằng Lộc - Tỉnh Thanh Hóa")</f>
        <v>Thôn 8 - Xã Hoằng Lộc - Tỉnh Thanh Hóa</v>
      </c>
      <c r="L530" s="7" t="str">
        <f>IFERROR(__xludf.DUMMYFUNCTION("""COMPUTED_VALUE"""),"0353418938")</f>
        <v>0353418938</v>
      </c>
      <c r="M530" s="7" t="str">
        <f>IFERROR(__xludf.DUMMYFUNCTION("""COMPUTED_VALUE"""),"038079019221")</f>
        <v>038079019221</v>
      </c>
      <c r="N530" s="17">
        <f>IFERROR(__xludf.DUMMYFUNCTION("""COMPUTED_VALUE"""),44428.0)</f>
        <v>44428</v>
      </c>
      <c r="O530" s="7" t="str">
        <f>IFERROR(__xludf.DUMMYFUNCTION("""COMPUTED_VALUE"""),"Cục Cảnh sát QLHC về TTXH")</f>
        <v>Cục Cảnh sát QLHC về TTXH</v>
      </c>
      <c r="P530" s="7" t="str">
        <f>IFERROR(__xludf.DUMMYFUNCTION("""COMPUTED_VALUE"""),"Trung cấp")</f>
        <v>Trung cấp</v>
      </c>
      <c r="Q530" s="7" t="str">
        <f>IFERROR(__xludf.DUMMYFUNCTION("""COMPUTED_VALUE"""),"Cơ khí cắt gọt")</f>
        <v>Cơ khí cắt gọt</v>
      </c>
      <c r="R530" s="17">
        <f>IFERROR(__xludf.DUMMYFUNCTION("""COMPUTED_VALUE"""),42062.0)</f>
        <v>42062</v>
      </c>
      <c r="S530" s="17">
        <f>IFERROR(__xludf.DUMMYFUNCTION("""COMPUTED_VALUE"""),42365.0)</f>
        <v>42365</v>
      </c>
      <c r="T530" s="7" t="str">
        <f>IFERROR(__xludf.DUMMYFUNCTION("""COMPUTED_VALUE"""),"Chính thức")</f>
        <v>Chính thức</v>
      </c>
      <c r="U530" s="7"/>
      <c r="V530" s="7"/>
      <c r="W530" s="7" t="str">
        <f>IFERROR(__xludf.DUMMYFUNCTION("""COMPUTED_VALUE"""),"10 năm 10 tháng")</f>
        <v>10 năm 10 tháng</v>
      </c>
      <c r="X530" s="7"/>
      <c r="Y530" s="7"/>
      <c r="Z530" s="7"/>
    </row>
    <row r="531">
      <c r="A531" s="21" t="str">
        <f>IFERROR(__xludf.DUMMYFUNCTION("""COMPUTED_VALUE"""),"6")</f>
        <v>6</v>
      </c>
      <c r="B531" s="7" t="str">
        <f>IFERROR(__xludf.DUMMYFUNCTION("""COMPUTED_VALUE"""),"PXSX1")</f>
        <v>PXSX1</v>
      </c>
      <c r="C531" s="7" t="str">
        <f>IFERROR(__xludf.DUMMYFUNCTION("""COMPUTED_VALUE"""),"Phòng Kỹ thuật")</f>
        <v>Phòng Kỹ thuật</v>
      </c>
      <c r="D531" s="7" t="str">
        <f>IFERROR(__xludf.DUMMYFUNCTION("""COMPUTED_VALUE"""),"Gia công - Quấn động cơ")</f>
        <v>Gia công - Quấn động cơ</v>
      </c>
      <c r="E531" s="7" t="str">
        <f>IFERROR(__xludf.DUMMYFUNCTION("""COMPUTED_VALUE"""),"CN gia công mức 2")</f>
        <v>CN gia công mức 2</v>
      </c>
      <c r="F531" s="7" t="str">
        <f>IFERROR(__xludf.DUMMYFUNCTION("""COMPUTED_VALUE"""),"NV2329")</f>
        <v>NV2329</v>
      </c>
      <c r="G531" s="7">
        <f>IFERROR(__xludf.DUMMYFUNCTION("""COMPUTED_VALUE"""),249.0)</f>
        <v>249</v>
      </c>
      <c r="H531" s="7" t="str">
        <f>IFERROR(__xludf.DUMMYFUNCTION("""COMPUTED_VALUE"""),"Trịnh Văn Tới")</f>
        <v>Trịnh Văn Tới</v>
      </c>
      <c r="I531" s="7" t="str">
        <f>IFERROR(__xludf.DUMMYFUNCTION("""COMPUTED_VALUE"""),"Nam")</f>
        <v>Nam</v>
      </c>
      <c r="J531" s="17">
        <f>IFERROR(__xludf.DUMMYFUNCTION("""COMPUTED_VALUE"""),32511.0)</f>
        <v>32511</v>
      </c>
      <c r="K531" s="7" t="str">
        <f>IFERROR(__xludf.DUMMYFUNCTION("""COMPUTED_VALUE"""),"SN 40 Thôn Hàm Ninh - Xã Hoằng Lộc - Tỉnh Thanh Hóa")</f>
        <v>SN 40 Thôn Hàm Ninh - Xã Hoằng Lộc - Tỉnh Thanh Hóa</v>
      </c>
      <c r="L531" s="7" t="str">
        <f>IFERROR(__xludf.DUMMYFUNCTION("""COMPUTED_VALUE"""),"0368613269")</f>
        <v>0368613269</v>
      </c>
      <c r="M531" s="7" t="str">
        <f>IFERROR(__xludf.DUMMYFUNCTION("""COMPUTED_VALUE"""),"038089049032")</f>
        <v>038089049032</v>
      </c>
      <c r="N531" s="17">
        <f>IFERROR(__xludf.DUMMYFUNCTION("""COMPUTED_VALUE"""),44428.0)</f>
        <v>44428</v>
      </c>
      <c r="O531" s="7" t="str">
        <f>IFERROR(__xludf.DUMMYFUNCTION("""COMPUTED_VALUE"""),"Cục Cảnh sát QLHC về TTXH")</f>
        <v>Cục Cảnh sát QLHC về TTXH</v>
      </c>
      <c r="P531" s="7" t="str">
        <f>IFERROR(__xludf.DUMMYFUNCTION("""COMPUTED_VALUE"""),"Cao đẳng nghề")</f>
        <v>Cao đẳng nghề</v>
      </c>
      <c r="Q531" s="7" t="str">
        <f>IFERROR(__xludf.DUMMYFUNCTION("""COMPUTED_VALUE"""),"Cắt gọt kim loại")</f>
        <v>Cắt gọt kim loại</v>
      </c>
      <c r="R531" s="17">
        <f>IFERROR(__xludf.DUMMYFUNCTION("""COMPUTED_VALUE"""),43577.0)</f>
        <v>43577</v>
      </c>
      <c r="S531" s="17">
        <f>IFERROR(__xludf.DUMMYFUNCTION("""COMPUTED_VALUE"""),43983.0)</f>
        <v>43983</v>
      </c>
      <c r="T531" s="7" t="str">
        <f>IFERROR(__xludf.DUMMYFUNCTION("""COMPUTED_VALUE"""),"Chính thức")</f>
        <v>Chính thức</v>
      </c>
      <c r="U531" s="7"/>
      <c r="V531" s="7"/>
      <c r="W531" s="7" t="str">
        <f>IFERROR(__xludf.DUMMYFUNCTION("""COMPUTED_VALUE"""),"6 năm 8 tháng")</f>
        <v>6 năm 8 tháng</v>
      </c>
      <c r="X531" s="7"/>
      <c r="Y531" s="7"/>
      <c r="Z531" s="7"/>
    </row>
    <row r="532">
      <c r="A532" s="21" t="str">
        <f>IFERROR(__xludf.DUMMYFUNCTION("""COMPUTED_VALUE"""),"7")</f>
        <v>7</v>
      </c>
      <c r="B532" s="7" t="str">
        <f>IFERROR(__xludf.DUMMYFUNCTION("""COMPUTED_VALUE"""),"PXSX1")</f>
        <v>PXSX1</v>
      </c>
      <c r="C532" s="7" t="str">
        <f>IFERROR(__xludf.DUMMYFUNCTION("""COMPUTED_VALUE"""),"Phòng Kỹ thuật")</f>
        <v>Phòng Kỹ thuật</v>
      </c>
      <c r="D532" s="7" t="str">
        <f>IFERROR(__xludf.DUMMYFUNCTION("""COMPUTED_VALUE"""),"Gia công - Quấn động cơ")</f>
        <v>Gia công - Quấn động cơ</v>
      </c>
      <c r="E532" s="7" t="str">
        <f>IFERROR(__xludf.DUMMYFUNCTION("""COMPUTED_VALUE"""),"CN gia công mức 4")</f>
        <v>CN gia công mức 4</v>
      </c>
      <c r="F532" s="7" t="str">
        <f>IFERROR(__xludf.DUMMYFUNCTION("""COMPUTED_VALUE"""),"NV5401")</f>
        <v>NV5401</v>
      </c>
      <c r="G532" s="7">
        <f>IFERROR(__xludf.DUMMYFUNCTION("""COMPUTED_VALUE"""),841.0)</f>
        <v>841</v>
      </c>
      <c r="H532" s="7" t="str">
        <f>IFERROR(__xludf.DUMMYFUNCTION("""COMPUTED_VALUE"""),"Lê Đình Tuấn Anh ")</f>
        <v>Lê Đình Tuấn Anh </v>
      </c>
      <c r="I532" s="7" t="str">
        <f>IFERROR(__xludf.DUMMYFUNCTION("""COMPUTED_VALUE"""),"Nam")</f>
        <v>Nam</v>
      </c>
      <c r="J532" s="17">
        <f>IFERROR(__xludf.DUMMYFUNCTION("""COMPUTED_VALUE"""),33887.0)</f>
        <v>33887</v>
      </c>
      <c r="K532" s="7" t="str">
        <f>IFERROR(__xludf.DUMMYFUNCTION("""COMPUTED_VALUE"""),"Phường Nguyệt Viên - Tỉnh Thanh Hóa")</f>
        <v>Phường Nguyệt Viên - Tỉnh Thanh Hóa</v>
      </c>
      <c r="L532" s="7" t="str">
        <f>IFERROR(__xludf.DUMMYFUNCTION("""COMPUTED_VALUE"""),"0971345937")</f>
        <v>0971345937</v>
      </c>
      <c r="M532" s="7" t="str">
        <f>IFERROR(__xludf.DUMMYFUNCTION("""COMPUTED_VALUE"""),"038092009355")</f>
        <v>038092009355</v>
      </c>
      <c r="N532" s="17">
        <f>IFERROR(__xludf.DUMMYFUNCTION("""COMPUTED_VALUE"""),44922.0)</f>
        <v>44922</v>
      </c>
      <c r="O532" s="7" t="str">
        <f>IFERROR(__xludf.DUMMYFUNCTION("""COMPUTED_VALUE"""),"Cục Cảnh sát QLHC về TTXH")</f>
        <v>Cục Cảnh sát QLHC về TTXH</v>
      </c>
      <c r="P532" s="7" t="str">
        <f>IFERROR(__xludf.DUMMYFUNCTION("""COMPUTED_VALUE"""),"Kỹ sư")</f>
        <v>Kỹ sư</v>
      </c>
      <c r="Q532" s="7" t="str">
        <f>IFERROR(__xludf.DUMMYFUNCTION("""COMPUTED_VALUE"""),"Kỹ sư Công nghệ Kỹ thuật cơ - điện tử")</f>
        <v>Kỹ sư Công nghệ Kỹ thuật cơ - điện tử</v>
      </c>
      <c r="R532" s="17">
        <f>IFERROR(__xludf.DUMMYFUNCTION("""COMPUTED_VALUE"""),45700.0)</f>
        <v>45700</v>
      </c>
      <c r="S532" s="7"/>
      <c r="T532" s="7" t="str">
        <f>IFERROR(__xludf.DUMMYFUNCTION("""COMPUTED_VALUE"""),"Chính thức")</f>
        <v>Chính thức</v>
      </c>
      <c r="U532" s="7"/>
      <c r="V532" s="7"/>
      <c r="W532" s="7" t="str">
        <f>IFERROR(__xludf.DUMMYFUNCTION("""COMPUTED_VALUE"""),"0 năm 10 tháng")</f>
        <v>0 năm 10 tháng</v>
      </c>
      <c r="X532" s="7"/>
      <c r="Y532" s="7"/>
      <c r="Z532" s="7"/>
    </row>
    <row r="533">
      <c r="A533" s="21" t="str">
        <f>IFERROR(__xludf.DUMMYFUNCTION("""COMPUTED_VALUE"""),"1")</f>
        <v>1</v>
      </c>
      <c r="B533" s="7" t="str">
        <f>IFERROR(__xludf.DUMMYFUNCTION("""COMPUTED_VALUE"""),"PXSX1")</f>
        <v>PXSX1</v>
      </c>
      <c r="C533" s="7" t="str">
        <f>IFERROR(__xludf.DUMMYFUNCTION("""COMPUTED_VALUE"""),"Nhóm Hậu cần nội vụ PXSX1")</f>
        <v>Nhóm Hậu cần nội vụ PXSX1</v>
      </c>
      <c r="D533" s="7" t="str">
        <f>IFERROR(__xludf.DUMMYFUNCTION("""COMPUTED_VALUE"""),"Bộ phận hành chính")</f>
        <v>Bộ phận hành chính</v>
      </c>
      <c r="E533" s="7" t="str">
        <f>IFERROR(__xludf.DUMMYFUNCTION("""COMPUTED_VALUE"""),"Xe nâng")</f>
        <v>Xe nâng</v>
      </c>
      <c r="F533" s="7" t="str">
        <f>IFERROR(__xludf.DUMMYFUNCTION("""COMPUTED_VALUE"""),"NV0756")</f>
        <v>NV0756</v>
      </c>
      <c r="G533" s="7">
        <f>IFERROR(__xludf.DUMMYFUNCTION("""COMPUTED_VALUE"""),39.0)</f>
        <v>39</v>
      </c>
      <c r="H533" s="7" t="str">
        <f>IFERROR(__xludf.DUMMYFUNCTION("""COMPUTED_VALUE"""),"Hoàng Huy Tuấn")</f>
        <v>Hoàng Huy Tuấn</v>
      </c>
      <c r="I533" s="7" t="str">
        <f>IFERROR(__xludf.DUMMYFUNCTION("""COMPUTED_VALUE"""),"Nam")</f>
        <v>Nam</v>
      </c>
      <c r="J533" s="17">
        <f>IFERROR(__xludf.DUMMYFUNCTION("""COMPUTED_VALUE"""),31006.0)</f>
        <v>31006</v>
      </c>
      <c r="K533" s="7" t="str">
        <f>IFERROR(__xludf.DUMMYFUNCTION("""COMPUTED_VALUE"""),"Minh Thái - Xã Hoằng Châu - Tỉnh Thanh Hóa")</f>
        <v>Minh Thái - Xã Hoằng Châu - Tỉnh Thanh Hóa</v>
      </c>
      <c r="L533" s="7" t="str">
        <f>IFERROR(__xludf.DUMMYFUNCTION("""COMPUTED_VALUE"""),"0799155975")</f>
        <v>0799155975</v>
      </c>
      <c r="M533" s="7" t="str">
        <f>IFERROR(__xludf.DUMMYFUNCTION("""COMPUTED_VALUE"""),"038084003510")</f>
        <v>038084003510</v>
      </c>
      <c r="N533" s="17">
        <f>IFERROR(__xludf.DUMMYFUNCTION("""COMPUTED_VALUE"""),44427.0)</f>
        <v>44427</v>
      </c>
      <c r="O533" s="7" t="str">
        <f>IFERROR(__xludf.DUMMYFUNCTION("""COMPUTED_VALUE"""),"Cục Cảnh sát QLHC về TTXH")</f>
        <v>Cục Cảnh sát QLHC về TTXH</v>
      </c>
      <c r="P533" s="7" t="str">
        <f>IFERROR(__xludf.DUMMYFUNCTION("""COMPUTED_VALUE"""),"Công nhân kỹ thuật")</f>
        <v>Công nhân kỹ thuật</v>
      </c>
      <c r="Q533" s="7" t="str">
        <f>IFERROR(__xludf.DUMMYFUNCTION("""COMPUTED_VALUE"""),"Vận hành xe nâng")</f>
        <v>Vận hành xe nâng</v>
      </c>
      <c r="R533" s="17">
        <f>IFERROR(__xludf.DUMMYFUNCTION("""COMPUTED_VALUE"""),39234.0)</f>
        <v>39234</v>
      </c>
      <c r="S533" s="17">
        <f>IFERROR(__xludf.DUMMYFUNCTION("""COMPUTED_VALUE"""),39234.0)</f>
        <v>39234</v>
      </c>
      <c r="T533" s="7" t="str">
        <f>IFERROR(__xludf.DUMMYFUNCTION("""COMPUTED_VALUE"""),"Chính thức")</f>
        <v>Chính thức</v>
      </c>
      <c r="U533" s="7"/>
      <c r="V533" s="7"/>
      <c r="W533" s="7" t="str">
        <f>IFERROR(__xludf.DUMMYFUNCTION("""COMPUTED_VALUE"""),"18 năm 6 tháng")</f>
        <v>18 năm 6 tháng</v>
      </c>
      <c r="X533" s="7"/>
      <c r="Y533" s="7"/>
      <c r="Z533" s="7"/>
    </row>
    <row r="534">
      <c r="A534" s="21" t="str">
        <f>IFERROR(__xludf.DUMMYFUNCTION("""COMPUTED_VALUE"""),"2")</f>
        <v>2</v>
      </c>
      <c r="B534" s="7" t="str">
        <f>IFERROR(__xludf.DUMMYFUNCTION("""COMPUTED_VALUE"""),"PXSX1")</f>
        <v>PXSX1</v>
      </c>
      <c r="C534" s="7" t="str">
        <f>IFERROR(__xludf.DUMMYFUNCTION("""COMPUTED_VALUE"""),"Nhóm Hậu cần nội vụ PXSX1")</f>
        <v>Nhóm Hậu cần nội vụ PXSX1</v>
      </c>
      <c r="D534" s="7" t="str">
        <f>IFERROR(__xludf.DUMMYFUNCTION("""COMPUTED_VALUE"""),"Bộ phận hành chính")</f>
        <v>Bộ phận hành chính</v>
      </c>
      <c r="E534" s="7" t="str">
        <f>IFERROR(__xludf.DUMMYFUNCTION("""COMPUTED_VALUE"""),"Xúc lật")</f>
        <v>Xúc lật</v>
      </c>
      <c r="F534" s="7" t="str">
        <f>IFERROR(__xludf.DUMMYFUNCTION("""COMPUTED_VALUE"""),"NV0131")</f>
        <v>NV0131</v>
      </c>
      <c r="G534" s="7">
        <f>IFERROR(__xludf.DUMMYFUNCTION("""COMPUTED_VALUE"""),275.0)</f>
        <v>275</v>
      </c>
      <c r="H534" s="7" t="str">
        <f>IFERROR(__xludf.DUMMYFUNCTION("""COMPUTED_VALUE"""),"Nguyễn Viết Thanh")</f>
        <v>Nguyễn Viết Thanh</v>
      </c>
      <c r="I534" s="7" t="str">
        <f>IFERROR(__xludf.DUMMYFUNCTION("""COMPUTED_VALUE"""),"Nam")</f>
        <v>Nam</v>
      </c>
      <c r="J534" s="17">
        <f>IFERROR(__xludf.DUMMYFUNCTION("""COMPUTED_VALUE"""),31253.0)</f>
        <v>31253</v>
      </c>
      <c r="K534" s="7" t="str">
        <f>IFERROR(__xludf.DUMMYFUNCTION("""COMPUTED_VALUE"""),"Phố 5 - Phường Quảng Phú - Tỉnh Thanh Hóa")</f>
        <v>Phố 5 - Phường Quảng Phú - Tỉnh Thanh Hóa</v>
      </c>
      <c r="L534" s="7" t="str">
        <f>IFERROR(__xludf.DUMMYFUNCTION("""COMPUTED_VALUE"""),"0773373110")</f>
        <v>0773373110</v>
      </c>
      <c r="M534" s="7" t="str">
        <f>IFERROR(__xludf.DUMMYFUNCTION("""COMPUTED_VALUE"""),"038085037272")</f>
        <v>038085037272</v>
      </c>
      <c r="N534" s="17">
        <f>IFERROR(__xludf.DUMMYFUNCTION("""COMPUTED_VALUE"""),44422.0)</f>
        <v>44422</v>
      </c>
      <c r="O534" s="7" t="str">
        <f>IFERROR(__xludf.DUMMYFUNCTION("""COMPUTED_VALUE"""),"Cục Cảnh sát QLHC về TTXH")</f>
        <v>Cục Cảnh sát QLHC về TTXH</v>
      </c>
      <c r="P534" s="7" t="str">
        <f>IFERROR(__xludf.DUMMYFUNCTION("""COMPUTED_VALUE"""),"Công nhân kỹ thuật")</f>
        <v>Công nhân kỹ thuật</v>
      </c>
      <c r="Q534" s="7" t="str">
        <f>IFERROR(__xludf.DUMMYFUNCTION("""COMPUTED_VALUE"""),"Lái máy xúc")</f>
        <v>Lái máy xúc</v>
      </c>
      <c r="R534" s="17">
        <f>IFERROR(__xludf.DUMMYFUNCTION("""COMPUTED_VALUE"""),41942.0)</f>
        <v>41942</v>
      </c>
      <c r="S534" s="17">
        <f>IFERROR(__xludf.DUMMYFUNCTION("""COMPUTED_VALUE"""),41942.0)</f>
        <v>41942</v>
      </c>
      <c r="T534" s="7" t="str">
        <f>IFERROR(__xludf.DUMMYFUNCTION("""COMPUTED_VALUE"""),"Chính thức")</f>
        <v>Chính thức</v>
      </c>
      <c r="U534" s="7"/>
      <c r="V534" s="7"/>
      <c r="W534" s="7" t="str">
        <f>IFERROR(__xludf.DUMMYFUNCTION("""COMPUTED_VALUE"""),"11 năm 2 tháng")</f>
        <v>11 năm 2 tháng</v>
      </c>
      <c r="X534" s="7"/>
      <c r="Y534" s="7"/>
      <c r="Z534" s="7"/>
    </row>
    <row r="535">
      <c r="A535" s="21" t="str">
        <f>IFERROR(__xludf.DUMMYFUNCTION("""COMPUTED_VALUE"""),"3")</f>
        <v>3</v>
      </c>
      <c r="B535" s="7" t="str">
        <f>IFERROR(__xludf.DUMMYFUNCTION("""COMPUTED_VALUE"""),"PXSX1")</f>
        <v>PXSX1</v>
      </c>
      <c r="C535" s="7" t="str">
        <f>IFERROR(__xludf.DUMMYFUNCTION("""COMPUTED_VALUE"""),"Nhóm Hậu cần nội vụ PXSX1")</f>
        <v>Nhóm Hậu cần nội vụ PXSX1</v>
      </c>
      <c r="D535" s="7" t="str">
        <f>IFERROR(__xludf.DUMMYFUNCTION("""COMPUTED_VALUE"""),"Bộ phận hành chính")</f>
        <v>Bộ phận hành chính</v>
      </c>
      <c r="E535" s="7" t="str">
        <f>IFERROR(__xludf.DUMMYFUNCTION("""COMPUTED_VALUE"""),"Nhóm trưởng xúc lật")</f>
        <v>Nhóm trưởng xúc lật</v>
      </c>
      <c r="F535" s="7" t="str">
        <f>IFERROR(__xludf.DUMMYFUNCTION("""COMPUTED_VALUE"""),"NV0135")</f>
        <v>NV0135</v>
      </c>
      <c r="G535" s="7">
        <f>IFERROR(__xludf.DUMMYFUNCTION("""COMPUTED_VALUE"""),246.0)</f>
        <v>246</v>
      </c>
      <c r="H535" s="7" t="str">
        <f>IFERROR(__xludf.DUMMYFUNCTION("""COMPUTED_VALUE"""),"Nguyễn Khắc Thành")</f>
        <v>Nguyễn Khắc Thành</v>
      </c>
      <c r="I535" s="7" t="str">
        <f>IFERROR(__xludf.DUMMYFUNCTION("""COMPUTED_VALUE"""),"Nam")</f>
        <v>Nam</v>
      </c>
      <c r="J535" s="17">
        <f>IFERROR(__xludf.DUMMYFUNCTION("""COMPUTED_VALUE"""),32572.0)</f>
        <v>32572</v>
      </c>
      <c r="K535" s="7" t="str">
        <f>IFERROR(__xludf.DUMMYFUNCTION("""COMPUTED_VALUE"""),"Thôn Phúc Cường - Phường Quảng Phú - Tỉnh Thanh Hóa")</f>
        <v>Thôn Phúc Cường - Phường Quảng Phú - Tỉnh Thanh Hóa</v>
      </c>
      <c r="L535" s="7" t="str">
        <f>IFERROR(__xludf.DUMMYFUNCTION("""COMPUTED_VALUE"""),"0967063828")</f>
        <v>0967063828</v>
      </c>
      <c r="M535" s="7" t="str">
        <f>IFERROR(__xludf.DUMMYFUNCTION("""COMPUTED_VALUE"""),"038089016919")</f>
        <v>038089016919</v>
      </c>
      <c r="N535" s="17">
        <f>IFERROR(__xludf.DUMMYFUNCTION("""COMPUTED_VALUE"""),44422.0)</f>
        <v>44422</v>
      </c>
      <c r="O535" s="7" t="str">
        <f>IFERROR(__xludf.DUMMYFUNCTION("""COMPUTED_VALUE"""),"Cục Cảnh sát QLHC về TTXH")</f>
        <v>Cục Cảnh sát QLHC về TTXH</v>
      </c>
      <c r="P535" s="7" t="str">
        <f>IFERROR(__xludf.DUMMYFUNCTION("""COMPUTED_VALUE"""),"LĐPT")</f>
        <v>LĐPT</v>
      </c>
      <c r="Q535" s="7" t="str">
        <f>IFERROR(__xludf.DUMMYFUNCTION("""COMPUTED_VALUE"""),"Lao động phổ thông")</f>
        <v>Lao động phổ thông</v>
      </c>
      <c r="R535" s="17">
        <f>IFERROR(__xludf.DUMMYFUNCTION("""COMPUTED_VALUE"""),41787.0)</f>
        <v>41787</v>
      </c>
      <c r="S535" s="17">
        <f>IFERROR(__xludf.DUMMYFUNCTION("""COMPUTED_VALUE"""),41767.0)</f>
        <v>41767</v>
      </c>
      <c r="T535" s="7" t="str">
        <f>IFERROR(__xludf.DUMMYFUNCTION("""COMPUTED_VALUE"""),"Chính thức")</f>
        <v>Chính thức</v>
      </c>
      <c r="U535" s="7"/>
      <c r="V535" s="7"/>
      <c r="W535" s="7" t="str">
        <f>IFERROR(__xludf.DUMMYFUNCTION("""COMPUTED_VALUE"""),"11 năm 7 tháng")</f>
        <v>11 năm 7 tháng</v>
      </c>
      <c r="X535" s="7"/>
      <c r="Y535" s="7"/>
      <c r="Z535" s="7"/>
    </row>
    <row r="536">
      <c r="A536" s="21" t="str">
        <f>IFERROR(__xludf.DUMMYFUNCTION("""COMPUTED_VALUE"""),"4")</f>
        <v>4</v>
      </c>
      <c r="B536" s="7" t="str">
        <f>IFERROR(__xludf.DUMMYFUNCTION("""COMPUTED_VALUE"""),"PXSX1")</f>
        <v>PXSX1</v>
      </c>
      <c r="C536" s="7" t="str">
        <f>IFERROR(__xludf.DUMMYFUNCTION("""COMPUTED_VALUE"""),"Nhóm Hậu cần nội vụ PXSX1")</f>
        <v>Nhóm Hậu cần nội vụ PXSX1</v>
      </c>
      <c r="D536" s="7" t="str">
        <f>IFERROR(__xludf.DUMMYFUNCTION("""COMPUTED_VALUE"""),"Bộ phận hành chính")</f>
        <v>Bộ phận hành chính</v>
      </c>
      <c r="E536" s="7" t="str">
        <f>IFERROR(__xludf.DUMMYFUNCTION("""COMPUTED_VALUE"""),"Xúc lật")</f>
        <v>Xúc lật</v>
      </c>
      <c r="F536" s="7" t="str">
        <f>IFERROR(__xludf.DUMMYFUNCTION("""COMPUTED_VALUE"""),"NV1618")</f>
        <v>NV1618</v>
      </c>
      <c r="G536" s="7">
        <f>IFERROR(__xludf.DUMMYFUNCTION("""COMPUTED_VALUE"""),762.0)</f>
        <v>762</v>
      </c>
      <c r="H536" s="7" t="str">
        <f>IFERROR(__xludf.DUMMYFUNCTION("""COMPUTED_VALUE"""),"Nguyễn Khắc Thảo")</f>
        <v>Nguyễn Khắc Thảo</v>
      </c>
      <c r="I536" s="7" t="str">
        <f>IFERROR(__xludf.DUMMYFUNCTION("""COMPUTED_VALUE"""),"Nam")</f>
        <v>Nam</v>
      </c>
      <c r="J536" s="17">
        <f>IFERROR(__xludf.DUMMYFUNCTION("""COMPUTED_VALUE"""),34495.0)</f>
        <v>34495</v>
      </c>
      <c r="K536" s="7" t="str">
        <f>IFERROR(__xludf.DUMMYFUNCTION("""COMPUTED_VALUE"""),"Thôn Đình Cương - Phường Quảng Phú - Tỉnh Thanh Hóa")</f>
        <v>Thôn Đình Cương - Phường Quảng Phú - Tỉnh Thanh Hóa</v>
      </c>
      <c r="L536" s="7" t="str">
        <f>IFERROR(__xludf.DUMMYFUNCTION("""COMPUTED_VALUE"""),"0333000869")</f>
        <v>0333000869</v>
      </c>
      <c r="M536" s="7" t="str">
        <f>IFERROR(__xludf.DUMMYFUNCTION("""COMPUTED_VALUE"""),"173839689")</f>
        <v>173839689</v>
      </c>
      <c r="N536" s="7"/>
      <c r="O536" s="7" t="str">
        <f>IFERROR(__xludf.DUMMYFUNCTION("""COMPUTED_VALUE"""),"Cục Cảnh sát QLHC về TTXH")</f>
        <v>Cục Cảnh sát QLHC về TTXH</v>
      </c>
      <c r="P536" s="7" t="str">
        <f>IFERROR(__xludf.DUMMYFUNCTION("""COMPUTED_VALUE"""),"Sơ cấp nghề")</f>
        <v>Sơ cấp nghề</v>
      </c>
      <c r="Q536" s="7" t="str">
        <f>IFERROR(__xludf.DUMMYFUNCTION("""COMPUTED_VALUE"""),"Vận hành máy xúc lật")</f>
        <v>Vận hành máy xúc lật</v>
      </c>
      <c r="R536" s="17">
        <f>IFERROR(__xludf.DUMMYFUNCTION("""COMPUTED_VALUE"""),45817.0)</f>
        <v>45817</v>
      </c>
      <c r="S536" s="7"/>
      <c r="T536" s="7" t="str">
        <f>IFERROR(__xludf.DUMMYFUNCTION("""COMPUTED_VALUE"""),"Chính thức")</f>
        <v>Chính thức</v>
      </c>
      <c r="U536" s="7"/>
      <c r="V536" s="7"/>
      <c r="W536" s="7" t="str">
        <f>IFERROR(__xludf.DUMMYFUNCTION("""COMPUTED_VALUE"""),"0 năm 6 tháng")</f>
        <v>0 năm 6 tháng</v>
      </c>
      <c r="X536" s="7"/>
      <c r="Y536" s="7"/>
      <c r="Z536" s="7"/>
    </row>
    <row r="537">
      <c r="A537" s="21" t="str">
        <f>IFERROR(__xludf.DUMMYFUNCTION("""COMPUTED_VALUE"""),"1")</f>
        <v>1</v>
      </c>
      <c r="B537" s="7" t="str">
        <f>IFERROR(__xludf.DUMMYFUNCTION("""COMPUTED_VALUE"""),"PXSX1")</f>
        <v>PXSX1</v>
      </c>
      <c r="C537" s="7" t="str">
        <f>IFERROR(__xludf.DUMMYFUNCTION("""COMPUTED_VALUE"""),"Test mẫu PXSX1")</f>
        <v>Test mẫu PXSX1</v>
      </c>
      <c r="D537" s="7" t="str">
        <f>IFERROR(__xludf.DUMMYFUNCTION("""COMPUTED_VALUE"""),"Test mẫu ")</f>
        <v>Test mẫu </v>
      </c>
      <c r="E537" s="7" t="str">
        <f>IFERROR(__xludf.DUMMYFUNCTION("""COMPUTED_VALUE"""),"Nhóm trưởng Test mẫu")</f>
        <v>Nhóm trưởng Test mẫu</v>
      </c>
      <c r="F537" s="7" t="str">
        <f>IFERROR(__xludf.DUMMYFUNCTION("""COMPUTED_VALUE"""),"NV2325")</f>
        <v>NV2325</v>
      </c>
      <c r="G537" s="7">
        <f>IFERROR(__xludf.DUMMYFUNCTION("""COMPUTED_VALUE"""),138.0)</f>
        <v>138</v>
      </c>
      <c r="H537" s="7" t="str">
        <f>IFERROR(__xludf.DUMMYFUNCTION("""COMPUTED_VALUE"""),"Nguyễn Duy Chiến")</f>
        <v>Nguyễn Duy Chiến</v>
      </c>
      <c r="I537" s="7" t="str">
        <f>IFERROR(__xludf.DUMMYFUNCTION("""COMPUTED_VALUE"""),"Nam")</f>
        <v>Nam</v>
      </c>
      <c r="J537" s="17">
        <f>IFERROR(__xludf.DUMMYFUNCTION("""COMPUTED_VALUE"""),31476.0)</f>
        <v>31476</v>
      </c>
      <c r="K537" s="7" t="str">
        <f>IFERROR(__xludf.DUMMYFUNCTION("""COMPUTED_VALUE"""),"Thôn 5 - Phường Nam Sầm Sơn - Tỉnh Thanh Hóa")</f>
        <v>Thôn 5 - Phường Nam Sầm Sơn - Tỉnh Thanh Hóa</v>
      </c>
      <c r="L537" s="7" t="str">
        <f>IFERROR(__xludf.DUMMYFUNCTION("""COMPUTED_VALUE"""),"0826783616")</f>
        <v>0826783616</v>
      </c>
      <c r="M537" s="7" t="str">
        <f>IFERROR(__xludf.DUMMYFUNCTION("""COMPUTED_VALUE"""),"038086040202")</f>
        <v>038086040202</v>
      </c>
      <c r="N537" s="17">
        <f>IFERROR(__xludf.DUMMYFUNCTION("""COMPUTED_VALUE"""),44375.0)</f>
        <v>44375</v>
      </c>
      <c r="O537" s="7" t="str">
        <f>IFERROR(__xludf.DUMMYFUNCTION("""COMPUTED_VALUE"""),"Cục Cảnh sát QLHC về TTXH")</f>
        <v>Cục Cảnh sát QLHC về TTXH</v>
      </c>
      <c r="P537" s="7" t="str">
        <f>IFERROR(__xludf.DUMMYFUNCTION("""COMPUTED_VALUE"""),"Cao đẳng")</f>
        <v>Cao đẳng</v>
      </c>
      <c r="Q537" s="7" t="str">
        <f>IFERROR(__xludf.DUMMYFUNCTION("""COMPUTED_VALUE"""),"công nghệ thông tin")</f>
        <v>công nghệ thông tin</v>
      </c>
      <c r="R537" s="17">
        <f>IFERROR(__xludf.DUMMYFUNCTION("""COMPUTED_VALUE"""),43575.0)</f>
        <v>43575</v>
      </c>
      <c r="S537" s="17">
        <f>IFERROR(__xludf.DUMMYFUNCTION("""COMPUTED_VALUE"""),43983.0)</f>
        <v>43983</v>
      </c>
      <c r="T537" s="7" t="str">
        <f>IFERROR(__xludf.DUMMYFUNCTION("""COMPUTED_VALUE"""),"Chính thức")</f>
        <v>Chính thức</v>
      </c>
      <c r="U537" s="7"/>
      <c r="V537" s="7"/>
      <c r="W537" s="7" t="str">
        <f>IFERROR(__xludf.DUMMYFUNCTION("""COMPUTED_VALUE"""),"6 năm 8 tháng")</f>
        <v>6 năm 8 tháng</v>
      </c>
      <c r="X537" s="7"/>
      <c r="Y537" s="7"/>
      <c r="Z537" s="7"/>
    </row>
    <row r="538">
      <c r="A538" s="21" t="str">
        <f>IFERROR(__xludf.DUMMYFUNCTION("""COMPUTED_VALUE"""),"2")</f>
        <v>2</v>
      </c>
      <c r="B538" s="7" t="str">
        <f>IFERROR(__xludf.DUMMYFUNCTION("""COMPUTED_VALUE"""),"PXSX1")</f>
        <v>PXSX1</v>
      </c>
      <c r="C538" s="7" t="str">
        <f>IFERROR(__xludf.DUMMYFUNCTION("""COMPUTED_VALUE"""),"Test mẫu PXSX1")</f>
        <v>Test mẫu PXSX1</v>
      </c>
      <c r="D538" s="7" t="str">
        <f>IFERROR(__xludf.DUMMYFUNCTION("""COMPUTED_VALUE"""),"Test mẫu ")</f>
        <v>Test mẫu </v>
      </c>
      <c r="E538" s="7" t="str">
        <f>IFERROR(__xludf.DUMMYFUNCTION("""COMPUTED_VALUE"""),"NV Test mẫu")</f>
        <v>NV Test mẫu</v>
      </c>
      <c r="F538" s="7" t="str">
        <f>IFERROR(__xludf.DUMMYFUNCTION("""COMPUTED_VALUE"""),"NV2733")</f>
        <v>NV2733</v>
      </c>
      <c r="G538" s="7">
        <f>IFERROR(__xludf.DUMMYFUNCTION("""COMPUTED_VALUE"""),125.0)</f>
        <v>125</v>
      </c>
      <c r="H538" s="7" t="str">
        <f>IFERROR(__xludf.DUMMYFUNCTION("""COMPUTED_VALUE"""),"Lê Văn Quân")</f>
        <v>Lê Văn Quân</v>
      </c>
      <c r="I538" s="7" t="str">
        <f>IFERROR(__xludf.DUMMYFUNCTION("""COMPUTED_VALUE"""),"Nam")</f>
        <v>Nam</v>
      </c>
      <c r="J538" s="17">
        <f>IFERROR(__xludf.DUMMYFUNCTION("""COMPUTED_VALUE"""),33423.0)</f>
        <v>33423</v>
      </c>
      <c r="K538" s="7" t="str">
        <f>IFERROR(__xludf.DUMMYFUNCTION("""COMPUTED_VALUE"""),"Xã Đồng Tiến - Tỉnh Thanh Hóa")</f>
        <v>Xã Đồng Tiến - Tỉnh Thanh Hóa</v>
      </c>
      <c r="L538" s="7" t="str">
        <f>IFERROR(__xludf.DUMMYFUNCTION("""COMPUTED_VALUE"""),"0818710791")</f>
        <v>0818710791</v>
      </c>
      <c r="M538" s="7" t="str">
        <f>IFERROR(__xludf.DUMMYFUNCTION("""COMPUTED_VALUE"""),"038091018918")</f>
        <v>038091018918</v>
      </c>
      <c r="N538" s="17">
        <f>IFERROR(__xludf.DUMMYFUNCTION("""COMPUTED_VALUE"""),44389.0)</f>
        <v>44389</v>
      </c>
      <c r="O538" s="7" t="str">
        <f>IFERROR(__xludf.DUMMYFUNCTION("""COMPUTED_VALUE"""),"Cục Cảnh sát QLHC về TTXH")</f>
        <v>Cục Cảnh sát QLHC về TTXH</v>
      </c>
      <c r="P538" s="7" t="str">
        <f>IFERROR(__xludf.DUMMYFUNCTION("""COMPUTED_VALUE"""),"Cao đẳng")</f>
        <v>Cao đẳng</v>
      </c>
      <c r="Q538" s="7" t="str">
        <f>IFERROR(__xludf.DUMMYFUNCTION("""COMPUTED_VALUE"""),"Công nghệ kỹ thuật môi trường")</f>
        <v>Công nghệ kỹ thuật môi trường</v>
      </c>
      <c r="R538" s="17">
        <f>IFERROR(__xludf.DUMMYFUNCTION("""COMPUTED_VALUE"""),43871.0)</f>
        <v>43871</v>
      </c>
      <c r="S538" s="17">
        <f>IFERROR(__xludf.DUMMYFUNCTION("""COMPUTED_VALUE"""),44166.0)</f>
        <v>44166</v>
      </c>
      <c r="T538" s="7" t="str">
        <f>IFERROR(__xludf.DUMMYFUNCTION("""COMPUTED_VALUE"""),"Chính thức")</f>
        <v>Chính thức</v>
      </c>
      <c r="U538" s="7"/>
      <c r="V538" s="7"/>
      <c r="W538" s="7" t="str">
        <f>IFERROR(__xludf.DUMMYFUNCTION("""COMPUTED_VALUE"""),"5 năm 10 tháng")</f>
        <v>5 năm 10 tháng</v>
      </c>
      <c r="X538" s="7"/>
      <c r="Y538" s="7"/>
      <c r="Z538" s="7"/>
    </row>
    <row r="539">
      <c r="A539" s="21" t="str">
        <f>IFERROR(__xludf.DUMMYFUNCTION("""COMPUTED_VALUE"""),"3")</f>
        <v>3</v>
      </c>
      <c r="B539" s="7" t="str">
        <f>IFERROR(__xludf.DUMMYFUNCTION("""COMPUTED_VALUE"""),"PXSX1")</f>
        <v>PXSX1</v>
      </c>
      <c r="C539" s="7" t="str">
        <f>IFERROR(__xludf.DUMMYFUNCTION("""COMPUTED_VALUE"""),"Test mẫu PXSX1")</f>
        <v>Test mẫu PXSX1</v>
      </c>
      <c r="D539" s="7" t="str">
        <f>IFERROR(__xludf.DUMMYFUNCTION("""COMPUTED_VALUE"""),"Test mẫu ")</f>
        <v>Test mẫu </v>
      </c>
      <c r="E539" s="7" t="str">
        <f>IFERROR(__xludf.DUMMYFUNCTION("""COMPUTED_VALUE"""),"NV Test mẫu")</f>
        <v>NV Test mẫu</v>
      </c>
      <c r="F539" s="7" t="str">
        <f>IFERROR(__xludf.DUMMYFUNCTION("""COMPUTED_VALUE"""),"NV2737")</f>
        <v>NV2737</v>
      </c>
      <c r="G539" s="7">
        <f>IFERROR(__xludf.DUMMYFUNCTION("""COMPUTED_VALUE"""),775.0)</f>
        <v>775</v>
      </c>
      <c r="H539" s="7" t="str">
        <f>IFERROR(__xludf.DUMMYFUNCTION("""COMPUTED_VALUE"""),"Phạm Văn Thùy")</f>
        <v>Phạm Văn Thùy</v>
      </c>
      <c r="I539" s="7" t="str">
        <f>IFERROR(__xludf.DUMMYFUNCTION("""COMPUTED_VALUE"""),"Nam")</f>
        <v>Nam</v>
      </c>
      <c r="J539" s="17">
        <f>IFERROR(__xludf.DUMMYFUNCTION("""COMPUTED_VALUE"""),34931.0)</f>
        <v>34931</v>
      </c>
      <c r="K539" s="7" t="str">
        <f>IFERROR(__xludf.DUMMYFUNCTION("""COMPUTED_VALUE"""),"Phường Quảng Phú - Tỉnh Thanh Hóa")</f>
        <v>Phường Quảng Phú - Tỉnh Thanh Hóa</v>
      </c>
      <c r="L539" s="7" t="str">
        <f>IFERROR(__xludf.DUMMYFUNCTION("""COMPUTED_VALUE"""),"0943929313")</f>
        <v>0943929313</v>
      </c>
      <c r="M539" s="7" t="str">
        <f>IFERROR(__xludf.DUMMYFUNCTION("""COMPUTED_VALUE"""),"038095013205")</f>
        <v>038095013205</v>
      </c>
      <c r="N539" s="17">
        <f>IFERROR(__xludf.DUMMYFUNCTION("""COMPUTED_VALUE"""),44530.0)</f>
        <v>44530</v>
      </c>
      <c r="O539" s="7" t="str">
        <f>IFERROR(__xludf.DUMMYFUNCTION("""COMPUTED_VALUE"""),"Cục Cảnh sát QLHC về TTXH")</f>
        <v>Cục Cảnh sát QLHC về TTXH</v>
      </c>
      <c r="P539" s="7" t="str">
        <f>IFERROR(__xludf.DUMMYFUNCTION("""COMPUTED_VALUE"""),"Cao đẳng")</f>
        <v>Cao đẳng</v>
      </c>
      <c r="Q539" s="7" t="str">
        <f>IFERROR(__xludf.DUMMYFUNCTION("""COMPUTED_VALUE"""),"Công nghệ kỹ thuật hóa học")</f>
        <v>Công nghệ kỹ thuật hóa học</v>
      </c>
      <c r="R539" s="17">
        <f>IFERROR(__xludf.DUMMYFUNCTION("""COMPUTED_VALUE"""),43871.0)</f>
        <v>43871</v>
      </c>
      <c r="S539" s="17">
        <f>IFERROR(__xludf.DUMMYFUNCTION("""COMPUTED_VALUE"""),45108.0)</f>
        <v>45108</v>
      </c>
      <c r="T539" s="7" t="str">
        <f>IFERROR(__xludf.DUMMYFUNCTION("""COMPUTED_VALUE"""),"Chính thức")</f>
        <v>Chính thức</v>
      </c>
      <c r="U539" s="7"/>
      <c r="V539" s="7"/>
      <c r="W539" s="7" t="str">
        <f>IFERROR(__xludf.DUMMYFUNCTION("""COMPUTED_VALUE"""),"5 năm 10 tháng")</f>
        <v>5 năm 10 tháng</v>
      </c>
      <c r="X539" s="7"/>
      <c r="Y539" s="7"/>
      <c r="Z539" s="7"/>
    </row>
    <row r="540">
      <c r="A540" s="21" t="str">
        <f>IFERROR(__xludf.DUMMYFUNCTION("""COMPUTED_VALUE"""),"1")</f>
        <v>1</v>
      </c>
      <c r="B540" s="7" t="str">
        <f>IFERROR(__xludf.DUMMYFUNCTION("""COMPUTED_VALUE"""),"PXSX1")</f>
        <v>PXSX1</v>
      </c>
      <c r="C540" s="7" t="str">
        <f>IFERROR(__xludf.DUMMYFUNCTION("""COMPUTED_VALUE"""),"Bộ phận dự án")</f>
        <v>Bộ phận dự án</v>
      </c>
      <c r="D540" s="7" t="str">
        <f>IFERROR(__xludf.DUMMYFUNCTION("""COMPUTED_VALUE"""),"Bộ phận hành chính")</f>
        <v>Bộ phận hành chính</v>
      </c>
      <c r="E540" s="7" t="str">
        <f>IFERROR(__xludf.DUMMYFUNCTION("""COMPUTED_VALUE"""),"Cơ điện")</f>
        <v>Cơ điện</v>
      </c>
      <c r="F540" s="7" t="str">
        <f>IFERROR(__xludf.DUMMYFUNCTION("""COMPUTED_VALUE"""),"NV0460")</f>
        <v>NV0460</v>
      </c>
      <c r="G540" s="7">
        <f>IFERROR(__xludf.DUMMYFUNCTION("""COMPUTED_VALUE"""),147.0)</f>
        <v>147</v>
      </c>
      <c r="H540" s="7" t="str">
        <f>IFERROR(__xludf.DUMMYFUNCTION("""COMPUTED_VALUE"""),"Nguyễn Trọng Hợp")</f>
        <v>Nguyễn Trọng Hợp</v>
      </c>
      <c r="I540" s="7" t="str">
        <f>IFERROR(__xludf.DUMMYFUNCTION("""COMPUTED_VALUE"""),"Nam")</f>
        <v>Nam</v>
      </c>
      <c r="J540" s="17">
        <f>IFERROR(__xludf.DUMMYFUNCTION("""COMPUTED_VALUE"""),30200.0)</f>
        <v>30200</v>
      </c>
      <c r="K540" s="7" t="str">
        <f>IFERROR(__xludf.DUMMYFUNCTION("""COMPUTED_VALUE"""),"Xã Hoằng Hóa - Tỉnh Thanh Hóa")</f>
        <v>Xã Hoằng Hóa - Tỉnh Thanh Hóa</v>
      </c>
      <c r="L540" s="7" t="str">
        <f>IFERROR(__xludf.DUMMYFUNCTION("""COMPUTED_VALUE"""),"0965864300")</f>
        <v>0965864300</v>
      </c>
      <c r="M540" s="7" t="str">
        <f>IFERROR(__xludf.DUMMYFUNCTION("""COMPUTED_VALUE"""),"038082008338")</f>
        <v>038082008338</v>
      </c>
      <c r="N540" s="7"/>
      <c r="O540" s="7" t="str">
        <f>IFERROR(__xludf.DUMMYFUNCTION("""COMPUTED_VALUE"""),"Cục Cảnh sát QLHC về TTXH")</f>
        <v>Cục Cảnh sát QLHC về TTXH</v>
      </c>
      <c r="P540" s="7" t="str">
        <f>IFERROR(__xludf.DUMMYFUNCTION("""COMPUTED_VALUE"""),"LĐPT")</f>
        <v>LĐPT</v>
      </c>
      <c r="Q540" s="7" t="str">
        <f>IFERROR(__xludf.DUMMYFUNCTION("""COMPUTED_VALUE"""),"Lao động phổ thông")</f>
        <v>Lao động phổ thông</v>
      </c>
      <c r="R540" s="17">
        <f>IFERROR(__xludf.DUMMYFUNCTION("""COMPUTED_VALUE"""),39959.0)</f>
        <v>39959</v>
      </c>
      <c r="S540" s="17">
        <f>IFERROR(__xludf.DUMMYFUNCTION("""COMPUTED_VALUE"""),39959.0)</f>
        <v>39959</v>
      </c>
      <c r="T540" s="7" t="str">
        <f>IFERROR(__xludf.DUMMYFUNCTION("""COMPUTED_VALUE"""),"Chính thức")</f>
        <v>Chính thức</v>
      </c>
      <c r="U540" s="7"/>
      <c r="V540" s="7"/>
      <c r="W540" s="7" t="str">
        <f>IFERROR(__xludf.DUMMYFUNCTION("""COMPUTED_VALUE"""),"16 năm 7 tháng")</f>
        <v>16 năm 7 tháng</v>
      </c>
      <c r="X540" s="7"/>
      <c r="Y540" s="7"/>
      <c r="Z540" s="7"/>
    </row>
    <row r="541">
      <c r="A541" s="21" t="str">
        <f>IFERROR(__xludf.DUMMYFUNCTION("""COMPUTED_VALUE"""),"2")</f>
        <v>2</v>
      </c>
      <c r="B541" s="7" t="str">
        <f>IFERROR(__xludf.DUMMYFUNCTION("""COMPUTED_VALUE"""),"PXSX1")</f>
        <v>PXSX1</v>
      </c>
      <c r="C541" s="7" t="str">
        <f>IFERROR(__xludf.DUMMYFUNCTION("""COMPUTED_VALUE"""),"Bộ phận dự án")</f>
        <v>Bộ phận dự án</v>
      </c>
      <c r="D541" s="7" t="str">
        <f>IFERROR(__xludf.DUMMYFUNCTION("""COMPUTED_VALUE"""),"Bộ phận hành chính")</f>
        <v>Bộ phận hành chính</v>
      </c>
      <c r="E541" s="7" t="str">
        <f>IFERROR(__xludf.DUMMYFUNCTION("""COMPUTED_VALUE"""),"Cơ điện")</f>
        <v>Cơ điện</v>
      </c>
      <c r="F541" s="7" t="str">
        <f>IFERROR(__xludf.DUMMYFUNCTION("""COMPUTED_VALUE"""),"NV0104")</f>
        <v>NV0104</v>
      </c>
      <c r="G541" s="7">
        <f>IFERROR(__xludf.DUMMYFUNCTION("""COMPUTED_VALUE"""),818.0)</f>
        <v>818</v>
      </c>
      <c r="H541" s="7" t="str">
        <f>IFERROR(__xludf.DUMMYFUNCTION("""COMPUTED_VALUE"""),"Phạm Văn Hiệu")</f>
        <v>Phạm Văn Hiệu</v>
      </c>
      <c r="I541" s="7" t="str">
        <f>IFERROR(__xludf.DUMMYFUNCTION("""COMPUTED_VALUE"""),"Nam")</f>
        <v>Nam</v>
      </c>
      <c r="J541" s="17">
        <f>IFERROR(__xludf.DUMMYFUNCTION("""COMPUTED_VALUE"""),30487.0)</f>
        <v>30487</v>
      </c>
      <c r="K541" s="7" t="str">
        <f>IFERROR(__xludf.DUMMYFUNCTION("""COMPUTED_VALUE"""),"Xã Lưu Vệ - Tỉnh Thanh Hóa ")</f>
        <v>Xã Lưu Vệ - Tỉnh Thanh Hóa </v>
      </c>
      <c r="L541" s="7" t="str">
        <f>IFERROR(__xludf.DUMMYFUNCTION("""COMPUTED_VALUE"""),"0934367344")</f>
        <v>0934367344</v>
      </c>
      <c r="M541" s="7" t="str">
        <f>IFERROR(__xludf.DUMMYFUNCTION("""COMPUTED_VALUE"""),"038083017433")</f>
        <v>038083017433</v>
      </c>
      <c r="N541" s="17">
        <f>IFERROR(__xludf.DUMMYFUNCTION("""COMPUTED_VALUE"""),44375.0)</f>
        <v>44375</v>
      </c>
      <c r="O541" s="7" t="str">
        <f>IFERROR(__xludf.DUMMYFUNCTION("""COMPUTED_VALUE"""),"Cục Cảnh sát QLHC về TTXH")</f>
        <v>Cục Cảnh sát QLHC về TTXH</v>
      </c>
      <c r="P541" s="7" t="str">
        <f>IFERROR(__xludf.DUMMYFUNCTION("""COMPUTED_VALUE"""),"LĐPT")</f>
        <v>LĐPT</v>
      </c>
      <c r="Q541" s="7" t="str">
        <f>IFERROR(__xludf.DUMMYFUNCTION("""COMPUTED_VALUE"""),"Lao động phổ thông")</f>
        <v>Lao động phổ thông</v>
      </c>
      <c r="R541" s="17">
        <f>IFERROR(__xludf.DUMMYFUNCTION("""COMPUTED_VALUE"""),41731.0)</f>
        <v>41731</v>
      </c>
      <c r="S541" s="17">
        <f>IFERROR(__xludf.DUMMYFUNCTION("""COMPUTED_VALUE"""),41731.0)</f>
        <v>41731</v>
      </c>
      <c r="T541" s="7" t="str">
        <f>IFERROR(__xludf.DUMMYFUNCTION("""COMPUTED_VALUE"""),"Chính thức")</f>
        <v>Chính thức</v>
      </c>
      <c r="U541" s="7"/>
      <c r="V541" s="7"/>
      <c r="W541" s="7" t="str">
        <f>IFERROR(__xludf.DUMMYFUNCTION("""COMPUTED_VALUE"""),"11 năm 8 tháng")</f>
        <v>11 năm 8 tháng</v>
      </c>
      <c r="X541" s="7"/>
      <c r="Y541" s="7"/>
      <c r="Z541" s="7"/>
    </row>
    <row r="542">
      <c r="A542" s="21" t="str">
        <f>IFERROR(__xludf.DUMMYFUNCTION("""COMPUTED_VALUE"""),"1")</f>
        <v>1</v>
      </c>
      <c r="B542" s="7" t="str">
        <f>IFERROR(__xludf.DUMMYFUNCTION("""COMPUTED_VALUE"""),"PXSX1")</f>
        <v>PXSX1</v>
      </c>
      <c r="C542" s="7" t="str">
        <f>IFERROR(__xludf.DUMMYFUNCTION("""COMPUTED_VALUE"""),"Phòng công nghệ")</f>
        <v>Phòng công nghệ</v>
      </c>
      <c r="D542" s="7" t="str">
        <f>IFERROR(__xludf.DUMMYFUNCTION("""COMPUTED_VALUE"""),"Bộ phận hành chính")</f>
        <v>Bộ phận hành chính</v>
      </c>
      <c r="E542" s="7" t="str">
        <f>IFERROR(__xludf.DUMMYFUNCTION("""COMPUTED_VALUE"""),"Giám đốc công nghệ")</f>
        <v>Giám đốc công nghệ</v>
      </c>
      <c r="F542" s="7"/>
      <c r="G542" s="7"/>
      <c r="H542" s="7" t="str">
        <f>IFERROR(__xludf.DUMMYFUNCTION("""COMPUTED_VALUE"""),"Vankateswarlu")</f>
        <v>Vankateswarlu</v>
      </c>
      <c r="I542" s="7" t="str">
        <f>IFERROR(__xludf.DUMMYFUNCTION("""COMPUTED_VALUE"""),"Nam")</f>
        <v>Nam</v>
      </c>
      <c r="J542" s="17">
        <f>IFERROR(__xludf.DUMMYFUNCTION("""COMPUTED_VALUE"""),28356.0)</f>
        <v>28356</v>
      </c>
      <c r="K542" s="7" t="str">
        <f>IFERROR(__xludf.DUMMYFUNCTION("""COMPUTED_VALUE"""),"Phường Hạc Thành - Tỉnh Thanh Hóa")</f>
        <v>Phường Hạc Thành - Tỉnh Thanh Hóa</v>
      </c>
      <c r="L542" s="7"/>
      <c r="M542" s="7"/>
      <c r="N542" s="7"/>
      <c r="O542" s="7" t="str">
        <f>IFERROR(__xludf.DUMMYFUNCTION("""COMPUTED_VALUE"""),"Cục Cảnh sát QLHC về TTXH")</f>
        <v>Cục Cảnh sát QLHC về TTXH</v>
      </c>
      <c r="P542" s="7" t="str">
        <f>IFERROR(__xludf.DUMMYFUNCTION("""COMPUTED_VALUE"""),"Đại học")</f>
        <v>Đại học</v>
      </c>
      <c r="Q542" s="7" t="str">
        <f>IFERROR(__xludf.DUMMYFUNCTION("""COMPUTED_VALUE"""),"Kỹ sư chuyên ngành gốm sứ")</f>
        <v>Kỹ sư chuyên ngành gốm sứ</v>
      </c>
      <c r="R542" s="17">
        <f>IFERROR(__xludf.DUMMYFUNCTION("""COMPUTED_VALUE"""),45828.0)</f>
        <v>45828</v>
      </c>
      <c r="S542" s="17">
        <f>IFERROR(__xludf.DUMMYFUNCTION("""COMPUTED_VALUE"""),45828.0)</f>
        <v>45828</v>
      </c>
      <c r="T542" s="7" t="str">
        <f>IFERROR(__xludf.DUMMYFUNCTION("""COMPUTED_VALUE"""),"Chính thức")</f>
        <v>Chính thức</v>
      </c>
      <c r="U542" s="7"/>
      <c r="V542" s="7" t="str">
        <f>IFERROR(__xludf.DUMMYFUNCTION("""COMPUTED_VALUE"""),"Chính thức")</f>
        <v>Chính thức</v>
      </c>
      <c r="W542" s="7" t="str">
        <f>IFERROR(__xludf.DUMMYFUNCTION("""COMPUTED_VALUE"""),"0 năm 6 tháng")</f>
        <v>0 năm 6 tháng</v>
      </c>
      <c r="X542" s="7"/>
      <c r="Y542" s="7"/>
      <c r="Z542" s="7"/>
    </row>
    <row r="543">
      <c r="A543" s="21" t="str">
        <f>IFERROR(__xludf.DUMMYFUNCTION("""COMPUTED_VALUE"""),"2")</f>
        <v>2</v>
      </c>
      <c r="B543" s="7" t="str">
        <f>IFERROR(__xludf.DUMMYFUNCTION("""COMPUTED_VALUE"""),"PXSX1")</f>
        <v>PXSX1</v>
      </c>
      <c r="C543" s="7" t="str">
        <f>IFERROR(__xludf.DUMMYFUNCTION("""COMPUTED_VALUE"""),"Phòng công nghệ")</f>
        <v>Phòng công nghệ</v>
      </c>
      <c r="D543" s="7" t="str">
        <f>IFERROR(__xludf.DUMMYFUNCTION("""COMPUTED_VALUE"""),"Bộ phận hành chính")</f>
        <v>Bộ phận hành chính</v>
      </c>
      <c r="E543" s="7" t="str">
        <f>IFERROR(__xludf.DUMMYFUNCTION("""COMPUTED_VALUE"""),"Trợ lý giám đốc công nghệ")</f>
        <v>Trợ lý giám đốc công nghệ</v>
      </c>
      <c r="F543" s="7" t="str">
        <f>IFERROR(__xludf.DUMMYFUNCTION("""COMPUTED_VALUE"""),"NV0443")</f>
        <v>NV0443</v>
      </c>
      <c r="G543" s="7">
        <f>IFERROR(__xludf.DUMMYFUNCTION("""COMPUTED_VALUE"""),182.0)</f>
        <v>182</v>
      </c>
      <c r="H543" s="7" t="str">
        <f>IFERROR(__xludf.DUMMYFUNCTION("""COMPUTED_VALUE"""),"Lê Văn Bình")</f>
        <v>Lê Văn Bình</v>
      </c>
      <c r="I543" s="7" t="str">
        <f>IFERROR(__xludf.DUMMYFUNCTION("""COMPUTED_VALUE"""),"Nam")</f>
        <v>Nam</v>
      </c>
      <c r="J543" s="17">
        <f>IFERROR(__xludf.DUMMYFUNCTION("""COMPUTED_VALUE"""),29299.0)</f>
        <v>29299</v>
      </c>
      <c r="K543" s="7" t="str">
        <f>IFERROR(__xludf.DUMMYFUNCTION("""COMPUTED_VALUE"""),"03/11/103 Đường Bạch Đằng - Phường Quảng Phú - Tỉnh Thanh hóa ")</f>
        <v>03/11/103 Đường Bạch Đằng - Phường Quảng Phú - Tỉnh Thanh hóa </v>
      </c>
      <c r="L543" s="7" t="str">
        <f>IFERROR(__xludf.DUMMYFUNCTION("""COMPUTED_VALUE"""),"0914351407")</f>
        <v>0914351407</v>
      </c>
      <c r="M543" s="7" t="str">
        <f>IFERROR(__xludf.DUMMYFUNCTION("""COMPUTED_VALUE"""),"038080034257")</f>
        <v>038080034257</v>
      </c>
      <c r="N543" s="17">
        <f>IFERROR(__xludf.DUMMYFUNCTION("""COMPUTED_VALUE"""),44445.0)</f>
        <v>44445</v>
      </c>
      <c r="O543" s="7" t="str">
        <f>IFERROR(__xludf.DUMMYFUNCTION("""COMPUTED_VALUE"""),"Cục Cảnh sát QLHC về TTXH")</f>
        <v>Cục Cảnh sát QLHC về TTXH</v>
      </c>
      <c r="P543" s="7" t="str">
        <f>IFERROR(__xludf.DUMMYFUNCTION("""COMPUTED_VALUE"""),"Đại học")</f>
        <v>Đại học</v>
      </c>
      <c r="Q543" s="7" t="str">
        <f>IFERROR(__xludf.DUMMYFUNCTION("""COMPUTED_VALUE"""),"Công nghệ hóa học")</f>
        <v>Công nghệ hóa học</v>
      </c>
      <c r="R543" s="17">
        <f>IFERROR(__xludf.DUMMYFUNCTION("""COMPUTED_VALUE"""),39264.0)</f>
        <v>39264</v>
      </c>
      <c r="S543" s="17">
        <f>IFERROR(__xludf.DUMMYFUNCTION("""COMPUTED_VALUE"""),39264.0)</f>
        <v>39264</v>
      </c>
      <c r="T543" s="7" t="str">
        <f>IFERROR(__xludf.DUMMYFUNCTION("""COMPUTED_VALUE"""),"Chính thức")</f>
        <v>Chính thức</v>
      </c>
      <c r="U543" s="7"/>
      <c r="V543" s="7" t="str">
        <f>IFERROR(__xludf.DUMMYFUNCTION("""COMPUTED_VALUE"""),"Chính thức")</f>
        <v>Chính thức</v>
      </c>
      <c r="W543" s="7" t="str">
        <f>IFERROR(__xludf.DUMMYFUNCTION("""COMPUTED_VALUE"""),"18 năm 5 tháng")</f>
        <v>18 năm 5 tháng</v>
      </c>
      <c r="X543" s="7"/>
      <c r="Y543" s="7"/>
      <c r="Z543" s="7"/>
    </row>
    <row r="544">
      <c r="A544" s="21" t="str">
        <f>IFERROR(__xludf.DUMMYFUNCTION("""COMPUTED_VALUE"""),"3")</f>
        <v>3</v>
      </c>
      <c r="B544" s="7" t="str">
        <f>IFERROR(__xludf.DUMMYFUNCTION("""COMPUTED_VALUE"""),"PXSX1")</f>
        <v>PXSX1</v>
      </c>
      <c r="C544" s="7" t="str">
        <f>IFERROR(__xludf.DUMMYFUNCTION("""COMPUTED_VALUE"""),"Phòng công nghệ")</f>
        <v>Phòng công nghệ</v>
      </c>
      <c r="D544" s="7" t="str">
        <f>IFERROR(__xludf.DUMMYFUNCTION("""COMPUTED_VALUE"""),"Bộ phận hành chính")</f>
        <v>Bộ phận hành chính</v>
      </c>
      <c r="E544" s="7" t="str">
        <f>IFERROR(__xludf.DUMMYFUNCTION("""COMPUTED_VALUE"""),"Phiên dịch")</f>
        <v>Phiên dịch</v>
      </c>
      <c r="F544" s="7" t="str">
        <f>IFERROR(__xludf.DUMMYFUNCTION("""COMPUTED_VALUE"""),"NV5617")</f>
        <v>NV5617</v>
      </c>
      <c r="G544" s="7">
        <f>IFERROR(__xludf.DUMMYFUNCTION("""COMPUTED_VALUE"""),1013.0)</f>
        <v>1013</v>
      </c>
      <c r="H544" s="7" t="str">
        <f>IFERROR(__xludf.DUMMYFUNCTION("""COMPUTED_VALUE"""),"Lê Bá Long")</f>
        <v>Lê Bá Long</v>
      </c>
      <c r="I544" s="7" t="str">
        <f>IFERROR(__xludf.DUMMYFUNCTION("""COMPUTED_VALUE"""),"Nam")</f>
        <v>Nam</v>
      </c>
      <c r="J544" s="17">
        <f>IFERROR(__xludf.DUMMYFUNCTION("""COMPUTED_VALUE"""),37013.0)</f>
        <v>37013</v>
      </c>
      <c r="K544" s="7" t="str">
        <f>IFERROR(__xludf.DUMMYFUNCTION("""COMPUTED_VALUE"""),"153/Nguyễn Trãi - Phường Hạc Thành - Tỉnh Thanh Hóa")</f>
        <v>153/Nguyễn Trãi - Phường Hạc Thành - Tỉnh Thanh Hóa</v>
      </c>
      <c r="L544" s="7" t="str">
        <f>IFERROR(__xludf.DUMMYFUNCTION("""COMPUTED_VALUE"""),"0815103636")</f>
        <v>0815103636</v>
      </c>
      <c r="M544" s="7" t="str">
        <f>IFERROR(__xludf.DUMMYFUNCTION("""COMPUTED_VALUE"""),"038201000702")</f>
        <v>038201000702</v>
      </c>
      <c r="N544" s="17">
        <f>IFERROR(__xludf.DUMMYFUNCTION("""COMPUTED_VALUE"""),44375.0)</f>
        <v>44375</v>
      </c>
      <c r="O544" s="7" t="str">
        <f>IFERROR(__xludf.DUMMYFUNCTION("""COMPUTED_VALUE"""),"Cục Cảnh sát QLHC về TTXH")</f>
        <v>Cục Cảnh sát QLHC về TTXH</v>
      </c>
      <c r="P544" s="7" t="str">
        <f>IFERROR(__xludf.DUMMYFUNCTION("""COMPUTED_VALUE"""),"Đại học")</f>
        <v>Đại học</v>
      </c>
      <c r="Q544" s="7" t="str">
        <f>IFERROR(__xludf.DUMMYFUNCTION("""COMPUTED_VALUE"""),"Cử nhân ngôn ngữ Anh")</f>
        <v>Cử nhân ngôn ngữ Anh</v>
      </c>
      <c r="R544" s="17">
        <f>IFERROR(__xludf.DUMMYFUNCTION("""COMPUTED_VALUE"""),45849.0)</f>
        <v>45849</v>
      </c>
      <c r="S544" s="17">
        <f>IFERROR(__xludf.DUMMYFUNCTION("""COMPUTED_VALUE"""),45880.0)</f>
        <v>45880</v>
      </c>
      <c r="T544" s="7" t="str">
        <f>IFERROR(__xludf.DUMMYFUNCTION("""COMPUTED_VALUE"""),"Thử việc")</f>
        <v>Thử việc</v>
      </c>
      <c r="U544" s="7"/>
      <c r="V544" s="7" t="str">
        <f>IFERROR(__xludf.DUMMYFUNCTION("""COMPUTED_VALUE"""),"Thử việc")</f>
        <v>Thử việc</v>
      </c>
      <c r="W544" s="7" t="str">
        <f>IFERROR(__xludf.DUMMYFUNCTION("""COMPUTED_VALUE"""),"0 năm 5 tháng")</f>
        <v>0 năm 5 tháng</v>
      </c>
      <c r="X544" s="7"/>
      <c r="Y544" s="7"/>
      <c r="Z544" s="7"/>
    </row>
    <row r="545">
      <c r="A545" s="21" t="str">
        <f>IFERROR(__xludf.DUMMYFUNCTION("""COMPUTED_VALUE"""),"1")</f>
        <v>1</v>
      </c>
      <c r="B545" s="7" t="str">
        <f>IFERROR(__xludf.DUMMYFUNCTION("""COMPUTED_VALUE"""),"PXSX1")</f>
        <v>PXSX1</v>
      </c>
      <c r="C545" s="7" t="str">
        <f>IFERROR(__xludf.DUMMYFUNCTION("""COMPUTED_VALUE"""),"Phòng công nghệ")</f>
        <v>Phòng công nghệ</v>
      </c>
      <c r="D545" s="7" t="str">
        <f>IFERROR(__xludf.DUMMYFUNCTION("""COMPUTED_VALUE"""),"Tổ kỹ thuật PXSX1")</f>
        <v>Tổ kỹ thuật PXSX1</v>
      </c>
      <c r="E545" s="7" t="str">
        <f>IFERROR(__xludf.DUMMYFUNCTION("""COMPUTED_VALUE"""),"CBKT Công nghệ")</f>
        <v>CBKT Công nghệ</v>
      </c>
      <c r="F545" s="7" t="str">
        <f>IFERROR(__xludf.DUMMYFUNCTION("""COMPUTED_VALUE"""),"NV0057")</f>
        <v>NV0057</v>
      </c>
      <c r="G545" s="7">
        <f>IFERROR(__xludf.DUMMYFUNCTION("""COMPUTED_VALUE"""),175.0)</f>
        <v>175</v>
      </c>
      <c r="H545" s="7" t="str">
        <f>IFERROR(__xludf.DUMMYFUNCTION("""COMPUTED_VALUE"""),"Phạm Hồng Như")</f>
        <v>Phạm Hồng Như</v>
      </c>
      <c r="I545" s="7" t="str">
        <f>IFERROR(__xludf.DUMMYFUNCTION("""COMPUTED_VALUE"""),"Nữ ")</f>
        <v>Nữ </v>
      </c>
      <c r="J545" s="17">
        <f>IFERROR(__xludf.DUMMYFUNCTION("""COMPUTED_VALUE"""),29122.0)</f>
        <v>29122</v>
      </c>
      <c r="K545" s="7" t="str">
        <f>IFERROR(__xludf.DUMMYFUNCTION("""COMPUTED_VALUE"""),"Phường Quảng Phú - Tỉnh Thanh hóa ")</f>
        <v>Phường Quảng Phú - Tỉnh Thanh hóa </v>
      </c>
      <c r="L545" s="7" t="str">
        <f>IFERROR(__xludf.DUMMYFUNCTION("""COMPUTED_VALUE"""),"0337885437")</f>
        <v>0337885437</v>
      </c>
      <c r="M545" s="7" t="str">
        <f>IFERROR(__xludf.DUMMYFUNCTION("""COMPUTED_VALUE"""),"038179029009")</f>
        <v>038179029009</v>
      </c>
      <c r="N545" s="17">
        <f>IFERROR(__xludf.DUMMYFUNCTION("""COMPUTED_VALUE"""),44447.0)</f>
        <v>44447</v>
      </c>
      <c r="O545" s="7" t="str">
        <f>IFERROR(__xludf.DUMMYFUNCTION("""COMPUTED_VALUE"""),"Cục Cảnh sát QLHC về TTXH")</f>
        <v>Cục Cảnh sát QLHC về TTXH</v>
      </c>
      <c r="P545" s="7" t="str">
        <f>IFERROR(__xludf.DUMMYFUNCTION("""COMPUTED_VALUE"""),"Đại học")</f>
        <v>Đại học</v>
      </c>
      <c r="Q545" s="7" t="str">
        <f>IFERROR(__xludf.DUMMYFUNCTION("""COMPUTED_VALUE"""),"Kỹ sư hóa Sillcat")</f>
        <v>Kỹ sư hóa Sillcat</v>
      </c>
      <c r="R545" s="17">
        <f>IFERROR(__xludf.DUMMYFUNCTION("""COMPUTED_VALUE"""),37803.0)</f>
        <v>37803</v>
      </c>
      <c r="S545" s="17">
        <f>IFERROR(__xludf.DUMMYFUNCTION("""COMPUTED_VALUE"""),37803.0)</f>
        <v>37803</v>
      </c>
      <c r="T545" s="7" t="str">
        <f>IFERROR(__xludf.DUMMYFUNCTION("""COMPUTED_VALUE"""),"Chính thức")</f>
        <v>Chính thức</v>
      </c>
      <c r="U545" s="7"/>
      <c r="V545" s="7"/>
      <c r="W545" s="7" t="str">
        <f>IFERROR(__xludf.DUMMYFUNCTION("""COMPUTED_VALUE"""),"22 năm 5 tháng")</f>
        <v>22 năm 5 tháng</v>
      </c>
      <c r="X545" s="7"/>
      <c r="Y545" s="7"/>
      <c r="Z545" s="7"/>
    </row>
    <row r="546">
      <c r="A546" s="21" t="str">
        <f>IFERROR(__xludf.DUMMYFUNCTION("""COMPUTED_VALUE"""),"2")</f>
        <v>2</v>
      </c>
      <c r="B546" s="7" t="str">
        <f>IFERROR(__xludf.DUMMYFUNCTION("""COMPUTED_VALUE"""),"PXSX1")</f>
        <v>PXSX1</v>
      </c>
      <c r="C546" s="7" t="str">
        <f>IFERROR(__xludf.DUMMYFUNCTION("""COMPUTED_VALUE"""),"Phòng công nghệ")</f>
        <v>Phòng công nghệ</v>
      </c>
      <c r="D546" s="7" t="str">
        <f>IFERROR(__xludf.DUMMYFUNCTION("""COMPUTED_VALUE"""),"Tổ kỹ thuật PXSX1")</f>
        <v>Tổ kỹ thuật PXSX1</v>
      </c>
      <c r="E546" s="7" t="str">
        <f>IFERROR(__xludf.DUMMYFUNCTION("""COMPUTED_VALUE"""),"Trưởng bộ phận công nghệ")</f>
        <v>Trưởng bộ phận công nghệ</v>
      </c>
      <c r="F546" s="7" t="str">
        <f>IFERROR(__xludf.DUMMYFUNCTION("""COMPUTED_VALUE"""),"NV0426")</f>
        <v>NV0426</v>
      </c>
      <c r="G546" s="7">
        <f>IFERROR(__xludf.DUMMYFUNCTION("""COMPUTED_VALUE"""),543.0)</f>
        <v>543</v>
      </c>
      <c r="H546" s="7" t="str">
        <f>IFERROR(__xludf.DUMMYFUNCTION("""COMPUTED_VALUE"""),"Đặng Ngọc Điệp")</f>
        <v>Đặng Ngọc Điệp</v>
      </c>
      <c r="I546" s="7" t="str">
        <f>IFERROR(__xludf.DUMMYFUNCTION("""COMPUTED_VALUE"""),"Nam")</f>
        <v>Nam</v>
      </c>
      <c r="J546" s="17">
        <f>IFERROR(__xludf.DUMMYFUNCTION("""COMPUTED_VALUE"""),30196.0)</f>
        <v>30196</v>
      </c>
      <c r="K546" s="7" t="str">
        <f>IFERROR(__xludf.DUMMYFUNCTION("""COMPUTED_VALUE"""),"Quảng Xá - Xã Thiệu QuangTỉnh - Tỉnh Thanh Hóa")</f>
        <v>Quảng Xá - Xã Thiệu QuangTỉnh - Tỉnh Thanh Hóa</v>
      </c>
      <c r="L546" s="7" t="str">
        <f>IFERROR(__xludf.DUMMYFUNCTION("""COMPUTED_VALUE"""),"0978936168")</f>
        <v>0978936168</v>
      </c>
      <c r="M546" s="7" t="str">
        <f>IFERROR(__xludf.DUMMYFUNCTION("""COMPUTED_VALUE"""),"038082007688")</f>
        <v>038082007688</v>
      </c>
      <c r="N546" s="17">
        <f>IFERROR(__xludf.DUMMYFUNCTION("""COMPUTED_VALUE"""),44428.0)</f>
        <v>44428</v>
      </c>
      <c r="O546" s="7" t="str">
        <f>IFERROR(__xludf.DUMMYFUNCTION("""COMPUTED_VALUE"""),"Cục Cảnh sát QLHC về TTXH")</f>
        <v>Cục Cảnh sát QLHC về TTXH</v>
      </c>
      <c r="P546" s="7" t="str">
        <f>IFERROR(__xludf.DUMMYFUNCTION("""COMPUTED_VALUE"""),"Kỹ sư")</f>
        <v>Kỹ sư</v>
      </c>
      <c r="Q546" s="7" t="str">
        <f>IFERROR(__xludf.DUMMYFUNCTION("""COMPUTED_VALUE"""),"Hóa học")</f>
        <v>Hóa học</v>
      </c>
      <c r="R546" s="17">
        <f>IFERROR(__xludf.DUMMYFUNCTION("""COMPUTED_VALUE"""),39246.0)</f>
        <v>39246</v>
      </c>
      <c r="S546" s="17">
        <f>IFERROR(__xludf.DUMMYFUNCTION("""COMPUTED_VALUE"""),39246.0)</f>
        <v>39246</v>
      </c>
      <c r="T546" s="7" t="str">
        <f>IFERROR(__xludf.DUMMYFUNCTION("""COMPUTED_VALUE"""),"Chính thức")</f>
        <v>Chính thức</v>
      </c>
      <c r="U546" s="7"/>
      <c r="V546" s="7" t="str">
        <f>IFERROR(__xludf.DUMMYFUNCTION("""COMPUTED_VALUE"""),"Chính thức")</f>
        <v>Chính thức</v>
      </c>
      <c r="W546" s="7" t="str">
        <f>IFERROR(__xludf.DUMMYFUNCTION("""COMPUTED_VALUE"""),"18 năm 6 tháng")</f>
        <v>18 năm 6 tháng</v>
      </c>
      <c r="X546" s="7"/>
      <c r="Y546" s="7"/>
      <c r="Z546" s="7"/>
    </row>
    <row r="547">
      <c r="A547" s="21" t="str">
        <f>IFERROR(__xludf.DUMMYFUNCTION("""COMPUTED_VALUE"""),"3")</f>
        <v>3</v>
      </c>
      <c r="B547" s="7" t="str">
        <f>IFERROR(__xludf.DUMMYFUNCTION("""COMPUTED_VALUE"""),"PXSX1")</f>
        <v>PXSX1</v>
      </c>
      <c r="C547" s="7" t="str">
        <f>IFERROR(__xludf.DUMMYFUNCTION("""COMPUTED_VALUE"""),"Phòng công nghệ")</f>
        <v>Phòng công nghệ</v>
      </c>
      <c r="D547" s="7" t="str">
        <f>IFERROR(__xludf.DUMMYFUNCTION("""COMPUTED_VALUE"""),"Tổ kỹ thuật PXSX1")</f>
        <v>Tổ kỹ thuật PXSX1</v>
      </c>
      <c r="E547" s="7" t="str">
        <f>IFERROR(__xludf.DUMMYFUNCTION("""COMPUTED_VALUE"""),"Nhân viên Công nghệ")</f>
        <v>Nhân viên Công nghệ</v>
      </c>
      <c r="F547" s="7" t="str">
        <f>IFERROR(__xludf.DUMMYFUNCTION("""COMPUTED_VALUE"""),"NV5578")</f>
        <v>NV5578</v>
      </c>
      <c r="G547" s="7">
        <f>IFERROR(__xludf.DUMMYFUNCTION("""COMPUTED_VALUE"""),1064.0)</f>
        <v>1064</v>
      </c>
      <c r="H547" s="7" t="str">
        <f>IFERROR(__xludf.DUMMYFUNCTION("""COMPUTED_VALUE"""),"Lê Thanh Tiến")</f>
        <v>Lê Thanh Tiến</v>
      </c>
      <c r="I547" s="7" t="str">
        <f>IFERROR(__xludf.DUMMYFUNCTION("""COMPUTED_VALUE"""),"Nam")</f>
        <v>Nam</v>
      </c>
      <c r="J547" s="17">
        <f>IFERROR(__xludf.DUMMYFUNCTION("""COMPUTED_VALUE"""),30541.0)</f>
        <v>30541</v>
      </c>
      <c r="K547" s="7" t="str">
        <f>IFERROR(__xludf.DUMMYFUNCTION("""COMPUTED_VALUE"""),"Xã Nông Cống - Tỉnh Thanh Hóa")</f>
        <v>Xã Nông Cống - Tỉnh Thanh Hóa</v>
      </c>
      <c r="L547" s="7" t="str">
        <f>IFERROR(__xludf.DUMMYFUNCTION("""COMPUTED_VALUE"""),"0936363686")</f>
        <v>0936363686</v>
      </c>
      <c r="M547" s="7" t="str">
        <f>IFERROR(__xludf.DUMMYFUNCTION("""COMPUTED_VALUE"""),"038083007998")</f>
        <v>038083007998</v>
      </c>
      <c r="N547" s="17">
        <f>IFERROR(__xludf.DUMMYFUNCTION("""COMPUTED_VALUE"""),45059.0)</f>
        <v>45059</v>
      </c>
      <c r="O547" s="7" t="str">
        <f>IFERROR(__xludf.DUMMYFUNCTION("""COMPUTED_VALUE"""),"Cục Cảnh sát QLHC về TTXH")</f>
        <v>Cục Cảnh sát QLHC về TTXH</v>
      </c>
      <c r="P547" s="7" t="str">
        <f>IFERROR(__xludf.DUMMYFUNCTION("""COMPUTED_VALUE"""),"Kỹ sư")</f>
        <v>Kỹ sư</v>
      </c>
      <c r="Q547" s="7" t="str">
        <f>IFERROR(__xludf.DUMMYFUNCTION("""COMPUTED_VALUE"""),"Kỹ sư Hóa học")</f>
        <v>Kỹ sư Hóa học</v>
      </c>
      <c r="R547" s="17">
        <f>IFERROR(__xludf.DUMMYFUNCTION("""COMPUTED_VALUE"""),45838.0)</f>
        <v>45838</v>
      </c>
      <c r="S547" s="7"/>
      <c r="T547" s="7" t="str">
        <f>IFERROR(__xludf.DUMMYFUNCTION("""COMPUTED_VALUE"""),"Chính thức")</f>
        <v>Chính thức</v>
      </c>
      <c r="U547" s="7"/>
      <c r="V547" s="7"/>
      <c r="W547" s="7" t="str">
        <f>IFERROR(__xludf.DUMMYFUNCTION("""COMPUTED_VALUE"""),"0 năm 6 tháng")</f>
        <v>0 năm 6 tháng</v>
      </c>
      <c r="X547" s="7"/>
      <c r="Y547" s="7"/>
      <c r="Z547" s="7"/>
    </row>
    <row r="548">
      <c r="A548" s="21" t="str">
        <f>IFERROR(__xludf.DUMMYFUNCTION("""COMPUTED_VALUE"""),"4")</f>
        <v>4</v>
      </c>
      <c r="B548" s="7" t="str">
        <f>IFERROR(__xludf.DUMMYFUNCTION("""COMPUTED_VALUE"""),"PXSX1")</f>
        <v>PXSX1</v>
      </c>
      <c r="C548" s="7" t="str">
        <f>IFERROR(__xludf.DUMMYFUNCTION("""COMPUTED_VALUE"""),"Phòng công nghệ")</f>
        <v>Phòng công nghệ</v>
      </c>
      <c r="D548" s="7" t="str">
        <f>IFERROR(__xludf.DUMMYFUNCTION("""COMPUTED_VALUE"""),"Tổ kỹ thuật PXSX1")</f>
        <v>Tổ kỹ thuật PXSX1</v>
      </c>
      <c r="E548" s="7" t="str">
        <f>IFERROR(__xludf.DUMMYFUNCTION("""COMPUTED_VALUE"""),"NV phòng hoá")</f>
        <v>NV phòng hoá</v>
      </c>
      <c r="F548" s="7" t="str">
        <f>IFERROR(__xludf.DUMMYFUNCTION("""COMPUTED_VALUE"""),"NV0062")</f>
        <v>NV0062</v>
      </c>
      <c r="G548" s="7">
        <f>IFERROR(__xludf.DUMMYFUNCTION("""COMPUTED_VALUE"""),200.0)</f>
        <v>200</v>
      </c>
      <c r="H548" s="7" t="str">
        <f>IFERROR(__xludf.DUMMYFUNCTION("""COMPUTED_VALUE"""),"Trần Văn Toàn")</f>
        <v>Trần Văn Toàn</v>
      </c>
      <c r="I548" s="7" t="str">
        <f>IFERROR(__xludf.DUMMYFUNCTION("""COMPUTED_VALUE"""),"Nam")</f>
        <v>Nam</v>
      </c>
      <c r="J548" s="17">
        <f>IFERROR(__xludf.DUMMYFUNCTION("""COMPUTED_VALUE"""),31978.0)</f>
        <v>31978</v>
      </c>
      <c r="K548" s="7" t="str">
        <f>IFERROR(__xludf.DUMMYFUNCTION("""COMPUTED_VALUE"""),"Phường Quảng Phú - Tỉnh Thanh Hóa")</f>
        <v>Phường Quảng Phú - Tỉnh Thanh Hóa</v>
      </c>
      <c r="L548" s="7" t="str">
        <f>IFERROR(__xludf.DUMMYFUNCTION("""COMPUTED_VALUE"""),"0987554698")</f>
        <v>0987554698</v>
      </c>
      <c r="M548" s="7" t="str">
        <f>IFERROR(__xludf.DUMMYFUNCTION("""COMPUTED_VALUE"""),"038089013219")</f>
        <v>038089013219</v>
      </c>
      <c r="N548" s="17">
        <f>IFERROR(__xludf.DUMMYFUNCTION("""COMPUTED_VALUE"""),44418.0)</f>
        <v>44418</v>
      </c>
      <c r="O548" s="7" t="str">
        <f>IFERROR(__xludf.DUMMYFUNCTION("""COMPUTED_VALUE"""),"Cục Cảnh sát QLHC về TTXH")</f>
        <v>Cục Cảnh sát QLHC về TTXH</v>
      </c>
      <c r="P548" s="7" t="str">
        <f>IFERROR(__xludf.DUMMYFUNCTION("""COMPUTED_VALUE"""),"Cử nhân")</f>
        <v>Cử nhân</v>
      </c>
      <c r="Q548" s="7" t="str">
        <f>IFERROR(__xludf.DUMMYFUNCTION("""COMPUTED_VALUE"""),"Công nghệ hóa học")</f>
        <v>Công nghệ hóa học</v>
      </c>
      <c r="R548" s="17">
        <f>IFERROR(__xludf.DUMMYFUNCTION("""COMPUTED_VALUE"""),42213.0)</f>
        <v>42213</v>
      </c>
      <c r="S548" s="17">
        <f>IFERROR(__xludf.DUMMYFUNCTION("""COMPUTED_VALUE"""),42523.0)</f>
        <v>42523</v>
      </c>
      <c r="T548" s="7" t="str">
        <f>IFERROR(__xludf.DUMMYFUNCTION("""COMPUTED_VALUE"""),"Chính thức")</f>
        <v>Chính thức</v>
      </c>
      <c r="U548" s="7"/>
      <c r="V548" s="7"/>
      <c r="W548" s="7" t="str">
        <f>IFERROR(__xludf.DUMMYFUNCTION("""COMPUTED_VALUE"""),"10 năm 5 tháng")</f>
        <v>10 năm 5 tháng</v>
      </c>
      <c r="X548" s="7"/>
      <c r="Y548" s="7"/>
      <c r="Z548" s="7"/>
    </row>
    <row r="549">
      <c r="A549" s="21" t="str">
        <f>IFERROR(__xludf.DUMMYFUNCTION("""COMPUTED_VALUE"""),"5")</f>
        <v>5</v>
      </c>
      <c r="B549" s="7" t="str">
        <f>IFERROR(__xludf.DUMMYFUNCTION("""COMPUTED_VALUE"""),"PXSX1")</f>
        <v>PXSX1</v>
      </c>
      <c r="C549" s="7" t="str">
        <f>IFERROR(__xludf.DUMMYFUNCTION("""COMPUTED_VALUE"""),"Phòng công nghệ")</f>
        <v>Phòng công nghệ</v>
      </c>
      <c r="D549" s="7" t="str">
        <f>IFERROR(__xludf.DUMMYFUNCTION("""COMPUTED_VALUE"""),"Tổ kỹ thuật PXSX1")</f>
        <v>Tổ kỹ thuật PXSX1</v>
      </c>
      <c r="E549" s="7" t="str">
        <f>IFERROR(__xludf.DUMMYFUNCTION("""COMPUTED_VALUE"""),"NV kiểm tra nguyên liệu xương")</f>
        <v>NV kiểm tra nguyên liệu xương</v>
      </c>
      <c r="F549" s="7" t="str">
        <f>IFERROR(__xludf.DUMMYFUNCTION("""COMPUTED_VALUE"""),"NV0773")</f>
        <v>NV0773</v>
      </c>
      <c r="G549" s="7">
        <f>IFERROR(__xludf.DUMMYFUNCTION("""COMPUTED_VALUE"""),248.0)</f>
        <v>248</v>
      </c>
      <c r="H549" s="7" t="str">
        <f>IFERROR(__xludf.DUMMYFUNCTION("""COMPUTED_VALUE"""),"Cao Thị Loan")</f>
        <v>Cao Thị Loan</v>
      </c>
      <c r="I549" s="7" t="str">
        <f>IFERROR(__xludf.DUMMYFUNCTION("""COMPUTED_VALUE"""),"Nữ ")</f>
        <v>Nữ </v>
      </c>
      <c r="J549" s="17">
        <f>IFERROR(__xludf.DUMMYFUNCTION("""COMPUTED_VALUE"""),32973.0)</f>
        <v>32973</v>
      </c>
      <c r="K549" s="7" t="str">
        <f>IFERROR(__xludf.DUMMYFUNCTION("""COMPUTED_VALUE"""),"Xã Lưu Vệ - Tỉnh Thanh Hóa ")</f>
        <v>Xã Lưu Vệ - Tỉnh Thanh Hóa </v>
      </c>
      <c r="L549" s="7" t="str">
        <f>IFERROR(__xludf.DUMMYFUNCTION("""COMPUTED_VALUE"""),"0988595663")</f>
        <v>0988595663</v>
      </c>
      <c r="M549" s="7" t="str">
        <f>IFERROR(__xludf.DUMMYFUNCTION("""COMPUTED_VALUE"""),"038190019831")</f>
        <v>038190019831</v>
      </c>
      <c r="N549" s="17">
        <f>IFERROR(__xludf.DUMMYFUNCTION("""COMPUTED_VALUE"""),44195.0)</f>
        <v>44195</v>
      </c>
      <c r="O549" s="7" t="str">
        <f>IFERROR(__xludf.DUMMYFUNCTION("""COMPUTED_VALUE"""),"Cục Cảnh sát QLHC về TTXH")</f>
        <v>Cục Cảnh sát QLHC về TTXH</v>
      </c>
      <c r="P549" s="7" t="str">
        <f>IFERROR(__xludf.DUMMYFUNCTION("""COMPUTED_VALUE"""),"Cử nhân")</f>
        <v>Cử nhân</v>
      </c>
      <c r="Q549" s="7" t="str">
        <f>IFERROR(__xludf.DUMMYFUNCTION("""COMPUTED_VALUE"""),"Công nghệ kỹ thuật hóa học")</f>
        <v>Công nghệ kỹ thuật hóa học</v>
      </c>
      <c r="R549" s="17">
        <f>IFERROR(__xludf.DUMMYFUNCTION("""COMPUTED_VALUE"""),44256.0)</f>
        <v>44256</v>
      </c>
      <c r="S549" s="17">
        <f>IFERROR(__xludf.DUMMYFUNCTION("""COMPUTED_VALUE"""),44562.0)</f>
        <v>44562</v>
      </c>
      <c r="T549" s="7" t="str">
        <f>IFERROR(__xludf.DUMMYFUNCTION("""COMPUTED_VALUE"""),"Chính thức")</f>
        <v>Chính thức</v>
      </c>
      <c r="U549" s="7"/>
      <c r="V549" s="7"/>
      <c r="W549" s="7" t="str">
        <f>IFERROR(__xludf.DUMMYFUNCTION("""COMPUTED_VALUE"""),"4 năm 9 tháng")</f>
        <v>4 năm 9 tháng</v>
      </c>
      <c r="X549" s="7"/>
      <c r="Y549" s="7"/>
      <c r="Z549" s="7"/>
    </row>
    <row r="550">
      <c r="A550" s="21" t="str">
        <f>IFERROR(__xludf.DUMMYFUNCTION("""COMPUTED_VALUE"""),"6")</f>
        <v>6</v>
      </c>
      <c r="B550" s="7" t="str">
        <f>IFERROR(__xludf.DUMMYFUNCTION("""COMPUTED_VALUE"""),"PXSX1")</f>
        <v>PXSX1</v>
      </c>
      <c r="C550" s="7" t="str">
        <f>IFERROR(__xludf.DUMMYFUNCTION("""COMPUTED_VALUE"""),"Phòng công nghệ")</f>
        <v>Phòng công nghệ</v>
      </c>
      <c r="D550" s="7" t="str">
        <f>IFERROR(__xludf.DUMMYFUNCTION("""COMPUTED_VALUE"""),"Tổ kỹ thuật PXSX1")</f>
        <v>Tổ kỹ thuật PXSX1</v>
      </c>
      <c r="E550" s="7" t="str">
        <f>IFERROR(__xludf.DUMMYFUNCTION("""COMPUTED_VALUE"""),"NV kiểm tra nguyên liệu xương")</f>
        <v>NV kiểm tra nguyên liệu xương</v>
      </c>
      <c r="F550" s="7" t="str">
        <f>IFERROR(__xludf.DUMMYFUNCTION("""COMPUTED_VALUE"""),"NV0311")</f>
        <v>NV0311</v>
      </c>
      <c r="G550" s="7">
        <f>IFERROR(__xludf.DUMMYFUNCTION("""COMPUTED_VALUE"""),208.0)</f>
        <v>208</v>
      </c>
      <c r="H550" s="7" t="str">
        <f>IFERROR(__xludf.DUMMYFUNCTION("""COMPUTED_VALUE"""),"Lê Đình Ngà")</f>
        <v>Lê Đình Ngà</v>
      </c>
      <c r="I550" s="7" t="str">
        <f>IFERROR(__xludf.DUMMYFUNCTION("""COMPUTED_VALUE"""),"Nam")</f>
        <v>Nam</v>
      </c>
      <c r="J550" s="17">
        <f>IFERROR(__xludf.DUMMYFUNCTION("""COMPUTED_VALUE"""),33161.0)</f>
        <v>33161</v>
      </c>
      <c r="K550" s="7" t="str">
        <f>IFERROR(__xludf.DUMMYFUNCTION("""COMPUTED_VALUE"""),"Xã Thiệu Toán - Tỉnh Thanh Hóa")</f>
        <v>Xã Thiệu Toán - Tỉnh Thanh Hóa</v>
      </c>
      <c r="L550" s="7" t="str">
        <f>IFERROR(__xludf.DUMMYFUNCTION("""COMPUTED_VALUE"""),"0356282658")</f>
        <v>0356282658</v>
      </c>
      <c r="M550" s="7" t="str">
        <f>IFERROR(__xludf.DUMMYFUNCTION("""COMPUTED_VALUE"""),"038090012691")</f>
        <v>038090012691</v>
      </c>
      <c r="N550" s="17">
        <f>IFERROR(__xludf.DUMMYFUNCTION("""COMPUTED_VALUE"""),43271.0)</f>
        <v>43271</v>
      </c>
      <c r="O550" s="7" t="str">
        <f>IFERROR(__xludf.DUMMYFUNCTION("""COMPUTED_VALUE"""),"Cục Cảnh sát QLHC về TTXH")</f>
        <v>Cục Cảnh sát QLHC về TTXH</v>
      </c>
      <c r="P550" s="7" t="str">
        <f>IFERROR(__xludf.DUMMYFUNCTION("""COMPUTED_VALUE"""),"Đại học")</f>
        <v>Đại học</v>
      </c>
      <c r="Q550" s="7" t="str">
        <f>IFERROR(__xludf.DUMMYFUNCTION("""COMPUTED_VALUE"""),"Công nghệ hóa học")</f>
        <v>Công nghệ hóa học</v>
      </c>
      <c r="R550" s="17">
        <f>IFERROR(__xludf.DUMMYFUNCTION("""COMPUTED_VALUE"""),41716.0)</f>
        <v>41716</v>
      </c>
      <c r="S550" s="17">
        <f>IFERROR(__xludf.DUMMYFUNCTION("""COMPUTED_VALUE"""),41716.0)</f>
        <v>41716</v>
      </c>
      <c r="T550" s="7" t="str">
        <f>IFERROR(__xludf.DUMMYFUNCTION("""COMPUTED_VALUE"""),"Chính thức")</f>
        <v>Chính thức</v>
      </c>
      <c r="U550" s="7"/>
      <c r="V550" s="7"/>
      <c r="W550" s="7" t="str">
        <f>IFERROR(__xludf.DUMMYFUNCTION("""COMPUTED_VALUE"""),"11 năm 9 tháng")</f>
        <v>11 năm 9 tháng</v>
      </c>
      <c r="X550" s="7"/>
      <c r="Y550" s="7"/>
      <c r="Z550" s="7"/>
    </row>
    <row r="551">
      <c r="A551" s="21" t="str">
        <f>IFERROR(__xludf.DUMMYFUNCTION("""COMPUTED_VALUE"""),"7")</f>
        <v>7</v>
      </c>
      <c r="B551" s="7" t="str">
        <f>IFERROR(__xludf.DUMMYFUNCTION("""COMPUTED_VALUE"""),"PXSX1")</f>
        <v>PXSX1</v>
      </c>
      <c r="C551" s="7" t="str">
        <f>IFERROR(__xludf.DUMMYFUNCTION("""COMPUTED_VALUE"""),"Phòng công nghệ")</f>
        <v>Phòng công nghệ</v>
      </c>
      <c r="D551" s="7" t="str">
        <f>IFERROR(__xludf.DUMMYFUNCTION("""COMPUTED_VALUE"""),"Tổ kỹ thuật PXSX1")</f>
        <v>Tổ kỹ thuật PXSX1</v>
      </c>
      <c r="E551" s="7" t="str">
        <f>IFERROR(__xludf.DUMMYFUNCTION("""COMPUTED_VALUE"""),"Nhân viên Công nghệ")</f>
        <v>Nhân viên Công nghệ</v>
      </c>
      <c r="F551" s="7" t="str">
        <f>IFERROR(__xludf.DUMMYFUNCTION("""COMPUTED_VALUE"""),"NV5647")</f>
        <v>NV5647</v>
      </c>
      <c r="G551" s="7">
        <f>IFERROR(__xludf.DUMMYFUNCTION("""COMPUTED_VALUE"""),1140.0)</f>
        <v>1140</v>
      </c>
      <c r="H551" s="7" t="str">
        <f>IFERROR(__xludf.DUMMYFUNCTION("""COMPUTED_VALUE"""),"Trịnh Lưu Lan Hương")</f>
        <v>Trịnh Lưu Lan Hương</v>
      </c>
      <c r="I551" s="7" t="str">
        <f>IFERROR(__xludf.DUMMYFUNCTION("""COMPUTED_VALUE"""),"Nữ")</f>
        <v>Nữ</v>
      </c>
      <c r="J551" s="17">
        <f>IFERROR(__xludf.DUMMYFUNCTION("""COMPUTED_VALUE"""),37648.0)</f>
        <v>37648</v>
      </c>
      <c r="K551" s="7" t="str">
        <f>IFERROR(__xludf.DUMMYFUNCTION("""COMPUTED_VALUE"""),"Phường An Hội Tây - Thành phố Hồ Chí Minh")</f>
        <v>Phường An Hội Tây - Thành phố Hồ Chí Minh</v>
      </c>
      <c r="L551" s="20" t="str">
        <f>IFERROR(__xludf.DUMMYFUNCTION("""COMPUTED_VALUE"""),"0903606472")</f>
        <v>0903606472</v>
      </c>
      <c r="M551" s="7" t="str">
        <f>IFERROR(__xludf.DUMMYFUNCTION("""COMPUTED_VALUE"""),"066303000054")</f>
        <v>066303000054</v>
      </c>
      <c r="N551" s="17">
        <f>IFERROR(__xludf.DUMMYFUNCTION("""COMPUTED_VALUE"""),44551.0)</f>
        <v>44551</v>
      </c>
      <c r="O551" s="7" t="str">
        <f>IFERROR(__xludf.DUMMYFUNCTION("""COMPUTED_VALUE"""),"Cục Cảnh sát QLHC về TTXH")</f>
        <v>Cục Cảnh sát QLHC về TTXH</v>
      </c>
      <c r="P551" s="7" t="str">
        <f>IFERROR(__xludf.DUMMYFUNCTION("""COMPUTED_VALUE"""),"Đại học")</f>
        <v>Đại học</v>
      </c>
      <c r="Q551" s="7" t="str">
        <f>IFERROR(__xludf.DUMMYFUNCTION("""COMPUTED_VALUE"""),"Cử nhân hóa học")</f>
        <v>Cử nhân hóa học</v>
      </c>
      <c r="R551" s="17">
        <f>IFERROR(__xludf.DUMMYFUNCTION("""COMPUTED_VALUE"""),45875.0)</f>
        <v>45875</v>
      </c>
      <c r="S551" s="17">
        <f>IFERROR(__xludf.DUMMYFUNCTION("""COMPUTED_VALUE"""),45906.0)</f>
        <v>45906</v>
      </c>
      <c r="T551" s="7" t="str">
        <f>IFERROR(__xludf.DUMMYFUNCTION("""COMPUTED_VALUE"""),"Thử việc")</f>
        <v>Thử việc</v>
      </c>
      <c r="U551" s="7"/>
      <c r="V551" s="7" t="str">
        <f>IFERROR(__xludf.DUMMYFUNCTION("""COMPUTED_VALUE"""),"Thử việc")</f>
        <v>Thử việc</v>
      </c>
      <c r="W551" s="7" t="str">
        <f>IFERROR(__xludf.DUMMYFUNCTION("""COMPUTED_VALUE"""),"0 năm 4 tháng")</f>
        <v>0 năm 4 tháng</v>
      </c>
      <c r="X551" s="7"/>
      <c r="Y551" s="7"/>
      <c r="Z551" s="7"/>
    </row>
    <row r="552">
      <c r="A552" s="21" t="str">
        <f>IFERROR(__xludf.DUMMYFUNCTION("""COMPUTED_VALUE"""),"1")</f>
        <v>1</v>
      </c>
      <c r="B552" s="7" t="str">
        <f>IFERROR(__xludf.DUMMYFUNCTION("""COMPUTED_VALUE"""),"PXSX1")</f>
        <v>PXSX1</v>
      </c>
      <c r="C552" s="7" t="str">
        <f>IFERROR(__xludf.DUMMYFUNCTION("""COMPUTED_VALUE"""),"Phòng công nghệ")</f>
        <v>Phòng công nghệ</v>
      </c>
      <c r="D552" s="7" t="str">
        <f>IFERROR(__xludf.DUMMYFUNCTION("""COMPUTED_VALUE"""),"Kiểm soát công nghệ")</f>
        <v>Kiểm soát công nghệ</v>
      </c>
      <c r="E552" s="7" t="str">
        <f>IFERROR(__xludf.DUMMYFUNCTION("""COMPUTED_VALUE"""),"NV kiểm soát công nghệ Ca A")</f>
        <v>NV kiểm soát công nghệ Ca A</v>
      </c>
      <c r="F552" s="7" t="str">
        <f>IFERROR(__xludf.DUMMYFUNCTION("""COMPUTED_VALUE"""),"NV0068")</f>
        <v>NV0068</v>
      </c>
      <c r="G552" s="7">
        <f>IFERROR(__xludf.DUMMYFUNCTION("""COMPUTED_VALUE"""),203.0)</f>
        <v>203</v>
      </c>
      <c r="H552" s="7" t="str">
        <f>IFERROR(__xludf.DUMMYFUNCTION("""COMPUTED_VALUE"""),"Lê Duy Nam")</f>
        <v>Lê Duy Nam</v>
      </c>
      <c r="I552" s="7" t="str">
        <f>IFERROR(__xludf.DUMMYFUNCTION("""COMPUTED_VALUE"""),"Nam")</f>
        <v>Nam</v>
      </c>
      <c r="J552" s="17">
        <f>IFERROR(__xludf.DUMMYFUNCTION("""COMPUTED_VALUE"""),30722.0)</f>
        <v>30722</v>
      </c>
      <c r="K552" s="7" t="str">
        <f>IFERROR(__xludf.DUMMYFUNCTION("""COMPUTED_VALUE"""),"Phường Đông Quang - Tỉnh Thanh Hóa")</f>
        <v>Phường Đông Quang - Tỉnh Thanh Hóa</v>
      </c>
      <c r="L552" s="20" t="str">
        <f>IFERROR(__xludf.DUMMYFUNCTION("""COMPUTED_VALUE"""),"0921636163")</f>
        <v>0921636163</v>
      </c>
      <c r="M552" s="7" t="str">
        <f>IFERROR(__xludf.DUMMYFUNCTION("""COMPUTED_VALUE"""),"038084030080")</f>
        <v>038084030080</v>
      </c>
      <c r="N552" s="17">
        <f>IFERROR(__xludf.DUMMYFUNCTION("""COMPUTED_VALUE"""),44440.0)</f>
        <v>44440</v>
      </c>
      <c r="O552" s="7" t="str">
        <f>IFERROR(__xludf.DUMMYFUNCTION("""COMPUTED_VALUE"""),"Cục Cảnh sát QLHC về TTXH")</f>
        <v>Cục Cảnh sát QLHC về TTXH</v>
      </c>
      <c r="P552" s="7" t="str">
        <f>IFERROR(__xludf.DUMMYFUNCTION("""COMPUTED_VALUE"""),"LĐPT")</f>
        <v>LĐPT</v>
      </c>
      <c r="Q552" s="7" t="str">
        <f>IFERROR(__xludf.DUMMYFUNCTION("""COMPUTED_VALUE"""),"Lao động phổ thông")</f>
        <v>Lao động phổ thông</v>
      </c>
      <c r="R552" s="17">
        <f>IFERROR(__xludf.DUMMYFUNCTION("""COMPUTED_VALUE"""),42585.0)</f>
        <v>42585</v>
      </c>
      <c r="S552" s="17">
        <f>IFERROR(__xludf.DUMMYFUNCTION("""COMPUTED_VALUE"""),42585.0)</f>
        <v>42585</v>
      </c>
      <c r="T552" s="7" t="str">
        <f>IFERROR(__xludf.DUMMYFUNCTION("""COMPUTED_VALUE"""),"Chính thức")</f>
        <v>Chính thức</v>
      </c>
      <c r="U552" s="7"/>
      <c r="V552" s="7"/>
      <c r="W552" s="7" t="str">
        <f>IFERROR(__xludf.DUMMYFUNCTION("""COMPUTED_VALUE"""),"9 năm 4 tháng")</f>
        <v>9 năm 4 tháng</v>
      </c>
      <c r="X552" s="7"/>
      <c r="Y552" s="7"/>
      <c r="Z552" s="7"/>
    </row>
    <row r="553">
      <c r="A553" s="21" t="str">
        <f>IFERROR(__xludf.DUMMYFUNCTION("""COMPUTED_VALUE"""),"2")</f>
        <v>2</v>
      </c>
      <c r="B553" s="7" t="str">
        <f>IFERROR(__xludf.DUMMYFUNCTION("""COMPUTED_VALUE"""),"PXSX1")</f>
        <v>PXSX1</v>
      </c>
      <c r="C553" s="7" t="str">
        <f>IFERROR(__xludf.DUMMYFUNCTION("""COMPUTED_VALUE"""),"Phòng công nghệ")</f>
        <v>Phòng công nghệ</v>
      </c>
      <c r="D553" s="7" t="str">
        <f>IFERROR(__xludf.DUMMYFUNCTION("""COMPUTED_VALUE"""),"Kiểm soát công nghệ")</f>
        <v>Kiểm soát công nghệ</v>
      </c>
      <c r="E553" s="7" t="str">
        <f>IFERROR(__xludf.DUMMYFUNCTION("""COMPUTED_VALUE"""),"NV kiểm soát công nghệ Ca C")</f>
        <v>NV kiểm soát công nghệ Ca C</v>
      </c>
      <c r="F553" s="7" t="str">
        <f>IFERROR(__xludf.DUMMYFUNCTION("""COMPUTED_VALUE"""),"NV2764")</f>
        <v>NV2764</v>
      </c>
      <c r="G553" s="7">
        <f>IFERROR(__xludf.DUMMYFUNCTION("""COMPUTED_VALUE"""),127.0)</f>
        <v>127</v>
      </c>
      <c r="H553" s="7" t="str">
        <f>IFERROR(__xludf.DUMMYFUNCTION("""COMPUTED_VALUE"""),"Cao Văn Nhân")</f>
        <v>Cao Văn Nhân</v>
      </c>
      <c r="I553" s="7" t="str">
        <f>IFERROR(__xludf.DUMMYFUNCTION("""COMPUTED_VALUE"""),"Nam")</f>
        <v>Nam</v>
      </c>
      <c r="J553" s="17">
        <f>IFERROR(__xludf.DUMMYFUNCTION("""COMPUTED_VALUE"""),31625.0)</f>
        <v>31625</v>
      </c>
      <c r="K553" s="7" t="str">
        <f>IFERROR(__xludf.DUMMYFUNCTION("""COMPUTED_VALUE"""),"Phường Sầm Sơn - Tỉnh Thanh Hóa")</f>
        <v>Phường Sầm Sơn - Tỉnh Thanh Hóa</v>
      </c>
      <c r="L553" s="20" t="str">
        <f>IFERROR(__xludf.DUMMYFUNCTION("""COMPUTED_VALUE"""),"0987991423")</f>
        <v>0987991423</v>
      </c>
      <c r="M553" s="7" t="str">
        <f>IFERROR(__xludf.DUMMYFUNCTION("""COMPUTED_VALUE"""),"038086013384")</f>
        <v>038086013384</v>
      </c>
      <c r="N553" s="17">
        <f>IFERROR(__xludf.DUMMYFUNCTION("""COMPUTED_VALUE"""),44418.0)</f>
        <v>44418</v>
      </c>
      <c r="O553" s="7" t="str">
        <f>IFERROR(__xludf.DUMMYFUNCTION("""COMPUTED_VALUE"""),"Cục Cảnh sát QLHC về TTXH")</f>
        <v>Cục Cảnh sát QLHC về TTXH</v>
      </c>
      <c r="P553" s="7" t="str">
        <f>IFERROR(__xludf.DUMMYFUNCTION("""COMPUTED_VALUE"""),"Đại học")</f>
        <v>Đại học</v>
      </c>
      <c r="Q553" s="7" t="str">
        <f>IFERROR(__xludf.DUMMYFUNCTION("""COMPUTED_VALUE"""),"Hóa học")</f>
        <v>Hóa học</v>
      </c>
      <c r="R553" s="17">
        <f>IFERROR(__xludf.DUMMYFUNCTION("""COMPUTED_VALUE"""),43874.0)</f>
        <v>43874</v>
      </c>
      <c r="S553" s="17">
        <f>IFERROR(__xludf.DUMMYFUNCTION("""COMPUTED_VALUE"""),44166.0)</f>
        <v>44166</v>
      </c>
      <c r="T553" s="7" t="str">
        <f>IFERROR(__xludf.DUMMYFUNCTION("""COMPUTED_VALUE"""),"Chính thức")</f>
        <v>Chính thức</v>
      </c>
      <c r="U553" s="7"/>
      <c r="V553" s="7"/>
      <c r="W553" s="7" t="str">
        <f>IFERROR(__xludf.DUMMYFUNCTION("""COMPUTED_VALUE"""),"5 năm 10 tháng")</f>
        <v>5 năm 10 tháng</v>
      </c>
      <c r="X553" s="7"/>
      <c r="Y553" s="7"/>
      <c r="Z553" s="7"/>
    </row>
    <row r="554">
      <c r="A554" s="21" t="str">
        <f>IFERROR(__xludf.DUMMYFUNCTION("""COMPUTED_VALUE"""),"3")</f>
        <v>3</v>
      </c>
      <c r="B554" s="7" t="str">
        <f>IFERROR(__xludf.DUMMYFUNCTION("""COMPUTED_VALUE"""),"PXSX1")</f>
        <v>PXSX1</v>
      </c>
      <c r="C554" s="7" t="str">
        <f>IFERROR(__xludf.DUMMYFUNCTION("""COMPUTED_VALUE"""),"Phòng công nghệ")</f>
        <v>Phòng công nghệ</v>
      </c>
      <c r="D554" s="7" t="str">
        <f>IFERROR(__xludf.DUMMYFUNCTION("""COMPUTED_VALUE"""),"Kiểm soát công nghệ")</f>
        <v>Kiểm soát công nghệ</v>
      </c>
      <c r="E554" s="7" t="str">
        <f>IFERROR(__xludf.DUMMYFUNCTION("""COMPUTED_VALUE"""),"NV kiểm soát công nghệ Ca B")</f>
        <v>NV kiểm soát công nghệ Ca B</v>
      </c>
      <c r="F554" s="7" t="str">
        <f>IFERROR(__xludf.DUMMYFUNCTION("""COMPUTED_VALUE"""),"NV4162")</f>
        <v>NV4162</v>
      </c>
      <c r="G554" s="7">
        <f>IFERROR(__xludf.DUMMYFUNCTION("""COMPUTED_VALUE"""),457.0)</f>
        <v>457</v>
      </c>
      <c r="H554" s="7" t="str">
        <f>IFERROR(__xludf.DUMMYFUNCTION("""COMPUTED_VALUE"""),"Văn Đình Tùng")</f>
        <v>Văn Đình Tùng</v>
      </c>
      <c r="I554" s="7" t="str">
        <f>IFERROR(__xludf.DUMMYFUNCTION("""COMPUTED_VALUE"""),"Nam")</f>
        <v>Nam</v>
      </c>
      <c r="J554" s="17">
        <f>IFERROR(__xludf.DUMMYFUNCTION("""COMPUTED_VALUE"""),35627.0)</f>
        <v>35627</v>
      </c>
      <c r="K554" s="7" t="str">
        <f>IFERROR(__xludf.DUMMYFUNCTION("""COMPUTED_VALUE"""),"Phường Sầm Sơn Tỉnh Thanh Hóa")</f>
        <v>Phường Sầm Sơn Tỉnh Thanh Hóa</v>
      </c>
      <c r="L554" s="20" t="str">
        <f>IFERROR(__xludf.DUMMYFUNCTION("""COMPUTED_VALUE"""),"0383913344")</f>
        <v>0383913344</v>
      </c>
      <c r="M554" s="7" t="str">
        <f>IFERROR(__xludf.DUMMYFUNCTION("""COMPUTED_VALUE"""),"038097019191")</f>
        <v>038097019191</v>
      </c>
      <c r="N554" s="17">
        <f>IFERROR(__xludf.DUMMYFUNCTION("""COMPUTED_VALUE"""),44418.0)</f>
        <v>44418</v>
      </c>
      <c r="O554" s="7" t="str">
        <f>IFERROR(__xludf.DUMMYFUNCTION("""COMPUTED_VALUE"""),"Cục Cảnh sát QLHC về TTXH")</f>
        <v>Cục Cảnh sát QLHC về TTXH</v>
      </c>
      <c r="P554" s="7" t="str">
        <f>IFERROR(__xludf.DUMMYFUNCTION("""COMPUTED_VALUE"""),"Kỹ sư")</f>
        <v>Kỹ sư</v>
      </c>
      <c r="Q554" s="7" t="str">
        <f>IFERROR(__xludf.DUMMYFUNCTION("""COMPUTED_VALUE"""),"Kỹ sư Hóa học")</f>
        <v>Kỹ sư Hóa học</v>
      </c>
      <c r="R554" s="7"/>
      <c r="S554" s="17">
        <f>IFERROR(__xludf.DUMMYFUNCTION("""COMPUTED_VALUE"""),45026.0)</f>
        <v>45026</v>
      </c>
      <c r="T554" s="7" t="str">
        <f>IFERROR(__xludf.DUMMYFUNCTION("""COMPUTED_VALUE"""),"Chính thức")</f>
        <v>Chính thức</v>
      </c>
      <c r="U554" s="7"/>
      <c r="V554" s="7" t="str">
        <f>IFERROR(__xludf.DUMMYFUNCTION("""COMPUTED_VALUE"""),"Điều động")</f>
        <v>Điều động</v>
      </c>
      <c r="W554" s="7" t="str">
        <f>IFERROR(__xludf.DUMMYFUNCTION("""COMPUTED_VALUE"""),"2 năm 8 tháng")</f>
        <v>2 năm 8 tháng</v>
      </c>
      <c r="X554" s="7"/>
      <c r="Y554" s="7"/>
      <c r="Z554" s="7"/>
    </row>
    <row r="555">
      <c r="A555" s="21" t="str">
        <f>IFERROR(__xludf.DUMMYFUNCTION("""COMPUTED_VALUE"""),"1")</f>
        <v>1</v>
      </c>
      <c r="B555" s="7" t="str">
        <f>IFERROR(__xludf.DUMMYFUNCTION("""COMPUTED_VALUE"""),"PXSX1")</f>
        <v>PXSX1</v>
      </c>
      <c r="C555" s="7" t="str">
        <f>IFERROR(__xludf.DUMMYFUNCTION("""COMPUTED_VALUE"""),"Phòng công nghệ")</f>
        <v>Phòng công nghệ</v>
      </c>
      <c r="D555" s="7" t="str">
        <f>IFERROR(__xludf.DUMMYFUNCTION("""COMPUTED_VALUE"""),"Tổ nghiền men PXSX1")</f>
        <v>Tổ nghiền men PXSX1</v>
      </c>
      <c r="E555" s="7" t="str">
        <f>IFERROR(__xludf.DUMMYFUNCTION("""COMPUTED_VALUE"""),"Tổ phó")</f>
        <v>Tổ phó</v>
      </c>
      <c r="F555" s="7" t="str">
        <f>IFERROR(__xludf.DUMMYFUNCTION("""COMPUTED_VALUE"""),"NV0059")</f>
        <v>NV0059</v>
      </c>
      <c r="G555" s="7">
        <f>IFERROR(__xludf.DUMMYFUNCTION("""COMPUTED_VALUE"""),206.0)</f>
        <v>206</v>
      </c>
      <c r="H555" s="7" t="str">
        <f>IFERROR(__xludf.DUMMYFUNCTION("""COMPUTED_VALUE"""),"Lâm Văn Thủy")</f>
        <v>Lâm Văn Thủy</v>
      </c>
      <c r="I555" s="7" t="str">
        <f>IFERROR(__xludf.DUMMYFUNCTION("""COMPUTED_VALUE"""),"Nam")</f>
        <v>Nam</v>
      </c>
      <c r="J555" s="17">
        <f>IFERROR(__xludf.DUMMYFUNCTION("""COMPUTED_VALUE"""),30685.0)</f>
        <v>30685</v>
      </c>
      <c r="K555" s="7" t="str">
        <f>IFERROR(__xludf.DUMMYFUNCTION("""COMPUTED_VALUE"""),"09/353 - Lê Thánh Tông - Phường Hạc Thành - Tỉnh Thanh Hóa")</f>
        <v>09/353 - Lê Thánh Tông - Phường Hạc Thành - Tỉnh Thanh Hóa</v>
      </c>
      <c r="L555" s="7" t="str">
        <f>IFERROR(__xludf.DUMMYFUNCTION("""COMPUTED_VALUE"""),"0915422233")</f>
        <v>0915422233</v>
      </c>
      <c r="M555" s="7" t="str">
        <f>IFERROR(__xludf.DUMMYFUNCTION("""COMPUTED_VALUE"""),"038084054282")</f>
        <v>038084054282</v>
      </c>
      <c r="N555" s="17">
        <f>IFERROR(__xludf.DUMMYFUNCTION("""COMPUTED_VALUE"""),44455.0)</f>
        <v>44455</v>
      </c>
      <c r="O555" s="7" t="str">
        <f>IFERROR(__xludf.DUMMYFUNCTION("""COMPUTED_VALUE"""),"Cục Cảnh sát QLHC về TTXH")</f>
        <v>Cục Cảnh sát QLHC về TTXH</v>
      </c>
      <c r="P555" s="7" t="str">
        <f>IFERROR(__xludf.DUMMYFUNCTION("""COMPUTED_VALUE"""),"LĐPT")</f>
        <v>LĐPT</v>
      </c>
      <c r="Q555" s="7" t="str">
        <f>IFERROR(__xludf.DUMMYFUNCTION("""COMPUTED_VALUE"""),"Lao động phổ thông")</f>
        <v>Lao động phổ thông</v>
      </c>
      <c r="R555" s="17">
        <f>IFERROR(__xludf.DUMMYFUNCTION("""COMPUTED_VALUE"""),37447.0)</f>
        <v>37447</v>
      </c>
      <c r="S555" s="17">
        <f>IFERROR(__xludf.DUMMYFUNCTION("""COMPUTED_VALUE"""),37447.0)</f>
        <v>37447</v>
      </c>
      <c r="T555" s="7" t="str">
        <f>IFERROR(__xludf.DUMMYFUNCTION("""COMPUTED_VALUE"""),"Chính thức")</f>
        <v>Chính thức</v>
      </c>
      <c r="U555" s="7"/>
      <c r="V555" s="7"/>
      <c r="W555" s="7" t="str">
        <f>IFERROR(__xludf.DUMMYFUNCTION("""COMPUTED_VALUE"""),"23 năm 5 tháng")</f>
        <v>23 năm 5 tháng</v>
      </c>
      <c r="X555" s="7"/>
      <c r="Y555" s="7"/>
      <c r="Z555" s="7"/>
    </row>
    <row r="556">
      <c r="A556" s="21" t="str">
        <f>IFERROR(__xludf.DUMMYFUNCTION("""COMPUTED_VALUE"""),"2")</f>
        <v>2</v>
      </c>
      <c r="B556" s="7" t="str">
        <f>IFERROR(__xludf.DUMMYFUNCTION("""COMPUTED_VALUE"""),"PXSX1")</f>
        <v>PXSX1</v>
      </c>
      <c r="C556" s="7" t="str">
        <f>IFERROR(__xludf.DUMMYFUNCTION("""COMPUTED_VALUE"""),"Phòng công nghệ")</f>
        <v>Phòng công nghệ</v>
      </c>
      <c r="D556" s="7" t="str">
        <f>IFERROR(__xludf.DUMMYFUNCTION("""COMPUTED_VALUE"""),"Tổ nghiền men PXSX1")</f>
        <v>Tổ nghiền men PXSX1</v>
      </c>
      <c r="E556" s="7" t="str">
        <f>IFERROR(__xludf.DUMMYFUNCTION("""COMPUTED_VALUE"""),"Công nhân men màu mức 1")</f>
        <v>Công nhân men màu mức 1</v>
      </c>
      <c r="F556" s="7" t="str">
        <f>IFERROR(__xludf.DUMMYFUNCTION("""COMPUTED_VALUE"""),"NV0060")</f>
        <v>NV0060</v>
      </c>
      <c r="G556" s="7">
        <f>IFERROR(__xludf.DUMMYFUNCTION("""COMPUTED_VALUE"""),223.0)</f>
        <v>223</v>
      </c>
      <c r="H556" s="7" t="str">
        <f>IFERROR(__xludf.DUMMYFUNCTION("""COMPUTED_VALUE"""),"Mai Văn Binh")</f>
        <v>Mai Văn Binh</v>
      </c>
      <c r="I556" s="7" t="str">
        <f>IFERROR(__xludf.DUMMYFUNCTION("""COMPUTED_VALUE"""),"Nam")</f>
        <v>Nam</v>
      </c>
      <c r="J556" s="17">
        <f>IFERROR(__xludf.DUMMYFUNCTION("""COMPUTED_VALUE"""),31024.0)</f>
        <v>31024</v>
      </c>
      <c r="K556" s="7" t="str">
        <f>IFERROR(__xludf.DUMMYFUNCTION("""COMPUTED_VALUE"""),"Phố Đồng Lễ - Phường Hạc Thành - Tỉnh Thanh Hóa")</f>
        <v>Phố Đồng Lễ - Phường Hạc Thành - Tỉnh Thanh Hóa</v>
      </c>
      <c r="L556" s="7" t="str">
        <f>IFERROR(__xludf.DUMMYFUNCTION("""COMPUTED_VALUE"""),"0977839329")</f>
        <v>0977839329</v>
      </c>
      <c r="M556" s="7" t="str">
        <f>IFERROR(__xludf.DUMMYFUNCTION("""COMPUTED_VALUE"""),"038084003336")</f>
        <v>038084003336</v>
      </c>
      <c r="N556" s="17">
        <f>IFERROR(__xludf.DUMMYFUNCTION("""COMPUTED_VALUE"""),44537.0)</f>
        <v>44537</v>
      </c>
      <c r="O556" s="7" t="str">
        <f>IFERROR(__xludf.DUMMYFUNCTION("""COMPUTED_VALUE"""),"Cục Cảnh sát QLHC về TTXH")</f>
        <v>Cục Cảnh sát QLHC về TTXH</v>
      </c>
      <c r="P556" s="7" t="str">
        <f>IFERROR(__xludf.DUMMYFUNCTION("""COMPUTED_VALUE"""),"LĐPT")</f>
        <v>LĐPT</v>
      </c>
      <c r="Q556" s="7" t="str">
        <f>IFERROR(__xludf.DUMMYFUNCTION("""COMPUTED_VALUE"""),"Lao động phổ thông")</f>
        <v>Lao động phổ thông</v>
      </c>
      <c r="R556" s="17">
        <f>IFERROR(__xludf.DUMMYFUNCTION("""COMPUTED_VALUE"""),40073.0)</f>
        <v>40073</v>
      </c>
      <c r="S556" s="17">
        <f>IFERROR(__xludf.DUMMYFUNCTION("""COMPUTED_VALUE"""),40073.0)</f>
        <v>40073</v>
      </c>
      <c r="T556" s="7" t="str">
        <f>IFERROR(__xludf.DUMMYFUNCTION("""COMPUTED_VALUE"""),"Chính thức")</f>
        <v>Chính thức</v>
      </c>
      <c r="U556" s="7"/>
      <c r="V556" s="7"/>
      <c r="W556" s="7" t="str">
        <f>IFERROR(__xludf.DUMMYFUNCTION("""COMPUTED_VALUE"""),"16 năm 3 tháng")</f>
        <v>16 năm 3 tháng</v>
      </c>
      <c r="X556" s="7"/>
      <c r="Y556" s="7"/>
      <c r="Z556" s="7"/>
    </row>
    <row r="557">
      <c r="A557" s="21" t="str">
        <f>IFERROR(__xludf.DUMMYFUNCTION("""COMPUTED_VALUE"""),"3")</f>
        <v>3</v>
      </c>
      <c r="B557" s="7" t="str">
        <f>IFERROR(__xludf.DUMMYFUNCTION("""COMPUTED_VALUE"""),"PXSX1")</f>
        <v>PXSX1</v>
      </c>
      <c r="C557" s="7" t="str">
        <f>IFERROR(__xludf.DUMMYFUNCTION("""COMPUTED_VALUE"""),"Phòng công nghệ")</f>
        <v>Phòng công nghệ</v>
      </c>
      <c r="D557" s="7" t="str">
        <f>IFERROR(__xludf.DUMMYFUNCTION("""COMPUTED_VALUE"""),"Tổ nghiền men PXSX1")</f>
        <v>Tổ nghiền men PXSX1</v>
      </c>
      <c r="E557" s="7" t="str">
        <f>IFERROR(__xludf.DUMMYFUNCTION("""COMPUTED_VALUE"""),"Công nhân men màu mức 1")</f>
        <v>Công nhân men màu mức 1</v>
      </c>
      <c r="F557" s="7" t="str">
        <f>IFERROR(__xludf.DUMMYFUNCTION("""COMPUTED_VALUE"""),"NV0063")</f>
        <v>NV0063</v>
      </c>
      <c r="G557" s="7">
        <f>IFERROR(__xludf.DUMMYFUNCTION("""COMPUTED_VALUE"""),224.0)</f>
        <v>224</v>
      </c>
      <c r="H557" s="7" t="str">
        <f>IFERROR(__xludf.DUMMYFUNCTION("""COMPUTED_VALUE"""),"Nguyễn Văn Thành")</f>
        <v>Nguyễn Văn Thành</v>
      </c>
      <c r="I557" s="7" t="str">
        <f>IFERROR(__xludf.DUMMYFUNCTION("""COMPUTED_VALUE"""),"Nam")</f>
        <v>Nam</v>
      </c>
      <c r="J557" s="17">
        <f>IFERROR(__xludf.DUMMYFUNCTION("""COMPUTED_VALUE"""),33439.0)</f>
        <v>33439</v>
      </c>
      <c r="K557" s="7" t="str">
        <f>IFERROR(__xludf.DUMMYFUNCTION("""COMPUTED_VALUE"""),"Phố Đông Lễ - Phường Hạc Thành - Tỉnh Thanh Hóa")</f>
        <v>Phố Đông Lễ - Phường Hạc Thành - Tỉnh Thanh Hóa</v>
      </c>
      <c r="L557" s="7" t="str">
        <f>IFERROR(__xludf.DUMMYFUNCTION("""COMPUTED_VALUE"""),"0983385044")</f>
        <v>0983385044</v>
      </c>
      <c r="M557" s="7" t="str">
        <f>IFERROR(__xludf.DUMMYFUNCTION("""COMPUTED_VALUE"""),"038091023328")</f>
        <v>038091023328</v>
      </c>
      <c r="N557" s="17">
        <f>IFERROR(__xludf.DUMMYFUNCTION("""COMPUTED_VALUE"""),44294.0)</f>
        <v>44294</v>
      </c>
      <c r="O557" s="7" t="str">
        <f>IFERROR(__xludf.DUMMYFUNCTION("""COMPUTED_VALUE"""),"Cục Cảnh sát QLHC về TTXH")</f>
        <v>Cục Cảnh sát QLHC về TTXH</v>
      </c>
      <c r="P557" s="7" t="str">
        <f>IFERROR(__xludf.DUMMYFUNCTION("""COMPUTED_VALUE"""),"LĐPT")</f>
        <v>LĐPT</v>
      </c>
      <c r="Q557" s="7" t="str">
        <f>IFERROR(__xludf.DUMMYFUNCTION("""COMPUTED_VALUE"""),"Lao động phổ thông")</f>
        <v>Lao động phổ thông</v>
      </c>
      <c r="R557" s="17">
        <f>IFERROR(__xludf.DUMMYFUNCTION("""COMPUTED_VALUE"""),44692.0)</f>
        <v>44692</v>
      </c>
      <c r="S557" s="17">
        <f>IFERROR(__xludf.DUMMYFUNCTION("""COMPUTED_VALUE"""),44986.0)</f>
        <v>44986</v>
      </c>
      <c r="T557" s="7" t="str">
        <f>IFERROR(__xludf.DUMMYFUNCTION("""COMPUTED_VALUE"""),"Chính thức")</f>
        <v>Chính thức</v>
      </c>
      <c r="U557" s="7"/>
      <c r="V557" s="7" t="str">
        <f>IFERROR(__xludf.DUMMYFUNCTION("""COMPUTED_VALUE"""),"Nghỉ phép")</f>
        <v>Nghỉ phép</v>
      </c>
      <c r="W557" s="7" t="str">
        <f>IFERROR(__xludf.DUMMYFUNCTION("""COMPUTED_VALUE"""),"3 năm 7 tháng")</f>
        <v>3 năm 7 tháng</v>
      </c>
      <c r="X557" s="7"/>
      <c r="Y557" s="7"/>
      <c r="Z557" s="7"/>
    </row>
    <row r="558">
      <c r="A558" s="21" t="str">
        <f>IFERROR(__xludf.DUMMYFUNCTION("""COMPUTED_VALUE"""),"4")</f>
        <v>4</v>
      </c>
      <c r="B558" s="7" t="str">
        <f>IFERROR(__xludf.DUMMYFUNCTION("""COMPUTED_VALUE"""),"PXSX1")</f>
        <v>PXSX1</v>
      </c>
      <c r="C558" s="7" t="str">
        <f>IFERROR(__xludf.DUMMYFUNCTION("""COMPUTED_VALUE"""),"Phòng công nghệ")</f>
        <v>Phòng công nghệ</v>
      </c>
      <c r="D558" s="7" t="str">
        <f>IFERROR(__xludf.DUMMYFUNCTION("""COMPUTED_VALUE"""),"Tổ nghiền men PXSX1")</f>
        <v>Tổ nghiền men PXSX1</v>
      </c>
      <c r="E558" s="7" t="str">
        <f>IFERROR(__xludf.DUMMYFUNCTION("""COMPUTED_VALUE"""),"Công nhân men màu mức 1")</f>
        <v>Công nhân men màu mức 1</v>
      </c>
      <c r="F558" s="7" t="str">
        <f>IFERROR(__xludf.DUMMYFUNCTION("""COMPUTED_VALUE"""),"NV1230")</f>
        <v>NV1230</v>
      </c>
      <c r="G558" s="7">
        <f>IFERROR(__xludf.DUMMYFUNCTION("""COMPUTED_VALUE"""),225.0)</f>
        <v>225</v>
      </c>
      <c r="H558" s="7" t="str">
        <f>IFERROR(__xludf.DUMMYFUNCTION("""COMPUTED_VALUE"""),"Đỗ Văn Nhất")</f>
        <v>Đỗ Văn Nhất</v>
      </c>
      <c r="I558" s="7" t="str">
        <f>IFERROR(__xludf.DUMMYFUNCTION("""COMPUTED_VALUE"""),"Nam")</f>
        <v>Nam</v>
      </c>
      <c r="J558" s="17">
        <f>IFERROR(__xludf.DUMMYFUNCTION("""COMPUTED_VALUE"""),35148.0)</f>
        <v>35148</v>
      </c>
      <c r="K558" s="7" t="str">
        <f>IFERROR(__xludf.DUMMYFUNCTION("""COMPUTED_VALUE"""),"Phố Đông Lễ - Phường Hạc Thành - Tỉnh Thanh Hóa")</f>
        <v>Phố Đông Lễ - Phường Hạc Thành - Tỉnh Thanh Hóa</v>
      </c>
      <c r="L558" s="7" t="str">
        <f>IFERROR(__xludf.DUMMYFUNCTION("""COMPUTED_VALUE"""),"0321069881")</f>
        <v>0321069881</v>
      </c>
      <c r="M558" s="7" t="str">
        <f>IFERROR(__xludf.DUMMYFUNCTION("""COMPUTED_VALUE"""),"038096013910")</f>
        <v>038096013910</v>
      </c>
      <c r="N558" s="17">
        <f>IFERROR(__xludf.DUMMYFUNCTION("""COMPUTED_VALUE"""),44288.0)</f>
        <v>44288</v>
      </c>
      <c r="O558" s="7" t="str">
        <f>IFERROR(__xludf.DUMMYFUNCTION("""COMPUTED_VALUE"""),"Cục Cảnh sát QLHC về TTXH")</f>
        <v>Cục Cảnh sát QLHC về TTXH</v>
      </c>
      <c r="P558" s="7" t="str">
        <f>IFERROR(__xludf.DUMMYFUNCTION("""COMPUTED_VALUE"""),"LĐPT")</f>
        <v>LĐPT</v>
      </c>
      <c r="Q558" s="7" t="str">
        <f>IFERROR(__xludf.DUMMYFUNCTION("""COMPUTED_VALUE"""),"Lao động phổ thông")</f>
        <v>Lao động phổ thông</v>
      </c>
      <c r="R558" s="17">
        <f>IFERROR(__xludf.DUMMYFUNCTION("""COMPUTED_VALUE"""),43167.0)</f>
        <v>43167</v>
      </c>
      <c r="S558" s="17">
        <f>IFERROR(__xludf.DUMMYFUNCTION("""COMPUTED_VALUE"""),43466.0)</f>
        <v>43466</v>
      </c>
      <c r="T558" s="7" t="str">
        <f>IFERROR(__xludf.DUMMYFUNCTION("""COMPUTED_VALUE"""),"Chính thức")</f>
        <v>Chính thức</v>
      </c>
      <c r="U558" s="7"/>
      <c r="V558" s="7"/>
      <c r="W558" s="7" t="str">
        <f>IFERROR(__xludf.DUMMYFUNCTION("""COMPUTED_VALUE"""),"7 năm 9 tháng")</f>
        <v>7 năm 9 tháng</v>
      </c>
      <c r="X558" s="7"/>
      <c r="Y558" s="7"/>
      <c r="Z558" s="7"/>
    </row>
    <row r="559">
      <c r="A559" s="21" t="str">
        <f>IFERROR(__xludf.DUMMYFUNCTION("""COMPUTED_VALUE"""),"5")</f>
        <v>5</v>
      </c>
      <c r="B559" s="7" t="str">
        <f>IFERROR(__xludf.DUMMYFUNCTION("""COMPUTED_VALUE"""),"PXSX1")</f>
        <v>PXSX1</v>
      </c>
      <c r="C559" s="7" t="str">
        <f>IFERROR(__xludf.DUMMYFUNCTION("""COMPUTED_VALUE"""),"Phòng công nghệ")</f>
        <v>Phòng công nghệ</v>
      </c>
      <c r="D559" s="7" t="str">
        <f>IFERROR(__xludf.DUMMYFUNCTION("""COMPUTED_VALUE"""),"Tổ nghiền men PXSX1")</f>
        <v>Tổ nghiền men PXSX1</v>
      </c>
      <c r="E559" s="7" t="str">
        <f>IFERROR(__xludf.DUMMYFUNCTION("""COMPUTED_VALUE"""),"Công nhân men màu mức 1")</f>
        <v>Công nhân men màu mức 1</v>
      </c>
      <c r="F559" s="7" t="str">
        <f>IFERROR(__xludf.DUMMYFUNCTION("""COMPUTED_VALUE"""),"NV0052")</f>
        <v>NV0052</v>
      </c>
      <c r="G559" s="7">
        <f>IFERROR(__xludf.DUMMYFUNCTION("""COMPUTED_VALUE"""),226.0)</f>
        <v>226</v>
      </c>
      <c r="H559" s="7" t="str">
        <f>IFERROR(__xludf.DUMMYFUNCTION("""COMPUTED_VALUE"""),"Đỗ Văn Khôi")</f>
        <v>Đỗ Văn Khôi</v>
      </c>
      <c r="I559" s="7" t="str">
        <f>IFERROR(__xludf.DUMMYFUNCTION("""COMPUTED_VALUE"""),"Nam")</f>
        <v>Nam</v>
      </c>
      <c r="J559" s="17">
        <f>IFERROR(__xludf.DUMMYFUNCTION("""COMPUTED_VALUE"""),35308.0)</f>
        <v>35308</v>
      </c>
      <c r="K559" s="7" t="str">
        <f>IFERROR(__xludf.DUMMYFUNCTION("""COMPUTED_VALUE"""),"Phố Vạn Sơn - Phường Hạc Thành - Tỉnh Thanh Hóa")</f>
        <v>Phố Vạn Sơn - Phường Hạc Thành - Tỉnh Thanh Hóa</v>
      </c>
      <c r="L559" s="7" t="str">
        <f>IFERROR(__xludf.DUMMYFUNCTION("""COMPUTED_VALUE"""),"0937275588")</f>
        <v>0937275588</v>
      </c>
      <c r="M559" s="7" t="str">
        <f>IFERROR(__xludf.DUMMYFUNCTION("""COMPUTED_VALUE"""),"038096013206")</f>
        <v>038096013206</v>
      </c>
      <c r="N559" s="17">
        <f>IFERROR(__xludf.DUMMYFUNCTION("""COMPUTED_VALUE"""),44534.0)</f>
        <v>44534</v>
      </c>
      <c r="O559" s="7" t="str">
        <f>IFERROR(__xludf.DUMMYFUNCTION("""COMPUTED_VALUE"""),"Cục Cảnh sát QLHC về TTXH")</f>
        <v>Cục Cảnh sát QLHC về TTXH</v>
      </c>
      <c r="P559" s="7" t="str">
        <f>IFERROR(__xludf.DUMMYFUNCTION("""COMPUTED_VALUE"""),"LĐPT")</f>
        <v>LĐPT</v>
      </c>
      <c r="Q559" s="7" t="str">
        <f>IFERROR(__xludf.DUMMYFUNCTION("""COMPUTED_VALUE"""),"Lao động phổ thông")</f>
        <v>Lao động phổ thông</v>
      </c>
      <c r="R559" s="17">
        <f>IFERROR(__xludf.DUMMYFUNCTION("""COMPUTED_VALUE"""),41908.0)</f>
        <v>41908</v>
      </c>
      <c r="S559" s="17">
        <f>IFERROR(__xludf.DUMMYFUNCTION("""COMPUTED_VALUE"""),41908.0)</f>
        <v>41908</v>
      </c>
      <c r="T559" s="7" t="str">
        <f>IFERROR(__xludf.DUMMYFUNCTION("""COMPUTED_VALUE"""),"Chính thức")</f>
        <v>Chính thức</v>
      </c>
      <c r="U559" s="7"/>
      <c r="V559" s="7"/>
      <c r="W559" s="7" t="str">
        <f>IFERROR(__xludf.DUMMYFUNCTION("""COMPUTED_VALUE"""),"11 năm 3 tháng")</f>
        <v>11 năm 3 tháng</v>
      </c>
      <c r="X559" s="7"/>
      <c r="Y559" s="7"/>
      <c r="Z559" s="7"/>
    </row>
    <row r="560">
      <c r="A560" s="7">
        <f>IFERROR(__xludf.DUMMYFUNCTION("""COMPUTED_VALUE"""),1.0)</f>
        <v>1</v>
      </c>
      <c r="B560" s="7" t="str">
        <f>IFERROR(__xludf.DUMMYFUNCTION("""COMPUTED_VALUE"""),"DC6-PXSX2")</f>
        <v>DC6-PXSX2</v>
      </c>
      <c r="C560" s="7" t="str">
        <f>IFERROR(__xludf.DUMMYFUNCTION("""COMPUTED_VALUE"""),"Ban giám đốc PXSX2")</f>
        <v>Ban giám đốc PXSX2</v>
      </c>
      <c r="D560" s="7" t="str">
        <f>IFERROR(__xludf.DUMMYFUNCTION("""COMPUTED_VALUE"""),"Bộ phận hành chính")</f>
        <v>Bộ phận hành chính</v>
      </c>
      <c r="E560" s="7" t="str">
        <f>IFERROR(__xludf.DUMMYFUNCTION("""COMPUTED_VALUE"""),"Giám đốc PXSX")</f>
        <v>Giám đốc PXSX</v>
      </c>
      <c r="F560" s="7" t="str">
        <f>IFERROR(__xludf.DUMMYFUNCTION("""COMPUTED_VALUE"""),"NV0600")</f>
        <v>NV0600</v>
      </c>
      <c r="G560" s="7">
        <f>IFERROR(__xludf.DUMMYFUNCTION("""COMPUTED_VALUE"""),589.0)</f>
        <v>589</v>
      </c>
      <c r="H560" s="7" t="str">
        <f>IFERROR(__xludf.DUMMYFUNCTION("""COMPUTED_VALUE"""),"Trần Quốc Tuấn")</f>
        <v>Trần Quốc Tuấn</v>
      </c>
      <c r="I560" s="7" t="str">
        <f>IFERROR(__xludf.DUMMYFUNCTION("""COMPUTED_VALUE"""),"Nam")</f>
        <v>Nam</v>
      </c>
      <c r="J560" s="17">
        <f>IFERROR(__xludf.DUMMYFUNCTION("""COMPUTED_VALUE"""),28443.0)</f>
        <v>28443</v>
      </c>
      <c r="K560" s="7" t="str">
        <f>IFERROR(__xludf.DUMMYFUNCTION("""COMPUTED_VALUE"""),"18/66 Phú Thọ 3 - Phường Hạc Thành - Tỉnh Thanh Hóa")</f>
        <v>18/66 Phú Thọ 3 - Phường Hạc Thành - Tỉnh Thanh Hóa</v>
      </c>
      <c r="L560" s="7" t="str">
        <f>IFERROR(__xludf.DUMMYFUNCTION("""COMPUTED_VALUE"""),"0967817680")</f>
        <v>0967817680</v>
      </c>
      <c r="M560" s="7" t="str">
        <f>IFERROR(__xludf.DUMMYFUNCTION("""COMPUTED_VALUE"""),"038077005673")</f>
        <v>038077005673</v>
      </c>
      <c r="N560" s="19">
        <f>IFERROR(__xludf.DUMMYFUNCTION("""COMPUTED_VALUE"""),44419.0)</f>
        <v>44419</v>
      </c>
      <c r="O560" s="7" t="str">
        <f>IFERROR(__xludf.DUMMYFUNCTION("""COMPUTED_VALUE"""),"Cục Cảnh sát QLHC về TTXH")</f>
        <v>Cục Cảnh sát QLHC về TTXH</v>
      </c>
      <c r="P560" s="7" t="str">
        <f>IFERROR(__xludf.DUMMYFUNCTION("""COMPUTED_VALUE"""),"Đại học")</f>
        <v>Đại học</v>
      </c>
      <c r="Q560" s="7" t="str">
        <f>IFERROR(__xludf.DUMMYFUNCTION("""COMPUTED_VALUE"""),"Cử nhân hóa")</f>
        <v>Cử nhân hóa</v>
      </c>
      <c r="R560" s="17">
        <f>IFERROR(__xludf.DUMMYFUNCTION("""COMPUTED_VALUE"""),37867.0)</f>
        <v>37867</v>
      </c>
      <c r="S560" s="17">
        <f>IFERROR(__xludf.DUMMYFUNCTION("""COMPUTED_VALUE"""),37867.0)</f>
        <v>37867</v>
      </c>
      <c r="T560" s="7" t="str">
        <f>IFERROR(__xludf.DUMMYFUNCTION("""COMPUTED_VALUE"""),"Chính thức")</f>
        <v>Chính thức</v>
      </c>
      <c r="U560" s="7"/>
      <c r="V560" s="7" t="str">
        <f>IFERROR(__xludf.DUMMYFUNCTION("""COMPUTED_VALUE"""),"Chính thức")</f>
        <v>Chính thức</v>
      </c>
      <c r="W560" s="7" t="str">
        <f>IFERROR(__xludf.DUMMYFUNCTION("""COMPUTED_VALUE"""),"22 năm 3 tháng")</f>
        <v>22 năm 3 tháng</v>
      </c>
      <c r="X560" s="7"/>
      <c r="Y560" s="7"/>
      <c r="Z560" s="7"/>
    </row>
    <row r="561">
      <c r="A561" s="7">
        <f>IFERROR(__xludf.DUMMYFUNCTION("""COMPUTED_VALUE"""),2.0)</f>
        <v>2</v>
      </c>
      <c r="B561" s="7" t="str">
        <f>IFERROR(__xludf.DUMMYFUNCTION("""COMPUTED_VALUE"""),"DC6-PXSX2")</f>
        <v>DC6-PXSX2</v>
      </c>
      <c r="C561" s="7" t="str">
        <f>IFERROR(__xludf.DUMMYFUNCTION("""COMPUTED_VALUE"""),"Ban giám đốc PXSX2")</f>
        <v>Ban giám đốc PXSX2</v>
      </c>
      <c r="D561" s="7" t="str">
        <f>IFERROR(__xludf.DUMMYFUNCTION("""COMPUTED_VALUE"""),"Bộ phận hành chính")</f>
        <v>Bộ phận hành chính</v>
      </c>
      <c r="E561" s="7" t="str">
        <f>IFERROR(__xludf.DUMMYFUNCTION("""COMPUTED_VALUE"""),"Trưởng phòng sản xuất")</f>
        <v>Trưởng phòng sản xuất</v>
      </c>
      <c r="F561" s="7" t="str">
        <f>IFERROR(__xludf.DUMMYFUNCTION("""COMPUTED_VALUE"""),"NV0009")</f>
        <v>NV0009</v>
      </c>
      <c r="G561" s="7">
        <f>IFERROR(__xludf.DUMMYFUNCTION("""COMPUTED_VALUE"""),8.0)</f>
        <v>8</v>
      </c>
      <c r="H561" s="7" t="str">
        <f>IFERROR(__xludf.DUMMYFUNCTION("""COMPUTED_VALUE"""),"Lê Văn Cường")</f>
        <v>Lê Văn Cường</v>
      </c>
      <c r="I561" s="7" t="str">
        <f>IFERROR(__xludf.DUMMYFUNCTION("""COMPUTED_VALUE"""),"Nam")</f>
        <v>Nam</v>
      </c>
      <c r="J561" s="17">
        <f>IFERROR(__xludf.DUMMYFUNCTION("""COMPUTED_VALUE"""),30636.0)</f>
        <v>30636</v>
      </c>
      <c r="K561" s="7" t="str">
        <f>IFERROR(__xludf.DUMMYFUNCTION("""COMPUTED_VALUE"""),"Chung cư AT HOME - Phường Hạc Thành - Tỉnh Thanh Hóa")</f>
        <v>Chung cư AT HOME - Phường Hạc Thành - Tỉnh Thanh Hóa</v>
      </c>
      <c r="L561" s="7" t="str">
        <f>IFERROR(__xludf.DUMMYFUNCTION("""COMPUTED_VALUE"""),"0984045357")</f>
        <v>0984045357</v>
      </c>
      <c r="M561" s="7" t="str">
        <f>IFERROR(__xludf.DUMMYFUNCTION("""COMPUTED_VALUE"""),"038083051657")</f>
        <v>038083051657</v>
      </c>
      <c r="N561" s="19">
        <f>IFERROR(__xludf.DUMMYFUNCTION("""COMPUTED_VALUE"""),44427.0)</f>
        <v>44427</v>
      </c>
      <c r="O561" s="7" t="str">
        <f>IFERROR(__xludf.DUMMYFUNCTION("""COMPUTED_VALUE"""),"Cục Cảnh sát QLHC về TTXH")</f>
        <v>Cục Cảnh sát QLHC về TTXH</v>
      </c>
      <c r="P561" s="7" t="str">
        <f>IFERROR(__xludf.DUMMYFUNCTION("""COMPUTED_VALUE"""),"Đại học")</f>
        <v>Đại học</v>
      </c>
      <c r="Q561" s="7" t="str">
        <f>IFERROR(__xludf.DUMMYFUNCTION("""COMPUTED_VALUE"""),"Công nghệ hóa học")</f>
        <v>Công nghệ hóa học</v>
      </c>
      <c r="R561" s="17">
        <f>IFERROR(__xludf.DUMMYFUNCTION("""COMPUTED_VALUE"""),38724.0)</f>
        <v>38724</v>
      </c>
      <c r="S561" s="17">
        <f>IFERROR(__xludf.DUMMYFUNCTION("""COMPUTED_VALUE"""),38724.0)</f>
        <v>38724</v>
      </c>
      <c r="T561" s="7" t="str">
        <f>IFERROR(__xludf.DUMMYFUNCTION("""COMPUTED_VALUE"""),"Chính thức")</f>
        <v>Chính thức</v>
      </c>
      <c r="U561" s="7"/>
      <c r="V561" s="7" t="str">
        <f>IFERROR(__xludf.DUMMYFUNCTION("""COMPUTED_VALUE"""),"Chính thức")</f>
        <v>Chính thức</v>
      </c>
      <c r="W561" s="7" t="str">
        <f>IFERROR(__xludf.DUMMYFUNCTION("""COMPUTED_VALUE"""),"19 năm 11 tháng")</f>
        <v>19 năm 11 tháng</v>
      </c>
      <c r="X561" s="7"/>
      <c r="Y561" s="7"/>
      <c r="Z561" s="7"/>
    </row>
    <row r="562">
      <c r="A562" s="7">
        <f>IFERROR(__xludf.DUMMYFUNCTION("""COMPUTED_VALUE"""),3.0)</f>
        <v>3</v>
      </c>
      <c r="B562" s="7" t="str">
        <f>IFERROR(__xludf.DUMMYFUNCTION("""COMPUTED_VALUE"""),"DC6-PXSX2")</f>
        <v>DC6-PXSX2</v>
      </c>
      <c r="C562" s="7" t="str">
        <f>IFERROR(__xludf.DUMMYFUNCTION("""COMPUTED_VALUE"""),"Ban giám đốc PXSX2")</f>
        <v>Ban giám đốc PXSX2</v>
      </c>
      <c r="D562" s="7" t="str">
        <f>IFERROR(__xludf.DUMMYFUNCTION("""COMPUTED_VALUE"""),"Bộ phận hành chính")</f>
        <v>Bộ phận hành chính</v>
      </c>
      <c r="E562" s="7" t="str">
        <f>IFERROR(__xludf.DUMMYFUNCTION("""COMPUTED_VALUE"""),"Phó giám đốc PXSX")</f>
        <v>Phó giám đốc PXSX</v>
      </c>
      <c r="F562" s="7" t="str">
        <f>IFERROR(__xludf.DUMMYFUNCTION("""COMPUTED_VALUE"""),"NV0042")</f>
        <v>NV0042</v>
      </c>
      <c r="G562" s="7">
        <f>IFERROR(__xludf.DUMMYFUNCTION("""COMPUTED_VALUE"""),10.0)</f>
        <v>10</v>
      </c>
      <c r="H562" s="7" t="str">
        <f>IFERROR(__xludf.DUMMYFUNCTION("""COMPUTED_VALUE"""),"Nguyễn Thế Hùng")</f>
        <v>Nguyễn Thế Hùng</v>
      </c>
      <c r="I562" s="7" t="str">
        <f>IFERROR(__xludf.DUMMYFUNCTION("""COMPUTED_VALUE"""),"Nam")</f>
        <v>Nam</v>
      </c>
      <c r="J562" s="17">
        <f>IFERROR(__xludf.DUMMYFUNCTION("""COMPUTED_VALUE"""),30742.0)</f>
        <v>30742</v>
      </c>
      <c r="K562" s="7" t="str">
        <f>IFERROR(__xludf.DUMMYFUNCTION("""COMPUTED_VALUE"""),"SN 74 Nguyễn Quỳnh - Phường Hạc Thành - Tỉnh Thanh Hóa")</f>
        <v>SN 74 Nguyễn Quỳnh - Phường Hạc Thành - Tỉnh Thanh Hóa</v>
      </c>
      <c r="L562" s="7" t="str">
        <f>IFERROR(__xludf.DUMMYFUNCTION("""COMPUTED_VALUE"""),"0946238239")</f>
        <v>0946238239</v>
      </c>
      <c r="M562" s="7" t="str">
        <f>IFERROR(__xludf.DUMMYFUNCTION("""COMPUTED_VALUE"""),"038084037922")</f>
        <v>038084037922</v>
      </c>
      <c r="N562" s="19">
        <f>IFERROR(__xludf.DUMMYFUNCTION("""COMPUTED_VALUE"""),44375.0)</f>
        <v>44375</v>
      </c>
      <c r="O562" s="7" t="str">
        <f>IFERROR(__xludf.DUMMYFUNCTION("""COMPUTED_VALUE"""),"Cục Cảnh sát QLHC về TTXH")</f>
        <v>Cục Cảnh sát QLHC về TTXH</v>
      </c>
      <c r="P562" s="7" t="str">
        <f>IFERROR(__xludf.DUMMYFUNCTION("""COMPUTED_VALUE"""),"Đại học")</f>
        <v>Đại học</v>
      </c>
      <c r="Q562" s="7" t="str">
        <f>IFERROR(__xludf.DUMMYFUNCTION("""COMPUTED_VALUE"""),"Công nghệ thông tin")</f>
        <v>Công nghệ thông tin</v>
      </c>
      <c r="R562" s="17">
        <f>IFERROR(__xludf.DUMMYFUNCTION("""COMPUTED_VALUE"""),40188.0)</f>
        <v>40188</v>
      </c>
      <c r="S562" s="17">
        <f>IFERROR(__xludf.DUMMYFUNCTION("""COMPUTED_VALUE"""),40188.0)</f>
        <v>40188</v>
      </c>
      <c r="T562" s="7" t="str">
        <f>IFERROR(__xludf.DUMMYFUNCTION("""COMPUTED_VALUE"""),"Chính thức")</f>
        <v>Chính thức</v>
      </c>
      <c r="U562" s="7"/>
      <c r="V562" s="7" t="str">
        <f>IFERROR(__xludf.DUMMYFUNCTION("""COMPUTED_VALUE"""),"Chính thức")</f>
        <v>Chính thức</v>
      </c>
      <c r="W562" s="7" t="str">
        <f>IFERROR(__xludf.DUMMYFUNCTION("""COMPUTED_VALUE"""),"15 năm 11 tháng")</f>
        <v>15 năm 11 tháng</v>
      </c>
      <c r="X562" s="7"/>
      <c r="Y562" s="7"/>
      <c r="Z562" s="7"/>
    </row>
    <row r="563">
      <c r="A563" s="7">
        <f>IFERROR(__xludf.DUMMYFUNCTION("""COMPUTED_VALUE"""),4.0)</f>
        <v>4</v>
      </c>
      <c r="B563" s="7" t="str">
        <f>IFERROR(__xludf.DUMMYFUNCTION("""COMPUTED_VALUE"""),"PXSX2")</f>
        <v>PXSX2</v>
      </c>
      <c r="C563" s="7" t="str">
        <f>IFERROR(__xludf.DUMMYFUNCTION("""COMPUTED_VALUE"""),"Ban giám đốc PXSX2")</f>
        <v>Ban giám đốc PXSX2</v>
      </c>
      <c r="D563" s="7" t="str">
        <f>IFERROR(__xludf.DUMMYFUNCTION("""COMPUTED_VALUE"""),"Bộ phận hành chính")</f>
        <v>Bộ phận hành chính</v>
      </c>
      <c r="E563" s="7" t="str">
        <f>IFERROR(__xludf.DUMMYFUNCTION("""COMPUTED_VALUE"""),"Phó giám đốc PXSX")</f>
        <v>Phó giám đốc PXSX</v>
      </c>
      <c r="F563" s="7" t="str">
        <f>IFERROR(__xludf.DUMMYFUNCTION("""COMPUTED_VALUE"""),"NV0453")</f>
        <v>NV0453</v>
      </c>
      <c r="G563" s="7">
        <f>IFERROR(__xludf.DUMMYFUNCTION("""COMPUTED_VALUE"""),520.0)</f>
        <v>520</v>
      </c>
      <c r="H563" s="7" t="str">
        <f>IFERROR(__xludf.DUMMYFUNCTION("""COMPUTED_VALUE"""),"Quách Văn Thường")</f>
        <v>Quách Văn Thường</v>
      </c>
      <c r="I563" s="7" t="str">
        <f>IFERROR(__xludf.DUMMYFUNCTION("""COMPUTED_VALUE"""),"Nam")</f>
        <v>Nam</v>
      </c>
      <c r="J563" s="17">
        <f>IFERROR(__xludf.DUMMYFUNCTION("""COMPUTED_VALUE"""),32629.0)</f>
        <v>32629</v>
      </c>
      <c r="K563" s="7" t="str">
        <f>IFERROR(__xludf.DUMMYFUNCTION("""COMPUTED_VALUE"""),"Ngõ 103 Đường Bạch Đằng -  Phố 5 - Phường Quảng Phú - Tỉnh Thanh Hóa")</f>
        <v>Ngõ 103 Đường Bạch Đằng -  Phố 5 - Phường Quảng Phú - Tỉnh Thanh Hóa</v>
      </c>
      <c r="L563" s="7" t="str">
        <f>IFERROR(__xludf.DUMMYFUNCTION("""COMPUTED_VALUE"""),"0987039836")</f>
        <v>0987039836</v>
      </c>
      <c r="M563" s="7" t="str">
        <f>IFERROR(__xludf.DUMMYFUNCTION("""COMPUTED_VALUE"""),"038089032225")</f>
        <v>038089032225</v>
      </c>
      <c r="N563" s="19">
        <f>IFERROR(__xludf.DUMMYFUNCTION("""COMPUTED_VALUE"""),44419.0)</f>
        <v>44419</v>
      </c>
      <c r="O563" s="7" t="str">
        <f>IFERROR(__xludf.DUMMYFUNCTION("""COMPUTED_VALUE"""),"Cục Cảnh sát QLHC về TTXH")</f>
        <v>Cục Cảnh sát QLHC về TTXH</v>
      </c>
      <c r="P563" s="7" t="str">
        <f>IFERROR(__xludf.DUMMYFUNCTION("""COMPUTED_VALUE"""),"Trung cấp")</f>
        <v>Trung cấp</v>
      </c>
      <c r="Q563" s="7" t="str">
        <f>IFERROR(__xludf.DUMMYFUNCTION("""COMPUTED_VALUE"""),"Điện xí nghiệp")</f>
        <v>Điện xí nghiệp</v>
      </c>
      <c r="R563" s="17">
        <f>IFERROR(__xludf.DUMMYFUNCTION("""COMPUTED_VALUE"""),40473.0)</f>
        <v>40473</v>
      </c>
      <c r="S563" s="17">
        <f>IFERROR(__xludf.DUMMYFUNCTION("""COMPUTED_VALUE"""),40473.0)</f>
        <v>40473</v>
      </c>
      <c r="T563" s="7" t="str">
        <f>IFERROR(__xludf.DUMMYFUNCTION("""COMPUTED_VALUE"""),"Chính thức")</f>
        <v>Chính thức</v>
      </c>
      <c r="U563" s="7"/>
      <c r="V563" s="7" t="str">
        <f>IFERROR(__xludf.DUMMYFUNCTION("""COMPUTED_VALUE"""),"Chính thức")</f>
        <v>Chính thức</v>
      </c>
      <c r="W563" s="7" t="str">
        <f>IFERROR(__xludf.DUMMYFUNCTION("""COMPUTED_VALUE"""),"15 năm 2 tháng")</f>
        <v>15 năm 2 tháng</v>
      </c>
      <c r="X563" s="7"/>
      <c r="Y563" s="7"/>
      <c r="Z563" s="7"/>
    </row>
    <row r="564">
      <c r="A564" s="7">
        <f>IFERROR(__xludf.DUMMYFUNCTION("""COMPUTED_VALUE"""),5.0)</f>
        <v>5</v>
      </c>
      <c r="B564" s="7" t="str">
        <f>IFERROR(__xludf.DUMMYFUNCTION("""COMPUTED_VALUE"""),"PXSX2")</f>
        <v>PXSX2</v>
      </c>
      <c r="C564" s="7" t="str">
        <f>IFERROR(__xludf.DUMMYFUNCTION("""COMPUTED_VALUE"""),"Ban giám đốc PXSX2")</f>
        <v>Ban giám đốc PXSX2</v>
      </c>
      <c r="D564" s="7" t="str">
        <f>IFERROR(__xludf.DUMMYFUNCTION("""COMPUTED_VALUE"""),"Bộ phận hành chính")</f>
        <v>Bộ phận hành chính</v>
      </c>
      <c r="E564" s="7" t="str">
        <f>IFERROR(__xludf.DUMMYFUNCTION("""COMPUTED_VALUE"""),"Phó giám đốc PXSX")</f>
        <v>Phó giám đốc PXSX</v>
      </c>
      <c r="F564" s="7" t="str">
        <f>IFERROR(__xludf.DUMMYFUNCTION("""COMPUTED_VALUE"""),"NV5719")</f>
        <v>NV5719</v>
      </c>
      <c r="G564" s="7">
        <f>IFERROR(__xludf.DUMMYFUNCTION("""COMPUTED_VALUE"""),1211.0)</f>
        <v>1211</v>
      </c>
      <c r="H564" s="7" t="str">
        <f>IFERROR(__xludf.DUMMYFUNCTION("""COMPUTED_VALUE"""),"Lê Văn Luận")</f>
        <v>Lê Văn Luận</v>
      </c>
      <c r="I564" s="7" t="str">
        <f>IFERROR(__xludf.DUMMYFUNCTION("""COMPUTED_VALUE"""),"Nam")</f>
        <v>Nam</v>
      </c>
      <c r="J564" s="17">
        <f>IFERROR(__xludf.DUMMYFUNCTION("""COMPUTED_VALUE"""),28347.0)</f>
        <v>28347</v>
      </c>
      <c r="K564" s="7" t="str">
        <f>IFERROR(__xludf.DUMMYFUNCTION("""COMPUTED_VALUE"""),"Phường Quảng Phú - Tỉnh Thanh Hóa")</f>
        <v>Phường Quảng Phú - Tỉnh Thanh Hóa</v>
      </c>
      <c r="L564" s="7" t="str">
        <f>IFERROR(__xludf.DUMMYFUNCTION("""COMPUTED_VALUE"""),"0586181999")</f>
        <v>0586181999</v>
      </c>
      <c r="M564" s="7" t="str">
        <f>IFERROR(__xludf.DUMMYFUNCTION("""COMPUTED_VALUE"""),"038077112297")</f>
        <v>038077112297</v>
      </c>
      <c r="N564" s="19">
        <f>IFERROR(__xludf.DUMMYFUNCTION("""COMPUTED_VALUE"""),44422.0)</f>
        <v>44422</v>
      </c>
      <c r="O564" s="7" t="str">
        <f>IFERROR(__xludf.DUMMYFUNCTION("""COMPUTED_VALUE"""),"Cục Cảnh sát QLHC về TTXH")</f>
        <v>Cục Cảnh sát QLHC về TTXH</v>
      </c>
      <c r="P564" s="7" t="str">
        <f>IFERROR(__xludf.DUMMYFUNCTION("""COMPUTED_VALUE"""),"Đại học")</f>
        <v>Đại học</v>
      </c>
      <c r="Q564" s="7" t="str">
        <f>IFERROR(__xludf.DUMMYFUNCTION("""COMPUTED_VALUE"""),"Cử nhân kinh tế")</f>
        <v>Cử nhân kinh tế</v>
      </c>
      <c r="R564" s="17">
        <f>IFERROR(__xludf.DUMMYFUNCTION("""COMPUTED_VALUE"""),45870.0)</f>
        <v>45870</v>
      </c>
      <c r="S564" s="17">
        <f>IFERROR(__xludf.DUMMYFUNCTION("""COMPUTED_VALUE"""),45923.0)</f>
        <v>45923</v>
      </c>
      <c r="T564" s="7" t="str">
        <f>IFERROR(__xludf.DUMMYFUNCTION("""COMPUTED_VALUE"""),"Chính thức")</f>
        <v>Chính thức</v>
      </c>
      <c r="U564" s="7"/>
      <c r="V564" s="7" t="str">
        <f>IFERROR(__xludf.DUMMYFUNCTION("""COMPUTED_VALUE"""),"Chính thức")</f>
        <v>Chính thức</v>
      </c>
      <c r="W564" s="7" t="str">
        <f>IFERROR(__xludf.DUMMYFUNCTION("""COMPUTED_VALUE"""),"0 năm 4 tháng")</f>
        <v>0 năm 4 tháng</v>
      </c>
      <c r="X564" s="7"/>
      <c r="Y564" s="7"/>
      <c r="Z564" s="7"/>
    </row>
    <row r="565">
      <c r="A565" s="7">
        <f>IFERROR(__xludf.DUMMYFUNCTION("""COMPUTED_VALUE"""),1.0)</f>
        <v>1</v>
      </c>
      <c r="B565" s="7" t="str">
        <f>IFERROR(__xludf.DUMMYFUNCTION("""COMPUTED_VALUE"""),"DC5-PXSX2")</f>
        <v>DC5-PXSX2</v>
      </c>
      <c r="C565" s="7" t="str">
        <f>IFERROR(__xludf.DUMMYFUNCTION("""COMPUTED_VALUE"""),"Phó bộ phận PXSX2")</f>
        <v>Phó bộ phận PXSX2</v>
      </c>
      <c r="D565" s="7" t="str">
        <f>IFERROR(__xludf.DUMMYFUNCTION("""COMPUTED_VALUE"""),"Bộ phận hành chính")</f>
        <v>Bộ phận hành chính</v>
      </c>
      <c r="E565" s="7" t="str">
        <f>IFERROR(__xludf.DUMMYFUNCTION("""COMPUTED_VALUE"""),"Phó bộ phận - Phụ trách Dây chuyền gia công DC5")</f>
        <v>Phó bộ phận - Phụ trách Dây chuyền gia công DC5</v>
      </c>
      <c r="F565" s="7" t="str">
        <f>IFERROR(__xludf.DUMMYFUNCTION("""COMPUTED_VALUE"""),"NV0657")</f>
        <v>NV0657</v>
      </c>
      <c r="G565" s="7">
        <f>IFERROR(__xludf.DUMMYFUNCTION("""COMPUTED_VALUE"""),523.0)</f>
        <v>523</v>
      </c>
      <c r="H565" s="7" t="str">
        <f>IFERROR(__xludf.DUMMYFUNCTION("""COMPUTED_VALUE"""),"Nguyễn Văn Duẩn")</f>
        <v>Nguyễn Văn Duẩn</v>
      </c>
      <c r="I565" s="7" t="str">
        <f>IFERROR(__xludf.DUMMYFUNCTION("""COMPUTED_VALUE"""),"Nam")</f>
        <v>Nam</v>
      </c>
      <c r="J565" s="17">
        <f>IFERROR(__xludf.DUMMYFUNCTION("""COMPUTED_VALUE"""),32091.0)</f>
        <v>32091</v>
      </c>
      <c r="K565" s="7" t="str">
        <f>IFERROR(__xludf.DUMMYFUNCTION("""COMPUTED_VALUE"""),"Thôn 9 - Phường Đông Tiến - Tỉnh Thanh Hóa")</f>
        <v>Thôn 9 - Phường Đông Tiến - Tỉnh Thanh Hóa</v>
      </c>
      <c r="L565" s="7" t="str">
        <f>IFERROR(__xludf.DUMMYFUNCTION("""COMPUTED_VALUE"""),"0972134775")</f>
        <v>0972134775</v>
      </c>
      <c r="M565" s="7" t="str">
        <f>IFERROR(__xludf.DUMMYFUNCTION("""COMPUTED_VALUE"""),"038087022330")</f>
        <v>038087022330</v>
      </c>
      <c r="N565" s="19">
        <f>IFERROR(__xludf.DUMMYFUNCTION("""COMPUTED_VALUE"""),44090.0)</f>
        <v>44090</v>
      </c>
      <c r="O565" s="7" t="str">
        <f>IFERROR(__xludf.DUMMYFUNCTION("""COMPUTED_VALUE"""),"Cục Cảnh sát QLHC về TTXH")</f>
        <v>Cục Cảnh sát QLHC về TTXH</v>
      </c>
      <c r="P565" s="7" t="str">
        <f>IFERROR(__xludf.DUMMYFUNCTION("""COMPUTED_VALUE"""),"Cao đẳng")</f>
        <v>Cao đẳng</v>
      </c>
      <c r="Q565" s="7" t="str">
        <f>IFERROR(__xludf.DUMMYFUNCTION("""COMPUTED_VALUE"""),"Điện công nghiệp")</f>
        <v>Điện công nghiệp</v>
      </c>
      <c r="R565" s="17">
        <f>IFERROR(__xludf.DUMMYFUNCTION("""COMPUTED_VALUE"""),40342.0)</f>
        <v>40342</v>
      </c>
      <c r="S565" s="17">
        <f>IFERROR(__xludf.DUMMYFUNCTION("""COMPUTED_VALUE"""),40342.0)</f>
        <v>40342</v>
      </c>
      <c r="T565" s="7" t="str">
        <f>IFERROR(__xludf.DUMMYFUNCTION("""COMPUTED_VALUE"""),"Chính thức")</f>
        <v>Chính thức</v>
      </c>
      <c r="U565" s="7"/>
      <c r="V565" s="7" t="str">
        <f>IFERROR(__xludf.DUMMYFUNCTION("""COMPUTED_VALUE"""),"Chính thức")</f>
        <v>Chính thức</v>
      </c>
      <c r="W565" s="7" t="str">
        <f>IFERROR(__xludf.DUMMYFUNCTION("""COMPUTED_VALUE"""),"15 năm 6 tháng")</f>
        <v>15 năm 6 tháng</v>
      </c>
      <c r="X565" s="7"/>
      <c r="Y565" s="7"/>
      <c r="Z565" s="7"/>
    </row>
    <row r="566">
      <c r="A566" s="7">
        <f>IFERROR(__xludf.DUMMYFUNCTION("""COMPUTED_VALUE"""),2.0)</f>
        <v>2</v>
      </c>
      <c r="B566" s="7" t="str">
        <f>IFERROR(__xludf.DUMMYFUNCTION("""COMPUTED_VALUE"""),"PXSX2")</f>
        <v>PXSX2</v>
      </c>
      <c r="C566" s="7" t="str">
        <f>IFERROR(__xludf.DUMMYFUNCTION("""COMPUTED_VALUE"""),"Phó bộ phận PXSX2")</f>
        <v>Phó bộ phận PXSX2</v>
      </c>
      <c r="D566" s="7" t="str">
        <f>IFERROR(__xludf.DUMMYFUNCTION("""COMPUTED_VALUE"""),"Bộ phận hành chính")</f>
        <v>Bộ phận hành chính</v>
      </c>
      <c r="E566" s="7" t="str">
        <f>IFERROR(__xludf.DUMMYFUNCTION("""COMPUTED_VALUE"""),"Phó bộ phận - Phụ trách Nghiền sấy phun và DC gia công DC6")</f>
        <v>Phó bộ phận - Phụ trách Nghiền sấy phun và DC gia công DC6</v>
      </c>
      <c r="F566" s="7" t="str">
        <f>IFERROR(__xludf.DUMMYFUNCTION("""COMPUTED_VALUE"""),"NV0603")</f>
        <v>NV0603</v>
      </c>
      <c r="G566" s="7">
        <f>IFERROR(__xludf.DUMMYFUNCTION("""COMPUTED_VALUE"""),555.0)</f>
        <v>555</v>
      </c>
      <c r="H566" s="7" t="str">
        <f>IFERROR(__xludf.DUMMYFUNCTION("""COMPUTED_VALUE"""),"Phạm Đức Mạnh")</f>
        <v>Phạm Đức Mạnh</v>
      </c>
      <c r="I566" s="7" t="str">
        <f>IFERROR(__xludf.DUMMYFUNCTION("""COMPUTED_VALUE"""),"Nam")</f>
        <v>Nam</v>
      </c>
      <c r="J566" s="17">
        <f>IFERROR(__xludf.DUMMYFUNCTION("""COMPUTED_VALUE"""),29707.0)</f>
        <v>29707</v>
      </c>
      <c r="K566" s="7" t="str">
        <f>IFERROR(__xludf.DUMMYFUNCTION("""COMPUTED_VALUE"""),"Thôn 5 - Xã Tân Tiến - Tỉnh Thanh Hóa")</f>
        <v>Thôn 5 - Xã Tân Tiến - Tỉnh Thanh Hóa</v>
      </c>
      <c r="L566" s="7" t="str">
        <f>IFERROR(__xludf.DUMMYFUNCTION("""COMPUTED_VALUE"""),"0986987657")</f>
        <v>0986987657</v>
      </c>
      <c r="M566" s="7" t="str">
        <f>IFERROR(__xludf.DUMMYFUNCTION("""COMPUTED_VALUE"""),"038081000860")</f>
        <v>038081000860</v>
      </c>
      <c r="N566" s="19">
        <f>IFERROR(__xludf.DUMMYFUNCTION("""COMPUTED_VALUE"""),44461.0)</f>
        <v>44461</v>
      </c>
      <c r="O566" s="7" t="str">
        <f>IFERROR(__xludf.DUMMYFUNCTION("""COMPUTED_VALUE"""),"Cục Cảnh sát QLHC về TTXH")</f>
        <v>Cục Cảnh sát QLHC về TTXH</v>
      </c>
      <c r="P566" s="7" t="str">
        <f>IFERROR(__xludf.DUMMYFUNCTION("""COMPUTED_VALUE"""),"Kỹ sư")</f>
        <v>Kỹ sư</v>
      </c>
      <c r="Q566" s="7" t="str">
        <f>IFERROR(__xludf.DUMMYFUNCTION("""COMPUTED_VALUE"""),"Hệ thống điện")</f>
        <v>Hệ thống điện</v>
      </c>
      <c r="R566" s="17">
        <f>IFERROR(__xludf.DUMMYFUNCTION("""COMPUTED_VALUE"""),39295.0)</f>
        <v>39295</v>
      </c>
      <c r="S566" s="17">
        <f>IFERROR(__xludf.DUMMYFUNCTION("""COMPUTED_VALUE"""),39295.0)</f>
        <v>39295</v>
      </c>
      <c r="T566" s="7" t="str">
        <f>IFERROR(__xludf.DUMMYFUNCTION("""COMPUTED_VALUE"""),"Chính thức")</f>
        <v>Chính thức</v>
      </c>
      <c r="U566" s="7"/>
      <c r="V566" s="7" t="str">
        <f>IFERROR(__xludf.DUMMYFUNCTION("""COMPUTED_VALUE"""),"Chính thức")</f>
        <v>Chính thức</v>
      </c>
      <c r="W566" s="7" t="str">
        <f>IFERROR(__xludf.DUMMYFUNCTION("""COMPUTED_VALUE"""),"18 năm 4 tháng")</f>
        <v>18 năm 4 tháng</v>
      </c>
      <c r="X566" s="7"/>
      <c r="Y566" s="7"/>
      <c r="Z566" s="7"/>
    </row>
    <row r="567">
      <c r="A567" s="7">
        <f>IFERROR(__xludf.DUMMYFUNCTION("""COMPUTED_VALUE"""),3.0)</f>
        <v>3</v>
      </c>
      <c r="B567" s="7" t="str">
        <f>IFERROR(__xludf.DUMMYFUNCTION("""COMPUTED_VALUE"""),"PXSX2")</f>
        <v>PXSX2</v>
      </c>
      <c r="C567" s="7" t="str">
        <f>IFERROR(__xludf.DUMMYFUNCTION("""COMPUTED_VALUE"""),"Phó bộ phận PXSX2")</f>
        <v>Phó bộ phận PXSX2</v>
      </c>
      <c r="D567" s="7" t="str">
        <f>IFERROR(__xludf.DUMMYFUNCTION("""COMPUTED_VALUE"""),"Bộ phận hành chính")</f>
        <v>Bộ phận hành chính</v>
      </c>
      <c r="E567" s="7" t="str">
        <f>IFERROR(__xludf.DUMMYFUNCTION("""COMPUTED_VALUE"""),"Phó bộ phận - Phụ trách trạm than và Lò nung - Đóng hộp DC6")</f>
        <v>Phó bộ phận - Phụ trách trạm than và Lò nung - Đóng hộp DC6</v>
      </c>
      <c r="F567" s="7" t="str">
        <f>IFERROR(__xludf.DUMMYFUNCTION("""COMPUTED_VALUE"""),"NV0430")</f>
        <v>NV0430</v>
      </c>
      <c r="G567" s="7">
        <f>IFERROR(__xludf.DUMMYFUNCTION("""COMPUTED_VALUE"""),549.0)</f>
        <v>549</v>
      </c>
      <c r="H567" s="7" t="str">
        <f>IFERROR(__xludf.DUMMYFUNCTION("""COMPUTED_VALUE"""),"Lê Viết Trung")</f>
        <v>Lê Viết Trung</v>
      </c>
      <c r="I567" s="7" t="str">
        <f>IFERROR(__xludf.DUMMYFUNCTION("""COMPUTED_VALUE"""),"Nam")</f>
        <v>Nam</v>
      </c>
      <c r="J567" s="17">
        <f>IFERROR(__xludf.DUMMYFUNCTION("""COMPUTED_VALUE"""),30543.0)</f>
        <v>30543</v>
      </c>
      <c r="K567" s="7" t="str">
        <f>IFERROR(__xludf.DUMMYFUNCTION("""COMPUTED_VALUE"""),"Lô 212 MBQH 63 -  Phường Hàm Rồng - Tỉnh Thanh Hóa")</f>
        <v>Lô 212 MBQH 63 -  Phường Hàm Rồng - Tỉnh Thanh Hóa</v>
      </c>
      <c r="L567" s="7" t="str">
        <f>IFERROR(__xludf.DUMMYFUNCTION("""COMPUTED_VALUE"""),"0979215390")</f>
        <v>0979215390</v>
      </c>
      <c r="M567" s="7" t="str">
        <f>IFERROR(__xludf.DUMMYFUNCTION("""COMPUTED_VALUE"""),"038083002102")</f>
        <v>038083002102</v>
      </c>
      <c r="N567" s="19">
        <f>IFERROR(__xludf.DUMMYFUNCTION("""COMPUTED_VALUE"""),44461.0)</f>
        <v>44461</v>
      </c>
      <c r="O567" s="7" t="str">
        <f>IFERROR(__xludf.DUMMYFUNCTION("""COMPUTED_VALUE"""),"Cục Cảnh sát QLHC về TTXH")</f>
        <v>Cục Cảnh sát QLHC về TTXH</v>
      </c>
      <c r="P567" s="7" t="str">
        <f>IFERROR(__xludf.DUMMYFUNCTION("""COMPUTED_VALUE"""),"Cao đẳng")</f>
        <v>Cao đẳng</v>
      </c>
      <c r="Q567" s="7" t="str">
        <f>IFERROR(__xludf.DUMMYFUNCTION("""COMPUTED_VALUE"""),"Kỹ sư hóa Sillcat")</f>
        <v>Kỹ sư hóa Sillcat</v>
      </c>
      <c r="R567" s="17">
        <f>IFERROR(__xludf.DUMMYFUNCTION("""COMPUTED_VALUE"""),39115.0)</f>
        <v>39115</v>
      </c>
      <c r="S567" s="17">
        <f>IFERROR(__xludf.DUMMYFUNCTION("""COMPUTED_VALUE"""),39115.0)</f>
        <v>39115</v>
      </c>
      <c r="T567" s="7" t="str">
        <f>IFERROR(__xludf.DUMMYFUNCTION("""COMPUTED_VALUE"""),"Chính thức")</f>
        <v>Chính thức</v>
      </c>
      <c r="U567" s="7"/>
      <c r="V567" s="7" t="str">
        <f>IFERROR(__xludf.DUMMYFUNCTION("""COMPUTED_VALUE"""),"Chính thức")</f>
        <v>Chính thức</v>
      </c>
      <c r="W567" s="7" t="str">
        <f>IFERROR(__xludf.DUMMYFUNCTION("""COMPUTED_VALUE"""),"18 năm 10 tháng")</f>
        <v>18 năm 10 tháng</v>
      </c>
      <c r="X567" s="7"/>
      <c r="Y567" s="7"/>
      <c r="Z567" s="7"/>
    </row>
    <row r="568">
      <c r="A568" s="7">
        <f>IFERROR(__xludf.DUMMYFUNCTION("""COMPUTED_VALUE"""),4.0)</f>
        <v>4</v>
      </c>
      <c r="B568" s="7" t="str">
        <f>IFERROR(__xludf.DUMMYFUNCTION("""COMPUTED_VALUE"""),"DC5-PXSX2")</f>
        <v>DC5-PXSX2</v>
      </c>
      <c r="C568" s="7" t="str">
        <f>IFERROR(__xludf.DUMMYFUNCTION("""COMPUTED_VALUE"""),"Phó bộ phận PXSX2")</f>
        <v>Phó bộ phận PXSX2</v>
      </c>
      <c r="D568" s="7" t="str">
        <f>IFERROR(__xludf.DUMMYFUNCTION("""COMPUTED_VALUE"""),"Bộ phận hành chính")</f>
        <v>Bộ phận hành chính</v>
      </c>
      <c r="E568" s="7" t="str">
        <f>IFERROR(__xludf.DUMMYFUNCTION("""COMPUTED_VALUE"""),"Phó bộ phận - Phụ trách Mài và Đóng hộp DC5")</f>
        <v>Phó bộ phận - Phụ trách Mài và Đóng hộp DC5</v>
      </c>
      <c r="F568" s="7" t="str">
        <f>IFERROR(__xludf.DUMMYFUNCTION("""COMPUTED_VALUE"""),"NV4623")</f>
        <v>NV4623</v>
      </c>
      <c r="G568" s="7">
        <f>IFERROR(__xludf.DUMMYFUNCTION("""COMPUTED_VALUE"""),705.0)</f>
        <v>705</v>
      </c>
      <c r="H568" s="7" t="str">
        <f>IFERROR(__xludf.DUMMYFUNCTION("""COMPUTED_VALUE"""),"Nguyễn Trung Kiên")</f>
        <v>Nguyễn Trung Kiên</v>
      </c>
      <c r="I568" s="7" t="str">
        <f>IFERROR(__xludf.DUMMYFUNCTION("""COMPUTED_VALUE"""),"Nam")</f>
        <v>Nam</v>
      </c>
      <c r="J568" s="17">
        <f>IFERROR(__xludf.DUMMYFUNCTION("""COMPUTED_VALUE"""),31471.0)</f>
        <v>31471</v>
      </c>
      <c r="K568" s="7" t="str">
        <f>IFERROR(__xludf.DUMMYFUNCTION("""COMPUTED_VALUE"""),"Xã Quảng Yên - Tỉnh Thanh Hóa")</f>
        <v>Xã Quảng Yên - Tỉnh Thanh Hóa</v>
      </c>
      <c r="L568" s="7" t="str">
        <f>IFERROR(__xludf.DUMMYFUNCTION("""COMPUTED_VALUE"""),"0918408044")</f>
        <v>0918408044</v>
      </c>
      <c r="M568" s="7" t="str">
        <f>IFERROR(__xludf.DUMMYFUNCTION("""COMPUTED_VALUE"""),"038086033979")</f>
        <v>038086033979</v>
      </c>
      <c r="N568" s="19">
        <f>IFERROR(__xludf.DUMMYFUNCTION("""COMPUTED_VALUE"""),44423.0)</f>
        <v>44423</v>
      </c>
      <c r="O568" s="7" t="str">
        <f>IFERROR(__xludf.DUMMYFUNCTION("""COMPUTED_VALUE"""),"Cục Cảnh sát QLHC về TTXH")</f>
        <v>Cục Cảnh sát QLHC về TTXH</v>
      </c>
      <c r="P568" s="7" t="str">
        <f>IFERROR(__xludf.DUMMYFUNCTION("""COMPUTED_VALUE"""),"LĐPT")</f>
        <v>LĐPT</v>
      </c>
      <c r="Q568" s="7" t="str">
        <f>IFERROR(__xludf.DUMMYFUNCTION("""COMPUTED_VALUE"""),"Lao động phổ thông")</f>
        <v>Lao động phổ thông</v>
      </c>
      <c r="R568" s="17">
        <f>IFERROR(__xludf.DUMMYFUNCTION("""COMPUTED_VALUE"""),45109.0)</f>
        <v>45109</v>
      </c>
      <c r="S568" s="17">
        <f>IFERROR(__xludf.DUMMYFUNCTION("""COMPUTED_VALUE"""),45109.0)</f>
        <v>45109</v>
      </c>
      <c r="T568" s="7" t="str">
        <f>IFERROR(__xludf.DUMMYFUNCTION("""COMPUTED_VALUE"""),"Chính thức")</f>
        <v>Chính thức</v>
      </c>
      <c r="U568" s="7"/>
      <c r="V568" s="7" t="str">
        <f>IFERROR(__xludf.DUMMYFUNCTION("""COMPUTED_VALUE"""),"Chính thức")</f>
        <v>Chính thức</v>
      </c>
      <c r="W568" s="7" t="str">
        <f>IFERROR(__xludf.DUMMYFUNCTION("""COMPUTED_VALUE"""),"2 năm 5 tháng")</f>
        <v>2 năm 5 tháng</v>
      </c>
      <c r="X568" s="7"/>
      <c r="Y568" s="7"/>
      <c r="Z568" s="7"/>
    </row>
    <row r="569">
      <c r="A569" s="7">
        <f>IFERROR(__xludf.DUMMYFUNCTION("""COMPUTED_VALUE"""),5.0)</f>
        <v>5</v>
      </c>
      <c r="B569" s="7" t="str">
        <f>IFERROR(__xludf.DUMMYFUNCTION("""COMPUTED_VALUE"""),"DC5-PXSX2")</f>
        <v>DC5-PXSX2</v>
      </c>
      <c r="C569" s="7" t="str">
        <f>IFERROR(__xludf.DUMMYFUNCTION("""COMPUTED_VALUE"""),"Phó bộ phận PXSX2")</f>
        <v>Phó bộ phận PXSX2</v>
      </c>
      <c r="D569" s="7" t="str">
        <f>IFERROR(__xludf.DUMMYFUNCTION("""COMPUTED_VALUE"""),"Bộ phận hành chính")</f>
        <v>Bộ phận hành chính</v>
      </c>
      <c r="E569" s="7" t="str">
        <f>IFERROR(__xludf.DUMMYFUNCTION("""COMPUTED_VALUE"""),"Phó bộ phận - Phụ trách Lò nung DC5")</f>
        <v>Phó bộ phận - Phụ trách Lò nung DC5</v>
      </c>
      <c r="F569" s="7" t="str">
        <f>IFERROR(__xludf.DUMMYFUNCTION("""COMPUTED_VALUE"""),"NV0769")</f>
        <v>NV0769</v>
      </c>
      <c r="G569" s="7">
        <f>IFERROR(__xludf.DUMMYFUNCTION("""COMPUTED_VALUE"""),129.0)</f>
        <v>129</v>
      </c>
      <c r="H569" s="7" t="str">
        <f>IFERROR(__xludf.DUMMYFUNCTION("""COMPUTED_VALUE"""),"Đặng Viết Xứng")</f>
        <v>Đặng Viết Xứng</v>
      </c>
      <c r="I569" s="7" t="str">
        <f>IFERROR(__xludf.DUMMYFUNCTION("""COMPUTED_VALUE"""),"Nam")</f>
        <v>Nam</v>
      </c>
      <c r="J569" s="17">
        <f>IFERROR(__xludf.DUMMYFUNCTION("""COMPUTED_VALUE"""),31126.0)</f>
        <v>31126</v>
      </c>
      <c r="K569" s="7" t="str">
        <f>IFERROR(__xludf.DUMMYFUNCTION("""COMPUTED_VALUE"""),"Mỹ Khê -  Xã Quảng Trạch -  Huyện Quảng Xương - ")</f>
        <v>Mỹ Khê -  Xã Quảng Trạch -  Huyện Quảng Xương - </v>
      </c>
      <c r="L569" s="7" t="str">
        <f>IFERROR(__xludf.DUMMYFUNCTION("""COMPUTED_VALUE"""),"0776919666")</f>
        <v>0776919666</v>
      </c>
      <c r="M569" s="7" t="str">
        <f>IFERROR(__xludf.DUMMYFUNCTION("""COMPUTED_VALUE"""),"038085016013")</f>
        <v>038085016013</v>
      </c>
      <c r="N569" s="19">
        <f>IFERROR(__xludf.DUMMYFUNCTION("""COMPUTED_VALUE"""),44418.0)</f>
        <v>44418</v>
      </c>
      <c r="O569" s="7" t="str">
        <f>IFERROR(__xludf.DUMMYFUNCTION("""COMPUTED_VALUE"""),"Cục Cảnh sát QLHC về TTXH")</f>
        <v>Cục Cảnh sát QLHC về TTXH</v>
      </c>
      <c r="P569" s="7" t="str">
        <f>IFERROR(__xludf.DUMMYFUNCTION("""COMPUTED_VALUE"""),"Trung cấp, nghề")</f>
        <v>Trung cấp, nghề</v>
      </c>
      <c r="Q569" s="7" t="str">
        <f>IFERROR(__xludf.DUMMYFUNCTION("""COMPUTED_VALUE"""),"Thợ điện bậc 3/7")</f>
        <v>Thợ điện bậc 3/7</v>
      </c>
      <c r="R569" s="17">
        <f>IFERROR(__xludf.DUMMYFUNCTION("""COMPUTED_VALUE"""),38568.0)</f>
        <v>38568</v>
      </c>
      <c r="S569" s="17">
        <f>IFERROR(__xludf.DUMMYFUNCTION("""COMPUTED_VALUE"""),38568.0)</f>
        <v>38568</v>
      </c>
      <c r="T569" s="7" t="str">
        <f>IFERROR(__xludf.DUMMYFUNCTION("""COMPUTED_VALUE"""),"Chính thức")</f>
        <v>Chính thức</v>
      </c>
      <c r="U569" s="7"/>
      <c r="V569" s="7" t="str">
        <f>IFERROR(__xludf.DUMMYFUNCTION("""COMPUTED_VALUE"""),"Chính thức")</f>
        <v>Chính thức</v>
      </c>
      <c r="W569" s="7" t="str">
        <f>IFERROR(__xludf.DUMMYFUNCTION("""COMPUTED_VALUE"""),"20 năm 4 tháng")</f>
        <v>20 năm 4 tháng</v>
      </c>
      <c r="X569" s="7"/>
      <c r="Y569" s="7"/>
      <c r="Z569" s="7"/>
    </row>
    <row r="570">
      <c r="A570" s="7">
        <f>IFERROR(__xludf.DUMMYFUNCTION("""COMPUTED_VALUE"""),6.0)</f>
        <v>6</v>
      </c>
      <c r="B570" s="7" t="str">
        <f>IFERROR(__xludf.DUMMYFUNCTION("""COMPUTED_VALUE"""),"PXSX2")</f>
        <v>PXSX2</v>
      </c>
      <c r="C570" s="7" t="str">
        <f>IFERROR(__xludf.DUMMYFUNCTION("""COMPUTED_VALUE"""),"Phó bộ phận PXSX2")</f>
        <v>Phó bộ phận PXSX2</v>
      </c>
      <c r="D570" s="7" t="str">
        <f>IFERROR(__xludf.DUMMYFUNCTION("""COMPUTED_VALUE"""),"Bộ phận hành chính")</f>
        <v>Bộ phận hành chính</v>
      </c>
      <c r="E570" s="7" t="str">
        <f>IFERROR(__xludf.DUMMYFUNCTION("""COMPUTED_VALUE"""),"Phó bộ phận - Phụ trách  Nghiền sấy phun - Bộ phận nguyên liệu và dây chuyền")</f>
        <v>Phó bộ phận - Phụ trách  Nghiền sấy phun - Bộ phận nguyên liệu và dây chuyền</v>
      </c>
      <c r="F570" s="7" t="str">
        <f>IFERROR(__xludf.DUMMYFUNCTION("""COMPUTED_VALUE"""),"NV0275")</f>
        <v>NV0275</v>
      </c>
      <c r="G570" s="7">
        <f>IFERROR(__xludf.DUMMYFUNCTION("""COMPUTED_VALUE"""),220.0)</f>
        <v>220</v>
      </c>
      <c r="H570" s="7" t="str">
        <f>IFERROR(__xludf.DUMMYFUNCTION("""COMPUTED_VALUE"""),"Phan Văn Thắng")</f>
        <v>Phan Văn Thắng</v>
      </c>
      <c r="I570" s="7" t="str">
        <f>IFERROR(__xludf.DUMMYFUNCTION("""COMPUTED_VALUE"""),"Nam")</f>
        <v>Nam</v>
      </c>
      <c r="J570" s="17">
        <f>IFERROR(__xludf.DUMMYFUNCTION("""COMPUTED_VALUE"""),28963.0)</f>
        <v>28963</v>
      </c>
      <c r="K570" s="7" t="str">
        <f>IFERROR(__xludf.DUMMYFUNCTION("""COMPUTED_VALUE"""),"SN13/233 Phố 5 - Đường Bạch Đằng -  Xã Quảng Hưng -  Thành phố Thanh Hóa")</f>
        <v>SN13/233 Phố 5 - Đường Bạch Đằng -  Xã Quảng Hưng -  Thành phố Thanh Hóa</v>
      </c>
      <c r="L570" s="7" t="str">
        <f>IFERROR(__xludf.DUMMYFUNCTION("""COMPUTED_VALUE"""),"0977303383")</f>
        <v>0977303383</v>
      </c>
      <c r="M570" s="7" t="str">
        <f>IFERROR(__xludf.DUMMYFUNCTION("""COMPUTED_VALUE"""),"038079004246")</f>
        <v>038079004246</v>
      </c>
      <c r="N570" s="19">
        <f>IFERROR(__xludf.DUMMYFUNCTION("""COMPUTED_VALUE"""),42850.0)</f>
        <v>42850</v>
      </c>
      <c r="O570" s="7" t="str">
        <f>IFERROR(__xludf.DUMMYFUNCTION("""COMPUTED_VALUE"""),"Cục Cảnh sát QLHC về TTXH")</f>
        <v>Cục Cảnh sát QLHC về TTXH</v>
      </c>
      <c r="P570" s="7" t="str">
        <f>IFERROR(__xludf.DUMMYFUNCTION("""COMPUTED_VALUE"""),"Trung cấp")</f>
        <v>Trung cấp</v>
      </c>
      <c r="Q570" s="7" t="str">
        <f>IFERROR(__xludf.DUMMYFUNCTION("""COMPUTED_VALUE"""),"Điện công nghiệp")</f>
        <v>Điện công nghiệp</v>
      </c>
      <c r="R570" s="17">
        <f>IFERROR(__xludf.DUMMYFUNCTION("""COMPUTED_VALUE"""),36473.0)</f>
        <v>36473</v>
      </c>
      <c r="S570" s="17">
        <f>IFERROR(__xludf.DUMMYFUNCTION("""COMPUTED_VALUE"""),36473.0)</f>
        <v>36473</v>
      </c>
      <c r="T570" s="7" t="str">
        <f>IFERROR(__xludf.DUMMYFUNCTION("""COMPUTED_VALUE"""),"Chính thức")</f>
        <v>Chính thức</v>
      </c>
      <c r="U570" s="7"/>
      <c r="V570" s="7" t="str">
        <f>IFERROR(__xludf.DUMMYFUNCTION("""COMPUTED_VALUE"""),"Chính thức")</f>
        <v>Chính thức</v>
      </c>
      <c r="W570" s="7" t="str">
        <f>IFERROR(__xludf.DUMMYFUNCTION("""COMPUTED_VALUE"""),"26 năm 1 tháng")</f>
        <v>26 năm 1 tháng</v>
      </c>
      <c r="X570" s="7"/>
      <c r="Y570" s="7"/>
      <c r="Z570" s="7"/>
    </row>
    <row r="571">
      <c r="A571" s="7">
        <f>IFERROR(__xludf.DUMMYFUNCTION("""COMPUTED_VALUE"""),1.0)</f>
        <v>1</v>
      </c>
      <c r="B571" s="7" t="str">
        <f>IFERROR(__xludf.DUMMYFUNCTION("""COMPUTED_VALUE"""),"DC5-PXSX2")</f>
        <v>DC5-PXSX2</v>
      </c>
      <c r="C571" s="7" t="str">
        <f>IFERROR(__xludf.DUMMYFUNCTION("""COMPUTED_VALUE"""),"Bộ phận Dây chuyền gia công và Lò nung")</f>
        <v>Bộ phận Dây chuyền gia công và Lò nung</v>
      </c>
      <c r="D571" s="7" t="str">
        <f>IFERROR(__xludf.DUMMYFUNCTION("""COMPUTED_VALUE"""),"Quản lý")</f>
        <v>Quản lý</v>
      </c>
      <c r="E571" s="7" t="str">
        <f>IFERROR(__xludf.DUMMYFUNCTION("""COMPUTED_VALUE"""),"CBKT - Phụ trách Lò nung DC5")</f>
        <v>CBKT - Phụ trách Lò nung DC5</v>
      </c>
      <c r="F571" s="7" t="str">
        <f>IFERROR(__xludf.DUMMYFUNCTION("""COMPUTED_VALUE"""),"NV1329")</f>
        <v>NV1329</v>
      </c>
      <c r="G571" s="7">
        <f>IFERROR(__xludf.DUMMYFUNCTION("""COMPUTED_VALUE"""),521.0)</f>
        <v>521</v>
      </c>
      <c r="H571" s="7" t="str">
        <f>IFERROR(__xludf.DUMMYFUNCTION("""COMPUTED_VALUE"""),"Phạm Văn Toản")</f>
        <v>Phạm Văn Toản</v>
      </c>
      <c r="I571" s="7" t="str">
        <f>IFERROR(__xludf.DUMMYFUNCTION("""COMPUTED_VALUE"""),"Nam")</f>
        <v>Nam</v>
      </c>
      <c r="J571" s="17">
        <f>IFERROR(__xludf.DUMMYFUNCTION("""COMPUTED_VALUE"""),30914.0)</f>
        <v>30914</v>
      </c>
      <c r="K571" s="7" t="str">
        <f>IFERROR(__xludf.DUMMYFUNCTION("""COMPUTED_VALUE"""),"Phường Đông Sơn - Tỉnh Thanh Hóa")</f>
        <v>Phường Đông Sơn - Tỉnh Thanh Hóa</v>
      </c>
      <c r="L571" s="7" t="str">
        <f>IFERROR(__xludf.DUMMYFUNCTION("""COMPUTED_VALUE"""),"0986567948")</f>
        <v>0986567948</v>
      </c>
      <c r="M571" s="7" t="str">
        <f>IFERROR(__xludf.DUMMYFUNCTION("""COMPUTED_VALUE"""),"035084005107")</f>
        <v>035084005107</v>
      </c>
      <c r="N571" s="19">
        <f>IFERROR(__xludf.DUMMYFUNCTION("""COMPUTED_VALUE"""),43665.0)</f>
        <v>43665</v>
      </c>
      <c r="O571" s="7" t="str">
        <f>IFERROR(__xludf.DUMMYFUNCTION("""COMPUTED_VALUE"""),"Cục Cảnh sát QLHC về TTXH")</f>
        <v>Cục Cảnh sát QLHC về TTXH</v>
      </c>
      <c r="P571" s="7" t="str">
        <f>IFERROR(__xludf.DUMMYFUNCTION("""COMPUTED_VALUE"""),"Đại học")</f>
        <v>Đại học</v>
      </c>
      <c r="Q571" s="7" t="str">
        <f>IFERROR(__xludf.DUMMYFUNCTION("""COMPUTED_VALUE"""),"Kỹ sư tự động hóa")</f>
        <v>Kỹ sư tự động hóa</v>
      </c>
      <c r="R571" s="17">
        <f>IFERROR(__xludf.DUMMYFUNCTION("""COMPUTED_VALUE"""),43255.0)</f>
        <v>43255</v>
      </c>
      <c r="S571" s="17">
        <f>IFERROR(__xludf.DUMMYFUNCTION("""COMPUTED_VALUE"""),43470.0)</f>
        <v>43470</v>
      </c>
      <c r="T571" s="7" t="str">
        <f>IFERROR(__xludf.DUMMYFUNCTION("""COMPUTED_VALUE"""),"Chính thức")</f>
        <v>Chính thức</v>
      </c>
      <c r="U571" s="7"/>
      <c r="V571" s="7" t="str">
        <f>IFERROR(__xludf.DUMMYFUNCTION("""COMPUTED_VALUE"""),"Điều động")</f>
        <v>Điều động</v>
      </c>
      <c r="W571" s="7" t="str">
        <f>IFERROR(__xludf.DUMMYFUNCTION("""COMPUTED_VALUE"""),"7 năm 6 tháng")</f>
        <v>7 năm 6 tháng</v>
      </c>
      <c r="X571" s="7"/>
      <c r="Y571" s="7"/>
      <c r="Z571" s="7"/>
    </row>
    <row r="572">
      <c r="A572" s="7">
        <f>IFERROR(__xludf.DUMMYFUNCTION("""COMPUTED_VALUE"""),1.0)</f>
        <v>1</v>
      </c>
      <c r="B572" s="7" t="str">
        <f>IFERROR(__xludf.DUMMYFUNCTION("""COMPUTED_VALUE"""),"DC5-PXSX2")</f>
        <v>DC5-PXSX2</v>
      </c>
      <c r="C572" s="7" t="str">
        <f>IFERROR(__xludf.DUMMYFUNCTION("""COMPUTED_VALUE"""),"Bộ phận Dây chuyền gia công và Lò nung")</f>
        <v>Bộ phận Dây chuyền gia công và Lò nung</v>
      </c>
      <c r="D572" s="7" t="str">
        <f>IFERROR(__xludf.DUMMYFUNCTION("""COMPUTED_VALUE"""),"Dây chuyền gia công Ca A")</f>
        <v>Dây chuyền gia công Ca A</v>
      </c>
      <c r="E572" s="7" t="str">
        <f>IFERROR(__xludf.DUMMYFUNCTION("""COMPUTED_VALUE"""),"Tổ trưởng")</f>
        <v>Tổ trưởng</v>
      </c>
      <c r="F572" s="7" t="str">
        <f>IFERROR(__xludf.DUMMYFUNCTION("""COMPUTED_VALUE"""),"NV0659")</f>
        <v>NV0659</v>
      </c>
      <c r="G572" s="7">
        <f>IFERROR(__xludf.DUMMYFUNCTION("""COMPUTED_VALUE"""),507.0)</f>
        <v>507</v>
      </c>
      <c r="H572" s="7" t="str">
        <f>IFERROR(__xludf.DUMMYFUNCTION("""COMPUTED_VALUE"""),"Lê Duy Hùng")</f>
        <v>Lê Duy Hùng</v>
      </c>
      <c r="I572" s="7" t="str">
        <f>IFERROR(__xludf.DUMMYFUNCTION("""COMPUTED_VALUE"""),"Nam")</f>
        <v>Nam</v>
      </c>
      <c r="J572" s="17">
        <f>IFERROR(__xludf.DUMMYFUNCTION("""COMPUTED_VALUE"""),32278.0)</f>
        <v>32278</v>
      </c>
      <c r="K572" s="7" t="str">
        <f>IFERROR(__xludf.DUMMYFUNCTION("""COMPUTED_VALUE"""),"Xã Quảng Trạch -  Huyện Quảng Xương -  Thanh Hóa -  Việt Nam")</f>
        <v>Xã Quảng Trạch -  Huyện Quảng Xương -  Thanh Hóa -  Việt Nam</v>
      </c>
      <c r="L572" s="7" t="str">
        <f>IFERROR(__xludf.DUMMYFUNCTION("""COMPUTED_VALUE"""),"0987431169")</f>
        <v>0987431169</v>
      </c>
      <c r="M572" s="7" t="str">
        <f>IFERROR(__xludf.DUMMYFUNCTION("""COMPUTED_VALUE"""),"038088010923")</f>
        <v>038088010923</v>
      </c>
      <c r="N572" s="19">
        <f>IFERROR(__xludf.DUMMYFUNCTION("""COMPUTED_VALUE"""),44410.0)</f>
        <v>44410</v>
      </c>
      <c r="O572" s="7" t="str">
        <f>IFERROR(__xludf.DUMMYFUNCTION("""COMPUTED_VALUE"""),"Cục Cảnh sát QLHC về TTXH")</f>
        <v>Cục Cảnh sát QLHC về TTXH</v>
      </c>
      <c r="P572" s="7" t="str">
        <f>IFERROR(__xludf.DUMMYFUNCTION("""COMPUTED_VALUE"""),"LĐPT")</f>
        <v>LĐPT</v>
      </c>
      <c r="Q572" s="7" t="str">
        <f>IFERROR(__xludf.DUMMYFUNCTION("""COMPUTED_VALUE"""),"Lao động phổ thông")</f>
        <v>Lao động phổ thông</v>
      </c>
      <c r="R572" s="17">
        <f>IFERROR(__xludf.DUMMYFUNCTION("""COMPUTED_VALUE"""),39326.0)</f>
        <v>39326</v>
      </c>
      <c r="S572" s="17">
        <f>IFERROR(__xludf.DUMMYFUNCTION("""COMPUTED_VALUE"""),39326.0)</f>
        <v>39326</v>
      </c>
      <c r="T572" s="7" t="str">
        <f>IFERROR(__xludf.DUMMYFUNCTION("""COMPUTED_VALUE"""),"Chính thức")</f>
        <v>Chính thức</v>
      </c>
      <c r="U572" s="7"/>
      <c r="V572" s="7" t="str">
        <f>IFERROR(__xludf.DUMMYFUNCTION("""COMPUTED_VALUE"""),"Chính thức")</f>
        <v>Chính thức</v>
      </c>
      <c r="W572" s="7" t="str">
        <f>IFERROR(__xludf.DUMMYFUNCTION("""COMPUTED_VALUE"""),"18 năm 3 tháng")</f>
        <v>18 năm 3 tháng</v>
      </c>
      <c r="X572" s="7"/>
      <c r="Y572" s="7"/>
      <c r="Z572" s="7"/>
    </row>
    <row r="573">
      <c r="A573" s="7">
        <f>IFERROR(__xludf.DUMMYFUNCTION("""COMPUTED_VALUE"""),2.0)</f>
        <v>2</v>
      </c>
      <c r="B573" s="7" t="str">
        <f>IFERROR(__xludf.DUMMYFUNCTION("""COMPUTED_VALUE"""),"DC5-PXSX2")</f>
        <v>DC5-PXSX2</v>
      </c>
      <c r="C573" s="7" t="str">
        <f>IFERROR(__xludf.DUMMYFUNCTION("""COMPUTED_VALUE"""),"Bộ phận Dây chuyền gia công và Lò nung")</f>
        <v>Bộ phận Dây chuyền gia công và Lò nung</v>
      </c>
      <c r="D573" s="7" t="str">
        <f>IFERROR(__xludf.DUMMYFUNCTION("""COMPUTED_VALUE"""),"Dây chuyền gia công Ca A")</f>
        <v>Dây chuyền gia công Ca A</v>
      </c>
      <c r="E573" s="7" t="str">
        <f>IFERROR(__xludf.DUMMYFUNCTION("""COMPUTED_VALUE"""),"VHC máy ép")</f>
        <v>VHC máy ép</v>
      </c>
      <c r="F573" s="7" t="str">
        <f>IFERROR(__xludf.DUMMYFUNCTION("""COMPUTED_VALUE"""),"NV1261")</f>
        <v>NV1261</v>
      </c>
      <c r="G573" s="7">
        <f>IFERROR(__xludf.DUMMYFUNCTION("""COMPUTED_VALUE"""),846.0)</f>
        <v>846</v>
      </c>
      <c r="H573" s="7" t="str">
        <f>IFERROR(__xludf.DUMMYFUNCTION("""COMPUTED_VALUE"""),"Trương Quốc Cường")</f>
        <v>Trương Quốc Cường</v>
      </c>
      <c r="I573" s="7" t="str">
        <f>IFERROR(__xludf.DUMMYFUNCTION("""COMPUTED_VALUE"""),"Nam")</f>
        <v>Nam</v>
      </c>
      <c r="J573" s="17">
        <f>IFERROR(__xludf.DUMMYFUNCTION("""COMPUTED_VALUE"""),33144.0)</f>
        <v>33144</v>
      </c>
      <c r="K573" s="7" t="str">
        <f>IFERROR(__xludf.DUMMYFUNCTION("""COMPUTED_VALUE"""),"03 Phạm Bành -  Phường Ba Đình -  Thành phố Thanh Hóa -  Thanh Hóa -  Việt Nam")</f>
        <v>03 Phạm Bành -  Phường Ba Đình -  Thành phố Thanh Hóa -  Thanh Hóa -  Việt Nam</v>
      </c>
      <c r="L573" s="7" t="str">
        <f>IFERROR(__xludf.DUMMYFUNCTION("""COMPUTED_VALUE"""),"0912460817")</f>
        <v>0912460817</v>
      </c>
      <c r="M573" s="7" t="str">
        <f>IFERROR(__xludf.DUMMYFUNCTION("""COMPUTED_VALUE"""),"038090029996")</f>
        <v>038090029996</v>
      </c>
      <c r="N573" s="19">
        <f>IFERROR(__xludf.DUMMYFUNCTION("""COMPUTED_VALUE"""),44435.0)</f>
        <v>44435</v>
      </c>
      <c r="O573" s="7" t="str">
        <f>IFERROR(__xludf.DUMMYFUNCTION("""COMPUTED_VALUE"""),"Cục Cảnh sát QLHC về TTXH")</f>
        <v>Cục Cảnh sát QLHC về TTXH</v>
      </c>
      <c r="P573" s="7" t="str">
        <f>IFERROR(__xludf.DUMMYFUNCTION("""COMPUTED_VALUE"""),"LĐPT")</f>
        <v>LĐPT</v>
      </c>
      <c r="Q573" s="7" t="str">
        <f>IFERROR(__xludf.DUMMYFUNCTION("""COMPUTED_VALUE"""),"Lao động phổ thông")</f>
        <v>Lao động phổ thông</v>
      </c>
      <c r="R573" s="17">
        <f>IFERROR(__xludf.DUMMYFUNCTION("""COMPUTED_VALUE"""),45701.0)</f>
        <v>45701</v>
      </c>
      <c r="S573" s="17">
        <f>IFERROR(__xludf.DUMMYFUNCTION("""COMPUTED_VALUE"""),45701.0)</f>
        <v>45701</v>
      </c>
      <c r="T573" s="7" t="str">
        <f>IFERROR(__xludf.DUMMYFUNCTION("""COMPUTED_VALUE"""),"Chính thức")</f>
        <v>Chính thức</v>
      </c>
      <c r="U573" s="7"/>
      <c r="V573" s="7" t="str">
        <f>IFERROR(__xludf.DUMMYFUNCTION("""COMPUTED_VALUE"""),"Chính thức")</f>
        <v>Chính thức</v>
      </c>
      <c r="W573" s="7" t="str">
        <f>IFERROR(__xludf.DUMMYFUNCTION("""COMPUTED_VALUE"""),"0 năm 10 tháng")</f>
        <v>0 năm 10 tháng</v>
      </c>
      <c r="X573" s="7"/>
      <c r="Y573" s="7"/>
      <c r="Z573" s="7"/>
    </row>
    <row r="574">
      <c r="A574" s="7">
        <f>IFERROR(__xludf.DUMMYFUNCTION("""COMPUTED_VALUE"""),3.0)</f>
        <v>3</v>
      </c>
      <c r="B574" s="7" t="str">
        <f>IFERROR(__xludf.DUMMYFUNCTION("""COMPUTED_VALUE"""),"DC5-PXSX2")</f>
        <v>DC5-PXSX2</v>
      </c>
      <c r="C574" s="7" t="str">
        <f>IFERROR(__xludf.DUMMYFUNCTION("""COMPUTED_VALUE"""),"Bộ phận Dây chuyền gia công và Lò nung")</f>
        <v>Bộ phận Dây chuyền gia công và Lò nung</v>
      </c>
      <c r="D574" s="7" t="str">
        <f>IFERROR(__xludf.DUMMYFUNCTION("""COMPUTED_VALUE"""),"Dây chuyền gia công Ca A")</f>
        <v>Dây chuyền gia công Ca A</v>
      </c>
      <c r="E574" s="7" t="str">
        <f>IFERROR(__xludf.DUMMYFUNCTION("""COMPUTED_VALUE"""),"VH Bù đầu lò")</f>
        <v>VH Bù đầu lò</v>
      </c>
      <c r="F574" s="7" t="str">
        <f>IFERROR(__xludf.DUMMYFUNCTION("""COMPUTED_VALUE"""),"NV1100")</f>
        <v>NV1100</v>
      </c>
      <c r="G574" s="7">
        <f>IFERROR(__xludf.DUMMYFUNCTION("""COMPUTED_VALUE"""),367.0)</f>
        <v>367</v>
      </c>
      <c r="H574" s="7" t="str">
        <f>IFERROR(__xludf.DUMMYFUNCTION("""COMPUTED_VALUE"""),"Lê Văn Tuân")</f>
        <v>Lê Văn Tuân</v>
      </c>
      <c r="I574" s="7" t="str">
        <f>IFERROR(__xludf.DUMMYFUNCTION("""COMPUTED_VALUE"""),"Nam")</f>
        <v>Nam</v>
      </c>
      <c r="J574" s="17">
        <f>IFERROR(__xludf.DUMMYFUNCTION("""COMPUTED_VALUE"""),32767.0)</f>
        <v>32767</v>
      </c>
      <c r="K574" s="7" t="str">
        <f>IFERROR(__xludf.DUMMYFUNCTION("""COMPUTED_VALUE"""),"Xã Hoằng Thành -  Huyện Hoằng Hóa -  Thanh Hóa")</f>
        <v>Xã Hoằng Thành -  Huyện Hoằng Hóa -  Thanh Hóa</v>
      </c>
      <c r="L574" s="7" t="str">
        <f>IFERROR(__xludf.DUMMYFUNCTION("""COMPUTED_VALUE"""),"0398406784")</f>
        <v>0398406784</v>
      </c>
      <c r="M574" s="7" t="str">
        <f>IFERROR(__xludf.DUMMYFUNCTION("""COMPUTED_VALUE"""),"038089050920")</f>
        <v>038089050920</v>
      </c>
      <c r="N574" s="19">
        <f>IFERROR(__xludf.DUMMYFUNCTION("""COMPUTED_VALUE"""),44440.0)</f>
        <v>44440</v>
      </c>
      <c r="O574" s="7" t="str">
        <f>IFERROR(__xludf.DUMMYFUNCTION("""COMPUTED_VALUE"""),"Cục Cảnh sát QLHC về TTXH")</f>
        <v>Cục Cảnh sát QLHC về TTXH</v>
      </c>
      <c r="P574" s="7" t="str">
        <f>IFERROR(__xludf.DUMMYFUNCTION("""COMPUTED_VALUE"""),"Lao động phổ thông")</f>
        <v>Lao động phổ thông</v>
      </c>
      <c r="Q574" s="7" t="str">
        <f>IFERROR(__xludf.DUMMYFUNCTION("""COMPUTED_VALUE"""),"Lao động phổ thông")</f>
        <v>Lao động phổ thông</v>
      </c>
      <c r="R574" s="17">
        <f>IFERROR(__xludf.DUMMYFUNCTION("""COMPUTED_VALUE"""),44292.0)</f>
        <v>44292</v>
      </c>
      <c r="S574" s="17">
        <f>IFERROR(__xludf.DUMMYFUNCTION("""COMPUTED_VALUE"""),44621.0)</f>
        <v>44621</v>
      </c>
      <c r="T574" s="7" t="str">
        <f>IFERROR(__xludf.DUMMYFUNCTION("""COMPUTED_VALUE"""),"Chính thức")</f>
        <v>Chính thức</v>
      </c>
      <c r="U574" s="7"/>
      <c r="V574" s="7" t="str">
        <f>IFERROR(__xludf.DUMMYFUNCTION("""COMPUTED_VALUE"""),"Chính thức")</f>
        <v>Chính thức</v>
      </c>
      <c r="W574" s="7" t="str">
        <f>IFERROR(__xludf.DUMMYFUNCTION("""COMPUTED_VALUE"""),"4 năm 8 tháng")</f>
        <v>4 năm 8 tháng</v>
      </c>
      <c r="X574" s="7"/>
      <c r="Y574" s="7"/>
      <c r="Z574" s="7"/>
    </row>
    <row r="575">
      <c r="A575" s="7">
        <f>IFERROR(__xludf.DUMMYFUNCTION("""COMPUTED_VALUE"""),4.0)</f>
        <v>4</v>
      </c>
      <c r="B575" s="7" t="str">
        <f>IFERROR(__xludf.DUMMYFUNCTION("""COMPUTED_VALUE"""),"DC5-PXSX2")</f>
        <v>DC5-PXSX2</v>
      </c>
      <c r="C575" s="7" t="str">
        <f>IFERROR(__xludf.DUMMYFUNCTION("""COMPUTED_VALUE"""),"Bộ phận Dây chuyền gia công và Lò nung")</f>
        <v>Bộ phận Dây chuyền gia công và Lò nung</v>
      </c>
      <c r="D575" s="7" t="str">
        <f>IFERROR(__xludf.DUMMYFUNCTION("""COMPUTED_VALUE"""),"Dây chuyền gia công Ca A")</f>
        <v>Dây chuyền gia công Ca A</v>
      </c>
      <c r="E575" s="7" t="str">
        <f>IFERROR(__xludf.DUMMYFUNCTION("""COMPUTED_VALUE"""),"VH máy ép")</f>
        <v>VH máy ép</v>
      </c>
      <c r="F575" s="7" t="str">
        <f>IFERROR(__xludf.DUMMYFUNCTION("""COMPUTED_VALUE"""),"NV0480")</f>
        <v>NV0480</v>
      </c>
      <c r="G575" s="7">
        <f>IFERROR(__xludf.DUMMYFUNCTION("""COMPUTED_VALUE"""),452.0)</f>
        <v>452</v>
      </c>
      <c r="H575" s="7" t="str">
        <f>IFERROR(__xludf.DUMMYFUNCTION("""COMPUTED_VALUE"""),"Cao Văn Tân")</f>
        <v>Cao Văn Tân</v>
      </c>
      <c r="I575" s="7" t="str">
        <f>IFERROR(__xludf.DUMMYFUNCTION("""COMPUTED_VALUE"""),"Nam")</f>
        <v>Nam</v>
      </c>
      <c r="J575" s="17">
        <f>IFERROR(__xludf.DUMMYFUNCTION("""COMPUTED_VALUE"""),33719.0)</f>
        <v>33719</v>
      </c>
      <c r="K575" s="7" t="str">
        <f>IFERROR(__xludf.DUMMYFUNCTION("""COMPUTED_VALUE"""),"Xã Quảng Đại -  Huyện Quảng Xương -  Tỉnh Thanh Hóa")</f>
        <v>Xã Quảng Đại -  Huyện Quảng Xương -  Tỉnh Thanh Hóa</v>
      </c>
      <c r="L575" s="7" t="str">
        <f>IFERROR(__xludf.DUMMYFUNCTION("""COMPUTED_VALUE"""),"0982784670")</f>
        <v>0982784670</v>
      </c>
      <c r="M575" s="7" t="str">
        <f>IFERROR(__xludf.DUMMYFUNCTION("""COMPUTED_VALUE"""),"038092032710")</f>
        <v>038092032710</v>
      </c>
      <c r="N575" s="19">
        <f>IFERROR(__xludf.DUMMYFUNCTION("""COMPUTED_VALUE"""),44428.0)</f>
        <v>44428</v>
      </c>
      <c r="O575" s="7" t="str">
        <f>IFERROR(__xludf.DUMMYFUNCTION("""COMPUTED_VALUE"""),"Cục Cảnh sát QLHC về TTXH")</f>
        <v>Cục Cảnh sát QLHC về TTXH</v>
      </c>
      <c r="P575" s="7" t="str">
        <f>IFERROR(__xludf.DUMMYFUNCTION("""COMPUTED_VALUE"""),"LĐPT")</f>
        <v>LĐPT</v>
      </c>
      <c r="Q575" s="7" t="str">
        <f>IFERROR(__xludf.DUMMYFUNCTION("""COMPUTED_VALUE"""),"Lao động phổ thông")</f>
        <v>Lao động phổ thông</v>
      </c>
      <c r="R575" s="17">
        <f>IFERROR(__xludf.DUMMYFUNCTION("""COMPUTED_VALUE"""),44609.0)</f>
        <v>44609</v>
      </c>
      <c r="S575" s="17">
        <f>IFERROR(__xludf.DUMMYFUNCTION("""COMPUTED_VALUE"""),45292.0)</f>
        <v>45292</v>
      </c>
      <c r="T575" s="7" t="str">
        <f>IFERROR(__xludf.DUMMYFUNCTION("""COMPUTED_VALUE"""),"Chính thức")</f>
        <v>Chính thức</v>
      </c>
      <c r="U575" s="7"/>
      <c r="V575" s="7" t="str">
        <f>IFERROR(__xludf.DUMMYFUNCTION("""COMPUTED_VALUE"""),"Chính thức")</f>
        <v>Chính thức</v>
      </c>
      <c r="W575" s="7" t="str">
        <f>IFERROR(__xludf.DUMMYFUNCTION("""COMPUTED_VALUE"""),"3 năm 10 tháng")</f>
        <v>3 năm 10 tháng</v>
      </c>
      <c r="X575" s="7"/>
      <c r="Y575" s="7"/>
      <c r="Z575" s="7"/>
    </row>
    <row r="576">
      <c r="A576" s="7">
        <f>IFERROR(__xludf.DUMMYFUNCTION("""COMPUTED_VALUE"""),5.0)</f>
        <v>5</v>
      </c>
      <c r="B576" s="7" t="str">
        <f>IFERROR(__xludf.DUMMYFUNCTION("""COMPUTED_VALUE"""),"DC5-PXSX2")</f>
        <v>DC5-PXSX2</v>
      </c>
      <c r="C576" s="7" t="str">
        <f>IFERROR(__xludf.DUMMYFUNCTION("""COMPUTED_VALUE"""),"Bộ phận Dây chuyền gia công và Lò nung")</f>
        <v>Bộ phận Dây chuyền gia công và Lò nung</v>
      </c>
      <c r="D576" s="7" t="str">
        <f>IFERROR(__xludf.DUMMYFUNCTION("""COMPUTED_VALUE"""),"Dây chuyền gia công Ca A")</f>
        <v>Dây chuyền gia công Ca A</v>
      </c>
      <c r="E576" s="7" t="str">
        <f>IFERROR(__xludf.DUMMYFUNCTION("""COMPUTED_VALUE"""),"VHC tráng Engobe")</f>
        <v>VHC tráng Engobe</v>
      </c>
      <c r="F576" s="7" t="str">
        <f>IFERROR(__xludf.DUMMYFUNCTION("""COMPUTED_VALUE"""),"NV2148")</f>
        <v>NV2148</v>
      </c>
      <c r="G576" s="7">
        <f>IFERROR(__xludf.DUMMYFUNCTION("""COMPUTED_VALUE"""),478.0)</f>
        <v>478</v>
      </c>
      <c r="H576" s="7" t="str">
        <f>IFERROR(__xludf.DUMMYFUNCTION("""COMPUTED_VALUE"""),"Lê Đình Lâm")</f>
        <v>Lê Đình Lâm</v>
      </c>
      <c r="I576" s="7" t="str">
        <f>IFERROR(__xludf.DUMMYFUNCTION("""COMPUTED_VALUE"""),"Nam")</f>
        <v>Nam</v>
      </c>
      <c r="J576" s="17">
        <f>IFERROR(__xludf.DUMMYFUNCTION("""COMPUTED_VALUE"""),32939.0)</f>
        <v>32939</v>
      </c>
      <c r="K576" s="7" t="str">
        <f>IFERROR(__xludf.DUMMYFUNCTION("""COMPUTED_VALUE"""),"Thôn 3 -  Xã Hoằng Châu -  Huyện Hoằng Hóa -  Thanh Hóa")</f>
        <v>Thôn 3 -  Xã Hoằng Châu -  Huyện Hoằng Hóa -  Thanh Hóa</v>
      </c>
      <c r="L576" s="7" t="str">
        <f>IFERROR(__xludf.DUMMYFUNCTION("""COMPUTED_VALUE"""),"0925790302")</f>
        <v>0925790302</v>
      </c>
      <c r="M576" s="7" t="str">
        <f>IFERROR(__xludf.DUMMYFUNCTION("""COMPUTED_VALUE"""),"038090019349")</f>
        <v>038090019349</v>
      </c>
      <c r="N576" s="19">
        <f>IFERROR(__xludf.DUMMYFUNCTION("""COMPUTED_VALUE"""),43767.0)</f>
        <v>43767</v>
      </c>
      <c r="O576" s="7" t="str">
        <f>IFERROR(__xludf.DUMMYFUNCTION("""COMPUTED_VALUE"""),"Cục Cảnh sát QLHC về TTXH")</f>
        <v>Cục Cảnh sát QLHC về TTXH</v>
      </c>
      <c r="P576" s="7" t="str">
        <f>IFERROR(__xludf.DUMMYFUNCTION("""COMPUTED_VALUE"""),"Trung cấp, nghề")</f>
        <v>Trung cấp, nghề</v>
      </c>
      <c r="Q576" s="7" t="str">
        <f>IFERROR(__xludf.DUMMYFUNCTION("""COMPUTED_VALUE"""),"Điện công nghiệp và dân dụng")</f>
        <v>Điện công nghiệp và dân dụng</v>
      </c>
      <c r="R576" s="17">
        <f>IFERROR(__xludf.DUMMYFUNCTION("""COMPUTED_VALUE"""),43514.0)</f>
        <v>43514</v>
      </c>
      <c r="S576" s="17">
        <f>IFERROR(__xludf.DUMMYFUNCTION("""COMPUTED_VALUE"""),43800.0)</f>
        <v>43800</v>
      </c>
      <c r="T576" s="7" t="str">
        <f>IFERROR(__xludf.DUMMYFUNCTION("""COMPUTED_VALUE"""),"Chính thức")</f>
        <v>Chính thức</v>
      </c>
      <c r="U576" s="7"/>
      <c r="V576" s="7" t="str">
        <f>IFERROR(__xludf.DUMMYFUNCTION("""COMPUTED_VALUE"""),"Chính thức")</f>
        <v>Chính thức</v>
      </c>
      <c r="W576" s="7" t="str">
        <f>IFERROR(__xludf.DUMMYFUNCTION("""COMPUTED_VALUE"""),"6 năm 10 tháng")</f>
        <v>6 năm 10 tháng</v>
      </c>
      <c r="X576" s="7"/>
      <c r="Y576" s="7"/>
      <c r="Z576" s="7"/>
    </row>
    <row r="577">
      <c r="A577" s="7">
        <f>IFERROR(__xludf.DUMMYFUNCTION("""COMPUTED_VALUE"""),6.0)</f>
        <v>6</v>
      </c>
      <c r="B577" s="7" t="str">
        <f>IFERROR(__xludf.DUMMYFUNCTION("""COMPUTED_VALUE"""),"DC5-PXSX2")</f>
        <v>DC5-PXSX2</v>
      </c>
      <c r="C577" s="7" t="str">
        <f>IFERROR(__xludf.DUMMYFUNCTION("""COMPUTED_VALUE"""),"Bộ phận Dây chuyền gia công và Lò nung")</f>
        <v>Bộ phận Dây chuyền gia công và Lò nung</v>
      </c>
      <c r="D577" s="7" t="str">
        <f>IFERROR(__xludf.DUMMYFUNCTION("""COMPUTED_VALUE"""),"Dây chuyền gia công Ca A")</f>
        <v>Dây chuyền gia công Ca A</v>
      </c>
      <c r="E577" s="7" t="str">
        <f>IFERROR(__xludf.DUMMYFUNCTION("""COMPUTED_VALUE"""),"VH gắp gạch")</f>
        <v>VH gắp gạch</v>
      </c>
      <c r="F577" s="7" t="str">
        <f>IFERROR(__xludf.DUMMYFUNCTION("""COMPUTED_VALUE"""),"NV5047")</f>
        <v>NV5047</v>
      </c>
      <c r="G577" s="7">
        <f>IFERROR(__xludf.DUMMYFUNCTION("""COMPUTED_VALUE"""),504.0)</f>
        <v>504</v>
      </c>
      <c r="H577" s="7" t="str">
        <f>IFERROR(__xludf.DUMMYFUNCTION("""COMPUTED_VALUE"""),"Lê Hữu Thanh")</f>
        <v>Lê Hữu Thanh</v>
      </c>
      <c r="I577" s="7" t="str">
        <f>IFERROR(__xludf.DUMMYFUNCTION("""COMPUTED_VALUE"""),"Nam")</f>
        <v>Nam</v>
      </c>
      <c r="J577" s="17">
        <f>IFERROR(__xludf.DUMMYFUNCTION("""COMPUTED_VALUE"""),32865.0)</f>
        <v>32865</v>
      </c>
      <c r="K577" s="7" t="str">
        <f>IFERROR(__xludf.DUMMYFUNCTION("""COMPUTED_VALUE"""),"15/6 Lê Văn Hưu -  Phường Tân Sơn -  thành phố Thanh Hóa")</f>
        <v>15/6 Lê Văn Hưu -  Phường Tân Sơn -  thành phố Thanh Hóa</v>
      </c>
      <c r="L577" s="7" t="str">
        <f>IFERROR(__xludf.DUMMYFUNCTION("""COMPUTED_VALUE"""),"0934683900")</f>
        <v>0934683900</v>
      </c>
      <c r="M577" s="7" t="str">
        <f>IFERROR(__xludf.DUMMYFUNCTION("""COMPUTED_VALUE"""),"038089003163")</f>
        <v>038089003163</v>
      </c>
      <c r="N577" s="19">
        <f>IFERROR(__xludf.DUMMYFUNCTION("""COMPUTED_VALUE"""),44534.0)</f>
        <v>44534</v>
      </c>
      <c r="O577" s="7" t="str">
        <f>IFERROR(__xludf.DUMMYFUNCTION("""COMPUTED_VALUE"""),"Cục Cảnh sát QLHC về TTXH")</f>
        <v>Cục Cảnh sát QLHC về TTXH</v>
      </c>
      <c r="P577" s="7" t="str">
        <f>IFERROR(__xludf.DUMMYFUNCTION("""COMPUTED_VALUE"""),"Trung học chuyên nghiệp")</f>
        <v>Trung học chuyên nghiệp</v>
      </c>
      <c r="Q577" s="7" t="str">
        <f>IFERROR(__xludf.DUMMYFUNCTION("""COMPUTED_VALUE"""),"Trác địa")</f>
        <v>Trác địa</v>
      </c>
      <c r="R577" s="17">
        <f>IFERROR(__xludf.DUMMYFUNCTION("""COMPUTED_VALUE"""),45359.0)</f>
        <v>45359</v>
      </c>
      <c r="S577" s="17">
        <f>IFERROR(__xludf.DUMMYFUNCTION("""COMPUTED_VALUE"""),45444.0)</f>
        <v>45444</v>
      </c>
      <c r="T577" s="7" t="str">
        <f>IFERROR(__xludf.DUMMYFUNCTION("""COMPUTED_VALUE"""),"Chính thức")</f>
        <v>Chính thức</v>
      </c>
      <c r="U577" s="7"/>
      <c r="V577" s="7" t="str">
        <f>IFERROR(__xludf.DUMMYFUNCTION("""COMPUTED_VALUE"""),"Chính thức")</f>
        <v>Chính thức</v>
      </c>
      <c r="W577" s="7" t="str">
        <f>IFERROR(__xludf.DUMMYFUNCTION("""COMPUTED_VALUE"""),"1 năm 9 tháng")</f>
        <v>1 năm 9 tháng</v>
      </c>
      <c r="X577" s="7"/>
      <c r="Y577" s="7"/>
      <c r="Z577" s="7"/>
    </row>
    <row r="578">
      <c r="A578" s="7">
        <f>IFERROR(__xludf.DUMMYFUNCTION("""COMPUTED_VALUE"""),7.0)</f>
        <v>7</v>
      </c>
      <c r="B578" s="7" t="str">
        <f>IFERROR(__xludf.DUMMYFUNCTION("""COMPUTED_VALUE"""),"DC5-PXSX2")</f>
        <v>DC5-PXSX2</v>
      </c>
      <c r="C578" s="7" t="str">
        <f>IFERROR(__xludf.DUMMYFUNCTION("""COMPUTED_VALUE"""),"Bộ phận Dây chuyền gia công và Lò nung")</f>
        <v>Bộ phận Dây chuyền gia công và Lò nung</v>
      </c>
      <c r="D578" s="7" t="str">
        <f>IFERROR(__xludf.DUMMYFUNCTION("""COMPUTED_VALUE"""),"Dây chuyền gia công Ca A")</f>
        <v>Dây chuyền gia công Ca A</v>
      </c>
      <c r="E578" s="7" t="str">
        <f>IFERROR(__xludf.DUMMYFUNCTION("""COMPUTED_VALUE"""),"VHC tráng Men")</f>
        <v>VHC tráng Men</v>
      </c>
      <c r="F578" s="7" t="str">
        <f>IFERROR(__xludf.DUMMYFUNCTION("""COMPUTED_VALUE"""),"NV0564")</f>
        <v>NV0564</v>
      </c>
      <c r="G578" s="7">
        <f>IFERROR(__xludf.DUMMYFUNCTION("""COMPUTED_VALUE"""),456.0)</f>
        <v>456</v>
      </c>
      <c r="H578" s="7" t="str">
        <f>IFERROR(__xludf.DUMMYFUNCTION("""COMPUTED_VALUE"""),"Đỗ Đình Bình")</f>
        <v>Đỗ Đình Bình</v>
      </c>
      <c r="I578" s="7" t="str">
        <f>IFERROR(__xludf.DUMMYFUNCTION("""COMPUTED_VALUE"""),"Nam")</f>
        <v>Nam</v>
      </c>
      <c r="J578" s="17">
        <f>IFERROR(__xludf.DUMMYFUNCTION("""COMPUTED_VALUE"""),28667.0)</f>
        <v>28667</v>
      </c>
      <c r="K578" s="7" t="str">
        <f>IFERROR(__xludf.DUMMYFUNCTION("""COMPUTED_VALUE"""),"Xã Hoằng Trạch - Hoằng Hóa - Thanh Hóa")</f>
        <v>Xã Hoằng Trạch - Hoằng Hóa - Thanh Hóa</v>
      </c>
      <c r="L578" s="7" t="str">
        <f>IFERROR(__xludf.DUMMYFUNCTION("""COMPUTED_VALUE"""),"0364524355")</f>
        <v>0364524355</v>
      </c>
      <c r="M578" s="7" t="str">
        <f>IFERROR(__xludf.DUMMYFUNCTION("""COMPUTED_VALUE"""),"038078016391")</f>
        <v>038078016391</v>
      </c>
      <c r="N578" s="19">
        <f>IFERROR(__xludf.DUMMYFUNCTION("""COMPUTED_VALUE"""),44213.0)</f>
        <v>44213</v>
      </c>
      <c r="O578" s="7" t="str">
        <f>IFERROR(__xludf.DUMMYFUNCTION("""COMPUTED_VALUE"""),"Cục Cảnh sát QLHC về TTXH")</f>
        <v>Cục Cảnh sát QLHC về TTXH</v>
      </c>
      <c r="P578" s="7" t="str">
        <f>IFERROR(__xludf.DUMMYFUNCTION("""COMPUTED_VALUE"""),"LĐPT")</f>
        <v>LĐPT</v>
      </c>
      <c r="Q578" s="7" t="str">
        <f>IFERROR(__xludf.DUMMYFUNCTION("""COMPUTED_VALUE"""),"Lao động phổ thông")</f>
        <v>Lao động phổ thông</v>
      </c>
      <c r="R578" s="17">
        <f>IFERROR(__xludf.DUMMYFUNCTION("""COMPUTED_VALUE"""),39102.0)</f>
        <v>39102</v>
      </c>
      <c r="S578" s="17">
        <f>IFERROR(__xludf.DUMMYFUNCTION("""COMPUTED_VALUE"""),39102.0)</f>
        <v>39102</v>
      </c>
      <c r="T578" s="7" t="str">
        <f>IFERROR(__xludf.DUMMYFUNCTION("""COMPUTED_VALUE"""),"Chính thức")</f>
        <v>Chính thức</v>
      </c>
      <c r="U578" s="7"/>
      <c r="V578" s="7" t="str">
        <f>IFERROR(__xludf.DUMMYFUNCTION("""COMPUTED_VALUE"""),"Chính thức")</f>
        <v>Chính thức</v>
      </c>
      <c r="W578" s="7" t="str">
        <f>IFERROR(__xludf.DUMMYFUNCTION("""COMPUTED_VALUE"""),"18 năm 11 tháng")</f>
        <v>18 năm 11 tháng</v>
      </c>
      <c r="X578" s="7"/>
      <c r="Y578" s="7"/>
      <c r="Z578" s="7"/>
    </row>
    <row r="579">
      <c r="A579" s="7">
        <f>IFERROR(__xludf.DUMMYFUNCTION("""COMPUTED_VALUE"""),8.0)</f>
        <v>8</v>
      </c>
      <c r="B579" s="7" t="str">
        <f>IFERROR(__xludf.DUMMYFUNCTION("""COMPUTED_VALUE"""),"DC5-PXSX2")</f>
        <v>DC5-PXSX2</v>
      </c>
      <c r="C579" s="7" t="str">
        <f>IFERROR(__xludf.DUMMYFUNCTION("""COMPUTED_VALUE"""),"Bộ phận Dây chuyền gia công và Lò nung")</f>
        <v>Bộ phận Dây chuyền gia công và Lò nung</v>
      </c>
      <c r="D579" s="7" t="str">
        <f>IFERROR(__xludf.DUMMYFUNCTION("""COMPUTED_VALUE"""),"Dây chuyền gia công Ca A")</f>
        <v>Dây chuyền gia công Ca A</v>
      </c>
      <c r="E579" s="7" t="str">
        <f>IFERROR(__xludf.DUMMYFUNCTION("""COMPUTED_VALUE"""),"VH tráng Men")</f>
        <v>VH tráng Men</v>
      </c>
      <c r="F579" s="7" t="str">
        <f>IFERROR(__xludf.DUMMYFUNCTION("""COMPUTED_VALUE"""),"NV2297")</f>
        <v>NV2297</v>
      </c>
      <c r="G579" s="7">
        <f>IFERROR(__xludf.DUMMYFUNCTION("""COMPUTED_VALUE"""),829.0)</f>
        <v>829</v>
      </c>
      <c r="H579" s="7" t="str">
        <f>IFERROR(__xludf.DUMMYFUNCTION("""COMPUTED_VALUE"""),"Nguyễn Văn Hoàn")</f>
        <v>Nguyễn Văn Hoàn</v>
      </c>
      <c r="I579" s="7" t="str">
        <f>IFERROR(__xludf.DUMMYFUNCTION("""COMPUTED_VALUE"""),"Nam")</f>
        <v>Nam</v>
      </c>
      <c r="J579" s="17">
        <f>IFERROR(__xludf.DUMMYFUNCTION("""COMPUTED_VALUE"""),35459.0)</f>
        <v>35459</v>
      </c>
      <c r="K579" s="7" t="str">
        <f>IFERROR(__xludf.DUMMYFUNCTION("""COMPUTED_VALUE"""),"Thôn 8 -  Xã Quảng Giao -  Huyện Quảng Xương -  Thanh Hóa -  Việt Nam")</f>
        <v>Thôn 8 -  Xã Quảng Giao -  Huyện Quảng Xương -  Thanh Hóa -  Việt Nam</v>
      </c>
      <c r="L579" s="7" t="str">
        <f>IFERROR(__xludf.DUMMYFUNCTION("""COMPUTED_VALUE"""),"0783353116")</f>
        <v>0783353116</v>
      </c>
      <c r="M579" s="7" t="str">
        <f>IFERROR(__xludf.DUMMYFUNCTION("""COMPUTED_VALUE"""),"038097002882")</f>
        <v>038097002882</v>
      </c>
      <c r="N579" s="19">
        <f>IFERROR(__xludf.DUMMYFUNCTION("""COMPUTED_VALUE"""),44418.0)</f>
        <v>44418</v>
      </c>
      <c r="O579" s="7" t="str">
        <f>IFERROR(__xludf.DUMMYFUNCTION("""COMPUTED_VALUE"""),"Cục Cảnh sát QLHC về TTXH")</f>
        <v>Cục Cảnh sát QLHC về TTXH</v>
      </c>
      <c r="P579" s="7" t="str">
        <f>IFERROR(__xludf.DUMMYFUNCTION("""COMPUTED_VALUE"""),"LĐPT")</f>
        <v>LĐPT</v>
      </c>
      <c r="Q579" s="7" t="str">
        <f>IFERROR(__xludf.DUMMYFUNCTION("""COMPUTED_VALUE"""),"Lao động phổ thông")</f>
        <v>Lao động phổ thông</v>
      </c>
      <c r="R579" s="17">
        <f>IFERROR(__xludf.DUMMYFUNCTION("""COMPUTED_VALUE"""),43564.0)</f>
        <v>43564</v>
      </c>
      <c r="S579" s="17">
        <f>IFERROR(__xludf.DUMMYFUNCTION("""COMPUTED_VALUE"""),43983.0)</f>
        <v>43983</v>
      </c>
      <c r="T579" s="7" t="str">
        <f>IFERROR(__xludf.DUMMYFUNCTION("""COMPUTED_VALUE"""),"Chính thức")</f>
        <v>Chính thức</v>
      </c>
      <c r="U579" s="7"/>
      <c r="V579" s="7" t="str">
        <f>IFERROR(__xludf.DUMMYFUNCTION("""COMPUTED_VALUE"""),"Chính thức")</f>
        <v>Chính thức</v>
      </c>
      <c r="W579" s="7" t="str">
        <f>IFERROR(__xludf.DUMMYFUNCTION("""COMPUTED_VALUE"""),"6 năm 8 tháng")</f>
        <v>6 năm 8 tháng</v>
      </c>
      <c r="X579" s="7"/>
      <c r="Y579" s="7"/>
      <c r="Z579" s="7"/>
    </row>
    <row r="580">
      <c r="A580" s="7">
        <f>IFERROR(__xludf.DUMMYFUNCTION("""COMPUTED_VALUE"""),9.0)</f>
        <v>9</v>
      </c>
      <c r="B580" s="7" t="str">
        <f>IFERROR(__xludf.DUMMYFUNCTION("""COMPUTED_VALUE"""),"DC5-PXSX2")</f>
        <v>DC5-PXSX2</v>
      </c>
      <c r="C580" s="7" t="str">
        <f>IFERROR(__xludf.DUMMYFUNCTION("""COMPUTED_VALUE"""),"Bộ phận Dây chuyền gia công và Lò nung")</f>
        <v>Bộ phận Dây chuyền gia công và Lò nung</v>
      </c>
      <c r="D580" s="7" t="str">
        <f>IFERROR(__xludf.DUMMYFUNCTION("""COMPUTED_VALUE"""),"Dây chuyền gia công Ca A")</f>
        <v>Dây chuyền gia công Ca A</v>
      </c>
      <c r="E580" s="7" t="str">
        <f>IFERROR(__xludf.DUMMYFUNCTION("""COMPUTED_VALUE"""),"VH chính máy in KTS")</f>
        <v>VH chính máy in KTS</v>
      </c>
      <c r="F580" s="7" t="str">
        <f>IFERROR(__xludf.DUMMYFUNCTION("""COMPUTED_VALUE"""),"NV3255")</f>
        <v>NV3255</v>
      </c>
      <c r="G580" s="7">
        <f>IFERROR(__xludf.DUMMYFUNCTION("""COMPUTED_VALUE"""),489.0)</f>
        <v>489</v>
      </c>
      <c r="H580" s="7" t="str">
        <f>IFERROR(__xludf.DUMMYFUNCTION("""COMPUTED_VALUE"""),"Lê Nhữ Thắng")</f>
        <v>Lê Nhữ Thắng</v>
      </c>
      <c r="I580" s="7" t="str">
        <f>IFERROR(__xludf.DUMMYFUNCTION("""COMPUTED_VALUE"""),"Nam")</f>
        <v>Nam</v>
      </c>
      <c r="J580" s="17">
        <f>IFERROR(__xludf.DUMMYFUNCTION("""COMPUTED_VALUE"""),32295.0)</f>
        <v>32295</v>
      </c>
      <c r="K580" s="7" t="str">
        <f>IFERROR(__xludf.DUMMYFUNCTION("""COMPUTED_VALUE"""),"Phường Trường Sơn -  Thành phố Sầm Sơn -  Thanh Hóa - ")</f>
        <v>Phường Trường Sơn -  Thành phố Sầm Sơn -  Thanh Hóa - </v>
      </c>
      <c r="L580" s="7" t="str">
        <f>IFERROR(__xludf.DUMMYFUNCTION("""COMPUTED_VALUE"""),"0974737575")</f>
        <v>0974737575</v>
      </c>
      <c r="M580" s="7" t="str">
        <f>IFERROR(__xludf.DUMMYFUNCTION("""COMPUTED_VALUE"""),"038088008754")</f>
        <v>038088008754</v>
      </c>
      <c r="N580" s="19">
        <f>IFERROR(__xludf.DUMMYFUNCTION("""COMPUTED_VALUE"""),44792.0)</f>
        <v>44792</v>
      </c>
      <c r="O580" s="7" t="str">
        <f>IFERROR(__xludf.DUMMYFUNCTION("""COMPUTED_VALUE"""),"Cục Cảnh sát QLHC về TTXH")</f>
        <v>Cục Cảnh sát QLHC về TTXH</v>
      </c>
      <c r="P580" s="7" t="str">
        <f>IFERROR(__xludf.DUMMYFUNCTION("""COMPUTED_VALUE"""),"Lao động phổ thông")</f>
        <v>Lao động phổ thông</v>
      </c>
      <c r="Q580" s="7" t="str">
        <f>IFERROR(__xludf.DUMMYFUNCTION("""COMPUTED_VALUE"""),"Lao động phổ thông")</f>
        <v>Lao động phổ thông</v>
      </c>
      <c r="R580" s="17">
        <f>IFERROR(__xludf.DUMMYFUNCTION("""COMPUTED_VALUE"""),44092.0)</f>
        <v>44092</v>
      </c>
      <c r="S580" s="17">
        <f>IFERROR(__xludf.DUMMYFUNCTION("""COMPUTED_VALUE"""),44378.0)</f>
        <v>44378</v>
      </c>
      <c r="T580" s="7" t="str">
        <f>IFERROR(__xludf.DUMMYFUNCTION("""COMPUTED_VALUE"""),"Chính thức")</f>
        <v>Chính thức</v>
      </c>
      <c r="U580" s="7"/>
      <c r="V580" s="7" t="str">
        <f>IFERROR(__xludf.DUMMYFUNCTION("""COMPUTED_VALUE"""),"Chính thức")</f>
        <v>Chính thức</v>
      </c>
      <c r="W580" s="7" t="str">
        <f>IFERROR(__xludf.DUMMYFUNCTION("""COMPUTED_VALUE"""),"5 năm 3 tháng")</f>
        <v>5 năm 3 tháng</v>
      </c>
      <c r="X580" s="7"/>
      <c r="Y580" s="7"/>
      <c r="Z580" s="7"/>
    </row>
    <row r="581">
      <c r="A581" s="7">
        <f>IFERROR(__xludf.DUMMYFUNCTION("""COMPUTED_VALUE"""),1.0)</f>
        <v>1</v>
      </c>
      <c r="B581" s="7" t="str">
        <f>IFERROR(__xludf.DUMMYFUNCTION("""COMPUTED_VALUE"""),"DC5-PXSX2")</f>
        <v>DC5-PXSX2</v>
      </c>
      <c r="C581" s="7" t="str">
        <f>IFERROR(__xludf.DUMMYFUNCTION("""COMPUTED_VALUE"""),"Bộ phận Dây chuyền gia công và Lò nung")</f>
        <v>Bộ phận Dây chuyền gia công và Lò nung</v>
      </c>
      <c r="D581" s="7" t="str">
        <f>IFERROR(__xludf.DUMMYFUNCTION("""COMPUTED_VALUE"""),"Dây chuyền gia công Ca B")</f>
        <v>Dây chuyền gia công Ca B</v>
      </c>
      <c r="E581" s="7" t="str">
        <f>IFERROR(__xludf.DUMMYFUNCTION("""COMPUTED_VALUE"""),"VH gắp gạch")</f>
        <v>VH gắp gạch</v>
      </c>
      <c r="F581" s="7" t="str">
        <f>IFERROR(__xludf.DUMMYFUNCTION("""COMPUTED_VALUE"""),"NV0655")</f>
        <v>NV0655</v>
      </c>
      <c r="G581" s="7">
        <f>IFERROR(__xludf.DUMMYFUNCTION("""COMPUTED_VALUE"""),508.0)</f>
        <v>508</v>
      </c>
      <c r="H581" s="7" t="str">
        <f>IFERROR(__xludf.DUMMYFUNCTION("""COMPUTED_VALUE"""),"Lê Huy Thái")</f>
        <v>Lê Huy Thái</v>
      </c>
      <c r="I581" s="7" t="str">
        <f>IFERROR(__xludf.DUMMYFUNCTION("""COMPUTED_VALUE"""),"Nam")</f>
        <v>Nam</v>
      </c>
      <c r="J581" s="17">
        <f>IFERROR(__xludf.DUMMYFUNCTION("""COMPUTED_VALUE"""),30888.0)</f>
        <v>30888</v>
      </c>
      <c r="K581" s="7" t="str">
        <f>IFERROR(__xludf.DUMMYFUNCTION("""COMPUTED_VALUE"""),"Xã Hoằng Thành -  Huyện Hoằng Hóa -  Thanh Hóa -  Việt Nam")</f>
        <v>Xã Hoằng Thành -  Huyện Hoằng Hóa -  Thanh Hóa -  Việt Nam</v>
      </c>
      <c r="L581" s="7" t="str">
        <f>IFERROR(__xludf.DUMMYFUNCTION("""COMPUTED_VALUE"""),"0354982844")</f>
        <v>0354982844</v>
      </c>
      <c r="M581" s="7" t="str">
        <f>IFERROR(__xludf.DUMMYFUNCTION("""COMPUTED_VALUE"""),"038084002129")</f>
        <v>038084002129</v>
      </c>
      <c r="N581" s="19">
        <f>IFERROR(__xludf.DUMMYFUNCTION("""COMPUTED_VALUE"""),44467.0)</f>
        <v>44467</v>
      </c>
      <c r="O581" s="7" t="str">
        <f>IFERROR(__xludf.DUMMYFUNCTION("""COMPUTED_VALUE"""),"Cục Cảnh sát QLHC về TTXH")</f>
        <v>Cục Cảnh sát QLHC về TTXH</v>
      </c>
      <c r="P581" s="7" t="str">
        <f>IFERROR(__xludf.DUMMYFUNCTION("""COMPUTED_VALUE"""),"LĐPT")</f>
        <v>LĐPT</v>
      </c>
      <c r="Q581" s="7" t="str">
        <f>IFERROR(__xludf.DUMMYFUNCTION("""COMPUTED_VALUE"""),"Lao động phổ thông")</f>
        <v>Lao động phổ thông</v>
      </c>
      <c r="R581" s="17">
        <f>IFERROR(__xludf.DUMMYFUNCTION("""COMPUTED_VALUE"""),43427.0)</f>
        <v>43427</v>
      </c>
      <c r="S581" s="17">
        <f>IFERROR(__xludf.DUMMYFUNCTION("""COMPUTED_VALUE"""),43983.0)</f>
        <v>43983</v>
      </c>
      <c r="T581" s="7" t="str">
        <f>IFERROR(__xludf.DUMMYFUNCTION("""COMPUTED_VALUE"""),"Chính thức")</f>
        <v>Chính thức</v>
      </c>
      <c r="U581" s="7"/>
      <c r="V581" s="7" t="str">
        <f>IFERROR(__xludf.DUMMYFUNCTION("""COMPUTED_VALUE"""),"Chính thức")</f>
        <v>Chính thức</v>
      </c>
      <c r="W581" s="7" t="str">
        <f>IFERROR(__xludf.DUMMYFUNCTION("""COMPUTED_VALUE"""),"7 năm 1 tháng")</f>
        <v>7 năm 1 tháng</v>
      </c>
      <c r="X581" s="7"/>
      <c r="Y581" s="7"/>
      <c r="Z581" s="7"/>
    </row>
    <row r="582">
      <c r="A582" s="7">
        <f>IFERROR(__xludf.DUMMYFUNCTION("""COMPUTED_VALUE"""),2.0)</f>
        <v>2</v>
      </c>
      <c r="B582" s="7" t="str">
        <f>IFERROR(__xludf.DUMMYFUNCTION("""COMPUTED_VALUE"""),"DC5-PXSX2")</f>
        <v>DC5-PXSX2</v>
      </c>
      <c r="C582" s="7" t="str">
        <f>IFERROR(__xludf.DUMMYFUNCTION("""COMPUTED_VALUE"""),"Bộ phận Dây chuyền gia công và Lò nung")</f>
        <v>Bộ phận Dây chuyền gia công và Lò nung</v>
      </c>
      <c r="D582" s="7" t="str">
        <f>IFERROR(__xludf.DUMMYFUNCTION("""COMPUTED_VALUE"""),"Dây chuyền gia công Ca B")</f>
        <v>Dây chuyền gia công Ca B</v>
      </c>
      <c r="E582" s="7" t="str">
        <f>IFERROR(__xludf.DUMMYFUNCTION("""COMPUTED_VALUE"""),"Tổ trưởng")</f>
        <v>Tổ trưởng</v>
      </c>
      <c r="F582" s="7" t="str">
        <f>IFERROR(__xludf.DUMMYFUNCTION("""COMPUTED_VALUE"""),"NV0565")</f>
        <v>NV0565</v>
      </c>
      <c r="G582" s="7">
        <f>IFERROR(__xludf.DUMMYFUNCTION("""COMPUTED_VALUE"""),365.0)</f>
        <v>365</v>
      </c>
      <c r="H582" s="7" t="str">
        <f>IFERROR(__xludf.DUMMYFUNCTION("""COMPUTED_VALUE"""),"Lê Văn Huynh")</f>
        <v>Lê Văn Huynh</v>
      </c>
      <c r="I582" s="7" t="str">
        <f>IFERROR(__xludf.DUMMYFUNCTION("""COMPUTED_VALUE"""),"Nam")</f>
        <v>Nam</v>
      </c>
      <c r="J582" s="17">
        <f>IFERROR(__xludf.DUMMYFUNCTION("""COMPUTED_VALUE"""),33470.0)</f>
        <v>33470</v>
      </c>
      <c r="K582" s="7" t="str">
        <f>IFERROR(__xludf.DUMMYFUNCTION("""COMPUTED_VALUE"""),"Thôn 1 -  Xã Nông Trường -  Huyện Triệu Sơn -  Thanh Hóa")</f>
        <v>Thôn 1 -  Xã Nông Trường -  Huyện Triệu Sơn -  Thanh Hóa</v>
      </c>
      <c r="L582" s="7" t="str">
        <f>IFERROR(__xludf.DUMMYFUNCTION("""COMPUTED_VALUE"""),"0985247972")</f>
        <v>0985247972</v>
      </c>
      <c r="M582" s="7" t="str">
        <f>IFERROR(__xludf.DUMMYFUNCTION("""COMPUTED_VALUE"""),"038091051892")</f>
        <v>038091051892</v>
      </c>
      <c r="N582" s="19">
        <f>IFERROR(__xludf.DUMMYFUNCTION("""COMPUTED_VALUE"""),44435.0)</f>
        <v>44435</v>
      </c>
      <c r="O582" s="7" t="str">
        <f>IFERROR(__xludf.DUMMYFUNCTION("""COMPUTED_VALUE"""),"Cục Cảnh sát QLHC về TTXH")</f>
        <v>Cục Cảnh sát QLHC về TTXH</v>
      </c>
      <c r="P582" s="7" t="str">
        <f>IFERROR(__xludf.DUMMYFUNCTION("""COMPUTED_VALUE"""),"LĐPT")</f>
        <v>LĐPT</v>
      </c>
      <c r="Q582" s="7" t="str">
        <f>IFERROR(__xludf.DUMMYFUNCTION("""COMPUTED_VALUE"""),"Lao động phổ thông")</f>
        <v>Lao động phổ thông</v>
      </c>
      <c r="R582" s="17">
        <f>IFERROR(__xludf.DUMMYFUNCTION("""COMPUTED_VALUE"""),40962.0)</f>
        <v>40962</v>
      </c>
      <c r="S582" s="17">
        <f>IFERROR(__xludf.DUMMYFUNCTION("""COMPUTED_VALUE"""),40962.0)</f>
        <v>40962</v>
      </c>
      <c r="T582" s="7" t="str">
        <f>IFERROR(__xludf.DUMMYFUNCTION("""COMPUTED_VALUE"""),"Chính thức")</f>
        <v>Chính thức</v>
      </c>
      <c r="U582" s="7"/>
      <c r="V582" s="7" t="str">
        <f>IFERROR(__xludf.DUMMYFUNCTION("""COMPUTED_VALUE"""),"Chính thức")</f>
        <v>Chính thức</v>
      </c>
      <c r="W582" s="7" t="str">
        <f>IFERROR(__xludf.DUMMYFUNCTION("""COMPUTED_VALUE"""),"13 năm 10 tháng")</f>
        <v>13 năm 10 tháng</v>
      </c>
      <c r="X582" s="7"/>
      <c r="Y582" s="7"/>
      <c r="Z582" s="7"/>
    </row>
    <row r="583">
      <c r="A583" s="7">
        <f>IFERROR(__xludf.DUMMYFUNCTION("""COMPUTED_VALUE"""),3.0)</f>
        <v>3</v>
      </c>
      <c r="B583" s="7" t="str">
        <f>IFERROR(__xludf.DUMMYFUNCTION("""COMPUTED_VALUE"""),"DC5-PXSX2")</f>
        <v>DC5-PXSX2</v>
      </c>
      <c r="C583" s="7" t="str">
        <f>IFERROR(__xludf.DUMMYFUNCTION("""COMPUTED_VALUE"""),"Bộ phận Dây chuyền gia công và Lò nung")</f>
        <v>Bộ phận Dây chuyền gia công và Lò nung</v>
      </c>
      <c r="D583" s="7" t="str">
        <f>IFERROR(__xludf.DUMMYFUNCTION("""COMPUTED_VALUE"""),"Dây chuyền gia công Ca B")</f>
        <v>Dây chuyền gia công Ca B</v>
      </c>
      <c r="E583" s="7" t="str">
        <f>IFERROR(__xludf.DUMMYFUNCTION("""COMPUTED_VALUE"""),"VHC máy ép")</f>
        <v>VHC máy ép</v>
      </c>
      <c r="F583" s="7" t="str">
        <f>IFERROR(__xludf.DUMMYFUNCTION("""COMPUTED_VALUE"""),"NV3452")</f>
        <v>NV3452</v>
      </c>
      <c r="G583" s="7">
        <f>IFERROR(__xludf.DUMMYFUNCTION("""COMPUTED_VALUE"""),458.0)</f>
        <v>458</v>
      </c>
      <c r="H583" s="7" t="str">
        <f>IFERROR(__xludf.DUMMYFUNCTION("""COMPUTED_VALUE"""),"Vũ Đức Tài")</f>
        <v>Vũ Đức Tài</v>
      </c>
      <c r="I583" s="7" t="str">
        <f>IFERROR(__xludf.DUMMYFUNCTION("""COMPUTED_VALUE"""),"Nam")</f>
        <v>Nam</v>
      </c>
      <c r="J583" s="17">
        <f>IFERROR(__xludf.DUMMYFUNCTION("""COMPUTED_VALUE"""),29005.0)</f>
        <v>29005</v>
      </c>
      <c r="K583" s="7" t="str">
        <f>IFERROR(__xludf.DUMMYFUNCTION("""COMPUTED_VALUE"""),"Ước Thành -  Xã Quảng Ninh -  Huyện Quảng Xương -  Thanh Hóa")</f>
        <v>Ước Thành -  Xã Quảng Ninh -  Huyện Quảng Xương -  Thanh Hóa</v>
      </c>
      <c r="L583" s="7" t="str">
        <f>IFERROR(__xludf.DUMMYFUNCTION("""COMPUTED_VALUE"""),"0393660990")</f>
        <v>0393660990</v>
      </c>
      <c r="M583" s="7" t="str">
        <f>IFERROR(__xludf.DUMMYFUNCTION("""COMPUTED_VALUE"""),"038079009061")</f>
        <v>038079009061</v>
      </c>
      <c r="N583" s="19">
        <f>IFERROR(__xludf.DUMMYFUNCTION("""COMPUTED_VALUE"""),44546.0)</f>
        <v>44546</v>
      </c>
      <c r="O583" s="7" t="str">
        <f>IFERROR(__xludf.DUMMYFUNCTION("""COMPUTED_VALUE"""),"Cục Cảnh sát QLHC về TTXH")</f>
        <v>Cục Cảnh sát QLHC về TTXH</v>
      </c>
      <c r="P583" s="7" t="str">
        <f>IFERROR(__xludf.DUMMYFUNCTION("""COMPUTED_VALUE"""),"LĐPT")</f>
        <v>LĐPT</v>
      </c>
      <c r="Q583" s="7" t="str">
        <f>IFERROR(__xludf.DUMMYFUNCTION("""COMPUTED_VALUE"""),"Lao động phổ thông")</f>
        <v>Lao động phổ thông</v>
      </c>
      <c r="R583" s="17">
        <f>IFERROR(__xludf.DUMMYFUNCTION("""COMPUTED_VALUE"""),44250.0)</f>
        <v>44250</v>
      </c>
      <c r="S583" s="17">
        <f>IFERROR(__xludf.DUMMYFUNCTION("""COMPUTED_VALUE"""),44531.0)</f>
        <v>44531</v>
      </c>
      <c r="T583" s="7" t="str">
        <f>IFERROR(__xludf.DUMMYFUNCTION("""COMPUTED_VALUE"""),"Chính thức")</f>
        <v>Chính thức</v>
      </c>
      <c r="U583" s="7"/>
      <c r="V583" s="7" t="str">
        <f>IFERROR(__xludf.DUMMYFUNCTION("""COMPUTED_VALUE"""),"Chính thức")</f>
        <v>Chính thức</v>
      </c>
      <c r="W583" s="7" t="str">
        <f>IFERROR(__xludf.DUMMYFUNCTION("""COMPUTED_VALUE"""),"4 năm 10 tháng")</f>
        <v>4 năm 10 tháng</v>
      </c>
      <c r="X583" s="7"/>
      <c r="Y583" s="7"/>
      <c r="Z583" s="7"/>
    </row>
    <row r="584">
      <c r="A584" s="7">
        <f>IFERROR(__xludf.DUMMYFUNCTION("""COMPUTED_VALUE"""),4.0)</f>
        <v>4</v>
      </c>
      <c r="B584" s="7" t="str">
        <f>IFERROR(__xludf.DUMMYFUNCTION("""COMPUTED_VALUE"""),"DC5-PXSX2")</f>
        <v>DC5-PXSX2</v>
      </c>
      <c r="C584" s="7" t="str">
        <f>IFERROR(__xludf.DUMMYFUNCTION("""COMPUTED_VALUE"""),"Bộ phận Dây chuyền gia công và Lò nung")</f>
        <v>Bộ phận Dây chuyền gia công và Lò nung</v>
      </c>
      <c r="D584" s="7" t="str">
        <f>IFERROR(__xludf.DUMMYFUNCTION("""COMPUTED_VALUE"""),"Dây chuyền gia công Ca B")</f>
        <v>Dây chuyền gia công Ca B</v>
      </c>
      <c r="E584" s="7" t="str">
        <f>IFERROR(__xludf.DUMMYFUNCTION("""COMPUTED_VALUE"""),"VH Bù đầu lò")</f>
        <v>VH Bù đầu lò</v>
      </c>
      <c r="F584" s="7" t="str">
        <f>IFERROR(__xludf.DUMMYFUNCTION("""COMPUTED_VALUE"""),"NV3761")</f>
        <v>NV3761</v>
      </c>
      <c r="G584" s="7">
        <f>IFERROR(__xludf.DUMMYFUNCTION("""COMPUTED_VALUE"""),372.0)</f>
        <v>372</v>
      </c>
      <c r="H584" s="7" t="str">
        <f>IFERROR(__xludf.DUMMYFUNCTION("""COMPUTED_VALUE"""),"Lê Văn Trọn")</f>
        <v>Lê Văn Trọn</v>
      </c>
      <c r="I584" s="7" t="str">
        <f>IFERROR(__xludf.DUMMYFUNCTION("""COMPUTED_VALUE"""),"Nam")</f>
        <v>Nam</v>
      </c>
      <c r="J584" s="17">
        <f>IFERROR(__xludf.DUMMYFUNCTION("""COMPUTED_VALUE"""),36737.0)</f>
        <v>36737</v>
      </c>
      <c r="K584" s="7" t="str">
        <f>IFERROR(__xludf.DUMMYFUNCTION("""COMPUTED_VALUE"""),"Hồng Thắng -  Phường Quảng Cư -  Thành phố Sầm Sơn -  Thanh Hóa")</f>
        <v>Hồng Thắng -  Phường Quảng Cư -  Thành phố Sầm Sơn -  Thanh Hóa</v>
      </c>
      <c r="L584" s="7" t="str">
        <f>IFERROR(__xludf.DUMMYFUNCTION("""COMPUTED_VALUE"""),"0359341880")</f>
        <v>0359341880</v>
      </c>
      <c r="M584" s="7" t="str">
        <f>IFERROR(__xludf.DUMMYFUNCTION("""COMPUTED_VALUE"""),"038200012838")</f>
        <v>038200012838</v>
      </c>
      <c r="N584" s="19">
        <f>IFERROR(__xludf.DUMMYFUNCTION("""COMPUTED_VALUE"""),36737.0)</f>
        <v>36737</v>
      </c>
      <c r="O584" s="7" t="str">
        <f>IFERROR(__xludf.DUMMYFUNCTION("""COMPUTED_VALUE"""),"Cục Cảnh sát QLHC về TTXH")</f>
        <v>Cục Cảnh sát QLHC về TTXH</v>
      </c>
      <c r="P584" s="7" t="str">
        <f>IFERROR(__xludf.DUMMYFUNCTION("""COMPUTED_VALUE"""),"LĐPT")</f>
        <v>LĐPT</v>
      </c>
      <c r="Q584" s="7" t="str">
        <f>IFERROR(__xludf.DUMMYFUNCTION("""COMPUTED_VALUE"""),"Lao động phổ thông")</f>
        <v>Lao động phổ thông</v>
      </c>
      <c r="R584" s="17">
        <f>IFERROR(__xludf.DUMMYFUNCTION("""COMPUTED_VALUE"""),44395.0)</f>
        <v>44395</v>
      </c>
      <c r="S584" s="17">
        <f>IFERROR(__xludf.DUMMYFUNCTION("""COMPUTED_VALUE"""),44682.0)</f>
        <v>44682</v>
      </c>
      <c r="T584" s="7" t="str">
        <f>IFERROR(__xludf.DUMMYFUNCTION("""COMPUTED_VALUE"""),"Chính thức")</f>
        <v>Chính thức</v>
      </c>
      <c r="U584" s="7"/>
      <c r="V584" s="7" t="str">
        <f>IFERROR(__xludf.DUMMYFUNCTION("""COMPUTED_VALUE"""),"Chính thức")</f>
        <v>Chính thức</v>
      </c>
      <c r="W584" s="7" t="str">
        <f>IFERROR(__xludf.DUMMYFUNCTION("""COMPUTED_VALUE"""),"4 năm 5 tháng")</f>
        <v>4 năm 5 tháng</v>
      </c>
      <c r="X584" s="7"/>
      <c r="Y584" s="7"/>
      <c r="Z584" s="7"/>
    </row>
    <row r="585">
      <c r="A585" s="7">
        <f>IFERROR(__xludf.DUMMYFUNCTION("""COMPUTED_VALUE"""),5.0)</f>
        <v>5</v>
      </c>
      <c r="B585" s="7" t="str">
        <f>IFERROR(__xludf.DUMMYFUNCTION("""COMPUTED_VALUE"""),"DC5-PXSX2")</f>
        <v>DC5-PXSX2</v>
      </c>
      <c r="C585" s="7" t="str">
        <f>IFERROR(__xludf.DUMMYFUNCTION("""COMPUTED_VALUE"""),"Bộ phận Dây chuyền gia công và Lò nung")</f>
        <v>Bộ phận Dây chuyền gia công và Lò nung</v>
      </c>
      <c r="D585" s="7" t="str">
        <f>IFERROR(__xludf.DUMMYFUNCTION("""COMPUTED_VALUE"""),"Dây chuyền gia công Ca B")</f>
        <v>Dây chuyền gia công Ca B</v>
      </c>
      <c r="E585" s="7" t="str">
        <f>IFERROR(__xludf.DUMMYFUNCTION("""COMPUTED_VALUE"""),"VHC tráng Engobe")</f>
        <v>VHC tráng Engobe</v>
      </c>
      <c r="F585" s="7" t="str">
        <f>IFERROR(__xludf.DUMMYFUNCTION("""COMPUTED_VALUE"""),"NV1373")</f>
        <v>NV1373</v>
      </c>
      <c r="G585" s="7">
        <f>IFERROR(__xludf.DUMMYFUNCTION("""COMPUTED_VALUE"""),721.0)</f>
        <v>721</v>
      </c>
      <c r="H585" s="7" t="str">
        <f>IFERROR(__xludf.DUMMYFUNCTION("""COMPUTED_VALUE"""),"Hà Văn Lực")</f>
        <v>Hà Văn Lực</v>
      </c>
      <c r="I585" s="7" t="str">
        <f>IFERROR(__xludf.DUMMYFUNCTION("""COMPUTED_VALUE"""),"Nam")</f>
        <v>Nam</v>
      </c>
      <c r="J585" s="17">
        <f>IFERROR(__xludf.DUMMYFUNCTION("""COMPUTED_VALUE"""),32845.0)</f>
        <v>32845</v>
      </c>
      <c r="K585" s="7" t="str">
        <f>IFERROR(__xludf.DUMMYFUNCTION("""COMPUTED_VALUE"""),"Châu Thành -  Xã Quảng Châu -  Thị Xã Sầm Sơn -  Thanh Hóa -  Việt Nam")</f>
        <v>Châu Thành -  Xã Quảng Châu -  Thị Xã Sầm Sơn -  Thanh Hóa -  Việt Nam</v>
      </c>
      <c r="L585" s="7" t="str">
        <f>IFERROR(__xludf.DUMMYFUNCTION("""COMPUTED_VALUE"""),"0982248437")</f>
        <v>0982248437</v>
      </c>
      <c r="M585" s="7" t="str">
        <f>IFERROR(__xludf.DUMMYFUNCTION("""COMPUTED_VALUE"""),"038089012403")</f>
        <v>038089012403</v>
      </c>
      <c r="N585" s="19">
        <f>IFERROR(__xludf.DUMMYFUNCTION("""COMPUTED_VALUE"""),44419.0)</f>
        <v>44419</v>
      </c>
      <c r="O585" s="7" t="str">
        <f>IFERROR(__xludf.DUMMYFUNCTION("""COMPUTED_VALUE"""),"Cục Cảnh sát QLHC về TTXH")</f>
        <v>Cục Cảnh sát QLHC về TTXH</v>
      </c>
      <c r="P585" s="7" t="str">
        <f>IFERROR(__xludf.DUMMYFUNCTION("""COMPUTED_VALUE"""),"Trung cấp, nghề")</f>
        <v>Trung cấp, nghề</v>
      </c>
      <c r="Q585" s="7" t="str">
        <f>IFERROR(__xludf.DUMMYFUNCTION("""COMPUTED_VALUE"""),"Chế tạo thiết bị cơ khí")</f>
        <v>Chế tạo thiết bị cơ khí</v>
      </c>
      <c r="R585" s="17">
        <f>IFERROR(__xludf.DUMMYFUNCTION("""COMPUTED_VALUE"""),43214.0)</f>
        <v>43214</v>
      </c>
      <c r="S585" s="17">
        <f>IFERROR(__xludf.DUMMYFUNCTION("""COMPUTED_VALUE"""),43586.0)</f>
        <v>43586</v>
      </c>
      <c r="T585" s="7" t="str">
        <f>IFERROR(__xludf.DUMMYFUNCTION("""COMPUTED_VALUE"""),"Chính thức")</f>
        <v>Chính thức</v>
      </c>
      <c r="U585" s="7"/>
      <c r="V585" s="7" t="str">
        <f>IFERROR(__xludf.DUMMYFUNCTION("""COMPUTED_VALUE"""),"Chính thức")</f>
        <v>Chính thức</v>
      </c>
      <c r="W585" s="7" t="str">
        <f>IFERROR(__xludf.DUMMYFUNCTION("""COMPUTED_VALUE"""),"7 năm 8 tháng")</f>
        <v>7 năm 8 tháng</v>
      </c>
      <c r="X585" s="7"/>
      <c r="Y585" s="7"/>
      <c r="Z585" s="7"/>
    </row>
    <row r="586">
      <c r="A586" s="7">
        <f>IFERROR(__xludf.DUMMYFUNCTION("""COMPUTED_VALUE"""),6.0)</f>
        <v>6</v>
      </c>
      <c r="B586" s="7" t="str">
        <f>IFERROR(__xludf.DUMMYFUNCTION("""COMPUTED_VALUE"""),"DC5-PXSX2")</f>
        <v>DC5-PXSX2</v>
      </c>
      <c r="C586" s="7" t="str">
        <f>IFERROR(__xludf.DUMMYFUNCTION("""COMPUTED_VALUE"""),"Bộ phận Dây chuyền gia công và Lò nung")</f>
        <v>Bộ phận Dây chuyền gia công và Lò nung</v>
      </c>
      <c r="D586" s="7" t="str">
        <f>IFERROR(__xludf.DUMMYFUNCTION("""COMPUTED_VALUE"""),"Dây chuyền gia công Ca B")</f>
        <v>Dây chuyền gia công Ca B</v>
      </c>
      <c r="E586" s="7" t="str">
        <f>IFERROR(__xludf.DUMMYFUNCTION("""COMPUTED_VALUE"""),"VH tráng Men")</f>
        <v>VH tráng Men</v>
      </c>
      <c r="F586" s="7" t="str">
        <f>IFERROR(__xludf.DUMMYFUNCTION("""COMPUTED_VALUE"""),"NV2404")</f>
        <v>NV2404</v>
      </c>
      <c r="G586" s="7">
        <f>IFERROR(__xludf.DUMMYFUNCTION("""COMPUTED_VALUE"""),369.0)</f>
        <v>369</v>
      </c>
      <c r="H586" s="7" t="str">
        <f>IFERROR(__xludf.DUMMYFUNCTION("""COMPUTED_VALUE"""),"Lê Văn Khoa")</f>
        <v>Lê Văn Khoa</v>
      </c>
      <c r="I586" s="7" t="str">
        <f>IFERROR(__xludf.DUMMYFUNCTION("""COMPUTED_VALUE"""),"Nam")</f>
        <v>Nam</v>
      </c>
      <c r="J586" s="17">
        <f>IFERROR(__xludf.DUMMYFUNCTION("""COMPUTED_VALUE"""),29747.0)</f>
        <v>29747</v>
      </c>
      <c r="K586" s="7" t="str">
        <f>IFERROR(__xludf.DUMMYFUNCTION("""COMPUTED_VALUE"""),"Tây Sơn 1 -  Phường Phú Sơn -  Thành phố Thanh Hóa -  Thanh Hóa -  Việt Nam")</f>
        <v>Tây Sơn 1 -  Phường Phú Sơn -  Thành phố Thanh Hóa -  Thanh Hóa -  Việt Nam</v>
      </c>
      <c r="L586" s="7" t="str">
        <f>IFERROR(__xludf.DUMMYFUNCTION("""COMPUTED_VALUE"""),"0846846329")</f>
        <v>0846846329</v>
      </c>
      <c r="M586" s="7" t="str">
        <f>IFERROR(__xludf.DUMMYFUNCTION("""COMPUTED_VALUE"""),"038081028905")</f>
        <v>038081028905</v>
      </c>
      <c r="N586" s="19">
        <f>IFERROR(__xludf.DUMMYFUNCTION("""COMPUTED_VALUE"""),44440.0)</f>
        <v>44440</v>
      </c>
      <c r="O586" s="7" t="str">
        <f>IFERROR(__xludf.DUMMYFUNCTION("""COMPUTED_VALUE"""),"Cục Cảnh sát QLHC về TTXH")</f>
        <v>Cục Cảnh sát QLHC về TTXH</v>
      </c>
      <c r="P586" s="7" t="str">
        <f>IFERROR(__xludf.DUMMYFUNCTION("""COMPUTED_VALUE"""),"LĐPT")</f>
        <v>LĐPT</v>
      </c>
      <c r="Q586" s="7" t="str">
        <f>IFERROR(__xludf.DUMMYFUNCTION("""COMPUTED_VALUE"""),"Lao động phổ thông")</f>
        <v>Lao động phổ thông</v>
      </c>
      <c r="R586" s="17">
        <f>IFERROR(__xludf.DUMMYFUNCTION("""COMPUTED_VALUE"""),43610.0)</f>
        <v>43610</v>
      </c>
      <c r="S586" s="17">
        <f>IFERROR(__xludf.DUMMYFUNCTION("""COMPUTED_VALUE"""),43983.0)</f>
        <v>43983</v>
      </c>
      <c r="T586" s="7" t="str">
        <f>IFERROR(__xludf.DUMMYFUNCTION("""COMPUTED_VALUE"""),"Chính thức")</f>
        <v>Chính thức</v>
      </c>
      <c r="U586" s="7"/>
      <c r="V586" s="7" t="str">
        <f>IFERROR(__xludf.DUMMYFUNCTION("""COMPUTED_VALUE"""),"Chính thức")</f>
        <v>Chính thức</v>
      </c>
      <c r="W586" s="7" t="str">
        <f>IFERROR(__xludf.DUMMYFUNCTION("""COMPUTED_VALUE"""),"6 năm 7 tháng")</f>
        <v>6 năm 7 tháng</v>
      </c>
      <c r="X586" s="7"/>
      <c r="Y586" s="7"/>
      <c r="Z586" s="7"/>
    </row>
    <row r="587">
      <c r="A587" s="7">
        <f>IFERROR(__xludf.DUMMYFUNCTION("""COMPUTED_VALUE"""),7.0)</f>
        <v>7</v>
      </c>
      <c r="B587" s="7" t="str">
        <f>IFERROR(__xludf.DUMMYFUNCTION("""COMPUTED_VALUE"""),"DC5-PXSX2")</f>
        <v>DC5-PXSX2</v>
      </c>
      <c r="C587" s="7" t="str">
        <f>IFERROR(__xludf.DUMMYFUNCTION("""COMPUTED_VALUE"""),"Bộ phận Dây chuyền gia công và Lò nung")</f>
        <v>Bộ phận Dây chuyền gia công và Lò nung</v>
      </c>
      <c r="D587" s="7" t="str">
        <f>IFERROR(__xludf.DUMMYFUNCTION("""COMPUTED_VALUE"""),"Dây chuyền gia công Ca B")</f>
        <v>Dây chuyền gia công Ca B</v>
      </c>
      <c r="E587" s="7" t="str">
        <f>IFERROR(__xludf.DUMMYFUNCTION("""COMPUTED_VALUE"""),"VH chính máy in KTS")</f>
        <v>VH chính máy in KTS</v>
      </c>
      <c r="F587" s="7" t="str">
        <f>IFERROR(__xludf.DUMMYFUNCTION("""COMPUTED_VALUE"""),"NV3835")</f>
        <v>NV3835</v>
      </c>
      <c r="G587" s="7">
        <f>IFERROR(__xludf.DUMMYFUNCTION("""COMPUTED_VALUE"""),371.0)</f>
        <v>371</v>
      </c>
      <c r="H587" s="7" t="str">
        <f>IFERROR(__xludf.DUMMYFUNCTION("""COMPUTED_VALUE"""),"Lê Đình Huy")</f>
        <v>Lê Đình Huy</v>
      </c>
      <c r="I587" s="7" t="str">
        <f>IFERROR(__xludf.DUMMYFUNCTION("""COMPUTED_VALUE"""),"Nam")</f>
        <v>Nam</v>
      </c>
      <c r="J587" s="17">
        <f>IFERROR(__xludf.DUMMYFUNCTION("""COMPUTED_VALUE"""),31543.0)</f>
        <v>31543</v>
      </c>
      <c r="K587" s="7" t="str">
        <f>IFERROR(__xludf.DUMMYFUNCTION("""COMPUTED_VALUE"""),"Phố 5 -  Xã Đông Cương -  Thành phố Thanh Hóa - ")</f>
        <v>Phố 5 -  Xã Đông Cương -  Thành phố Thanh Hóa - </v>
      </c>
      <c r="L587" s="7" t="str">
        <f>IFERROR(__xludf.DUMMYFUNCTION("""COMPUTED_VALUE"""),"0904714424")</f>
        <v>0904714424</v>
      </c>
      <c r="M587" s="7" t="str">
        <f>IFERROR(__xludf.DUMMYFUNCTION("""COMPUTED_VALUE"""),"038086000518")</f>
        <v>038086000518</v>
      </c>
      <c r="N587" s="19">
        <f>IFERROR(__xludf.DUMMYFUNCTION("""COMPUTED_VALUE"""),44285.0)</f>
        <v>44285</v>
      </c>
      <c r="O587" s="7" t="str">
        <f>IFERROR(__xludf.DUMMYFUNCTION("""COMPUTED_VALUE"""),"Cục Cảnh sát QLHC về TTXH")</f>
        <v>Cục Cảnh sát QLHC về TTXH</v>
      </c>
      <c r="P587" s="7" t="str">
        <f>IFERROR(__xludf.DUMMYFUNCTION("""COMPUTED_VALUE"""),"Cử nhân")</f>
        <v>Cử nhân</v>
      </c>
      <c r="Q587" s="7" t="str">
        <f>IFERROR(__xludf.DUMMYFUNCTION("""COMPUTED_VALUE"""),"Cử nhân")</f>
        <v>Cử nhân</v>
      </c>
      <c r="R587" s="17">
        <f>IFERROR(__xludf.DUMMYFUNCTION("""COMPUTED_VALUE"""),44463.0)</f>
        <v>44463</v>
      </c>
      <c r="S587" s="17">
        <f>IFERROR(__xludf.DUMMYFUNCTION("""COMPUTED_VALUE"""),44682.0)</f>
        <v>44682</v>
      </c>
      <c r="T587" s="7" t="str">
        <f>IFERROR(__xludf.DUMMYFUNCTION("""COMPUTED_VALUE"""),"Chính thức")</f>
        <v>Chính thức</v>
      </c>
      <c r="U587" s="7"/>
      <c r="V587" s="7" t="str">
        <f>IFERROR(__xludf.DUMMYFUNCTION("""COMPUTED_VALUE"""),"Chính thức")</f>
        <v>Chính thức</v>
      </c>
      <c r="W587" s="7" t="str">
        <f>IFERROR(__xludf.DUMMYFUNCTION("""COMPUTED_VALUE"""),"4 năm 3 tháng")</f>
        <v>4 năm 3 tháng</v>
      </c>
      <c r="X587" s="7"/>
      <c r="Y587" s="7"/>
      <c r="Z587" s="7"/>
    </row>
    <row r="588">
      <c r="A588" s="7">
        <f>IFERROR(__xludf.DUMMYFUNCTION("""COMPUTED_VALUE"""),8.0)</f>
        <v>8</v>
      </c>
      <c r="B588" s="7" t="str">
        <f>IFERROR(__xludf.DUMMYFUNCTION("""COMPUTED_VALUE"""),"DC5-PXSX2")</f>
        <v>DC5-PXSX2</v>
      </c>
      <c r="C588" s="7" t="str">
        <f>IFERROR(__xludf.DUMMYFUNCTION("""COMPUTED_VALUE"""),"Bộ phận Dây chuyền gia công và Lò nung")</f>
        <v>Bộ phận Dây chuyền gia công và Lò nung</v>
      </c>
      <c r="D588" s="7" t="str">
        <f>IFERROR(__xludf.DUMMYFUNCTION("""COMPUTED_VALUE"""),"Dây chuyền gia công Ca B")</f>
        <v>Dây chuyền gia công Ca B</v>
      </c>
      <c r="E588" s="7" t="str">
        <f>IFERROR(__xludf.DUMMYFUNCTION("""COMPUTED_VALUE"""),"VH máy ép")</f>
        <v>VH máy ép</v>
      </c>
      <c r="F588" s="7" t="str">
        <f>IFERROR(__xludf.DUMMYFUNCTION("""COMPUTED_VALUE"""),"NV5694")</f>
        <v>NV5694</v>
      </c>
      <c r="G588" s="7">
        <f>IFERROR(__xludf.DUMMYFUNCTION("""COMPUTED_VALUE"""),1187.0)</f>
        <v>1187</v>
      </c>
      <c r="H588" s="7" t="str">
        <f>IFERROR(__xludf.DUMMYFUNCTION("""COMPUTED_VALUE"""),"Nguyễn Trọng Đề")</f>
        <v>Nguyễn Trọng Đề</v>
      </c>
      <c r="I588" s="7" t="str">
        <f>IFERROR(__xludf.DUMMYFUNCTION("""COMPUTED_VALUE"""),"Nam")</f>
        <v>Nam</v>
      </c>
      <c r="J588" s="17">
        <f>IFERROR(__xludf.DUMMYFUNCTION("""COMPUTED_VALUE"""),33016.0)</f>
        <v>33016</v>
      </c>
      <c r="K588" s="7" t="str">
        <f>IFERROR(__xludf.DUMMYFUNCTION("""COMPUTED_VALUE"""),"Thôn Nga Linh -  Xã Quảng Bình - Tỉnh Thanh Hóa")</f>
        <v>Thôn Nga Linh -  Xã Quảng Bình - Tỉnh Thanh Hóa</v>
      </c>
      <c r="L588" s="7" t="str">
        <f>IFERROR(__xludf.DUMMYFUNCTION("""COMPUTED_VALUE"""),"0972356136")</f>
        <v>0972356136</v>
      </c>
      <c r="M588" s="7" t="str">
        <f>IFERROR(__xludf.DUMMYFUNCTION("""COMPUTED_VALUE"""),"038090038790")</f>
        <v>038090038790</v>
      </c>
      <c r="N588" s="19">
        <f>IFERROR(__xludf.DUMMYFUNCTION("""COMPUTED_VALUE"""),44887.0)</f>
        <v>44887</v>
      </c>
      <c r="O588" s="7" t="str">
        <f>IFERROR(__xludf.DUMMYFUNCTION("""COMPUTED_VALUE"""),"Cục Cảnh sát QLHC về TTXH")</f>
        <v>Cục Cảnh sát QLHC về TTXH</v>
      </c>
      <c r="P588" s="7" t="str">
        <f>IFERROR(__xludf.DUMMYFUNCTION("""COMPUTED_VALUE"""),"LĐPT")</f>
        <v>LĐPT</v>
      </c>
      <c r="Q588" s="7" t="str">
        <f>IFERROR(__xludf.DUMMYFUNCTION("""COMPUTED_VALUE"""),"Lao động phổ thông")</f>
        <v>Lao động phổ thông</v>
      </c>
      <c r="R588" s="17">
        <f>IFERROR(__xludf.DUMMYFUNCTION("""COMPUTED_VALUE"""),45908.0)</f>
        <v>45908</v>
      </c>
      <c r="S588" s="17">
        <f>IFERROR(__xludf.DUMMYFUNCTION("""COMPUTED_VALUE"""),45938.0)</f>
        <v>45938</v>
      </c>
      <c r="T588" s="7" t="str">
        <f>IFERROR(__xludf.DUMMYFUNCTION("""COMPUTED_VALUE"""),"Chính thức")</f>
        <v>Chính thức</v>
      </c>
      <c r="U588" s="7"/>
      <c r="V588" s="7" t="str">
        <f>IFERROR(__xludf.DUMMYFUNCTION("""COMPUTED_VALUE"""),"Chính thức")</f>
        <v>Chính thức</v>
      </c>
      <c r="W588" s="7" t="str">
        <f>IFERROR(__xludf.DUMMYFUNCTION("""COMPUTED_VALUE"""),"0 năm 3 tháng")</f>
        <v>0 năm 3 tháng</v>
      </c>
      <c r="X588" s="7"/>
      <c r="Y588" s="7"/>
      <c r="Z588" s="7"/>
    </row>
    <row r="589">
      <c r="A589" s="7">
        <f>IFERROR(__xludf.DUMMYFUNCTION("""COMPUTED_VALUE"""),9.0)</f>
        <v>9</v>
      </c>
      <c r="B589" s="7" t="str">
        <f>IFERROR(__xludf.DUMMYFUNCTION("""COMPUTED_VALUE"""),"DC5-PXSX2")</f>
        <v>DC5-PXSX2</v>
      </c>
      <c r="C589" s="7" t="str">
        <f>IFERROR(__xludf.DUMMYFUNCTION("""COMPUTED_VALUE"""),"Bộ phận Dây chuyền gia công và Lò nung")</f>
        <v>Bộ phận Dây chuyền gia công và Lò nung</v>
      </c>
      <c r="D589" s="7" t="str">
        <f>IFERROR(__xludf.DUMMYFUNCTION("""COMPUTED_VALUE"""),"Dây chuyền gia công Ca B")</f>
        <v>Dây chuyền gia công Ca B</v>
      </c>
      <c r="E589" s="7"/>
      <c r="F589" s="7" t="str">
        <f>IFERROR(__xludf.DUMMYFUNCTION("""COMPUTED_VALUE"""),"NV5803")</f>
        <v>NV5803</v>
      </c>
      <c r="G589" s="7">
        <f>IFERROR(__xludf.DUMMYFUNCTION("""COMPUTED_VALUE"""),1285.0)</f>
        <v>1285</v>
      </c>
      <c r="H589" s="7" t="str">
        <f>IFERROR(__xludf.DUMMYFUNCTION("""COMPUTED_VALUE"""),"Lê Trọng Hoài")</f>
        <v>Lê Trọng Hoài</v>
      </c>
      <c r="I589" s="7" t="str">
        <f>IFERROR(__xludf.DUMMYFUNCTION("""COMPUTED_VALUE"""),"Nam")</f>
        <v>Nam</v>
      </c>
      <c r="J589" s="17">
        <f>IFERROR(__xludf.DUMMYFUNCTION("""COMPUTED_VALUE"""),38969.0)</f>
        <v>38969</v>
      </c>
      <c r="K589" s="7" t="str">
        <f>IFERROR(__xludf.DUMMYFUNCTION("""COMPUTED_VALUE"""),"TDP Sơn Hải - Phường Sầm Sơn - Tỉnh Thanh Hóa")</f>
        <v>TDP Sơn Hải - Phường Sầm Sơn - Tỉnh Thanh Hóa</v>
      </c>
      <c r="L589" s="7" t="str">
        <f>IFERROR(__xludf.DUMMYFUNCTION("""COMPUTED_VALUE"""),"0379332087")</f>
        <v>0379332087</v>
      </c>
      <c r="M589" s="7" t="str">
        <f>IFERROR(__xludf.DUMMYFUNCTION("""COMPUTED_VALUE"""),"038206012909")</f>
        <v>038206012909</v>
      </c>
      <c r="N589" s="19">
        <f>IFERROR(__xludf.DUMMYFUNCTION("""COMPUTED_VALUE"""),44419.0)</f>
        <v>44419</v>
      </c>
      <c r="O589" s="7" t="str">
        <f>IFERROR(__xludf.DUMMYFUNCTION("""COMPUTED_VALUE"""),"Cục Cảnh sát QLHC về TTXH")</f>
        <v>Cục Cảnh sát QLHC về TTXH</v>
      </c>
      <c r="P589" s="7" t="str">
        <f>IFERROR(__xludf.DUMMYFUNCTION("""COMPUTED_VALUE"""),"LĐPT")</f>
        <v>LĐPT</v>
      </c>
      <c r="Q589" s="7" t="str">
        <f>IFERROR(__xludf.DUMMYFUNCTION("""COMPUTED_VALUE"""),"Lao động phổ thông")</f>
        <v>Lao động phổ thông</v>
      </c>
      <c r="R589" s="17">
        <f>IFERROR(__xludf.DUMMYFUNCTION("""COMPUTED_VALUE"""),45973.0)</f>
        <v>45973</v>
      </c>
      <c r="S589" s="17">
        <f>IFERROR(__xludf.DUMMYFUNCTION("""COMPUTED_VALUE"""),46003.0)</f>
        <v>46003</v>
      </c>
      <c r="T589" s="7" t="str">
        <f>IFERROR(__xludf.DUMMYFUNCTION("""COMPUTED_VALUE"""),"Thử việc")</f>
        <v>Thử việc</v>
      </c>
      <c r="U589" s="7"/>
      <c r="V589" s="7" t="str">
        <f>IFERROR(__xludf.DUMMYFUNCTION("""COMPUTED_VALUE"""),"Thử việc")</f>
        <v>Thử việc</v>
      </c>
      <c r="W589" s="7" t="str">
        <f>IFERROR(__xludf.DUMMYFUNCTION("""COMPUTED_VALUE"""),"0 năm 1 tháng")</f>
        <v>0 năm 1 tháng</v>
      </c>
      <c r="X589" s="7"/>
      <c r="Y589" s="7"/>
      <c r="Z589" s="7"/>
    </row>
    <row r="590">
      <c r="A590" s="7">
        <f>IFERROR(__xludf.DUMMYFUNCTION("""COMPUTED_VALUE"""),1.0)</f>
        <v>1</v>
      </c>
      <c r="B590" s="7" t="str">
        <f>IFERROR(__xludf.DUMMYFUNCTION("""COMPUTED_VALUE"""),"DC5-PXSX2")</f>
        <v>DC5-PXSX2</v>
      </c>
      <c r="C590" s="7" t="str">
        <f>IFERROR(__xludf.DUMMYFUNCTION("""COMPUTED_VALUE"""),"Bộ phận Dây chuyền gia công và Lò nung")</f>
        <v>Bộ phận Dây chuyền gia công và Lò nung</v>
      </c>
      <c r="D590" s="7" t="str">
        <f>IFERROR(__xludf.DUMMYFUNCTION("""COMPUTED_VALUE"""),"Lò nung Ca A")</f>
        <v>Lò nung Ca A</v>
      </c>
      <c r="E590" s="7" t="str">
        <f>IFERROR(__xludf.DUMMYFUNCTION("""COMPUTED_VALUE"""),"Tổ phó")</f>
        <v>Tổ phó</v>
      </c>
      <c r="F590" s="7" t="str">
        <f>IFERROR(__xludf.DUMMYFUNCTION("""COMPUTED_VALUE"""),"NV0607")</f>
        <v>NV0607</v>
      </c>
      <c r="G590" s="7">
        <f>IFERROR(__xludf.DUMMYFUNCTION("""COMPUTED_VALUE"""),764.0)</f>
        <v>764</v>
      </c>
      <c r="H590" s="7" t="str">
        <f>IFERROR(__xludf.DUMMYFUNCTION("""COMPUTED_VALUE"""),"Lê Văn Thông")</f>
        <v>Lê Văn Thông</v>
      </c>
      <c r="I590" s="7" t="str">
        <f>IFERROR(__xludf.DUMMYFUNCTION("""COMPUTED_VALUE"""),"Nam")</f>
        <v>Nam</v>
      </c>
      <c r="J590" s="17">
        <f>IFERROR(__xludf.DUMMYFUNCTION("""COMPUTED_VALUE"""),31350.0)</f>
        <v>31350</v>
      </c>
      <c r="K590" s="7" t="str">
        <f>IFERROR(__xludf.DUMMYFUNCTION("""COMPUTED_VALUE"""),"Thôn Bột Trung -  Xã Hoằng Tân -  Huyện Hoằng Hóa -  Thanh Hóa - ")</f>
        <v>Thôn Bột Trung -  Xã Hoằng Tân -  Huyện Hoằng Hóa -  Thanh Hóa - </v>
      </c>
      <c r="L590" s="7" t="str">
        <f>IFERROR(__xludf.DUMMYFUNCTION("""COMPUTED_VALUE"""),"0342345918")</f>
        <v>0342345918</v>
      </c>
      <c r="M590" s="7" t="str">
        <f>IFERROR(__xludf.DUMMYFUNCTION("""COMPUTED_VALUE"""),"038085010617")</f>
        <v>038085010617</v>
      </c>
      <c r="N590" s="19">
        <f>IFERROR(__xludf.DUMMYFUNCTION("""COMPUTED_VALUE"""),44568.0)</f>
        <v>44568</v>
      </c>
      <c r="O590" s="7" t="str">
        <f>IFERROR(__xludf.DUMMYFUNCTION("""COMPUTED_VALUE"""),"Cục Cảnh sát QLHC về TTXH")</f>
        <v>Cục Cảnh sát QLHC về TTXH</v>
      </c>
      <c r="P590" s="7" t="str">
        <f>IFERROR(__xludf.DUMMYFUNCTION("""COMPUTED_VALUE"""),"LĐPT")</f>
        <v>LĐPT</v>
      </c>
      <c r="Q590" s="7" t="str">
        <f>IFERROR(__xludf.DUMMYFUNCTION("""COMPUTED_VALUE"""),"Lao động phổ thông")</f>
        <v>Lao động phổ thông</v>
      </c>
      <c r="R590" s="17">
        <f>IFERROR(__xludf.DUMMYFUNCTION("""COMPUTED_VALUE"""),39602.0)</f>
        <v>39602</v>
      </c>
      <c r="S590" s="17">
        <f>IFERROR(__xludf.DUMMYFUNCTION("""COMPUTED_VALUE"""),39602.0)</f>
        <v>39602</v>
      </c>
      <c r="T590" s="7" t="str">
        <f>IFERROR(__xludf.DUMMYFUNCTION("""COMPUTED_VALUE"""),"Chính thức")</f>
        <v>Chính thức</v>
      </c>
      <c r="U590" s="7"/>
      <c r="V590" s="7" t="str">
        <f>IFERROR(__xludf.DUMMYFUNCTION("""COMPUTED_VALUE"""),"Chính thức")</f>
        <v>Chính thức</v>
      </c>
      <c r="W590" s="7" t="str">
        <f>IFERROR(__xludf.DUMMYFUNCTION("""COMPUTED_VALUE"""),"17 năm 6 tháng")</f>
        <v>17 năm 6 tháng</v>
      </c>
      <c r="X590" s="7"/>
      <c r="Y590" s="7"/>
      <c r="Z590" s="7"/>
    </row>
    <row r="591">
      <c r="A591" s="7">
        <f>IFERROR(__xludf.DUMMYFUNCTION("""COMPUTED_VALUE"""),2.0)</f>
        <v>2</v>
      </c>
      <c r="B591" s="7" t="str">
        <f>IFERROR(__xludf.DUMMYFUNCTION("""COMPUTED_VALUE"""),"DC5-PXSX2")</f>
        <v>DC5-PXSX2</v>
      </c>
      <c r="C591" s="7" t="str">
        <f>IFERROR(__xludf.DUMMYFUNCTION("""COMPUTED_VALUE"""),"Bộ phận Dây chuyền gia công và Lò nung")</f>
        <v>Bộ phận Dây chuyền gia công và Lò nung</v>
      </c>
      <c r="D591" s="7" t="str">
        <f>IFERROR(__xludf.DUMMYFUNCTION("""COMPUTED_VALUE"""),"Lò nung Ca A")</f>
        <v>Lò nung Ca A</v>
      </c>
      <c r="E591" s="7" t="str">
        <f>IFERROR(__xludf.DUMMYFUNCTION("""COMPUTED_VALUE"""),"Tổ trưởng")</f>
        <v>Tổ trưởng</v>
      </c>
      <c r="F591" s="7" t="str">
        <f>IFERROR(__xludf.DUMMYFUNCTION("""COMPUTED_VALUE"""),"NV0620")</f>
        <v>NV0620</v>
      </c>
      <c r="G591" s="7">
        <f>IFERROR(__xludf.DUMMYFUNCTION("""COMPUTED_VALUE"""),414.0)</f>
        <v>414</v>
      </c>
      <c r="H591" s="7" t="str">
        <f>IFERROR(__xludf.DUMMYFUNCTION("""COMPUTED_VALUE"""),"Nguyễn Ngọc Hiếu")</f>
        <v>Nguyễn Ngọc Hiếu</v>
      </c>
      <c r="I591" s="7" t="str">
        <f>IFERROR(__xludf.DUMMYFUNCTION("""COMPUTED_VALUE"""),"Nam")</f>
        <v>Nam</v>
      </c>
      <c r="J591" s="17">
        <f>IFERROR(__xludf.DUMMYFUNCTION("""COMPUTED_VALUE"""),33008.0)</f>
        <v>33008</v>
      </c>
      <c r="K591" s="7" t="str">
        <f>IFERROR(__xludf.DUMMYFUNCTION("""COMPUTED_VALUE"""),"Thôn Phúc Thọ -  Xã Quảng Tâm -  Thành phố Thanh Hóa")</f>
        <v>Thôn Phúc Thọ -  Xã Quảng Tâm -  Thành phố Thanh Hóa</v>
      </c>
      <c r="L591" s="7" t="str">
        <f>IFERROR(__xludf.DUMMYFUNCTION("""COMPUTED_VALUE"""),"0988578791")</f>
        <v>0988578791</v>
      </c>
      <c r="M591" s="7" t="str">
        <f>IFERROR(__xludf.DUMMYFUNCTION("""COMPUTED_VALUE"""),"038090013096")</f>
        <v>038090013096</v>
      </c>
      <c r="N591" s="19">
        <f>IFERROR(__xludf.DUMMYFUNCTION("""COMPUTED_VALUE"""),44422.0)</f>
        <v>44422</v>
      </c>
      <c r="O591" s="7" t="str">
        <f>IFERROR(__xludf.DUMMYFUNCTION("""COMPUTED_VALUE"""),"Cục Cảnh sát QLHC về TTXH")</f>
        <v>Cục Cảnh sát QLHC về TTXH</v>
      </c>
      <c r="P591" s="7" t="str">
        <f>IFERROR(__xludf.DUMMYFUNCTION("""COMPUTED_VALUE"""),"LĐPT")</f>
        <v>LĐPT</v>
      </c>
      <c r="Q591" s="7" t="str">
        <f>IFERROR(__xludf.DUMMYFUNCTION("""COMPUTED_VALUE"""),"Lao động phổ thông")</f>
        <v>Lao động phổ thông</v>
      </c>
      <c r="R591" s="17">
        <f>IFERROR(__xludf.DUMMYFUNCTION("""COMPUTED_VALUE"""),42486.0)</f>
        <v>42486</v>
      </c>
      <c r="S591" s="17">
        <f>IFERROR(__xludf.DUMMYFUNCTION("""COMPUTED_VALUE"""),42856.0)</f>
        <v>42856</v>
      </c>
      <c r="T591" s="7" t="str">
        <f>IFERROR(__xludf.DUMMYFUNCTION("""COMPUTED_VALUE"""),"Chính thức")</f>
        <v>Chính thức</v>
      </c>
      <c r="U591" s="7"/>
      <c r="V591" s="7" t="str">
        <f>IFERROR(__xludf.DUMMYFUNCTION("""COMPUTED_VALUE"""),"Chính thức")</f>
        <v>Chính thức</v>
      </c>
      <c r="W591" s="7" t="str">
        <f>IFERROR(__xludf.DUMMYFUNCTION("""COMPUTED_VALUE"""),"9 năm 8 tháng")</f>
        <v>9 năm 8 tháng</v>
      </c>
      <c r="X591" s="7"/>
      <c r="Y591" s="7"/>
      <c r="Z591" s="7"/>
    </row>
    <row r="592">
      <c r="A592" s="7">
        <f>IFERROR(__xludf.DUMMYFUNCTION("""COMPUTED_VALUE"""),3.0)</f>
        <v>3</v>
      </c>
      <c r="B592" s="7" t="str">
        <f>IFERROR(__xludf.DUMMYFUNCTION("""COMPUTED_VALUE"""),"DC5-PXSX2")</f>
        <v>DC5-PXSX2</v>
      </c>
      <c r="C592" s="7" t="str">
        <f>IFERROR(__xludf.DUMMYFUNCTION("""COMPUTED_VALUE"""),"Bộ phận Dây chuyền gia công và Lò nung")</f>
        <v>Bộ phận Dây chuyền gia công và Lò nung</v>
      </c>
      <c r="D592" s="7" t="str">
        <f>IFERROR(__xludf.DUMMYFUNCTION("""COMPUTED_VALUE"""),"Lò nung Ca A")</f>
        <v>Lò nung Ca A</v>
      </c>
      <c r="E592" s="7" t="str">
        <f>IFERROR(__xludf.DUMMYFUNCTION("""COMPUTED_VALUE"""),"VHC lò men")</f>
        <v>VHC lò men</v>
      </c>
      <c r="F592" s="7" t="str">
        <f>IFERROR(__xludf.DUMMYFUNCTION("""COMPUTED_VALUE"""),"NV0879")</f>
        <v>NV0879</v>
      </c>
      <c r="G592" s="7">
        <f>IFERROR(__xludf.DUMMYFUNCTION("""COMPUTED_VALUE"""),417.0)</f>
        <v>417</v>
      </c>
      <c r="H592" s="7" t="str">
        <f>IFERROR(__xludf.DUMMYFUNCTION("""COMPUTED_VALUE"""),"Lê Minh Chung")</f>
        <v>Lê Minh Chung</v>
      </c>
      <c r="I592" s="7" t="str">
        <f>IFERROR(__xludf.DUMMYFUNCTION("""COMPUTED_VALUE"""),"Nam")</f>
        <v>Nam</v>
      </c>
      <c r="J592" s="17">
        <f>IFERROR(__xludf.DUMMYFUNCTION("""COMPUTED_VALUE"""),28887.0)</f>
        <v>28887</v>
      </c>
      <c r="K592" s="7" t="str">
        <f>IFERROR(__xludf.DUMMYFUNCTION("""COMPUTED_VALUE"""),"Phố Lai Thành -  Xã Đông Hải -  Thành phố Thanh Hóa -  Thanh Hóa -  Việt Nam")</f>
        <v>Phố Lai Thành -  Xã Đông Hải -  Thành phố Thanh Hóa -  Thanh Hóa -  Việt Nam</v>
      </c>
      <c r="L592" s="7" t="str">
        <f>IFERROR(__xludf.DUMMYFUNCTION("""COMPUTED_VALUE"""),"0941898099")</f>
        <v>0941898099</v>
      </c>
      <c r="M592" s="7" t="str">
        <f>IFERROR(__xludf.DUMMYFUNCTION("""COMPUTED_VALUE"""),"038079027286")</f>
        <v>038079027286</v>
      </c>
      <c r="N592" s="19">
        <f>IFERROR(__xludf.DUMMYFUNCTION("""COMPUTED_VALUE"""),44422.0)</f>
        <v>44422</v>
      </c>
      <c r="O592" s="7" t="str">
        <f>IFERROR(__xludf.DUMMYFUNCTION("""COMPUTED_VALUE"""),"Cục Cảnh sát QLHC về TTXH")</f>
        <v>Cục Cảnh sát QLHC về TTXH</v>
      </c>
      <c r="P592" s="7" t="str">
        <f>IFERROR(__xludf.DUMMYFUNCTION("""COMPUTED_VALUE"""),"LĐPT")</f>
        <v>LĐPT</v>
      </c>
      <c r="Q592" s="7" t="str">
        <f>IFERROR(__xludf.DUMMYFUNCTION("""COMPUTED_VALUE"""),"Lao động phổ thông")</f>
        <v>Lao động phổ thông</v>
      </c>
      <c r="R592" s="17">
        <f>IFERROR(__xludf.DUMMYFUNCTION("""COMPUTED_VALUE"""),42788.0)</f>
        <v>42788</v>
      </c>
      <c r="S592" s="17">
        <f>IFERROR(__xludf.DUMMYFUNCTION("""COMPUTED_VALUE"""),43106.0)</f>
        <v>43106</v>
      </c>
      <c r="T592" s="7" t="str">
        <f>IFERROR(__xludf.DUMMYFUNCTION("""COMPUTED_VALUE"""),"Chính thức")</f>
        <v>Chính thức</v>
      </c>
      <c r="U592" s="7"/>
      <c r="V592" s="7" t="str">
        <f>IFERROR(__xludf.DUMMYFUNCTION("""COMPUTED_VALUE"""),"Chính thức")</f>
        <v>Chính thức</v>
      </c>
      <c r="W592" s="7" t="str">
        <f>IFERROR(__xludf.DUMMYFUNCTION("""COMPUTED_VALUE"""),"8 năm 10 tháng")</f>
        <v>8 năm 10 tháng</v>
      </c>
      <c r="X592" s="7"/>
      <c r="Y592" s="7"/>
      <c r="Z592" s="7"/>
    </row>
    <row r="593">
      <c r="A593" s="7">
        <f>IFERROR(__xludf.DUMMYFUNCTION("""COMPUTED_VALUE"""),4.0)</f>
        <v>4</v>
      </c>
      <c r="B593" s="7" t="str">
        <f>IFERROR(__xludf.DUMMYFUNCTION("""COMPUTED_VALUE"""),"DC5-PXSX2")</f>
        <v>DC5-PXSX2</v>
      </c>
      <c r="C593" s="7" t="str">
        <f>IFERROR(__xludf.DUMMYFUNCTION("""COMPUTED_VALUE"""),"Bộ phận Dây chuyền gia công và Lò nung")</f>
        <v>Bộ phận Dây chuyền gia công và Lò nung</v>
      </c>
      <c r="D593" s="7" t="str">
        <f>IFERROR(__xludf.DUMMYFUNCTION("""COMPUTED_VALUE"""),"Lò nung Ca A")</f>
        <v>Lò nung Ca A</v>
      </c>
      <c r="E593" s="7" t="str">
        <f>IFERROR(__xludf.DUMMYFUNCTION("""COMPUTED_VALUE"""),"VHC lò xương")</f>
        <v>VHC lò xương</v>
      </c>
      <c r="F593" s="7" t="str">
        <f>IFERROR(__xludf.DUMMYFUNCTION("""COMPUTED_VALUE"""),"NV5438")</f>
        <v>NV5438</v>
      </c>
      <c r="G593" s="7">
        <f>IFERROR(__xludf.DUMMYFUNCTION("""COMPUTED_VALUE"""),898.0)</f>
        <v>898</v>
      </c>
      <c r="H593" s="7" t="str">
        <f>IFERROR(__xludf.DUMMYFUNCTION("""COMPUTED_VALUE"""),"Hoàng Khắc Trường")</f>
        <v>Hoàng Khắc Trường</v>
      </c>
      <c r="I593" s="7" t="str">
        <f>IFERROR(__xludf.DUMMYFUNCTION("""COMPUTED_VALUE"""),"Nam")</f>
        <v>Nam</v>
      </c>
      <c r="J593" s="17">
        <f>IFERROR(__xludf.DUMMYFUNCTION("""COMPUTED_VALUE"""),38215.0)</f>
        <v>38215</v>
      </c>
      <c r="K593" s="7" t="str">
        <f>IFERROR(__xludf.DUMMYFUNCTION("""COMPUTED_VALUE"""),"Thôn Quan Trung 3 - Xã Thiệu Tiến - Huyện Thiệu Hóa - Tỉnh Thanh Hóa")</f>
        <v>Thôn Quan Trung 3 - Xã Thiệu Tiến - Huyện Thiệu Hóa - Tỉnh Thanh Hóa</v>
      </c>
      <c r="L593" s="7" t="str">
        <f>IFERROR(__xludf.DUMMYFUNCTION("""COMPUTED_VALUE"""),"0564667838")</f>
        <v>0564667838</v>
      </c>
      <c r="M593" s="7" t="str">
        <f>IFERROR(__xludf.DUMMYFUNCTION("""COMPUTED_VALUE"""),"038204007828")</f>
        <v>038204007828</v>
      </c>
      <c r="N593" s="19">
        <f>IFERROR(__xludf.DUMMYFUNCTION("""COMPUTED_VALUE"""),44420.0)</f>
        <v>44420</v>
      </c>
      <c r="O593" s="7" t="str">
        <f>IFERROR(__xludf.DUMMYFUNCTION("""COMPUTED_VALUE"""),"Cục Cảnh sát QLHC về TTXH")</f>
        <v>Cục Cảnh sát QLHC về TTXH</v>
      </c>
      <c r="P593" s="7" t="str">
        <f>IFERROR(__xludf.DUMMYFUNCTION("""COMPUTED_VALUE"""),"LĐPT")</f>
        <v>LĐPT</v>
      </c>
      <c r="Q593" s="7" t="str">
        <f>IFERROR(__xludf.DUMMYFUNCTION("""COMPUTED_VALUE"""),"Lao động phổ thông")</f>
        <v>Lao động phổ thông</v>
      </c>
      <c r="R593" s="17">
        <f>IFERROR(__xludf.DUMMYFUNCTION("""COMPUTED_VALUE"""),45740.0)</f>
        <v>45740</v>
      </c>
      <c r="S593" s="17">
        <f>IFERROR(__xludf.DUMMYFUNCTION("""COMPUTED_VALUE"""),45787.0)</f>
        <v>45787</v>
      </c>
      <c r="T593" s="7" t="str">
        <f>IFERROR(__xludf.DUMMYFUNCTION("""COMPUTED_VALUE"""),"Chính thức")</f>
        <v>Chính thức</v>
      </c>
      <c r="U593" s="7"/>
      <c r="V593" s="7" t="str">
        <f>IFERROR(__xludf.DUMMYFUNCTION("""COMPUTED_VALUE"""),"Chính thức")</f>
        <v>Chính thức</v>
      </c>
      <c r="W593" s="7" t="str">
        <f>IFERROR(__xludf.DUMMYFUNCTION("""COMPUTED_VALUE"""),"0 năm 9 tháng")</f>
        <v>0 năm 9 tháng</v>
      </c>
      <c r="X593" s="7"/>
      <c r="Y593" s="7"/>
      <c r="Z593" s="7"/>
    </row>
    <row r="594">
      <c r="A594" s="7">
        <f>IFERROR(__xludf.DUMMYFUNCTION("""COMPUTED_VALUE"""),5.0)</f>
        <v>5</v>
      </c>
      <c r="B594" s="7" t="str">
        <f>IFERROR(__xludf.DUMMYFUNCTION("""COMPUTED_VALUE"""),"DC5-PXSX2")</f>
        <v>DC5-PXSX2</v>
      </c>
      <c r="C594" s="7" t="str">
        <f>IFERROR(__xludf.DUMMYFUNCTION("""COMPUTED_VALUE"""),"Bộ phận Dây chuyền gia công và Lò nung")</f>
        <v>Bộ phận Dây chuyền gia công và Lò nung</v>
      </c>
      <c r="D594" s="7" t="str">
        <f>IFERROR(__xludf.DUMMYFUNCTION("""COMPUTED_VALUE"""),"Lò nung Ca A")</f>
        <v>Lò nung Ca A</v>
      </c>
      <c r="E594" s="7" t="str">
        <f>IFERROR(__xludf.DUMMYFUNCTION("""COMPUTED_VALUE"""),"VH bảo trì lò Xương - Men")</f>
        <v>VH bảo trì lò Xương - Men</v>
      </c>
      <c r="F594" s="7" t="str">
        <f>IFERROR(__xludf.DUMMYFUNCTION("""COMPUTED_VALUE"""),"NV5508")</f>
        <v>NV5508</v>
      </c>
      <c r="G594" s="7">
        <f>IFERROR(__xludf.DUMMYFUNCTION("""COMPUTED_VALUE"""),991.0)</f>
        <v>991</v>
      </c>
      <c r="H594" s="7" t="str">
        <f>IFERROR(__xludf.DUMMYFUNCTION("""COMPUTED_VALUE"""),"Đỗ Văn Cương")</f>
        <v>Đỗ Văn Cương</v>
      </c>
      <c r="I594" s="7" t="str">
        <f>IFERROR(__xludf.DUMMYFUNCTION("""COMPUTED_VALUE"""),"Nam")</f>
        <v>Nam</v>
      </c>
      <c r="J594" s="17">
        <f>IFERROR(__xludf.DUMMYFUNCTION("""COMPUTED_VALUE"""),31079.0)</f>
        <v>31079</v>
      </c>
      <c r="K594" s="7" t="str">
        <f>IFERROR(__xludf.DUMMYFUNCTION("""COMPUTED_VALUE"""),"Phường Trúc Lâm - Tỉnh Thanh Hóa")</f>
        <v>Phường Trúc Lâm - Tỉnh Thanh Hóa</v>
      </c>
      <c r="L594" s="7" t="str">
        <f>IFERROR(__xludf.DUMMYFUNCTION("""COMPUTED_VALUE"""),"0329888740")</f>
        <v>0329888740</v>
      </c>
      <c r="M594" s="7" t="str">
        <f>IFERROR(__xludf.DUMMYFUNCTION("""COMPUTED_VALUE"""),"038202015573")</f>
        <v>038202015573</v>
      </c>
      <c r="N594" s="19">
        <f>IFERROR(__xludf.DUMMYFUNCTION("""COMPUTED_VALUE"""),44423.0)</f>
        <v>44423</v>
      </c>
      <c r="O594" s="7" t="str">
        <f>IFERROR(__xludf.DUMMYFUNCTION("""COMPUTED_VALUE"""),"Cục Cảnh sát QLHC về TTXH")</f>
        <v>Cục Cảnh sát QLHC về TTXH</v>
      </c>
      <c r="P594" s="7" t="str">
        <f>IFERROR(__xludf.DUMMYFUNCTION("""COMPUTED_VALUE"""),"LĐPT")</f>
        <v>LĐPT</v>
      </c>
      <c r="Q594" s="7" t="str">
        <f>IFERROR(__xludf.DUMMYFUNCTION("""COMPUTED_VALUE"""),"Lao động phổ thông")</f>
        <v>Lao động phổ thông</v>
      </c>
      <c r="R594" s="17">
        <f>IFERROR(__xludf.DUMMYFUNCTION("""COMPUTED_VALUE"""),45811.0)</f>
        <v>45811</v>
      </c>
      <c r="S594" s="17">
        <f>IFERROR(__xludf.DUMMYFUNCTION("""COMPUTED_VALUE"""),45841.0)</f>
        <v>45841</v>
      </c>
      <c r="T594" s="7" t="str">
        <f>IFERROR(__xludf.DUMMYFUNCTION("""COMPUTED_VALUE"""),"Chính thức")</f>
        <v>Chính thức</v>
      </c>
      <c r="U594" s="7"/>
      <c r="V594" s="7" t="str">
        <f>IFERROR(__xludf.DUMMYFUNCTION("""COMPUTED_VALUE"""),"Chính thức")</f>
        <v>Chính thức</v>
      </c>
      <c r="W594" s="7" t="str">
        <f>IFERROR(__xludf.DUMMYFUNCTION("""COMPUTED_VALUE"""),"0 năm 6 tháng")</f>
        <v>0 năm 6 tháng</v>
      </c>
      <c r="X594" s="7"/>
      <c r="Y594" s="7"/>
      <c r="Z594" s="7"/>
    </row>
    <row r="595">
      <c r="A595" s="7">
        <f>IFERROR(__xludf.DUMMYFUNCTION("""COMPUTED_VALUE"""),6.0)</f>
        <v>6</v>
      </c>
      <c r="B595" s="7" t="str">
        <f>IFERROR(__xludf.DUMMYFUNCTION("""COMPUTED_VALUE"""),"DC5-PXSX2")</f>
        <v>DC5-PXSX2</v>
      </c>
      <c r="C595" s="7" t="str">
        <f>IFERROR(__xludf.DUMMYFUNCTION("""COMPUTED_VALUE"""),"Bộ phận Dây chuyền gia công và Lò nung")</f>
        <v>Bộ phận Dây chuyền gia công và Lò nung</v>
      </c>
      <c r="D595" s="7" t="str">
        <f>IFERROR(__xludf.DUMMYFUNCTION("""COMPUTED_VALUE"""),"Lò nung Ca A")</f>
        <v>Lò nung Ca A</v>
      </c>
      <c r="E595" s="7" t="str">
        <f>IFERROR(__xludf.DUMMYFUNCTION("""COMPUTED_VALUE"""),"VHC lò xương")</f>
        <v>VHC lò xương</v>
      </c>
      <c r="F595" s="7" t="str">
        <f>IFERROR(__xludf.DUMMYFUNCTION("""COMPUTED_VALUE"""),"NV5569")</f>
        <v>NV5569</v>
      </c>
      <c r="G595" s="7">
        <f>IFERROR(__xludf.DUMMYFUNCTION("""COMPUTED_VALUE"""),1055.0)</f>
        <v>1055</v>
      </c>
      <c r="H595" s="7" t="str">
        <f>IFERROR(__xludf.DUMMYFUNCTION("""COMPUTED_VALUE"""),"Đào Quang Hiếu")</f>
        <v>Đào Quang Hiếu</v>
      </c>
      <c r="I595" s="7" t="str">
        <f>IFERROR(__xludf.DUMMYFUNCTION("""COMPUTED_VALUE"""),"Nam")</f>
        <v>Nam</v>
      </c>
      <c r="J595" s="17">
        <f>IFERROR(__xludf.DUMMYFUNCTION("""COMPUTED_VALUE"""),34168.0)</f>
        <v>34168</v>
      </c>
      <c r="K595" s="7" t="str">
        <f>IFERROR(__xludf.DUMMYFUNCTION("""COMPUTED_VALUE"""),"Xã Lưu Vệ - Tỉnh Thanh Hóa")</f>
        <v>Xã Lưu Vệ - Tỉnh Thanh Hóa</v>
      </c>
      <c r="L595" s="7" t="str">
        <f>IFERROR(__xludf.DUMMYFUNCTION("""COMPUTED_VALUE"""),"0355255995")</f>
        <v>0355255995</v>
      </c>
      <c r="M595" s="7" t="str">
        <f>IFERROR(__xludf.DUMMYFUNCTION("""COMPUTED_VALUE"""),"038093002549")</f>
        <v>038093002549</v>
      </c>
      <c r="N595" s="19">
        <f>IFERROR(__xludf.DUMMYFUNCTION("""COMPUTED_VALUE"""),45557.0)</f>
        <v>45557</v>
      </c>
      <c r="O595" s="7" t="str">
        <f>IFERROR(__xludf.DUMMYFUNCTION("""COMPUTED_VALUE"""),"Bộ công an")</f>
        <v>Bộ công an</v>
      </c>
      <c r="P595" s="7" t="str">
        <f>IFERROR(__xludf.DUMMYFUNCTION("""COMPUTED_VALUE"""),"LĐPT")</f>
        <v>LĐPT</v>
      </c>
      <c r="Q595" s="7" t="str">
        <f>IFERROR(__xludf.DUMMYFUNCTION("""COMPUTED_VALUE"""),"Lao động phổ thông")</f>
        <v>Lao động phổ thông</v>
      </c>
      <c r="R595" s="17">
        <f>IFERROR(__xludf.DUMMYFUNCTION("""COMPUTED_VALUE"""),45834.0)</f>
        <v>45834</v>
      </c>
      <c r="S595" s="17">
        <f>IFERROR(__xludf.DUMMYFUNCTION("""COMPUTED_VALUE"""),45864.0)</f>
        <v>45864</v>
      </c>
      <c r="T595" s="7" t="str">
        <f>IFERROR(__xludf.DUMMYFUNCTION("""COMPUTED_VALUE"""),"Chính thức")</f>
        <v>Chính thức</v>
      </c>
      <c r="U595" s="7"/>
      <c r="V595" s="7" t="str">
        <f>IFERROR(__xludf.DUMMYFUNCTION("""COMPUTED_VALUE"""),"Chính thức")</f>
        <v>Chính thức</v>
      </c>
      <c r="W595" s="7" t="str">
        <f>IFERROR(__xludf.DUMMYFUNCTION("""COMPUTED_VALUE"""),"0 năm 6 tháng")</f>
        <v>0 năm 6 tháng</v>
      </c>
      <c r="X595" s="7"/>
      <c r="Y595" s="7"/>
      <c r="Z595" s="7"/>
    </row>
    <row r="596">
      <c r="A596" s="7">
        <f>IFERROR(__xludf.DUMMYFUNCTION("""COMPUTED_VALUE"""),7.0)</f>
        <v>7</v>
      </c>
      <c r="B596" s="7" t="str">
        <f>IFERROR(__xludf.DUMMYFUNCTION("""COMPUTED_VALUE"""),"DC5-PXSX2")</f>
        <v>DC5-PXSX2</v>
      </c>
      <c r="C596" s="7" t="str">
        <f>IFERROR(__xludf.DUMMYFUNCTION("""COMPUTED_VALUE"""),"Bộ phận Dây chuyền gia công và Lò nung")</f>
        <v>Bộ phận Dây chuyền gia công và Lò nung</v>
      </c>
      <c r="D596" s="7" t="str">
        <f>IFERROR(__xludf.DUMMYFUNCTION("""COMPUTED_VALUE"""),"Lò nung Ca A")</f>
        <v>Lò nung Ca A</v>
      </c>
      <c r="E596" s="7"/>
      <c r="F596" s="7" t="str">
        <f>IFERROR(__xludf.DUMMYFUNCTION("""COMPUTED_VALUE"""),"NV5743")</f>
        <v>NV5743</v>
      </c>
      <c r="G596" s="7">
        <f>IFERROR(__xludf.DUMMYFUNCTION("""COMPUTED_VALUE"""),1224.0)</f>
        <v>1224</v>
      </c>
      <c r="H596" s="7" t="str">
        <f>IFERROR(__xludf.DUMMYFUNCTION("""COMPUTED_VALUE"""),"Hoàng Khắc Cảnh")</f>
        <v>Hoàng Khắc Cảnh</v>
      </c>
      <c r="I596" s="7" t="str">
        <f>IFERROR(__xludf.DUMMYFUNCTION("""COMPUTED_VALUE"""),"Nam")</f>
        <v>Nam</v>
      </c>
      <c r="J596" s="17">
        <f>IFERROR(__xludf.DUMMYFUNCTION("""COMPUTED_VALUE"""),32997.0)</f>
        <v>32997</v>
      </c>
      <c r="K596" s="7" t="str">
        <f>IFERROR(__xludf.DUMMYFUNCTION("""COMPUTED_VALUE"""),"Quang Trung 3 - Xã Thiệu Tiến - Tỉnh Thanh Hóa")</f>
        <v>Quang Trung 3 - Xã Thiệu Tiến - Tỉnh Thanh Hóa</v>
      </c>
      <c r="L596" s="7" t="str">
        <f>IFERROR(__xludf.DUMMYFUNCTION("""COMPUTED_VALUE"""),"0983965689")</f>
        <v>0983965689</v>
      </c>
      <c r="M596" s="7" t="str">
        <f>IFERROR(__xludf.DUMMYFUNCTION("""COMPUTED_VALUE"""),"038090002863")</f>
        <v>038090002863</v>
      </c>
      <c r="N596" s="19">
        <f>IFERROR(__xludf.DUMMYFUNCTION("""COMPUTED_VALUE"""),44420.0)</f>
        <v>44420</v>
      </c>
      <c r="O596" s="7" t="str">
        <f>IFERROR(__xludf.DUMMYFUNCTION("""COMPUTED_VALUE"""),"Cục Cảnh sát QLHC về TTXH")</f>
        <v>Cục Cảnh sát QLHC về TTXH</v>
      </c>
      <c r="P596" s="7" t="str">
        <f>IFERROR(__xludf.DUMMYFUNCTION("""COMPUTED_VALUE"""),"LĐPT")</f>
        <v>LĐPT</v>
      </c>
      <c r="Q596" s="7" t="str">
        <f>IFERROR(__xludf.DUMMYFUNCTION("""COMPUTED_VALUE"""),"Lao động phổ thông")</f>
        <v>Lao động phổ thông</v>
      </c>
      <c r="R596" s="17">
        <f>IFERROR(__xludf.DUMMYFUNCTION("""COMPUTED_VALUE"""),45934.0)</f>
        <v>45934</v>
      </c>
      <c r="S596" s="17">
        <f>IFERROR(__xludf.DUMMYFUNCTION("""COMPUTED_VALUE"""),45965.0)</f>
        <v>45965</v>
      </c>
      <c r="T596" s="7" t="str">
        <f>IFERROR(__xludf.DUMMYFUNCTION("""COMPUTED_VALUE"""),"Chính thức")</f>
        <v>Chính thức</v>
      </c>
      <c r="U596" s="7"/>
      <c r="V596" s="7" t="str">
        <f>IFERROR(__xludf.DUMMYFUNCTION("""COMPUTED_VALUE"""),"Chính thức")</f>
        <v>Chính thức</v>
      </c>
      <c r="W596" s="7" t="str">
        <f>IFERROR(__xludf.DUMMYFUNCTION("""COMPUTED_VALUE"""),"0 năm 2 tháng")</f>
        <v>0 năm 2 tháng</v>
      </c>
      <c r="X596" s="7"/>
      <c r="Y596" s="7"/>
      <c r="Z596" s="7"/>
    </row>
    <row r="597">
      <c r="A597" s="7">
        <f>IFERROR(__xludf.DUMMYFUNCTION("""COMPUTED_VALUE"""),8.0)</f>
        <v>8</v>
      </c>
      <c r="B597" s="7" t="str">
        <f>IFERROR(__xludf.DUMMYFUNCTION("""COMPUTED_VALUE"""),"DC5-PXSX2")</f>
        <v>DC5-PXSX2</v>
      </c>
      <c r="C597" s="7" t="str">
        <f>IFERROR(__xludf.DUMMYFUNCTION("""COMPUTED_VALUE"""),"Bộ phận Dây chuyền gia công và Lò nung")</f>
        <v>Bộ phận Dây chuyền gia công và Lò nung</v>
      </c>
      <c r="D597" s="7" t="str">
        <f>IFERROR(__xludf.DUMMYFUNCTION("""COMPUTED_VALUE"""),"Lò nung Ca A")</f>
        <v>Lò nung Ca A</v>
      </c>
      <c r="E597" s="7"/>
      <c r="F597" s="7" t="str">
        <f>IFERROR(__xludf.DUMMYFUNCTION("""COMPUTED_VALUE"""),"NV5789")</f>
        <v>NV5789</v>
      </c>
      <c r="G597" s="7">
        <f>IFERROR(__xludf.DUMMYFUNCTION("""COMPUTED_VALUE"""),1272.0)</f>
        <v>1272</v>
      </c>
      <c r="H597" s="7" t="str">
        <f>IFERROR(__xludf.DUMMYFUNCTION("""COMPUTED_VALUE"""),"Lê Thế Minh")</f>
        <v>Lê Thế Minh</v>
      </c>
      <c r="I597" s="7" t="str">
        <f>IFERROR(__xludf.DUMMYFUNCTION("""COMPUTED_VALUE"""),"Nam")</f>
        <v>Nam</v>
      </c>
      <c r="J597" s="17">
        <f>IFERROR(__xludf.DUMMYFUNCTION("""COMPUTED_VALUE"""),31828.0)</f>
        <v>31828</v>
      </c>
      <c r="K597" s="7" t="str">
        <f>IFERROR(__xludf.DUMMYFUNCTION("""COMPUTED_VALUE"""),"Thôn Hà Nội - Xã Hoằng Sơn - Tỉnh Thanh Hóa")</f>
        <v>Thôn Hà Nội - Xã Hoằng Sơn - Tỉnh Thanh Hóa</v>
      </c>
      <c r="L597" s="7" t="str">
        <f>IFERROR(__xludf.DUMMYFUNCTION("""COMPUTED_VALUE"""),"0826366620")</f>
        <v>0826366620</v>
      </c>
      <c r="M597" s="7" t="str">
        <f>IFERROR(__xludf.DUMMYFUNCTION("""COMPUTED_VALUE"""),"038087002917")</f>
        <v>038087002917</v>
      </c>
      <c r="N597" s="19">
        <f>IFERROR(__xludf.DUMMYFUNCTION("""COMPUTED_VALUE"""),44938.0)</f>
        <v>44938</v>
      </c>
      <c r="O597" s="7" t="str">
        <f>IFERROR(__xludf.DUMMYFUNCTION("""COMPUTED_VALUE"""),"Cục Cảnh sát QLHC về TTXH")</f>
        <v>Cục Cảnh sát QLHC về TTXH</v>
      </c>
      <c r="P597" s="7" t="str">
        <f>IFERROR(__xludf.DUMMYFUNCTION("""COMPUTED_VALUE"""),"LĐPT")</f>
        <v>LĐPT</v>
      </c>
      <c r="Q597" s="7" t="str">
        <f>IFERROR(__xludf.DUMMYFUNCTION("""COMPUTED_VALUE"""),"Lao động phổ thông")</f>
        <v>Lao động phổ thông</v>
      </c>
      <c r="R597" s="17">
        <f>IFERROR(__xludf.DUMMYFUNCTION("""COMPUTED_VALUE"""),45965.0)</f>
        <v>45965</v>
      </c>
      <c r="S597" s="17">
        <f>IFERROR(__xludf.DUMMYFUNCTION("""COMPUTED_VALUE"""),45995.0)</f>
        <v>45995</v>
      </c>
      <c r="T597" s="7" t="str">
        <f>IFERROR(__xludf.DUMMYFUNCTION("""COMPUTED_VALUE"""),"Thử việc")</f>
        <v>Thử việc</v>
      </c>
      <c r="U597" s="7"/>
      <c r="V597" s="7" t="str">
        <f>IFERROR(__xludf.DUMMYFUNCTION("""COMPUTED_VALUE"""),"Thử việc")</f>
        <v>Thử việc</v>
      </c>
      <c r="W597" s="7" t="str">
        <f>IFERROR(__xludf.DUMMYFUNCTION("""COMPUTED_VALUE"""),"0 năm 1 tháng")</f>
        <v>0 năm 1 tháng</v>
      </c>
      <c r="X597" s="7"/>
      <c r="Y597" s="7"/>
      <c r="Z597" s="7"/>
    </row>
    <row r="598">
      <c r="A598" s="7">
        <f>IFERROR(__xludf.DUMMYFUNCTION("""COMPUTED_VALUE"""),1.0)</f>
        <v>1</v>
      </c>
      <c r="B598" s="7" t="str">
        <f>IFERROR(__xludf.DUMMYFUNCTION("""COMPUTED_VALUE"""),"DC5-PXSX2")</f>
        <v>DC5-PXSX2</v>
      </c>
      <c r="C598" s="7" t="str">
        <f>IFERROR(__xludf.DUMMYFUNCTION("""COMPUTED_VALUE"""),"Bộ phận Dây chuyền gia công và Lò nung")</f>
        <v>Bộ phận Dây chuyền gia công và Lò nung</v>
      </c>
      <c r="D598" s="7" t="str">
        <f>IFERROR(__xludf.DUMMYFUNCTION("""COMPUTED_VALUE"""),"Lò nung Ca B")</f>
        <v>Lò nung Ca B</v>
      </c>
      <c r="E598" s="7" t="str">
        <f>IFERROR(__xludf.DUMMYFUNCTION("""COMPUTED_VALUE"""),"VH Bấm line")</f>
        <v>VH Bấm line</v>
      </c>
      <c r="F598" s="7" t="str">
        <f>IFERROR(__xludf.DUMMYFUNCTION("""COMPUTED_VALUE"""),"NV5170")</f>
        <v>NV5170</v>
      </c>
      <c r="G598" s="7">
        <f>IFERROR(__xludf.DUMMYFUNCTION("""COMPUTED_VALUE"""),354.0)</f>
        <v>354</v>
      </c>
      <c r="H598" s="7" t="str">
        <f>IFERROR(__xludf.DUMMYFUNCTION("""COMPUTED_VALUE"""),"Đàm Lê Lực")</f>
        <v>Đàm Lê Lực</v>
      </c>
      <c r="I598" s="7" t="str">
        <f>IFERROR(__xludf.DUMMYFUNCTION("""COMPUTED_VALUE"""),"Nam")</f>
        <v>Nam</v>
      </c>
      <c r="J598" s="17">
        <f>IFERROR(__xludf.DUMMYFUNCTION("""COMPUTED_VALUE"""),26208.0)</f>
        <v>26208</v>
      </c>
      <c r="K598" s="7" t="str">
        <f>IFERROR(__xludf.DUMMYFUNCTION("""COMPUTED_VALUE"""),"Phường Quảng Thịnh -  thành phố Thanh Hóa")</f>
        <v>Phường Quảng Thịnh -  thành phố Thanh Hóa</v>
      </c>
      <c r="L598" s="7" t="str">
        <f>IFERROR(__xludf.DUMMYFUNCTION("""COMPUTED_VALUE"""),"0815169202")</f>
        <v>0815169202</v>
      </c>
      <c r="M598" s="7" t="str">
        <f>IFERROR(__xludf.DUMMYFUNCTION("""COMPUTED_VALUE"""),"038071029798")</f>
        <v>038071029798</v>
      </c>
      <c r="N598" s="19">
        <f>IFERROR(__xludf.DUMMYFUNCTION("""COMPUTED_VALUE"""),44375.0)</f>
        <v>44375</v>
      </c>
      <c r="O598" s="7" t="str">
        <f>IFERROR(__xludf.DUMMYFUNCTION("""COMPUTED_VALUE"""),"Cục Cảnh sát QLHC về TTXH")</f>
        <v>Cục Cảnh sát QLHC về TTXH</v>
      </c>
      <c r="P598" s="7" t="str">
        <f>IFERROR(__xludf.DUMMYFUNCTION("""COMPUTED_VALUE"""),"Lao động phổ thông")</f>
        <v>Lao động phổ thông</v>
      </c>
      <c r="Q598" s="7" t="str">
        <f>IFERROR(__xludf.DUMMYFUNCTION("""COMPUTED_VALUE"""),"Lao động phổ thông")</f>
        <v>Lao động phổ thông</v>
      </c>
      <c r="R598" s="17">
        <f>IFERROR(__xludf.DUMMYFUNCTION("""COMPUTED_VALUE"""),45420.0)</f>
        <v>45420</v>
      </c>
      <c r="S598" s="17">
        <f>IFERROR(__xludf.DUMMYFUNCTION("""COMPUTED_VALUE"""),45597.0)</f>
        <v>45597</v>
      </c>
      <c r="T598" s="7" t="str">
        <f>IFERROR(__xludf.DUMMYFUNCTION("""COMPUTED_VALUE"""),"Chính thức")</f>
        <v>Chính thức</v>
      </c>
      <c r="U598" s="7"/>
      <c r="V598" s="7" t="str">
        <f>IFERROR(__xludf.DUMMYFUNCTION("""COMPUTED_VALUE"""),"Chính thức")</f>
        <v>Chính thức</v>
      </c>
      <c r="W598" s="7" t="str">
        <f>IFERROR(__xludf.DUMMYFUNCTION("""COMPUTED_VALUE"""),"1 năm 7 tháng")</f>
        <v>1 năm 7 tháng</v>
      </c>
      <c r="X598" s="7"/>
      <c r="Y598" s="7"/>
      <c r="Z598" s="7"/>
    </row>
    <row r="599">
      <c r="A599" s="7">
        <f>IFERROR(__xludf.DUMMYFUNCTION("""COMPUTED_VALUE"""),2.0)</f>
        <v>2</v>
      </c>
      <c r="B599" s="7" t="str">
        <f>IFERROR(__xludf.DUMMYFUNCTION("""COMPUTED_VALUE"""),"DC5-PXSX2")</f>
        <v>DC5-PXSX2</v>
      </c>
      <c r="C599" s="7" t="str">
        <f>IFERROR(__xludf.DUMMYFUNCTION("""COMPUTED_VALUE"""),"Bộ phận Dây chuyền gia công và Lò nung")</f>
        <v>Bộ phận Dây chuyền gia công và Lò nung</v>
      </c>
      <c r="D599" s="7" t="str">
        <f>IFERROR(__xludf.DUMMYFUNCTION("""COMPUTED_VALUE"""),"Lò nung Ca B")</f>
        <v>Lò nung Ca B</v>
      </c>
      <c r="E599" s="7" t="str">
        <f>IFERROR(__xludf.DUMMYFUNCTION("""COMPUTED_VALUE"""),"Tổ phó")</f>
        <v>Tổ phó</v>
      </c>
      <c r="F599" s="7" t="str">
        <f>IFERROR(__xludf.DUMMYFUNCTION("""COMPUTED_VALUE"""),"NV0623")</f>
        <v>NV0623</v>
      </c>
      <c r="G599" s="7">
        <f>IFERROR(__xludf.DUMMYFUNCTION("""COMPUTED_VALUE"""),619.0)</f>
        <v>619</v>
      </c>
      <c r="H599" s="7" t="str">
        <f>IFERROR(__xludf.DUMMYFUNCTION("""COMPUTED_VALUE"""),"Trần Văn Hệ")</f>
        <v>Trần Văn Hệ</v>
      </c>
      <c r="I599" s="7" t="str">
        <f>IFERROR(__xludf.DUMMYFUNCTION("""COMPUTED_VALUE"""),"Nam")</f>
        <v>Nam</v>
      </c>
      <c r="J599" s="17">
        <f>IFERROR(__xludf.DUMMYFUNCTION("""COMPUTED_VALUE"""),31340.0)</f>
        <v>31340</v>
      </c>
      <c r="K599" s="7" t="str">
        <f>IFERROR(__xludf.DUMMYFUNCTION("""COMPUTED_VALUE"""),"Xã Hải Lộc -  Huyện Hậu Lộc -  Thanh Hóa - ")</f>
        <v>Xã Hải Lộc -  Huyện Hậu Lộc -  Thanh Hóa - </v>
      </c>
      <c r="L599" s="7" t="str">
        <f>IFERROR(__xludf.DUMMYFUNCTION("""COMPUTED_VALUE"""),"0965650516")</f>
        <v>0965650516</v>
      </c>
      <c r="M599" s="7" t="str">
        <f>IFERROR(__xludf.DUMMYFUNCTION("""COMPUTED_VALUE"""),"038085041563")</f>
        <v>038085041563</v>
      </c>
      <c r="N599" s="19">
        <f>IFERROR(__xludf.DUMMYFUNCTION("""COMPUTED_VALUE"""),44375.0)</f>
        <v>44375</v>
      </c>
      <c r="O599" s="7" t="str">
        <f>IFERROR(__xludf.DUMMYFUNCTION("""COMPUTED_VALUE"""),"Cục Cảnh sát QLHC về TTXH")</f>
        <v>Cục Cảnh sát QLHC về TTXH</v>
      </c>
      <c r="P599" s="7" t="str">
        <f>IFERROR(__xludf.DUMMYFUNCTION("""COMPUTED_VALUE"""),"Cử nhân")</f>
        <v>Cử nhân</v>
      </c>
      <c r="Q599" s="7" t="str">
        <f>IFERROR(__xludf.DUMMYFUNCTION("""COMPUTED_VALUE"""),"Xã hội học")</f>
        <v>Xã hội học</v>
      </c>
      <c r="R599" s="17">
        <f>IFERROR(__xludf.DUMMYFUNCTION("""COMPUTED_VALUE"""),41597.0)</f>
        <v>41597</v>
      </c>
      <c r="S599" s="17">
        <f>IFERROR(__xludf.DUMMYFUNCTION("""COMPUTED_VALUE"""),41597.0)</f>
        <v>41597</v>
      </c>
      <c r="T599" s="7" t="str">
        <f>IFERROR(__xludf.DUMMYFUNCTION("""COMPUTED_VALUE"""),"Chính thức")</f>
        <v>Chính thức</v>
      </c>
      <c r="U599" s="7"/>
      <c r="V599" s="7" t="str">
        <f>IFERROR(__xludf.DUMMYFUNCTION("""COMPUTED_VALUE"""),"Chính thức")</f>
        <v>Chính thức</v>
      </c>
      <c r="W599" s="7" t="str">
        <f>IFERROR(__xludf.DUMMYFUNCTION("""COMPUTED_VALUE"""),"12 năm 1 tháng")</f>
        <v>12 năm 1 tháng</v>
      </c>
      <c r="X599" s="7"/>
      <c r="Y599" s="7"/>
      <c r="Z599" s="7"/>
    </row>
    <row r="600">
      <c r="A600" s="7">
        <f>IFERROR(__xludf.DUMMYFUNCTION("""COMPUTED_VALUE"""),3.0)</f>
        <v>3</v>
      </c>
      <c r="B600" s="7" t="str">
        <f>IFERROR(__xludf.DUMMYFUNCTION("""COMPUTED_VALUE"""),"DC5-PXSX2")</f>
        <v>DC5-PXSX2</v>
      </c>
      <c r="C600" s="7" t="str">
        <f>IFERROR(__xludf.DUMMYFUNCTION("""COMPUTED_VALUE"""),"Bộ phận Dây chuyền gia công và Lò nung")</f>
        <v>Bộ phận Dây chuyền gia công và Lò nung</v>
      </c>
      <c r="D600" s="7" t="str">
        <f>IFERROR(__xludf.DUMMYFUNCTION("""COMPUTED_VALUE"""),"Lò nung Ca B")</f>
        <v>Lò nung Ca B</v>
      </c>
      <c r="E600" s="7" t="str">
        <f>IFERROR(__xludf.DUMMYFUNCTION("""COMPUTED_VALUE"""),"VHC lò men")</f>
        <v>VHC lò men</v>
      </c>
      <c r="F600" s="7" t="str">
        <f>IFERROR(__xludf.DUMMYFUNCTION("""COMPUTED_VALUE"""),"NV0619")</f>
        <v>NV0619</v>
      </c>
      <c r="G600" s="7">
        <f>IFERROR(__xludf.DUMMYFUNCTION("""COMPUTED_VALUE"""),614.0)</f>
        <v>614</v>
      </c>
      <c r="H600" s="7" t="str">
        <f>IFERROR(__xludf.DUMMYFUNCTION("""COMPUTED_VALUE"""),"Lưu Trọng Hải")</f>
        <v>Lưu Trọng Hải</v>
      </c>
      <c r="I600" s="7" t="str">
        <f>IFERROR(__xludf.DUMMYFUNCTION("""COMPUTED_VALUE"""),"Nam")</f>
        <v>Nam</v>
      </c>
      <c r="J600" s="17">
        <f>IFERROR(__xludf.DUMMYFUNCTION("""COMPUTED_VALUE"""),33362.0)</f>
        <v>33362</v>
      </c>
      <c r="K600" s="7" t="str">
        <f>IFERROR(__xludf.DUMMYFUNCTION("""COMPUTED_VALUE"""),"Đông Khê -  Xã Hoằng Quỳ -  Huyện Hoằng Hóa -  Thanh Hóa -  Việt Nam")</f>
        <v>Đông Khê -  Xã Hoằng Quỳ -  Huyện Hoằng Hóa -  Thanh Hóa -  Việt Nam</v>
      </c>
      <c r="L600" s="7" t="str">
        <f>IFERROR(__xludf.DUMMYFUNCTION("""COMPUTED_VALUE"""),"0974450102")</f>
        <v>0974450102</v>
      </c>
      <c r="M600" s="7" t="str">
        <f>IFERROR(__xludf.DUMMYFUNCTION("""COMPUTED_VALUE"""),"038091048230")</f>
        <v>038091048230</v>
      </c>
      <c r="N600" s="19">
        <f>IFERROR(__xludf.DUMMYFUNCTION("""COMPUTED_VALUE"""),44420.0)</f>
        <v>44420</v>
      </c>
      <c r="O600" s="7" t="str">
        <f>IFERROR(__xludf.DUMMYFUNCTION("""COMPUTED_VALUE"""),"Cục Cảnh sát QLHC về TTXH")</f>
        <v>Cục Cảnh sát QLHC về TTXH</v>
      </c>
      <c r="P600" s="7" t="str">
        <f>IFERROR(__xludf.DUMMYFUNCTION("""COMPUTED_VALUE"""),"LĐPT")</f>
        <v>LĐPT</v>
      </c>
      <c r="Q600" s="7" t="str">
        <f>IFERROR(__xludf.DUMMYFUNCTION("""COMPUTED_VALUE"""),"Lao động phổ thông")</f>
        <v>Lao động phổ thông</v>
      </c>
      <c r="R600" s="17">
        <f>IFERROR(__xludf.DUMMYFUNCTION("""COMPUTED_VALUE"""),42064.0)</f>
        <v>42064</v>
      </c>
      <c r="S600" s="17">
        <f>IFERROR(__xludf.DUMMYFUNCTION("""COMPUTED_VALUE"""),42064.0)</f>
        <v>42064</v>
      </c>
      <c r="T600" s="7" t="str">
        <f>IFERROR(__xludf.DUMMYFUNCTION("""COMPUTED_VALUE"""),"Chính thức")</f>
        <v>Chính thức</v>
      </c>
      <c r="U600" s="7"/>
      <c r="V600" s="7" t="str">
        <f>IFERROR(__xludf.DUMMYFUNCTION("""COMPUTED_VALUE"""),"Chính thức")</f>
        <v>Chính thức</v>
      </c>
      <c r="W600" s="7" t="str">
        <f>IFERROR(__xludf.DUMMYFUNCTION("""COMPUTED_VALUE"""),"10 năm 9 tháng")</f>
        <v>10 năm 9 tháng</v>
      </c>
      <c r="X600" s="7"/>
      <c r="Y600" s="7"/>
      <c r="Z600" s="7"/>
    </row>
    <row r="601">
      <c r="A601" s="7">
        <f>IFERROR(__xludf.DUMMYFUNCTION("""COMPUTED_VALUE"""),4.0)</f>
        <v>4</v>
      </c>
      <c r="B601" s="7" t="str">
        <f>IFERROR(__xludf.DUMMYFUNCTION("""COMPUTED_VALUE"""),"DC5-PXSX2")</f>
        <v>DC5-PXSX2</v>
      </c>
      <c r="C601" s="7" t="str">
        <f>IFERROR(__xludf.DUMMYFUNCTION("""COMPUTED_VALUE"""),"Bộ phận Dây chuyền gia công và Lò nung")</f>
        <v>Bộ phận Dây chuyền gia công và Lò nung</v>
      </c>
      <c r="D601" s="7" t="str">
        <f>IFERROR(__xludf.DUMMYFUNCTION("""COMPUTED_VALUE"""),"Lò nung Ca B")</f>
        <v>Lò nung Ca B</v>
      </c>
      <c r="E601" s="7" t="str">
        <f>IFERROR(__xludf.DUMMYFUNCTION("""COMPUTED_VALUE"""),"VH bảo trì lò Xương - Men")</f>
        <v>VH bảo trì lò Xương - Men</v>
      </c>
      <c r="F601" s="7" t="str">
        <f>IFERROR(__xludf.DUMMYFUNCTION("""COMPUTED_VALUE"""),"NV3172")</f>
        <v>NV3172</v>
      </c>
      <c r="G601" s="7">
        <f>IFERROR(__xludf.DUMMYFUNCTION("""COMPUTED_VALUE"""),785.0)</f>
        <v>785</v>
      </c>
      <c r="H601" s="7" t="str">
        <f>IFERROR(__xludf.DUMMYFUNCTION("""COMPUTED_VALUE"""),"Đỗ Văn Thắng")</f>
        <v>Đỗ Văn Thắng</v>
      </c>
      <c r="I601" s="7" t="str">
        <f>IFERROR(__xludf.DUMMYFUNCTION("""COMPUTED_VALUE"""),"Nam")</f>
        <v>Nam</v>
      </c>
      <c r="J601" s="17">
        <f>IFERROR(__xludf.DUMMYFUNCTION("""COMPUTED_VALUE"""),32541.0)</f>
        <v>32541</v>
      </c>
      <c r="K601" s="7" t="str">
        <f>IFERROR(__xludf.DUMMYFUNCTION("""COMPUTED_VALUE"""),"Xã Quảng Định -  Huyện Quảng Xương -  Thanh Hóa -  Việt Nam")</f>
        <v>Xã Quảng Định -  Huyện Quảng Xương -  Thanh Hóa -  Việt Nam</v>
      </c>
      <c r="L601" s="7" t="str">
        <f>IFERROR(__xludf.DUMMYFUNCTION("""COMPUTED_VALUE"""),"0358616236")</f>
        <v>0358616236</v>
      </c>
      <c r="M601" s="7" t="str">
        <f>IFERROR(__xludf.DUMMYFUNCTION("""COMPUTED_VALUE"""),"038089008925")</f>
        <v>038089008925</v>
      </c>
      <c r="N601" s="19">
        <f>IFERROR(__xludf.DUMMYFUNCTION("""COMPUTED_VALUE"""),44442.0)</f>
        <v>44442</v>
      </c>
      <c r="O601" s="7" t="str">
        <f>IFERROR(__xludf.DUMMYFUNCTION("""COMPUTED_VALUE"""),"Cục Cảnh sát QLHC về TTXH")</f>
        <v>Cục Cảnh sát QLHC về TTXH</v>
      </c>
      <c r="P601" s="7" t="str">
        <f>IFERROR(__xludf.DUMMYFUNCTION("""COMPUTED_VALUE"""),"LĐPT")</f>
        <v>LĐPT</v>
      </c>
      <c r="Q601" s="7" t="str">
        <f>IFERROR(__xludf.DUMMYFUNCTION("""COMPUTED_VALUE"""),"Lao động phổ thông")</f>
        <v>Lao động phổ thông</v>
      </c>
      <c r="R601" s="17">
        <f>IFERROR(__xludf.DUMMYFUNCTION("""COMPUTED_VALUE"""),44042.0)</f>
        <v>44042</v>
      </c>
      <c r="S601" s="17">
        <f>IFERROR(__xludf.DUMMYFUNCTION("""COMPUTED_VALUE"""),44317.0)</f>
        <v>44317</v>
      </c>
      <c r="T601" s="7" t="str">
        <f>IFERROR(__xludf.DUMMYFUNCTION("""COMPUTED_VALUE"""),"Chính thức")</f>
        <v>Chính thức</v>
      </c>
      <c r="U601" s="7"/>
      <c r="V601" s="7" t="str">
        <f>IFERROR(__xludf.DUMMYFUNCTION("""COMPUTED_VALUE"""),"Chính thức")</f>
        <v>Chính thức</v>
      </c>
      <c r="W601" s="7" t="str">
        <f>IFERROR(__xludf.DUMMYFUNCTION("""COMPUTED_VALUE"""),"5 năm 5 tháng")</f>
        <v>5 năm 5 tháng</v>
      </c>
      <c r="X601" s="7"/>
      <c r="Y601" s="7"/>
      <c r="Z601" s="7"/>
    </row>
    <row r="602">
      <c r="A602" s="7">
        <f>IFERROR(__xludf.DUMMYFUNCTION("""COMPUTED_VALUE"""),5.0)</f>
        <v>5</v>
      </c>
      <c r="B602" s="7" t="str">
        <f>IFERROR(__xludf.DUMMYFUNCTION("""COMPUTED_VALUE"""),"DC5-PXSX2")</f>
        <v>DC5-PXSX2</v>
      </c>
      <c r="C602" s="7" t="str">
        <f>IFERROR(__xludf.DUMMYFUNCTION("""COMPUTED_VALUE"""),"Bộ phận Dây chuyền gia công và Lò nung")</f>
        <v>Bộ phận Dây chuyền gia công và Lò nung</v>
      </c>
      <c r="D602" s="7" t="str">
        <f>IFERROR(__xludf.DUMMYFUNCTION("""COMPUTED_VALUE"""),"Lò nung Ca B")</f>
        <v>Lò nung Ca B</v>
      </c>
      <c r="E602" s="7" t="str">
        <f>IFERROR(__xludf.DUMMYFUNCTION("""COMPUTED_VALUE"""),"VHC lò xương")</f>
        <v>VHC lò xương</v>
      </c>
      <c r="F602" s="7" t="str">
        <f>IFERROR(__xludf.DUMMYFUNCTION("""COMPUTED_VALUE"""),"NV4900")</f>
        <v>NV4900</v>
      </c>
      <c r="G602" s="7">
        <f>IFERROR(__xludf.DUMMYFUNCTION("""COMPUTED_VALUE"""),907.0)</f>
        <v>907</v>
      </c>
      <c r="H602" s="7" t="str">
        <f>IFERROR(__xludf.DUMMYFUNCTION("""COMPUTED_VALUE"""),"Lê Ngọc Quỳnh")</f>
        <v>Lê Ngọc Quỳnh</v>
      </c>
      <c r="I602" s="7" t="str">
        <f>IFERROR(__xludf.DUMMYFUNCTION("""COMPUTED_VALUE"""),"Nam")</f>
        <v>Nam</v>
      </c>
      <c r="J602" s="17">
        <f>IFERROR(__xludf.DUMMYFUNCTION("""COMPUTED_VALUE"""),32502.0)</f>
        <v>32502</v>
      </c>
      <c r="K602" s="7" t="str">
        <f>IFERROR(__xludf.DUMMYFUNCTION("""COMPUTED_VALUE"""),"Xã Xuân Hồng- Huyện Thọ Xuân- Tỉnh Thanh Hóa")</f>
        <v>Xã Xuân Hồng- Huyện Thọ Xuân- Tỉnh Thanh Hóa</v>
      </c>
      <c r="L602" s="7" t="str">
        <f>IFERROR(__xludf.DUMMYFUNCTION("""COMPUTED_VALUE"""),"0904712896")</f>
        <v>0904712896</v>
      </c>
      <c r="M602" s="7" t="str">
        <f>IFERROR(__xludf.DUMMYFUNCTION("""COMPUTED_VALUE"""),"038088001823")</f>
        <v>038088001823</v>
      </c>
      <c r="N602" s="19">
        <f>IFERROR(__xludf.DUMMYFUNCTION("""COMPUTED_VALUE"""),42585.0)</f>
        <v>42585</v>
      </c>
      <c r="O602" s="7" t="str">
        <f>IFERROR(__xludf.DUMMYFUNCTION("""COMPUTED_VALUE"""),"Cục Cảnh sát QLHC về TTXH")</f>
        <v>Cục Cảnh sát QLHC về TTXH</v>
      </c>
      <c r="P602" s="7" t="str">
        <f>IFERROR(__xludf.DUMMYFUNCTION("""COMPUTED_VALUE"""),"LĐPT")</f>
        <v>LĐPT</v>
      </c>
      <c r="Q602" s="7" t="str">
        <f>IFERROR(__xludf.DUMMYFUNCTION("""COMPUTED_VALUE"""),"Lao động phổ thông")</f>
        <v>Lao động phổ thông</v>
      </c>
      <c r="R602" s="17">
        <f>IFERROR(__xludf.DUMMYFUNCTION("""COMPUTED_VALUE"""),45749.0)</f>
        <v>45749</v>
      </c>
      <c r="S602" s="17">
        <f>IFERROR(__xludf.DUMMYFUNCTION("""COMPUTED_VALUE"""),45749.0)</f>
        <v>45749</v>
      </c>
      <c r="T602" s="7" t="str">
        <f>IFERROR(__xludf.DUMMYFUNCTION("""COMPUTED_VALUE"""),"Chính thức")</f>
        <v>Chính thức</v>
      </c>
      <c r="U602" s="7"/>
      <c r="V602" s="7" t="str">
        <f>IFERROR(__xludf.DUMMYFUNCTION("""COMPUTED_VALUE"""),"Chính thức")</f>
        <v>Chính thức</v>
      </c>
      <c r="W602" s="7" t="str">
        <f>IFERROR(__xludf.DUMMYFUNCTION("""COMPUTED_VALUE"""),"0 năm 8 tháng")</f>
        <v>0 năm 8 tháng</v>
      </c>
      <c r="X602" s="7"/>
      <c r="Y602" s="7"/>
      <c r="Z602" s="7"/>
    </row>
    <row r="603">
      <c r="A603" s="7">
        <f>IFERROR(__xludf.DUMMYFUNCTION("""COMPUTED_VALUE"""),6.0)</f>
        <v>6</v>
      </c>
      <c r="B603" s="7" t="str">
        <f>IFERROR(__xludf.DUMMYFUNCTION("""COMPUTED_VALUE"""),"DC5-PXSX2")</f>
        <v>DC5-PXSX2</v>
      </c>
      <c r="C603" s="7" t="str">
        <f>IFERROR(__xludf.DUMMYFUNCTION("""COMPUTED_VALUE"""),"Bộ phận Dây chuyền gia công và Lò nung")</f>
        <v>Bộ phận Dây chuyền gia công và Lò nung</v>
      </c>
      <c r="D603" s="7" t="str">
        <f>IFERROR(__xludf.DUMMYFUNCTION("""COMPUTED_VALUE"""),"Lò nung Ca B")</f>
        <v>Lò nung Ca B</v>
      </c>
      <c r="E603" s="7" t="str">
        <f>IFERROR(__xludf.DUMMYFUNCTION("""COMPUTED_VALUE"""),"VH Lò mức 2")</f>
        <v>VH Lò mức 2</v>
      </c>
      <c r="F603" s="7" t="str">
        <f>IFERROR(__xludf.DUMMYFUNCTION("""COMPUTED_VALUE"""),"NV0488")</f>
        <v>NV0488</v>
      </c>
      <c r="G603" s="7">
        <f>IFERROR(__xludf.DUMMYFUNCTION("""COMPUTED_VALUE"""),472.0)</f>
        <v>472</v>
      </c>
      <c r="H603" s="7" t="str">
        <f>IFERROR(__xludf.DUMMYFUNCTION("""COMPUTED_VALUE"""),"Lê Thanh Vân")</f>
        <v>Lê Thanh Vân</v>
      </c>
      <c r="I603" s="7" t="str">
        <f>IFERROR(__xludf.DUMMYFUNCTION("""COMPUTED_VALUE"""),"Nam")</f>
        <v>Nam</v>
      </c>
      <c r="J603" s="17">
        <f>IFERROR(__xludf.DUMMYFUNCTION("""COMPUTED_VALUE"""),29100.0)</f>
        <v>29100</v>
      </c>
      <c r="K603" s="7" t="str">
        <f>IFERROR(__xludf.DUMMYFUNCTION("""COMPUTED_VALUE"""),"Xã tân khang - Huyện Nông Cống")</f>
        <v>Xã tân khang - Huyện Nông Cống</v>
      </c>
      <c r="L603" s="7" t="str">
        <f>IFERROR(__xludf.DUMMYFUNCTION("""COMPUTED_VALUE"""),"0979379039")</f>
        <v>0979379039</v>
      </c>
      <c r="M603" s="7" t="str">
        <f>IFERROR(__xludf.DUMMYFUNCTION("""COMPUTED_VALUE"""),"038079011590")</f>
        <v>038079011590</v>
      </c>
      <c r="N603" s="19">
        <f>IFERROR(__xludf.DUMMYFUNCTION("""COMPUTED_VALUE"""),44546.0)</f>
        <v>44546</v>
      </c>
      <c r="O603" s="7" t="str">
        <f>IFERROR(__xludf.DUMMYFUNCTION("""COMPUTED_VALUE"""),"Cục Cảnh sát QLHC về TTXH")</f>
        <v>Cục Cảnh sát QLHC về TTXH</v>
      </c>
      <c r="P603" s="7" t="str">
        <f>IFERROR(__xludf.DUMMYFUNCTION("""COMPUTED_VALUE"""),"LĐPT")</f>
        <v>LĐPT</v>
      </c>
      <c r="Q603" s="7" t="str">
        <f>IFERROR(__xludf.DUMMYFUNCTION("""COMPUTED_VALUE"""),"Lao động phổ thông")</f>
        <v>Lao động phổ thông</v>
      </c>
      <c r="R603" s="17">
        <f>IFERROR(__xludf.DUMMYFUNCTION("""COMPUTED_VALUE"""),45803.0)</f>
        <v>45803</v>
      </c>
      <c r="S603" s="17">
        <f>IFERROR(__xludf.DUMMYFUNCTION("""COMPUTED_VALUE"""),45803.0)</f>
        <v>45803</v>
      </c>
      <c r="T603" s="7" t="str">
        <f>IFERROR(__xludf.DUMMYFUNCTION("""COMPUTED_VALUE"""),"Chính thức")</f>
        <v>Chính thức</v>
      </c>
      <c r="U603" s="7"/>
      <c r="V603" s="7" t="str">
        <f>IFERROR(__xludf.DUMMYFUNCTION("""COMPUTED_VALUE"""),"Chính thức")</f>
        <v>Chính thức</v>
      </c>
      <c r="W603" s="7" t="str">
        <f>IFERROR(__xludf.DUMMYFUNCTION("""COMPUTED_VALUE"""),"0 năm 7 tháng")</f>
        <v>0 năm 7 tháng</v>
      </c>
      <c r="X603" s="7"/>
      <c r="Y603" s="7"/>
      <c r="Z603" s="7"/>
    </row>
    <row r="604">
      <c r="A604" s="7">
        <f>IFERROR(__xludf.DUMMYFUNCTION("""COMPUTED_VALUE"""),7.0)</f>
        <v>7</v>
      </c>
      <c r="B604" s="7" t="str">
        <f>IFERROR(__xludf.DUMMYFUNCTION("""COMPUTED_VALUE"""),"DC5-PXSX2")</f>
        <v>DC5-PXSX2</v>
      </c>
      <c r="C604" s="7" t="str">
        <f>IFERROR(__xludf.DUMMYFUNCTION("""COMPUTED_VALUE"""),"Bộ phận Dây chuyền gia công và Lò nung")</f>
        <v>Bộ phận Dây chuyền gia công và Lò nung</v>
      </c>
      <c r="D604" s="7" t="str">
        <f>IFERROR(__xludf.DUMMYFUNCTION("""COMPUTED_VALUE"""),"Lò nung Ca B")</f>
        <v>Lò nung Ca B</v>
      </c>
      <c r="E604" s="7"/>
      <c r="F604" s="7" t="str">
        <f>IFERROR(__xludf.DUMMYFUNCTION("""COMPUTED_VALUE"""),"NV1347")</f>
        <v>NV1347</v>
      </c>
      <c r="G604" s="7">
        <f>IFERROR(__xludf.DUMMYFUNCTION("""COMPUTED_VALUE"""),238.0)</f>
        <v>238</v>
      </c>
      <c r="H604" s="7" t="str">
        <f>IFERROR(__xludf.DUMMYFUNCTION("""COMPUTED_VALUE"""),"Bùi Sỹ Hải")</f>
        <v>Bùi Sỹ Hải</v>
      </c>
      <c r="I604" s="7" t="str">
        <f>IFERROR(__xludf.DUMMYFUNCTION("""COMPUTED_VALUE"""),"Nam")</f>
        <v>Nam</v>
      </c>
      <c r="J604" s="17">
        <f>IFERROR(__xludf.DUMMYFUNCTION("""COMPUTED_VALUE"""),28857.0)</f>
        <v>28857</v>
      </c>
      <c r="K604" s="7" t="str">
        <f>IFERROR(__xludf.DUMMYFUNCTION("""COMPUTED_VALUE"""),"Thôn Cầu Đồng -  Xã Quảng Trạch -  Huyện Quảng Xương -  Thanh Hóa")</f>
        <v>Thôn Cầu Đồng -  Xã Quảng Trạch -  Huyện Quảng Xương -  Thanh Hóa</v>
      </c>
      <c r="L604" s="7" t="str">
        <f>IFERROR(__xludf.DUMMYFUNCTION("""COMPUTED_VALUE"""),"0919270888")</f>
        <v>0919270888</v>
      </c>
      <c r="M604" s="7" t="str">
        <f>IFERROR(__xludf.DUMMYFUNCTION("""COMPUTED_VALUE"""),"038079002145")</f>
        <v>038079002145</v>
      </c>
      <c r="N604" s="19">
        <f>IFERROR(__xludf.DUMMYFUNCTION("""COMPUTED_VALUE"""),44420.0)</f>
        <v>44420</v>
      </c>
      <c r="O604" s="7" t="str">
        <f>IFERROR(__xludf.DUMMYFUNCTION("""COMPUTED_VALUE"""),"Cục Cảnh sát QLHC về TTXH")</f>
        <v>Cục Cảnh sát QLHC về TTXH</v>
      </c>
      <c r="P604" s="7" t="str">
        <f>IFERROR(__xludf.DUMMYFUNCTION("""COMPUTED_VALUE"""),"LĐPT")</f>
        <v>LĐPT</v>
      </c>
      <c r="Q604" s="7" t="str">
        <f>IFERROR(__xludf.DUMMYFUNCTION("""COMPUTED_VALUE"""),"Lao động phổ thông")</f>
        <v>Lao động phổ thông</v>
      </c>
      <c r="R604" s="17">
        <f>IFERROR(__xludf.DUMMYFUNCTION("""COMPUTED_VALUE"""),43213.0)</f>
        <v>43213</v>
      </c>
      <c r="S604" s="17">
        <f>IFERROR(__xludf.DUMMYFUNCTION("""COMPUTED_VALUE"""),43586.0)</f>
        <v>43586</v>
      </c>
      <c r="T604" s="7" t="str">
        <f>IFERROR(__xludf.DUMMYFUNCTION("""COMPUTED_VALUE"""),"Chính thức")</f>
        <v>Chính thức</v>
      </c>
      <c r="U604" s="7"/>
      <c r="V604" s="7" t="str">
        <f>IFERROR(__xludf.DUMMYFUNCTION("""COMPUTED_VALUE"""),"Chính thức")</f>
        <v>Chính thức</v>
      </c>
      <c r="W604" s="7" t="str">
        <f>IFERROR(__xludf.DUMMYFUNCTION("""COMPUTED_VALUE"""),"7 năm 8 tháng")</f>
        <v>7 năm 8 tháng</v>
      </c>
      <c r="X604" s="7"/>
      <c r="Y604" s="7"/>
      <c r="Z604" s="7"/>
    </row>
    <row r="605">
      <c r="A605" s="7">
        <f>IFERROR(__xludf.DUMMYFUNCTION("""COMPUTED_VALUE"""),8.0)</f>
        <v>8</v>
      </c>
      <c r="B605" s="7" t="str">
        <f>IFERROR(__xludf.DUMMYFUNCTION("""COMPUTED_VALUE"""),"DC5-PXSX2")</f>
        <v>DC5-PXSX2</v>
      </c>
      <c r="C605" s="7" t="str">
        <f>IFERROR(__xludf.DUMMYFUNCTION("""COMPUTED_VALUE"""),"Bộ phận Dây chuyền gia công và Lò nung")</f>
        <v>Bộ phận Dây chuyền gia công và Lò nung</v>
      </c>
      <c r="D605" s="7" t="str">
        <f>IFERROR(__xludf.DUMMYFUNCTION("""COMPUTED_VALUE"""),"Lò nung Ca B")</f>
        <v>Lò nung Ca B</v>
      </c>
      <c r="E605" s="7"/>
      <c r="F605" s="7" t="str">
        <f>IFERROR(__xludf.DUMMYFUNCTION("""COMPUTED_VALUE"""),"NV5774")</f>
        <v>NV5774</v>
      </c>
      <c r="G605" s="7">
        <f>IFERROR(__xludf.DUMMYFUNCTION("""COMPUTED_VALUE"""),1255.0)</f>
        <v>1255</v>
      </c>
      <c r="H605" s="7" t="str">
        <f>IFERROR(__xludf.DUMMYFUNCTION("""COMPUTED_VALUE"""),"Mạc Anh Tuấn")</f>
        <v>Mạc Anh Tuấn</v>
      </c>
      <c r="I605" s="7" t="str">
        <f>IFERROR(__xludf.DUMMYFUNCTION("""COMPUTED_VALUE"""),"Nam")</f>
        <v>Nam</v>
      </c>
      <c r="J605" s="17">
        <f>IFERROR(__xludf.DUMMYFUNCTION("""COMPUTED_VALUE"""),37528.0)</f>
        <v>37528</v>
      </c>
      <c r="K605" s="7" t="str">
        <f>IFERROR(__xludf.DUMMYFUNCTION("""COMPUTED_VALUE"""),"Thôn 5 Xã Quảng Ninh  - Tỉnh Thanh Hóa")</f>
        <v>Thôn 5 Xã Quảng Ninh  - Tỉnh Thanh Hóa</v>
      </c>
      <c r="L605" s="7" t="str">
        <f>IFERROR(__xludf.DUMMYFUNCTION("""COMPUTED_VALUE"""),"0989844102")</f>
        <v>0989844102</v>
      </c>
      <c r="M605" s="7" t="str">
        <f>IFERROR(__xludf.DUMMYFUNCTION("""COMPUTED_VALUE"""),"038202004089")</f>
        <v>038202004089</v>
      </c>
      <c r="N605" s="19">
        <f>IFERROR(__xludf.DUMMYFUNCTION("""COMPUTED_VALUE"""),45951.0)</f>
        <v>45951</v>
      </c>
      <c r="O605" s="7" t="str">
        <f>IFERROR(__xludf.DUMMYFUNCTION("""COMPUTED_VALUE"""),"Bộ công an")</f>
        <v>Bộ công an</v>
      </c>
      <c r="P605" s="7" t="str">
        <f>IFERROR(__xludf.DUMMYFUNCTION("""COMPUTED_VALUE"""),"LĐPT")</f>
        <v>LĐPT</v>
      </c>
      <c r="Q605" s="7" t="str">
        <f>IFERROR(__xludf.DUMMYFUNCTION("""COMPUTED_VALUE"""),"Lao động phổ thông")</f>
        <v>Lao động phổ thông</v>
      </c>
      <c r="R605" s="17">
        <f>IFERROR(__xludf.DUMMYFUNCTION("""COMPUTED_VALUE"""),45952.0)</f>
        <v>45952</v>
      </c>
      <c r="S605" s="17">
        <f>IFERROR(__xludf.DUMMYFUNCTION("""COMPUTED_VALUE"""),45983.0)</f>
        <v>45983</v>
      </c>
      <c r="T605" s="7" t="str">
        <f>IFERROR(__xludf.DUMMYFUNCTION("""COMPUTED_VALUE"""),"Thử việc")</f>
        <v>Thử việc</v>
      </c>
      <c r="U605" s="7"/>
      <c r="V605" s="7" t="str">
        <f>IFERROR(__xludf.DUMMYFUNCTION("""COMPUTED_VALUE"""),"Thử việc")</f>
        <v>Thử việc</v>
      </c>
      <c r="W605" s="7" t="str">
        <f>IFERROR(__xludf.DUMMYFUNCTION("""COMPUTED_VALUE"""),"0 năm 2 tháng")</f>
        <v>0 năm 2 tháng</v>
      </c>
      <c r="X605" s="7"/>
      <c r="Y605" s="7"/>
      <c r="Z605" s="7"/>
    </row>
    <row r="606">
      <c r="A606" s="7">
        <f>IFERROR(__xludf.DUMMYFUNCTION("""COMPUTED_VALUE"""),1.0)</f>
        <v>1</v>
      </c>
      <c r="B606" s="7" t="str">
        <f>IFERROR(__xludf.DUMMYFUNCTION("""COMPUTED_VALUE"""),"PXSX2")</f>
        <v>PXSX2</v>
      </c>
      <c r="C606" s="7" t="str">
        <f>IFERROR(__xludf.DUMMYFUNCTION("""COMPUTED_VALUE"""),"Bộ phận Mài và Đóng hộp")</f>
        <v>Bộ phận Mài và Đóng hộp</v>
      </c>
      <c r="D606" s="7" t="str">
        <f>IFERROR(__xludf.DUMMYFUNCTION("""COMPUTED_VALUE"""),"Quản lý")</f>
        <v>Quản lý</v>
      </c>
      <c r="E606" s="7" t="str">
        <f>IFERROR(__xludf.DUMMYFUNCTION("""COMPUTED_VALUE"""),"Tổ trưởng - Phụ trách Đóng hộp DC5")</f>
        <v>Tổ trưởng - Phụ trách Đóng hộp DC5</v>
      </c>
      <c r="F606" s="7" t="str">
        <f>IFERROR(__xludf.DUMMYFUNCTION("""COMPUTED_VALUE"""),"NV0106")</f>
        <v>NV0106</v>
      </c>
      <c r="G606" s="7">
        <f>IFERROR(__xludf.DUMMYFUNCTION("""COMPUTED_VALUE"""),548.0)</f>
        <v>548</v>
      </c>
      <c r="H606" s="7" t="str">
        <f>IFERROR(__xludf.DUMMYFUNCTION("""COMPUTED_VALUE"""),"Phạm Thanh Hải")</f>
        <v>Phạm Thanh Hải</v>
      </c>
      <c r="I606" s="7" t="str">
        <f>IFERROR(__xludf.DUMMYFUNCTION("""COMPUTED_VALUE"""),"Nam")</f>
        <v>Nam</v>
      </c>
      <c r="J606" s="17">
        <f>IFERROR(__xludf.DUMMYFUNCTION("""COMPUTED_VALUE"""),27035.0)</f>
        <v>27035</v>
      </c>
      <c r="K606" s="7" t="str">
        <f>IFERROR(__xludf.DUMMYFUNCTION("""COMPUTED_VALUE"""),"Thôn 6 - Phường Quảng Phú - Tỉnh Thanh Hóa")</f>
        <v>Thôn 6 - Phường Quảng Phú - Tỉnh Thanh Hóa</v>
      </c>
      <c r="L606" s="7" t="str">
        <f>IFERROR(__xludf.DUMMYFUNCTION("""COMPUTED_VALUE"""),"0986964956")</f>
        <v>0986964956</v>
      </c>
      <c r="M606" s="7" t="str">
        <f>IFERROR(__xludf.DUMMYFUNCTION("""COMPUTED_VALUE"""),"038074026485")</f>
        <v>038074026485</v>
      </c>
      <c r="N606" s="19">
        <f>IFERROR(__xludf.DUMMYFUNCTION("""COMPUTED_VALUE"""),44361.0)</f>
        <v>44361</v>
      </c>
      <c r="O606" s="7" t="str">
        <f>IFERROR(__xludf.DUMMYFUNCTION("""COMPUTED_VALUE"""),"Cục Cảnh sát QLHC về TTXH")</f>
        <v>Cục Cảnh sát QLHC về TTXH</v>
      </c>
      <c r="P606" s="7" t="str">
        <f>IFERROR(__xludf.DUMMYFUNCTION("""COMPUTED_VALUE"""),"Trung cấp")</f>
        <v>Trung cấp</v>
      </c>
      <c r="Q606" s="7" t="str">
        <f>IFERROR(__xludf.DUMMYFUNCTION("""COMPUTED_VALUE"""),"Cơ khí")</f>
        <v>Cơ khí</v>
      </c>
      <c r="R606" s="17">
        <f>IFERROR(__xludf.DUMMYFUNCTION("""COMPUTED_VALUE"""),37031.0)</f>
        <v>37031</v>
      </c>
      <c r="S606" s="7"/>
      <c r="T606" s="7" t="str">
        <f>IFERROR(__xludf.DUMMYFUNCTION("""COMPUTED_VALUE"""),"Chính thức")</f>
        <v>Chính thức</v>
      </c>
      <c r="U606" s="7"/>
      <c r="V606" s="7" t="str">
        <f>IFERROR(__xludf.DUMMYFUNCTION("""COMPUTED_VALUE"""),"Chính thức")</f>
        <v>Chính thức</v>
      </c>
      <c r="W606" s="7" t="str">
        <f>IFERROR(__xludf.DUMMYFUNCTION("""COMPUTED_VALUE"""),"24 năm 7 tháng")</f>
        <v>24 năm 7 tháng</v>
      </c>
      <c r="X606" s="7"/>
      <c r="Y606" s="7"/>
      <c r="Z606" s="7"/>
    </row>
    <row r="607">
      <c r="A607" s="7">
        <f>IFERROR(__xludf.DUMMYFUNCTION("""COMPUTED_VALUE"""),2.0)</f>
        <v>2</v>
      </c>
      <c r="B607" s="7" t="str">
        <f>IFERROR(__xludf.DUMMYFUNCTION("""COMPUTED_VALUE"""),"PXSX2")</f>
        <v>PXSX2</v>
      </c>
      <c r="C607" s="7" t="str">
        <f>IFERROR(__xludf.DUMMYFUNCTION("""COMPUTED_VALUE"""),"Bộ phận Mài và Đóng hộp")</f>
        <v>Bộ phận Mài và Đóng hộp</v>
      </c>
      <c r="D607" s="7" t="str">
        <f>IFERROR(__xludf.DUMMYFUNCTION("""COMPUTED_VALUE"""),"Quản lý")</f>
        <v>Quản lý</v>
      </c>
      <c r="E607" s="7" t="str">
        <f>IFERROR(__xludf.DUMMYFUNCTION("""COMPUTED_VALUE"""),"CBKT - Phụ trách Mài")</f>
        <v>CBKT - Phụ trách Mài</v>
      </c>
      <c r="F607" s="7" t="str">
        <f>IFERROR(__xludf.DUMMYFUNCTION("""COMPUTED_VALUE"""),"NV5516")</f>
        <v>NV5516</v>
      </c>
      <c r="G607" s="7">
        <f>IFERROR(__xludf.DUMMYFUNCTION("""COMPUTED_VALUE"""),999.0)</f>
        <v>999</v>
      </c>
      <c r="H607" s="7" t="str">
        <f>IFERROR(__xludf.DUMMYFUNCTION("""COMPUTED_VALUE"""),"Lại Văn Linh")</f>
        <v>Lại Văn Linh</v>
      </c>
      <c r="I607" s="7" t="str">
        <f>IFERROR(__xludf.DUMMYFUNCTION("""COMPUTED_VALUE"""),"Nam")</f>
        <v>Nam</v>
      </c>
      <c r="J607" s="17">
        <f>IFERROR(__xludf.DUMMYFUNCTION("""COMPUTED_VALUE"""),29670.0)</f>
        <v>29670</v>
      </c>
      <c r="K607" s="7" t="str">
        <f>IFERROR(__xludf.DUMMYFUNCTION("""COMPUTED_VALUE"""),"Phường Quảng Tiến - Thành phố Sầm Sơn - Tỉnh Thanh Hóa")</f>
        <v>Phường Quảng Tiến - Thành phố Sầm Sơn - Tỉnh Thanh Hóa</v>
      </c>
      <c r="L607" s="7" t="str">
        <f>IFERROR(__xludf.DUMMYFUNCTION("""COMPUTED_VALUE"""),"0762488616")</f>
        <v>0762488616</v>
      </c>
      <c r="M607" s="7" t="str">
        <f>IFERROR(__xludf.DUMMYFUNCTION("""COMPUTED_VALUE"""),"038091005600")</f>
        <v>038091005600</v>
      </c>
      <c r="N607" s="19">
        <f>IFERROR(__xludf.DUMMYFUNCTION("""COMPUTED_VALUE"""),45364.0)</f>
        <v>45364</v>
      </c>
      <c r="O607" s="7" t="str">
        <f>IFERROR(__xludf.DUMMYFUNCTION("""COMPUTED_VALUE"""),"Cục Cảnh sát QLHC về TTXH")</f>
        <v>Cục Cảnh sát QLHC về TTXH</v>
      </c>
      <c r="P607" s="7" t="str">
        <f>IFERROR(__xludf.DUMMYFUNCTION("""COMPUTED_VALUE"""),"Đại học")</f>
        <v>Đại học</v>
      </c>
      <c r="Q607" s="7" t="str">
        <f>IFERROR(__xludf.DUMMYFUNCTION("""COMPUTED_VALUE"""),"Kỹ sư công nghệ kỹ thuật oto")</f>
        <v>Kỹ sư công nghệ kỹ thuật oto</v>
      </c>
      <c r="R607" s="17">
        <f>IFERROR(__xludf.DUMMYFUNCTION("""COMPUTED_VALUE"""),45812.0)</f>
        <v>45812</v>
      </c>
      <c r="S607" s="17">
        <f>IFERROR(__xludf.DUMMYFUNCTION("""COMPUTED_VALUE"""),45842.0)</f>
        <v>45842</v>
      </c>
      <c r="T607" s="7" t="str">
        <f>IFERROR(__xludf.DUMMYFUNCTION("""COMPUTED_VALUE"""),"Chính thức")</f>
        <v>Chính thức</v>
      </c>
      <c r="U607" s="7"/>
      <c r="V607" s="7" t="str">
        <f>IFERROR(__xludf.DUMMYFUNCTION("""COMPUTED_VALUE"""),"Chính thức")</f>
        <v>Chính thức</v>
      </c>
      <c r="W607" s="7" t="str">
        <f>IFERROR(__xludf.DUMMYFUNCTION("""COMPUTED_VALUE"""),"0 năm 6 tháng")</f>
        <v>0 năm 6 tháng</v>
      </c>
      <c r="X607" s="7"/>
      <c r="Y607" s="7"/>
      <c r="Z607" s="7"/>
    </row>
    <row r="608">
      <c r="A608" s="7">
        <f>IFERROR(__xludf.DUMMYFUNCTION("""COMPUTED_VALUE"""),1.0)</f>
        <v>1</v>
      </c>
      <c r="B608" s="7" t="str">
        <f>IFERROR(__xludf.DUMMYFUNCTION("""COMPUTED_VALUE"""),"DC5-PXSX2")</f>
        <v>DC5-PXSX2</v>
      </c>
      <c r="C608" s="7" t="str">
        <f>IFERROR(__xludf.DUMMYFUNCTION("""COMPUTED_VALUE"""),"Bộ phận Mài và Đóng hộp")</f>
        <v>Bộ phận Mài và Đóng hộp</v>
      </c>
      <c r="D608" s="7" t="str">
        <f>IFERROR(__xludf.DUMMYFUNCTION("""COMPUTED_VALUE"""),"Dây chuyền Mài Ca A")</f>
        <v>Dây chuyền Mài Ca A</v>
      </c>
      <c r="E608" s="7" t="str">
        <f>IFERROR(__xludf.DUMMYFUNCTION("""COMPUTED_VALUE"""),"Vận hành máy Nano mức 1")</f>
        <v>Vận hành máy Nano mức 1</v>
      </c>
      <c r="F608" s="7" t="str">
        <f>IFERROR(__xludf.DUMMYFUNCTION("""COMPUTED_VALUE"""),"NV5169")</f>
        <v>NV5169</v>
      </c>
      <c r="G608" s="7">
        <f>IFERROR(__xludf.DUMMYFUNCTION("""COMPUTED_VALUE"""),385.0)</f>
        <v>385</v>
      </c>
      <c r="H608" s="7" t="str">
        <f>IFERROR(__xludf.DUMMYFUNCTION("""COMPUTED_VALUE"""),"Trần Kim Vụ")</f>
        <v>Trần Kim Vụ</v>
      </c>
      <c r="I608" s="7" t="str">
        <f>IFERROR(__xludf.DUMMYFUNCTION("""COMPUTED_VALUE"""),"Nam")</f>
        <v>Nam</v>
      </c>
      <c r="J608" s="17">
        <f>IFERROR(__xludf.DUMMYFUNCTION("""COMPUTED_VALUE"""),35796.0)</f>
        <v>35796</v>
      </c>
      <c r="K608" s="7" t="str">
        <f>IFERROR(__xludf.DUMMYFUNCTION("""COMPUTED_VALUE"""),"Quảng Thái -  Quảng Xương -  TH")</f>
        <v>Quảng Thái -  Quảng Xương -  TH</v>
      </c>
      <c r="L608" s="7" t="str">
        <f>IFERROR(__xludf.DUMMYFUNCTION("""COMPUTED_VALUE"""),"0972501610")</f>
        <v>0972501610</v>
      </c>
      <c r="M608" s="7" t="str">
        <f>IFERROR(__xludf.DUMMYFUNCTION("""COMPUTED_VALUE"""),"038098013005")</f>
        <v>038098013005</v>
      </c>
      <c r="N608" s="19">
        <f>IFERROR(__xludf.DUMMYFUNCTION("""COMPUTED_VALUE"""),44252.0)</f>
        <v>44252</v>
      </c>
      <c r="O608" s="7" t="str">
        <f>IFERROR(__xludf.DUMMYFUNCTION("""COMPUTED_VALUE"""),"Cục Cảnh sát QLHC về TTXH")</f>
        <v>Cục Cảnh sát QLHC về TTXH</v>
      </c>
      <c r="P608" s="7" t="str">
        <f>IFERROR(__xludf.DUMMYFUNCTION("""COMPUTED_VALUE"""),"LĐPT")</f>
        <v>LĐPT</v>
      </c>
      <c r="Q608" s="7" t="str">
        <f>IFERROR(__xludf.DUMMYFUNCTION("""COMPUTED_VALUE"""),"Lao động phổ thông")</f>
        <v>Lao động phổ thông</v>
      </c>
      <c r="R608" s="17">
        <f>IFERROR(__xludf.DUMMYFUNCTION("""COMPUTED_VALUE"""),45420.0)</f>
        <v>45420</v>
      </c>
      <c r="S608" s="17">
        <f>IFERROR(__xludf.DUMMYFUNCTION("""COMPUTED_VALUE"""),45536.0)</f>
        <v>45536</v>
      </c>
      <c r="T608" s="7" t="str">
        <f>IFERROR(__xludf.DUMMYFUNCTION("""COMPUTED_VALUE"""),"Chính thức")</f>
        <v>Chính thức</v>
      </c>
      <c r="U608" s="7"/>
      <c r="V608" s="7" t="str">
        <f>IFERROR(__xludf.DUMMYFUNCTION("""COMPUTED_VALUE"""),"Chính thức")</f>
        <v>Chính thức</v>
      </c>
      <c r="W608" s="7" t="str">
        <f>IFERROR(__xludf.DUMMYFUNCTION("""COMPUTED_VALUE"""),"1 năm 7 tháng")</f>
        <v>1 năm 7 tháng</v>
      </c>
      <c r="X608" s="7"/>
      <c r="Y608" s="7"/>
      <c r="Z608" s="7"/>
    </row>
    <row r="609">
      <c r="A609" s="7">
        <f>IFERROR(__xludf.DUMMYFUNCTION("""COMPUTED_VALUE"""),2.0)</f>
        <v>2</v>
      </c>
      <c r="B609" s="7" t="str">
        <f>IFERROR(__xludf.DUMMYFUNCTION("""COMPUTED_VALUE"""),"DC5-PXSX2")</f>
        <v>DC5-PXSX2</v>
      </c>
      <c r="C609" s="7" t="str">
        <f>IFERROR(__xludf.DUMMYFUNCTION("""COMPUTED_VALUE"""),"Bộ phận Mài và Đóng hộp")</f>
        <v>Bộ phận Mài và Đóng hộp</v>
      </c>
      <c r="D609" s="7" t="str">
        <f>IFERROR(__xludf.DUMMYFUNCTION("""COMPUTED_VALUE"""),"Dây chuyền Mài Ca A")</f>
        <v>Dây chuyền Mài Ca A</v>
      </c>
      <c r="E609" s="7" t="str">
        <f>IFERROR(__xludf.DUMMYFUNCTION("""COMPUTED_VALUE"""),"Tổ phó - Phụ trách Mài DC5")</f>
        <v>Tổ phó - Phụ trách Mài DC5</v>
      </c>
      <c r="F609" s="7" t="str">
        <f>IFERROR(__xludf.DUMMYFUNCTION("""COMPUTED_VALUE"""),"NV3966")</f>
        <v>NV3966</v>
      </c>
      <c r="G609" s="7">
        <f>IFERROR(__xludf.DUMMYFUNCTION("""COMPUTED_VALUE"""),440.0)</f>
        <v>440</v>
      </c>
      <c r="H609" s="7" t="str">
        <f>IFERROR(__xludf.DUMMYFUNCTION("""COMPUTED_VALUE"""),"Hoàng Đình Bảy")</f>
        <v>Hoàng Đình Bảy</v>
      </c>
      <c r="I609" s="7" t="str">
        <f>IFERROR(__xludf.DUMMYFUNCTION("""COMPUTED_VALUE"""),"Nam")</f>
        <v>Nam</v>
      </c>
      <c r="J609" s="17">
        <f>IFERROR(__xludf.DUMMYFUNCTION("""COMPUTED_VALUE"""),33334.0)</f>
        <v>33334</v>
      </c>
      <c r="K609" s="7" t="str">
        <f>IFERROR(__xludf.DUMMYFUNCTION("""COMPUTED_VALUE"""),"Hoằng Phong - Hoằng Hóa - Thanh Hóa")</f>
        <v>Hoằng Phong - Hoằng Hóa - Thanh Hóa</v>
      </c>
      <c r="L609" s="7" t="str">
        <f>IFERROR(__xludf.DUMMYFUNCTION("""COMPUTED_VALUE"""),"0968731799")</f>
        <v>0968731799</v>
      </c>
      <c r="M609" s="7" t="str">
        <f>IFERROR(__xludf.DUMMYFUNCTION("""COMPUTED_VALUE"""),"038091018414")</f>
        <v>038091018414</v>
      </c>
      <c r="N609" s="19">
        <f>IFERROR(__xludf.DUMMYFUNCTION("""COMPUTED_VALUE"""),43811.0)</f>
        <v>43811</v>
      </c>
      <c r="O609" s="7" t="str">
        <f>IFERROR(__xludf.DUMMYFUNCTION("""COMPUTED_VALUE"""),"Cục Cảnh sát QLHC về TTXH")</f>
        <v>Cục Cảnh sát QLHC về TTXH</v>
      </c>
      <c r="P609" s="7" t="str">
        <f>IFERROR(__xludf.DUMMYFUNCTION("""COMPUTED_VALUE"""),"LĐPT")</f>
        <v>LĐPT</v>
      </c>
      <c r="Q609" s="7" t="str">
        <f>IFERROR(__xludf.DUMMYFUNCTION("""COMPUTED_VALUE"""),"Lao động phổ thông")</f>
        <v>Lao động phổ thông</v>
      </c>
      <c r="R609" s="17">
        <f>IFERROR(__xludf.DUMMYFUNCTION("""COMPUTED_VALUE"""),44534.0)</f>
        <v>44534</v>
      </c>
      <c r="S609" s="17">
        <f>IFERROR(__xludf.DUMMYFUNCTION("""COMPUTED_VALUE"""),44835.0)</f>
        <v>44835</v>
      </c>
      <c r="T609" s="7" t="str">
        <f>IFERROR(__xludf.DUMMYFUNCTION("""COMPUTED_VALUE"""),"Chính thức")</f>
        <v>Chính thức</v>
      </c>
      <c r="U609" s="7"/>
      <c r="V609" s="7" t="str">
        <f>IFERROR(__xludf.DUMMYFUNCTION("""COMPUTED_VALUE"""),"Chính thức")</f>
        <v>Chính thức</v>
      </c>
      <c r="W609" s="7" t="str">
        <f>IFERROR(__xludf.DUMMYFUNCTION("""COMPUTED_VALUE"""),"4 năm 0 tháng")</f>
        <v>4 năm 0 tháng</v>
      </c>
      <c r="X609" s="7"/>
      <c r="Y609" s="7"/>
      <c r="Z609" s="7"/>
    </row>
    <row r="610">
      <c r="A610" s="7">
        <f>IFERROR(__xludf.DUMMYFUNCTION("""COMPUTED_VALUE"""),3.0)</f>
        <v>3</v>
      </c>
      <c r="B610" s="7" t="str">
        <f>IFERROR(__xludf.DUMMYFUNCTION("""COMPUTED_VALUE"""),"DC5-PXSX2")</f>
        <v>DC5-PXSX2</v>
      </c>
      <c r="C610" s="7" t="str">
        <f>IFERROR(__xludf.DUMMYFUNCTION("""COMPUTED_VALUE"""),"Bộ phận Mài và Đóng hộp")</f>
        <v>Bộ phận Mài và Đóng hộp</v>
      </c>
      <c r="D610" s="7" t="str">
        <f>IFERROR(__xludf.DUMMYFUNCTION("""COMPUTED_VALUE"""),"Dây chuyền Mài Ca A")</f>
        <v>Dây chuyền Mài Ca A</v>
      </c>
      <c r="E610" s="7" t="str">
        <f>IFERROR(__xludf.DUMMYFUNCTION("""COMPUTED_VALUE"""),"Vận hành đầu rải")</f>
        <v>Vận hành đầu rải</v>
      </c>
      <c r="F610" s="7" t="str">
        <f>IFERROR(__xludf.DUMMYFUNCTION("""COMPUTED_VALUE"""),"NV0517")</f>
        <v>NV0517</v>
      </c>
      <c r="G610" s="7">
        <f>IFERROR(__xludf.DUMMYFUNCTION("""COMPUTED_VALUE"""),439.0)</f>
        <v>439</v>
      </c>
      <c r="H610" s="7" t="str">
        <f>IFERROR(__xludf.DUMMYFUNCTION("""COMPUTED_VALUE"""),"Nguyễn Văn Trung")</f>
        <v>Nguyễn Văn Trung</v>
      </c>
      <c r="I610" s="7" t="str">
        <f>IFERROR(__xludf.DUMMYFUNCTION("""COMPUTED_VALUE"""),"Nam")</f>
        <v>Nam</v>
      </c>
      <c r="J610" s="17">
        <f>IFERROR(__xludf.DUMMYFUNCTION("""COMPUTED_VALUE"""),29993.0)</f>
        <v>29993</v>
      </c>
      <c r="K610" s="7" t="str">
        <f>IFERROR(__xludf.DUMMYFUNCTION("""COMPUTED_VALUE"""),"Xã Hoằng Trinh -  Huyện Hoằng Hóa -  Thanh Hóa -  Việt Nam")</f>
        <v>Xã Hoằng Trinh -  Huyện Hoằng Hóa -  Thanh Hóa -  Việt Nam</v>
      </c>
      <c r="L610" s="7" t="str">
        <f>IFERROR(__xludf.DUMMYFUNCTION("""COMPUTED_VALUE"""),"0983807067")</f>
        <v>0983807067</v>
      </c>
      <c r="M610" s="7" t="str">
        <f>IFERROR(__xludf.DUMMYFUNCTION("""COMPUTED_VALUE"""),"038082005419")</f>
        <v>038082005419</v>
      </c>
      <c r="N610" s="7"/>
      <c r="O610" s="7" t="str">
        <f>IFERROR(__xludf.DUMMYFUNCTION("""COMPUTED_VALUE"""),"Cục Cảnh sát QLHC về TTXH")</f>
        <v>Cục Cảnh sát QLHC về TTXH</v>
      </c>
      <c r="P610" s="7" t="str">
        <f>IFERROR(__xludf.DUMMYFUNCTION("""COMPUTED_VALUE"""),"LĐPT")</f>
        <v>LĐPT</v>
      </c>
      <c r="Q610" s="7" t="str">
        <f>IFERROR(__xludf.DUMMYFUNCTION("""COMPUTED_VALUE"""),"Lao động phổ thông")</f>
        <v>Lao động phổ thông</v>
      </c>
      <c r="R610" s="17">
        <f>IFERROR(__xludf.DUMMYFUNCTION("""COMPUTED_VALUE"""),41172.0)</f>
        <v>41172</v>
      </c>
      <c r="S610" s="17">
        <f>IFERROR(__xludf.DUMMYFUNCTION("""COMPUTED_VALUE"""),41172.0)</f>
        <v>41172</v>
      </c>
      <c r="T610" s="7" t="str">
        <f>IFERROR(__xludf.DUMMYFUNCTION("""COMPUTED_VALUE"""),"Chính thức")</f>
        <v>Chính thức</v>
      </c>
      <c r="U610" s="7"/>
      <c r="V610" s="7" t="str">
        <f>IFERROR(__xludf.DUMMYFUNCTION("""COMPUTED_VALUE"""),"Chính thức")</f>
        <v>Chính thức</v>
      </c>
      <c r="W610" s="7" t="str">
        <f>IFERROR(__xludf.DUMMYFUNCTION("""COMPUTED_VALUE"""),"13 năm 3 tháng")</f>
        <v>13 năm 3 tháng</v>
      </c>
      <c r="X610" s="7"/>
      <c r="Y610" s="7"/>
      <c r="Z610" s="7"/>
    </row>
    <row r="611">
      <c r="A611" s="7">
        <f>IFERROR(__xludf.DUMMYFUNCTION("""COMPUTED_VALUE"""),4.0)</f>
        <v>4</v>
      </c>
      <c r="B611" s="7" t="str">
        <f>IFERROR(__xludf.DUMMYFUNCTION("""COMPUTED_VALUE"""),"DC5-PXSX2")</f>
        <v>DC5-PXSX2</v>
      </c>
      <c r="C611" s="7" t="str">
        <f>IFERROR(__xludf.DUMMYFUNCTION("""COMPUTED_VALUE"""),"Bộ phận Mài và Đóng hộp")</f>
        <v>Bộ phận Mài và Đóng hộp</v>
      </c>
      <c r="D611" s="7" t="str">
        <f>IFERROR(__xludf.DUMMYFUNCTION("""COMPUTED_VALUE"""),"Dây chuyền Mài Ca A")</f>
        <v>Dây chuyền Mài Ca A</v>
      </c>
      <c r="E611" s="7" t="str">
        <f>IFERROR(__xludf.DUMMYFUNCTION("""COMPUTED_VALUE"""),"Vận hành chính máy Nano")</f>
        <v>Vận hành chính máy Nano</v>
      </c>
      <c r="F611" s="7" t="str">
        <f>IFERROR(__xludf.DUMMYFUNCTION("""COMPUTED_VALUE"""),"NV3783")</f>
        <v>NV3783</v>
      </c>
      <c r="G611" s="7">
        <f>IFERROR(__xludf.DUMMYFUNCTION("""COMPUTED_VALUE"""),441.0)</f>
        <v>441</v>
      </c>
      <c r="H611" s="7" t="str">
        <f>IFERROR(__xludf.DUMMYFUNCTION("""COMPUTED_VALUE"""),"Trương Văn Quang")</f>
        <v>Trương Văn Quang</v>
      </c>
      <c r="I611" s="7" t="str">
        <f>IFERROR(__xludf.DUMMYFUNCTION("""COMPUTED_VALUE"""),"Nam")</f>
        <v>Nam</v>
      </c>
      <c r="J611" s="17">
        <f>IFERROR(__xludf.DUMMYFUNCTION("""COMPUTED_VALUE"""),36517.0)</f>
        <v>36517</v>
      </c>
      <c r="K611" s="7" t="str">
        <f>IFERROR(__xludf.DUMMYFUNCTION("""COMPUTED_VALUE"""),"Hội Chiều - Hoằng Phong - Hoằng Hóa - Thanh Hóa")</f>
        <v>Hội Chiều - Hoằng Phong - Hoằng Hóa - Thanh Hóa</v>
      </c>
      <c r="L611" s="7" t="str">
        <f>IFERROR(__xludf.DUMMYFUNCTION("""COMPUTED_VALUE"""),"0376249137")</f>
        <v>0376249137</v>
      </c>
      <c r="M611" s="7" t="str">
        <f>IFERROR(__xludf.DUMMYFUNCTION("""COMPUTED_VALUE"""),"038099016660")</f>
        <v>038099016660</v>
      </c>
      <c r="N611" s="19">
        <f>IFERROR(__xludf.DUMMYFUNCTION("""COMPUTED_VALUE"""),43900.0)</f>
        <v>43900</v>
      </c>
      <c r="O611" s="7" t="str">
        <f>IFERROR(__xludf.DUMMYFUNCTION("""COMPUTED_VALUE"""),"Cục Cảnh sát QLHC về TTXH")</f>
        <v>Cục Cảnh sát QLHC về TTXH</v>
      </c>
      <c r="P611" s="7" t="str">
        <f>IFERROR(__xludf.DUMMYFUNCTION("""COMPUTED_VALUE"""),"LĐPT")</f>
        <v>LĐPT</v>
      </c>
      <c r="Q611" s="7" t="str">
        <f>IFERROR(__xludf.DUMMYFUNCTION("""COMPUTED_VALUE"""),"Lao động phổ thông")</f>
        <v>Lao động phổ thông</v>
      </c>
      <c r="R611" s="17">
        <f>IFERROR(__xludf.DUMMYFUNCTION("""COMPUTED_VALUE"""),44448.0)</f>
        <v>44448</v>
      </c>
      <c r="S611" s="17">
        <f>IFERROR(__xludf.DUMMYFUNCTION("""COMPUTED_VALUE"""),44743.0)</f>
        <v>44743</v>
      </c>
      <c r="T611" s="7" t="str">
        <f>IFERROR(__xludf.DUMMYFUNCTION("""COMPUTED_VALUE"""),"Chính thức")</f>
        <v>Chính thức</v>
      </c>
      <c r="U611" s="7"/>
      <c r="V611" s="7" t="str">
        <f>IFERROR(__xludf.DUMMYFUNCTION("""COMPUTED_VALUE"""),"Chính thức")</f>
        <v>Chính thức</v>
      </c>
      <c r="W611" s="7" t="str">
        <f>IFERROR(__xludf.DUMMYFUNCTION("""COMPUTED_VALUE"""),"4 năm 3 tháng")</f>
        <v>4 năm 3 tháng</v>
      </c>
      <c r="X611" s="7"/>
      <c r="Y611" s="7"/>
      <c r="Z611" s="7"/>
    </row>
    <row r="612">
      <c r="A612" s="7">
        <f>IFERROR(__xludf.DUMMYFUNCTION("""COMPUTED_VALUE"""),5.0)</f>
        <v>5</v>
      </c>
      <c r="B612" s="7" t="str">
        <f>IFERROR(__xludf.DUMMYFUNCTION("""COMPUTED_VALUE"""),"DC5-PXSX2")</f>
        <v>DC5-PXSX2</v>
      </c>
      <c r="C612" s="7" t="str">
        <f>IFERROR(__xludf.DUMMYFUNCTION("""COMPUTED_VALUE"""),"Bộ phận Mài và Đóng hộp")</f>
        <v>Bộ phận Mài và Đóng hộp</v>
      </c>
      <c r="D612" s="7" t="str">
        <f>IFERROR(__xludf.DUMMYFUNCTION("""COMPUTED_VALUE"""),"Dây chuyền Mài Ca A")</f>
        <v>Dây chuyền Mài Ca A</v>
      </c>
      <c r="E612" s="7" t="str">
        <f>IFERROR(__xludf.DUMMYFUNCTION("""COMPUTED_VALUE"""),"Vận hành chính máy mài mặt")</f>
        <v>Vận hành chính máy mài mặt</v>
      </c>
      <c r="F612" s="7" t="str">
        <f>IFERROR(__xludf.DUMMYFUNCTION("""COMPUTED_VALUE"""),"NV0231")</f>
        <v>NV0231</v>
      </c>
      <c r="G612" s="7">
        <f>IFERROR(__xludf.DUMMYFUNCTION("""COMPUTED_VALUE"""),631.0)</f>
        <v>631</v>
      </c>
      <c r="H612" s="7" t="str">
        <f>IFERROR(__xludf.DUMMYFUNCTION("""COMPUTED_VALUE"""),"Nguyễn Trọng Thức")</f>
        <v>Nguyễn Trọng Thức</v>
      </c>
      <c r="I612" s="7" t="str">
        <f>IFERROR(__xludf.DUMMYFUNCTION("""COMPUTED_VALUE"""),"Nam")</f>
        <v>Nam</v>
      </c>
      <c r="J612" s="17">
        <f>IFERROR(__xludf.DUMMYFUNCTION("""COMPUTED_VALUE"""),34205.0)</f>
        <v>34205</v>
      </c>
      <c r="K612" s="7" t="str">
        <f>IFERROR(__xludf.DUMMYFUNCTION("""COMPUTED_VALUE"""),"Phường Đông Hải -  Thành Phố Thanh Hóa -  Tỉnh Thanh Hóa -  Việt Nam")</f>
        <v>Phường Đông Hải -  Thành Phố Thanh Hóa -  Tỉnh Thanh Hóa -  Việt Nam</v>
      </c>
      <c r="L612" s="7" t="str">
        <f>IFERROR(__xludf.DUMMYFUNCTION("""COMPUTED_VALUE"""),"0397447921")</f>
        <v>0397447921</v>
      </c>
      <c r="M612" s="7" t="str">
        <f>IFERROR(__xludf.DUMMYFUNCTION("""COMPUTED_VALUE"""),"038093042122")</f>
        <v>038093042122</v>
      </c>
      <c r="N612" s="19">
        <f>IFERROR(__xludf.DUMMYFUNCTION("""COMPUTED_VALUE"""),44422.0)</f>
        <v>44422</v>
      </c>
      <c r="O612" s="7" t="str">
        <f>IFERROR(__xludf.DUMMYFUNCTION("""COMPUTED_VALUE"""),"Cục Cảnh sát QLHC về TTXH")</f>
        <v>Cục Cảnh sát QLHC về TTXH</v>
      </c>
      <c r="P612" s="7" t="str">
        <f>IFERROR(__xludf.DUMMYFUNCTION("""COMPUTED_VALUE"""),"LĐPT")</f>
        <v>LĐPT</v>
      </c>
      <c r="Q612" s="7" t="str">
        <f>IFERROR(__xludf.DUMMYFUNCTION("""COMPUTED_VALUE"""),"Lao động phổ thông")</f>
        <v>Lao động phổ thông</v>
      </c>
      <c r="R612" s="17">
        <f>IFERROR(__xludf.DUMMYFUNCTION("""COMPUTED_VALUE"""),42207.0)</f>
        <v>42207</v>
      </c>
      <c r="S612" s="17">
        <f>IFERROR(__xludf.DUMMYFUNCTION("""COMPUTED_VALUE"""),42207.0)</f>
        <v>42207</v>
      </c>
      <c r="T612" s="7" t="str">
        <f>IFERROR(__xludf.DUMMYFUNCTION("""COMPUTED_VALUE"""),"Chính thức")</f>
        <v>Chính thức</v>
      </c>
      <c r="U612" s="7"/>
      <c r="V612" s="7" t="str">
        <f>IFERROR(__xludf.DUMMYFUNCTION("""COMPUTED_VALUE"""),"Chính thức")</f>
        <v>Chính thức</v>
      </c>
      <c r="W612" s="7" t="str">
        <f>IFERROR(__xludf.DUMMYFUNCTION("""COMPUTED_VALUE"""),"10 năm 5 tháng")</f>
        <v>10 năm 5 tháng</v>
      </c>
      <c r="X612" s="7"/>
      <c r="Y612" s="7"/>
      <c r="Z612" s="7"/>
    </row>
    <row r="613">
      <c r="A613" s="7">
        <f>IFERROR(__xludf.DUMMYFUNCTION("""COMPUTED_VALUE"""),6.0)</f>
        <v>6</v>
      </c>
      <c r="B613" s="7" t="str">
        <f>IFERROR(__xludf.DUMMYFUNCTION("""COMPUTED_VALUE"""),"DC5-PXSX2")</f>
        <v>DC5-PXSX2</v>
      </c>
      <c r="C613" s="7" t="str">
        <f>IFERROR(__xludf.DUMMYFUNCTION("""COMPUTED_VALUE"""),"Bộ phận Mài và Đóng hộp")</f>
        <v>Bộ phận Mài và Đóng hộp</v>
      </c>
      <c r="D613" s="7" t="str">
        <f>IFERROR(__xludf.DUMMYFUNCTION("""COMPUTED_VALUE"""),"Dây chuyền Mài Ca A")</f>
        <v>Dây chuyền Mài Ca A</v>
      </c>
      <c r="E613" s="7" t="str">
        <f>IFERROR(__xludf.DUMMYFUNCTION("""COMPUTED_VALUE"""),"Vận hành máy mài cạnh mức 1")</f>
        <v>Vận hành máy mài cạnh mức 1</v>
      </c>
      <c r="F613" s="7" t="str">
        <f>IFERROR(__xludf.DUMMYFUNCTION("""COMPUTED_VALUE"""),"NV1279")</f>
        <v>NV1279</v>
      </c>
      <c r="G613" s="7">
        <f>IFERROR(__xludf.DUMMYFUNCTION("""COMPUTED_VALUE"""),443.0)</f>
        <v>443</v>
      </c>
      <c r="H613" s="7" t="str">
        <f>IFERROR(__xludf.DUMMYFUNCTION("""COMPUTED_VALUE"""),"Nguyễn Duy Xuân ")</f>
        <v>Nguyễn Duy Xuân </v>
      </c>
      <c r="I613" s="7" t="str">
        <f>IFERROR(__xludf.DUMMYFUNCTION("""COMPUTED_VALUE"""),"Nam")</f>
        <v>Nam</v>
      </c>
      <c r="J613" s="17">
        <f>IFERROR(__xludf.DUMMYFUNCTION("""COMPUTED_VALUE"""),33092.0)</f>
        <v>33092</v>
      </c>
      <c r="K613" s="7" t="str">
        <f>IFERROR(__xludf.DUMMYFUNCTION("""COMPUTED_VALUE"""),"ĐÔng Vệ TP Thanh Hóa")</f>
        <v>ĐÔng Vệ TP Thanh Hóa</v>
      </c>
      <c r="L613" s="7" t="str">
        <f>IFERROR(__xludf.DUMMYFUNCTION("""COMPUTED_VALUE"""),"0909899929")</f>
        <v>0909899929</v>
      </c>
      <c r="M613" s="7" t="str">
        <f>IFERROR(__xludf.DUMMYFUNCTION("""COMPUTED_VALUE"""),"038090001843")</f>
        <v>038090001843</v>
      </c>
      <c r="N613" s="19">
        <f>IFERROR(__xludf.DUMMYFUNCTION("""COMPUTED_VALUE"""),42571.0)</f>
        <v>42571</v>
      </c>
      <c r="O613" s="7" t="str">
        <f>IFERROR(__xludf.DUMMYFUNCTION("""COMPUTED_VALUE"""),"Cục Cảnh sát QLHC về TTXH")</f>
        <v>Cục Cảnh sát QLHC về TTXH</v>
      </c>
      <c r="P613" s="7" t="str">
        <f>IFERROR(__xludf.DUMMYFUNCTION("""COMPUTED_VALUE"""),"Trung cấp")</f>
        <v>Trung cấp</v>
      </c>
      <c r="Q613" s="7" t="str">
        <f>IFERROR(__xludf.DUMMYFUNCTION("""COMPUTED_VALUE"""),"Cơ khí hàn")</f>
        <v>Cơ khí hàn</v>
      </c>
      <c r="R613" s="17">
        <f>IFERROR(__xludf.DUMMYFUNCTION("""COMPUTED_VALUE"""),45407.0)</f>
        <v>45407</v>
      </c>
      <c r="S613" s="17">
        <f>IFERROR(__xludf.DUMMYFUNCTION("""COMPUTED_VALUE"""),45383.0)</f>
        <v>45383</v>
      </c>
      <c r="T613" s="7" t="str">
        <f>IFERROR(__xludf.DUMMYFUNCTION("""COMPUTED_VALUE"""),"Chính thức")</f>
        <v>Chính thức</v>
      </c>
      <c r="U613" s="7"/>
      <c r="V613" s="7" t="str">
        <f>IFERROR(__xludf.DUMMYFUNCTION("""COMPUTED_VALUE"""),"Chính thức")</f>
        <v>Chính thức</v>
      </c>
      <c r="W613" s="7" t="str">
        <f>IFERROR(__xludf.DUMMYFUNCTION("""COMPUTED_VALUE"""),"1 năm 8 tháng")</f>
        <v>1 năm 8 tháng</v>
      </c>
      <c r="X613" s="7"/>
      <c r="Y613" s="7"/>
      <c r="Z613" s="7"/>
    </row>
    <row r="614">
      <c r="A614" s="7">
        <f>IFERROR(__xludf.DUMMYFUNCTION("""COMPUTED_VALUE"""),7.0)</f>
        <v>7</v>
      </c>
      <c r="B614" s="7" t="str">
        <f>IFERROR(__xludf.DUMMYFUNCTION("""COMPUTED_VALUE"""),"DC5-PXSX2")</f>
        <v>DC5-PXSX2</v>
      </c>
      <c r="C614" s="7" t="str">
        <f>IFERROR(__xludf.DUMMYFUNCTION("""COMPUTED_VALUE"""),"Bộ phận Mài và Đóng hộp")</f>
        <v>Bộ phận Mài và Đóng hộp</v>
      </c>
      <c r="D614" s="7" t="str">
        <f>IFERROR(__xludf.DUMMYFUNCTION("""COMPUTED_VALUE"""),"Dây chuyền Mài Ca A")</f>
        <v>Dây chuyền Mài Ca A</v>
      </c>
      <c r="E614" s="7" t="str">
        <f>IFERROR(__xludf.DUMMYFUNCTION("""COMPUTED_VALUE"""),"Bốc sót sau máy mài nano")</f>
        <v>Bốc sót sau máy mài nano</v>
      </c>
      <c r="F614" s="7" t="str">
        <f>IFERROR(__xludf.DUMMYFUNCTION("""COMPUTED_VALUE"""),"NV4595")</f>
        <v>NV4595</v>
      </c>
      <c r="G614" s="7">
        <f>IFERROR(__xludf.DUMMYFUNCTION("""COMPUTED_VALUE"""),844.0)</f>
        <v>844</v>
      </c>
      <c r="H614" s="7" t="str">
        <f>IFERROR(__xludf.DUMMYFUNCTION("""COMPUTED_VALUE"""),"Phạm Văn Thanh")</f>
        <v>Phạm Văn Thanh</v>
      </c>
      <c r="I614" s="7" t="str">
        <f>IFERROR(__xludf.DUMMYFUNCTION("""COMPUTED_VALUE"""),"Nam")</f>
        <v>Nam</v>
      </c>
      <c r="J614" s="17">
        <f>IFERROR(__xludf.DUMMYFUNCTION("""COMPUTED_VALUE"""),31463.0)</f>
        <v>31463</v>
      </c>
      <c r="K614" s="7" t="str">
        <f>IFERROR(__xludf.DUMMYFUNCTION("""COMPUTED_VALUE"""),"Phố Quyết Thắng -  Xã Quảng Thịnh -  Thành phố Thanh Hóa -  Thanh Hóa -  Việt Nam")</f>
        <v>Phố Quyết Thắng -  Xã Quảng Thịnh -  Thành phố Thanh Hóa -  Thanh Hóa -  Việt Nam</v>
      </c>
      <c r="L614" s="7" t="str">
        <f>IFERROR(__xludf.DUMMYFUNCTION("""COMPUTED_VALUE"""),"0848589442")</f>
        <v>0848589442</v>
      </c>
      <c r="M614" s="7" t="str">
        <f>IFERROR(__xludf.DUMMYFUNCTION("""COMPUTED_VALUE"""),"038086028459")</f>
        <v>038086028459</v>
      </c>
      <c r="N614" s="19">
        <f>IFERROR(__xludf.DUMMYFUNCTION("""COMPUTED_VALUE"""),45554.0)</f>
        <v>45554</v>
      </c>
      <c r="O614" s="7" t="str">
        <f>IFERROR(__xludf.DUMMYFUNCTION("""COMPUTED_VALUE"""),"Cục Cảnh sát QLHC về TTXH")</f>
        <v>Cục Cảnh sát QLHC về TTXH</v>
      </c>
      <c r="P614" s="7" t="str">
        <f>IFERROR(__xludf.DUMMYFUNCTION("""COMPUTED_VALUE"""),"LĐPT")</f>
        <v>LĐPT</v>
      </c>
      <c r="Q614" s="7" t="str">
        <f>IFERROR(__xludf.DUMMYFUNCTION("""COMPUTED_VALUE"""),"Lao động phổ thông")</f>
        <v>Lao động phổ thông</v>
      </c>
      <c r="R614" s="17">
        <f>IFERROR(__xludf.DUMMYFUNCTION("""COMPUTED_VALUE"""),45700.0)</f>
        <v>45700</v>
      </c>
      <c r="S614" s="17">
        <f>IFERROR(__xludf.DUMMYFUNCTION("""COMPUTED_VALUE"""),45700.0)</f>
        <v>45700</v>
      </c>
      <c r="T614" s="7" t="str">
        <f>IFERROR(__xludf.DUMMYFUNCTION("""COMPUTED_VALUE"""),"Chính thức")</f>
        <v>Chính thức</v>
      </c>
      <c r="U614" s="7"/>
      <c r="V614" s="7" t="str">
        <f>IFERROR(__xludf.DUMMYFUNCTION("""COMPUTED_VALUE"""),"Chính thức")</f>
        <v>Chính thức</v>
      </c>
      <c r="W614" s="7" t="str">
        <f>IFERROR(__xludf.DUMMYFUNCTION("""COMPUTED_VALUE"""),"0 năm 10 tháng")</f>
        <v>0 năm 10 tháng</v>
      </c>
      <c r="X614" s="7"/>
      <c r="Y614" s="7"/>
      <c r="Z614" s="7"/>
    </row>
    <row r="615">
      <c r="A615" s="7">
        <f>IFERROR(__xludf.DUMMYFUNCTION("""COMPUTED_VALUE"""),8.0)</f>
        <v>8</v>
      </c>
      <c r="B615" s="7" t="str">
        <f>IFERROR(__xludf.DUMMYFUNCTION("""COMPUTED_VALUE"""),"DC5-PXSX2")</f>
        <v>DC5-PXSX2</v>
      </c>
      <c r="C615" s="7" t="str">
        <f>IFERROR(__xludf.DUMMYFUNCTION("""COMPUTED_VALUE"""),"Bộ phận Mài và Đóng hộp")</f>
        <v>Bộ phận Mài và Đóng hộp</v>
      </c>
      <c r="D615" s="7" t="str">
        <f>IFERROR(__xludf.DUMMYFUNCTION("""COMPUTED_VALUE"""),"Dây chuyền Mài Ca A")</f>
        <v>Dây chuyền Mài Ca A</v>
      </c>
      <c r="E615" s="7" t="str">
        <f>IFERROR(__xludf.DUMMYFUNCTION("""COMPUTED_VALUE"""),"Vận hành chính máy mài cạnh")</f>
        <v>Vận hành chính máy mài cạnh</v>
      </c>
      <c r="F615" s="7" t="str">
        <f>IFERROR(__xludf.DUMMYFUNCTION("""COMPUTED_VALUE"""),"NV4587")</f>
        <v>NV4587</v>
      </c>
      <c r="G615" s="7">
        <f>IFERROR(__xludf.DUMMYFUNCTION("""COMPUTED_VALUE"""),431.0)</f>
        <v>431</v>
      </c>
      <c r="H615" s="7" t="str">
        <f>IFERROR(__xludf.DUMMYFUNCTION("""COMPUTED_VALUE"""),"Viên Trịnh Hà")</f>
        <v>Viên Trịnh Hà</v>
      </c>
      <c r="I615" s="7" t="str">
        <f>IFERROR(__xludf.DUMMYFUNCTION("""COMPUTED_VALUE"""),"Nam")</f>
        <v>Nam</v>
      </c>
      <c r="J615" s="17">
        <f>IFERROR(__xludf.DUMMYFUNCTION("""COMPUTED_VALUE"""),36780.0)</f>
        <v>36780</v>
      </c>
      <c r="K615" s="7" t="str">
        <f>IFERROR(__xludf.DUMMYFUNCTION("""COMPUTED_VALUE"""),"Xã Quảng Đại -  Thành phố Sầm Sơn -  Thanh Hóa -  Việt Nam")</f>
        <v>Xã Quảng Đại -  Thành phố Sầm Sơn -  Thanh Hóa -  Việt Nam</v>
      </c>
      <c r="L615" s="7" t="str">
        <f>IFERROR(__xludf.DUMMYFUNCTION("""COMPUTED_VALUE"""),"0333377183")</f>
        <v>0333377183</v>
      </c>
      <c r="M615" s="7" t="str">
        <f>IFERROR(__xludf.DUMMYFUNCTION("""COMPUTED_VALUE"""),"038200021307")</f>
        <v>038200021307</v>
      </c>
      <c r="N615" s="19">
        <f>IFERROR(__xludf.DUMMYFUNCTION("""COMPUTED_VALUE"""),44419.0)</f>
        <v>44419</v>
      </c>
      <c r="O615" s="7" t="str">
        <f>IFERROR(__xludf.DUMMYFUNCTION("""COMPUTED_VALUE"""),"Cục Cảnh sát QLHC về TTXH")</f>
        <v>Cục Cảnh sát QLHC về TTXH</v>
      </c>
      <c r="P615" s="7" t="str">
        <f>IFERROR(__xludf.DUMMYFUNCTION("""COMPUTED_VALUE"""),"LĐPT")</f>
        <v>LĐPT</v>
      </c>
      <c r="Q615" s="7" t="str">
        <f>IFERROR(__xludf.DUMMYFUNCTION("""COMPUTED_VALUE"""),"Lao động phổ thông")</f>
        <v>Lao động phổ thông</v>
      </c>
      <c r="R615" s="17">
        <f>IFERROR(__xludf.DUMMYFUNCTION("""COMPUTED_VALUE"""),44955.0)</f>
        <v>44955</v>
      </c>
      <c r="S615" s="17">
        <f>IFERROR(__xludf.DUMMYFUNCTION("""COMPUTED_VALUE"""),45047.0)</f>
        <v>45047</v>
      </c>
      <c r="T615" s="7" t="str">
        <f>IFERROR(__xludf.DUMMYFUNCTION("""COMPUTED_VALUE"""),"Chính thức")</f>
        <v>Chính thức</v>
      </c>
      <c r="U615" s="7"/>
      <c r="V615" s="7" t="str">
        <f>IFERROR(__xludf.DUMMYFUNCTION("""COMPUTED_VALUE"""),"Chính thức")</f>
        <v>Chính thức</v>
      </c>
      <c r="W615" s="7" t="str">
        <f>IFERROR(__xludf.DUMMYFUNCTION("""COMPUTED_VALUE"""),"2 năm 11 tháng")</f>
        <v>2 năm 11 tháng</v>
      </c>
      <c r="X615" s="7"/>
      <c r="Y615" s="7"/>
      <c r="Z615" s="7"/>
    </row>
    <row r="616">
      <c r="A616" s="7">
        <f>IFERROR(__xludf.DUMMYFUNCTION("""COMPUTED_VALUE"""),9.0)</f>
        <v>9</v>
      </c>
      <c r="B616" s="7" t="str">
        <f>IFERROR(__xludf.DUMMYFUNCTION("""COMPUTED_VALUE"""),"DC5-PXSX2")</f>
        <v>DC5-PXSX2</v>
      </c>
      <c r="C616" s="7" t="str">
        <f>IFERROR(__xludf.DUMMYFUNCTION("""COMPUTED_VALUE"""),"Bộ phận Mài và Đóng hộp")</f>
        <v>Bộ phận Mài và Đóng hộp</v>
      </c>
      <c r="D616" s="7" t="str">
        <f>IFERROR(__xludf.DUMMYFUNCTION("""COMPUTED_VALUE"""),"Dây chuyền Mài Ca A")</f>
        <v>Dây chuyền Mài Ca A</v>
      </c>
      <c r="E616" s="7" t="str">
        <f>IFERROR(__xludf.DUMMYFUNCTION("""COMPUTED_VALUE"""),"Xe nâng")</f>
        <v>Xe nâng</v>
      </c>
      <c r="F616" s="7" t="str">
        <f>IFERROR(__xludf.DUMMYFUNCTION("""COMPUTED_VALUE"""),"NV1715")</f>
        <v>NV1715</v>
      </c>
      <c r="G616" s="7">
        <f>IFERROR(__xludf.DUMMYFUNCTION("""COMPUTED_VALUE"""),430.0)</f>
        <v>430</v>
      </c>
      <c r="H616" s="7" t="str">
        <f>IFERROR(__xludf.DUMMYFUNCTION("""COMPUTED_VALUE"""),"Lê Xuân Linh")</f>
        <v>Lê Xuân Linh</v>
      </c>
      <c r="I616" s="7" t="str">
        <f>IFERROR(__xludf.DUMMYFUNCTION("""COMPUTED_VALUE"""),"Nam")</f>
        <v>Nam</v>
      </c>
      <c r="J616" s="17">
        <f>IFERROR(__xludf.DUMMYFUNCTION("""COMPUTED_VALUE"""),32767.0)</f>
        <v>32767</v>
      </c>
      <c r="K616" s="7" t="str">
        <f>IFERROR(__xludf.DUMMYFUNCTION("""COMPUTED_VALUE"""),"58 Trường Thi -  Phường Trường Thi -  Thành phố Thanh Hóa")</f>
        <v>58 Trường Thi -  Phường Trường Thi -  Thành phố Thanh Hóa</v>
      </c>
      <c r="L616" s="7" t="str">
        <f>IFERROR(__xludf.DUMMYFUNCTION("""COMPUTED_VALUE"""),"0943850456")</f>
        <v>0943850456</v>
      </c>
      <c r="M616" s="7" t="str">
        <f>IFERROR(__xludf.DUMMYFUNCTION("""COMPUTED_VALUE"""),"038089041810")</f>
        <v>038089041810</v>
      </c>
      <c r="N616" s="19">
        <f>IFERROR(__xludf.DUMMYFUNCTION("""COMPUTED_VALUE"""),44427.0)</f>
        <v>44427</v>
      </c>
      <c r="O616" s="7" t="str">
        <f>IFERROR(__xludf.DUMMYFUNCTION("""COMPUTED_VALUE"""),"Cục Cảnh sát QLHC về TTXH")</f>
        <v>Cục Cảnh sát QLHC về TTXH</v>
      </c>
      <c r="P616" s="7" t="str">
        <f>IFERROR(__xludf.DUMMYFUNCTION("""COMPUTED_VALUE"""),"Bằng nghề")</f>
        <v>Bằng nghề</v>
      </c>
      <c r="Q616" s="7" t="str">
        <f>IFERROR(__xludf.DUMMYFUNCTION("""COMPUTED_VALUE"""),"Lái xe hạng B2")</f>
        <v>Lái xe hạng B2</v>
      </c>
      <c r="R616" s="17">
        <f>IFERROR(__xludf.DUMMYFUNCTION("""COMPUTED_VALUE"""),44021.0)</f>
        <v>44021</v>
      </c>
      <c r="S616" s="17">
        <f>IFERROR(__xludf.DUMMYFUNCTION("""COMPUTED_VALUE"""),44348.0)</f>
        <v>44348</v>
      </c>
      <c r="T616" s="7" t="str">
        <f>IFERROR(__xludf.DUMMYFUNCTION("""COMPUTED_VALUE"""),"Chính thức")</f>
        <v>Chính thức</v>
      </c>
      <c r="U616" s="7"/>
      <c r="V616" s="7" t="str">
        <f>IFERROR(__xludf.DUMMYFUNCTION("""COMPUTED_VALUE"""),"Chính thức")</f>
        <v>Chính thức</v>
      </c>
      <c r="W616" s="7" t="str">
        <f>IFERROR(__xludf.DUMMYFUNCTION("""COMPUTED_VALUE"""),"5 năm 5 tháng")</f>
        <v>5 năm 5 tháng</v>
      </c>
      <c r="X616" s="7"/>
      <c r="Y616" s="7"/>
      <c r="Z616" s="7"/>
    </row>
    <row r="617">
      <c r="A617" s="7">
        <f>IFERROR(__xludf.DUMMYFUNCTION("""COMPUTED_VALUE"""),10.0)</f>
        <v>10</v>
      </c>
      <c r="B617" s="7" t="str">
        <f>IFERROR(__xludf.DUMMYFUNCTION("""COMPUTED_VALUE"""),"DC5-PXSX2")</f>
        <v>DC5-PXSX2</v>
      </c>
      <c r="C617" s="7" t="str">
        <f>IFERROR(__xludf.DUMMYFUNCTION("""COMPUTED_VALUE"""),"Bộ phận Mài và Đóng hộp")</f>
        <v>Bộ phận Mài và Đóng hộp</v>
      </c>
      <c r="D617" s="7" t="str">
        <f>IFERROR(__xludf.DUMMYFUNCTION("""COMPUTED_VALUE"""),"Dây chuyền Mài Ca A")</f>
        <v>Dây chuyền Mài Ca A</v>
      </c>
      <c r="E617" s="7" t="str">
        <f>IFERROR(__xludf.DUMMYFUNCTION("""COMPUTED_VALUE"""),"Vận hành bể nước thải")</f>
        <v>Vận hành bể nước thải</v>
      </c>
      <c r="F617" s="7" t="str">
        <f>IFERROR(__xludf.DUMMYFUNCTION("""COMPUTED_VALUE"""),"NV0483")</f>
        <v>NV0483</v>
      </c>
      <c r="G617" s="7">
        <f>IFERROR(__xludf.DUMMYFUNCTION("""COMPUTED_VALUE"""),435.0)</f>
        <v>435</v>
      </c>
      <c r="H617" s="7" t="str">
        <f>IFERROR(__xludf.DUMMYFUNCTION("""COMPUTED_VALUE"""),"Phạm Khắc Sỹ")</f>
        <v>Phạm Khắc Sỹ</v>
      </c>
      <c r="I617" s="7" t="str">
        <f>IFERROR(__xludf.DUMMYFUNCTION("""COMPUTED_VALUE"""),"Nam")</f>
        <v>Nam</v>
      </c>
      <c r="J617" s="17">
        <f>IFERROR(__xludf.DUMMYFUNCTION("""COMPUTED_VALUE"""),28656.0)</f>
        <v>28656</v>
      </c>
      <c r="K617" s="7" t="str">
        <f>IFERROR(__xludf.DUMMYFUNCTION("""COMPUTED_VALUE"""),"Xã Quảng Phú -  Huyện Quảng Xương -  Tỉnh Thanh Hóa -  Việt Nam")</f>
        <v>Xã Quảng Phú -  Huyện Quảng Xương -  Tỉnh Thanh Hóa -  Việt Nam</v>
      </c>
      <c r="L617" s="7" t="str">
        <f>IFERROR(__xludf.DUMMYFUNCTION("""COMPUTED_VALUE"""),"0393670105")</f>
        <v>0393670105</v>
      </c>
      <c r="M617" s="7" t="str">
        <f>IFERROR(__xludf.DUMMYFUNCTION("""COMPUTED_VALUE"""),"038078027834")</f>
        <v>038078027834</v>
      </c>
      <c r="N617" s="19">
        <f>IFERROR(__xludf.DUMMYFUNCTION("""COMPUTED_VALUE"""),44422.0)</f>
        <v>44422</v>
      </c>
      <c r="O617" s="7" t="str">
        <f>IFERROR(__xludf.DUMMYFUNCTION("""COMPUTED_VALUE"""),"Cục Cảnh sát QLHC về TTXH")</f>
        <v>Cục Cảnh sát QLHC về TTXH</v>
      </c>
      <c r="P617" s="7" t="str">
        <f>IFERROR(__xludf.DUMMYFUNCTION("""COMPUTED_VALUE"""),"LĐPT")</f>
        <v>LĐPT</v>
      </c>
      <c r="Q617" s="7" t="str">
        <f>IFERROR(__xludf.DUMMYFUNCTION("""COMPUTED_VALUE"""),"Lao động phổ thông")</f>
        <v>Lao động phổ thông</v>
      </c>
      <c r="R617" s="17">
        <f>IFERROR(__xludf.DUMMYFUNCTION("""COMPUTED_VALUE"""),42319.0)</f>
        <v>42319</v>
      </c>
      <c r="S617" s="17">
        <f>IFERROR(__xludf.DUMMYFUNCTION("""COMPUTED_VALUE"""),42740.0)</f>
        <v>42740</v>
      </c>
      <c r="T617" s="7" t="str">
        <f>IFERROR(__xludf.DUMMYFUNCTION("""COMPUTED_VALUE"""),"Chính thức")</f>
        <v>Chính thức</v>
      </c>
      <c r="U617" s="7"/>
      <c r="V617" s="7" t="str">
        <f>IFERROR(__xludf.DUMMYFUNCTION("""COMPUTED_VALUE"""),"Chính thức")</f>
        <v>Chính thức</v>
      </c>
      <c r="W617" s="7" t="str">
        <f>IFERROR(__xludf.DUMMYFUNCTION("""COMPUTED_VALUE"""),"10 năm 1 tháng")</f>
        <v>10 năm 1 tháng</v>
      </c>
      <c r="X617" s="7"/>
      <c r="Y617" s="7"/>
      <c r="Z617" s="7"/>
    </row>
    <row r="618">
      <c r="A618" s="7">
        <f>IFERROR(__xludf.DUMMYFUNCTION("""COMPUTED_VALUE"""),11.0)</f>
        <v>11</v>
      </c>
      <c r="B618" s="7" t="str">
        <f>IFERROR(__xludf.DUMMYFUNCTION("""COMPUTED_VALUE"""),"DC5-PXSX2")</f>
        <v>DC5-PXSX2</v>
      </c>
      <c r="C618" s="7" t="str">
        <f>IFERROR(__xludf.DUMMYFUNCTION("""COMPUTED_VALUE"""),"Bộ phận Mài và Đóng hộp")</f>
        <v>Bộ phận Mài và Đóng hộp</v>
      </c>
      <c r="D618" s="7" t="str">
        <f>IFERROR(__xludf.DUMMYFUNCTION("""COMPUTED_VALUE"""),"Dây chuyền Mài Ca A")</f>
        <v>Dây chuyền Mài Ca A</v>
      </c>
      <c r="E618" s="7" t="str">
        <f>IFERROR(__xludf.DUMMYFUNCTION("""COMPUTED_VALUE"""),"Cơ điện phụ trách mài cạnh Px2")</f>
        <v>Cơ điện phụ trách mài cạnh Px2</v>
      </c>
      <c r="F618" s="7" t="str">
        <f>IFERROR(__xludf.DUMMYFUNCTION("""COMPUTED_VALUE"""),"NV0720")</f>
        <v>NV0720</v>
      </c>
      <c r="G618" s="7">
        <f>IFERROR(__xludf.DUMMYFUNCTION("""COMPUTED_VALUE"""),412.0)</f>
        <v>412</v>
      </c>
      <c r="H618" s="7" t="str">
        <f>IFERROR(__xludf.DUMMYFUNCTION("""COMPUTED_VALUE"""),"Lê Công Thao")</f>
        <v>Lê Công Thao</v>
      </c>
      <c r="I618" s="7" t="str">
        <f>IFERROR(__xludf.DUMMYFUNCTION("""COMPUTED_VALUE"""),"Nam")</f>
        <v>Nam</v>
      </c>
      <c r="J618" s="17">
        <f>IFERROR(__xludf.DUMMYFUNCTION("""COMPUTED_VALUE"""),33192.0)</f>
        <v>33192</v>
      </c>
      <c r="K618" s="7" t="str">
        <f>IFERROR(__xludf.DUMMYFUNCTION("""COMPUTED_VALUE"""),"Thôn 3 -  Xã Quảng Nhân -  Huyện Quảng Xương -  Thanh Hóa")</f>
        <v>Thôn 3 -  Xã Quảng Nhân -  Huyện Quảng Xương -  Thanh Hóa</v>
      </c>
      <c r="L618" s="7" t="str">
        <f>IFERROR(__xludf.DUMMYFUNCTION("""COMPUTED_VALUE"""),"0989728529")</f>
        <v>0989728529</v>
      </c>
      <c r="M618" s="7" t="str">
        <f>IFERROR(__xludf.DUMMYFUNCTION("""COMPUTED_VALUE"""),"038090045806")</f>
        <v>038090045806</v>
      </c>
      <c r="N618" s="19">
        <f>IFERROR(__xludf.DUMMYFUNCTION("""COMPUTED_VALUE"""),44375.0)</f>
        <v>44375</v>
      </c>
      <c r="O618" s="7" t="str">
        <f>IFERROR(__xludf.DUMMYFUNCTION("""COMPUTED_VALUE"""),"Cục Cảnh sát QLHC về TTXH")</f>
        <v>Cục Cảnh sát QLHC về TTXH</v>
      </c>
      <c r="P618" s="7" t="str">
        <f>IFERROR(__xludf.DUMMYFUNCTION("""COMPUTED_VALUE"""),"Trung cấp")</f>
        <v>Trung cấp</v>
      </c>
      <c r="Q618" s="7" t="str">
        <f>IFERROR(__xludf.DUMMYFUNCTION("""COMPUTED_VALUE"""),"Điện lực")</f>
        <v>Điện lực</v>
      </c>
      <c r="R618" s="17">
        <f>IFERROR(__xludf.DUMMYFUNCTION("""COMPUTED_VALUE"""),43626.0)</f>
        <v>43626</v>
      </c>
      <c r="S618" s="17">
        <f>IFERROR(__xludf.DUMMYFUNCTION("""COMPUTED_VALUE"""),44044.0)</f>
        <v>44044</v>
      </c>
      <c r="T618" s="7" t="str">
        <f>IFERROR(__xludf.DUMMYFUNCTION("""COMPUTED_VALUE"""),"Chính thức")</f>
        <v>Chính thức</v>
      </c>
      <c r="U618" s="7"/>
      <c r="V618" s="7" t="str">
        <f>IFERROR(__xludf.DUMMYFUNCTION("""COMPUTED_VALUE"""),"Chính thức")</f>
        <v>Chính thức</v>
      </c>
      <c r="W618" s="7" t="str">
        <f>IFERROR(__xludf.DUMMYFUNCTION("""COMPUTED_VALUE"""),"6 năm 6 tháng")</f>
        <v>6 năm 6 tháng</v>
      </c>
      <c r="X618" s="7"/>
      <c r="Y618" s="7"/>
      <c r="Z618" s="7"/>
    </row>
    <row r="619">
      <c r="A619" s="7">
        <f>IFERROR(__xludf.DUMMYFUNCTION("""COMPUTED_VALUE"""),12.0)</f>
        <v>12</v>
      </c>
      <c r="B619" s="7" t="str">
        <f>IFERROR(__xludf.DUMMYFUNCTION("""COMPUTED_VALUE"""),"DC5-PXSX2")</f>
        <v>DC5-PXSX2</v>
      </c>
      <c r="C619" s="7" t="str">
        <f>IFERROR(__xludf.DUMMYFUNCTION("""COMPUTED_VALUE"""),"Bộ phận Mài và Đóng hộp")</f>
        <v>Bộ phận Mài và Đóng hộp</v>
      </c>
      <c r="D619" s="7" t="str">
        <f>IFERROR(__xludf.DUMMYFUNCTION("""COMPUTED_VALUE"""),"Dây chuyền Mài Ca A")</f>
        <v>Dây chuyền Mài Ca A</v>
      </c>
      <c r="E619" s="7" t="str">
        <f>IFERROR(__xludf.DUMMYFUNCTION("""COMPUTED_VALUE"""),"Vận hành máy Nano mức 1")</f>
        <v>Vận hành máy Nano mức 1</v>
      </c>
      <c r="F619" s="7" t="str">
        <f>IFERROR(__xludf.DUMMYFUNCTION("""COMPUTED_VALUE"""),"NV4841")</f>
        <v>NV4841</v>
      </c>
      <c r="G619" s="7">
        <f>IFERROR(__xludf.DUMMYFUNCTION("""COMPUTED_VALUE"""),878.0)</f>
        <v>878</v>
      </c>
      <c r="H619" s="7" t="str">
        <f>IFERROR(__xludf.DUMMYFUNCTION("""COMPUTED_VALUE"""),"Viên Đình Thống")</f>
        <v>Viên Đình Thống</v>
      </c>
      <c r="I619" s="7" t="str">
        <f>IFERROR(__xludf.DUMMYFUNCTION("""COMPUTED_VALUE"""),"Nam")</f>
        <v>Nam</v>
      </c>
      <c r="J619" s="17">
        <f>IFERROR(__xludf.DUMMYFUNCTION("""COMPUTED_VALUE"""),37612.0)</f>
        <v>37612</v>
      </c>
      <c r="K619" s="7" t="str">
        <f>IFERROR(__xludf.DUMMYFUNCTION("""COMPUTED_VALUE"""),"Thôn Thủ Phú -  Xã Đại Hùng -  Thành phố Sầm Sơn -  Tỉnh Thanh Hóa")</f>
        <v>Thôn Thủ Phú -  Xã Đại Hùng -  Thành phố Sầm Sơn -  Tỉnh Thanh Hóa</v>
      </c>
      <c r="L619" s="7" t="str">
        <f>IFERROR(__xludf.DUMMYFUNCTION("""COMPUTED_VALUE"""),"0385848936")</f>
        <v>0385848936</v>
      </c>
      <c r="M619" s="7" t="str">
        <f>IFERROR(__xludf.DUMMYFUNCTION("""COMPUTED_VALUE"""),"038202022118")</f>
        <v>038202022118</v>
      </c>
      <c r="N619" s="19">
        <f>IFERROR(__xludf.DUMMYFUNCTION("""COMPUTED_VALUE"""),44376.0)</f>
        <v>44376</v>
      </c>
      <c r="O619" s="7" t="str">
        <f>IFERROR(__xludf.DUMMYFUNCTION("""COMPUTED_VALUE"""),"Cục Cảnh sát QLHC về TTXH")</f>
        <v>Cục Cảnh sát QLHC về TTXH</v>
      </c>
      <c r="P619" s="7" t="str">
        <f>IFERROR(__xludf.DUMMYFUNCTION("""COMPUTED_VALUE"""),"LĐPT")</f>
        <v>LĐPT</v>
      </c>
      <c r="Q619" s="7" t="str">
        <f>IFERROR(__xludf.DUMMYFUNCTION("""COMPUTED_VALUE"""),"Lao động phổ thông")</f>
        <v>Lao động phổ thông</v>
      </c>
      <c r="R619" s="17">
        <f>IFERROR(__xludf.DUMMYFUNCTION("""COMPUTED_VALUE"""),45726.0)</f>
        <v>45726</v>
      </c>
      <c r="S619" s="17">
        <f>IFERROR(__xludf.DUMMYFUNCTION("""COMPUTED_VALUE"""),45726.0)</f>
        <v>45726</v>
      </c>
      <c r="T619" s="7" t="str">
        <f>IFERROR(__xludf.DUMMYFUNCTION("""COMPUTED_VALUE"""),"Chính thức")</f>
        <v>Chính thức</v>
      </c>
      <c r="U619" s="7"/>
      <c r="V619" s="7" t="str">
        <f>IFERROR(__xludf.DUMMYFUNCTION("""COMPUTED_VALUE"""),"Chính thức")</f>
        <v>Chính thức</v>
      </c>
      <c r="W619" s="7" t="str">
        <f>IFERROR(__xludf.DUMMYFUNCTION("""COMPUTED_VALUE"""),"0 năm 9 tháng")</f>
        <v>0 năm 9 tháng</v>
      </c>
      <c r="X619" s="7"/>
      <c r="Y619" s="7"/>
      <c r="Z619" s="7"/>
    </row>
    <row r="620">
      <c r="A620" s="7">
        <f>IFERROR(__xludf.DUMMYFUNCTION("""COMPUTED_VALUE"""),13.0)</f>
        <v>13</v>
      </c>
      <c r="B620" s="7" t="str">
        <f>IFERROR(__xludf.DUMMYFUNCTION("""COMPUTED_VALUE"""),"DC5-PXSX2")</f>
        <v>DC5-PXSX2</v>
      </c>
      <c r="C620" s="7" t="str">
        <f>IFERROR(__xludf.DUMMYFUNCTION("""COMPUTED_VALUE"""),"Bộ phận Mài và Đóng hộp")</f>
        <v>Bộ phận Mài và Đóng hộp</v>
      </c>
      <c r="D620" s="7" t="str">
        <f>IFERROR(__xludf.DUMMYFUNCTION("""COMPUTED_VALUE"""),"Dây chuyền Mài Ca A")</f>
        <v>Dây chuyền Mài Ca A</v>
      </c>
      <c r="E620" s="7" t="str">
        <f>IFERROR(__xludf.DUMMYFUNCTION("""COMPUTED_VALUE"""),"Vận hành chính máy mài mặt")</f>
        <v>Vận hành chính máy mài mặt</v>
      </c>
      <c r="F620" s="7" t="str">
        <f>IFERROR(__xludf.DUMMYFUNCTION("""COMPUTED_VALUE"""),"NV5404")</f>
        <v>NV5404</v>
      </c>
      <c r="G620" s="7">
        <f>IFERROR(__xludf.DUMMYFUNCTION("""COMPUTED_VALUE"""),845.0)</f>
        <v>845</v>
      </c>
      <c r="H620" s="7" t="str">
        <f>IFERROR(__xludf.DUMMYFUNCTION("""COMPUTED_VALUE"""),"Mai Văn Chung")</f>
        <v>Mai Văn Chung</v>
      </c>
      <c r="I620" s="7" t="str">
        <f>IFERROR(__xludf.DUMMYFUNCTION("""COMPUTED_VALUE"""),"Nam")</f>
        <v>Nam</v>
      </c>
      <c r="J620" s="17">
        <f>IFERROR(__xludf.DUMMYFUNCTION("""COMPUTED_VALUE"""),28574.0)</f>
        <v>28574</v>
      </c>
      <c r="K620" s="7" t="str">
        <f>IFERROR(__xludf.DUMMYFUNCTION("""COMPUTED_VALUE"""),"Xã Khuyến Nông - Huyện Triệu Sơn - Tỉnh Thanh Hóa")</f>
        <v>Xã Khuyến Nông - Huyện Triệu Sơn - Tỉnh Thanh Hóa</v>
      </c>
      <c r="L620" s="7" t="str">
        <f>IFERROR(__xludf.DUMMYFUNCTION("""COMPUTED_VALUE"""),"0373126678")</f>
        <v>0373126678</v>
      </c>
      <c r="M620" s="7" t="str">
        <f>IFERROR(__xludf.DUMMYFUNCTION("""COMPUTED_VALUE"""),"038078017284")</f>
        <v>038078017284</v>
      </c>
      <c r="N620" s="19">
        <f>IFERROR(__xludf.DUMMYFUNCTION("""COMPUTED_VALUE"""),44435.0)</f>
        <v>44435</v>
      </c>
      <c r="O620" s="7" t="str">
        <f>IFERROR(__xludf.DUMMYFUNCTION("""COMPUTED_VALUE"""),"Cục Cảnh sát QLHC về TTXH")</f>
        <v>Cục Cảnh sát QLHC về TTXH</v>
      </c>
      <c r="P620" s="7" t="str">
        <f>IFERROR(__xludf.DUMMYFUNCTION("""COMPUTED_VALUE"""),"Đại học")</f>
        <v>Đại học</v>
      </c>
      <c r="Q620" s="7"/>
      <c r="R620" s="17">
        <f>IFERROR(__xludf.DUMMYFUNCTION("""COMPUTED_VALUE"""),45701.0)</f>
        <v>45701</v>
      </c>
      <c r="S620" s="7"/>
      <c r="T620" s="7" t="str">
        <f>IFERROR(__xludf.DUMMYFUNCTION("""COMPUTED_VALUE"""),"Chính thức")</f>
        <v>Chính thức</v>
      </c>
      <c r="U620" s="7"/>
      <c r="V620" s="7" t="str">
        <f>IFERROR(__xludf.DUMMYFUNCTION("""COMPUTED_VALUE"""),"Chính thức")</f>
        <v>Chính thức</v>
      </c>
      <c r="W620" s="7" t="str">
        <f>IFERROR(__xludf.DUMMYFUNCTION("""COMPUTED_VALUE"""),"0 năm 10 tháng")</f>
        <v>0 năm 10 tháng</v>
      </c>
      <c r="X620" s="7"/>
      <c r="Y620" s="7"/>
      <c r="Z620" s="7"/>
    </row>
    <row r="621">
      <c r="A621" s="7">
        <f>IFERROR(__xludf.DUMMYFUNCTION("""COMPUTED_VALUE"""),14.0)</f>
        <v>14</v>
      </c>
      <c r="B621" s="7" t="str">
        <f>IFERROR(__xludf.DUMMYFUNCTION("""COMPUTED_VALUE"""),"DC5-PXSX2")</f>
        <v>DC5-PXSX2</v>
      </c>
      <c r="C621" s="7" t="str">
        <f>IFERROR(__xludf.DUMMYFUNCTION("""COMPUTED_VALUE"""),"Bộ phận Mài và Đóng hộp")</f>
        <v>Bộ phận Mài và Đóng hộp</v>
      </c>
      <c r="D621" s="7" t="str">
        <f>IFERROR(__xludf.DUMMYFUNCTION("""COMPUTED_VALUE"""),"Dây chuyền Mài Ca A")</f>
        <v>Dây chuyền Mài Ca A</v>
      </c>
      <c r="E621" s="7"/>
      <c r="F621" s="7" t="str">
        <f>IFERROR(__xludf.DUMMYFUNCTION("""COMPUTED_VALUE"""),"NV5630")</f>
        <v>NV5630</v>
      </c>
      <c r="G621" s="7">
        <f>IFERROR(__xludf.DUMMYFUNCTION("""COMPUTED_VALUE"""),1120.0)</f>
        <v>1120</v>
      </c>
      <c r="H621" s="7" t="str">
        <f>IFERROR(__xludf.DUMMYFUNCTION("""COMPUTED_VALUE"""),"Hoàng Đình Anh")</f>
        <v>Hoàng Đình Anh</v>
      </c>
      <c r="I621" s="7" t="str">
        <f>IFERROR(__xludf.DUMMYFUNCTION("""COMPUTED_VALUE"""),"Nam")</f>
        <v>Nam</v>
      </c>
      <c r="J621" s="17">
        <f>IFERROR(__xludf.DUMMYFUNCTION("""COMPUTED_VALUE"""),36541.0)</f>
        <v>36541</v>
      </c>
      <c r="K621" s="7" t="str">
        <f>IFERROR(__xludf.DUMMYFUNCTION("""COMPUTED_VALUE""")," Thôn Bắc Hội Triều - Xã Hoằng Châu -Tỉnh Thanh Hóa")</f>
        <v> Thôn Bắc Hội Triều - Xã Hoằng Châu -Tỉnh Thanh Hóa</v>
      </c>
      <c r="L621" s="7" t="str">
        <f>IFERROR(__xludf.DUMMYFUNCTION("""COMPUTED_VALUE"""),"0379722686")</f>
        <v>0379722686</v>
      </c>
      <c r="M621" s="7" t="str">
        <f>IFERROR(__xludf.DUMMYFUNCTION("""COMPUTED_VALUE"""),"038200030371")</f>
        <v>038200030371</v>
      </c>
      <c r="N621" s="19">
        <f>IFERROR(__xludf.DUMMYFUNCTION("""COMPUTED_VALUE"""),45698.0)</f>
        <v>45698</v>
      </c>
      <c r="O621" s="7" t="str">
        <f>IFERROR(__xludf.DUMMYFUNCTION("""COMPUTED_VALUE"""),"Bộ công an")</f>
        <v>Bộ công an</v>
      </c>
      <c r="P621" s="7" t="str">
        <f>IFERROR(__xludf.DUMMYFUNCTION("""COMPUTED_VALUE"""),"LĐPT")</f>
        <v>LĐPT</v>
      </c>
      <c r="Q621" s="7" t="str">
        <f>IFERROR(__xludf.DUMMYFUNCTION("""COMPUTED_VALUE"""),"Lao động phổ thông")</f>
        <v>Lao động phổ thông</v>
      </c>
      <c r="R621" s="17">
        <f>IFERROR(__xludf.DUMMYFUNCTION("""COMPUTED_VALUE"""),45856.0)</f>
        <v>45856</v>
      </c>
      <c r="S621" s="17">
        <f>IFERROR(__xludf.DUMMYFUNCTION("""COMPUTED_VALUE"""),45887.0)</f>
        <v>45887</v>
      </c>
      <c r="T621" s="7" t="str">
        <f>IFERROR(__xludf.DUMMYFUNCTION("""COMPUTED_VALUE"""),"Chính thức")</f>
        <v>Chính thức</v>
      </c>
      <c r="U621" s="7"/>
      <c r="V621" s="7" t="str">
        <f>IFERROR(__xludf.DUMMYFUNCTION("""COMPUTED_VALUE"""),"Chính thức")</f>
        <v>Chính thức</v>
      </c>
      <c r="W621" s="7" t="str">
        <f>IFERROR(__xludf.DUMMYFUNCTION("""COMPUTED_VALUE"""),"0 năm 5 tháng")</f>
        <v>0 năm 5 tháng</v>
      </c>
      <c r="X621" s="7"/>
      <c r="Y621" s="7"/>
      <c r="Z621" s="7"/>
    </row>
    <row r="622">
      <c r="A622" s="7">
        <f>IFERROR(__xludf.DUMMYFUNCTION("""COMPUTED_VALUE"""),1.0)</f>
        <v>1</v>
      </c>
      <c r="B622" s="7" t="str">
        <f>IFERROR(__xludf.DUMMYFUNCTION("""COMPUTED_VALUE"""),"DC5-PXSX2")</f>
        <v>DC5-PXSX2</v>
      </c>
      <c r="C622" s="7" t="str">
        <f>IFERROR(__xludf.DUMMYFUNCTION("""COMPUTED_VALUE"""),"Bộ phận Mài và Đóng hộp")</f>
        <v>Bộ phận Mài và Đóng hộp</v>
      </c>
      <c r="D622" s="7" t="str">
        <f>IFERROR(__xludf.DUMMYFUNCTION("""COMPUTED_VALUE"""),"Dây chuyền Mài Ca B")</f>
        <v>Dây chuyền Mài Ca B</v>
      </c>
      <c r="E622" s="7" t="str">
        <f>IFERROR(__xludf.DUMMYFUNCTION("""COMPUTED_VALUE"""),"Vận hành đầu rải")</f>
        <v>Vận hành đầu rải</v>
      </c>
      <c r="F622" s="7" t="str">
        <f>IFERROR(__xludf.DUMMYFUNCTION("""COMPUTED_VALUE"""),"NV2776")</f>
        <v>NV2776</v>
      </c>
      <c r="G622" s="7">
        <f>IFERROR(__xludf.DUMMYFUNCTION("""COMPUTED_VALUE"""),437.0)</f>
        <v>437</v>
      </c>
      <c r="H622" s="7" t="str">
        <f>IFERROR(__xludf.DUMMYFUNCTION("""COMPUTED_VALUE"""),"Nguyễn Kiên Cường")</f>
        <v>Nguyễn Kiên Cường</v>
      </c>
      <c r="I622" s="7" t="str">
        <f>IFERROR(__xludf.DUMMYFUNCTION("""COMPUTED_VALUE"""),"Nam")</f>
        <v>Nam</v>
      </c>
      <c r="J622" s="17">
        <f>IFERROR(__xludf.DUMMYFUNCTION("""COMPUTED_VALUE"""),30316.0)</f>
        <v>30316</v>
      </c>
      <c r="K622" s="7" t="str">
        <f>IFERROR(__xludf.DUMMYFUNCTION("""COMPUTED_VALUE"""),"Xã Đông Hải -  Thành phố Thanh Hóa -  Thanh Hóa -  Việt Nam")</f>
        <v>Xã Đông Hải -  Thành phố Thanh Hóa -  Thanh Hóa -  Việt Nam</v>
      </c>
      <c r="L622" s="7" t="str">
        <f>IFERROR(__xludf.DUMMYFUNCTION("""COMPUTED_VALUE"""),"0986567948; 0376366422")</f>
        <v>0986567948; 0376366422</v>
      </c>
      <c r="M622" s="7" t="str">
        <f>IFERROR(__xludf.DUMMYFUNCTION("""COMPUTED_VALUE"""),"011082000081")</f>
        <v>011082000081</v>
      </c>
      <c r="N622" s="19">
        <f>IFERROR(__xludf.DUMMYFUNCTION("""COMPUTED_VALUE"""),44375.0)</f>
        <v>44375</v>
      </c>
      <c r="O622" s="7" t="str">
        <f>IFERROR(__xludf.DUMMYFUNCTION("""COMPUTED_VALUE"""),"Cục Cảnh sát QLHC về TTXH")</f>
        <v>Cục Cảnh sát QLHC về TTXH</v>
      </c>
      <c r="P622" s="7" t="str">
        <f>IFERROR(__xludf.DUMMYFUNCTION("""COMPUTED_VALUE"""),"LĐPT")</f>
        <v>LĐPT</v>
      </c>
      <c r="Q622" s="7" t="str">
        <f>IFERROR(__xludf.DUMMYFUNCTION("""COMPUTED_VALUE"""),"Lao động phổ thông")</f>
        <v>Lao động phổ thông</v>
      </c>
      <c r="R622" s="17">
        <f>IFERROR(__xludf.DUMMYFUNCTION("""COMPUTED_VALUE"""),43875.0)</f>
        <v>43875</v>
      </c>
      <c r="S622" s="17">
        <f>IFERROR(__xludf.DUMMYFUNCTION("""COMPUTED_VALUE"""),44166.0)</f>
        <v>44166</v>
      </c>
      <c r="T622" s="7" t="str">
        <f>IFERROR(__xludf.DUMMYFUNCTION("""COMPUTED_VALUE"""),"Chính thức")</f>
        <v>Chính thức</v>
      </c>
      <c r="U622" s="7"/>
      <c r="V622" s="7" t="str">
        <f>IFERROR(__xludf.DUMMYFUNCTION("""COMPUTED_VALUE"""),"Chính thức")</f>
        <v>Chính thức</v>
      </c>
      <c r="W622" s="7" t="str">
        <f>IFERROR(__xludf.DUMMYFUNCTION("""COMPUTED_VALUE"""),"5 năm 10 tháng")</f>
        <v>5 năm 10 tháng</v>
      </c>
      <c r="X622" s="7"/>
      <c r="Y622" s="7"/>
      <c r="Z622" s="7"/>
    </row>
    <row r="623">
      <c r="A623" s="7">
        <f>IFERROR(__xludf.DUMMYFUNCTION("""COMPUTED_VALUE"""),2.0)</f>
        <v>2</v>
      </c>
      <c r="B623" s="7" t="str">
        <f>IFERROR(__xludf.DUMMYFUNCTION("""COMPUTED_VALUE"""),"DC5-PXSX2")</f>
        <v>DC5-PXSX2</v>
      </c>
      <c r="C623" s="7" t="str">
        <f>IFERROR(__xludf.DUMMYFUNCTION("""COMPUTED_VALUE"""),"Bộ phận Mài và Đóng hộp")</f>
        <v>Bộ phận Mài và Đóng hộp</v>
      </c>
      <c r="D623" s="7" t="str">
        <f>IFERROR(__xludf.DUMMYFUNCTION("""COMPUTED_VALUE"""),"Dây chuyền Mài Ca B")</f>
        <v>Dây chuyền Mài Ca B</v>
      </c>
      <c r="E623" s="7" t="str">
        <f>IFERROR(__xludf.DUMMYFUNCTION("""COMPUTED_VALUE"""),"Vận hành máy mài cạnh mức 1")</f>
        <v>Vận hành máy mài cạnh mức 1</v>
      </c>
      <c r="F623" s="7" t="str">
        <f>IFERROR(__xludf.DUMMYFUNCTION("""COMPUTED_VALUE"""),"NV3688")</f>
        <v>NV3688</v>
      </c>
      <c r="G623" s="7">
        <f>IFERROR(__xludf.DUMMYFUNCTION("""COMPUTED_VALUE"""),433.0)</f>
        <v>433</v>
      </c>
      <c r="H623" s="7" t="str">
        <f>IFERROR(__xludf.DUMMYFUNCTION("""COMPUTED_VALUE"""),"Lê Công Dũng")</f>
        <v>Lê Công Dũng</v>
      </c>
      <c r="I623" s="7" t="str">
        <f>IFERROR(__xludf.DUMMYFUNCTION("""COMPUTED_VALUE"""),"Nam")</f>
        <v>Nam</v>
      </c>
      <c r="J623" s="17">
        <f>IFERROR(__xludf.DUMMYFUNCTION("""COMPUTED_VALUE"""),30599.0)</f>
        <v>30599</v>
      </c>
      <c r="K623" s="7" t="str">
        <f>IFERROR(__xludf.DUMMYFUNCTION("""COMPUTED_VALUE"""),"Thôn Đa Sỹ -  Xã Đông Vinh -  Thành phố Thanh Hóa -  Thanh Hóa -  Việt Nam")</f>
        <v>Thôn Đa Sỹ -  Xã Đông Vinh -  Thành phố Thanh Hóa -  Thanh Hóa -  Việt Nam</v>
      </c>
      <c r="L623" s="7" t="str">
        <f>IFERROR(__xludf.DUMMYFUNCTION("""COMPUTED_VALUE"""),"0396041063")</f>
        <v>0396041063</v>
      </c>
      <c r="M623" s="7" t="str">
        <f>IFERROR(__xludf.DUMMYFUNCTION("""COMPUTED_VALUE"""),"038083005965")</f>
        <v>038083005965</v>
      </c>
      <c r="N623" s="19">
        <f>IFERROR(__xludf.DUMMYFUNCTION("""COMPUTED_VALUE"""),42800.0)</f>
        <v>42800</v>
      </c>
      <c r="O623" s="7" t="str">
        <f>IFERROR(__xludf.DUMMYFUNCTION("""COMPUTED_VALUE"""),"Cục Cảnh sát QLHC về TTXH")</f>
        <v>Cục Cảnh sát QLHC về TTXH</v>
      </c>
      <c r="P623" s="7" t="str">
        <f>IFERROR(__xludf.DUMMYFUNCTION("""COMPUTED_VALUE"""),"LĐPT")</f>
        <v>LĐPT</v>
      </c>
      <c r="Q623" s="7" t="str">
        <f>IFERROR(__xludf.DUMMYFUNCTION("""COMPUTED_VALUE"""),"Lao động phổ thông")</f>
        <v>Lao động phổ thông</v>
      </c>
      <c r="R623" s="17">
        <f>IFERROR(__xludf.DUMMYFUNCTION("""COMPUTED_VALUE"""),45446.0)</f>
        <v>45446</v>
      </c>
      <c r="S623" s="17">
        <f>IFERROR(__xludf.DUMMYFUNCTION("""COMPUTED_VALUE"""),45597.0)</f>
        <v>45597</v>
      </c>
      <c r="T623" s="7" t="str">
        <f>IFERROR(__xludf.DUMMYFUNCTION("""COMPUTED_VALUE"""),"Chính thức")</f>
        <v>Chính thức</v>
      </c>
      <c r="U623" s="7"/>
      <c r="V623" s="7" t="str">
        <f>IFERROR(__xludf.DUMMYFUNCTION("""COMPUTED_VALUE"""),"Chính thức")</f>
        <v>Chính thức</v>
      </c>
      <c r="W623" s="7" t="str">
        <f>IFERROR(__xludf.DUMMYFUNCTION("""COMPUTED_VALUE"""),"1 năm 6 tháng")</f>
        <v>1 năm 6 tháng</v>
      </c>
      <c r="X623" s="7"/>
      <c r="Y623" s="7"/>
      <c r="Z623" s="7"/>
    </row>
    <row r="624">
      <c r="A624" s="7">
        <f>IFERROR(__xludf.DUMMYFUNCTION("""COMPUTED_VALUE"""),3.0)</f>
        <v>3</v>
      </c>
      <c r="B624" s="7" t="str">
        <f>IFERROR(__xludf.DUMMYFUNCTION("""COMPUTED_VALUE"""),"DC5-PXSX2")</f>
        <v>DC5-PXSX2</v>
      </c>
      <c r="C624" s="7" t="str">
        <f>IFERROR(__xludf.DUMMYFUNCTION("""COMPUTED_VALUE"""),"Bộ phận Mài và Đóng hộp")</f>
        <v>Bộ phận Mài và Đóng hộp</v>
      </c>
      <c r="D624" s="7" t="str">
        <f>IFERROR(__xludf.DUMMYFUNCTION("""COMPUTED_VALUE"""),"Dây chuyền Mài Ca B")</f>
        <v>Dây chuyền Mài Ca B</v>
      </c>
      <c r="E624" s="7" t="str">
        <f>IFERROR(__xludf.DUMMYFUNCTION("""COMPUTED_VALUE"""),"Tổ phó - Phụ trách Mài DC5")</f>
        <v>Tổ phó - Phụ trách Mài DC5</v>
      </c>
      <c r="F624" s="7" t="str">
        <f>IFERROR(__xludf.DUMMYFUNCTION("""COMPUTED_VALUE"""),"NV2839")</f>
        <v>NV2839</v>
      </c>
      <c r="G624" s="7">
        <f>IFERROR(__xludf.DUMMYFUNCTION("""COMPUTED_VALUE"""),588.0)</f>
        <v>588</v>
      </c>
      <c r="H624" s="7" t="str">
        <f>IFERROR(__xludf.DUMMYFUNCTION("""COMPUTED_VALUE"""),"Hoàng Văn Cơ")</f>
        <v>Hoàng Văn Cơ</v>
      </c>
      <c r="I624" s="7" t="str">
        <f>IFERROR(__xludf.DUMMYFUNCTION("""COMPUTED_VALUE"""),"Nam")</f>
        <v>Nam</v>
      </c>
      <c r="J624" s="17">
        <f>IFERROR(__xludf.DUMMYFUNCTION("""COMPUTED_VALUE"""),29422.0)</f>
        <v>29422</v>
      </c>
      <c r="K624" s="7" t="str">
        <f>IFERROR(__xludf.DUMMYFUNCTION("""COMPUTED_VALUE"""),"Thôn 17 -  Xã Quảng Cát -  Thành phố Thanh Hóa - ")</f>
        <v>Thôn 17 -  Xã Quảng Cát -  Thành phố Thanh Hóa - </v>
      </c>
      <c r="L624" s="7" t="str">
        <f>IFERROR(__xludf.DUMMYFUNCTION("""COMPUTED_VALUE"""),"0349819615")</f>
        <v>0349819615</v>
      </c>
      <c r="M624" s="7" t="str">
        <f>IFERROR(__xludf.DUMMYFUNCTION("""COMPUTED_VALUE"""),"038081019258")</f>
        <v>038081019258</v>
      </c>
      <c r="N624" s="19">
        <f>IFERROR(__xludf.DUMMYFUNCTION("""COMPUTED_VALUE"""),44419.0)</f>
        <v>44419</v>
      </c>
      <c r="O624" s="7" t="str">
        <f>IFERROR(__xludf.DUMMYFUNCTION("""COMPUTED_VALUE"""),"Cục Cảnh sát QLHC về TTXH")</f>
        <v>Cục Cảnh sát QLHC về TTXH</v>
      </c>
      <c r="P624" s="7" t="str">
        <f>IFERROR(__xludf.DUMMYFUNCTION("""COMPUTED_VALUE"""),"Chứng chỉ nghề")</f>
        <v>Chứng chỉ nghề</v>
      </c>
      <c r="Q624" s="7" t="str">
        <f>IFERROR(__xludf.DUMMYFUNCTION("""COMPUTED_VALUE"""),"Vận hành xe nâng")</f>
        <v>Vận hành xe nâng</v>
      </c>
      <c r="R624" s="17">
        <f>IFERROR(__xludf.DUMMYFUNCTION("""COMPUTED_VALUE"""),43894.0)</f>
        <v>43894</v>
      </c>
      <c r="S624" s="17">
        <f>IFERROR(__xludf.DUMMYFUNCTION("""COMPUTED_VALUE"""),44197.0)</f>
        <v>44197</v>
      </c>
      <c r="T624" s="7" t="str">
        <f>IFERROR(__xludf.DUMMYFUNCTION("""COMPUTED_VALUE"""),"Chính thức")</f>
        <v>Chính thức</v>
      </c>
      <c r="U624" s="7"/>
      <c r="V624" s="7" t="str">
        <f>IFERROR(__xludf.DUMMYFUNCTION("""COMPUTED_VALUE"""),"Chính thức")</f>
        <v>Chính thức</v>
      </c>
      <c r="W624" s="7" t="str">
        <f>IFERROR(__xludf.DUMMYFUNCTION("""COMPUTED_VALUE"""),"5 năm 9 tháng")</f>
        <v>5 năm 9 tháng</v>
      </c>
      <c r="X624" s="7"/>
      <c r="Y624" s="7"/>
      <c r="Z624" s="7"/>
    </row>
    <row r="625">
      <c r="A625" s="7">
        <f>IFERROR(__xludf.DUMMYFUNCTION("""COMPUTED_VALUE"""),4.0)</f>
        <v>4</v>
      </c>
      <c r="B625" s="7" t="str">
        <f>IFERROR(__xludf.DUMMYFUNCTION("""COMPUTED_VALUE"""),"DC5-PXSX2")</f>
        <v>DC5-PXSX2</v>
      </c>
      <c r="C625" s="7" t="str">
        <f>IFERROR(__xludf.DUMMYFUNCTION("""COMPUTED_VALUE"""),"Bộ phận Mài và Đóng hộp")</f>
        <v>Bộ phận Mài và Đóng hộp</v>
      </c>
      <c r="D625" s="7" t="str">
        <f>IFERROR(__xludf.DUMMYFUNCTION("""COMPUTED_VALUE"""),"Dây chuyền Mài Ca B")</f>
        <v>Dây chuyền Mài Ca B</v>
      </c>
      <c r="E625" s="7" t="str">
        <f>IFERROR(__xludf.DUMMYFUNCTION("""COMPUTED_VALUE"""),"Vận hành máy mài cạnh mức 1")</f>
        <v>Vận hành máy mài cạnh mức 1</v>
      </c>
      <c r="F625" s="7" t="str">
        <f>IFERROR(__xludf.DUMMYFUNCTION("""COMPUTED_VALUE"""),"NV5045")</f>
        <v>NV5045</v>
      </c>
      <c r="G625" s="7">
        <f>IFERROR(__xludf.DUMMYFUNCTION("""COMPUTED_VALUE"""),713.0)</f>
        <v>713</v>
      </c>
      <c r="H625" s="7" t="str">
        <f>IFERROR(__xludf.DUMMYFUNCTION("""COMPUTED_VALUE"""),"Vũ Đình Lương")</f>
        <v>Vũ Đình Lương</v>
      </c>
      <c r="I625" s="7" t="str">
        <f>IFERROR(__xludf.DUMMYFUNCTION("""COMPUTED_VALUE"""),"Nam")</f>
        <v>Nam</v>
      </c>
      <c r="J625" s="17">
        <f>IFERROR(__xludf.DUMMYFUNCTION("""COMPUTED_VALUE"""),32387.0)</f>
        <v>32387</v>
      </c>
      <c r="K625" s="7" t="str">
        <f>IFERROR(__xludf.DUMMYFUNCTION("""COMPUTED_VALUE"""),"Bắc Sơn -  Sầm Sơn -  Thanh Hóa")</f>
        <v>Bắc Sơn -  Sầm Sơn -  Thanh Hóa</v>
      </c>
      <c r="L625" s="7" t="str">
        <f>IFERROR(__xludf.DUMMYFUNCTION("""COMPUTED_VALUE"""),"0919154111")</f>
        <v>0919154111</v>
      </c>
      <c r="M625" s="7" t="str">
        <f>IFERROR(__xludf.DUMMYFUNCTION("""COMPUTED_VALUE"""),"038088016700")</f>
        <v>038088016700</v>
      </c>
      <c r="N625" s="19">
        <f>IFERROR(__xludf.DUMMYFUNCTION("""COMPUTED_VALUE"""),44325.0)</f>
        <v>44325</v>
      </c>
      <c r="O625" s="7" t="str">
        <f>IFERROR(__xludf.DUMMYFUNCTION("""COMPUTED_VALUE"""),"Cục Cảnh sát QLHC về TTXH")</f>
        <v>Cục Cảnh sát QLHC về TTXH</v>
      </c>
      <c r="P625" s="7" t="str">
        <f>IFERROR(__xludf.DUMMYFUNCTION("""COMPUTED_VALUE"""),"Bằng nghề")</f>
        <v>Bằng nghề</v>
      </c>
      <c r="Q625" s="7" t="str">
        <f>IFERROR(__xludf.DUMMYFUNCTION("""COMPUTED_VALUE"""),"Hàn điện")</f>
        <v>Hàn điện</v>
      </c>
      <c r="R625" s="17">
        <f>IFERROR(__xludf.DUMMYFUNCTION("""COMPUTED_VALUE"""),45358.0)</f>
        <v>45358</v>
      </c>
      <c r="S625" s="17">
        <f>IFERROR(__xludf.DUMMYFUNCTION("""COMPUTED_VALUE"""),45444.0)</f>
        <v>45444</v>
      </c>
      <c r="T625" s="7" t="str">
        <f>IFERROR(__xludf.DUMMYFUNCTION("""COMPUTED_VALUE"""),"Chính thức")</f>
        <v>Chính thức</v>
      </c>
      <c r="U625" s="7"/>
      <c r="V625" s="7" t="str">
        <f>IFERROR(__xludf.DUMMYFUNCTION("""COMPUTED_VALUE"""),"Chính thức")</f>
        <v>Chính thức</v>
      </c>
      <c r="W625" s="7" t="str">
        <f>IFERROR(__xludf.DUMMYFUNCTION("""COMPUTED_VALUE"""),"1 năm 9 tháng")</f>
        <v>1 năm 9 tháng</v>
      </c>
      <c r="X625" s="7"/>
      <c r="Y625" s="7"/>
      <c r="Z625" s="7"/>
    </row>
    <row r="626">
      <c r="A626" s="7">
        <f>IFERROR(__xludf.DUMMYFUNCTION("""COMPUTED_VALUE"""),5.0)</f>
        <v>5</v>
      </c>
      <c r="B626" s="7" t="str">
        <f>IFERROR(__xludf.DUMMYFUNCTION("""COMPUTED_VALUE"""),"DC5-PXSX2")</f>
        <v>DC5-PXSX2</v>
      </c>
      <c r="C626" s="7" t="str">
        <f>IFERROR(__xludf.DUMMYFUNCTION("""COMPUTED_VALUE"""),"Bộ phận Mài và Đóng hộp")</f>
        <v>Bộ phận Mài và Đóng hộp</v>
      </c>
      <c r="D626" s="7" t="str">
        <f>IFERROR(__xludf.DUMMYFUNCTION("""COMPUTED_VALUE"""),"Dây chuyền Mài Ca B")</f>
        <v>Dây chuyền Mài Ca B</v>
      </c>
      <c r="E626" s="7" t="str">
        <f>IFERROR(__xludf.DUMMYFUNCTION("""COMPUTED_VALUE"""),"Vận hành chính máy Nano")</f>
        <v>Vận hành chính máy Nano</v>
      </c>
      <c r="F626" s="7" t="str">
        <f>IFERROR(__xludf.DUMMYFUNCTION("""COMPUTED_VALUE"""),"NV3775")</f>
        <v>NV3775</v>
      </c>
      <c r="G626" s="7">
        <f>IFERROR(__xludf.DUMMYFUNCTION("""COMPUTED_VALUE"""),571.0)</f>
        <v>571</v>
      </c>
      <c r="H626" s="7" t="str">
        <f>IFERROR(__xludf.DUMMYFUNCTION("""COMPUTED_VALUE"""),"Trương Văn Nam")</f>
        <v>Trương Văn Nam</v>
      </c>
      <c r="I626" s="7" t="str">
        <f>IFERROR(__xludf.DUMMYFUNCTION("""COMPUTED_VALUE"""),"Nam")</f>
        <v>Nam</v>
      </c>
      <c r="J626" s="17">
        <f>IFERROR(__xludf.DUMMYFUNCTION("""COMPUTED_VALUE"""),34214.0)</f>
        <v>34214</v>
      </c>
      <c r="K626" s="7" t="str">
        <f>IFERROR(__xludf.DUMMYFUNCTION("""COMPUTED_VALUE"""),"Xã Hoằng Phong -  Huyện Hoằng Hóa -  Thanh Hóa -  Việt Nam")</f>
        <v>Xã Hoằng Phong -  Huyện Hoằng Hóa -  Thanh Hóa -  Việt Nam</v>
      </c>
      <c r="L626" s="7" t="str">
        <f>IFERROR(__xludf.DUMMYFUNCTION("""COMPUTED_VALUE"""),"0866978930")</f>
        <v>0866978930</v>
      </c>
      <c r="M626" s="7" t="str">
        <f>IFERROR(__xludf.DUMMYFUNCTION("""COMPUTED_VALUE"""),"038093012001")</f>
        <v>038093012001</v>
      </c>
      <c r="N626" s="19">
        <f>IFERROR(__xludf.DUMMYFUNCTION("""COMPUTED_VALUE"""),43369.0)</f>
        <v>43369</v>
      </c>
      <c r="O626" s="7" t="str">
        <f>IFERROR(__xludf.DUMMYFUNCTION("""COMPUTED_VALUE"""),"Cục Cảnh sát QLHC về TTXH")</f>
        <v>Cục Cảnh sát QLHC về TTXH</v>
      </c>
      <c r="P626" s="7" t="str">
        <f>IFERROR(__xludf.DUMMYFUNCTION("""COMPUTED_VALUE"""),"Trung học cơ sở")</f>
        <v>Trung học cơ sở</v>
      </c>
      <c r="Q626" s="7" t="str">
        <f>IFERROR(__xludf.DUMMYFUNCTION("""COMPUTED_VALUE"""),"Lao động phổ thông")</f>
        <v>Lao động phổ thông</v>
      </c>
      <c r="R626" s="17">
        <f>IFERROR(__xludf.DUMMYFUNCTION("""COMPUTED_VALUE"""),44440.0)</f>
        <v>44440</v>
      </c>
      <c r="S626" s="17">
        <f>IFERROR(__xludf.DUMMYFUNCTION("""COMPUTED_VALUE"""),44682.0)</f>
        <v>44682</v>
      </c>
      <c r="T626" s="7" t="str">
        <f>IFERROR(__xludf.DUMMYFUNCTION("""COMPUTED_VALUE"""),"Chính thức")</f>
        <v>Chính thức</v>
      </c>
      <c r="U626" s="7"/>
      <c r="V626" s="7" t="str">
        <f>IFERROR(__xludf.DUMMYFUNCTION("""COMPUTED_VALUE"""),"Chính thức")</f>
        <v>Chính thức</v>
      </c>
      <c r="W626" s="7" t="str">
        <f>IFERROR(__xludf.DUMMYFUNCTION("""COMPUTED_VALUE"""),"4 năm 3 tháng")</f>
        <v>4 năm 3 tháng</v>
      </c>
      <c r="X626" s="7"/>
      <c r="Y626" s="7"/>
      <c r="Z626" s="7"/>
    </row>
    <row r="627">
      <c r="A627" s="7">
        <f>IFERROR(__xludf.DUMMYFUNCTION("""COMPUTED_VALUE"""),6.0)</f>
        <v>6</v>
      </c>
      <c r="B627" s="7" t="str">
        <f>IFERROR(__xludf.DUMMYFUNCTION("""COMPUTED_VALUE"""),"DC5-PXSX2")</f>
        <v>DC5-PXSX2</v>
      </c>
      <c r="C627" s="7" t="str">
        <f>IFERROR(__xludf.DUMMYFUNCTION("""COMPUTED_VALUE"""),"Bộ phận Mài và Đóng hộp")</f>
        <v>Bộ phận Mài và Đóng hộp</v>
      </c>
      <c r="D627" s="7" t="str">
        <f>IFERROR(__xludf.DUMMYFUNCTION("""COMPUTED_VALUE"""),"Dây chuyền Mài Ca B")</f>
        <v>Dây chuyền Mài Ca B</v>
      </c>
      <c r="E627" s="7" t="str">
        <f>IFERROR(__xludf.DUMMYFUNCTION("""COMPUTED_VALUE"""),"Bốc sót sau máy mài nano")</f>
        <v>Bốc sót sau máy mài nano</v>
      </c>
      <c r="F627" s="7" t="str">
        <f>IFERROR(__xludf.DUMMYFUNCTION("""COMPUTED_VALUE"""),"NV5136")</f>
        <v>NV5136</v>
      </c>
      <c r="G627" s="7">
        <f>IFERROR(__xludf.DUMMYFUNCTION("""COMPUTED_VALUE"""),572.0)</f>
        <v>572</v>
      </c>
      <c r="H627" s="7" t="str">
        <f>IFERROR(__xludf.DUMMYFUNCTION("""COMPUTED_VALUE"""),"Phạm Khắc Thành")</f>
        <v>Phạm Khắc Thành</v>
      </c>
      <c r="I627" s="7" t="str">
        <f>IFERROR(__xludf.DUMMYFUNCTION("""COMPUTED_VALUE"""),"Nam")</f>
        <v>Nam</v>
      </c>
      <c r="J627" s="17">
        <f>IFERROR(__xludf.DUMMYFUNCTION("""COMPUTED_VALUE"""),28418.0)</f>
        <v>28418</v>
      </c>
      <c r="K627" s="7" t="str">
        <f>IFERROR(__xludf.DUMMYFUNCTION("""COMPUTED_VALUE"""),"Phường Quảng Phú -  thành phố Thanh Hóa")</f>
        <v>Phường Quảng Phú -  thành phố Thanh Hóa</v>
      </c>
      <c r="L627" s="7" t="str">
        <f>IFERROR(__xludf.DUMMYFUNCTION("""COMPUTED_VALUE"""),"0902883797")</f>
        <v>0902883797</v>
      </c>
      <c r="M627" s="7" t="str">
        <f>IFERROR(__xludf.DUMMYFUNCTION("""COMPUTED_VALUE"""),"038077011729")</f>
        <v>038077011729</v>
      </c>
      <c r="N627" s="19">
        <f>IFERROR(__xludf.DUMMYFUNCTION("""COMPUTED_VALUE"""),44564.0)</f>
        <v>44564</v>
      </c>
      <c r="O627" s="7" t="str">
        <f>IFERROR(__xludf.DUMMYFUNCTION("""COMPUTED_VALUE"""),"Cục Cảnh sát QLHC về TTXH")</f>
        <v>Cục Cảnh sát QLHC về TTXH</v>
      </c>
      <c r="P627" s="7" t="str">
        <f>IFERROR(__xludf.DUMMYFUNCTION("""COMPUTED_VALUE"""),"Trung học cơ sở")</f>
        <v>Trung học cơ sở</v>
      </c>
      <c r="Q627" s="7" t="str">
        <f>IFERROR(__xludf.DUMMYFUNCTION("""COMPUTED_VALUE"""),"Lao động phổ thông")</f>
        <v>Lao động phổ thông</v>
      </c>
      <c r="R627" s="17">
        <f>IFERROR(__xludf.DUMMYFUNCTION("""COMPUTED_VALUE"""),45395.0)</f>
        <v>45395</v>
      </c>
      <c r="S627" s="17">
        <f>IFERROR(__xludf.DUMMYFUNCTION("""COMPUTED_VALUE"""),45474.0)</f>
        <v>45474</v>
      </c>
      <c r="T627" s="7" t="str">
        <f>IFERROR(__xludf.DUMMYFUNCTION("""COMPUTED_VALUE"""),"Chính thức")</f>
        <v>Chính thức</v>
      </c>
      <c r="U627" s="7"/>
      <c r="V627" s="7" t="str">
        <f>IFERROR(__xludf.DUMMYFUNCTION("""COMPUTED_VALUE"""),"Chính thức")</f>
        <v>Chính thức</v>
      </c>
      <c r="W627" s="7" t="str">
        <f>IFERROR(__xludf.DUMMYFUNCTION("""COMPUTED_VALUE"""),"1 năm 8 tháng")</f>
        <v>1 năm 8 tháng</v>
      </c>
      <c r="X627" s="7"/>
      <c r="Y627" s="7"/>
      <c r="Z627" s="7"/>
    </row>
    <row r="628">
      <c r="A628" s="7">
        <f>IFERROR(__xludf.DUMMYFUNCTION("""COMPUTED_VALUE"""),7.0)</f>
        <v>7</v>
      </c>
      <c r="B628" s="7" t="str">
        <f>IFERROR(__xludf.DUMMYFUNCTION("""COMPUTED_VALUE"""),"DC5-PXSX2")</f>
        <v>DC5-PXSX2</v>
      </c>
      <c r="C628" s="7" t="str">
        <f>IFERROR(__xludf.DUMMYFUNCTION("""COMPUTED_VALUE"""),"Bộ phận Mài và Đóng hộp")</f>
        <v>Bộ phận Mài và Đóng hộp</v>
      </c>
      <c r="D628" s="7" t="str">
        <f>IFERROR(__xludf.DUMMYFUNCTION("""COMPUTED_VALUE"""),"Dây chuyền Mài Ca B")</f>
        <v>Dây chuyền Mài Ca B</v>
      </c>
      <c r="E628" s="7" t="str">
        <f>IFERROR(__xludf.DUMMYFUNCTION("""COMPUTED_VALUE"""),"Vận hành chính máy mài cạnh")</f>
        <v>Vận hành chính máy mài cạnh</v>
      </c>
      <c r="F628" s="7" t="str">
        <f>IFERROR(__xludf.DUMMYFUNCTION("""COMPUTED_VALUE"""),"NV3492")</f>
        <v>NV3492</v>
      </c>
      <c r="G628" s="7">
        <f>IFERROR(__xludf.DUMMYFUNCTION("""COMPUTED_VALUE"""),542.0)</f>
        <v>542</v>
      </c>
      <c r="H628" s="7" t="str">
        <f>IFERROR(__xludf.DUMMYFUNCTION("""COMPUTED_VALUE"""),"Nguyễn Văn Mạnh")</f>
        <v>Nguyễn Văn Mạnh</v>
      </c>
      <c r="I628" s="7" t="str">
        <f>IFERROR(__xludf.DUMMYFUNCTION("""COMPUTED_VALUE"""),"Nam")</f>
        <v>Nam</v>
      </c>
      <c r="J628" s="17">
        <f>IFERROR(__xludf.DUMMYFUNCTION("""COMPUTED_VALUE"""),32726.0)</f>
        <v>32726</v>
      </c>
      <c r="K628" s="7" t="str">
        <f>IFERROR(__xludf.DUMMYFUNCTION("""COMPUTED_VALUE"""),"Xã Trường Minh -  Huyện Nông Cống -  Thanh Hóa")</f>
        <v>Xã Trường Minh -  Huyện Nông Cống -  Thanh Hóa</v>
      </c>
      <c r="L628" s="7" t="str">
        <f>IFERROR(__xludf.DUMMYFUNCTION("""COMPUTED_VALUE"""),"0973301878")</f>
        <v>0973301878</v>
      </c>
      <c r="M628" s="7" t="str">
        <f>IFERROR(__xludf.DUMMYFUNCTION("""COMPUTED_VALUE"""),"038080037050")</f>
        <v>038080037050</v>
      </c>
      <c r="N628" s="19">
        <f>IFERROR(__xludf.DUMMYFUNCTION("""COMPUTED_VALUE"""),44375.0)</f>
        <v>44375</v>
      </c>
      <c r="O628" s="7" t="str">
        <f>IFERROR(__xludf.DUMMYFUNCTION("""COMPUTED_VALUE"""),"Cục Cảnh sát QLHC về TTXH")</f>
        <v>Cục Cảnh sát QLHC về TTXH</v>
      </c>
      <c r="P628" s="7" t="str">
        <f>IFERROR(__xludf.DUMMYFUNCTION("""COMPUTED_VALUE"""),"LĐPT")</f>
        <v>LĐPT</v>
      </c>
      <c r="Q628" s="7" t="str">
        <f>IFERROR(__xludf.DUMMYFUNCTION("""COMPUTED_VALUE"""),"Lao động phổ thông")</f>
        <v>Lao động phổ thông</v>
      </c>
      <c r="R628" s="17">
        <f>IFERROR(__xludf.DUMMYFUNCTION("""COMPUTED_VALUE"""),44260.0)</f>
        <v>44260</v>
      </c>
      <c r="S628" s="17">
        <f>IFERROR(__xludf.DUMMYFUNCTION("""COMPUTED_VALUE"""),44562.0)</f>
        <v>44562</v>
      </c>
      <c r="T628" s="7" t="str">
        <f>IFERROR(__xludf.DUMMYFUNCTION("""COMPUTED_VALUE"""),"Chính thức")</f>
        <v>Chính thức</v>
      </c>
      <c r="U628" s="7"/>
      <c r="V628" s="7" t="str">
        <f>IFERROR(__xludf.DUMMYFUNCTION("""COMPUTED_VALUE"""),"Chính thức")</f>
        <v>Chính thức</v>
      </c>
      <c r="W628" s="7" t="str">
        <f>IFERROR(__xludf.DUMMYFUNCTION("""COMPUTED_VALUE"""),"4 năm 9 tháng")</f>
        <v>4 năm 9 tháng</v>
      </c>
      <c r="X628" s="7"/>
      <c r="Y628" s="7"/>
      <c r="Z628" s="7"/>
    </row>
    <row r="629">
      <c r="A629" s="7">
        <f>IFERROR(__xludf.DUMMYFUNCTION("""COMPUTED_VALUE"""),8.0)</f>
        <v>8</v>
      </c>
      <c r="B629" s="7" t="str">
        <f>IFERROR(__xludf.DUMMYFUNCTION("""COMPUTED_VALUE"""),"DC5-PXSX2")</f>
        <v>DC5-PXSX2</v>
      </c>
      <c r="C629" s="7" t="str">
        <f>IFERROR(__xludf.DUMMYFUNCTION("""COMPUTED_VALUE"""),"Bộ phận Mài và Đóng hộp")</f>
        <v>Bộ phận Mài và Đóng hộp</v>
      </c>
      <c r="D629" s="7" t="str">
        <f>IFERROR(__xludf.DUMMYFUNCTION("""COMPUTED_VALUE"""),"Dây chuyền Mài Ca B")</f>
        <v>Dây chuyền Mài Ca B</v>
      </c>
      <c r="E629" s="7" t="str">
        <f>IFERROR(__xludf.DUMMYFUNCTION("""COMPUTED_VALUE"""),"Vận hành máy mài cạnh mức 1")</f>
        <v>Vận hành máy mài cạnh mức 1</v>
      </c>
      <c r="F629" s="7" t="str">
        <f>IFERROR(__xludf.DUMMYFUNCTION("""COMPUTED_VALUE"""),"NV4564")</f>
        <v>NV4564</v>
      </c>
      <c r="G629" s="7">
        <f>IFERROR(__xludf.DUMMYFUNCTION("""COMPUTED_VALUE"""),585.0)</f>
        <v>585</v>
      </c>
      <c r="H629" s="7" t="str">
        <f>IFERROR(__xludf.DUMMYFUNCTION("""COMPUTED_VALUE"""),"Lường Văn Tùng")</f>
        <v>Lường Văn Tùng</v>
      </c>
      <c r="I629" s="7" t="str">
        <f>IFERROR(__xludf.DUMMYFUNCTION("""COMPUTED_VALUE"""),"Nam")</f>
        <v>Nam</v>
      </c>
      <c r="J629" s="17">
        <f>IFERROR(__xludf.DUMMYFUNCTION("""COMPUTED_VALUE"""),33485.0)</f>
        <v>33485</v>
      </c>
      <c r="K629" s="7" t="str">
        <f>IFERROR(__xludf.DUMMYFUNCTION("""COMPUTED_VALUE"""),"Xã Hoằng Phong -  Huyện Hoằng Hóa -  Thanh Hóa -  Việt Nam")</f>
        <v>Xã Hoằng Phong -  Huyện Hoằng Hóa -  Thanh Hóa -  Việt Nam</v>
      </c>
      <c r="L629" s="7" t="str">
        <f>IFERROR(__xludf.DUMMYFUNCTION("""COMPUTED_VALUE"""),"0978784084")</f>
        <v>0978784084</v>
      </c>
      <c r="M629" s="7" t="str">
        <f>IFERROR(__xludf.DUMMYFUNCTION("""COMPUTED_VALUE"""),"038091013336")</f>
        <v>038091013336</v>
      </c>
      <c r="N629" s="19">
        <f>IFERROR(__xludf.DUMMYFUNCTION("""COMPUTED_VALUE"""),43389.0)</f>
        <v>43389</v>
      </c>
      <c r="O629" s="7" t="str">
        <f>IFERROR(__xludf.DUMMYFUNCTION("""COMPUTED_VALUE"""),"Cục Cảnh sát QLHC về TTXH")</f>
        <v>Cục Cảnh sát QLHC về TTXH</v>
      </c>
      <c r="P629" s="7" t="str">
        <f>IFERROR(__xludf.DUMMYFUNCTION("""COMPUTED_VALUE"""),"LĐPT")</f>
        <v>LĐPT</v>
      </c>
      <c r="Q629" s="7" t="str">
        <f>IFERROR(__xludf.DUMMYFUNCTION("""COMPUTED_VALUE"""),"Lao động phổ thông")</f>
        <v>Lao động phổ thông</v>
      </c>
      <c r="R629" s="17">
        <f>IFERROR(__xludf.DUMMYFUNCTION("""COMPUTED_VALUE"""),44966.0)</f>
        <v>44966</v>
      </c>
      <c r="S629" s="17">
        <f>IFERROR(__xludf.DUMMYFUNCTION("""COMPUTED_VALUE"""),45474.0)</f>
        <v>45474</v>
      </c>
      <c r="T629" s="7" t="str">
        <f>IFERROR(__xludf.DUMMYFUNCTION("""COMPUTED_VALUE"""),"Chính thức")</f>
        <v>Chính thức</v>
      </c>
      <c r="U629" s="7"/>
      <c r="V629" s="7" t="str">
        <f>IFERROR(__xludf.DUMMYFUNCTION("""COMPUTED_VALUE"""),"Chính thức")</f>
        <v>Chính thức</v>
      </c>
      <c r="W629" s="7" t="str">
        <f>IFERROR(__xludf.DUMMYFUNCTION("""COMPUTED_VALUE"""),"2 năm 10 tháng")</f>
        <v>2 năm 10 tháng</v>
      </c>
      <c r="X629" s="7"/>
      <c r="Y629" s="7"/>
      <c r="Z629" s="7"/>
    </row>
    <row r="630">
      <c r="A630" s="7">
        <f>IFERROR(__xludf.DUMMYFUNCTION("""COMPUTED_VALUE"""),9.0)</f>
        <v>9</v>
      </c>
      <c r="B630" s="7" t="str">
        <f>IFERROR(__xludf.DUMMYFUNCTION("""COMPUTED_VALUE"""),"DC5-PXSX2")</f>
        <v>DC5-PXSX2</v>
      </c>
      <c r="C630" s="7" t="str">
        <f>IFERROR(__xludf.DUMMYFUNCTION("""COMPUTED_VALUE"""),"Bộ phận Mài và Đóng hộp")</f>
        <v>Bộ phận Mài và Đóng hộp</v>
      </c>
      <c r="D630" s="7" t="str">
        <f>IFERROR(__xludf.DUMMYFUNCTION("""COMPUTED_VALUE"""),"Dây chuyền Mài Ca B")</f>
        <v>Dây chuyền Mài Ca B</v>
      </c>
      <c r="E630" s="7" t="str">
        <f>IFERROR(__xludf.DUMMYFUNCTION("""COMPUTED_VALUE"""),"Xe nâng")</f>
        <v>Xe nâng</v>
      </c>
      <c r="F630" s="7" t="str">
        <f>IFERROR(__xludf.DUMMYFUNCTION("""COMPUTED_VALUE"""),"NV3881")</f>
        <v>NV3881</v>
      </c>
      <c r="G630" s="7">
        <f>IFERROR(__xludf.DUMMYFUNCTION("""COMPUTED_VALUE"""),530.0)</f>
        <v>530</v>
      </c>
      <c r="H630" s="7" t="str">
        <f>IFERROR(__xludf.DUMMYFUNCTION("""COMPUTED_VALUE"""),"Mai Xuân Tân")</f>
        <v>Mai Xuân Tân</v>
      </c>
      <c r="I630" s="7" t="str">
        <f>IFERROR(__xludf.DUMMYFUNCTION("""COMPUTED_VALUE"""),"Nam")</f>
        <v>Nam</v>
      </c>
      <c r="J630" s="17">
        <f>IFERROR(__xludf.DUMMYFUNCTION("""COMPUTED_VALUE"""),33362.0)</f>
        <v>33362</v>
      </c>
      <c r="K630" s="7" t="str">
        <f>IFERROR(__xludf.DUMMYFUNCTION("""COMPUTED_VALUE"""),"Xã Hoằng Đức -  Huyện Hoằng Hóa -  Thanh Hóa - ")</f>
        <v>Xã Hoằng Đức -  Huyện Hoằng Hóa -  Thanh Hóa - </v>
      </c>
      <c r="L630" s="7" t="str">
        <f>IFERROR(__xludf.DUMMYFUNCTION("""COMPUTED_VALUE"""),"0865725831")</f>
        <v>0865725831</v>
      </c>
      <c r="M630" s="7" t="str">
        <f>IFERROR(__xludf.DUMMYFUNCTION("""COMPUTED_VALUE"""),"038091007694")</f>
        <v>038091007694</v>
      </c>
      <c r="N630" s="19">
        <f>IFERROR(__xludf.DUMMYFUNCTION("""COMPUTED_VALUE"""),42971.0)</f>
        <v>42971</v>
      </c>
      <c r="O630" s="7" t="str">
        <f>IFERROR(__xludf.DUMMYFUNCTION("""COMPUTED_VALUE"""),"Cục Cảnh sát QLHC về TTXH")</f>
        <v>Cục Cảnh sát QLHC về TTXH</v>
      </c>
      <c r="P630" s="7" t="str">
        <f>IFERROR(__xludf.DUMMYFUNCTION("""COMPUTED_VALUE"""),"Trung cấp")</f>
        <v>Trung cấp</v>
      </c>
      <c r="Q630" s="7" t="str">
        <f>IFERROR(__xludf.DUMMYFUNCTION("""COMPUTED_VALUE"""),"Vận hành xe nâng")</f>
        <v>Vận hành xe nâng</v>
      </c>
      <c r="R630" s="17">
        <f>IFERROR(__xludf.DUMMYFUNCTION("""COMPUTED_VALUE"""),45391.0)</f>
        <v>45391</v>
      </c>
      <c r="S630" s="17">
        <f>IFERROR(__xludf.DUMMYFUNCTION("""COMPUTED_VALUE"""),44774.0)</f>
        <v>44774</v>
      </c>
      <c r="T630" s="7" t="str">
        <f>IFERROR(__xludf.DUMMYFUNCTION("""COMPUTED_VALUE"""),"Chính thức")</f>
        <v>Chính thức</v>
      </c>
      <c r="U630" s="7"/>
      <c r="V630" s="7" t="str">
        <f>IFERROR(__xludf.DUMMYFUNCTION("""COMPUTED_VALUE"""),"Chính thức")</f>
        <v>Chính thức</v>
      </c>
      <c r="W630" s="7" t="str">
        <f>IFERROR(__xludf.DUMMYFUNCTION("""COMPUTED_VALUE"""),"1 năm 8 tháng")</f>
        <v>1 năm 8 tháng</v>
      </c>
      <c r="X630" s="7"/>
      <c r="Y630" s="7"/>
      <c r="Z630" s="7"/>
    </row>
    <row r="631">
      <c r="A631" s="7">
        <f>IFERROR(__xludf.DUMMYFUNCTION("""COMPUTED_VALUE"""),10.0)</f>
        <v>10</v>
      </c>
      <c r="B631" s="7" t="str">
        <f>IFERROR(__xludf.DUMMYFUNCTION("""COMPUTED_VALUE"""),"DC5-PXSX2")</f>
        <v>DC5-PXSX2</v>
      </c>
      <c r="C631" s="7" t="str">
        <f>IFERROR(__xludf.DUMMYFUNCTION("""COMPUTED_VALUE"""),"Bộ phận Mài và Đóng hộp")</f>
        <v>Bộ phận Mài và Đóng hộp</v>
      </c>
      <c r="D631" s="7" t="str">
        <f>IFERROR(__xludf.DUMMYFUNCTION("""COMPUTED_VALUE"""),"Dây chuyền Mài Ca B")</f>
        <v>Dây chuyền Mài Ca B</v>
      </c>
      <c r="E631" s="7" t="str">
        <f>IFERROR(__xludf.DUMMYFUNCTION("""COMPUTED_VALUE"""),"Vận hành máy mài mặt Mức 1")</f>
        <v>Vận hành máy mài mặt Mức 1</v>
      </c>
      <c r="F631" s="7" t="str">
        <f>IFERROR(__xludf.DUMMYFUNCTION("""COMPUTED_VALUE"""),"NV5049")</f>
        <v>NV5049</v>
      </c>
      <c r="G631" s="7">
        <f>IFERROR(__xludf.DUMMYFUNCTION("""COMPUTED_VALUE"""),284.0)</f>
        <v>284</v>
      </c>
      <c r="H631" s="7" t="str">
        <f>IFERROR(__xludf.DUMMYFUNCTION("""COMPUTED_VALUE"""),"Hoàng Văn Toàn")</f>
        <v>Hoàng Văn Toàn</v>
      </c>
      <c r="I631" s="7" t="str">
        <f>IFERROR(__xludf.DUMMYFUNCTION("""COMPUTED_VALUE"""),"Nam")</f>
        <v>Nam</v>
      </c>
      <c r="J631" s="17">
        <f>IFERROR(__xludf.DUMMYFUNCTION("""COMPUTED_VALUE"""),31643.0)</f>
        <v>31643</v>
      </c>
      <c r="K631" s="7" t="str">
        <f>IFERROR(__xludf.DUMMYFUNCTION("""COMPUTED_VALUE"""),"Thôn 6 -  Xã Cẩm Vân -  Huyện Cẩm Thủy -  Thanh Hóa")</f>
        <v>Thôn 6 -  Xã Cẩm Vân -  Huyện Cẩm Thủy -  Thanh Hóa</v>
      </c>
      <c r="L631" s="7" t="str">
        <f>IFERROR(__xludf.DUMMYFUNCTION("""COMPUTED_VALUE"""),"0932369859")</f>
        <v>0932369859</v>
      </c>
      <c r="M631" s="7" t="str">
        <f>IFERROR(__xludf.DUMMYFUNCTION("""COMPUTED_VALUE"""),"038087011241")</f>
        <v>038087011241</v>
      </c>
      <c r="N631" s="19">
        <f>IFERROR(__xludf.DUMMYFUNCTION("""COMPUTED_VALUE"""),44419.0)</f>
        <v>44419</v>
      </c>
      <c r="O631" s="7" t="str">
        <f>IFERROR(__xludf.DUMMYFUNCTION("""COMPUTED_VALUE"""),"Cục Cảnh sát QLHC về TTXH")</f>
        <v>Cục Cảnh sát QLHC về TTXH</v>
      </c>
      <c r="P631" s="7" t="str">
        <f>IFERROR(__xludf.DUMMYFUNCTION("""COMPUTED_VALUE"""),"Trung cấp")</f>
        <v>Trung cấp</v>
      </c>
      <c r="Q631" s="7" t="str">
        <f>IFERROR(__xludf.DUMMYFUNCTION("""COMPUTED_VALUE"""),"Công nghệ điện")</f>
        <v>Công nghệ điện</v>
      </c>
      <c r="R631" s="17">
        <f>IFERROR(__xludf.DUMMYFUNCTION("""COMPUTED_VALUE"""),45363.0)</f>
        <v>45363</v>
      </c>
      <c r="S631" s="17">
        <f>IFERROR(__xludf.DUMMYFUNCTION("""COMPUTED_VALUE"""),45444.0)</f>
        <v>45444</v>
      </c>
      <c r="T631" s="7" t="str">
        <f>IFERROR(__xludf.DUMMYFUNCTION("""COMPUTED_VALUE"""),"Chính thức")</f>
        <v>Chính thức</v>
      </c>
      <c r="U631" s="7"/>
      <c r="V631" s="7" t="str">
        <f>IFERROR(__xludf.DUMMYFUNCTION("""COMPUTED_VALUE"""),"Chính thức")</f>
        <v>Chính thức</v>
      </c>
      <c r="W631" s="7" t="str">
        <f>IFERROR(__xludf.DUMMYFUNCTION("""COMPUTED_VALUE"""),"1 năm 9 tháng")</f>
        <v>1 năm 9 tháng</v>
      </c>
      <c r="X631" s="7"/>
      <c r="Y631" s="7"/>
      <c r="Z631" s="7"/>
    </row>
    <row r="632">
      <c r="A632" s="7">
        <f>IFERROR(__xludf.DUMMYFUNCTION("""COMPUTED_VALUE"""),11.0)</f>
        <v>11</v>
      </c>
      <c r="B632" s="7" t="str">
        <f>IFERROR(__xludf.DUMMYFUNCTION("""COMPUTED_VALUE"""),"DC5-PXSX2")</f>
        <v>DC5-PXSX2</v>
      </c>
      <c r="C632" s="7" t="str">
        <f>IFERROR(__xludf.DUMMYFUNCTION("""COMPUTED_VALUE"""),"Bộ phận Mài và Đóng hộp")</f>
        <v>Bộ phận Mài và Đóng hộp</v>
      </c>
      <c r="D632" s="7" t="str">
        <f>IFERROR(__xludf.DUMMYFUNCTION("""COMPUTED_VALUE"""),"Dây chuyền Mài Ca B")</f>
        <v>Dây chuyền Mài Ca B</v>
      </c>
      <c r="E632" s="7" t="str">
        <f>IFERROR(__xludf.DUMMYFUNCTION("""COMPUTED_VALUE"""),"Cơ điện phụ trách mài cạnh Px2")</f>
        <v>Cơ điện phụ trách mài cạnh Px2</v>
      </c>
      <c r="F632" s="7" t="str">
        <f>IFERROR(__xludf.DUMMYFUNCTION("""COMPUTED_VALUE"""),"NV2294")</f>
        <v>NV2294</v>
      </c>
      <c r="G632" s="7">
        <f>IFERROR(__xludf.DUMMYFUNCTION("""COMPUTED_VALUE"""),514.0)</f>
        <v>514</v>
      </c>
      <c r="H632" s="7" t="str">
        <f>IFERROR(__xludf.DUMMYFUNCTION("""COMPUTED_VALUE"""),"Lê Mai Tuấn")</f>
        <v>Lê Mai Tuấn</v>
      </c>
      <c r="I632" s="7" t="str">
        <f>IFERROR(__xludf.DUMMYFUNCTION("""COMPUTED_VALUE"""),"Nam")</f>
        <v>Nam</v>
      </c>
      <c r="J632" s="17">
        <f>IFERROR(__xludf.DUMMYFUNCTION("""COMPUTED_VALUE"""),32938.0)</f>
        <v>32938</v>
      </c>
      <c r="K632" s="7" t="str">
        <f>IFERROR(__xludf.DUMMYFUNCTION("""COMPUTED_VALUE"""),"Tiến Thành -  Xã Quảng Tâm -  Thành phố Thanh Hóa -  Thanh Hóa -  Việt Nam")</f>
        <v>Tiến Thành -  Xã Quảng Tâm -  Thành phố Thanh Hóa -  Thanh Hóa -  Việt Nam</v>
      </c>
      <c r="L632" s="7" t="str">
        <f>IFERROR(__xludf.DUMMYFUNCTION("""COMPUTED_VALUE"""),"0979469464")</f>
        <v>0979469464</v>
      </c>
      <c r="M632" s="7" t="str">
        <f>IFERROR(__xludf.DUMMYFUNCTION("""COMPUTED_VALUE"""),"038090011852")</f>
        <v>038090011852</v>
      </c>
      <c r="N632" s="19">
        <f>IFERROR(__xludf.DUMMYFUNCTION("""COMPUTED_VALUE"""),44422.0)</f>
        <v>44422</v>
      </c>
      <c r="O632" s="7" t="str">
        <f>IFERROR(__xludf.DUMMYFUNCTION("""COMPUTED_VALUE"""),"Cục Cảnh sát QLHC về TTXH")</f>
        <v>Cục Cảnh sát QLHC về TTXH</v>
      </c>
      <c r="P632" s="7" t="str">
        <f>IFERROR(__xludf.DUMMYFUNCTION("""COMPUTED_VALUE"""),"Kỹ sư")</f>
        <v>Kỹ sư</v>
      </c>
      <c r="Q632" s="7" t="str">
        <f>IFERROR(__xludf.DUMMYFUNCTION("""COMPUTED_VALUE"""),"Cộng nghệ kỹ thuật hóa học")</f>
        <v>Cộng nghệ kỹ thuật hóa học</v>
      </c>
      <c r="R632" s="17">
        <f>IFERROR(__xludf.DUMMYFUNCTION("""COMPUTED_VALUE"""),43563.0)</f>
        <v>43563</v>
      </c>
      <c r="S632" s="17">
        <f>IFERROR(__xludf.DUMMYFUNCTION("""COMPUTED_VALUE"""),43983.0)</f>
        <v>43983</v>
      </c>
      <c r="T632" s="7" t="str">
        <f>IFERROR(__xludf.DUMMYFUNCTION("""COMPUTED_VALUE"""),"Chính thức")</f>
        <v>Chính thức</v>
      </c>
      <c r="U632" s="7"/>
      <c r="V632" s="7" t="str">
        <f>IFERROR(__xludf.DUMMYFUNCTION("""COMPUTED_VALUE"""),"Chính thức")</f>
        <v>Chính thức</v>
      </c>
      <c r="W632" s="7" t="str">
        <f>IFERROR(__xludf.DUMMYFUNCTION("""COMPUTED_VALUE"""),"6 năm 8 tháng")</f>
        <v>6 năm 8 tháng</v>
      </c>
      <c r="X632" s="7"/>
      <c r="Y632" s="7"/>
      <c r="Z632" s="7"/>
    </row>
    <row r="633">
      <c r="A633" s="7">
        <f>IFERROR(__xludf.DUMMYFUNCTION("""COMPUTED_VALUE"""),12.0)</f>
        <v>12</v>
      </c>
      <c r="B633" s="7" t="str">
        <f>IFERROR(__xludf.DUMMYFUNCTION("""COMPUTED_VALUE"""),"DC5-PXSX2")</f>
        <v>DC5-PXSX2</v>
      </c>
      <c r="C633" s="7" t="str">
        <f>IFERROR(__xludf.DUMMYFUNCTION("""COMPUTED_VALUE"""),"Bộ phận Mài và Đóng hộp")</f>
        <v>Bộ phận Mài và Đóng hộp</v>
      </c>
      <c r="D633" s="7" t="str">
        <f>IFERROR(__xludf.DUMMYFUNCTION("""COMPUTED_VALUE"""),"Dây chuyền Mài Ca B")</f>
        <v>Dây chuyền Mài Ca B</v>
      </c>
      <c r="E633" s="7"/>
      <c r="F633" s="7" t="str">
        <f>IFERROR(__xludf.DUMMYFUNCTION("""COMPUTED_VALUE"""),"NV5477")</f>
        <v>NV5477</v>
      </c>
      <c r="G633" s="7">
        <f>IFERROR(__xludf.DUMMYFUNCTION("""COMPUTED_VALUE"""),958.0)</f>
        <v>958</v>
      </c>
      <c r="H633" s="7" t="str">
        <f>IFERROR(__xludf.DUMMYFUNCTION("""COMPUTED_VALUE"""),"Nguyễn Ngọc Minh Khánh")</f>
        <v>Nguyễn Ngọc Minh Khánh</v>
      </c>
      <c r="I633" s="7" t="str">
        <f>IFERROR(__xludf.DUMMYFUNCTION("""COMPUTED_VALUE"""),"Nam")</f>
        <v>Nam</v>
      </c>
      <c r="J633" s="17">
        <f>IFERROR(__xludf.DUMMYFUNCTION("""COMPUTED_VALUE"""),37400.0)</f>
        <v>37400</v>
      </c>
      <c r="K633" s="7" t="str">
        <f>IFERROR(__xludf.DUMMYFUNCTION("""COMPUTED_VALUE"""),"Phường Ngọc Trạo - TP Thanh Hóa- Tỉnh Thanh Hóa")</f>
        <v>Phường Ngọc Trạo - TP Thanh Hóa- Tỉnh Thanh Hóa</v>
      </c>
      <c r="L633" s="7" t="str">
        <f>IFERROR(__xludf.DUMMYFUNCTION("""COMPUTED_VALUE"""),"0562626393")</f>
        <v>0562626393</v>
      </c>
      <c r="M633" s="7" t="str">
        <f>IFERROR(__xludf.DUMMYFUNCTION("""COMPUTED_VALUE"""),"038202007764")</f>
        <v>038202007764</v>
      </c>
      <c r="N633" s="19">
        <f>IFERROR(__xludf.DUMMYFUNCTION("""COMPUTED_VALUE"""),44839.0)</f>
        <v>44839</v>
      </c>
      <c r="O633" s="7" t="str">
        <f>IFERROR(__xludf.DUMMYFUNCTION("""COMPUTED_VALUE"""),"Cục Cảnh sát QLHC về TTXH")</f>
        <v>Cục Cảnh sát QLHC về TTXH</v>
      </c>
      <c r="P633" s="7" t="str">
        <f>IFERROR(__xludf.DUMMYFUNCTION("""COMPUTED_VALUE"""),"LĐPT")</f>
        <v>LĐPT</v>
      </c>
      <c r="Q633" s="7" t="str">
        <f>IFERROR(__xludf.DUMMYFUNCTION("""COMPUTED_VALUE"""),"Lao động phổ thông")</f>
        <v>Lao động phổ thông</v>
      </c>
      <c r="R633" s="17">
        <f>IFERROR(__xludf.DUMMYFUNCTION("""COMPUTED_VALUE"""),45803.0)</f>
        <v>45803</v>
      </c>
      <c r="S633" s="17">
        <f>IFERROR(__xludf.DUMMYFUNCTION("""COMPUTED_VALUE"""),45834.0)</f>
        <v>45834</v>
      </c>
      <c r="T633" s="7" t="str">
        <f>IFERROR(__xludf.DUMMYFUNCTION("""COMPUTED_VALUE"""),"Chính thức")</f>
        <v>Chính thức</v>
      </c>
      <c r="U633" s="7"/>
      <c r="V633" s="7" t="str">
        <f>IFERROR(__xludf.DUMMYFUNCTION("""COMPUTED_VALUE"""),"Chính thức")</f>
        <v>Chính thức</v>
      </c>
      <c r="W633" s="7" t="str">
        <f>IFERROR(__xludf.DUMMYFUNCTION("""COMPUTED_VALUE"""),"0 năm 7 tháng")</f>
        <v>0 năm 7 tháng</v>
      </c>
      <c r="X633" s="7"/>
      <c r="Y633" s="7"/>
      <c r="Z633" s="7"/>
    </row>
    <row r="634">
      <c r="A634" s="7">
        <f>IFERROR(__xludf.DUMMYFUNCTION("""COMPUTED_VALUE"""),13.0)</f>
        <v>13</v>
      </c>
      <c r="B634" s="7" t="str">
        <f>IFERROR(__xludf.DUMMYFUNCTION("""COMPUTED_VALUE"""),"DC5-PXSX2")</f>
        <v>DC5-PXSX2</v>
      </c>
      <c r="C634" s="7" t="str">
        <f>IFERROR(__xludf.DUMMYFUNCTION("""COMPUTED_VALUE"""),"Bộ phận Mài và Đóng hộp")</f>
        <v>Bộ phận Mài và Đóng hộp</v>
      </c>
      <c r="D634" s="7" t="str">
        <f>IFERROR(__xludf.DUMMYFUNCTION("""COMPUTED_VALUE"""),"Dây chuyền Mài Ca B")</f>
        <v>Dây chuyền Mài Ca B</v>
      </c>
      <c r="E634" s="7" t="str">
        <f>IFERROR(__xludf.DUMMYFUNCTION("""COMPUTED_VALUE"""),"Vận hành máy mài mặt Mức 2")</f>
        <v>Vận hành máy mài mặt Mức 2</v>
      </c>
      <c r="F634" s="7" t="str">
        <f>IFERROR(__xludf.DUMMYFUNCTION("""COMPUTED_VALUE"""),"NV5666")</f>
        <v>NV5666</v>
      </c>
      <c r="G634" s="7">
        <f>IFERROR(__xludf.DUMMYFUNCTION("""COMPUTED_VALUE"""),1160.0)</f>
        <v>1160</v>
      </c>
      <c r="H634" s="7" t="str">
        <f>IFERROR(__xludf.DUMMYFUNCTION("""COMPUTED_VALUE"""),"Viên Đình Định")</f>
        <v>Viên Đình Định</v>
      </c>
      <c r="I634" s="7" t="str">
        <f>IFERROR(__xludf.DUMMYFUNCTION("""COMPUTED_VALUE"""),"Nam")</f>
        <v>Nam</v>
      </c>
      <c r="J634" s="17">
        <f>IFERROR(__xludf.DUMMYFUNCTION("""COMPUTED_VALUE"""),33209.0)</f>
        <v>33209</v>
      </c>
      <c r="K634" s="7" t="str">
        <f>IFERROR(__xludf.DUMMYFUNCTION("""COMPUTED_VALUE"""),"KP Thành Thắng - Phường Sầm Sơn 
 Tỉnh Thanh Hóa")</f>
        <v>KP Thành Thắng - Phường Sầm Sơn 
 Tỉnh Thanh Hóa</v>
      </c>
      <c r="L634" s="7" t="str">
        <f>IFERROR(__xludf.DUMMYFUNCTION("""COMPUTED_VALUE"""),"0984394945")</f>
        <v>0984394945</v>
      </c>
      <c r="M634" s="7" t="str">
        <f>IFERROR(__xludf.DUMMYFUNCTION("""COMPUTED_VALUE"""),"038090015758")</f>
        <v>038090015758</v>
      </c>
      <c r="N634" s="19">
        <f>IFERROR(__xludf.DUMMYFUNCTION("""COMPUTED_VALUE"""),44467.0)</f>
        <v>44467</v>
      </c>
      <c r="O634" s="7" t="str">
        <f>IFERROR(__xludf.DUMMYFUNCTION("""COMPUTED_VALUE"""),"Cục Cảnh sát QLHC về TTXH")</f>
        <v>Cục Cảnh sát QLHC về TTXH</v>
      </c>
      <c r="P634" s="7" t="str">
        <f>IFERROR(__xludf.DUMMYFUNCTION("""COMPUTED_VALUE"""),"LĐPT")</f>
        <v>LĐPT</v>
      </c>
      <c r="Q634" s="7" t="str">
        <f>IFERROR(__xludf.DUMMYFUNCTION("""COMPUTED_VALUE"""),"Lao động phổ thông")</f>
        <v>Lao động phổ thông</v>
      </c>
      <c r="R634" s="17">
        <f>IFERROR(__xludf.DUMMYFUNCTION("""COMPUTED_VALUE"""),45896.0)</f>
        <v>45896</v>
      </c>
      <c r="S634" s="17">
        <f>IFERROR(__xludf.DUMMYFUNCTION("""COMPUTED_VALUE"""),45927.0)</f>
        <v>45927</v>
      </c>
      <c r="T634" s="7" t="str">
        <f>IFERROR(__xludf.DUMMYFUNCTION("""COMPUTED_VALUE"""),"Chính thức")</f>
        <v>Chính thức</v>
      </c>
      <c r="U634" s="7"/>
      <c r="V634" s="7" t="str">
        <f>IFERROR(__xludf.DUMMYFUNCTION("""COMPUTED_VALUE"""),"Chính thức")</f>
        <v>Chính thức</v>
      </c>
      <c r="W634" s="7" t="str">
        <f>IFERROR(__xludf.DUMMYFUNCTION("""COMPUTED_VALUE"""),"0 năm 4 tháng")</f>
        <v>0 năm 4 tháng</v>
      </c>
      <c r="X634" s="7"/>
      <c r="Y634" s="7"/>
      <c r="Z634" s="7"/>
    </row>
    <row r="635">
      <c r="A635" s="7">
        <f>IFERROR(__xludf.DUMMYFUNCTION("""COMPUTED_VALUE"""),1.0)</f>
        <v>1</v>
      </c>
      <c r="B635" s="7" t="str">
        <f>IFERROR(__xludf.DUMMYFUNCTION("""COMPUTED_VALUE"""),"DC5-PXSX2")</f>
        <v>DC5-PXSX2</v>
      </c>
      <c r="C635" s="7" t="str">
        <f>IFERROR(__xludf.DUMMYFUNCTION("""COMPUTED_VALUE"""),"Bộ phận Mài và Đóng hộp")</f>
        <v>Bộ phận Mài và Đóng hộp</v>
      </c>
      <c r="D635" s="7" t="str">
        <f>IFERROR(__xludf.DUMMYFUNCTION("""COMPUTED_VALUE"""),"Đóng hộp Ca A")</f>
        <v>Đóng hộp Ca A</v>
      </c>
      <c r="E635" s="7" t="str">
        <f>IFERROR(__xludf.DUMMYFUNCTION("""COMPUTED_VALUE"""),"Nhóm trưởng")</f>
        <v>Nhóm trưởng</v>
      </c>
      <c r="F635" s="7" t="str">
        <f>IFERROR(__xludf.DUMMYFUNCTION("""COMPUTED_VALUE"""),"NV0243")</f>
        <v>NV0243</v>
      </c>
      <c r="G635" s="7">
        <f>IFERROR(__xludf.DUMMYFUNCTION("""COMPUTED_VALUE"""),375.0)</f>
        <v>375</v>
      </c>
      <c r="H635" s="7" t="str">
        <f>IFERROR(__xludf.DUMMYFUNCTION("""COMPUTED_VALUE"""),"Nguyễn Trọng Tiến")</f>
        <v>Nguyễn Trọng Tiến</v>
      </c>
      <c r="I635" s="7" t="str">
        <f>IFERROR(__xludf.DUMMYFUNCTION("""COMPUTED_VALUE"""),"Nam")</f>
        <v>Nam</v>
      </c>
      <c r="J635" s="17">
        <f>IFERROR(__xludf.DUMMYFUNCTION("""COMPUTED_VALUE"""),26957.0)</f>
        <v>26957</v>
      </c>
      <c r="K635" s="7" t="str">
        <f>IFERROR(__xludf.DUMMYFUNCTION("""COMPUTED_VALUE"""),"Nguyễn Tiến -  Phường Đông Hương -  Thành phố Thanh Hóa - ")</f>
        <v>Nguyễn Tiến -  Phường Đông Hương -  Thành phố Thanh Hóa - </v>
      </c>
      <c r="L635" s="7"/>
      <c r="M635" s="7" t="str">
        <f>IFERROR(__xludf.DUMMYFUNCTION("""COMPUTED_VALUE"""),"038073012108")</f>
        <v>038073012108</v>
      </c>
      <c r="N635" s="19">
        <f>IFERROR(__xludf.DUMMYFUNCTION("""COMPUTED_VALUE"""),44418.0)</f>
        <v>44418</v>
      </c>
      <c r="O635" s="7" t="str">
        <f>IFERROR(__xludf.DUMMYFUNCTION("""COMPUTED_VALUE"""),"Cục Cảnh sát QLHC về TTXH")</f>
        <v>Cục Cảnh sát QLHC về TTXH</v>
      </c>
      <c r="P635" s="7" t="str">
        <f>IFERROR(__xludf.DUMMYFUNCTION("""COMPUTED_VALUE"""),"LĐPT")</f>
        <v>LĐPT</v>
      </c>
      <c r="Q635" s="7" t="str">
        <f>IFERROR(__xludf.DUMMYFUNCTION("""COMPUTED_VALUE"""),"Lao động phổ thông")</f>
        <v>Lao động phổ thông</v>
      </c>
      <c r="R635" s="17">
        <f>IFERROR(__xludf.DUMMYFUNCTION("""COMPUTED_VALUE"""),40098.0)</f>
        <v>40098</v>
      </c>
      <c r="S635" s="17">
        <f>IFERROR(__xludf.DUMMYFUNCTION("""COMPUTED_VALUE"""),40098.0)</f>
        <v>40098</v>
      </c>
      <c r="T635" s="7" t="str">
        <f>IFERROR(__xludf.DUMMYFUNCTION("""COMPUTED_VALUE"""),"Chính thức")</f>
        <v>Chính thức</v>
      </c>
      <c r="U635" s="7"/>
      <c r="V635" s="7" t="str">
        <f>IFERROR(__xludf.DUMMYFUNCTION("""COMPUTED_VALUE"""),"Chính thức")</f>
        <v>Chính thức</v>
      </c>
      <c r="W635" s="7" t="str">
        <f>IFERROR(__xludf.DUMMYFUNCTION("""COMPUTED_VALUE"""),"16 năm 2 tháng")</f>
        <v>16 năm 2 tháng</v>
      </c>
      <c r="X635" s="7"/>
      <c r="Y635" s="7"/>
      <c r="Z635" s="7"/>
    </row>
    <row r="636">
      <c r="A636" s="7">
        <f>IFERROR(__xludf.DUMMYFUNCTION("""COMPUTED_VALUE"""),2.0)</f>
        <v>2</v>
      </c>
      <c r="B636" s="7" t="str">
        <f>IFERROR(__xludf.DUMMYFUNCTION("""COMPUTED_VALUE"""),"DC5-PXSX2")</f>
        <v>DC5-PXSX2</v>
      </c>
      <c r="C636" s="7" t="str">
        <f>IFERROR(__xludf.DUMMYFUNCTION("""COMPUTED_VALUE"""),"Bộ phận Mài và Đóng hộp")</f>
        <v>Bộ phận Mài và Đóng hộp</v>
      </c>
      <c r="D636" s="7" t="str">
        <f>IFERROR(__xludf.DUMMYFUNCTION("""COMPUTED_VALUE"""),"Đóng hộp Ca A")</f>
        <v>Đóng hộp Ca A</v>
      </c>
      <c r="E636" s="7" t="str">
        <f>IFERROR(__xludf.DUMMYFUNCTION("""COMPUTED_VALUE"""),"VH máy đóng hộp")</f>
        <v>VH máy đóng hộp</v>
      </c>
      <c r="F636" s="7" t="str">
        <f>IFERROR(__xludf.DUMMYFUNCTION("""COMPUTED_VALUE"""),"NV0527")</f>
        <v>NV0527</v>
      </c>
      <c r="G636" s="7">
        <f>IFERROR(__xludf.DUMMYFUNCTION("""COMPUTED_VALUE"""),551.0)</f>
        <v>551</v>
      </c>
      <c r="H636" s="7" t="str">
        <f>IFERROR(__xludf.DUMMYFUNCTION("""COMPUTED_VALUE"""),"Đoàn Văn Tùng")</f>
        <v>Đoàn Văn Tùng</v>
      </c>
      <c r="I636" s="7" t="str">
        <f>IFERROR(__xludf.DUMMYFUNCTION("""COMPUTED_VALUE"""),"Nam")</f>
        <v>Nam</v>
      </c>
      <c r="J636" s="17">
        <f>IFERROR(__xludf.DUMMYFUNCTION("""COMPUTED_VALUE"""),31059.0)</f>
        <v>31059</v>
      </c>
      <c r="K636" s="7" t="str">
        <f>IFERROR(__xludf.DUMMYFUNCTION("""COMPUTED_VALUE"""),"Xã Quảng Định -  Huyện Quảng Xương -  Thanh Hóa -  Việt Nam")</f>
        <v>Xã Quảng Định -  Huyện Quảng Xương -  Thanh Hóa -  Việt Nam</v>
      </c>
      <c r="L636" s="7" t="str">
        <f>IFERROR(__xludf.DUMMYFUNCTION("""COMPUTED_VALUE"""),"0912688102")</f>
        <v>0912688102</v>
      </c>
      <c r="M636" s="7" t="str">
        <f>IFERROR(__xludf.DUMMYFUNCTION("""COMPUTED_VALUE"""),"038085015552")</f>
        <v>038085015552</v>
      </c>
      <c r="N636" s="19">
        <f>IFERROR(__xludf.DUMMYFUNCTION("""COMPUTED_VALUE"""),44461.0)</f>
        <v>44461</v>
      </c>
      <c r="O636" s="7" t="str">
        <f>IFERROR(__xludf.DUMMYFUNCTION("""COMPUTED_VALUE"""),"Cục Cảnh sát QLHC về TTXH")</f>
        <v>Cục Cảnh sát QLHC về TTXH</v>
      </c>
      <c r="P636" s="7" t="str">
        <f>IFERROR(__xludf.DUMMYFUNCTION("""COMPUTED_VALUE"""),"Trung cấp")</f>
        <v>Trung cấp</v>
      </c>
      <c r="Q636" s="7" t="str">
        <f>IFERROR(__xludf.DUMMYFUNCTION("""COMPUTED_VALUE"""),"Điện xí nghiệp")</f>
        <v>Điện xí nghiệp</v>
      </c>
      <c r="R636" s="17">
        <f>IFERROR(__xludf.DUMMYFUNCTION("""COMPUTED_VALUE"""),42660.0)</f>
        <v>42660</v>
      </c>
      <c r="S636" s="17">
        <f>IFERROR(__xludf.DUMMYFUNCTION("""COMPUTED_VALUE"""),43252.0)</f>
        <v>43252</v>
      </c>
      <c r="T636" s="7" t="str">
        <f>IFERROR(__xludf.DUMMYFUNCTION("""COMPUTED_VALUE"""),"Chính thức")</f>
        <v>Chính thức</v>
      </c>
      <c r="U636" s="7"/>
      <c r="V636" s="7" t="str">
        <f>IFERROR(__xludf.DUMMYFUNCTION("""COMPUTED_VALUE"""),"Chính thức")</f>
        <v>Chính thức</v>
      </c>
      <c r="W636" s="7" t="str">
        <f>IFERROR(__xludf.DUMMYFUNCTION("""COMPUTED_VALUE"""),"9 năm 2 tháng")</f>
        <v>9 năm 2 tháng</v>
      </c>
      <c r="X636" s="7"/>
      <c r="Y636" s="7"/>
      <c r="Z636" s="7"/>
    </row>
    <row r="637">
      <c r="A637" s="7">
        <f>IFERROR(__xludf.DUMMYFUNCTION("""COMPUTED_VALUE"""),3.0)</f>
        <v>3</v>
      </c>
      <c r="B637" s="7" t="str">
        <f>IFERROR(__xludf.DUMMYFUNCTION("""COMPUTED_VALUE"""),"DC5-PXSX2")</f>
        <v>DC5-PXSX2</v>
      </c>
      <c r="C637" s="7" t="str">
        <f>IFERROR(__xludf.DUMMYFUNCTION("""COMPUTED_VALUE"""),"Bộ phận Mài và Đóng hộp")</f>
        <v>Bộ phận Mài và Đóng hộp</v>
      </c>
      <c r="D637" s="7" t="str">
        <f>IFERROR(__xludf.DUMMYFUNCTION("""COMPUTED_VALUE"""),"Đóng hộp Ca A")</f>
        <v>Đóng hộp Ca A</v>
      </c>
      <c r="E637" s="7" t="str">
        <f>IFERROR(__xludf.DUMMYFUNCTION("""COMPUTED_VALUE"""),"Xe nâng kiêm hoàn thiện palet")</f>
        <v>Xe nâng kiêm hoàn thiện palet</v>
      </c>
      <c r="F637" s="7" t="str">
        <f>IFERROR(__xludf.DUMMYFUNCTION("""COMPUTED_VALUE"""),"NV2535")</f>
        <v>NV2535</v>
      </c>
      <c r="G637" s="7">
        <f>IFERROR(__xludf.DUMMYFUNCTION("""COMPUTED_VALUE"""),558.0)</f>
        <v>558</v>
      </c>
      <c r="H637" s="7" t="str">
        <f>IFERROR(__xludf.DUMMYFUNCTION("""COMPUTED_VALUE"""),"Nguyễn Trọng Tình")</f>
        <v>Nguyễn Trọng Tình</v>
      </c>
      <c r="I637" s="7" t="str">
        <f>IFERROR(__xludf.DUMMYFUNCTION("""COMPUTED_VALUE"""),"Nam")</f>
        <v>Nam</v>
      </c>
      <c r="J637" s="17">
        <f>IFERROR(__xludf.DUMMYFUNCTION("""COMPUTED_VALUE"""),32405.0)</f>
        <v>32405</v>
      </c>
      <c r="K637" s="7" t="str">
        <f>IFERROR(__xludf.DUMMYFUNCTION("""COMPUTED_VALUE"""),"Xã Hoằng Châu -  Huyện Hoằng Hóa -  Thanh Hóa - ")</f>
        <v>Xã Hoằng Châu -  Huyện Hoằng Hóa -  Thanh Hóa - </v>
      </c>
      <c r="L637" s="7" t="str">
        <f>IFERROR(__xludf.DUMMYFUNCTION("""COMPUTED_VALUE"""),"0376763468")</f>
        <v>0376763468</v>
      </c>
      <c r="M637" s="7" t="str">
        <f>IFERROR(__xludf.DUMMYFUNCTION("""COMPUTED_VALUE"""),"038088048270")</f>
        <v>038088048270</v>
      </c>
      <c r="N637" s="19">
        <f>IFERROR(__xludf.DUMMYFUNCTION("""COMPUTED_VALUE"""),44963.0)</f>
        <v>44963</v>
      </c>
      <c r="O637" s="7" t="str">
        <f>IFERROR(__xludf.DUMMYFUNCTION("""COMPUTED_VALUE"""),"Cục Cảnh sát QLHC về TTXH")</f>
        <v>Cục Cảnh sát QLHC về TTXH</v>
      </c>
      <c r="P637" s="7" t="str">
        <f>IFERROR(__xludf.DUMMYFUNCTION("""COMPUTED_VALUE"""),"Chứng chỉ nghề")</f>
        <v>Chứng chỉ nghề</v>
      </c>
      <c r="Q637" s="7" t="str">
        <f>IFERROR(__xludf.DUMMYFUNCTION("""COMPUTED_VALUE"""),"Vận hành xe nâng")</f>
        <v>Vận hành xe nâng</v>
      </c>
      <c r="R637" s="17">
        <f>IFERROR(__xludf.DUMMYFUNCTION("""COMPUTED_VALUE"""),43666.0)</f>
        <v>43666</v>
      </c>
      <c r="S637" s="17">
        <f>IFERROR(__xludf.DUMMYFUNCTION("""COMPUTED_VALUE"""),44013.0)</f>
        <v>44013</v>
      </c>
      <c r="T637" s="7" t="str">
        <f>IFERROR(__xludf.DUMMYFUNCTION("""COMPUTED_VALUE"""),"Chính thức")</f>
        <v>Chính thức</v>
      </c>
      <c r="U637" s="7"/>
      <c r="V637" s="7" t="str">
        <f>IFERROR(__xludf.DUMMYFUNCTION("""COMPUTED_VALUE"""),"Chính thức")</f>
        <v>Chính thức</v>
      </c>
      <c r="W637" s="7" t="str">
        <f>IFERROR(__xludf.DUMMYFUNCTION("""COMPUTED_VALUE"""),"6 năm 5 tháng")</f>
        <v>6 năm 5 tháng</v>
      </c>
      <c r="X637" s="7"/>
      <c r="Y637" s="7"/>
      <c r="Z637" s="7"/>
    </row>
    <row r="638">
      <c r="A638" s="7">
        <f>IFERROR(__xludf.DUMMYFUNCTION("""COMPUTED_VALUE"""),4.0)</f>
        <v>4</v>
      </c>
      <c r="B638" s="7" t="str">
        <f>IFERROR(__xludf.DUMMYFUNCTION("""COMPUTED_VALUE"""),"DC5-PXSX2")</f>
        <v>DC5-PXSX2</v>
      </c>
      <c r="C638" s="7" t="str">
        <f>IFERROR(__xludf.DUMMYFUNCTION("""COMPUTED_VALUE"""),"Bộ phận Mài và Đóng hộp")</f>
        <v>Bộ phận Mài và Đóng hộp</v>
      </c>
      <c r="D638" s="7" t="str">
        <f>IFERROR(__xludf.DUMMYFUNCTION("""COMPUTED_VALUE"""),"Đóng hộp Ca A")</f>
        <v>Đóng hộp Ca A</v>
      </c>
      <c r="E638" s="7" t="str">
        <f>IFERROR(__xludf.DUMMYFUNCTION("""COMPUTED_VALUE"""),"Bốc lai")</f>
        <v>Bốc lai</v>
      </c>
      <c r="F638" s="7" t="str">
        <f>IFERROR(__xludf.DUMMYFUNCTION("""COMPUTED_VALUE"""),"NV0621")</f>
        <v>NV0621</v>
      </c>
      <c r="G638" s="7">
        <f>IFERROR(__xludf.DUMMYFUNCTION("""COMPUTED_VALUE"""),711.0)</f>
        <v>711</v>
      </c>
      <c r="H638" s="7" t="str">
        <f>IFERROR(__xludf.DUMMYFUNCTION("""COMPUTED_VALUE"""),"Nguyễn Thị Hoài Thu")</f>
        <v>Nguyễn Thị Hoài Thu</v>
      </c>
      <c r="I638" s="7" t="str">
        <f>IFERROR(__xludf.DUMMYFUNCTION("""COMPUTED_VALUE"""),"Nữ")</f>
        <v>Nữ</v>
      </c>
      <c r="J638" s="17">
        <f>IFERROR(__xludf.DUMMYFUNCTION("""COMPUTED_VALUE"""),31138.0)</f>
        <v>31138</v>
      </c>
      <c r="K638" s="7" t="str">
        <f>IFERROR(__xludf.DUMMYFUNCTION("""COMPUTED_VALUE"""),"Phường Đông Vệ -  Thành phố Thanh Hóa -  Thanh Hóa -  Việt Nam")</f>
        <v>Phường Đông Vệ -  Thành phố Thanh Hóa -  Thanh Hóa -  Việt Nam</v>
      </c>
      <c r="L638" s="7" t="str">
        <f>IFERROR(__xludf.DUMMYFUNCTION("""COMPUTED_VALUE"""),"0329503088")</f>
        <v>0329503088</v>
      </c>
      <c r="M638" s="7" t="str">
        <f>IFERROR(__xludf.DUMMYFUNCTION("""COMPUTED_VALUE"""),"038185025740")</f>
        <v>038185025740</v>
      </c>
      <c r="N638" s="19">
        <f>IFERROR(__xludf.DUMMYFUNCTION("""COMPUTED_VALUE"""),44311.0)</f>
        <v>44311</v>
      </c>
      <c r="O638" s="7" t="str">
        <f>IFERROR(__xludf.DUMMYFUNCTION("""COMPUTED_VALUE"""),"Cục Cảnh sát QLHC về TTXH")</f>
        <v>Cục Cảnh sát QLHC về TTXH</v>
      </c>
      <c r="P638" s="7" t="str">
        <f>IFERROR(__xludf.DUMMYFUNCTION("""COMPUTED_VALUE"""),"LĐPT")</f>
        <v>LĐPT</v>
      </c>
      <c r="Q638" s="7" t="str">
        <f>IFERROR(__xludf.DUMMYFUNCTION("""COMPUTED_VALUE"""),"Lao động phổ thông")</f>
        <v>Lao động phổ thông</v>
      </c>
      <c r="R638" s="17">
        <f>IFERROR(__xludf.DUMMYFUNCTION("""COMPUTED_VALUE"""),39931.0)</f>
        <v>39931</v>
      </c>
      <c r="S638" s="17">
        <f>IFERROR(__xludf.DUMMYFUNCTION("""COMPUTED_VALUE"""),39931.0)</f>
        <v>39931</v>
      </c>
      <c r="T638" s="7" t="str">
        <f>IFERROR(__xludf.DUMMYFUNCTION("""COMPUTED_VALUE"""),"Chính thức")</f>
        <v>Chính thức</v>
      </c>
      <c r="U638" s="7"/>
      <c r="V638" s="7" t="str">
        <f>IFERROR(__xludf.DUMMYFUNCTION("""COMPUTED_VALUE"""),"Chính thức")</f>
        <v>Chính thức</v>
      </c>
      <c r="W638" s="7" t="str">
        <f>IFERROR(__xludf.DUMMYFUNCTION("""COMPUTED_VALUE"""),"16 năm 8 tháng")</f>
        <v>16 năm 8 tháng</v>
      </c>
      <c r="X638" s="7"/>
      <c r="Y638" s="7"/>
      <c r="Z638" s="7"/>
    </row>
    <row r="639">
      <c r="A639" s="7">
        <f>IFERROR(__xludf.DUMMYFUNCTION("""COMPUTED_VALUE"""),5.0)</f>
        <v>5</v>
      </c>
      <c r="B639" s="7" t="str">
        <f>IFERROR(__xludf.DUMMYFUNCTION("""COMPUTED_VALUE"""),"DC5-PXSX2")</f>
        <v>DC5-PXSX2</v>
      </c>
      <c r="C639" s="7" t="str">
        <f>IFERROR(__xludf.DUMMYFUNCTION("""COMPUTED_VALUE"""),"Bộ phận Mài và Đóng hộp")</f>
        <v>Bộ phận Mài và Đóng hộp</v>
      </c>
      <c r="D639" s="7" t="str">
        <f>IFERROR(__xludf.DUMMYFUNCTION("""COMPUTED_VALUE"""),"Đóng hộp Ca A")</f>
        <v>Đóng hộp Ca A</v>
      </c>
      <c r="E639" s="7" t="str">
        <f>IFERROR(__xludf.DUMMYFUNCTION("""COMPUTED_VALUE"""),"Đóng A2")</f>
        <v>Đóng A2</v>
      </c>
      <c r="F639" s="7" t="str">
        <f>IFERROR(__xludf.DUMMYFUNCTION("""COMPUTED_VALUE"""),"NV0608")</f>
        <v>NV0608</v>
      </c>
      <c r="G639" s="7">
        <f>IFERROR(__xludf.DUMMYFUNCTION("""COMPUTED_VALUE"""),511.0)</f>
        <v>511</v>
      </c>
      <c r="H639" s="7" t="str">
        <f>IFERROR(__xludf.DUMMYFUNCTION("""COMPUTED_VALUE"""),"Trịnh Thị Hoa")</f>
        <v>Trịnh Thị Hoa</v>
      </c>
      <c r="I639" s="7" t="str">
        <f>IFERROR(__xludf.DUMMYFUNCTION("""COMPUTED_VALUE"""),"Nữ")</f>
        <v>Nữ</v>
      </c>
      <c r="J639" s="17">
        <f>IFERROR(__xludf.DUMMYFUNCTION("""COMPUTED_VALUE"""),30226.0)</f>
        <v>30226</v>
      </c>
      <c r="K639" s="7" t="str">
        <f>IFERROR(__xludf.DUMMYFUNCTION("""COMPUTED_VALUE"""),"Xã Hoằng Trạch -  Huyện Hoằng Hóa -  Thanh Hóa -  Việt Nam")</f>
        <v>Xã Hoằng Trạch -  Huyện Hoằng Hóa -  Thanh Hóa -  Việt Nam</v>
      </c>
      <c r="L639" s="7" t="str">
        <f>IFERROR(__xludf.DUMMYFUNCTION("""COMPUTED_VALUE"""),"0353684406")</f>
        <v>0353684406</v>
      </c>
      <c r="M639" s="7" t="str">
        <f>IFERROR(__xludf.DUMMYFUNCTION("""COMPUTED_VALUE"""),"038182049162")</f>
        <v>038182049162</v>
      </c>
      <c r="N639" s="19">
        <f>IFERROR(__xludf.DUMMYFUNCTION("""COMPUTED_VALUE"""),44428.0)</f>
        <v>44428</v>
      </c>
      <c r="O639" s="7" t="str">
        <f>IFERROR(__xludf.DUMMYFUNCTION("""COMPUTED_VALUE"""),"Cục Cảnh sát QLHC về TTXH")</f>
        <v>Cục Cảnh sát QLHC về TTXH</v>
      </c>
      <c r="P639" s="7" t="str">
        <f>IFERROR(__xludf.DUMMYFUNCTION("""COMPUTED_VALUE"""),"LĐPT")</f>
        <v>LĐPT</v>
      </c>
      <c r="Q639" s="7" t="str">
        <f>IFERROR(__xludf.DUMMYFUNCTION("""COMPUTED_VALUE"""),"Lao động phổ thông")</f>
        <v>Lao động phổ thông</v>
      </c>
      <c r="R639" s="17">
        <f>IFERROR(__xludf.DUMMYFUNCTION("""COMPUTED_VALUE"""),39385.0)</f>
        <v>39385</v>
      </c>
      <c r="S639" s="17">
        <f>IFERROR(__xludf.DUMMYFUNCTION("""COMPUTED_VALUE"""),39385.0)</f>
        <v>39385</v>
      </c>
      <c r="T639" s="7" t="str">
        <f>IFERROR(__xludf.DUMMYFUNCTION("""COMPUTED_VALUE"""),"Chính thức")</f>
        <v>Chính thức</v>
      </c>
      <c r="U639" s="7"/>
      <c r="V639" s="7" t="str">
        <f>IFERROR(__xludf.DUMMYFUNCTION("""COMPUTED_VALUE"""),"Chính thức")</f>
        <v>Chính thức</v>
      </c>
      <c r="W639" s="7" t="str">
        <f>IFERROR(__xludf.DUMMYFUNCTION("""COMPUTED_VALUE"""),"18 năm 2 tháng")</f>
        <v>18 năm 2 tháng</v>
      </c>
      <c r="X639" s="7"/>
      <c r="Y639" s="7"/>
      <c r="Z639" s="7"/>
    </row>
    <row r="640">
      <c r="A640" s="7">
        <f>IFERROR(__xludf.DUMMYFUNCTION("""COMPUTED_VALUE"""),6.0)</f>
        <v>6</v>
      </c>
      <c r="B640" s="7" t="str">
        <f>IFERROR(__xludf.DUMMYFUNCTION("""COMPUTED_VALUE"""),"DC5-PXSX2")</f>
        <v>DC5-PXSX2</v>
      </c>
      <c r="C640" s="7" t="str">
        <f>IFERROR(__xludf.DUMMYFUNCTION("""COMPUTED_VALUE"""),"Bộ phận Mài và Đóng hộp")</f>
        <v>Bộ phận Mài và Đóng hộp</v>
      </c>
      <c r="D640" s="7" t="str">
        <f>IFERROR(__xludf.DUMMYFUNCTION("""COMPUTED_VALUE"""),"Đóng hộp Ca A")</f>
        <v>Đóng hộp Ca A</v>
      </c>
      <c r="E640" s="7" t="str">
        <f>IFERROR(__xludf.DUMMYFUNCTION("""COMPUTED_VALUE"""),"Hoàn thiện Palet mức 1")</f>
        <v>Hoàn thiện Palet mức 1</v>
      </c>
      <c r="F640" s="7" t="str">
        <f>IFERROR(__xludf.DUMMYFUNCTION("""COMPUTED_VALUE"""),"NV2742")</f>
        <v>NV2742</v>
      </c>
      <c r="G640" s="7">
        <f>IFERROR(__xludf.DUMMYFUNCTION("""COMPUTED_VALUE"""),830.0)</f>
        <v>830</v>
      </c>
      <c r="H640" s="7" t="str">
        <f>IFERROR(__xludf.DUMMYFUNCTION("""COMPUTED_VALUE"""),"Nguyễn Xuân Oánh")</f>
        <v>Nguyễn Xuân Oánh</v>
      </c>
      <c r="I640" s="7" t="str">
        <f>IFERROR(__xludf.DUMMYFUNCTION("""COMPUTED_VALUE"""),"Nam")</f>
        <v>Nam</v>
      </c>
      <c r="J640" s="17">
        <f>IFERROR(__xludf.DUMMYFUNCTION("""COMPUTED_VALUE"""),26063.0)</f>
        <v>26063</v>
      </c>
      <c r="K640" s="7" t="str">
        <f>IFERROR(__xludf.DUMMYFUNCTION("""COMPUTED_VALUE"""),"Thôn Đai -  Xã Quảng Hải -  Huyện Quảng Xương -  Thanh Hóa -  Việt Nam")</f>
        <v>Thôn Đai -  Xã Quảng Hải -  Huyện Quảng Xương -  Thanh Hóa -  Việt Nam</v>
      </c>
      <c r="L640" s="7" t="str">
        <f>IFERROR(__xludf.DUMMYFUNCTION("""COMPUTED_VALUE"""),"0339094360")</f>
        <v>0339094360</v>
      </c>
      <c r="M640" s="7" t="str">
        <f>IFERROR(__xludf.DUMMYFUNCTION("""COMPUTED_VALUE"""),"038071027902")</f>
        <v>038071027902</v>
      </c>
      <c r="N640" s="19">
        <f>IFERROR(__xludf.DUMMYFUNCTION("""COMPUTED_VALUE"""),44467.0)</f>
        <v>44467</v>
      </c>
      <c r="O640" s="7" t="str">
        <f>IFERROR(__xludf.DUMMYFUNCTION("""COMPUTED_VALUE"""),"Cục Cảnh sát QLHC về TTXH")</f>
        <v>Cục Cảnh sát QLHC về TTXH</v>
      </c>
      <c r="P640" s="7" t="str">
        <f>IFERROR(__xludf.DUMMYFUNCTION("""COMPUTED_VALUE"""),"LĐPT")</f>
        <v>LĐPT</v>
      </c>
      <c r="Q640" s="7" t="str">
        <f>IFERROR(__xludf.DUMMYFUNCTION("""COMPUTED_VALUE"""),"Lao động phổ thông")</f>
        <v>Lao động phổ thông</v>
      </c>
      <c r="R640" s="17">
        <f>IFERROR(__xludf.DUMMYFUNCTION("""COMPUTED_VALUE"""),43872.0)</f>
        <v>43872</v>
      </c>
      <c r="S640" s="17">
        <f>IFERROR(__xludf.DUMMYFUNCTION("""COMPUTED_VALUE"""),44166.0)</f>
        <v>44166</v>
      </c>
      <c r="T640" s="7" t="str">
        <f>IFERROR(__xludf.DUMMYFUNCTION("""COMPUTED_VALUE"""),"Chính thức")</f>
        <v>Chính thức</v>
      </c>
      <c r="U640" s="7"/>
      <c r="V640" s="7" t="str">
        <f>IFERROR(__xludf.DUMMYFUNCTION("""COMPUTED_VALUE"""),"Chính thức")</f>
        <v>Chính thức</v>
      </c>
      <c r="W640" s="7" t="str">
        <f>IFERROR(__xludf.DUMMYFUNCTION("""COMPUTED_VALUE"""),"5 năm 10 tháng")</f>
        <v>5 năm 10 tháng</v>
      </c>
      <c r="X640" s="7"/>
      <c r="Y640" s="7"/>
      <c r="Z640" s="7"/>
    </row>
    <row r="641">
      <c r="A641" s="7">
        <f>IFERROR(__xludf.DUMMYFUNCTION("""COMPUTED_VALUE"""),7.0)</f>
        <v>7</v>
      </c>
      <c r="B641" s="7" t="str">
        <f>IFERROR(__xludf.DUMMYFUNCTION("""COMPUTED_VALUE"""),"DC5-PXSX2")</f>
        <v>DC5-PXSX2</v>
      </c>
      <c r="C641" s="7" t="str">
        <f>IFERROR(__xludf.DUMMYFUNCTION("""COMPUTED_VALUE"""),"Bộ phận Mài và Đóng hộp")</f>
        <v>Bộ phận Mài và Đóng hộp</v>
      </c>
      <c r="D641" s="7" t="str">
        <f>IFERROR(__xludf.DUMMYFUNCTION("""COMPUTED_VALUE"""),"Đóng hộp Ca A")</f>
        <v>Đóng hộp Ca A</v>
      </c>
      <c r="E641" s="7" t="str">
        <f>IFERROR(__xludf.DUMMYFUNCTION("""COMPUTED_VALUE"""),"Hoàn thiện Palet mức 1")</f>
        <v>Hoàn thiện Palet mức 1</v>
      </c>
      <c r="F641" s="7" t="str">
        <f>IFERROR(__xludf.DUMMYFUNCTION("""COMPUTED_VALUE"""),"NV5062")</f>
        <v>NV5062</v>
      </c>
      <c r="G641" s="7">
        <f>IFERROR(__xludf.DUMMYFUNCTION("""COMPUTED_VALUE"""),539.0)</f>
        <v>539</v>
      </c>
      <c r="H641" s="7" t="str">
        <f>IFERROR(__xludf.DUMMYFUNCTION("""COMPUTED_VALUE"""),"Trịnh Văn Trọng")</f>
        <v>Trịnh Văn Trọng</v>
      </c>
      <c r="I641" s="7" t="str">
        <f>IFERROR(__xludf.DUMMYFUNCTION("""COMPUTED_VALUE"""),"Nam")</f>
        <v>Nam</v>
      </c>
      <c r="J641" s="17">
        <f>IFERROR(__xludf.DUMMYFUNCTION("""COMPUTED_VALUE"""),29984.0)</f>
        <v>29984</v>
      </c>
      <c r="K641" s="7" t="str">
        <f>IFERROR(__xludf.DUMMYFUNCTION("""COMPUTED_VALUE"""),"Quảng Long -  Quảng Xương -  Thanh Hóa")</f>
        <v>Quảng Long -  Quảng Xương -  Thanh Hóa</v>
      </c>
      <c r="L641" s="7" t="str">
        <f>IFERROR(__xludf.DUMMYFUNCTION("""COMPUTED_VALUE"""),"0987695839")</f>
        <v>0987695839</v>
      </c>
      <c r="M641" s="7" t="str">
        <f>IFERROR(__xludf.DUMMYFUNCTION("""COMPUTED_VALUE"""),"038082015514")</f>
        <v>038082015514</v>
      </c>
      <c r="N641" s="19">
        <f>IFERROR(__xludf.DUMMYFUNCTION("""COMPUTED_VALUE"""),45112.0)</f>
        <v>45112</v>
      </c>
      <c r="O641" s="7" t="str">
        <f>IFERROR(__xludf.DUMMYFUNCTION("""COMPUTED_VALUE"""),"Cục Cảnh sát QLHC về TTXH")</f>
        <v>Cục Cảnh sát QLHC về TTXH</v>
      </c>
      <c r="P641" s="7" t="str">
        <f>IFERROR(__xludf.DUMMYFUNCTION("""COMPUTED_VALUE"""),"LĐPT")</f>
        <v>LĐPT</v>
      </c>
      <c r="Q641" s="7" t="str">
        <f>IFERROR(__xludf.DUMMYFUNCTION("""COMPUTED_VALUE"""),"Lao động phổ thông")</f>
        <v>Lao động phổ thông</v>
      </c>
      <c r="R641" s="17">
        <f>IFERROR(__xludf.DUMMYFUNCTION("""COMPUTED_VALUE"""),45367.0)</f>
        <v>45367</v>
      </c>
      <c r="S641" s="17">
        <f>IFERROR(__xludf.DUMMYFUNCTION("""COMPUTED_VALUE"""),45474.0)</f>
        <v>45474</v>
      </c>
      <c r="T641" s="7" t="str">
        <f>IFERROR(__xludf.DUMMYFUNCTION("""COMPUTED_VALUE"""),"Chính thức")</f>
        <v>Chính thức</v>
      </c>
      <c r="U641" s="7"/>
      <c r="V641" s="7" t="str">
        <f>IFERROR(__xludf.DUMMYFUNCTION("""COMPUTED_VALUE"""),"Chính thức")</f>
        <v>Chính thức</v>
      </c>
      <c r="W641" s="7" t="str">
        <f>IFERROR(__xludf.DUMMYFUNCTION("""COMPUTED_VALUE"""),"1 năm 9 tháng")</f>
        <v>1 năm 9 tháng</v>
      </c>
      <c r="X641" s="7"/>
      <c r="Y641" s="7"/>
      <c r="Z641" s="7"/>
    </row>
    <row r="642">
      <c r="A642" s="7">
        <f>IFERROR(__xludf.DUMMYFUNCTION("""COMPUTED_VALUE"""),8.0)</f>
        <v>8</v>
      </c>
      <c r="B642" s="7" t="str">
        <f>IFERROR(__xludf.DUMMYFUNCTION("""COMPUTED_VALUE"""),"DC5-PXSX2")</f>
        <v>DC5-PXSX2</v>
      </c>
      <c r="C642" s="7" t="str">
        <f>IFERROR(__xludf.DUMMYFUNCTION("""COMPUTED_VALUE"""),"Bộ phận Mài và Đóng hộp")</f>
        <v>Bộ phận Mài và Đóng hộp</v>
      </c>
      <c r="D642" s="7" t="str">
        <f>IFERROR(__xludf.DUMMYFUNCTION("""COMPUTED_VALUE"""),"Đóng hộp Ca A")</f>
        <v>Đóng hộp Ca A</v>
      </c>
      <c r="E642" s="7" t="str">
        <f>IFERROR(__xludf.DUMMYFUNCTION("""COMPUTED_VALUE"""),"Hoàn thiện Palet mức 1")</f>
        <v>Hoàn thiện Palet mức 1</v>
      </c>
      <c r="F642" s="7" t="str">
        <f>IFERROR(__xludf.DUMMYFUNCTION("""COMPUTED_VALUE"""),"NV0681")</f>
        <v>NV0681</v>
      </c>
      <c r="G642" s="7">
        <f>IFERROR(__xludf.DUMMYFUNCTION("""COMPUTED_VALUE"""),529.0)</f>
        <v>529</v>
      </c>
      <c r="H642" s="7" t="str">
        <f>IFERROR(__xludf.DUMMYFUNCTION("""COMPUTED_VALUE"""),"Lê Thị Hợi")</f>
        <v>Lê Thị Hợi</v>
      </c>
      <c r="I642" s="7" t="str">
        <f>IFERROR(__xludf.DUMMYFUNCTION("""COMPUTED_VALUE"""),"Nữ")</f>
        <v>Nữ</v>
      </c>
      <c r="J642" s="17">
        <f>IFERROR(__xludf.DUMMYFUNCTION("""COMPUTED_VALUE"""),30918.0)</f>
        <v>30918</v>
      </c>
      <c r="K642" s="7" t="str">
        <f>IFERROR(__xludf.DUMMYFUNCTION("""COMPUTED_VALUE"""),"Thôn Tiến Thành -  Xã Quảng Tâm -  Thành phố Thanh Hóa -  Thanh Hóa -  Việt Nam")</f>
        <v>Thôn Tiến Thành -  Xã Quảng Tâm -  Thành phố Thanh Hóa -  Thanh Hóa -  Việt Nam</v>
      </c>
      <c r="L642" s="7" t="str">
        <f>IFERROR(__xludf.DUMMYFUNCTION("""COMPUTED_VALUE"""),"0969215576")</f>
        <v>0969215576</v>
      </c>
      <c r="M642" s="7" t="str">
        <f>IFERROR(__xludf.DUMMYFUNCTION("""COMPUTED_VALUE"""),"038184013401")</f>
        <v>038184013401</v>
      </c>
      <c r="N642" s="19">
        <f>IFERROR(__xludf.DUMMYFUNCTION("""COMPUTED_VALUE"""),44418.0)</f>
        <v>44418</v>
      </c>
      <c r="O642" s="7" t="str">
        <f>IFERROR(__xludf.DUMMYFUNCTION("""COMPUTED_VALUE"""),"Cục Cảnh sát QLHC về TTXH")</f>
        <v>Cục Cảnh sát QLHC về TTXH</v>
      </c>
      <c r="P642" s="7" t="str">
        <f>IFERROR(__xludf.DUMMYFUNCTION("""COMPUTED_VALUE"""),"THPT")</f>
        <v>THPT</v>
      </c>
      <c r="Q642" s="7" t="str">
        <f>IFERROR(__xludf.DUMMYFUNCTION("""COMPUTED_VALUE"""),"Lao động phổ thông")</f>
        <v>Lao động phổ thông</v>
      </c>
      <c r="R642" s="17">
        <f>IFERROR(__xludf.DUMMYFUNCTION("""COMPUTED_VALUE"""),41200.0)</f>
        <v>41200</v>
      </c>
      <c r="S642" s="17">
        <f>IFERROR(__xludf.DUMMYFUNCTION("""COMPUTED_VALUE"""),41200.0)</f>
        <v>41200</v>
      </c>
      <c r="T642" s="7" t="str">
        <f>IFERROR(__xludf.DUMMYFUNCTION("""COMPUTED_VALUE"""),"Chính thức")</f>
        <v>Chính thức</v>
      </c>
      <c r="U642" s="7"/>
      <c r="V642" s="7" t="str">
        <f>IFERROR(__xludf.DUMMYFUNCTION("""COMPUTED_VALUE"""),"Chính thức")</f>
        <v>Chính thức</v>
      </c>
      <c r="W642" s="7" t="str">
        <f>IFERROR(__xludf.DUMMYFUNCTION("""COMPUTED_VALUE"""),"13 năm 2 tháng")</f>
        <v>13 năm 2 tháng</v>
      </c>
      <c r="X642" s="7"/>
      <c r="Y642" s="7"/>
      <c r="Z642" s="7"/>
    </row>
    <row r="643">
      <c r="A643" s="7">
        <f>IFERROR(__xludf.DUMMYFUNCTION("""COMPUTED_VALUE"""),9.0)</f>
        <v>9</v>
      </c>
      <c r="B643" s="7" t="str">
        <f>IFERROR(__xludf.DUMMYFUNCTION("""COMPUTED_VALUE"""),"DC5-PXSX2")</f>
        <v>DC5-PXSX2</v>
      </c>
      <c r="C643" s="7" t="str">
        <f>IFERROR(__xludf.DUMMYFUNCTION("""COMPUTED_VALUE"""),"Bộ phận Mài và Đóng hộp")</f>
        <v>Bộ phận Mài và Đóng hộp</v>
      </c>
      <c r="D643" s="7" t="str">
        <f>IFERROR(__xludf.DUMMYFUNCTION("""COMPUTED_VALUE"""),"Đóng hộp Ca A")</f>
        <v>Đóng hộp Ca A</v>
      </c>
      <c r="E643" s="7" t="str">
        <f>IFERROR(__xludf.DUMMYFUNCTION("""COMPUTED_VALUE"""),"VH máy đóng hộp")</f>
        <v>VH máy đóng hộp</v>
      </c>
      <c r="F643" s="7" t="str">
        <f>IFERROR(__xludf.DUMMYFUNCTION("""COMPUTED_VALUE"""),"NV5222")</f>
        <v>NV5222</v>
      </c>
      <c r="G643" s="7">
        <f>IFERROR(__xludf.DUMMYFUNCTION("""COMPUTED_VALUE"""),336.0)</f>
        <v>336</v>
      </c>
      <c r="H643" s="7" t="str">
        <f>IFERROR(__xludf.DUMMYFUNCTION("""COMPUTED_VALUE"""),"Nguyễn Sĩ Sáu")</f>
        <v>Nguyễn Sĩ Sáu</v>
      </c>
      <c r="I643" s="7" t="str">
        <f>IFERROR(__xludf.DUMMYFUNCTION("""COMPUTED_VALUE"""),"Nam")</f>
        <v>Nam</v>
      </c>
      <c r="J643" s="17">
        <f>IFERROR(__xludf.DUMMYFUNCTION("""COMPUTED_VALUE"""),26058.0)</f>
        <v>26058</v>
      </c>
      <c r="K643" s="7" t="str">
        <f>IFERROR(__xludf.DUMMYFUNCTION("""COMPUTED_VALUE"""),"Phường Quảng Tiến - TP Sầm sơn")</f>
        <v>Phường Quảng Tiến - TP Sầm sơn</v>
      </c>
      <c r="L643" s="7" t="str">
        <f>IFERROR(__xludf.DUMMYFUNCTION("""COMPUTED_VALUE"""),"0347276371")</f>
        <v>0347276371</v>
      </c>
      <c r="M643" s="7" t="str">
        <f>IFERROR(__xludf.DUMMYFUNCTION("""COMPUTED_VALUE"""),"038071001419")</f>
        <v>038071001419</v>
      </c>
      <c r="N643" s="19">
        <f>IFERROR(__xludf.DUMMYFUNCTION("""COMPUTED_VALUE"""),44333.0)</f>
        <v>44333</v>
      </c>
      <c r="O643" s="7" t="str">
        <f>IFERROR(__xludf.DUMMYFUNCTION("""COMPUTED_VALUE"""),"Cục Cảnh sát QLHC về TTXH")</f>
        <v>Cục Cảnh sát QLHC về TTXH</v>
      </c>
      <c r="P643" s="7" t="str">
        <f>IFERROR(__xludf.DUMMYFUNCTION("""COMPUTED_VALUE"""),"LĐPT")</f>
        <v>LĐPT</v>
      </c>
      <c r="Q643" s="7" t="str">
        <f>IFERROR(__xludf.DUMMYFUNCTION("""COMPUTED_VALUE"""),"Lao động phổ thông")</f>
        <v>Lao động phổ thông</v>
      </c>
      <c r="R643" s="17">
        <f>IFERROR(__xludf.DUMMYFUNCTION("""COMPUTED_VALUE"""),45442.0)</f>
        <v>45442</v>
      </c>
      <c r="S643" s="17">
        <f>IFERROR(__xludf.DUMMYFUNCTION("""COMPUTED_VALUE"""),45505.0)</f>
        <v>45505</v>
      </c>
      <c r="T643" s="7" t="str">
        <f>IFERROR(__xludf.DUMMYFUNCTION("""COMPUTED_VALUE"""),"Chính thức")</f>
        <v>Chính thức</v>
      </c>
      <c r="U643" s="7"/>
      <c r="V643" s="7" t="str">
        <f>IFERROR(__xludf.DUMMYFUNCTION("""COMPUTED_VALUE"""),"Chính thức")</f>
        <v>Chính thức</v>
      </c>
      <c r="W643" s="7" t="str">
        <f>IFERROR(__xludf.DUMMYFUNCTION("""COMPUTED_VALUE"""),"1 năm 7 tháng")</f>
        <v>1 năm 7 tháng</v>
      </c>
      <c r="X643" s="7"/>
      <c r="Y643" s="7"/>
      <c r="Z643" s="7"/>
    </row>
    <row r="644">
      <c r="A644" s="7">
        <f>IFERROR(__xludf.DUMMYFUNCTION("""COMPUTED_VALUE"""),10.0)</f>
        <v>10</v>
      </c>
      <c r="B644" s="7" t="str">
        <f>IFERROR(__xludf.DUMMYFUNCTION("""COMPUTED_VALUE"""),"DC5-PXSX2")</f>
        <v>DC5-PXSX2</v>
      </c>
      <c r="C644" s="7" t="str">
        <f>IFERROR(__xludf.DUMMYFUNCTION("""COMPUTED_VALUE"""),"Bộ phận Mài và Đóng hộp")</f>
        <v>Bộ phận Mài và Đóng hộp</v>
      </c>
      <c r="D644" s="7" t="str">
        <f>IFERROR(__xludf.DUMMYFUNCTION("""COMPUTED_VALUE"""),"Đóng hộp Ca A")</f>
        <v>Đóng hộp Ca A</v>
      </c>
      <c r="E644" s="7"/>
      <c r="F644" s="7" t="str">
        <f>IFERROR(__xludf.DUMMYFUNCTION("""COMPUTED_VALUE"""),"NV5564")</f>
        <v>NV5564</v>
      </c>
      <c r="G644" s="7">
        <f>IFERROR(__xludf.DUMMYFUNCTION("""COMPUTED_VALUE"""),1050.0)</f>
        <v>1050</v>
      </c>
      <c r="H644" s="7" t="str">
        <f>IFERROR(__xludf.DUMMYFUNCTION("""COMPUTED_VALUE"""),"Lê Sĩ Đức")</f>
        <v>Lê Sĩ Đức</v>
      </c>
      <c r="I644" s="7" t="str">
        <f>IFERROR(__xludf.DUMMYFUNCTION("""COMPUTED_VALUE"""),"Nam")</f>
        <v>Nam</v>
      </c>
      <c r="J644" s="17">
        <f>IFERROR(__xludf.DUMMYFUNCTION("""COMPUTED_VALUE"""),36284.0)</f>
        <v>36284</v>
      </c>
      <c r="K644" s="7" t="str">
        <f>IFERROR(__xludf.DUMMYFUNCTION("""COMPUTED_VALUE"""),"Xã  Quảng Yên - Tỉnh Thanh Hóa")</f>
        <v>Xã  Quảng Yên - Tỉnh Thanh Hóa</v>
      </c>
      <c r="L644" s="7" t="str">
        <f>IFERROR(__xludf.DUMMYFUNCTION("""COMPUTED_VALUE"""),"0389178998")</f>
        <v>0389178998</v>
      </c>
      <c r="M644" s="7" t="str">
        <f>IFERROR(__xludf.DUMMYFUNCTION("""COMPUTED_VALUE"""),"038099025885")</f>
        <v>038099025885</v>
      </c>
      <c r="N644" s="19">
        <f>IFERROR(__xludf.DUMMYFUNCTION("""COMPUTED_VALUE"""),45693.0)</f>
        <v>45693</v>
      </c>
      <c r="O644" s="7" t="str">
        <f>IFERROR(__xludf.DUMMYFUNCTION("""COMPUTED_VALUE"""),"Bộ công an")</f>
        <v>Bộ công an</v>
      </c>
      <c r="P644" s="7" t="str">
        <f>IFERROR(__xludf.DUMMYFUNCTION("""COMPUTED_VALUE"""),"LĐPT")</f>
        <v>LĐPT</v>
      </c>
      <c r="Q644" s="7" t="str">
        <f>IFERROR(__xludf.DUMMYFUNCTION("""COMPUTED_VALUE"""),"Lao động phổ thông")</f>
        <v>Lao động phổ thông</v>
      </c>
      <c r="R644" s="17">
        <f>IFERROR(__xludf.DUMMYFUNCTION("""COMPUTED_VALUE"""),45832.0)</f>
        <v>45832</v>
      </c>
      <c r="S644" s="17">
        <f>IFERROR(__xludf.DUMMYFUNCTION("""COMPUTED_VALUE"""),45862.0)</f>
        <v>45862</v>
      </c>
      <c r="T644" s="7" t="str">
        <f>IFERROR(__xludf.DUMMYFUNCTION("""COMPUTED_VALUE"""),"Chính thức")</f>
        <v>Chính thức</v>
      </c>
      <c r="U644" s="7"/>
      <c r="V644" s="7" t="str">
        <f>IFERROR(__xludf.DUMMYFUNCTION("""COMPUTED_VALUE"""),"Chính thức")</f>
        <v>Chính thức</v>
      </c>
      <c r="W644" s="7" t="str">
        <f>IFERROR(__xludf.DUMMYFUNCTION("""COMPUTED_VALUE"""),"0 năm 6 tháng")</f>
        <v>0 năm 6 tháng</v>
      </c>
      <c r="X644" s="7"/>
      <c r="Y644" s="7"/>
      <c r="Z644" s="7"/>
    </row>
    <row r="645">
      <c r="A645" s="7">
        <f>IFERROR(__xludf.DUMMYFUNCTION("""COMPUTED_VALUE"""),11.0)</f>
        <v>11</v>
      </c>
      <c r="B645" s="7" t="str">
        <f>IFERROR(__xludf.DUMMYFUNCTION("""COMPUTED_VALUE"""),"DC5-PXSX2")</f>
        <v>DC5-PXSX2</v>
      </c>
      <c r="C645" s="7" t="str">
        <f>IFERROR(__xludf.DUMMYFUNCTION("""COMPUTED_VALUE"""),"Bộ phận Mài và Đóng hộp")</f>
        <v>Bộ phận Mài và Đóng hộp</v>
      </c>
      <c r="D645" s="7" t="str">
        <f>IFERROR(__xludf.DUMMYFUNCTION("""COMPUTED_VALUE"""),"Đóng hộp Ca A")</f>
        <v>Đóng hộp Ca A</v>
      </c>
      <c r="E645" s="7"/>
      <c r="F645" s="7" t="str">
        <f>IFERROR(__xludf.DUMMYFUNCTION("""COMPUTED_VALUE"""),"NV5628")</f>
        <v>NV5628</v>
      </c>
      <c r="G645" s="7">
        <f>IFERROR(__xludf.DUMMYFUNCTION("""COMPUTED_VALUE"""),1117.0)</f>
        <v>1117</v>
      </c>
      <c r="H645" s="7" t="str">
        <f>IFERROR(__xludf.DUMMYFUNCTION("""COMPUTED_VALUE"""),"Lê Kiên Quyết")</f>
        <v>Lê Kiên Quyết</v>
      </c>
      <c r="I645" s="7" t="str">
        <f>IFERROR(__xludf.DUMMYFUNCTION("""COMPUTED_VALUE"""),"Nam")</f>
        <v>Nam</v>
      </c>
      <c r="J645" s="17">
        <f>IFERROR(__xludf.DUMMYFUNCTION("""COMPUTED_VALUE"""),31263.0)</f>
        <v>31263</v>
      </c>
      <c r="K645" s="7" t="str">
        <f>IFERROR(__xludf.DUMMYFUNCTION("""COMPUTED_VALUE"""),"Khu trung tâm Xã Hậu lộc - Tỉnh Thanh Hóa")</f>
        <v>Khu trung tâm Xã Hậu lộc - Tỉnh Thanh Hóa</v>
      </c>
      <c r="L645" s="7" t="str">
        <f>IFERROR(__xludf.DUMMYFUNCTION("""COMPUTED_VALUE"""),"0948837488")</f>
        <v>0948837488</v>
      </c>
      <c r="M645" s="7" t="str">
        <f>IFERROR(__xludf.DUMMYFUNCTION("""COMPUTED_VALUE"""),"038085006997")</f>
        <v>038085006997</v>
      </c>
      <c r="N645" s="19">
        <f>IFERROR(__xludf.DUMMYFUNCTION("""COMPUTED_VALUE"""),44333.0)</f>
        <v>44333</v>
      </c>
      <c r="O645" s="7" t="str">
        <f>IFERROR(__xludf.DUMMYFUNCTION("""COMPUTED_VALUE"""),"Cục Cảnh sát QLHC về TTXH")</f>
        <v>Cục Cảnh sát QLHC về TTXH</v>
      </c>
      <c r="P645" s="7" t="str">
        <f>IFERROR(__xludf.DUMMYFUNCTION("""COMPUTED_VALUE"""),"Trung cấp")</f>
        <v>Trung cấp</v>
      </c>
      <c r="Q645" s="7" t="str">
        <f>IFERROR(__xludf.DUMMYFUNCTION("""COMPUTED_VALUE"""),"Trung cấp Nhiệt điện")</f>
        <v>Trung cấp Nhiệt điện</v>
      </c>
      <c r="R645" s="17">
        <f>IFERROR(__xludf.DUMMYFUNCTION("""COMPUTED_VALUE"""),45854.0)</f>
        <v>45854</v>
      </c>
      <c r="S645" s="17">
        <f>IFERROR(__xludf.DUMMYFUNCTION("""COMPUTED_VALUE"""),45885.0)</f>
        <v>45885</v>
      </c>
      <c r="T645" s="7" t="str">
        <f>IFERROR(__xludf.DUMMYFUNCTION("""COMPUTED_VALUE"""),"Chính thức")</f>
        <v>Chính thức</v>
      </c>
      <c r="U645" s="7"/>
      <c r="V645" s="7" t="str">
        <f>IFERROR(__xludf.DUMMYFUNCTION("""COMPUTED_VALUE"""),"Chính thức")</f>
        <v>Chính thức</v>
      </c>
      <c r="W645" s="7" t="str">
        <f>IFERROR(__xludf.DUMMYFUNCTION("""COMPUTED_VALUE"""),"0 năm 5 tháng")</f>
        <v>0 năm 5 tháng</v>
      </c>
      <c r="X645" s="7"/>
      <c r="Y645" s="7"/>
      <c r="Z645" s="7"/>
    </row>
    <row r="646">
      <c r="A646" s="7">
        <f>IFERROR(__xludf.DUMMYFUNCTION("""COMPUTED_VALUE"""),12.0)</f>
        <v>12</v>
      </c>
      <c r="B646" s="7" t="str">
        <f>IFERROR(__xludf.DUMMYFUNCTION("""COMPUTED_VALUE"""),"DC5-PXSX2")</f>
        <v>DC5-PXSX2</v>
      </c>
      <c r="C646" s="7" t="str">
        <f>IFERROR(__xludf.DUMMYFUNCTION("""COMPUTED_VALUE"""),"Bộ phận Mài và Đóng hộp")</f>
        <v>Bộ phận Mài và Đóng hộp</v>
      </c>
      <c r="D646" s="7" t="str">
        <f>IFERROR(__xludf.DUMMYFUNCTION("""COMPUTED_VALUE"""),"Đóng hộp Ca A")</f>
        <v>Đóng hộp Ca A</v>
      </c>
      <c r="E646" s="7"/>
      <c r="F646" s="7" t="str">
        <f>IFERROR(__xludf.DUMMYFUNCTION("""COMPUTED_VALUE"""),"NV5710")</f>
        <v>NV5710</v>
      </c>
      <c r="G646" s="7">
        <f>IFERROR(__xludf.DUMMYFUNCTION("""COMPUTED_VALUE"""),1201.0)</f>
        <v>1201</v>
      </c>
      <c r="H646" s="7" t="str">
        <f>IFERROR(__xludf.DUMMYFUNCTION("""COMPUTED_VALUE"""),"Nguyễn Công Hòa")</f>
        <v>Nguyễn Công Hòa</v>
      </c>
      <c r="I646" s="7" t="str">
        <f>IFERROR(__xludf.DUMMYFUNCTION("""COMPUTED_VALUE"""),"Nam")</f>
        <v>Nam</v>
      </c>
      <c r="J646" s="17">
        <f>IFERROR(__xludf.DUMMYFUNCTION("""COMPUTED_VALUE"""),36630.0)</f>
        <v>36630</v>
      </c>
      <c r="K646" s="7" t="str">
        <f>IFERROR(__xludf.DUMMYFUNCTION("""COMPUTED_VALUE"""),"Đông Phú - Xã Hoằng Lộc - Tỉnh Thanh Hóa")</f>
        <v>Đông Phú - Xã Hoằng Lộc - Tỉnh Thanh Hóa</v>
      </c>
      <c r="L646" s="7" t="str">
        <f>IFERROR(__xludf.DUMMYFUNCTION("""COMPUTED_VALUE"""),"0813321899")</f>
        <v>0813321899</v>
      </c>
      <c r="M646" s="7" t="str">
        <f>IFERROR(__xludf.DUMMYFUNCTION("""COMPUTED_VALUE"""),"038200030823")</f>
        <v>038200030823</v>
      </c>
      <c r="N646" s="19">
        <f>IFERROR(__xludf.DUMMYFUNCTION("""COMPUTED_VALUE"""),45086.0)</f>
        <v>45086</v>
      </c>
      <c r="O646" s="7" t="str">
        <f>IFERROR(__xludf.DUMMYFUNCTION("""COMPUTED_VALUE"""),"Cục Cảnh sát QLHC về TTXH")</f>
        <v>Cục Cảnh sát QLHC về TTXH</v>
      </c>
      <c r="P646" s="7" t="str">
        <f>IFERROR(__xludf.DUMMYFUNCTION("""COMPUTED_VALUE"""),"LĐPT")</f>
        <v>LĐPT</v>
      </c>
      <c r="Q646" s="7" t="str">
        <f>IFERROR(__xludf.DUMMYFUNCTION("""COMPUTED_VALUE"""),"Lao động phổ thông")</f>
        <v>Lao động phổ thông</v>
      </c>
      <c r="R646" s="17">
        <f>IFERROR(__xludf.DUMMYFUNCTION("""COMPUTED_VALUE"""),45916.0)</f>
        <v>45916</v>
      </c>
      <c r="S646" s="17">
        <f>IFERROR(__xludf.DUMMYFUNCTION("""COMPUTED_VALUE"""),45946.0)</f>
        <v>45946</v>
      </c>
      <c r="T646" s="7" t="str">
        <f>IFERROR(__xludf.DUMMYFUNCTION("""COMPUTED_VALUE"""),"Chính thức")</f>
        <v>Chính thức</v>
      </c>
      <c r="U646" s="7"/>
      <c r="V646" s="7" t="str">
        <f>IFERROR(__xludf.DUMMYFUNCTION("""COMPUTED_VALUE"""),"Chính thức")</f>
        <v>Chính thức</v>
      </c>
      <c r="W646" s="7" t="str">
        <f>IFERROR(__xludf.DUMMYFUNCTION("""COMPUTED_VALUE"""),"0 năm 3 tháng")</f>
        <v>0 năm 3 tháng</v>
      </c>
      <c r="X646" s="7"/>
      <c r="Y646" s="7"/>
      <c r="Z646" s="7"/>
    </row>
    <row r="647">
      <c r="A647" s="7">
        <f>IFERROR(__xludf.DUMMYFUNCTION("""COMPUTED_VALUE"""),13.0)</f>
        <v>13</v>
      </c>
      <c r="B647" s="7" t="str">
        <f>IFERROR(__xludf.DUMMYFUNCTION("""COMPUTED_VALUE"""),"DC5-PXSX2")</f>
        <v>DC5-PXSX2</v>
      </c>
      <c r="C647" s="7" t="str">
        <f>IFERROR(__xludf.DUMMYFUNCTION("""COMPUTED_VALUE"""),"Bộ phận Mài và Đóng hộp")</f>
        <v>Bộ phận Mài và Đóng hộp</v>
      </c>
      <c r="D647" s="7" t="str">
        <f>IFERROR(__xludf.DUMMYFUNCTION("""COMPUTED_VALUE"""),"Đóng hộp Ca A")</f>
        <v>Đóng hộp Ca A</v>
      </c>
      <c r="E647" s="7"/>
      <c r="F647" s="7" t="str">
        <f>IFERROR(__xludf.DUMMYFUNCTION("""COMPUTED_VALUE"""),"NV5697")</f>
        <v>NV5697</v>
      </c>
      <c r="G647" s="7">
        <f>IFERROR(__xludf.DUMMYFUNCTION("""COMPUTED_VALUE"""),1189.0)</f>
        <v>1189</v>
      </c>
      <c r="H647" s="7" t="str">
        <f>IFERROR(__xludf.DUMMYFUNCTION("""COMPUTED_VALUE"""),"Lê Xuân Tính")</f>
        <v>Lê Xuân Tính</v>
      </c>
      <c r="I647" s="7" t="str">
        <f>IFERROR(__xludf.DUMMYFUNCTION("""COMPUTED_VALUE"""),"Nam")</f>
        <v>Nam</v>
      </c>
      <c r="J647" s="17">
        <f>IFERROR(__xludf.DUMMYFUNCTION("""COMPUTED_VALUE"""),29684.0)</f>
        <v>29684</v>
      </c>
      <c r="K647" s="7" t="str">
        <f>IFERROR(__xludf.DUMMYFUNCTION("""COMPUTED_VALUE"""),"39 tổ 10 - Phố Bắc Sơn - Phường Đông Quang - Tỉnh Thanh Hóa")</f>
        <v>39 tổ 10 - Phố Bắc Sơn - Phường Đông Quang - Tỉnh Thanh Hóa</v>
      </c>
      <c r="L647" s="7" t="str">
        <f>IFERROR(__xludf.DUMMYFUNCTION("""COMPUTED_VALUE"""),"0989132861")</f>
        <v>0989132861</v>
      </c>
      <c r="M647" s="7" t="str">
        <f>IFERROR(__xludf.DUMMYFUNCTION("""COMPUTED_VALUE"""),"038086036317")</f>
        <v>038086036317</v>
      </c>
      <c r="N647" s="19">
        <f>IFERROR(__xludf.DUMMYFUNCTION("""COMPUTED_VALUE"""),45028.0)</f>
        <v>45028</v>
      </c>
      <c r="O647" s="7" t="str">
        <f>IFERROR(__xludf.DUMMYFUNCTION("""COMPUTED_VALUE"""),"Cục Cảnh sát QLHC về TTXH")</f>
        <v>Cục Cảnh sát QLHC về TTXH</v>
      </c>
      <c r="P647" s="7" t="str">
        <f>IFERROR(__xludf.DUMMYFUNCTION("""COMPUTED_VALUE"""),"LĐPT")</f>
        <v>LĐPT</v>
      </c>
      <c r="Q647" s="7" t="str">
        <f>IFERROR(__xludf.DUMMYFUNCTION("""COMPUTED_VALUE"""),"Lao động phổ thông")</f>
        <v>Lao động phổ thông</v>
      </c>
      <c r="R647" s="17">
        <f>IFERROR(__xludf.DUMMYFUNCTION("""COMPUTED_VALUE"""),45910.0)</f>
        <v>45910</v>
      </c>
      <c r="S647" s="17">
        <f>IFERROR(__xludf.DUMMYFUNCTION("""COMPUTED_VALUE"""),45940.0)</f>
        <v>45940</v>
      </c>
      <c r="T647" s="7" t="str">
        <f>IFERROR(__xludf.DUMMYFUNCTION("""COMPUTED_VALUE"""),"Chính thức")</f>
        <v>Chính thức</v>
      </c>
      <c r="U647" s="7"/>
      <c r="V647" s="7" t="str">
        <f>IFERROR(__xludf.DUMMYFUNCTION("""COMPUTED_VALUE"""),"Chính thức")</f>
        <v>Chính thức</v>
      </c>
      <c r="W647" s="7" t="str">
        <f>IFERROR(__xludf.DUMMYFUNCTION("""COMPUTED_VALUE"""),"0 năm 3 tháng")</f>
        <v>0 năm 3 tháng</v>
      </c>
      <c r="X647" s="7"/>
      <c r="Y647" s="7"/>
      <c r="Z647" s="7"/>
    </row>
    <row r="648">
      <c r="A648" s="7">
        <f>IFERROR(__xludf.DUMMYFUNCTION("""COMPUTED_VALUE"""),14.0)</f>
        <v>14</v>
      </c>
      <c r="B648" s="7" t="str">
        <f>IFERROR(__xludf.DUMMYFUNCTION("""COMPUTED_VALUE"""),"DC5-PXSX2")</f>
        <v>DC5-PXSX2</v>
      </c>
      <c r="C648" s="7" t="str">
        <f>IFERROR(__xludf.DUMMYFUNCTION("""COMPUTED_VALUE"""),"Bộ phận Mài và Đóng hộp")</f>
        <v>Bộ phận Mài và Đóng hộp</v>
      </c>
      <c r="D648" s="7" t="str">
        <f>IFERROR(__xludf.DUMMYFUNCTION("""COMPUTED_VALUE"""),"Đóng hộp Ca A")</f>
        <v>Đóng hộp Ca A</v>
      </c>
      <c r="E648" s="7"/>
      <c r="F648" s="7" t="str">
        <f>IFERROR(__xludf.DUMMYFUNCTION("""COMPUTED_VALUE"""),"NV5707")</f>
        <v>NV5707</v>
      </c>
      <c r="G648" s="7">
        <f>IFERROR(__xludf.DUMMYFUNCTION("""COMPUTED_VALUE"""),1198.0)</f>
        <v>1198</v>
      </c>
      <c r="H648" s="7" t="str">
        <f>IFERROR(__xludf.DUMMYFUNCTION("""COMPUTED_VALUE"""),"Nguyễn Thị Tầm")</f>
        <v>Nguyễn Thị Tầm</v>
      </c>
      <c r="I648" s="7" t="str">
        <f>IFERROR(__xludf.DUMMYFUNCTION("""COMPUTED_VALUE"""),"Nữ")</f>
        <v>Nữ</v>
      </c>
      <c r="J648" s="17">
        <f>IFERROR(__xludf.DUMMYFUNCTION("""COMPUTED_VALUE"""),33215.0)</f>
        <v>33215</v>
      </c>
      <c r="K648" s="7" t="str">
        <f>IFERROR(__xludf.DUMMYFUNCTION("""COMPUTED_VALUE"""),"KP Thành Thắng - Sầm Sơn - Tỉnh Thanh Hóa")</f>
        <v>KP Thành Thắng - Sầm Sơn - Tỉnh Thanh Hóa</v>
      </c>
      <c r="L648" s="7" t="str">
        <f>IFERROR(__xludf.DUMMYFUNCTION("""COMPUTED_VALUE"""),"0388929753")</f>
        <v>0388929753</v>
      </c>
      <c r="M648" s="7" t="str">
        <f>IFERROR(__xludf.DUMMYFUNCTION("""COMPUTED_VALUE"""),"038190014965")</f>
        <v>038190014965</v>
      </c>
      <c r="N648" s="19">
        <f>IFERROR(__xludf.DUMMYFUNCTION("""COMPUTED_VALUE"""),45616.0)</f>
        <v>45616</v>
      </c>
      <c r="O648" s="7" t="str">
        <f>IFERROR(__xludf.DUMMYFUNCTION("""COMPUTED_VALUE"""),"Cục Cảnh sát QLHC về TTXH")</f>
        <v>Cục Cảnh sát QLHC về TTXH</v>
      </c>
      <c r="P648" s="7" t="str">
        <f>IFERROR(__xludf.DUMMYFUNCTION("""COMPUTED_VALUE"""),"LĐPT")</f>
        <v>LĐPT</v>
      </c>
      <c r="Q648" s="7" t="str">
        <f>IFERROR(__xludf.DUMMYFUNCTION("""COMPUTED_VALUE"""),"Lao động phổ thông")</f>
        <v>Lao động phổ thông</v>
      </c>
      <c r="R648" s="17">
        <f>IFERROR(__xludf.DUMMYFUNCTION("""COMPUTED_VALUE"""),45959.0)</f>
        <v>45959</v>
      </c>
      <c r="S648" s="17">
        <f>IFERROR(__xludf.DUMMYFUNCTION("""COMPUTED_VALUE"""),45990.0)</f>
        <v>45990</v>
      </c>
      <c r="T648" s="7" t="str">
        <f>IFERROR(__xludf.DUMMYFUNCTION("""COMPUTED_VALUE"""),"Thử việc")</f>
        <v>Thử việc</v>
      </c>
      <c r="U648" s="7"/>
      <c r="V648" s="7" t="str">
        <f>IFERROR(__xludf.DUMMYFUNCTION("""COMPUTED_VALUE"""),"Thử việc")</f>
        <v>Thử việc</v>
      </c>
      <c r="W648" s="7" t="str">
        <f>IFERROR(__xludf.DUMMYFUNCTION("""COMPUTED_VALUE"""),"0 năm 2 tháng")</f>
        <v>0 năm 2 tháng</v>
      </c>
      <c r="X648" s="7"/>
      <c r="Y648" s="7"/>
      <c r="Z648" s="7"/>
    </row>
    <row r="649">
      <c r="A649" s="7">
        <f>IFERROR(__xludf.DUMMYFUNCTION("""COMPUTED_VALUE"""),15.0)</f>
        <v>15</v>
      </c>
      <c r="B649" s="7" t="str">
        <f>IFERROR(__xludf.DUMMYFUNCTION("""COMPUTED_VALUE"""),"DC5-PXSX2")</f>
        <v>DC5-PXSX2</v>
      </c>
      <c r="C649" s="7" t="str">
        <f>IFERROR(__xludf.DUMMYFUNCTION("""COMPUTED_VALUE"""),"Bộ phận Mài và Đóng hộp")</f>
        <v>Bộ phận Mài và Đóng hộp</v>
      </c>
      <c r="D649" s="7" t="str">
        <f>IFERROR(__xludf.DUMMYFUNCTION("""COMPUTED_VALUE"""),"Đóng hộp Ca A")</f>
        <v>Đóng hộp Ca A</v>
      </c>
      <c r="E649" s="7"/>
      <c r="F649" s="7" t="str">
        <f>IFERROR(__xludf.DUMMYFUNCTION("""COMPUTED_VALUE"""),"NV5799")</f>
        <v>NV5799</v>
      </c>
      <c r="G649" s="7">
        <f>IFERROR(__xludf.DUMMYFUNCTION("""COMPUTED_VALUE"""),1281.0)</f>
        <v>1281</v>
      </c>
      <c r="H649" s="7" t="str">
        <f>IFERROR(__xludf.DUMMYFUNCTION("""COMPUTED_VALUE"""),"Nguyễn Văn Duy")</f>
        <v>Nguyễn Văn Duy</v>
      </c>
      <c r="I649" s="7" t="str">
        <f>IFERROR(__xludf.DUMMYFUNCTION("""COMPUTED_VALUE"""),"Nam")</f>
        <v>Nam</v>
      </c>
      <c r="J649" s="17">
        <f>IFERROR(__xludf.DUMMYFUNCTION("""COMPUTED_VALUE"""),32966.0)</f>
        <v>32966</v>
      </c>
      <c r="K649" s="7" t="str">
        <f>IFERROR(__xludf.DUMMYFUNCTION("""COMPUTED_VALUE"""),"TDP 2 Đại Hùng - Phường Nam Sầm Sơn - Tỉnh Thanh Hóa")</f>
        <v>TDP 2 Đại Hùng - Phường Nam Sầm Sơn - Tỉnh Thanh Hóa</v>
      </c>
      <c r="L649" s="7" t="str">
        <f>IFERROR(__xludf.DUMMYFUNCTION("""COMPUTED_VALUE"""),"0374142793")</f>
        <v>0374142793</v>
      </c>
      <c r="M649" s="7" t="str">
        <f>IFERROR(__xludf.DUMMYFUNCTION("""COMPUTED_VALUE"""),"038080036042")</f>
        <v>038080036042</v>
      </c>
      <c r="N649" s="19">
        <f>IFERROR(__xludf.DUMMYFUNCTION("""COMPUTED_VALUE"""),44350.0)</f>
        <v>44350</v>
      </c>
      <c r="O649" s="7" t="str">
        <f>IFERROR(__xludf.DUMMYFUNCTION("""COMPUTED_VALUE"""),"Cục Cảnh sát QLHC về TTXH")</f>
        <v>Cục Cảnh sát QLHC về TTXH</v>
      </c>
      <c r="P649" s="7" t="str">
        <f>IFERROR(__xludf.DUMMYFUNCTION("""COMPUTED_VALUE"""),"LĐPT")</f>
        <v>LĐPT</v>
      </c>
      <c r="Q649" s="7" t="str">
        <f>IFERROR(__xludf.DUMMYFUNCTION("""COMPUTED_VALUE"""),"Lao động phổ thông")</f>
        <v>Lao động phổ thông</v>
      </c>
      <c r="R649" s="17">
        <f>IFERROR(__xludf.DUMMYFUNCTION("""COMPUTED_VALUE"""),45972.0)</f>
        <v>45972</v>
      </c>
      <c r="S649" s="17">
        <f>IFERROR(__xludf.DUMMYFUNCTION("""COMPUTED_VALUE"""),46002.0)</f>
        <v>46002</v>
      </c>
      <c r="T649" s="7" t="str">
        <f>IFERROR(__xludf.DUMMYFUNCTION("""COMPUTED_VALUE"""),"Thử việc")</f>
        <v>Thử việc</v>
      </c>
      <c r="U649" s="7"/>
      <c r="V649" s="7" t="str">
        <f>IFERROR(__xludf.DUMMYFUNCTION("""COMPUTED_VALUE"""),"Thử việc")</f>
        <v>Thử việc</v>
      </c>
      <c r="W649" s="7" t="str">
        <f>IFERROR(__xludf.DUMMYFUNCTION("""COMPUTED_VALUE"""),"0 năm 1 tháng")</f>
        <v>0 năm 1 tháng</v>
      </c>
      <c r="X649" s="7"/>
      <c r="Y649" s="7"/>
      <c r="Z649" s="7"/>
    </row>
    <row r="650">
      <c r="A650" s="7">
        <f>IFERROR(__xludf.DUMMYFUNCTION("""COMPUTED_VALUE"""),1.0)</f>
        <v>1</v>
      </c>
      <c r="B650" s="7" t="str">
        <f>IFERROR(__xludf.DUMMYFUNCTION("""COMPUTED_VALUE"""),"DC5-PXSX2")</f>
        <v>DC5-PXSX2</v>
      </c>
      <c r="C650" s="7" t="str">
        <f>IFERROR(__xludf.DUMMYFUNCTION("""COMPUTED_VALUE"""),"Bộ phận Mài và Đóng hộp")</f>
        <v>Bộ phận Mài và Đóng hộp</v>
      </c>
      <c r="D650" s="7" t="str">
        <f>IFERROR(__xludf.DUMMYFUNCTION("""COMPUTED_VALUE"""),"Đóng hộp Ca B")</f>
        <v>Đóng hộp Ca B</v>
      </c>
      <c r="E650" s="7" t="str">
        <f>IFERROR(__xludf.DUMMYFUNCTION("""COMPUTED_VALUE"""),"Tổ phó")</f>
        <v>Tổ phó</v>
      </c>
      <c r="F650" s="7" t="str">
        <f>IFERROR(__xludf.DUMMYFUNCTION("""COMPUTED_VALUE"""),"NV1892")</f>
        <v>NV1892</v>
      </c>
      <c r="G650" s="7">
        <f>IFERROR(__xludf.DUMMYFUNCTION("""COMPUTED_VALUE"""),374.0)</f>
        <v>374</v>
      </c>
      <c r="H650" s="7" t="str">
        <f>IFERROR(__xludf.DUMMYFUNCTION("""COMPUTED_VALUE"""),"Nguyễn Viết Linh")</f>
        <v>Nguyễn Viết Linh</v>
      </c>
      <c r="I650" s="7" t="str">
        <f>IFERROR(__xludf.DUMMYFUNCTION("""COMPUTED_VALUE"""),"Nam")</f>
        <v>Nam</v>
      </c>
      <c r="J650" s="17">
        <f>IFERROR(__xludf.DUMMYFUNCTION("""COMPUTED_VALUE"""),34514.0)</f>
        <v>34514</v>
      </c>
      <c r="K650" s="7" t="str">
        <f>IFERROR(__xludf.DUMMYFUNCTION("""COMPUTED_VALUE"""),"Đồng Chí -  Xã Minh Tâm -  Huyện Thiệu Hoá -  Thanh Hóa")</f>
        <v>Đồng Chí -  Xã Minh Tâm -  Huyện Thiệu Hoá -  Thanh Hóa</v>
      </c>
      <c r="L650" s="7" t="str">
        <f>IFERROR(__xludf.DUMMYFUNCTION("""COMPUTED_VALUE"""),"0869612869")</f>
        <v>0869612869</v>
      </c>
      <c r="M650" s="7" t="str">
        <f>IFERROR(__xludf.DUMMYFUNCTION("""COMPUTED_VALUE"""),"038094043971")</f>
        <v>038094043971</v>
      </c>
      <c r="N650" s="19">
        <f>IFERROR(__xludf.DUMMYFUNCTION("""COMPUTED_VALUE"""),44428.0)</f>
        <v>44428</v>
      </c>
      <c r="O650" s="7" t="str">
        <f>IFERROR(__xludf.DUMMYFUNCTION("""COMPUTED_VALUE"""),"Cục Cảnh sát QLHC về TTXH")</f>
        <v>Cục Cảnh sát QLHC về TTXH</v>
      </c>
      <c r="P650" s="7" t="str">
        <f>IFERROR(__xludf.DUMMYFUNCTION("""COMPUTED_VALUE"""),"LĐPT")</f>
        <v>LĐPT</v>
      </c>
      <c r="Q650" s="7" t="str">
        <f>IFERROR(__xludf.DUMMYFUNCTION("""COMPUTED_VALUE"""),"Lao động phổ thông")</f>
        <v>Lao động phổ thông</v>
      </c>
      <c r="R650" s="17">
        <f>IFERROR(__xludf.DUMMYFUNCTION("""COMPUTED_VALUE"""),43386.0)</f>
        <v>43386</v>
      </c>
      <c r="S650" s="17">
        <f>IFERROR(__xludf.DUMMYFUNCTION("""COMPUTED_VALUE"""),43739.0)</f>
        <v>43739</v>
      </c>
      <c r="T650" s="7" t="str">
        <f>IFERROR(__xludf.DUMMYFUNCTION("""COMPUTED_VALUE"""),"Chính thức")</f>
        <v>Chính thức</v>
      </c>
      <c r="U650" s="7"/>
      <c r="V650" s="7" t="str">
        <f>IFERROR(__xludf.DUMMYFUNCTION("""COMPUTED_VALUE"""),"Chính thức")</f>
        <v>Chính thức</v>
      </c>
      <c r="W650" s="7" t="str">
        <f>IFERROR(__xludf.DUMMYFUNCTION("""COMPUTED_VALUE"""),"7 năm 2 tháng")</f>
        <v>7 năm 2 tháng</v>
      </c>
      <c r="X650" s="7"/>
      <c r="Y650" s="7"/>
      <c r="Z650" s="7"/>
    </row>
    <row r="651">
      <c r="A651" s="7">
        <f>IFERROR(__xludf.DUMMYFUNCTION("""COMPUTED_VALUE"""),2.0)</f>
        <v>2</v>
      </c>
      <c r="B651" s="7" t="str">
        <f>IFERROR(__xludf.DUMMYFUNCTION("""COMPUTED_VALUE"""),"DC5-PXSX2")</f>
        <v>DC5-PXSX2</v>
      </c>
      <c r="C651" s="7" t="str">
        <f>IFERROR(__xludf.DUMMYFUNCTION("""COMPUTED_VALUE"""),"Bộ phận Mài và Đóng hộp")</f>
        <v>Bộ phận Mài và Đóng hộp</v>
      </c>
      <c r="D651" s="7" t="str">
        <f>IFERROR(__xludf.DUMMYFUNCTION("""COMPUTED_VALUE"""),"Đóng hộp Ca B")</f>
        <v>Đóng hộp Ca B</v>
      </c>
      <c r="E651" s="7" t="str">
        <f>IFERROR(__xludf.DUMMYFUNCTION("""COMPUTED_VALUE"""),"Bốc lai")</f>
        <v>Bốc lai</v>
      </c>
      <c r="F651" s="7" t="str">
        <f>IFERROR(__xludf.DUMMYFUNCTION("""COMPUTED_VALUE"""),"NV0652")</f>
        <v>NV0652</v>
      </c>
      <c r="G651" s="7">
        <f>IFERROR(__xludf.DUMMYFUNCTION("""COMPUTED_VALUE"""),380.0)</f>
        <v>380</v>
      </c>
      <c r="H651" s="7" t="str">
        <f>IFERROR(__xludf.DUMMYFUNCTION("""COMPUTED_VALUE"""),"Nguyễn Thị Hằng")</f>
        <v>Nguyễn Thị Hằng</v>
      </c>
      <c r="I651" s="7" t="str">
        <f>IFERROR(__xludf.DUMMYFUNCTION("""COMPUTED_VALUE"""),"Nữ")</f>
        <v>Nữ</v>
      </c>
      <c r="J651" s="17">
        <f>IFERROR(__xludf.DUMMYFUNCTION("""COMPUTED_VALUE"""),29693.0)</f>
        <v>29693</v>
      </c>
      <c r="K651" s="7" t="str">
        <f>IFERROR(__xludf.DUMMYFUNCTION("""COMPUTED_VALUE"""),"Nghĩa Tĩnh -  Xã Đông Hương -  Thành phố Thanh Hóa - ")</f>
        <v>Nghĩa Tĩnh -  Xã Đông Hương -  Thành phố Thanh Hóa - </v>
      </c>
      <c r="L651" s="7"/>
      <c r="M651" s="7" t="str">
        <f>IFERROR(__xludf.DUMMYFUNCTION("""COMPUTED_VALUE"""),"038181035009")</f>
        <v>038181035009</v>
      </c>
      <c r="N651" s="19">
        <f>IFERROR(__xludf.DUMMYFUNCTION("""COMPUTED_VALUE"""),44435.0)</f>
        <v>44435</v>
      </c>
      <c r="O651" s="7" t="str">
        <f>IFERROR(__xludf.DUMMYFUNCTION("""COMPUTED_VALUE"""),"Cục Cảnh sát QLHC về TTXH")</f>
        <v>Cục Cảnh sát QLHC về TTXH</v>
      </c>
      <c r="P651" s="7" t="str">
        <f>IFERROR(__xludf.DUMMYFUNCTION("""COMPUTED_VALUE"""),"LĐPT")</f>
        <v>LĐPT</v>
      </c>
      <c r="Q651" s="7" t="str">
        <f>IFERROR(__xludf.DUMMYFUNCTION("""COMPUTED_VALUE"""),"Lao động phổ thông")</f>
        <v>Lao động phổ thông</v>
      </c>
      <c r="R651" s="17">
        <f>IFERROR(__xludf.DUMMYFUNCTION("""COMPUTED_VALUE"""),40096.0)</f>
        <v>40096</v>
      </c>
      <c r="S651" s="17">
        <f>IFERROR(__xludf.DUMMYFUNCTION("""COMPUTED_VALUE"""),40096.0)</f>
        <v>40096</v>
      </c>
      <c r="T651" s="7" t="str">
        <f>IFERROR(__xludf.DUMMYFUNCTION("""COMPUTED_VALUE"""),"Chính thức")</f>
        <v>Chính thức</v>
      </c>
      <c r="U651" s="7"/>
      <c r="V651" s="7" t="str">
        <f>IFERROR(__xludf.DUMMYFUNCTION("""COMPUTED_VALUE"""),"Chính thức")</f>
        <v>Chính thức</v>
      </c>
      <c r="W651" s="7" t="str">
        <f>IFERROR(__xludf.DUMMYFUNCTION("""COMPUTED_VALUE"""),"16 năm 2 tháng")</f>
        <v>16 năm 2 tháng</v>
      </c>
      <c r="X651" s="7"/>
      <c r="Y651" s="7"/>
      <c r="Z651" s="7"/>
    </row>
    <row r="652">
      <c r="A652" s="7">
        <f>IFERROR(__xludf.DUMMYFUNCTION("""COMPUTED_VALUE"""),3.0)</f>
        <v>3</v>
      </c>
      <c r="B652" s="7" t="str">
        <f>IFERROR(__xludf.DUMMYFUNCTION("""COMPUTED_VALUE"""),"DC5-PXSX2")</f>
        <v>DC5-PXSX2</v>
      </c>
      <c r="C652" s="7" t="str">
        <f>IFERROR(__xludf.DUMMYFUNCTION("""COMPUTED_VALUE"""),"Bộ phận Mài và Đóng hộp")</f>
        <v>Bộ phận Mài và Đóng hộp</v>
      </c>
      <c r="D652" s="7" t="str">
        <f>IFERROR(__xludf.DUMMYFUNCTION("""COMPUTED_VALUE"""),"Đóng hộp Ca B")</f>
        <v>Đóng hộp Ca B</v>
      </c>
      <c r="E652" s="7" t="str">
        <f>IFERROR(__xludf.DUMMYFUNCTION("""COMPUTED_VALUE"""),"Xe nâng nội bộ")</f>
        <v>Xe nâng nội bộ</v>
      </c>
      <c r="F652" s="7" t="str">
        <f>IFERROR(__xludf.DUMMYFUNCTION("""COMPUTED_VALUE"""),"NV4169")</f>
        <v>NV4169</v>
      </c>
      <c r="G652" s="7">
        <f>IFERROR(__xludf.DUMMYFUNCTION("""COMPUTED_VALUE"""),459.0)</f>
        <v>459</v>
      </c>
      <c r="H652" s="7" t="str">
        <f>IFERROR(__xludf.DUMMYFUNCTION("""COMPUTED_VALUE"""),"Ngô Minh Hải")</f>
        <v>Ngô Minh Hải</v>
      </c>
      <c r="I652" s="7" t="str">
        <f>IFERROR(__xludf.DUMMYFUNCTION("""COMPUTED_VALUE"""),"Nam")</f>
        <v>Nam</v>
      </c>
      <c r="J652" s="17">
        <f>IFERROR(__xludf.DUMMYFUNCTION("""COMPUTED_VALUE"""),29984.0)</f>
        <v>29984</v>
      </c>
      <c r="K652" s="7" t="str">
        <f>IFERROR(__xludf.DUMMYFUNCTION("""COMPUTED_VALUE"""),"tiểu khu 13 -  Thị trấn Thiệu Hóa -  Huyện Thiệu Hoá -  Thanh Hóa")</f>
        <v>tiểu khu 13 -  Thị trấn Thiệu Hóa -  Huyện Thiệu Hoá -  Thanh Hóa</v>
      </c>
      <c r="L652" s="7"/>
      <c r="M652" s="7" t="str">
        <f>IFERROR(__xludf.DUMMYFUNCTION("""COMPUTED_VALUE"""),"038082019750")</f>
        <v>038082019750</v>
      </c>
      <c r="N652" s="19">
        <f>IFERROR(__xludf.DUMMYFUNCTION("""COMPUTED_VALUE"""),44545.0)</f>
        <v>44545</v>
      </c>
      <c r="O652" s="7" t="str">
        <f>IFERROR(__xludf.DUMMYFUNCTION("""COMPUTED_VALUE"""),"Cục Cảnh sát QLHC về TTXH")</f>
        <v>Cục Cảnh sát QLHC về TTXH</v>
      </c>
      <c r="P652" s="7" t="str">
        <f>IFERROR(__xludf.DUMMYFUNCTION("""COMPUTED_VALUE"""),"Chứng chỉ nghề")</f>
        <v>Chứng chỉ nghề</v>
      </c>
      <c r="Q652" s="7" t="str">
        <f>IFERROR(__xludf.DUMMYFUNCTION("""COMPUTED_VALUE"""),"Vận hành xe nâng")</f>
        <v>Vận hành xe nâng</v>
      </c>
      <c r="R652" s="17">
        <f>IFERROR(__xludf.DUMMYFUNCTION("""COMPUTED_VALUE"""),44682.0)</f>
        <v>44682</v>
      </c>
      <c r="S652" s="17">
        <f>IFERROR(__xludf.DUMMYFUNCTION("""COMPUTED_VALUE"""),45017.0)</f>
        <v>45017</v>
      </c>
      <c r="T652" s="7" t="str">
        <f>IFERROR(__xludf.DUMMYFUNCTION("""COMPUTED_VALUE"""),"Chính thức")</f>
        <v>Chính thức</v>
      </c>
      <c r="U652" s="7"/>
      <c r="V652" s="7" t="str">
        <f>IFERROR(__xludf.DUMMYFUNCTION("""COMPUTED_VALUE"""),"Chính thức")</f>
        <v>Chính thức</v>
      </c>
      <c r="W652" s="7" t="str">
        <f>IFERROR(__xludf.DUMMYFUNCTION("""COMPUTED_VALUE"""),"3 năm 7 tháng")</f>
        <v>3 năm 7 tháng</v>
      </c>
      <c r="X652" s="7"/>
      <c r="Y652" s="7"/>
      <c r="Z652" s="7"/>
    </row>
    <row r="653">
      <c r="A653" s="7">
        <f>IFERROR(__xludf.DUMMYFUNCTION("""COMPUTED_VALUE"""),4.0)</f>
        <v>4</v>
      </c>
      <c r="B653" s="7" t="str">
        <f>IFERROR(__xludf.DUMMYFUNCTION("""COMPUTED_VALUE"""),"DC5-PXSX2")</f>
        <v>DC5-PXSX2</v>
      </c>
      <c r="C653" s="7" t="str">
        <f>IFERROR(__xludf.DUMMYFUNCTION("""COMPUTED_VALUE"""),"Bộ phận Mài và Đóng hộp")</f>
        <v>Bộ phận Mài và Đóng hộp</v>
      </c>
      <c r="D653" s="7" t="str">
        <f>IFERROR(__xludf.DUMMYFUNCTION("""COMPUTED_VALUE"""),"Đóng hộp Ca B")</f>
        <v>Đóng hộp Ca B</v>
      </c>
      <c r="E653" s="7" t="str">
        <f>IFERROR(__xludf.DUMMYFUNCTION("""COMPUTED_VALUE"""),"Đóng A2")</f>
        <v>Đóng A2</v>
      </c>
      <c r="F653" s="7" t="str">
        <f>IFERROR(__xludf.DUMMYFUNCTION("""COMPUTED_VALUE"""),"NV4424")</f>
        <v>NV4424</v>
      </c>
      <c r="G653" s="7">
        <f>IFERROR(__xludf.DUMMYFUNCTION("""COMPUTED_VALUE"""),382.0)</f>
        <v>382</v>
      </c>
      <c r="H653" s="7" t="str">
        <f>IFERROR(__xludf.DUMMYFUNCTION("""COMPUTED_VALUE"""),"Lê Văn Kiên")</f>
        <v>Lê Văn Kiên</v>
      </c>
      <c r="I653" s="7" t="str">
        <f>IFERROR(__xludf.DUMMYFUNCTION("""COMPUTED_VALUE"""),"Nam")</f>
        <v>Nam</v>
      </c>
      <c r="J653" s="17">
        <f>IFERROR(__xludf.DUMMYFUNCTION("""COMPUTED_VALUE"""),26891.0)</f>
        <v>26891</v>
      </c>
      <c r="K653" s="7" t="str">
        <f>IFERROR(__xludf.DUMMYFUNCTION("""COMPUTED_VALUE"""),"Thôn Trung Đình -  Xã Quảng Định -  huyện Quảng Xương -  tỉnh Thanh Hóa")</f>
        <v>Thôn Trung Đình -  Xã Quảng Định -  huyện Quảng Xương -  tỉnh Thanh Hóa</v>
      </c>
      <c r="L653" s="7" t="str">
        <f>IFERROR(__xludf.DUMMYFUNCTION("""COMPUTED_VALUE"""),"0942698009")</f>
        <v>0942698009</v>
      </c>
      <c r="M653" s="7" t="str">
        <f>IFERROR(__xludf.DUMMYFUNCTION("""COMPUTED_VALUE"""),"038073024930")</f>
        <v>038073024930</v>
      </c>
      <c r="N653" s="19">
        <f>IFERROR(__xludf.DUMMYFUNCTION("""COMPUTED_VALUE"""),44825.0)</f>
        <v>44825</v>
      </c>
      <c r="O653" s="7" t="str">
        <f>IFERROR(__xludf.DUMMYFUNCTION("""COMPUTED_VALUE"""),"Cục Cảnh sát QLHC về TTXH")</f>
        <v>Cục Cảnh sát QLHC về TTXH</v>
      </c>
      <c r="P653" s="7" t="str">
        <f>IFERROR(__xludf.DUMMYFUNCTION("""COMPUTED_VALUE"""),"LĐPT")</f>
        <v>LĐPT</v>
      </c>
      <c r="Q653" s="7" t="str">
        <f>IFERROR(__xludf.DUMMYFUNCTION("""COMPUTED_VALUE"""),"Lao động phổ thông")</f>
        <v>Lao động phổ thông</v>
      </c>
      <c r="R653" s="17">
        <f>IFERROR(__xludf.DUMMYFUNCTION("""COMPUTED_VALUE"""),44781.0)</f>
        <v>44781</v>
      </c>
      <c r="S653" s="17">
        <f>IFERROR(__xludf.DUMMYFUNCTION("""COMPUTED_VALUE"""),45078.0)</f>
        <v>45078</v>
      </c>
      <c r="T653" s="7" t="str">
        <f>IFERROR(__xludf.DUMMYFUNCTION("""COMPUTED_VALUE"""),"Chính thức")</f>
        <v>Chính thức</v>
      </c>
      <c r="U653" s="7"/>
      <c r="V653" s="7" t="str">
        <f>IFERROR(__xludf.DUMMYFUNCTION("""COMPUTED_VALUE"""),"Chính thức")</f>
        <v>Chính thức</v>
      </c>
      <c r="W653" s="7" t="str">
        <f>IFERROR(__xludf.DUMMYFUNCTION("""COMPUTED_VALUE"""),"3 năm 4 tháng")</f>
        <v>3 năm 4 tháng</v>
      </c>
      <c r="X653" s="7"/>
      <c r="Y653" s="7"/>
      <c r="Z653" s="7"/>
    </row>
    <row r="654">
      <c r="A654" s="7">
        <f>IFERROR(__xludf.DUMMYFUNCTION("""COMPUTED_VALUE"""),5.0)</f>
        <v>5</v>
      </c>
      <c r="B654" s="7" t="str">
        <f>IFERROR(__xludf.DUMMYFUNCTION("""COMPUTED_VALUE"""),"DC5-PXSX2")</f>
        <v>DC5-PXSX2</v>
      </c>
      <c r="C654" s="7" t="str">
        <f>IFERROR(__xludf.DUMMYFUNCTION("""COMPUTED_VALUE"""),"Bộ phận Mài và Đóng hộp")</f>
        <v>Bộ phận Mài và Đóng hộp</v>
      </c>
      <c r="D654" s="7" t="str">
        <f>IFERROR(__xludf.DUMMYFUNCTION("""COMPUTED_VALUE"""),"Đóng hộp Ca B")</f>
        <v>Đóng hộp Ca B</v>
      </c>
      <c r="E654" s="7" t="str">
        <f>IFERROR(__xludf.DUMMYFUNCTION("""COMPUTED_VALUE"""),"Hoàn thiện Palet mức 1")</f>
        <v>Hoàn thiện Palet mức 1</v>
      </c>
      <c r="F654" s="7" t="str">
        <f>IFERROR(__xludf.DUMMYFUNCTION("""COMPUTED_VALUE"""),"NV0660")</f>
        <v>NV0660</v>
      </c>
      <c r="G654" s="7">
        <f>IFERROR(__xludf.DUMMYFUNCTION("""COMPUTED_VALUE"""),381.0)</f>
        <v>381</v>
      </c>
      <c r="H654" s="7" t="str">
        <f>IFERROR(__xludf.DUMMYFUNCTION("""COMPUTED_VALUE"""),"Lê Thị Dịu")</f>
        <v>Lê Thị Dịu</v>
      </c>
      <c r="I654" s="7" t="str">
        <f>IFERROR(__xludf.DUMMYFUNCTION("""COMPUTED_VALUE"""),"Nữ")</f>
        <v>Nữ</v>
      </c>
      <c r="J654" s="17">
        <f>IFERROR(__xludf.DUMMYFUNCTION("""COMPUTED_VALUE"""),27310.0)</f>
        <v>27310</v>
      </c>
      <c r="K654" s="7" t="str">
        <f>IFERROR(__xludf.DUMMYFUNCTION("""COMPUTED_VALUE"""),"Thôn Đồng Lễ -  Xã Đông Hải -  Thành phố Thanh Hóa -  Thanh Hóa -  Việt Nam")</f>
        <v>Thôn Đồng Lễ -  Xã Đông Hải -  Thành phố Thanh Hóa -  Thanh Hóa -  Việt Nam</v>
      </c>
      <c r="L654" s="7" t="str">
        <f>IFERROR(__xludf.DUMMYFUNCTION("""COMPUTED_VALUE"""),"03384458952")</f>
        <v>03384458952</v>
      </c>
      <c r="M654" s="7" t="str">
        <f>IFERROR(__xludf.DUMMYFUNCTION("""COMPUTED_VALUE"""),"038174011809")</f>
        <v>038174011809</v>
      </c>
      <c r="N654" s="19">
        <f>IFERROR(__xludf.DUMMYFUNCTION("""COMPUTED_VALUE"""),44290.0)</f>
        <v>44290</v>
      </c>
      <c r="O654" s="7" t="str">
        <f>IFERROR(__xludf.DUMMYFUNCTION("""COMPUTED_VALUE"""),"Cục Cảnh sát QLHC về TTXH")</f>
        <v>Cục Cảnh sát QLHC về TTXH</v>
      </c>
      <c r="P654" s="7" t="str">
        <f>IFERROR(__xludf.DUMMYFUNCTION("""COMPUTED_VALUE"""),"LĐPT")</f>
        <v>LĐPT</v>
      </c>
      <c r="Q654" s="7" t="str">
        <f>IFERROR(__xludf.DUMMYFUNCTION("""COMPUTED_VALUE"""),"Lao động phổ thông")</f>
        <v>Lao động phổ thông</v>
      </c>
      <c r="R654" s="17">
        <f>IFERROR(__xludf.DUMMYFUNCTION("""COMPUTED_VALUE"""),40807.0)</f>
        <v>40807</v>
      </c>
      <c r="S654" s="17">
        <f>IFERROR(__xludf.DUMMYFUNCTION("""COMPUTED_VALUE"""),40807.0)</f>
        <v>40807</v>
      </c>
      <c r="T654" s="7" t="str">
        <f>IFERROR(__xludf.DUMMYFUNCTION("""COMPUTED_VALUE"""),"Chính thức")</f>
        <v>Chính thức</v>
      </c>
      <c r="U654" s="7"/>
      <c r="V654" s="7" t="str">
        <f>IFERROR(__xludf.DUMMYFUNCTION("""COMPUTED_VALUE"""),"Chính thức")</f>
        <v>Chính thức</v>
      </c>
      <c r="W654" s="7" t="str">
        <f>IFERROR(__xludf.DUMMYFUNCTION("""COMPUTED_VALUE"""),"14 năm 3 tháng")</f>
        <v>14 năm 3 tháng</v>
      </c>
      <c r="X654" s="7"/>
      <c r="Y654" s="7"/>
      <c r="Z654" s="7"/>
    </row>
    <row r="655">
      <c r="A655" s="7">
        <f>IFERROR(__xludf.DUMMYFUNCTION("""COMPUTED_VALUE"""),6.0)</f>
        <v>6</v>
      </c>
      <c r="B655" s="7" t="str">
        <f>IFERROR(__xludf.DUMMYFUNCTION("""COMPUTED_VALUE"""),"DC5-PXSX2")</f>
        <v>DC5-PXSX2</v>
      </c>
      <c r="C655" s="7" t="str">
        <f>IFERROR(__xludf.DUMMYFUNCTION("""COMPUTED_VALUE"""),"Bộ phận Mài và Đóng hộp")</f>
        <v>Bộ phận Mài và Đóng hộp</v>
      </c>
      <c r="D655" s="7" t="str">
        <f>IFERROR(__xludf.DUMMYFUNCTION("""COMPUTED_VALUE"""),"Đóng hộp Ca B")</f>
        <v>Đóng hộp Ca B</v>
      </c>
      <c r="E655" s="7" t="str">
        <f>IFERROR(__xludf.DUMMYFUNCTION("""COMPUTED_VALUE"""),"Đóng A2")</f>
        <v>Đóng A2</v>
      </c>
      <c r="F655" s="7" t="str">
        <f>IFERROR(__xludf.DUMMYFUNCTION("""COMPUTED_VALUE"""),"NV5305")</f>
        <v>NV5305</v>
      </c>
      <c r="G655" s="7">
        <f>IFERROR(__xludf.DUMMYFUNCTION("""COMPUTED_VALUE"""),662.0)</f>
        <v>662</v>
      </c>
      <c r="H655" s="7" t="str">
        <f>IFERROR(__xludf.DUMMYFUNCTION("""COMPUTED_VALUE"""),"Trần Quốc Trung")</f>
        <v>Trần Quốc Trung</v>
      </c>
      <c r="I655" s="7" t="str">
        <f>IFERROR(__xludf.DUMMYFUNCTION("""COMPUTED_VALUE"""),"Nam")</f>
        <v>Nam</v>
      </c>
      <c r="J655" s="17">
        <f>IFERROR(__xludf.DUMMYFUNCTION("""COMPUTED_VALUE"""),29195.0)</f>
        <v>29195</v>
      </c>
      <c r="K655" s="7" t="str">
        <f>IFERROR(__xludf.DUMMYFUNCTION("""COMPUTED_VALUE"""),"Ngọc Lĩnh -  Nghi Sơn -  Thanh Hóa")</f>
        <v>Ngọc Lĩnh -  Nghi Sơn -  Thanh Hóa</v>
      </c>
      <c r="L655" s="7" t="str">
        <f>IFERROR(__xludf.DUMMYFUNCTION("""COMPUTED_VALUE"""),"0985224098")</f>
        <v>0985224098</v>
      </c>
      <c r="M655" s="7" t="str">
        <f>IFERROR(__xludf.DUMMYFUNCTION("""COMPUTED_VALUE"""),"086079012469")</f>
        <v>086079012469</v>
      </c>
      <c r="N655" s="19">
        <f>IFERROR(__xludf.DUMMYFUNCTION("""COMPUTED_VALUE"""),44574.0)</f>
        <v>44574</v>
      </c>
      <c r="O655" s="7" t="str">
        <f>IFERROR(__xludf.DUMMYFUNCTION("""COMPUTED_VALUE"""),"Cục Cảnh sát QLHC về TTXH")</f>
        <v>Cục Cảnh sát QLHC về TTXH</v>
      </c>
      <c r="P655" s="7" t="str">
        <f>IFERROR(__xludf.DUMMYFUNCTION("""COMPUTED_VALUE"""),"LĐPT")</f>
        <v>LĐPT</v>
      </c>
      <c r="Q655" s="7" t="str">
        <f>IFERROR(__xludf.DUMMYFUNCTION("""COMPUTED_VALUE"""),"Lao động phổ thông")</f>
        <v>Lao động phổ thông</v>
      </c>
      <c r="R655" s="17">
        <f>IFERROR(__xludf.DUMMYFUNCTION("""COMPUTED_VALUE"""),45470.0)</f>
        <v>45470</v>
      </c>
      <c r="S655" s="17">
        <f>IFERROR(__xludf.DUMMYFUNCTION("""COMPUTED_VALUE"""),45536.0)</f>
        <v>45536</v>
      </c>
      <c r="T655" s="7" t="str">
        <f>IFERROR(__xludf.DUMMYFUNCTION("""COMPUTED_VALUE"""),"Chính thức")</f>
        <v>Chính thức</v>
      </c>
      <c r="U655" s="7"/>
      <c r="V655" s="7" t="str">
        <f>IFERROR(__xludf.DUMMYFUNCTION("""COMPUTED_VALUE"""),"Chính thức")</f>
        <v>Chính thức</v>
      </c>
      <c r="W655" s="7" t="str">
        <f>IFERROR(__xludf.DUMMYFUNCTION("""COMPUTED_VALUE"""),"1 năm 6 tháng")</f>
        <v>1 năm 6 tháng</v>
      </c>
      <c r="X655" s="7"/>
      <c r="Y655" s="7"/>
      <c r="Z655" s="7"/>
    </row>
    <row r="656">
      <c r="A656" s="7">
        <f>IFERROR(__xludf.DUMMYFUNCTION("""COMPUTED_VALUE"""),7.0)</f>
        <v>7</v>
      </c>
      <c r="B656" s="7" t="str">
        <f>IFERROR(__xludf.DUMMYFUNCTION("""COMPUTED_VALUE"""),"DC5-PXSX2")</f>
        <v>DC5-PXSX2</v>
      </c>
      <c r="C656" s="7" t="str">
        <f>IFERROR(__xludf.DUMMYFUNCTION("""COMPUTED_VALUE"""),"Bộ phận Mài và Đóng hộp")</f>
        <v>Bộ phận Mài và Đóng hộp</v>
      </c>
      <c r="D656" s="7" t="str">
        <f>IFERROR(__xludf.DUMMYFUNCTION("""COMPUTED_VALUE"""),"Đóng hộp Ca B")</f>
        <v>Đóng hộp Ca B</v>
      </c>
      <c r="E656" s="7" t="str">
        <f>IFERROR(__xludf.DUMMYFUNCTION("""COMPUTED_VALUE"""),"Xe nâng nội bộ")</f>
        <v>Xe nâng nội bộ</v>
      </c>
      <c r="F656" s="7" t="str">
        <f>IFERROR(__xludf.DUMMYFUNCTION("""COMPUTED_VALUE"""),"NV0628")</f>
        <v>NV0628</v>
      </c>
      <c r="G656" s="7">
        <f>IFERROR(__xludf.DUMMYFUNCTION("""COMPUTED_VALUE"""),863.0)</f>
        <v>863</v>
      </c>
      <c r="H656" s="7" t="str">
        <f>IFERROR(__xludf.DUMMYFUNCTION("""COMPUTED_VALUE"""),"Nguyễn Văn Cảnh")</f>
        <v>Nguyễn Văn Cảnh</v>
      </c>
      <c r="I656" s="7" t="str">
        <f>IFERROR(__xludf.DUMMYFUNCTION("""COMPUTED_VALUE"""),"Nam")</f>
        <v>Nam</v>
      </c>
      <c r="J656" s="17">
        <f>IFERROR(__xludf.DUMMYFUNCTION("""COMPUTED_VALUE"""),34129.0)</f>
        <v>34129</v>
      </c>
      <c r="K656" s="7" t="str">
        <f>IFERROR(__xludf.DUMMYFUNCTION("""COMPUTED_VALUE"""),"07/117 Phố Đồng Lễ -  Phường Đông Hải -  Thành phố Thanh Hóa -  Tỉnh Thanh Hóa.")</f>
        <v>07/117 Phố Đồng Lễ -  Phường Đông Hải -  Thành phố Thanh Hóa -  Tỉnh Thanh Hóa.</v>
      </c>
      <c r="L656" s="7" t="str">
        <f>IFERROR(__xludf.DUMMYFUNCTION("""COMPUTED_VALUE"""),"0974047018")</f>
        <v>0974047018</v>
      </c>
      <c r="M656" s="7" t="str">
        <f>IFERROR(__xludf.DUMMYFUNCTION("""COMPUTED_VALUE"""),"038093021868")</f>
        <v>038093021868</v>
      </c>
      <c r="N656" s="19">
        <f>IFERROR(__xludf.DUMMYFUNCTION("""COMPUTED_VALUE"""),44311.0)</f>
        <v>44311</v>
      </c>
      <c r="O656" s="7" t="str">
        <f>IFERROR(__xludf.DUMMYFUNCTION("""COMPUTED_VALUE"""),"Cục Cảnh sát QLHC về TTXH")</f>
        <v>Cục Cảnh sát QLHC về TTXH</v>
      </c>
      <c r="P656" s="7" t="str">
        <f>IFERROR(__xludf.DUMMYFUNCTION("""COMPUTED_VALUE"""),"Sơ cấp nghề")</f>
        <v>Sơ cấp nghề</v>
      </c>
      <c r="Q656" s="7" t="str">
        <f>IFERROR(__xludf.DUMMYFUNCTION("""COMPUTED_VALUE"""),"Vận hành xe nâng")</f>
        <v>Vận hành xe nâng</v>
      </c>
      <c r="R656" s="17">
        <f>IFERROR(__xludf.DUMMYFUNCTION("""COMPUTED_VALUE"""),42405.0)</f>
        <v>42405</v>
      </c>
      <c r="S656" s="17">
        <f>IFERROR(__xludf.DUMMYFUNCTION("""COMPUTED_VALUE"""),42856.0)</f>
        <v>42856</v>
      </c>
      <c r="T656" s="7" t="str">
        <f>IFERROR(__xludf.DUMMYFUNCTION("""COMPUTED_VALUE"""),"Chính thức")</f>
        <v>Chính thức</v>
      </c>
      <c r="U656" s="7"/>
      <c r="V656" s="7" t="str">
        <f>IFERROR(__xludf.DUMMYFUNCTION("""COMPUTED_VALUE"""),"Chính thức")</f>
        <v>Chính thức</v>
      </c>
      <c r="W656" s="7" t="str">
        <f>IFERROR(__xludf.DUMMYFUNCTION("""COMPUTED_VALUE"""),"9 năm 10 tháng")</f>
        <v>9 năm 10 tháng</v>
      </c>
      <c r="X656" s="7"/>
      <c r="Y656" s="7"/>
      <c r="Z656" s="7"/>
    </row>
    <row r="657">
      <c r="A657" s="7">
        <f>IFERROR(__xludf.DUMMYFUNCTION("""COMPUTED_VALUE"""),8.0)</f>
        <v>8</v>
      </c>
      <c r="B657" s="7" t="str">
        <f>IFERROR(__xludf.DUMMYFUNCTION("""COMPUTED_VALUE"""),"DC5-PXSX2")</f>
        <v>DC5-PXSX2</v>
      </c>
      <c r="C657" s="7" t="str">
        <f>IFERROR(__xludf.DUMMYFUNCTION("""COMPUTED_VALUE"""),"Bộ phận Mài và Đóng hộp")</f>
        <v>Bộ phận Mài và Đóng hộp</v>
      </c>
      <c r="D657" s="7" t="str">
        <f>IFERROR(__xludf.DUMMYFUNCTION("""COMPUTED_VALUE"""),"Đóng hộp Ca B")</f>
        <v>Đóng hộp Ca B</v>
      </c>
      <c r="E657" s="7" t="str">
        <f>IFERROR(__xludf.DUMMYFUNCTION("""COMPUTED_VALUE"""),"Xe nâng nội bộ")</f>
        <v>Xe nâng nội bộ</v>
      </c>
      <c r="F657" s="7" t="str">
        <f>IFERROR(__xludf.DUMMYFUNCTION("""COMPUTED_VALUE"""),"NV4187")</f>
        <v>NV4187</v>
      </c>
      <c r="G657" s="7">
        <f>IFERROR(__xludf.DUMMYFUNCTION("""COMPUTED_VALUE"""),384.0)</f>
        <v>384</v>
      </c>
      <c r="H657" s="7" t="str">
        <f>IFERROR(__xludf.DUMMYFUNCTION("""COMPUTED_VALUE"""),"Phạm Văn Sơn")</f>
        <v>Phạm Văn Sơn</v>
      </c>
      <c r="I657" s="7" t="str">
        <f>IFERROR(__xludf.DUMMYFUNCTION("""COMPUTED_VALUE"""),"Nam")</f>
        <v>Nam</v>
      </c>
      <c r="J657" s="17">
        <f>IFERROR(__xludf.DUMMYFUNCTION("""COMPUTED_VALUE"""),32116.0)</f>
        <v>32116</v>
      </c>
      <c r="K657" s="7" t="str">
        <f>IFERROR(__xludf.DUMMYFUNCTION("""COMPUTED_VALUE"""),"Xã Thanh Thủy -  Thị Xã Nghi Sơn -  Thanh Hóa -  Việt Nam")</f>
        <v>Xã Thanh Thủy -  Thị Xã Nghi Sơn -  Thanh Hóa -  Việt Nam</v>
      </c>
      <c r="L657" s="7" t="str">
        <f>IFERROR(__xludf.DUMMYFUNCTION("""COMPUTED_VALUE"""),"0375561550")</f>
        <v>0375561550</v>
      </c>
      <c r="M657" s="7" t="str">
        <f>IFERROR(__xludf.DUMMYFUNCTION("""COMPUTED_VALUE"""),"038087019613")</f>
        <v>038087019613</v>
      </c>
      <c r="N657" s="19">
        <f>IFERROR(__xludf.DUMMYFUNCTION("""COMPUTED_VALUE"""),43885.0)</f>
        <v>43885</v>
      </c>
      <c r="O657" s="7" t="str">
        <f>IFERROR(__xludf.DUMMYFUNCTION("""COMPUTED_VALUE"""),"Cục Cảnh sát QLHC về TTXH")</f>
        <v>Cục Cảnh sát QLHC về TTXH</v>
      </c>
      <c r="P657" s="7" t="str">
        <f>IFERROR(__xludf.DUMMYFUNCTION("""COMPUTED_VALUE"""),"Chứng chỉ nghề")</f>
        <v>Chứng chỉ nghề</v>
      </c>
      <c r="Q657" s="7" t="str">
        <f>IFERROR(__xludf.DUMMYFUNCTION("""COMPUTED_VALUE"""),"Vận hành xe nâng")</f>
        <v>Vận hành xe nâng</v>
      </c>
      <c r="R657" s="17">
        <f>IFERROR(__xludf.DUMMYFUNCTION("""COMPUTED_VALUE"""),45696.0)</f>
        <v>45696</v>
      </c>
      <c r="S657" s="17">
        <f>IFERROR(__xludf.DUMMYFUNCTION("""COMPUTED_VALUE"""),45696.0)</f>
        <v>45696</v>
      </c>
      <c r="T657" s="7" t="str">
        <f>IFERROR(__xludf.DUMMYFUNCTION("""COMPUTED_VALUE"""),"Chính thức")</f>
        <v>Chính thức</v>
      </c>
      <c r="U657" s="7"/>
      <c r="V657" s="7" t="str">
        <f>IFERROR(__xludf.DUMMYFUNCTION("""COMPUTED_VALUE"""),"Chính thức")</f>
        <v>Chính thức</v>
      </c>
      <c r="W657" s="7" t="str">
        <f>IFERROR(__xludf.DUMMYFUNCTION("""COMPUTED_VALUE"""),"0 năm 10 tháng")</f>
        <v>0 năm 10 tháng</v>
      </c>
      <c r="X657" s="7"/>
      <c r="Y657" s="7"/>
      <c r="Z657" s="7"/>
    </row>
    <row r="658">
      <c r="A658" s="7">
        <f>IFERROR(__xludf.DUMMYFUNCTION("""COMPUTED_VALUE"""),9.0)</f>
        <v>9</v>
      </c>
      <c r="B658" s="7" t="str">
        <f>IFERROR(__xludf.DUMMYFUNCTION("""COMPUTED_VALUE"""),"DC5-PXSX2")</f>
        <v>DC5-PXSX2</v>
      </c>
      <c r="C658" s="7" t="str">
        <f>IFERROR(__xludf.DUMMYFUNCTION("""COMPUTED_VALUE"""),"Bộ phận Mài và Đóng hộp")</f>
        <v>Bộ phận Mài và Đóng hộp</v>
      </c>
      <c r="D658" s="7" t="str">
        <f>IFERROR(__xludf.DUMMYFUNCTION("""COMPUTED_VALUE"""),"Đóng hộp Ca B")</f>
        <v>Đóng hộp Ca B</v>
      </c>
      <c r="E658" s="7" t="str">
        <f>IFERROR(__xludf.DUMMYFUNCTION("""COMPUTED_VALUE"""),"VH máy đóng hộp")</f>
        <v>VH máy đóng hộp</v>
      </c>
      <c r="F658" s="7" t="str">
        <f>IFERROR(__xludf.DUMMYFUNCTION("""COMPUTED_VALUE"""),"NV5247")</f>
        <v>NV5247</v>
      </c>
      <c r="G658" s="7">
        <f>IFERROR(__xludf.DUMMYFUNCTION("""COMPUTED_VALUE"""),389.0)</f>
        <v>389</v>
      </c>
      <c r="H658" s="7" t="str">
        <f>IFERROR(__xludf.DUMMYFUNCTION("""COMPUTED_VALUE"""),"Hoàng Nam")</f>
        <v>Hoàng Nam</v>
      </c>
      <c r="I658" s="7" t="str">
        <f>IFERROR(__xludf.DUMMYFUNCTION("""COMPUTED_VALUE"""),"Nam")</f>
        <v>Nam</v>
      </c>
      <c r="J658" s="17">
        <f>IFERROR(__xludf.DUMMYFUNCTION("""COMPUTED_VALUE"""),35341.0)</f>
        <v>35341</v>
      </c>
      <c r="K658" s="7" t="str">
        <f>IFERROR(__xludf.DUMMYFUNCTION("""COMPUTED_VALUE"""),"Nga Văn -  Nga Sơn -  Thanh Hóa")</f>
        <v>Nga Văn -  Nga Sơn -  Thanh Hóa</v>
      </c>
      <c r="L658" s="7" t="str">
        <f>IFERROR(__xludf.DUMMYFUNCTION("""COMPUTED_VALUE"""),"0988571536")</f>
        <v>0988571536</v>
      </c>
      <c r="M658" s="7" t="str">
        <f>IFERROR(__xludf.DUMMYFUNCTION("""COMPUTED_VALUE"""),"038096006831")</f>
        <v>038096006831</v>
      </c>
      <c r="N658" s="19">
        <f>IFERROR(__xludf.DUMMYFUNCTION("""COMPUTED_VALUE"""),45041.0)</f>
        <v>45041</v>
      </c>
      <c r="O658" s="7" t="str">
        <f>IFERROR(__xludf.DUMMYFUNCTION("""COMPUTED_VALUE"""),"Cục Cảnh sát QLHC về TTXH")</f>
        <v>Cục Cảnh sát QLHC về TTXH</v>
      </c>
      <c r="P658" s="7" t="str">
        <f>IFERROR(__xludf.DUMMYFUNCTION("""COMPUTED_VALUE"""),"Cao đẳng")</f>
        <v>Cao đẳng</v>
      </c>
      <c r="Q658" s="7" t="str">
        <f>IFERROR(__xludf.DUMMYFUNCTION("""COMPUTED_VALUE"""),"Công nghệ kỹ thuật điện -  điện tử")</f>
        <v>Công nghệ kỹ thuật điện -  điện tử</v>
      </c>
      <c r="R658" s="17">
        <f>IFERROR(__xludf.DUMMYFUNCTION("""COMPUTED_VALUE"""),45729.0)</f>
        <v>45729</v>
      </c>
      <c r="S658" s="17">
        <f>IFERROR(__xludf.DUMMYFUNCTION("""COMPUTED_VALUE"""),45729.0)</f>
        <v>45729</v>
      </c>
      <c r="T658" s="7" t="str">
        <f>IFERROR(__xludf.DUMMYFUNCTION("""COMPUTED_VALUE"""),"Chính thức")</f>
        <v>Chính thức</v>
      </c>
      <c r="U658" s="7"/>
      <c r="V658" s="7" t="str">
        <f>IFERROR(__xludf.DUMMYFUNCTION("""COMPUTED_VALUE"""),"Chính thức")</f>
        <v>Chính thức</v>
      </c>
      <c r="W658" s="7" t="str">
        <f>IFERROR(__xludf.DUMMYFUNCTION("""COMPUTED_VALUE"""),"0 năm 9 tháng")</f>
        <v>0 năm 9 tháng</v>
      </c>
      <c r="X658" s="7"/>
      <c r="Y658" s="7"/>
      <c r="Z658" s="7"/>
    </row>
    <row r="659">
      <c r="A659" s="7">
        <f>IFERROR(__xludf.DUMMYFUNCTION("""COMPUTED_VALUE"""),10.0)</f>
        <v>10</v>
      </c>
      <c r="B659" s="7" t="str">
        <f>IFERROR(__xludf.DUMMYFUNCTION("""COMPUTED_VALUE"""),"DC5-PXSX2")</f>
        <v>DC5-PXSX2</v>
      </c>
      <c r="C659" s="7" t="str">
        <f>IFERROR(__xludf.DUMMYFUNCTION("""COMPUTED_VALUE"""),"Bộ phận Mài và Đóng hộp")</f>
        <v>Bộ phận Mài và Đóng hộp</v>
      </c>
      <c r="D659" s="7" t="str">
        <f>IFERROR(__xludf.DUMMYFUNCTION("""COMPUTED_VALUE"""),"Đóng hộp Ca B")</f>
        <v>Đóng hộp Ca B</v>
      </c>
      <c r="E659" s="7"/>
      <c r="F659" s="7" t="str">
        <f>IFERROR(__xludf.DUMMYFUNCTION("""COMPUTED_VALUE"""),"NV4465")</f>
        <v>NV4465</v>
      </c>
      <c r="G659" s="7">
        <f>IFERROR(__xludf.DUMMYFUNCTION("""COMPUTED_VALUE"""),409.0)</f>
        <v>409</v>
      </c>
      <c r="H659" s="7" t="str">
        <f>IFERROR(__xludf.DUMMYFUNCTION("""COMPUTED_VALUE"""),"Đỗ Ngọc Đức")</f>
        <v>Đỗ Ngọc Đức</v>
      </c>
      <c r="I659" s="7" t="str">
        <f>IFERROR(__xludf.DUMMYFUNCTION("""COMPUTED_VALUE"""),"Nam")</f>
        <v>Nam</v>
      </c>
      <c r="J659" s="17">
        <f>IFERROR(__xludf.DUMMYFUNCTION("""COMPUTED_VALUE"""),29007.0)</f>
        <v>29007</v>
      </c>
      <c r="K659" s="7" t="str">
        <f>IFERROR(__xludf.DUMMYFUNCTION("""COMPUTED_VALUE"""),"Xã Quảng Ninh -  Huyện Quảng Xương -  Thanh Hóa -  Việt Nam")</f>
        <v>Xã Quảng Ninh -  Huyện Quảng Xương -  Thanh Hóa -  Việt Nam</v>
      </c>
      <c r="L659" s="7" t="str">
        <f>IFERROR(__xludf.DUMMYFUNCTION("""COMPUTED_VALUE"""),"0977374916")</f>
        <v>0977374916</v>
      </c>
      <c r="M659" s="7" t="str">
        <f>IFERROR(__xludf.DUMMYFUNCTION("""COMPUTED_VALUE"""),"038079026743")</f>
        <v>038079026743</v>
      </c>
      <c r="N659" s="19">
        <f>IFERROR(__xludf.DUMMYFUNCTION("""COMPUTED_VALUE"""),40766.0)</f>
        <v>40766</v>
      </c>
      <c r="O659" s="7" t="str">
        <f>IFERROR(__xludf.DUMMYFUNCTION("""COMPUTED_VALUE"""),"Cục Cảnh sát QLHC về TTXH")</f>
        <v>Cục Cảnh sát QLHC về TTXH</v>
      </c>
      <c r="P659" s="7" t="str">
        <f>IFERROR(__xludf.DUMMYFUNCTION("""COMPUTED_VALUE"""),"LĐPT")</f>
        <v>LĐPT</v>
      </c>
      <c r="Q659" s="7" t="str">
        <f>IFERROR(__xludf.DUMMYFUNCTION("""COMPUTED_VALUE"""),"Lao động phổ thông")</f>
        <v>Lao động phổ thông</v>
      </c>
      <c r="R659" s="17">
        <f>IFERROR(__xludf.DUMMYFUNCTION("""COMPUTED_VALUE"""),44866.0)</f>
        <v>44866</v>
      </c>
      <c r="S659" s="17">
        <f>IFERROR(__xludf.DUMMYFUNCTION("""COMPUTED_VALUE"""),45292.0)</f>
        <v>45292</v>
      </c>
      <c r="T659" s="7" t="str">
        <f>IFERROR(__xludf.DUMMYFUNCTION("""COMPUTED_VALUE"""),"Chính thức")</f>
        <v>Chính thức</v>
      </c>
      <c r="U659" s="7"/>
      <c r="V659" s="7" t="str">
        <f>IFERROR(__xludf.DUMMYFUNCTION("""COMPUTED_VALUE"""),"Chính thức")</f>
        <v>Chính thức</v>
      </c>
      <c r="W659" s="7" t="str">
        <f>IFERROR(__xludf.DUMMYFUNCTION("""COMPUTED_VALUE"""),"3 năm 1 tháng")</f>
        <v>3 năm 1 tháng</v>
      </c>
      <c r="X659" s="7"/>
      <c r="Y659" s="7"/>
      <c r="Z659" s="7"/>
    </row>
    <row r="660">
      <c r="A660" s="7">
        <f>IFERROR(__xludf.DUMMYFUNCTION("""COMPUTED_VALUE"""),11.0)</f>
        <v>11</v>
      </c>
      <c r="B660" s="7" t="str">
        <f>IFERROR(__xludf.DUMMYFUNCTION("""COMPUTED_VALUE"""),"DC5-PXSX2")</f>
        <v>DC5-PXSX2</v>
      </c>
      <c r="C660" s="7" t="str">
        <f>IFERROR(__xludf.DUMMYFUNCTION("""COMPUTED_VALUE"""),"Bộ phận Mài và Đóng hộp")</f>
        <v>Bộ phận Mài và Đóng hộp</v>
      </c>
      <c r="D660" s="7" t="str">
        <f>IFERROR(__xludf.DUMMYFUNCTION("""COMPUTED_VALUE"""),"Đóng hộp Ca B")</f>
        <v>Đóng hộp Ca B</v>
      </c>
      <c r="E660" s="7" t="str">
        <f>IFERROR(__xludf.DUMMYFUNCTION("""COMPUTED_VALUE"""),"CN đóng hộp")</f>
        <v>CN đóng hộp</v>
      </c>
      <c r="F660" s="7" t="str">
        <f>IFERROR(__xludf.DUMMYFUNCTION("""COMPUTED_VALUE"""),"NV5496")</f>
        <v>NV5496</v>
      </c>
      <c r="G660" s="7">
        <f>IFERROR(__xludf.DUMMYFUNCTION("""COMPUTED_VALUE"""),979.0)</f>
        <v>979</v>
      </c>
      <c r="H660" s="7" t="str">
        <f>IFERROR(__xludf.DUMMYFUNCTION("""COMPUTED_VALUE"""),"Ngô Công Tám")</f>
        <v>Ngô Công Tám</v>
      </c>
      <c r="I660" s="7" t="str">
        <f>IFERROR(__xludf.DUMMYFUNCTION("""COMPUTED_VALUE"""),"Nam")</f>
        <v>Nam</v>
      </c>
      <c r="J660" s="17">
        <f>IFERROR(__xludf.DUMMYFUNCTION("""COMPUTED_VALUE"""),27923.0)</f>
        <v>27923</v>
      </c>
      <c r="K660" s="7" t="str">
        <f>IFERROR(__xludf.DUMMYFUNCTION("""COMPUTED_VALUE"""),"Xã Trường Văn - Tỉnh Thanh Hóa")</f>
        <v>Xã Trường Văn - Tỉnh Thanh Hóa</v>
      </c>
      <c r="L660" s="7" t="str">
        <f>IFERROR(__xludf.DUMMYFUNCTION("""COMPUTED_VALUE"""),"0366745976")</f>
        <v>0366745976</v>
      </c>
      <c r="M660" s="7" t="str">
        <f>IFERROR(__xludf.DUMMYFUNCTION("""COMPUTED_VALUE"""),"038076018315")</f>
        <v>038076018315</v>
      </c>
      <c r="N660" s="19">
        <f>IFERROR(__xludf.DUMMYFUNCTION("""COMPUTED_VALUE"""),44427.0)</f>
        <v>44427</v>
      </c>
      <c r="O660" s="7" t="str">
        <f>IFERROR(__xludf.DUMMYFUNCTION("""COMPUTED_VALUE"""),"Cục Cảnh sát QLHC về TTXH")</f>
        <v>Cục Cảnh sát QLHC về TTXH</v>
      </c>
      <c r="P660" s="7" t="str">
        <f>IFERROR(__xludf.DUMMYFUNCTION("""COMPUTED_VALUE"""),"LĐPT")</f>
        <v>LĐPT</v>
      </c>
      <c r="Q660" s="7" t="str">
        <f>IFERROR(__xludf.DUMMYFUNCTION("""COMPUTED_VALUE"""),"Lao động phổ thông")</f>
        <v>Lao động phổ thông</v>
      </c>
      <c r="R660" s="17">
        <f>IFERROR(__xludf.DUMMYFUNCTION("""COMPUTED_VALUE"""),45810.0)</f>
        <v>45810</v>
      </c>
      <c r="S660" s="17">
        <f>IFERROR(__xludf.DUMMYFUNCTION("""COMPUTED_VALUE"""),45840.0)</f>
        <v>45840</v>
      </c>
      <c r="T660" s="7" t="str">
        <f>IFERROR(__xludf.DUMMYFUNCTION("""COMPUTED_VALUE"""),"Chính thức")</f>
        <v>Chính thức</v>
      </c>
      <c r="U660" s="7"/>
      <c r="V660" s="7" t="str">
        <f>IFERROR(__xludf.DUMMYFUNCTION("""COMPUTED_VALUE"""),"Chính thức")</f>
        <v>Chính thức</v>
      </c>
      <c r="W660" s="7" t="str">
        <f>IFERROR(__xludf.DUMMYFUNCTION("""COMPUTED_VALUE"""),"0 năm 6 tháng")</f>
        <v>0 năm 6 tháng</v>
      </c>
      <c r="X660" s="7"/>
      <c r="Y660" s="7"/>
      <c r="Z660" s="7"/>
    </row>
    <row r="661">
      <c r="A661" s="7">
        <f>IFERROR(__xludf.DUMMYFUNCTION("""COMPUTED_VALUE"""),12.0)</f>
        <v>12</v>
      </c>
      <c r="B661" s="7" t="str">
        <f>IFERROR(__xludf.DUMMYFUNCTION("""COMPUTED_VALUE"""),"DC5-PXSX2")</f>
        <v>DC5-PXSX2</v>
      </c>
      <c r="C661" s="7" t="str">
        <f>IFERROR(__xludf.DUMMYFUNCTION("""COMPUTED_VALUE"""),"Bộ phận Mài và Đóng hộp")</f>
        <v>Bộ phận Mài và Đóng hộp</v>
      </c>
      <c r="D661" s="7" t="str">
        <f>IFERROR(__xludf.DUMMYFUNCTION("""COMPUTED_VALUE"""),"Đóng hộp Ca B")</f>
        <v>Đóng hộp Ca B</v>
      </c>
      <c r="E661" s="7" t="str">
        <f>IFERROR(__xludf.DUMMYFUNCTION("""COMPUTED_VALUE"""),"VHC máy đóng hộp")</f>
        <v>VHC máy đóng hộp</v>
      </c>
      <c r="F661" s="7" t="str">
        <f>IFERROR(__xludf.DUMMYFUNCTION("""COMPUTED_VALUE"""),"NV5526")</f>
        <v>NV5526</v>
      </c>
      <c r="G661" s="7">
        <f>IFERROR(__xludf.DUMMYFUNCTION("""COMPUTED_VALUE"""),1008.0)</f>
        <v>1008</v>
      </c>
      <c r="H661" s="7" t="str">
        <f>IFERROR(__xludf.DUMMYFUNCTION("""COMPUTED_VALUE"""),"Phạm Viết Chung")</f>
        <v>Phạm Viết Chung</v>
      </c>
      <c r="I661" s="7" t="str">
        <f>IFERROR(__xludf.DUMMYFUNCTION("""COMPUTED_VALUE"""),"Nam")</f>
        <v>Nam</v>
      </c>
      <c r="J661" s="17">
        <f>IFERROR(__xludf.DUMMYFUNCTION("""COMPUTED_VALUE"""),31106.0)</f>
        <v>31106</v>
      </c>
      <c r="K661" s="7" t="str">
        <f>IFERROR(__xludf.DUMMYFUNCTION("""COMPUTED_VALUE"""),"Phường Ngọc Sơn - Tỉnh Thanh Hóa")</f>
        <v>Phường Ngọc Sơn - Tỉnh Thanh Hóa</v>
      </c>
      <c r="L661" s="7" t="str">
        <f>IFERROR(__xludf.DUMMYFUNCTION("""COMPUTED_VALUE"""),"0971668085")</f>
        <v>0971668085</v>
      </c>
      <c r="M661" s="7" t="str">
        <f>IFERROR(__xludf.DUMMYFUNCTION("""COMPUTED_VALUE"""),"038085009940")</f>
        <v>038085009940</v>
      </c>
      <c r="N661" s="19">
        <f>IFERROR(__xludf.DUMMYFUNCTION("""COMPUTED_VALUE"""),44423.0)</f>
        <v>44423</v>
      </c>
      <c r="O661" s="7" t="str">
        <f>IFERROR(__xludf.DUMMYFUNCTION("""COMPUTED_VALUE"""),"Cục Cảnh sát QLHC về TTXH")</f>
        <v>Cục Cảnh sát QLHC về TTXH</v>
      </c>
      <c r="P661" s="7" t="str">
        <f>IFERROR(__xludf.DUMMYFUNCTION("""COMPUTED_VALUE"""),"LĐPT")</f>
        <v>LĐPT</v>
      </c>
      <c r="Q661" s="7" t="str">
        <f>IFERROR(__xludf.DUMMYFUNCTION("""COMPUTED_VALUE"""),"Lao động phổ thông")</f>
        <v>Lao động phổ thông</v>
      </c>
      <c r="R661" s="17">
        <f>IFERROR(__xludf.DUMMYFUNCTION("""COMPUTED_VALUE"""),45818.0)</f>
        <v>45818</v>
      </c>
      <c r="S661" s="17">
        <f>IFERROR(__xludf.DUMMYFUNCTION("""COMPUTED_VALUE"""),45848.0)</f>
        <v>45848</v>
      </c>
      <c r="T661" s="7" t="str">
        <f>IFERROR(__xludf.DUMMYFUNCTION("""COMPUTED_VALUE"""),"Chính thức")</f>
        <v>Chính thức</v>
      </c>
      <c r="U661" s="7"/>
      <c r="V661" s="7" t="str">
        <f>IFERROR(__xludf.DUMMYFUNCTION("""COMPUTED_VALUE"""),"Chính thức")</f>
        <v>Chính thức</v>
      </c>
      <c r="W661" s="7" t="str">
        <f>IFERROR(__xludf.DUMMYFUNCTION("""COMPUTED_VALUE"""),"0 năm 6 tháng")</f>
        <v>0 năm 6 tháng</v>
      </c>
      <c r="X661" s="7"/>
      <c r="Y661" s="7"/>
      <c r="Z661" s="7"/>
    </row>
    <row r="662">
      <c r="A662" s="7">
        <f>IFERROR(__xludf.DUMMYFUNCTION("""COMPUTED_VALUE"""),13.0)</f>
        <v>13</v>
      </c>
      <c r="B662" s="7" t="str">
        <f>IFERROR(__xludf.DUMMYFUNCTION("""COMPUTED_VALUE"""),"DC5-PXSX2")</f>
        <v>DC5-PXSX2</v>
      </c>
      <c r="C662" s="7" t="str">
        <f>IFERROR(__xludf.DUMMYFUNCTION("""COMPUTED_VALUE"""),"Bộ phận Mài và Đóng hộp")</f>
        <v>Bộ phận Mài và Đóng hộp</v>
      </c>
      <c r="D662" s="7" t="str">
        <f>IFERROR(__xludf.DUMMYFUNCTION("""COMPUTED_VALUE"""),"Đóng hộp Ca B")</f>
        <v>Đóng hộp Ca B</v>
      </c>
      <c r="E662" s="7"/>
      <c r="F662" s="7" t="str">
        <f>IFERROR(__xludf.DUMMYFUNCTION("""COMPUTED_VALUE"""),"NV5574")</f>
        <v>NV5574</v>
      </c>
      <c r="G662" s="7">
        <f>IFERROR(__xludf.DUMMYFUNCTION("""COMPUTED_VALUE"""),1060.0)</f>
        <v>1060</v>
      </c>
      <c r="H662" s="7" t="str">
        <f>IFERROR(__xludf.DUMMYFUNCTION("""COMPUTED_VALUE"""),"Lê Đồng Việt")</f>
        <v>Lê Đồng Việt</v>
      </c>
      <c r="I662" s="7" t="str">
        <f>IFERROR(__xludf.DUMMYFUNCTION("""COMPUTED_VALUE"""),"Nam")</f>
        <v>Nam</v>
      </c>
      <c r="J662" s="17">
        <f>IFERROR(__xludf.DUMMYFUNCTION("""COMPUTED_VALUE"""),37515.0)</f>
        <v>37515</v>
      </c>
      <c r="K662" s="7" t="str">
        <f>IFERROR(__xludf.DUMMYFUNCTION("""COMPUTED_VALUE"""),"Xã Hoằng Hóa - Tỉnh Thanh Hóa")</f>
        <v>Xã Hoằng Hóa - Tỉnh Thanh Hóa</v>
      </c>
      <c r="L662" s="7" t="str">
        <f>IFERROR(__xludf.DUMMYFUNCTION("""COMPUTED_VALUE"""),"0981414295")</f>
        <v>0981414295</v>
      </c>
      <c r="M662" s="7" t="str">
        <f>IFERROR(__xludf.DUMMYFUNCTION("""COMPUTED_VALUE"""),"038202005433")</f>
        <v>038202005433</v>
      </c>
      <c r="N662" s="19">
        <f>IFERROR(__xludf.DUMMYFUNCTION("""COMPUTED_VALUE"""),45145.0)</f>
        <v>45145</v>
      </c>
      <c r="O662" s="7" t="str">
        <f>IFERROR(__xludf.DUMMYFUNCTION("""COMPUTED_VALUE"""),"Cục Cảnh sát QLHC về TTXH")</f>
        <v>Cục Cảnh sát QLHC về TTXH</v>
      </c>
      <c r="P662" s="7" t="str">
        <f>IFERROR(__xludf.DUMMYFUNCTION("""COMPUTED_VALUE"""),"LĐPT")</f>
        <v>LĐPT</v>
      </c>
      <c r="Q662" s="7" t="str">
        <f>IFERROR(__xludf.DUMMYFUNCTION("""COMPUTED_VALUE"""),"Lao động phổ thông")</f>
        <v>Lao động phổ thông</v>
      </c>
      <c r="R662" s="17">
        <f>IFERROR(__xludf.DUMMYFUNCTION("""COMPUTED_VALUE"""),45840.0)</f>
        <v>45840</v>
      </c>
      <c r="S662" s="17">
        <f>IFERROR(__xludf.DUMMYFUNCTION("""COMPUTED_VALUE"""),45871.0)</f>
        <v>45871</v>
      </c>
      <c r="T662" s="7" t="str">
        <f>IFERROR(__xludf.DUMMYFUNCTION("""COMPUTED_VALUE"""),"Chính thức")</f>
        <v>Chính thức</v>
      </c>
      <c r="U662" s="7"/>
      <c r="V662" s="7" t="str">
        <f>IFERROR(__xludf.DUMMYFUNCTION("""COMPUTED_VALUE"""),"Chính thức")</f>
        <v>Chính thức</v>
      </c>
      <c r="W662" s="7" t="str">
        <f>IFERROR(__xludf.DUMMYFUNCTION("""COMPUTED_VALUE"""),"0 năm 5 tháng")</f>
        <v>0 năm 5 tháng</v>
      </c>
      <c r="X662" s="7"/>
      <c r="Y662" s="7"/>
      <c r="Z662" s="7"/>
    </row>
    <row r="663">
      <c r="A663" s="7">
        <f>IFERROR(__xludf.DUMMYFUNCTION("""COMPUTED_VALUE"""),14.0)</f>
        <v>14</v>
      </c>
      <c r="B663" s="7" t="str">
        <f>IFERROR(__xludf.DUMMYFUNCTION("""COMPUTED_VALUE"""),"DC5-PXSX2")</f>
        <v>DC5-PXSX2</v>
      </c>
      <c r="C663" s="7" t="str">
        <f>IFERROR(__xludf.DUMMYFUNCTION("""COMPUTED_VALUE"""),"Bộ phận Mài và Đóng hộp")</f>
        <v>Bộ phận Mài và Đóng hộp</v>
      </c>
      <c r="D663" s="7" t="str">
        <f>IFERROR(__xludf.DUMMYFUNCTION("""COMPUTED_VALUE"""),"Đóng hộp Ca B")</f>
        <v>Đóng hộp Ca B</v>
      </c>
      <c r="E663" s="7"/>
      <c r="F663" s="7" t="str">
        <f>IFERROR(__xludf.DUMMYFUNCTION("""COMPUTED_VALUE"""),"NV5584")</f>
        <v>NV5584</v>
      </c>
      <c r="G663" s="7">
        <f>IFERROR(__xludf.DUMMYFUNCTION("""COMPUTED_VALUE"""),1070.0)</f>
        <v>1070</v>
      </c>
      <c r="H663" s="7" t="str">
        <f>IFERROR(__xludf.DUMMYFUNCTION("""COMPUTED_VALUE"""),"Đỗ Đăng Long")</f>
        <v>Đỗ Đăng Long</v>
      </c>
      <c r="I663" s="7" t="str">
        <f>IFERROR(__xludf.DUMMYFUNCTION("""COMPUTED_VALUE"""),"Nam")</f>
        <v>Nam</v>
      </c>
      <c r="J663" s="17">
        <f>IFERROR(__xludf.DUMMYFUNCTION("""COMPUTED_VALUE"""),38200.0)</f>
        <v>38200</v>
      </c>
      <c r="K663" s="7" t="str">
        <f>IFERROR(__xludf.DUMMYFUNCTION("""COMPUTED_VALUE"""),"Xã Công Chính - Tỉnh Thanh Hóa")</f>
        <v>Xã Công Chính - Tỉnh Thanh Hóa</v>
      </c>
      <c r="L663" s="7" t="str">
        <f>IFERROR(__xludf.DUMMYFUNCTION("""COMPUTED_VALUE"""),"0985778056")</f>
        <v>0985778056</v>
      </c>
      <c r="M663" s="7" t="str">
        <f>IFERROR(__xludf.DUMMYFUNCTION("""COMPUTED_VALUE"""),"038204005786")</f>
        <v>038204005786</v>
      </c>
      <c r="N663" s="19">
        <f>IFERROR(__xludf.DUMMYFUNCTION("""COMPUTED_VALUE"""),44546.0)</f>
        <v>44546</v>
      </c>
      <c r="O663" s="7" t="str">
        <f>IFERROR(__xludf.DUMMYFUNCTION("""COMPUTED_VALUE"""),"Cục Cảnh sát QLHC về TTXH")</f>
        <v>Cục Cảnh sát QLHC về TTXH</v>
      </c>
      <c r="P663" s="7" t="str">
        <f>IFERROR(__xludf.DUMMYFUNCTION("""COMPUTED_VALUE"""),"LĐPT")</f>
        <v>LĐPT</v>
      </c>
      <c r="Q663" s="7" t="str">
        <f>IFERROR(__xludf.DUMMYFUNCTION("""COMPUTED_VALUE"""),"Lao động phổ thông")</f>
        <v>Lao động phổ thông</v>
      </c>
      <c r="R663" s="17">
        <f>IFERROR(__xludf.DUMMYFUNCTION("""COMPUTED_VALUE"""),45840.0)</f>
        <v>45840</v>
      </c>
      <c r="S663" s="17">
        <f>IFERROR(__xludf.DUMMYFUNCTION("""COMPUTED_VALUE"""),45871.0)</f>
        <v>45871</v>
      </c>
      <c r="T663" s="7" t="str">
        <f>IFERROR(__xludf.DUMMYFUNCTION("""COMPUTED_VALUE"""),"Chính thức")</f>
        <v>Chính thức</v>
      </c>
      <c r="U663" s="7"/>
      <c r="V663" s="7" t="str">
        <f>IFERROR(__xludf.DUMMYFUNCTION("""COMPUTED_VALUE"""),"Chính thức")</f>
        <v>Chính thức</v>
      </c>
      <c r="W663" s="7" t="str">
        <f>IFERROR(__xludf.DUMMYFUNCTION("""COMPUTED_VALUE"""),"0 năm 5 tháng")</f>
        <v>0 năm 5 tháng</v>
      </c>
      <c r="X663" s="7"/>
      <c r="Y663" s="7"/>
      <c r="Z663" s="7"/>
    </row>
    <row r="664">
      <c r="A664" s="7">
        <f>IFERROR(__xludf.DUMMYFUNCTION("""COMPUTED_VALUE"""),15.0)</f>
        <v>15</v>
      </c>
      <c r="B664" s="7" t="str">
        <f>IFERROR(__xludf.DUMMYFUNCTION("""COMPUTED_VALUE"""),"DC5-PXSX2")</f>
        <v>DC5-PXSX2</v>
      </c>
      <c r="C664" s="7" t="str">
        <f>IFERROR(__xludf.DUMMYFUNCTION("""COMPUTED_VALUE"""),"Bộ phận Mài và Đóng hộp")</f>
        <v>Bộ phận Mài và Đóng hộp</v>
      </c>
      <c r="D664" s="7" t="str">
        <f>IFERROR(__xludf.DUMMYFUNCTION("""COMPUTED_VALUE"""),"Đóng hộp Ca B")</f>
        <v>Đóng hộp Ca B</v>
      </c>
      <c r="E664" s="7"/>
      <c r="F664" s="7" t="str">
        <f>IFERROR(__xludf.DUMMYFUNCTION("""COMPUTED_VALUE"""),"NV5748")</f>
        <v>NV5748</v>
      </c>
      <c r="G664" s="7">
        <f>IFERROR(__xludf.DUMMYFUNCTION("""COMPUTED_VALUE"""),1229.0)</f>
        <v>1229</v>
      </c>
      <c r="H664" s="7" t="str">
        <f>IFERROR(__xludf.DUMMYFUNCTION("""COMPUTED_VALUE"""),"Vương Công Lưu")</f>
        <v>Vương Công Lưu</v>
      </c>
      <c r="I664" s="7" t="str">
        <f>IFERROR(__xludf.DUMMYFUNCTION("""COMPUTED_VALUE"""),"Nam")</f>
        <v>Nam</v>
      </c>
      <c r="J664" s="17">
        <f>IFERROR(__xludf.DUMMYFUNCTION("""COMPUTED_VALUE"""),29856.0)</f>
        <v>29856</v>
      </c>
      <c r="K664" s="7" t="str">
        <f>IFERROR(__xludf.DUMMYFUNCTION("""COMPUTED_VALUE"""),"Thôn Hà Trung - Xã Lưu Vệ - Tỉnh Thanh Hóa")</f>
        <v>Thôn Hà Trung - Xã Lưu Vệ - Tỉnh Thanh Hóa</v>
      </c>
      <c r="L664" s="7" t="str">
        <f>IFERROR(__xludf.DUMMYFUNCTION("""COMPUTED_VALUE"""),"0704937596")</f>
        <v>0704937596</v>
      </c>
      <c r="M664" s="7" t="str">
        <f>IFERROR(__xludf.DUMMYFUNCTION("""COMPUTED_VALUE"""),"038081007143")</f>
        <v>038081007143</v>
      </c>
      <c r="N664" s="19">
        <f>IFERROR(__xludf.DUMMYFUNCTION("""COMPUTED_VALUE"""),44423.0)</f>
        <v>44423</v>
      </c>
      <c r="O664" s="7" t="str">
        <f>IFERROR(__xludf.DUMMYFUNCTION("""COMPUTED_VALUE"""),"Cục Cảnh sát QLHC về TTXH")</f>
        <v>Cục Cảnh sát QLHC về TTXH</v>
      </c>
      <c r="P664" s="7" t="str">
        <f>IFERROR(__xludf.DUMMYFUNCTION("""COMPUTED_VALUE"""),"LĐPT")</f>
        <v>LĐPT</v>
      </c>
      <c r="Q664" s="7" t="str">
        <f>IFERROR(__xludf.DUMMYFUNCTION("""COMPUTED_VALUE"""),"Lao động phổ thông")</f>
        <v>Lao động phổ thông</v>
      </c>
      <c r="R664" s="17">
        <f>IFERROR(__xludf.DUMMYFUNCTION("""COMPUTED_VALUE"""),45934.0)</f>
        <v>45934</v>
      </c>
      <c r="S664" s="17">
        <f>IFERROR(__xludf.DUMMYFUNCTION("""COMPUTED_VALUE"""),45965.0)</f>
        <v>45965</v>
      </c>
      <c r="T664" s="7" t="str">
        <f>IFERROR(__xludf.DUMMYFUNCTION("""COMPUTED_VALUE"""),"Chính thức")</f>
        <v>Chính thức</v>
      </c>
      <c r="U664" s="7"/>
      <c r="V664" s="7" t="str">
        <f>IFERROR(__xludf.DUMMYFUNCTION("""COMPUTED_VALUE"""),"Chính thức")</f>
        <v>Chính thức</v>
      </c>
      <c r="W664" s="7" t="str">
        <f>IFERROR(__xludf.DUMMYFUNCTION("""COMPUTED_VALUE"""),"0 năm 2 tháng")</f>
        <v>0 năm 2 tháng</v>
      </c>
      <c r="X664" s="7"/>
      <c r="Y664" s="7"/>
      <c r="Z664" s="7"/>
    </row>
    <row r="665">
      <c r="A665" s="7">
        <f>IFERROR(__xludf.DUMMYFUNCTION("""COMPUTED_VALUE"""),16.0)</f>
        <v>16</v>
      </c>
      <c r="B665" s="7" t="str">
        <f>IFERROR(__xludf.DUMMYFUNCTION("""COMPUTED_VALUE"""),"DC5-PXSX2")</f>
        <v>DC5-PXSX2</v>
      </c>
      <c r="C665" s="7" t="str">
        <f>IFERROR(__xludf.DUMMYFUNCTION("""COMPUTED_VALUE"""),"Bộ phận Mài và Đóng hộp")</f>
        <v>Bộ phận Mài và Đóng hộp</v>
      </c>
      <c r="D665" s="7" t="str">
        <f>IFERROR(__xludf.DUMMYFUNCTION("""COMPUTED_VALUE"""),"Đóng hộp Ca B")</f>
        <v>Đóng hộp Ca B</v>
      </c>
      <c r="E665" s="7"/>
      <c r="F665" s="7" t="str">
        <f>IFERROR(__xludf.DUMMYFUNCTION("""COMPUTED_VALUE"""),"NV5744")</f>
        <v>NV5744</v>
      </c>
      <c r="G665" s="7">
        <f>IFERROR(__xludf.DUMMYFUNCTION("""COMPUTED_VALUE"""),1225.0)</f>
        <v>1225</v>
      </c>
      <c r="H665" s="7" t="str">
        <f>IFERROR(__xludf.DUMMYFUNCTION("""COMPUTED_VALUE"""),"Hoàng Khắc Thương")</f>
        <v>Hoàng Khắc Thương</v>
      </c>
      <c r="I665" s="7" t="str">
        <f>IFERROR(__xludf.DUMMYFUNCTION("""COMPUTED_VALUE"""),"Nam")</f>
        <v>Nam</v>
      </c>
      <c r="J665" s="17">
        <f>IFERROR(__xludf.DUMMYFUNCTION("""COMPUTED_VALUE"""),32390.0)</f>
        <v>32390</v>
      </c>
      <c r="K665" s="7" t="str">
        <f>IFERROR(__xludf.DUMMYFUNCTION("""COMPUTED_VALUE"""),"Quang Trung 3 - Xã Thiệu Tiến - Tỉnh Thanh Hóa")</f>
        <v>Quang Trung 3 - Xã Thiệu Tiến - Tỉnh Thanh Hóa</v>
      </c>
      <c r="L665" s="7" t="str">
        <f>IFERROR(__xludf.DUMMYFUNCTION("""COMPUTED_VALUE"""),"0988715689")</f>
        <v>0988715689</v>
      </c>
      <c r="M665" s="7" t="str">
        <f>IFERROR(__xludf.DUMMYFUNCTION("""COMPUTED_VALUE"""),"038088037912")</f>
        <v>038088037912</v>
      </c>
      <c r="N665" s="19">
        <f>IFERROR(__xludf.DUMMYFUNCTION("""COMPUTED_VALUE"""),44418.0)</f>
        <v>44418</v>
      </c>
      <c r="O665" s="7" t="str">
        <f>IFERROR(__xludf.DUMMYFUNCTION("""COMPUTED_VALUE"""),"Cục Cảnh sát QLHC về TTXH")</f>
        <v>Cục Cảnh sát QLHC về TTXH</v>
      </c>
      <c r="P665" s="7" t="str">
        <f>IFERROR(__xludf.DUMMYFUNCTION("""COMPUTED_VALUE"""),"LĐPT")</f>
        <v>LĐPT</v>
      </c>
      <c r="Q665" s="7" t="str">
        <f>IFERROR(__xludf.DUMMYFUNCTION("""COMPUTED_VALUE"""),"Lao động phổ thông")</f>
        <v>Lao động phổ thông</v>
      </c>
      <c r="R665" s="17">
        <f>IFERROR(__xludf.DUMMYFUNCTION("""COMPUTED_VALUE"""),45934.0)</f>
        <v>45934</v>
      </c>
      <c r="S665" s="17">
        <f>IFERROR(__xludf.DUMMYFUNCTION("""COMPUTED_VALUE"""),45965.0)</f>
        <v>45965</v>
      </c>
      <c r="T665" s="7" t="str">
        <f>IFERROR(__xludf.DUMMYFUNCTION("""COMPUTED_VALUE"""),"Chính thức")</f>
        <v>Chính thức</v>
      </c>
      <c r="U665" s="7"/>
      <c r="V665" s="7" t="str">
        <f>IFERROR(__xludf.DUMMYFUNCTION("""COMPUTED_VALUE"""),"Chính thức")</f>
        <v>Chính thức</v>
      </c>
      <c r="W665" s="7" t="str">
        <f>IFERROR(__xludf.DUMMYFUNCTION("""COMPUTED_VALUE"""),"0 năm 2 tháng")</f>
        <v>0 năm 2 tháng</v>
      </c>
      <c r="X665" s="7"/>
      <c r="Y665" s="7"/>
      <c r="Z665" s="7"/>
    </row>
    <row r="666">
      <c r="A666" s="7">
        <f>IFERROR(__xludf.DUMMYFUNCTION("""COMPUTED_VALUE"""),17.0)</f>
        <v>17</v>
      </c>
      <c r="B666" s="7" t="str">
        <f>IFERROR(__xludf.DUMMYFUNCTION("""COMPUTED_VALUE"""),"DC5-PXSX2")</f>
        <v>DC5-PXSX2</v>
      </c>
      <c r="C666" s="7" t="str">
        <f>IFERROR(__xludf.DUMMYFUNCTION("""COMPUTED_VALUE"""),"Bộ phận Mài và Đóng hộp")</f>
        <v>Bộ phận Mài và Đóng hộp</v>
      </c>
      <c r="D666" s="7" t="str">
        <f>IFERROR(__xludf.DUMMYFUNCTION("""COMPUTED_VALUE"""),"Đóng hộp Ca B")</f>
        <v>Đóng hộp Ca B</v>
      </c>
      <c r="E666" s="7"/>
      <c r="F666" s="7" t="str">
        <f>IFERROR(__xludf.DUMMYFUNCTION("""COMPUTED_VALUE"""),"NV5761")</f>
        <v>NV5761</v>
      </c>
      <c r="G666" s="7">
        <f>IFERROR(__xludf.DUMMYFUNCTION("""COMPUTED_VALUE"""),1242.0)</f>
        <v>1242</v>
      </c>
      <c r="H666" s="7" t="str">
        <f>IFERROR(__xludf.DUMMYFUNCTION("""COMPUTED_VALUE"""),"Nguyễn Văn Xuân")</f>
        <v>Nguyễn Văn Xuân</v>
      </c>
      <c r="I666" s="7" t="str">
        <f>IFERROR(__xludf.DUMMYFUNCTION("""COMPUTED_VALUE"""),"Nam")</f>
        <v>Nam</v>
      </c>
      <c r="J666" s="17">
        <f>IFERROR(__xludf.DUMMYFUNCTION("""COMPUTED_VALUE"""),27569.0)</f>
        <v>27569</v>
      </c>
      <c r="K666" s="7" t="str">
        <f>IFERROR(__xludf.DUMMYFUNCTION("""COMPUTED_VALUE"""),"Thôn Ninh Phúc  -  Xã Quảng Ninh - Tỉnh Thanh Hóa")</f>
        <v>Thôn Ninh Phúc  -  Xã Quảng Ninh - Tỉnh Thanh Hóa</v>
      </c>
      <c r="L666" s="7" t="str">
        <f>IFERROR(__xludf.DUMMYFUNCTION("""COMPUTED_VALUE"""),"0909182189")</f>
        <v>0909182189</v>
      </c>
      <c r="M666" s="7" t="str">
        <f>IFERROR(__xludf.DUMMYFUNCTION("""COMPUTED_VALUE"""),"038075016716")</f>
        <v>038075016716</v>
      </c>
      <c r="N666" s="19">
        <f>IFERROR(__xludf.DUMMYFUNCTION("""COMPUTED_VALUE"""),44921.0)</f>
        <v>44921</v>
      </c>
      <c r="O666" s="7" t="str">
        <f>IFERROR(__xludf.DUMMYFUNCTION("""COMPUTED_VALUE"""),"Cục Cảnh sát QLHC về TTXH")</f>
        <v>Cục Cảnh sát QLHC về TTXH</v>
      </c>
      <c r="P666" s="7" t="str">
        <f>IFERROR(__xludf.DUMMYFUNCTION("""COMPUTED_VALUE"""),"Chứng chỉ nghề")</f>
        <v>Chứng chỉ nghề</v>
      </c>
      <c r="Q666" s="7" t="str">
        <f>IFERROR(__xludf.DUMMYFUNCTION("""COMPUTED_VALUE"""),"Chứng chỉ lái xe nâng")</f>
        <v>Chứng chỉ lái xe nâng</v>
      </c>
      <c r="R666" s="17">
        <f>IFERROR(__xludf.DUMMYFUNCTION("""COMPUTED_VALUE"""),45944.0)</f>
        <v>45944</v>
      </c>
      <c r="S666" s="17">
        <f>IFERROR(__xludf.DUMMYFUNCTION("""COMPUTED_VALUE"""),45975.0)</f>
        <v>45975</v>
      </c>
      <c r="T666" s="7" t="str">
        <f>IFERROR(__xludf.DUMMYFUNCTION("""COMPUTED_VALUE"""),"Chính thức")</f>
        <v>Chính thức</v>
      </c>
      <c r="U666" s="7"/>
      <c r="V666" s="7" t="str">
        <f>IFERROR(__xludf.DUMMYFUNCTION("""COMPUTED_VALUE"""),"Chính thức")</f>
        <v>Chính thức</v>
      </c>
      <c r="W666" s="7" t="str">
        <f>IFERROR(__xludf.DUMMYFUNCTION("""COMPUTED_VALUE"""),"0 năm 2 tháng")</f>
        <v>0 năm 2 tháng</v>
      </c>
      <c r="X666" s="7"/>
      <c r="Y666" s="7"/>
      <c r="Z666" s="7"/>
    </row>
    <row r="667">
      <c r="A667" s="7">
        <f>IFERROR(__xludf.DUMMYFUNCTION("""COMPUTED_VALUE"""),18.0)</f>
        <v>18</v>
      </c>
      <c r="B667" s="7" t="str">
        <f>IFERROR(__xludf.DUMMYFUNCTION("""COMPUTED_VALUE"""),"DC5-PXSX2")</f>
        <v>DC5-PXSX2</v>
      </c>
      <c r="C667" s="7" t="str">
        <f>IFERROR(__xludf.DUMMYFUNCTION("""COMPUTED_VALUE"""),"Bộ phận Mài và Đóng hộp")</f>
        <v>Bộ phận Mài và Đóng hộp</v>
      </c>
      <c r="D667" s="7" t="str">
        <f>IFERROR(__xludf.DUMMYFUNCTION("""COMPUTED_VALUE"""),"Đóng hộp Ca B")</f>
        <v>Đóng hộp Ca B</v>
      </c>
      <c r="E667" s="7"/>
      <c r="F667" s="7" t="str">
        <f>IFERROR(__xludf.DUMMYFUNCTION("""COMPUTED_VALUE"""),"NV5780")</f>
        <v>NV5780</v>
      </c>
      <c r="G667" s="7">
        <f>IFERROR(__xludf.DUMMYFUNCTION("""COMPUTED_VALUE"""),1261.0)</f>
        <v>1261</v>
      </c>
      <c r="H667" s="7" t="str">
        <f>IFERROR(__xludf.DUMMYFUNCTION("""COMPUTED_VALUE"""),"Nguyễn Văn Triệu")</f>
        <v>Nguyễn Văn Triệu</v>
      </c>
      <c r="I667" s="7" t="str">
        <f>IFERROR(__xludf.DUMMYFUNCTION("""COMPUTED_VALUE"""),"Nam")</f>
        <v>Nam</v>
      </c>
      <c r="J667" s="17">
        <f>IFERROR(__xludf.DUMMYFUNCTION("""COMPUTED_VALUE"""),38033.0)</f>
        <v>38033</v>
      </c>
      <c r="K667" s="7" t="str">
        <f>IFERROR(__xludf.DUMMYFUNCTION("""COMPUTED_VALUE"""),"Trường Thịnh -Phường Nam Sầm Sơn - Tỉnh Thanh Hóa")</f>
        <v>Trường Thịnh -Phường Nam Sầm Sơn - Tỉnh Thanh Hóa</v>
      </c>
      <c r="L667" s="7" t="str">
        <f>IFERROR(__xludf.DUMMYFUNCTION("""COMPUTED_VALUE"""),"0775555362")</f>
        <v>0775555362</v>
      </c>
      <c r="M667" s="7" t="str">
        <f>IFERROR(__xludf.DUMMYFUNCTION("""COMPUTED_VALUE"""),"093204009394")</f>
        <v>093204009394</v>
      </c>
      <c r="N667" s="19">
        <f>IFERROR(__xludf.DUMMYFUNCTION("""COMPUTED_VALUE"""),45734.0)</f>
        <v>45734</v>
      </c>
      <c r="O667" s="7" t="str">
        <f>IFERROR(__xludf.DUMMYFUNCTION("""COMPUTED_VALUE"""),"Bộ công an")</f>
        <v>Bộ công an</v>
      </c>
      <c r="P667" s="7" t="str">
        <f>IFERROR(__xludf.DUMMYFUNCTION("""COMPUTED_VALUE"""),"LĐPT")</f>
        <v>LĐPT</v>
      </c>
      <c r="Q667" s="7" t="str">
        <f>IFERROR(__xludf.DUMMYFUNCTION("""COMPUTED_VALUE"""),"Lao động phổ thông")</f>
        <v>Lao động phổ thông</v>
      </c>
      <c r="R667" s="17">
        <f>IFERROR(__xludf.DUMMYFUNCTION("""COMPUTED_VALUE"""),45960.0)</f>
        <v>45960</v>
      </c>
      <c r="S667" s="17">
        <f>IFERROR(__xludf.DUMMYFUNCTION("""COMPUTED_VALUE"""),45991.0)</f>
        <v>45991</v>
      </c>
      <c r="T667" s="7" t="str">
        <f>IFERROR(__xludf.DUMMYFUNCTION("""COMPUTED_VALUE"""),"Thử việc")</f>
        <v>Thử việc</v>
      </c>
      <c r="U667" s="7"/>
      <c r="V667" s="7" t="str">
        <f>IFERROR(__xludf.DUMMYFUNCTION("""COMPUTED_VALUE"""),"Thử việc")</f>
        <v>Thử việc</v>
      </c>
      <c r="W667" s="7" t="str">
        <f>IFERROR(__xludf.DUMMYFUNCTION("""COMPUTED_VALUE"""),"0 năm 2 tháng")</f>
        <v>0 năm 2 tháng</v>
      </c>
      <c r="X667" s="7"/>
      <c r="Y667" s="7"/>
      <c r="Z667" s="7"/>
    </row>
    <row r="668">
      <c r="A668" s="7">
        <f>IFERROR(__xludf.DUMMYFUNCTION("""COMPUTED_VALUE"""),19.0)</f>
        <v>19</v>
      </c>
      <c r="B668" s="7" t="str">
        <f>IFERROR(__xludf.DUMMYFUNCTION("""COMPUTED_VALUE"""),"DC5-PXSX2")</f>
        <v>DC5-PXSX2</v>
      </c>
      <c r="C668" s="7" t="str">
        <f>IFERROR(__xludf.DUMMYFUNCTION("""COMPUTED_VALUE"""),"Bộ phận Mài và Đóng hộp")</f>
        <v>Bộ phận Mài và Đóng hộp</v>
      </c>
      <c r="D668" s="7" t="str">
        <f>IFERROR(__xludf.DUMMYFUNCTION("""COMPUTED_VALUE"""),"Đóng hộp Ca B")</f>
        <v>Đóng hộp Ca B</v>
      </c>
      <c r="E668" s="7" t="str">
        <f>IFERROR(__xludf.DUMMYFUNCTION("""COMPUTED_VALUE"""),"Nhân viên Lái xe nâng")</f>
        <v>Nhân viên Lái xe nâng</v>
      </c>
      <c r="F668" s="7" t="str">
        <f>IFERROR(__xludf.DUMMYFUNCTION("""COMPUTED_VALUE"""),"NV5798")</f>
        <v>NV5798</v>
      </c>
      <c r="G668" s="7">
        <f>IFERROR(__xludf.DUMMYFUNCTION("""COMPUTED_VALUE"""),1280.0)</f>
        <v>1280</v>
      </c>
      <c r="H668" s="7" t="str">
        <f>IFERROR(__xludf.DUMMYFUNCTION("""COMPUTED_VALUE"""),"Trịnh Cử Long")</f>
        <v>Trịnh Cử Long</v>
      </c>
      <c r="I668" s="7" t="str">
        <f>IFERROR(__xludf.DUMMYFUNCTION("""COMPUTED_VALUE"""),"Nam")</f>
        <v>Nam</v>
      </c>
      <c r="J668" s="17">
        <f>IFERROR(__xludf.DUMMYFUNCTION("""COMPUTED_VALUE"""),34712.0)</f>
        <v>34712</v>
      </c>
      <c r="K668" s="7" t="str">
        <f>IFERROR(__xludf.DUMMYFUNCTION("""COMPUTED_VALUE"""),"Thôn Long Tiến - Xã Yên Trường - Tỉnh Thanh Hóa")</f>
        <v>Thôn Long Tiến - Xã Yên Trường - Tỉnh Thanh Hóa</v>
      </c>
      <c r="L668" s="7" t="str">
        <f>IFERROR(__xludf.DUMMYFUNCTION("""COMPUTED_VALUE"""),"0987471772")</f>
        <v>0987471772</v>
      </c>
      <c r="M668" s="7" t="str">
        <f>IFERROR(__xludf.DUMMYFUNCTION("""COMPUTED_VALUE"""),"038095009750")</f>
        <v>038095009750</v>
      </c>
      <c r="N668" s="19">
        <f>IFERROR(__xludf.DUMMYFUNCTION("""COMPUTED_VALUE"""),44852.0)</f>
        <v>44852</v>
      </c>
      <c r="O668" s="7" t="str">
        <f>IFERROR(__xludf.DUMMYFUNCTION("""COMPUTED_VALUE"""),"Cục Cảnh sát QLHC về TTXH")</f>
        <v>Cục Cảnh sát QLHC về TTXH</v>
      </c>
      <c r="P668" s="7" t="str">
        <f>IFERROR(__xludf.DUMMYFUNCTION("""COMPUTED_VALUE"""),"Bằng nghề")</f>
        <v>Bằng nghề</v>
      </c>
      <c r="Q668" s="7" t="str">
        <f>IFERROR(__xludf.DUMMYFUNCTION("""COMPUTED_VALUE"""),"Chứng chỉ lái xe nâng")</f>
        <v>Chứng chỉ lái xe nâng</v>
      </c>
      <c r="R668" s="17">
        <f>IFERROR(__xludf.DUMMYFUNCTION("""COMPUTED_VALUE"""),45971.0)</f>
        <v>45971</v>
      </c>
      <c r="S668" s="17">
        <f>IFERROR(__xludf.DUMMYFUNCTION("""COMPUTED_VALUE"""),46001.0)</f>
        <v>46001</v>
      </c>
      <c r="T668" s="7" t="str">
        <f>IFERROR(__xludf.DUMMYFUNCTION("""COMPUTED_VALUE"""),"Thử việc")</f>
        <v>Thử việc</v>
      </c>
      <c r="U668" s="7"/>
      <c r="V668" s="7" t="str">
        <f>IFERROR(__xludf.DUMMYFUNCTION("""COMPUTED_VALUE"""),"Thử việc")</f>
        <v>Thử việc</v>
      </c>
      <c r="W668" s="7" t="str">
        <f>IFERROR(__xludf.DUMMYFUNCTION("""COMPUTED_VALUE"""),"0 năm 1 tháng")</f>
        <v>0 năm 1 tháng</v>
      </c>
      <c r="X668" s="7"/>
      <c r="Y668" s="7"/>
      <c r="Z668" s="7"/>
    </row>
    <row r="669">
      <c r="A669" s="7">
        <f>IFERROR(__xludf.DUMMYFUNCTION("""COMPUTED_VALUE"""),20.0)</f>
        <v>20</v>
      </c>
      <c r="B669" s="7" t="str">
        <f>IFERROR(__xludf.DUMMYFUNCTION("""COMPUTED_VALUE"""),"DC5-PXSX2")</f>
        <v>DC5-PXSX2</v>
      </c>
      <c r="C669" s="7" t="str">
        <f>IFERROR(__xludf.DUMMYFUNCTION("""COMPUTED_VALUE"""),"Bộ phận Mài và Đóng hộp")</f>
        <v>Bộ phận Mài và Đóng hộp</v>
      </c>
      <c r="D669" s="7" t="str">
        <f>IFERROR(__xludf.DUMMYFUNCTION("""COMPUTED_VALUE"""),"Đóng hộp Ca B")</f>
        <v>Đóng hộp Ca B</v>
      </c>
      <c r="E669" s="7" t="str">
        <f>IFERROR(__xludf.DUMMYFUNCTION("""COMPUTED_VALUE"""),"Nhân viên Lái xe nâng")</f>
        <v>Nhân viên Lái xe nâng</v>
      </c>
      <c r="F669" s="7" t="str">
        <f>IFERROR(__xludf.DUMMYFUNCTION("""COMPUTED_VALUE"""),"NV5812")</f>
        <v>NV5812</v>
      </c>
      <c r="G669" s="7">
        <f>IFERROR(__xludf.DUMMYFUNCTION("""COMPUTED_VALUE"""),1294.0)</f>
        <v>1294</v>
      </c>
      <c r="H669" s="7" t="str">
        <f>IFERROR(__xludf.DUMMYFUNCTION("""COMPUTED_VALUE"""),"Nguyễn Quang Thịnh")</f>
        <v>Nguyễn Quang Thịnh</v>
      </c>
      <c r="I669" s="7" t="str">
        <f>IFERROR(__xludf.DUMMYFUNCTION("""COMPUTED_VALUE"""),"Nam")</f>
        <v>Nam</v>
      </c>
      <c r="J669" s="17">
        <f>IFERROR(__xludf.DUMMYFUNCTION("""COMPUTED_VALUE"""),38991.0)</f>
        <v>38991</v>
      </c>
      <c r="K669" s="7" t="str">
        <f>IFERROR(__xludf.DUMMYFUNCTION("""COMPUTED_VALUE"""),"Thôn Hiền Tây - Xã Quảng Bình - Tỉnh Thanh Hóa")</f>
        <v>Thôn Hiền Tây - Xã Quảng Bình - Tỉnh Thanh Hóa</v>
      </c>
      <c r="L669" s="7" t="str">
        <f>IFERROR(__xludf.DUMMYFUNCTION("""COMPUTED_VALUE"""),"0944649163")</f>
        <v>0944649163</v>
      </c>
      <c r="M669" s="7" t="str">
        <f>IFERROR(__xludf.DUMMYFUNCTION("""COMPUTED_VALUE"""),"03820629836")</f>
        <v>03820629836</v>
      </c>
      <c r="N669" s="19">
        <f>IFERROR(__xludf.DUMMYFUNCTION("""COMPUTED_VALUE"""),45562.0)</f>
        <v>45562</v>
      </c>
      <c r="O669" s="7" t="str">
        <f>IFERROR(__xludf.DUMMYFUNCTION("""COMPUTED_VALUE"""),"Cục Cảnh sát QLHC về TTXH")</f>
        <v>Cục Cảnh sát QLHC về TTXH</v>
      </c>
      <c r="P669" s="7" t="str">
        <f>IFERROR(__xludf.DUMMYFUNCTION("""COMPUTED_VALUE"""),"Bằng nghề")</f>
        <v>Bằng nghề</v>
      </c>
      <c r="Q669" s="7" t="str">
        <f>IFERROR(__xludf.DUMMYFUNCTION("""COMPUTED_VALUE"""),"Lao động phổ thông")</f>
        <v>Lao động phổ thông</v>
      </c>
      <c r="R669" s="17">
        <f>IFERROR(__xludf.DUMMYFUNCTION("""COMPUTED_VALUE"""),45979.0)</f>
        <v>45979</v>
      </c>
      <c r="S669" s="17">
        <f>IFERROR(__xludf.DUMMYFUNCTION("""COMPUTED_VALUE"""),46009.0)</f>
        <v>46009</v>
      </c>
      <c r="T669" s="7" t="str">
        <f>IFERROR(__xludf.DUMMYFUNCTION("""COMPUTED_VALUE"""),"Thử việc")</f>
        <v>Thử việc</v>
      </c>
      <c r="U669" s="7"/>
      <c r="V669" s="7" t="str">
        <f>IFERROR(__xludf.DUMMYFUNCTION("""COMPUTED_VALUE"""),"Thử việc")</f>
        <v>Thử việc</v>
      </c>
      <c r="W669" s="7" t="str">
        <f>IFERROR(__xludf.DUMMYFUNCTION("""COMPUTED_VALUE"""),"0 năm 1 tháng")</f>
        <v>0 năm 1 tháng</v>
      </c>
      <c r="X669" s="7"/>
      <c r="Y669" s="7"/>
      <c r="Z669" s="7"/>
    </row>
    <row r="670">
      <c r="A670" s="7">
        <f>IFERROR(__xludf.DUMMYFUNCTION("""COMPUTED_VALUE"""),1.0)</f>
        <v>1</v>
      </c>
      <c r="B670" s="7" t="str">
        <f>IFERROR(__xludf.DUMMYFUNCTION("""COMPUTED_VALUE"""),"DC5-PXSX2")</f>
        <v>DC5-PXSX2</v>
      </c>
      <c r="C670" s="7" t="str">
        <f>IFERROR(__xludf.DUMMYFUNCTION("""COMPUTED_VALUE"""),"Bộ phận Nguyên liệu và Dây chuyền gia công")</f>
        <v>Bộ phận Nguyên liệu và Dây chuyền gia công</v>
      </c>
      <c r="D670" s="7" t="str">
        <f>IFERROR(__xludf.DUMMYFUNCTION("""COMPUTED_VALUE"""),"Nghiền - Sấy phun Ca A - DC5")</f>
        <v>Nghiền - Sấy phun Ca A - DC5</v>
      </c>
      <c r="E670" s="7"/>
      <c r="F670" s="7" t="str">
        <f>IFERROR(__xludf.DUMMYFUNCTION("""COMPUTED_VALUE"""),"NV5297")</f>
        <v>NV5297</v>
      </c>
      <c r="G670" s="7">
        <f>IFERROR(__xludf.DUMMYFUNCTION("""COMPUTED_VALUE"""),444.0)</f>
        <v>444</v>
      </c>
      <c r="H670" s="7" t="str">
        <f>IFERROR(__xludf.DUMMYFUNCTION("""COMPUTED_VALUE"""),"Lê Đình Bắc")</f>
        <v>Lê Đình Bắc</v>
      </c>
      <c r="I670" s="7" t="str">
        <f>IFERROR(__xludf.DUMMYFUNCTION("""COMPUTED_VALUE"""),"Nam")</f>
        <v>Nam</v>
      </c>
      <c r="J670" s="17">
        <f>IFERROR(__xludf.DUMMYFUNCTION("""COMPUTED_VALUE"""),30732.0)</f>
        <v>30732</v>
      </c>
      <c r="K670" s="7" t="str">
        <f>IFERROR(__xludf.DUMMYFUNCTION("""COMPUTED_VALUE"""),"Quảng Lưu -  Quảng Xương -  TH")</f>
        <v>Quảng Lưu -  Quảng Xương -  TH</v>
      </c>
      <c r="L670" s="7" t="str">
        <f>IFERROR(__xludf.DUMMYFUNCTION("""COMPUTED_VALUE"""),"0984720111")</f>
        <v>0984720111</v>
      </c>
      <c r="M670" s="7" t="str">
        <f>IFERROR(__xludf.DUMMYFUNCTION("""COMPUTED_VALUE"""),"038084033676")</f>
        <v>038084033676</v>
      </c>
      <c r="N670" s="19">
        <f>IFERROR(__xludf.DUMMYFUNCTION("""COMPUTED_VALUE"""),45456.0)</f>
        <v>45456</v>
      </c>
      <c r="O670" s="7" t="str">
        <f>IFERROR(__xludf.DUMMYFUNCTION("""COMPUTED_VALUE"""),"Cục Cảnh sát QLHC về TTXH")</f>
        <v>Cục Cảnh sát QLHC về TTXH</v>
      </c>
      <c r="P670" s="7" t="str">
        <f>IFERROR(__xludf.DUMMYFUNCTION("""COMPUTED_VALUE"""),"LĐPT")</f>
        <v>LĐPT</v>
      </c>
      <c r="Q670" s="7" t="str">
        <f>IFERROR(__xludf.DUMMYFUNCTION("""COMPUTED_VALUE"""),"Lao động phổ thông")</f>
        <v>Lao động phổ thông</v>
      </c>
      <c r="R670" s="17">
        <f>IFERROR(__xludf.DUMMYFUNCTION("""COMPUTED_VALUE"""),45467.0)</f>
        <v>45467</v>
      </c>
      <c r="S670" s="17">
        <f>IFERROR(__xludf.DUMMYFUNCTION("""COMPUTED_VALUE"""),45536.0)</f>
        <v>45536</v>
      </c>
      <c r="T670" s="7" t="str">
        <f>IFERROR(__xludf.DUMMYFUNCTION("""COMPUTED_VALUE"""),"Chính thức")</f>
        <v>Chính thức</v>
      </c>
      <c r="U670" s="7"/>
      <c r="V670" s="7" t="str">
        <f>IFERROR(__xludf.DUMMYFUNCTION("""COMPUTED_VALUE"""),"Chính thức")</f>
        <v>Chính thức</v>
      </c>
      <c r="W670" s="7" t="str">
        <f>IFERROR(__xludf.DUMMYFUNCTION("""COMPUTED_VALUE"""),"1 năm 6 tháng")</f>
        <v>1 năm 6 tháng</v>
      </c>
      <c r="X670" s="7"/>
      <c r="Y670" s="7"/>
      <c r="Z670" s="7"/>
    </row>
    <row r="671">
      <c r="A671" s="7">
        <f>IFERROR(__xludf.DUMMYFUNCTION("""COMPUTED_VALUE"""),2.0)</f>
        <v>2</v>
      </c>
      <c r="B671" s="7" t="str">
        <f>IFERROR(__xludf.DUMMYFUNCTION("""COMPUTED_VALUE"""),"DC5-PXSX2")</f>
        <v>DC5-PXSX2</v>
      </c>
      <c r="C671" s="7" t="str">
        <f>IFERROR(__xludf.DUMMYFUNCTION("""COMPUTED_VALUE"""),"Bộ phận Nguyên liệu và Dây chuyền gia công")</f>
        <v>Bộ phận Nguyên liệu và Dây chuyền gia công</v>
      </c>
      <c r="D671" s="7" t="str">
        <f>IFERROR(__xludf.DUMMYFUNCTION("""COMPUTED_VALUE"""),"Nghiền - Sấy phun Ca A - DC5")</f>
        <v>Nghiền - Sấy phun Ca A - DC5</v>
      </c>
      <c r="E671" s="7"/>
      <c r="F671" s="7" t="str">
        <f>IFERROR(__xludf.DUMMYFUNCTION("""COMPUTED_VALUE"""),"NV5107")</f>
        <v>NV5107</v>
      </c>
      <c r="G671" s="7">
        <f>IFERROR(__xludf.DUMMYFUNCTION("""COMPUTED_VALUE"""),453.0)</f>
        <v>453</v>
      </c>
      <c r="H671" s="7" t="str">
        <f>IFERROR(__xludf.DUMMYFUNCTION("""COMPUTED_VALUE"""),"Lê Đình Tâm")</f>
        <v>Lê Đình Tâm</v>
      </c>
      <c r="I671" s="7" t="str">
        <f>IFERROR(__xludf.DUMMYFUNCTION("""COMPUTED_VALUE"""),"Nam")</f>
        <v>Nam</v>
      </c>
      <c r="J671" s="17">
        <f>IFERROR(__xludf.DUMMYFUNCTION("""COMPUTED_VALUE"""),29603.0)</f>
        <v>29603</v>
      </c>
      <c r="K671" s="7" t="str">
        <f>IFERROR(__xludf.DUMMYFUNCTION("""COMPUTED_VALUE"""),"Quảng Lưu -  Quảng Xương -  Thanh Hóa")</f>
        <v>Quảng Lưu -  Quảng Xương -  Thanh Hóa</v>
      </c>
      <c r="L671" s="7" t="str">
        <f>IFERROR(__xludf.DUMMYFUNCTION("""COMPUTED_VALUE"""),"0977796405")</f>
        <v>0977796405</v>
      </c>
      <c r="M671" s="7" t="str">
        <f>IFERROR(__xludf.DUMMYFUNCTION("""COMPUTED_VALUE"""),"038081012076")</f>
        <v>038081012076</v>
      </c>
      <c r="N671" s="19">
        <f>IFERROR(__xludf.DUMMYFUNCTION("""COMPUTED_VALUE"""),45436.0)</f>
        <v>45436</v>
      </c>
      <c r="O671" s="7" t="str">
        <f>IFERROR(__xludf.DUMMYFUNCTION("""COMPUTED_VALUE"""),"Cục Cảnh sát QLHC về TTXH")</f>
        <v>Cục Cảnh sát QLHC về TTXH</v>
      </c>
      <c r="P671" s="7" t="str">
        <f>IFERROR(__xludf.DUMMYFUNCTION("""COMPUTED_VALUE"""),"LĐPT")</f>
        <v>LĐPT</v>
      </c>
      <c r="Q671" s="7" t="str">
        <f>IFERROR(__xludf.DUMMYFUNCTION("""COMPUTED_VALUE"""),"Lao động phổ thông")</f>
        <v>Lao động phổ thông</v>
      </c>
      <c r="R671" s="17">
        <f>IFERROR(__xludf.DUMMYFUNCTION("""COMPUTED_VALUE"""),45384.0)</f>
        <v>45384</v>
      </c>
      <c r="S671" s="17">
        <f>IFERROR(__xludf.DUMMYFUNCTION("""COMPUTED_VALUE"""),45505.0)</f>
        <v>45505</v>
      </c>
      <c r="T671" s="7" t="str">
        <f>IFERROR(__xludf.DUMMYFUNCTION("""COMPUTED_VALUE"""),"Chính thức")</f>
        <v>Chính thức</v>
      </c>
      <c r="U671" s="7"/>
      <c r="V671" s="7" t="str">
        <f>IFERROR(__xludf.DUMMYFUNCTION("""COMPUTED_VALUE"""),"Chính thức")</f>
        <v>Chính thức</v>
      </c>
      <c r="W671" s="7" t="str">
        <f>IFERROR(__xludf.DUMMYFUNCTION("""COMPUTED_VALUE"""),"1 năm 8 tháng")</f>
        <v>1 năm 8 tháng</v>
      </c>
      <c r="X671" s="7"/>
      <c r="Y671" s="7"/>
      <c r="Z671" s="7"/>
    </row>
    <row r="672">
      <c r="A672" s="7">
        <f>IFERROR(__xludf.DUMMYFUNCTION("""COMPUTED_VALUE"""),3.0)</f>
        <v>3</v>
      </c>
      <c r="B672" s="7" t="str">
        <f>IFERROR(__xludf.DUMMYFUNCTION("""COMPUTED_VALUE"""),"DC5-PXSX2")</f>
        <v>DC5-PXSX2</v>
      </c>
      <c r="C672" s="7" t="str">
        <f>IFERROR(__xludf.DUMMYFUNCTION("""COMPUTED_VALUE"""),"Bộ phận Nguyên liệu và Dây chuyền gia công")</f>
        <v>Bộ phận Nguyên liệu và Dây chuyền gia công</v>
      </c>
      <c r="D672" s="7" t="str">
        <f>IFERROR(__xludf.DUMMYFUNCTION("""COMPUTED_VALUE"""),"Nghiền - Sấy phun Ca A - DC5")</f>
        <v>Nghiền - Sấy phun Ca A - DC5</v>
      </c>
      <c r="E672" s="7" t="str">
        <f>IFERROR(__xludf.DUMMYFUNCTION("""COMPUTED_VALUE"""),"Tổ phó")</f>
        <v>Tổ phó</v>
      </c>
      <c r="F672" s="7" t="str">
        <f>IFERROR(__xludf.DUMMYFUNCTION("""COMPUTED_VALUE"""),"NV1692")</f>
        <v>NV1692</v>
      </c>
      <c r="G672" s="7">
        <f>IFERROR(__xludf.DUMMYFUNCTION("""COMPUTED_VALUE"""),358.0)</f>
        <v>358</v>
      </c>
      <c r="H672" s="7" t="str">
        <f>IFERROR(__xludf.DUMMYFUNCTION("""COMPUTED_VALUE"""),"Lê Duy Việt")</f>
        <v>Lê Duy Việt</v>
      </c>
      <c r="I672" s="7" t="str">
        <f>IFERROR(__xludf.DUMMYFUNCTION("""COMPUTED_VALUE"""),"Nam")</f>
        <v>Nam</v>
      </c>
      <c r="J672" s="17">
        <f>IFERROR(__xludf.DUMMYFUNCTION("""COMPUTED_VALUE"""),31327.0)</f>
        <v>31327</v>
      </c>
      <c r="K672" s="7" t="str">
        <f>IFERROR(__xludf.DUMMYFUNCTION("""COMPUTED_VALUE"""),"Đông Quang - Đông Sơn - Thanh Hóa")</f>
        <v>Đông Quang - Đông Sơn - Thanh Hóa</v>
      </c>
      <c r="L672" s="7" t="str">
        <f>IFERROR(__xludf.DUMMYFUNCTION("""COMPUTED_VALUE"""),"0849171808")</f>
        <v>0849171808</v>
      </c>
      <c r="M672" s="7" t="str">
        <f>IFERROR(__xludf.DUMMYFUNCTION("""COMPUTED_VALUE"""),"038085014645")</f>
        <v>038085014645</v>
      </c>
      <c r="N672" s="19">
        <f>IFERROR(__xludf.DUMMYFUNCTION("""COMPUTED_VALUE"""),44471.0)</f>
        <v>44471</v>
      </c>
      <c r="O672" s="7" t="str">
        <f>IFERROR(__xludf.DUMMYFUNCTION("""COMPUTED_VALUE"""),"Cục Cảnh sát QLHC về TTXH")</f>
        <v>Cục Cảnh sát QLHC về TTXH</v>
      </c>
      <c r="P672" s="7" t="str">
        <f>IFERROR(__xludf.DUMMYFUNCTION("""COMPUTED_VALUE"""),"LĐPT")</f>
        <v>LĐPT</v>
      </c>
      <c r="Q672" s="7" t="str">
        <f>IFERROR(__xludf.DUMMYFUNCTION("""COMPUTED_VALUE"""),"Lao động phổ thông")</f>
        <v>Lao động phổ thông</v>
      </c>
      <c r="R672" s="17">
        <f>IFERROR(__xludf.DUMMYFUNCTION("""COMPUTED_VALUE"""),43340.0)</f>
        <v>43340</v>
      </c>
      <c r="S672" s="17">
        <f>IFERROR(__xludf.DUMMYFUNCTION("""COMPUTED_VALUE"""),43678.0)</f>
        <v>43678</v>
      </c>
      <c r="T672" s="7" t="str">
        <f>IFERROR(__xludf.DUMMYFUNCTION("""COMPUTED_VALUE"""),"Chính thức")</f>
        <v>Chính thức</v>
      </c>
      <c r="U672" s="7"/>
      <c r="V672" s="7" t="str">
        <f>IFERROR(__xludf.DUMMYFUNCTION("""COMPUTED_VALUE"""),"Chính thức")</f>
        <v>Chính thức</v>
      </c>
      <c r="W672" s="7" t="str">
        <f>IFERROR(__xludf.DUMMYFUNCTION("""COMPUTED_VALUE"""),"7 năm 4 tháng")</f>
        <v>7 năm 4 tháng</v>
      </c>
      <c r="X672" s="7"/>
      <c r="Y672" s="7"/>
      <c r="Z672" s="7"/>
    </row>
    <row r="673">
      <c r="A673" s="7">
        <f>IFERROR(__xludf.DUMMYFUNCTION("""COMPUTED_VALUE"""),4.0)</f>
        <v>4</v>
      </c>
      <c r="B673" s="7" t="str">
        <f>IFERROR(__xludf.DUMMYFUNCTION("""COMPUTED_VALUE"""),"DC5-PXSX2")</f>
        <v>DC5-PXSX2</v>
      </c>
      <c r="C673" s="7" t="str">
        <f>IFERROR(__xludf.DUMMYFUNCTION("""COMPUTED_VALUE"""),"Bộ phận Nguyên liệu và Dây chuyền gia công")</f>
        <v>Bộ phận Nguyên liệu và Dây chuyền gia công</v>
      </c>
      <c r="D673" s="7" t="str">
        <f>IFERROR(__xludf.DUMMYFUNCTION("""COMPUTED_VALUE"""),"Nghiền - Sấy phun Ca A - DC5")</f>
        <v>Nghiền - Sấy phun Ca A - DC5</v>
      </c>
      <c r="E673" s="7" t="str">
        <f>IFERROR(__xludf.DUMMYFUNCTION("""COMPUTED_VALUE"""),"VH sấy phun")</f>
        <v>VH sấy phun</v>
      </c>
      <c r="F673" s="7" t="str">
        <f>IFERROR(__xludf.DUMMYFUNCTION("""COMPUTED_VALUE"""),"NV0531")</f>
        <v>NV0531</v>
      </c>
      <c r="G673" s="7">
        <f>IFERROR(__xludf.DUMMYFUNCTION("""COMPUTED_VALUE"""),360.0)</f>
        <v>360</v>
      </c>
      <c r="H673" s="7" t="str">
        <f>IFERROR(__xludf.DUMMYFUNCTION("""COMPUTED_VALUE"""),"Hà Minh Ngọc")</f>
        <v>Hà Minh Ngọc</v>
      </c>
      <c r="I673" s="7" t="str">
        <f>IFERROR(__xludf.DUMMYFUNCTION("""COMPUTED_VALUE"""),"Nam")</f>
        <v>Nam</v>
      </c>
      <c r="J673" s="17">
        <f>IFERROR(__xludf.DUMMYFUNCTION("""COMPUTED_VALUE"""),27251.0)</f>
        <v>27251</v>
      </c>
      <c r="K673" s="7" t="str">
        <f>IFERROR(__xludf.DUMMYFUNCTION("""COMPUTED_VALUE"""),"Quản Xá 2- Phường Đông Vệ - Thành phố Thanh Hóa")</f>
        <v>Quản Xá 2- Phường Đông Vệ - Thành phố Thanh Hóa</v>
      </c>
      <c r="L673" s="7" t="str">
        <f>IFERROR(__xludf.DUMMYFUNCTION("""COMPUTED_VALUE"""),"0384541848")</f>
        <v>0384541848</v>
      </c>
      <c r="M673" s="7" t="str">
        <f>IFERROR(__xludf.DUMMYFUNCTION("""COMPUTED_VALUE"""),"038074001278")</f>
        <v>038074001278</v>
      </c>
      <c r="N673" s="19">
        <f>IFERROR(__xludf.DUMMYFUNCTION("""COMPUTED_VALUE"""),44419.0)</f>
        <v>44419</v>
      </c>
      <c r="O673" s="7" t="str">
        <f>IFERROR(__xludf.DUMMYFUNCTION("""COMPUTED_VALUE"""),"Cục Cảnh sát QLHC về TTXH")</f>
        <v>Cục Cảnh sát QLHC về TTXH</v>
      </c>
      <c r="P673" s="7" t="str">
        <f>IFERROR(__xludf.DUMMYFUNCTION("""COMPUTED_VALUE"""),"LĐPT")</f>
        <v>LĐPT</v>
      </c>
      <c r="Q673" s="7" t="str">
        <f>IFERROR(__xludf.DUMMYFUNCTION("""COMPUTED_VALUE"""),"Lao động phổ thông")</f>
        <v>Lao động phổ thông</v>
      </c>
      <c r="R673" s="17">
        <f>IFERROR(__xludf.DUMMYFUNCTION("""COMPUTED_VALUE"""),40389.0)</f>
        <v>40389</v>
      </c>
      <c r="S673" s="17">
        <f>IFERROR(__xludf.DUMMYFUNCTION("""COMPUTED_VALUE"""),40389.0)</f>
        <v>40389</v>
      </c>
      <c r="T673" s="7" t="str">
        <f>IFERROR(__xludf.DUMMYFUNCTION("""COMPUTED_VALUE"""),"Chính thức")</f>
        <v>Chính thức</v>
      </c>
      <c r="U673" s="7"/>
      <c r="V673" s="7" t="str">
        <f>IFERROR(__xludf.DUMMYFUNCTION("""COMPUTED_VALUE"""),"Chính thức")</f>
        <v>Chính thức</v>
      </c>
      <c r="W673" s="7" t="str">
        <f>IFERROR(__xludf.DUMMYFUNCTION("""COMPUTED_VALUE"""),"15 năm 5 tháng")</f>
        <v>15 năm 5 tháng</v>
      </c>
      <c r="X673" s="7"/>
      <c r="Y673" s="7"/>
      <c r="Z673" s="7"/>
    </row>
    <row r="674">
      <c r="A674" s="7">
        <f>IFERROR(__xludf.DUMMYFUNCTION("""COMPUTED_VALUE"""),5.0)</f>
        <v>5</v>
      </c>
      <c r="B674" s="7" t="str">
        <f>IFERROR(__xludf.DUMMYFUNCTION("""COMPUTED_VALUE"""),"DC5-PXSX2")</f>
        <v>DC5-PXSX2</v>
      </c>
      <c r="C674" s="7" t="str">
        <f>IFERROR(__xludf.DUMMYFUNCTION("""COMPUTED_VALUE"""),"Bộ phận Nguyên liệu và Dây chuyền gia công")</f>
        <v>Bộ phận Nguyên liệu và Dây chuyền gia công</v>
      </c>
      <c r="D674" s="7" t="str">
        <f>IFERROR(__xludf.DUMMYFUNCTION("""COMPUTED_VALUE"""),"Nghiền - Sấy phun Ca A - DC5")</f>
        <v>Nghiền - Sấy phun Ca A - DC5</v>
      </c>
      <c r="E674" s="7" t="str">
        <f>IFERROR(__xludf.DUMMYFUNCTION("""COMPUTED_VALUE"""),"VHC than xích")</f>
        <v>VHC than xích</v>
      </c>
      <c r="F674" s="7" t="str">
        <f>IFERROR(__xludf.DUMMYFUNCTION("""COMPUTED_VALUE"""),"NV0633")</f>
        <v>NV0633</v>
      </c>
      <c r="G674" s="7">
        <f>IFERROR(__xludf.DUMMYFUNCTION("""COMPUTED_VALUE"""),403.0)</f>
        <v>403</v>
      </c>
      <c r="H674" s="7" t="str">
        <f>IFERROR(__xludf.DUMMYFUNCTION("""COMPUTED_VALUE"""),"Nguyễn Vũ Minh")</f>
        <v>Nguyễn Vũ Minh</v>
      </c>
      <c r="I674" s="7" t="str">
        <f>IFERROR(__xludf.DUMMYFUNCTION("""COMPUTED_VALUE"""),"Nam")</f>
        <v>Nam</v>
      </c>
      <c r="J674" s="17">
        <f>IFERROR(__xludf.DUMMYFUNCTION("""COMPUTED_VALUE"""),31173.0)</f>
        <v>31173</v>
      </c>
      <c r="K674" s="7" t="str">
        <f>IFERROR(__xludf.DUMMYFUNCTION("""COMPUTED_VALUE"""),"Thôn5- Xã Quảng Hưng - Thành phố Thanh Hóa")</f>
        <v>Thôn5- Xã Quảng Hưng - Thành phố Thanh Hóa</v>
      </c>
      <c r="L674" s="7" t="str">
        <f>IFERROR(__xludf.DUMMYFUNCTION("""COMPUTED_VALUE"""),"0979544761")</f>
        <v>0979544761</v>
      </c>
      <c r="M674" s="7" t="str">
        <f>IFERROR(__xludf.DUMMYFUNCTION("""COMPUTED_VALUE"""),"038085025871")</f>
        <v>038085025871</v>
      </c>
      <c r="N674" s="19">
        <f>IFERROR(__xludf.DUMMYFUNCTION("""COMPUTED_VALUE"""),44317.0)</f>
        <v>44317</v>
      </c>
      <c r="O674" s="7" t="str">
        <f>IFERROR(__xludf.DUMMYFUNCTION("""COMPUTED_VALUE"""),"Cục Cảnh sát QLHC về TTXH")</f>
        <v>Cục Cảnh sát QLHC về TTXH</v>
      </c>
      <c r="P674" s="7" t="str">
        <f>IFERROR(__xludf.DUMMYFUNCTION("""COMPUTED_VALUE"""),"LĐPT")</f>
        <v>LĐPT</v>
      </c>
      <c r="Q674" s="7" t="str">
        <f>IFERROR(__xludf.DUMMYFUNCTION("""COMPUTED_VALUE"""),"Lao động phổ thông")</f>
        <v>Lao động phổ thông</v>
      </c>
      <c r="R674" s="17">
        <f>IFERROR(__xludf.DUMMYFUNCTION("""COMPUTED_VALUE"""),39513.0)</f>
        <v>39513</v>
      </c>
      <c r="S674" s="17">
        <f>IFERROR(__xludf.DUMMYFUNCTION("""COMPUTED_VALUE"""),39513.0)</f>
        <v>39513</v>
      </c>
      <c r="T674" s="7" t="str">
        <f>IFERROR(__xludf.DUMMYFUNCTION("""COMPUTED_VALUE"""),"Chính thức")</f>
        <v>Chính thức</v>
      </c>
      <c r="U674" s="7"/>
      <c r="V674" s="7" t="str">
        <f>IFERROR(__xludf.DUMMYFUNCTION("""COMPUTED_VALUE"""),"Chính thức")</f>
        <v>Chính thức</v>
      </c>
      <c r="W674" s="7" t="str">
        <f>IFERROR(__xludf.DUMMYFUNCTION("""COMPUTED_VALUE"""),"17 năm 9 tháng")</f>
        <v>17 năm 9 tháng</v>
      </c>
      <c r="X674" s="7"/>
      <c r="Y674" s="7"/>
      <c r="Z674" s="7"/>
    </row>
    <row r="675">
      <c r="A675" s="7">
        <f>IFERROR(__xludf.DUMMYFUNCTION("""COMPUTED_VALUE"""),6.0)</f>
        <v>6</v>
      </c>
      <c r="B675" s="7" t="str">
        <f>IFERROR(__xludf.DUMMYFUNCTION("""COMPUTED_VALUE"""),"DC5-PXSX2")</f>
        <v>DC5-PXSX2</v>
      </c>
      <c r="C675" s="7" t="str">
        <f>IFERROR(__xludf.DUMMYFUNCTION("""COMPUTED_VALUE"""),"Bộ phận Nguyên liệu và Dây chuyền gia công")</f>
        <v>Bộ phận Nguyên liệu và Dây chuyền gia công</v>
      </c>
      <c r="D675" s="7" t="str">
        <f>IFERROR(__xludf.DUMMYFUNCTION("""COMPUTED_VALUE"""),"Nghiền - Sấy phun Ca A - DC5")</f>
        <v>Nghiền - Sấy phun Ca A - DC5</v>
      </c>
      <c r="E675" s="7" t="str">
        <f>IFERROR(__xludf.DUMMYFUNCTION("""COMPUTED_VALUE"""),"VHC Nạp nghiền")</f>
        <v>VHC Nạp nghiền</v>
      </c>
      <c r="F675" s="7" t="str">
        <f>IFERROR(__xludf.DUMMYFUNCTION("""COMPUTED_VALUE"""),"NV2232")</f>
        <v>NV2232</v>
      </c>
      <c r="G675" s="7">
        <f>IFERROR(__xludf.DUMMYFUNCTION("""COMPUTED_VALUE"""),359.0)</f>
        <v>359</v>
      </c>
      <c r="H675" s="7" t="str">
        <f>IFERROR(__xludf.DUMMYFUNCTION("""COMPUTED_VALUE"""),"Nguyễn Văn Giáp")</f>
        <v>Nguyễn Văn Giáp</v>
      </c>
      <c r="I675" s="7" t="str">
        <f>IFERROR(__xludf.DUMMYFUNCTION("""COMPUTED_VALUE"""),"Nam")</f>
        <v>Nam</v>
      </c>
      <c r="J675" s="17">
        <f>IFERROR(__xludf.DUMMYFUNCTION("""COMPUTED_VALUE"""),27217.0)</f>
        <v>27217</v>
      </c>
      <c r="K675" s="7" t="str">
        <f>IFERROR(__xludf.DUMMYFUNCTION("""COMPUTED_VALUE"""),"Thôn in Tuần -  Xã Trường Giang -  Huyện Nông Cống -  Thanh Hóa")</f>
        <v>Thôn in Tuần -  Xã Trường Giang -  Huyện Nông Cống -  Thanh Hóa</v>
      </c>
      <c r="L675" s="7" t="str">
        <f>IFERROR(__xludf.DUMMYFUNCTION("""COMPUTED_VALUE"""),"0963688536")</f>
        <v>0963688536</v>
      </c>
      <c r="M675" s="7" t="str">
        <f>IFERROR(__xludf.DUMMYFUNCTION("""COMPUTED_VALUE"""),"038074005680")</f>
        <v>038074005680</v>
      </c>
      <c r="N675" s="19">
        <f>IFERROR(__xludf.DUMMYFUNCTION("""COMPUTED_VALUE"""),43066.0)</f>
        <v>43066</v>
      </c>
      <c r="O675" s="7" t="str">
        <f>IFERROR(__xludf.DUMMYFUNCTION("""COMPUTED_VALUE"""),"Cục Cảnh sát QLHC về TTXH")</f>
        <v>Cục Cảnh sát QLHC về TTXH</v>
      </c>
      <c r="P675" s="7" t="str">
        <f>IFERROR(__xludf.DUMMYFUNCTION("""COMPUTED_VALUE"""),"LĐPT")</f>
        <v>LĐPT</v>
      </c>
      <c r="Q675" s="7" t="str">
        <f>IFERROR(__xludf.DUMMYFUNCTION("""COMPUTED_VALUE"""),"Lao động phổ thông")</f>
        <v>Lao động phổ thông</v>
      </c>
      <c r="R675" s="17">
        <f>IFERROR(__xludf.DUMMYFUNCTION("""COMPUTED_VALUE"""),43536.0)</f>
        <v>43536</v>
      </c>
      <c r="S675" s="17">
        <f>IFERROR(__xludf.DUMMYFUNCTION("""COMPUTED_VALUE"""),43983.0)</f>
        <v>43983</v>
      </c>
      <c r="T675" s="7" t="str">
        <f>IFERROR(__xludf.DUMMYFUNCTION("""COMPUTED_VALUE"""),"Chính thức")</f>
        <v>Chính thức</v>
      </c>
      <c r="U675" s="7"/>
      <c r="V675" s="7" t="str">
        <f>IFERROR(__xludf.DUMMYFUNCTION("""COMPUTED_VALUE"""),"Chính thức")</f>
        <v>Chính thức</v>
      </c>
      <c r="W675" s="7" t="str">
        <f>IFERROR(__xludf.DUMMYFUNCTION("""COMPUTED_VALUE"""),"6 năm 9 tháng")</f>
        <v>6 năm 9 tháng</v>
      </c>
      <c r="X675" s="7"/>
      <c r="Y675" s="7"/>
      <c r="Z675" s="7"/>
    </row>
    <row r="676">
      <c r="A676" s="7">
        <f>IFERROR(__xludf.DUMMYFUNCTION("""COMPUTED_VALUE"""),7.0)</f>
        <v>7</v>
      </c>
      <c r="B676" s="7" t="str">
        <f>IFERROR(__xludf.DUMMYFUNCTION("""COMPUTED_VALUE"""),"DC5-PXSX2")</f>
        <v>DC5-PXSX2</v>
      </c>
      <c r="C676" s="7" t="str">
        <f>IFERROR(__xludf.DUMMYFUNCTION("""COMPUTED_VALUE"""),"Bộ phận Nguyên liệu và Dây chuyền gia công")</f>
        <v>Bộ phận Nguyên liệu và Dây chuyền gia công</v>
      </c>
      <c r="D676" s="7" t="str">
        <f>IFERROR(__xludf.DUMMYFUNCTION("""COMPUTED_VALUE"""),"Nghiền - Sấy phun Ca A - DC5")</f>
        <v>Nghiền - Sấy phun Ca A - DC5</v>
      </c>
      <c r="E676" s="7"/>
      <c r="F676" s="7" t="str">
        <f>IFERROR(__xludf.DUMMYFUNCTION("""COMPUTED_VALUE"""),"NV5323")</f>
        <v>NV5323</v>
      </c>
      <c r="G676" s="7">
        <f>IFERROR(__xludf.DUMMYFUNCTION("""COMPUTED_VALUE"""),361.0)</f>
        <v>361</v>
      </c>
      <c r="H676" s="7" t="str">
        <f>IFERROR(__xludf.DUMMYFUNCTION("""COMPUTED_VALUE"""),"Nguyễn Văn Quang")</f>
        <v>Nguyễn Văn Quang</v>
      </c>
      <c r="I676" s="7" t="str">
        <f>IFERROR(__xludf.DUMMYFUNCTION("""COMPUTED_VALUE"""),"Nam")</f>
        <v>Nam</v>
      </c>
      <c r="J676" s="17">
        <f>IFERROR(__xludf.DUMMYFUNCTION("""COMPUTED_VALUE"""),28049.0)</f>
        <v>28049</v>
      </c>
      <c r="K676" s="7" t="str">
        <f>IFERROR(__xludf.DUMMYFUNCTION("""COMPUTED_VALUE"""),"Xã Trường Giang - Huyện Nông Cống - Tỉnh Thanh Hóa")</f>
        <v>Xã Trường Giang - Huyện Nông Cống - Tỉnh Thanh Hóa</v>
      </c>
      <c r="L676" s="7" t="str">
        <f>IFERROR(__xludf.DUMMYFUNCTION("""COMPUTED_VALUE"""),"0373149476")</f>
        <v>0373149476</v>
      </c>
      <c r="M676" s="7" t="str">
        <f>IFERROR(__xludf.DUMMYFUNCTION("""COMPUTED_VALUE"""),"038076010574")</f>
        <v>038076010574</v>
      </c>
      <c r="N676" s="19">
        <f>IFERROR(__xludf.DUMMYFUNCTION("""COMPUTED_VALUE"""),44996.0)</f>
        <v>44996</v>
      </c>
      <c r="O676" s="7" t="str">
        <f>IFERROR(__xludf.DUMMYFUNCTION("""COMPUTED_VALUE"""),"Cục Cảnh sát QLHC về TTXH")</f>
        <v>Cục Cảnh sát QLHC về TTXH</v>
      </c>
      <c r="P676" s="7" t="str">
        <f>IFERROR(__xludf.DUMMYFUNCTION("""COMPUTED_VALUE"""),"LĐPT")</f>
        <v>LĐPT</v>
      </c>
      <c r="Q676" s="7" t="str">
        <f>IFERROR(__xludf.DUMMYFUNCTION("""COMPUTED_VALUE"""),"Lao động phổ thông")</f>
        <v>Lao động phổ thông</v>
      </c>
      <c r="R676" s="17">
        <f>IFERROR(__xludf.DUMMYFUNCTION("""COMPUTED_VALUE"""),45727.0)</f>
        <v>45727</v>
      </c>
      <c r="S676" s="17">
        <f>IFERROR(__xludf.DUMMYFUNCTION("""COMPUTED_VALUE"""),45727.0)</f>
        <v>45727</v>
      </c>
      <c r="T676" s="7" t="str">
        <f>IFERROR(__xludf.DUMMYFUNCTION("""COMPUTED_VALUE"""),"Chính thức")</f>
        <v>Chính thức</v>
      </c>
      <c r="U676" s="7"/>
      <c r="V676" s="7" t="str">
        <f>IFERROR(__xludf.DUMMYFUNCTION("""COMPUTED_VALUE"""),"Chính thức")</f>
        <v>Chính thức</v>
      </c>
      <c r="W676" s="7" t="str">
        <f>IFERROR(__xludf.DUMMYFUNCTION("""COMPUTED_VALUE"""),"0 năm 9 tháng")</f>
        <v>0 năm 9 tháng</v>
      </c>
      <c r="X676" s="7"/>
      <c r="Y676" s="7"/>
      <c r="Z676" s="7"/>
    </row>
    <row r="677">
      <c r="A677" s="7">
        <f>IFERROR(__xludf.DUMMYFUNCTION("""COMPUTED_VALUE"""),1.0)</f>
        <v>1</v>
      </c>
      <c r="B677" s="7" t="str">
        <f>IFERROR(__xludf.DUMMYFUNCTION("""COMPUTED_VALUE"""),"DC5-PXSX2")</f>
        <v>DC5-PXSX2</v>
      </c>
      <c r="C677" s="7" t="str">
        <f>IFERROR(__xludf.DUMMYFUNCTION("""COMPUTED_VALUE"""),"Bộ phận Nguyên liệu và Dây chuyền gia công")</f>
        <v>Bộ phận Nguyên liệu và Dây chuyền gia công</v>
      </c>
      <c r="D677" s="7" t="str">
        <f>IFERROR(__xludf.DUMMYFUNCTION("""COMPUTED_VALUE"""),"Nghiền - Sấy phun Ca B - DC5")</f>
        <v>Nghiền - Sấy phun Ca B - DC5</v>
      </c>
      <c r="E677" s="7" t="str">
        <f>IFERROR(__xludf.DUMMYFUNCTION("""COMPUTED_VALUE"""),"VH sấy phun")</f>
        <v>VH sấy phun</v>
      </c>
      <c r="F677" s="7" t="str">
        <f>IFERROR(__xludf.DUMMYFUNCTION("""COMPUTED_VALUE"""),"NV0852")</f>
        <v>NV0852</v>
      </c>
      <c r="G677" s="7">
        <f>IFERROR(__xludf.DUMMYFUNCTION("""COMPUTED_VALUE"""),512.0)</f>
        <v>512</v>
      </c>
      <c r="H677" s="7" t="str">
        <f>IFERROR(__xludf.DUMMYFUNCTION("""COMPUTED_VALUE"""),"Lê Thiên Thanh")</f>
        <v>Lê Thiên Thanh</v>
      </c>
      <c r="I677" s="7" t="str">
        <f>IFERROR(__xludf.DUMMYFUNCTION("""COMPUTED_VALUE"""),"Nam")</f>
        <v>Nam</v>
      </c>
      <c r="J677" s="17">
        <f>IFERROR(__xludf.DUMMYFUNCTION("""COMPUTED_VALUE"""),29879.0)</f>
        <v>29879</v>
      </c>
      <c r="K677" s="7" t="str">
        <f>IFERROR(__xludf.DUMMYFUNCTION("""COMPUTED_VALUE"""),"Xã Quảng Tâm -  Thành phố Thanh Hóa - ")</f>
        <v>Xã Quảng Tâm -  Thành phố Thanh Hóa - </v>
      </c>
      <c r="L677" s="7" t="str">
        <f>IFERROR(__xludf.DUMMYFUNCTION("""COMPUTED_VALUE"""),"0338647875")</f>
        <v>0338647875</v>
      </c>
      <c r="M677" s="7" t="str">
        <f>IFERROR(__xludf.DUMMYFUNCTION("""COMPUTED_VALUE"""),"038081020265")</f>
        <v>038081020265</v>
      </c>
      <c r="N677" s="19">
        <f>IFERROR(__xludf.DUMMYFUNCTION("""COMPUTED_VALUE"""),44375.0)</f>
        <v>44375</v>
      </c>
      <c r="O677" s="7" t="str">
        <f>IFERROR(__xludf.DUMMYFUNCTION("""COMPUTED_VALUE"""),"Cục Cảnh sát QLHC về TTXH")</f>
        <v>Cục Cảnh sát QLHC về TTXH</v>
      </c>
      <c r="P677" s="7" t="str">
        <f>IFERROR(__xludf.DUMMYFUNCTION("""COMPUTED_VALUE"""),"LĐPT")</f>
        <v>LĐPT</v>
      </c>
      <c r="Q677" s="7" t="str">
        <f>IFERROR(__xludf.DUMMYFUNCTION("""COMPUTED_VALUE"""),"Lao động phổ thông")</f>
        <v>Lao động phổ thông</v>
      </c>
      <c r="R677" s="17">
        <f>IFERROR(__xludf.DUMMYFUNCTION("""COMPUTED_VALUE"""),42780.0)</f>
        <v>42780</v>
      </c>
      <c r="S677" s="17">
        <f>IFERROR(__xludf.DUMMYFUNCTION("""COMPUTED_VALUE"""),43252.0)</f>
        <v>43252</v>
      </c>
      <c r="T677" s="7" t="str">
        <f>IFERROR(__xludf.DUMMYFUNCTION("""COMPUTED_VALUE"""),"Chính thức")</f>
        <v>Chính thức</v>
      </c>
      <c r="U677" s="7"/>
      <c r="V677" s="7" t="str">
        <f>IFERROR(__xludf.DUMMYFUNCTION("""COMPUTED_VALUE"""),"Chính thức")</f>
        <v>Chính thức</v>
      </c>
      <c r="W677" s="7" t="str">
        <f>IFERROR(__xludf.DUMMYFUNCTION("""COMPUTED_VALUE"""),"8 năm 10 tháng")</f>
        <v>8 năm 10 tháng</v>
      </c>
      <c r="X677" s="7"/>
      <c r="Y677" s="7"/>
      <c r="Z677" s="7"/>
    </row>
    <row r="678">
      <c r="A678" s="7">
        <f>IFERROR(__xludf.DUMMYFUNCTION("""COMPUTED_VALUE"""),2.0)</f>
        <v>2</v>
      </c>
      <c r="B678" s="7" t="str">
        <f>IFERROR(__xludf.DUMMYFUNCTION("""COMPUTED_VALUE"""),"DC5-PXSX2")</f>
        <v>DC5-PXSX2</v>
      </c>
      <c r="C678" s="7" t="str">
        <f>IFERROR(__xludf.DUMMYFUNCTION("""COMPUTED_VALUE"""),"Bộ phận Nguyên liệu và Dây chuyền gia công")</f>
        <v>Bộ phận Nguyên liệu và Dây chuyền gia công</v>
      </c>
      <c r="D678" s="7" t="str">
        <f>IFERROR(__xludf.DUMMYFUNCTION("""COMPUTED_VALUE"""),"Nghiền - Sấy phun Ca B - DC5")</f>
        <v>Nghiền - Sấy phun Ca B - DC5</v>
      </c>
      <c r="E678" s="7" t="str">
        <f>IFERROR(__xludf.DUMMYFUNCTION("""COMPUTED_VALUE"""),"VHC than xích")</f>
        <v>VHC than xích</v>
      </c>
      <c r="F678" s="7" t="str">
        <f>IFERROR(__xludf.DUMMYFUNCTION("""COMPUTED_VALUE"""),"NV0541")</f>
        <v>NV0541</v>
      </c>
      <c r="G678" s="7">
        <f>IFERROR(__xludf.DUMMYFUNCTION("""COMPUTED_VALUE"""),467.0)</f>
        <v>467</v>
      </c>
      <c r="H678" s="7" t="str">
        <f>IFERROR(__xludf.DUMMYFUNCTION("""COMPUTED_VALUE"""),"Phạm Văn Lực")</f>
        <v>Phạm Văn Lực</v>
      </c>
      <c r="I678" s="7" t="str">
        <f>IFERROR(__xludf.DUMMYFUNCTION("""COMPUTED_VALUE"""),"Nam")</f>
        <v>Nam</v>
      </c>
      <c r="J678" s="17">
        <f>IFERROR(__xludf.DUMMYFUNCTION("""COMPUTED_VALUE"""),33412.0)</f>
        <v>33412</v>
      </c>
      <c r="K678" s="7" t="str">
        <f>IFERROR(__xludf.DUMMYFUNCTION("""COMPUTED_VALUE"""),"Thôn Lễ Môn -  Xã Đông Hải -  Thành phố Thanh Hóa")</f>
        <v>Thôn Lễ Môn -  Xã Đông Hải -  Thành phố Thanh Hóa</v>
      </c>
      <c r="L678" s="7" t="str">
        <f>IFERROR(__xludf.DUMMYFUNCTION("""COMPUTED_VALUE"""),"0977367867")</f>
        <v>0977367867</v>
      </c>
      <c r="M678" s="7" t="str">
        <f>IFERROR(__xludf.DUMMYFUNCTION("""COMPUTED_VALUE"""),"038091052982")</f>
        <v>038091052982</v>
      </c>
      <c r="N678" s="19">
        <f>IFERROR(__xludf.DUMMYFUNCTION("""COMPUTED_VALUE"""),44422.0)</f>
        <v>44422</v>
      </c>
      <c r="O678" s="7" t="str">
        <f>IFERROR(__xludf.DUMMYFUNCTION("""COMPUTED_VALUE"""),"Cục Cảnh sát QLHC về TTXH")</f>
        <v>Cục Cảnh sát QLHC về TTXH</v>
      </c>
      <c r="P678" s="7" t="str">
        <f>IFERROR(__xludf.DUMMYFUNCTION("""COMPUTED_VALUE"""),"LĐPT")</f>
        <v>LĐPT</v>
      </c>
      <c r="Q678" s="7" t="str">
        <f>IFERROR(__xludf.DUMMYFUNCTION("""COMPUTED_VALUE"""),"Lao động phổ thông")</f>
        <v>Lao động phổ thông</v>
      </c>
      <c r="R678" s="17">
        <f>IFERROR(__xludf.DUMMYFUNCTION("""COMPUTED_VALUE"""),40118.0)</f>
        <v>40118</v>
      </c>
      <c r="S678" s="17">
        <f>IFERROR(__xludf.DUMMYFUNCTION("""COMPUTED_VALUE"""),40118.0)</f>
        <v>40118</v>
      </c>
      <c r="T678" s="7" t="str">
        <f>IFERROR(__xludf.DUMMYFUNCTION("""COMPUTED_VALUE"""),"Chính thức")</f>
        <v>Chính thức</v>
      </c>
      <c r="U678" s="7"/>
      <c r="V678" s="7" t="str">
        <f>IFERROR(__xludf.DUMMYFUNCTION("""COMPUTED_VALUE"""),"Chính thức")</f>
        <v>Chính thức</v>
      </c>
      <c r="W678" s="7" t="str">
        <f>IFERROR(__xludf.DUMMYFUNCTION("""COMPUTED_VALUE"""),"16 năm 1 tháng")</f>
        <v>16 năm 1 tháng</v>
      </c>
      <c r="X678" s="7"/>
      <c r="Y678" s="7"/>
      <c r="Z678" s="7"/>
    </row>
    <row r="679">
      <c r="A679" s="7">
        <f>IFERROR(__xludf.DUMMYFUNCTION("""COMPUTED_VALUE"""),3.0)</f>
        <v>3</v>
      </c>
      <c r="B679" s="7" t="str">
        <f>IFERROR(__xludf.DUMMYFUNCTION("""COMPUTED_VALUE"""),"DC5-PXSX2")</f>
        <v>DC5-PXSX2</v>
      </c>
      <c r="C679" s="7" t="str">
        <f>IFERROR(__xludf.DUMMYFUNCTION("""COMPUTED_VALUE"""),"Bộ phận Nguyên liệu và Dây chuyền gia công")</f>
        <v>Bộ phận Nguyên liệu và Dây chuyền gia công</v>
      </c>
      <c r="D679" s="7" t="str">
        <f>IFERROR(__xludf.DUMMYFUNCTION("""COMPUTED_VALUE"""),"Nghiền - Sấy phun Ca B - DC5")</f>
        <v>Nghiền - Sấy phun Ca B - DC5</v>
      </c>
      <c r="E679" s="7" t="str">
        <f>IFERROR(__xludf.DUMMYFUNCTION("""COMPUTED_VALUE"""),"VHC Nạp nghiền")</f>
        <v>VHC Nạp nghiền</v>
      </c>
      <c r="F679" s="7" t="str">
        <f>IFERROR(__xludf.DUMMYFUNCTION("""COMPUTED_VALUE"""),"NV0532")</f>
        <v>NV0532</v>
      </c>
      <c r="G679" s="7">
        <f>IFERROR(__xludf.DUMMYFUNCTION("""COMPUTED_VALUE"""),494.0)</f>
        <v>494</v>
      </c>
      <c r="H679" s="7" t="str">
        <f>IFERROR(__xludf.DUMMYFUNCTION("""COMPUTED_VALUE"""),"Bùi Văn Công")</f>
        <v>Bùi Văn Công</v>
      </c>
      <c r="I679" s="7" t="str">
        <f>IFERROR(__xludf.DUMMYFUNCTION("""COMPUTED_VALUE"""),"Nam")</f>
        <v>Nam</v>
      </c>
      <c r="J679" s="17">
        <f>IFERROR(__xludf.DUMMYFUNCTION("""COMPUTED_VALUE"""),25375.0)</f>
        <v>25375</v>
      </c>
      <c r="K679" s="7" t="str">
        <f>IFERROR(__xludf.DUMMYFUNCTION("""COMPUTED_VALUE"""),"Xã Mậu Lâm -  Huyện Như Thanh -  Thanh Hóa -  Việt Nam")</f>
        <v>Xã Mậu Lâm -  Huyện Như Thanh -  Thanh Hóa -  Việt Nam</v>
      </c>
      <c r="L679" s="7" t="str">
        <f>IFERROR(__xludf.DUMMYFUNCTION("""COMPUTED_VALUE"""),"0866826615; 0348564359")</f>
        <v>0866826615; 0348564359</v>
      </c>
      <c r="M679" s="7" t="str">
        <f>IFERROR(__xludf.DUMMYFUNCTION("""COMPUTED_VALUE"""),"038069010485")</f>
        <v>038069010485</v>
      </c>
      <c r="N679" s="19">
        <f>IFERROR(__xludf.DUMMYFUNCTION("""COMPUTED_VALUE"""),44268.0)</f>
        <v>44268</v>
      </c>
      <c r="O679" s="7" t="str">
        <f>IFERROR(__xludf.DUMMYFUNCTION("""COMPUTED_VALUE"""),"Cục Cảnh sát QLHC về TTXH")</f>
        <v>Cục Cảnh sát QLHC về TTXH</v>
      </c>
      <c r="P679" s="7" t="str">
        <f>IFERROR(__xludf.DUMMYFUNCTION("""COMPUTED_VALUE"""),"LĐPT")</f>
        <v>LĐPT</v>
      </c>
      <c r="Q679" s="7" t="str">
        <f>IFERROR(__xludf.DUMMYFUNCTION("""COMPUTED_VALUE"""),"Lao động phổ thông")</f>
        <v>Lao động phổ thông</v>
      </c>
      <c r="R679" s="17">
        <f>IFERROR(__xludf.DUMMYFUNCTION("""COMPUTED_VALUE"""),40639.0)</f>
        <v>40639</v>
      </c>
      <c r="S679" s="17">
        <f>IFERROR(__xludf.DUMMYFUNCTION("""COMPUTED_VALUE"""),40639.0)</f>
        <v>40639</v>
      </c>
      <c r="T679" s="7" t="str">
        <f>IFERROR(__xludf.DUMMYFUNCTION("""COMPUTED_VALUE"""),"Chính thức")</f>
        <v>Chính thức</v>
      </c>
      <c r="U679" s="7"/>
      <c r="V679" s="7" t="str">
        <f>IFERROR(__xludf.DUMMYFUNCTION("""COMPUTED_VALUE"""),"Chính thức")</f>
        <v>Chính thức</v>
      </c>
      <c r="W679" s="7" t="str">
        <f>IFERROR(__xludf.DUMMYFUNCTION("""COMPUTED_VALUE"""),"14 năm 8 tháng")</f>
        <v>14 năm 8 tháng</v>
      </c>
      <c r="X679" s="7"/>
      <c r="Y679" s="7"/>
      <c r="Z679" s="7"/>
    </row>
    <row r="680">
      <c r="A680" s="7">
        <f>IFERROR(__xludf.DUMMYFUNCTION("""COMPUTED_VALUE"""),4.0)</f>
        <v>4</v>
      </c>
      <c r="B680" s="7" t="str">
        <f>IFERROR(__xludf.DUMMYFUNCTION("""COMPUTED_VALUE"""),"DC5-PXSX2")</f>
        <v>DC5-PXSX2</v>
      </c>
      <c r="C680" s="7" t="str">
        <f>IFERROR(__xludf.DUMMYFUNCTION("""COMPUTED_VALUE"""),"Bộ phận Nguyên liệu và Dây chuyền gia công")</f>
        <v>Bộ phận Nguyên liệu và Dây chuyền gia công</v>
      </c>
      <c r="D680" s="7" t="str">
        <f>IFERROR(__xludf.DUMMYFUNCTION("""COMPUTED_VALUE"""),"Nghiền - Sấy phun Ca B - DC5")</f>
        <v>Nghiền - Sấy phun Ca B - DC5</v>
      </c>
      <c r="E680" s="7" t="str">
        <f>IFERROR(__xludf.DUMMYFUNCTION("""COMPUTED_VALUE"""),"VH Nạp nghiền")</f>
        <v>VH Nạp nghiền</v>
      </c>
      <c r="F680" s="7" t="str">
        <f>IFERROR(__xludf.DUMMYFUNCTION("""COMPUTED_VALUE"""),"NV4046")</f>
        <v>NV4046</v>
      </c>
      <c r="G680" s="7">
        <f>IFERROR(__xludf.DUMMYFUNCTION("""COMPUTED_VALUE"""),516.0)</f>
        <v>516</v>
      </c>
      <c r="H680" s="7" t="str">
        <f>IFERROR(__xludf.DUMMYFUNCTION("""COMPUTED_VALUE"""),"Lê Hữu Quyền")</f>
        <v>Lê Hữu Quyền</v>
      </c>
      <c r="I680" s="7" t="str">
        <f>IFERROR(__xludf.DUMMYFUNCTION("""COMPUTED_VALUE"""),"Nam")</f>
        <v>Nam</v>
      </c>
      <c r="J680" s="17">
        <f>IFERROR(__xludf.DUMMYFUNCTION("""COMPUTED_VALUE"""),27190.0)</f>
        <v>27190</v>
      </c>
      <c r="K680" s="7" t="str">
        <f>IFERROR(__xludf.DUMMYFUNCTION("""COMPUTED_VALUE"""),"Thị trấn Tân Phong -  Huyện Quảng Xương -  Thanh Hóa")</f>
        <v>Thị trấn Tân Phong -  Huyện Quảng Xương -  Thanh Hóa</v>
      </c>
      <c r="L680" s="7" t="str">
        <f>IFERROR(__xludf.DUMMYFUNCTION("""COMPUTED_VALUE"""),"0932381160")</f>
        <v>0932381160</v>
      </c>
      <c r="M680" s="7" t="str">
        <f>IFERROR(__xludf.DUMMYFUNCTION("""COMPUTED_VALUE"""),"038074011998")</f>
        <v>038074011998</v>
      </c>
      <c r="N680" s="19">
        <f>IFERROR(__xludf.DUMMYFUNCTION("""COMPUTED_VALUE"""),44546.0)</f>
        <v>44546</v>
      </c>
      <c r="O680" s="7" t="str">
        <f>IFERROR(__xludf.DUMMYFUNCTION("""COMPUTED_VALUE"""),"Cục Cảnh sát QLHC về TTXH")</f>
        <v>Cục Cảnh sát QLHC về TTXH</v>
      </c>
      <c r="P680" s="7" t="str">
        <f>IFERROR(__xludf.DUMMYFUNCTION("""COMPUTED_VALUE"""),"LĐPT")</f>
        <v>LĐPT</v>
      </c>
      <c r="Q680" s="7" t="str">
        <f>IFERROR(__xludf.DUMMYFUNCTION("""COMPUTED_VALUE"""),"Lao động phổ thông")</f>
        <v>Lao động phổ thông</v>
      </c>
      <c r="R680" s="17">
        <f>IFERROR(__xludf.DUMMYFUNCTION("""COMPUTED_VALUE"""),44619.0)</f>
        <v>44619</v>
      </c>
      <c r="S680" s="17">
        <f>IFERROR(__xludf.DUMMYFUNCTION("""COMPUTED_VALUE"""),44986.0)</f>
        <v>44986</v>
      </c>
      <c r="T680" s="7" t="str">
        <f>IFERROR(__xludf.DUMMYFUNCTION("""COMPUTED_VALUE"""),"Chính thức")</f>
        <v>Chính thức</v>
      </c>
      <c r="U680" s="7"/>
      <c r="V680" s="7" t="str">
        <f>IFERROR(__xludf.DUMMYFUNCTION("""COMPUTED_VALUE"""),"Chính thức")</f>
        <v>Chính thức</v>
      </c>
      <c r="W680" s="7" t="str">
        <f>IFERROR(__xludf.DUMMYFUNCTION("""COMPUTED_VALUE"""),"3 năm 10 tháng")</f>
        <v>3 năm 10 tháng</v>
      </c>
      <c r="X680" s="7"/>
      <c r="Y680" s="7"/>
      <c r="Z680" s="7"/>
    </row>
    <row r="681">
      <c r="A681" s="7">
        <f>IFERROR(__xludf.DUMMYFUNCTION("""COMPUTED_VALUE"""),5.0)</f>
        <v>5</v>
      </c>
      <c r="B681" s="7" t="str">
        <f>IFERROR(__xludf.DUMMYFUNCTION("""COMPUTED_VALUE"""),"DC5-PXSX2")</f>
        <v>DC5-PXSX2</v>
      </c>
      <c r="C681" s="7" t="str">
        <f>IFERROR(__xludf.DUMMYFUNCTION("""COMPUTED_VALUE"""),"Bộ phận Nguyên liệu và Dây chuyền gia công")</f>
        <v>Bộ phận Nguyên liệu và Dây chuyền gia công</v>
      </c>
      <c r="D681" s="7" t="str">
        <f>IFERROR(__xludf.DUMMYFUNCTION("""COMPUTED_VALUE"""),"Nghiền - Sấy phun Ca B - DC5")</f>
        <v>Nghiền - Sấy phun Ca B - DC5</v>
      </c>
      <c r="E681" s="7" t="str">
        <f>IFERROR(__xludf.DUMMYFUNCTION("""COMPUTED_VALUE"""),"VH Nạp nghiền")</f>
        <v>VH Nạp nghiền</v>
      </c>
      <c r="F681" s="7" t="str">
        <f>IFERROR(__xludf.DUMMYFUNCTION("""COMPUTED_VALUE"""),"NV2414")</f>
        <v>NV2414</v>
      </c>
      <c r="G681" s="7">
        <f>IFERROR(__xludf.DUMMYFUNCTION("""COMPUTED_VALUE"""),466.0)</f>
        <v>466</v>
      </c>
      <c r="H681" s="7" t="str">
        <f>IFERROR(__xludf.DUMMYFUNCTION("""COMPUTED_VALUE"""),"Hoàng Khắc Hùng")</f>
        <v>Hoàng Khắc Hùng</v>
      </c>
      <c r="I681" s="7" t="str">
        <f>IFERROR(__xludf.DUMMYFUNCTION("""COMPUTED_VALUE"""),"Nam")</f>
        <v>Nam</v>
      </c>
      <c r="J681" s="17">
        <f>IFERROR(__xludf.DUMMYFUNCTION("""COMPUTED_VALUE"""),28264.0)</f>
        <v>28264</v>
      </c>
      <c r="K681" s="7" t="str">
        <f>IFERROR(__xludf.DUMMYFUNCTION("""COMPUTED_VALUE"""),"Quảng Trạch - Quảng Xương - Thanh Hóa")</f>
        <v>Quảng Trạch - Quảng Xương - Thanh Hóa</v>
      </c>
      <c r="L681" s="7" t="str">
        <f>IFERROR(__xludf.DUMMYFUNCTION("""COMPUTED_VALUE"""),"0379644362")</f>
        <v>0379644362</v>
      </c>
      <c r="M681" s="7" t="str">
        <f>IFERROR(__xludf.DUMMYFUNCTION("""COMPUTED_VALUE"""),"038077029478")</f>
        <v>038077029478</v>
      </c>
      <c r="N681" s="19">
        <f>IFERROR(__xludf.DUMMYFUNCTION("""COMPUTED_VALUE"""),44375.0)</f>
        <v>44375</v>
      </c>
      <c r="O681" s="7" t="str">
        <f>IFERROR(__xludf.DUMMYFUNCTION("""COMPUTED_VALUE"""),"Cục Cảnh sát QLHC về TTXH")</f>
        <v>Cục Cảnh sát QLHC về TTXH</v>
      </c>
      <c r="P681" s="7" t="str">
        <f>IFERROR(__xludf.DUMMYFUNCTION("""COMPUTED_VALUE"""),"LĐPT")</f>
        <v>LĐPT</v>
      </c>
      <c r="Q681" s="7" t="str">
        <f>IFERROR(__xludf.DUMMYFUNCTION("""COMPUTED_VALUE"""),"Lao động phổ thông")</f>
        <v>Lao động phổ thông</v>
      </c>
      <c r="R681" s="17">
        <f>IFERROR(__xludf.DUMMYFUNCTION("""COMPUTED_VALUE"""),43618.0)</f>
        <v>43618</v>
      </c>
      <c r="S681" s="17">
        <f>IFERROR(__xludf.DUMMYFUNCTION("""COMPUTED_VALUE"""),44013.0)</f>
        <v>44013</v>
      </c>
      <c r="T681" s="7" t="str">
        <f>IFERROR(__xludf.DUMMYFUNCTION("""COMPUTED_VALUE"""),"Chính thức")</f>
        <v>Chính thức</v>
      </c>
      <c r="U681" s="7"/>
      <c r="V681" s="7" t="str">
        <f>IFERROR(__xludf.DUMMYFUNCTION("""COMPUTED_VALUE"""),"Chính thức")</f>
        <v>Chính thức</v>
      </c>
      <c r="W681" s="7" t="str">
        <f>IFERROR(__xludf.DUMMYFUNCTION("""COMPUTED_VALUE"""),"6 năm 6 tháng")</f>
        <v>6 năm 6 tháng</v>
      </c>
      <c r="X681" s="7"/>
      <c r="Y681" s="7"/>
      <c r="Z681" s="7"/>
    </row>
    <row r="682">
      <c r="A682" s="7">
        <f>IFERROR(__xludf.DUMMYFUNCTION("""COMPUTED_VALUE"""),6.0)</f>
        <v>6</v>
      </c>
      <c r="B682" s="7" t="str">
        <f>IFERROR(__xludf.DUMMYFUNCTION("""COMPUTED_VALUE"""),"DC5-PXSX2")</f>
        <v>DC5-PXSX2</v>
      </c>
      <c r="C682" s="7" t="str">
        <f>IFERROR(__xludf.DUMMYFUNCTION("""COMPUTED_VALUE"""),"Bộ phận Nguyên liệu và Dây chuyền gia công")</f>
        <v>Bộ phận Nguyên liệu và Dây chuyền gia công</v>
      </c>
      <c r="D682" s="7" t="str">
        <f>IFERROR(__xludf.DUMMYFUNCTION("""COMPUTED_VALUE"""),"Nghiền - Sấy phun Ca B - DC5")</f>
        <v>Nghiền - Sấy phun Ca B - DC5</v>
      </c>
      <c r="E682" s="7" t="str">
        <f>IFERROR(__xludf.DUMMYFUNCTION("""COMPUTED_VALUE"""),"VH Nạp nghiền")</f>
        <v>VH Nạp nghiền</v>
      </c>
      <c r="F682" s="7" t="str">
        <f>IFERROR(__xludf.DUMMYFUNCTION("""COMPUTED_VALUE"""),"NV5290")</f>
        <v>NV5290</v>
      </c>
      <c r="G682" s="7">
        <f>IFERROR(__xludf.DUMMYFUNCTION("""COMPUTED_VALUE"""),763.0)</f>
        <v>763</v>
      </c>
      <c r="H682" s="7" t="str">
        <f>IFERROR(__xludf.DUMMYFUNCTION("""COMPUTED_VALUE"""),"Trần Kim Năm")</f>
        <v>Trần Kim Năm</v>
      </c>
      <c r="I682" s="7" t="str">
        <f>IFERROR(__xludf.DUMMYFUNCTION("""COMPUTED_VALUE"""),"Nam")</f>
        <v>Nam</v>
      </c>
      <c r="J682" s="17">
        <f>IFERROR(__xludf.DUMMYFUNCTION("""COMPUTED_VALUE"""),33732.0)</f>
        <v>33732</v>
      </c>
      <c r="K682" s="7" t="str">
        <f>IFERROR(__xludf.DUMMYFUNCTION("""COMPUTED_VALUE"""),"thôn 8 -  Quảng Thái -  Quảng Xương -  Thanh Hóa")</f>
        <v>thôn 8 -  Quảng Thái -  Quảng Xương -  Thanh Hóa</v>
      </c>
      <c r="L682" s="7" t="str">
        <f>IFERROR(__xludf.DUMMYFUNCTION("""COMPUTED_VALUE"""),"0869938352")</f>
        <v>0869938352</v>
      </c>
      <c r="M682" s="7" t="str">
        <f>IFERROR(__xludf.DUMMYFUNCTION("""COMPUTED_VALUE"""),"038092038083")</f>
        <v>038092038083</v>
      </c>
      <c r="N682" s="19">
        <f>IFERROR(__xludf.DUMMYFUNCTION("""COMPUTED_VALUE"""),44707.0)</f>
        <v>44707</v>
      </c>
      <c r="O682" s="7" t="str">
        <f>IFERROR(__xludf.DUMMYFUNCTION("""COMPUTED_VALUE"""),"Cục Cảnh sát QLHC về TTXH")</f>
        <v>Cục Cảnh sát QLHC về TTXH</v>
      </c>
      <c r="P682" s="7" t="str">
        <f>IFERROR(__xludf.DUMMYFUNCTION("""COMPUTED_VALUE"""),"LĐPT")</f>
        <v>LĐPT</v>
      </c>
      <c r="Q682" s="7" t="str">
        <f>IFERROR(__xludf.DUMMYFUNCTION("""COMPUTED_VALUE"""),"Lao động phổ thông")</f>
        <v>Lao động phổ thông</v>
      </c>
      <c r="R682" s="17">
        <f>IFERROR(__xludf.DUMMYFUNCTION("""COMPUTED_VALUE"""),45465.0)</f>
        <v>45465</v>
      </c>
      <c r="S682" s="17">
        <f>IFERROR(__xludf.DUMMYFUNCTION("""COMPUTED_VALUE"""),45536.0)</f>
        <v>45536</v>
      </c>
      <c r="T682" s="7" t="str">
        <f>IFERROR(__xludf.DUMMYFUNCTION("""COMPUTED_VALUE"""),"Chính thức")</f>
        <v>Chính thức</v>
      </c>
      <c r="U682" s="7"/>
      <c r="V682" s="7" t="str">
        <f>IFERROR(__xludf.DUMMYFUNCTION("""COMPUTED_VALUE"""),"Chính thức")</f>
        <v>Chính thức</v>
      </c>
      <c r="W682" s="7" t="str">
        <f>IFERROR(__xludf.DUMMYFUNCTION("""COMPUTED_VALUE"""),"1 năm 6 tháng")</f>
        <v>1 năm 6 tháng</v>
      </c>
      <c r="X682" s="7"/>
      <c r="Y682" s="7"/>
      <c r="Z682" s="7"/>
    </row>
    <row r="683">
      <c r="A683" s="7">
        <f>IFERROR(__xludf.DUMMYFUNCTION("""COMPUTED_VALUE"""),7.0)</f>
        <v>7</v>
      </c>
      <c r="B683" s="7" t="str">
        <f>IFERROR(__xludf.DUMMYFUNCTION("""COMPUTED_VALUE"""),"DC5-PXSX2")</f>
        <v>DC5-PXSX2</v>
      </c>
      <c r="C683" s="7" t="str">
        <f>IFERROR(__xludf.DUMMYFUNCTION("""COMPUTED_VALUE"""),"Bộ phận Nguyên liệu và Dây chuyền gia công")</f>
        <v>Bộ phận Nguyên liệu và Dây chuyền gia công</v>
      </c>
      <c r="D683" s="7" t="str">
        <f>IFERROR(__xludf.DUMMYFUNCTION("""COMPUTED_VALUE"""),"Nghiền - Sấy phun Ca B - DC5")</f>
        <v>Nghiền - Sấy phun Ca B - DC5</v>
      </c>
      <c r="E683" s="7" t="str">
        <f>IFERROR(__xludf.DUMMYFUNCTION("""COMPUTED_VALUE"""),"Tổ phó")</f>
        <v>Tổ phó</v>
      </c>
      <c r="F683" s="7" t="str">
        <f>IFERROR(__xludf.DUMMYFUNCTION("""COMPUTED_VALUE"""),"NV1711")</f>
        <v>NV1711</v>
      </c>
      <c r="G683" s="7">
        <f>IFERROR(__xludf.DUMMYFUNCTION("""COMPUTED_VALUE"""),856.0)</f>
        <v>856</v>
      </c>
      <c r="H683" s="7" t="str">
        <f>IFERROR(__xludf.DUMMYFUNCTION("""COMPUTED_VALUE"""),"Hoàng Văn Đông")</f>
        <v>Hoàng Văn Đông</v>
      </c>
      <c r="I683" s="7" t="str">
        <f>IFERROR(__xludf.DUMMYFUNCTION("""COMPUTED_VALUE"""),"Nam")</f>
        <v>Nam</v>
      </c>
      <c r="J683" s="17">
        <f>IFERROR(__xludf.DUMMYFUNCTION("""COMPUTED_VALUE"""),34190.0)</f>
        <v>34190</v>
      </c>
      <c r="K683" s="7" t="str">
        <f>IFERROR(__xludf.DUMMYFUNCTION("""COMPUTED_VALUE"""),"Quảng Trường - Quảng Xương - Thanh Hóa - Thanh Hóa")</f>
        <v>Quảng Trường - Quảng Xương - Thanh Hóa - Thanh Hóa</v>
      </c>
      <c r="L683" s="7" t="str">
        <f>IFERROR(__xludf.DUMMYFUNCTION("""COMPUTED_VALUE"""),"0964646854")</f>
        <v>0964646854</v>
      </c>
      <c r="M683" s="7" t="str">
        <f>IFERROR(__xludf.DUMMYFUNCTION("""COMPUTED_VALUE"""),"038093019735")</f>
        <v>038093019735</v>
      </c>
      <c r="N683" s="19">
        <f>IFERROR(__xludf.DUMMYFUNCTION("""COMPUTED_VALUE"""),45095.0)</f>
        <v>45095</v>
      </c>
      <c r="O683" s="7" t="str">
        <f>IFERROR(__xludf.DUMMYFUNCTION("""COMPUTED_VALUE"""),"Cục Cảnh sát QLHC về TTXH")</f>
        <v>Cục Cảnh sát QLHC về TTXH</v>
      </c>
      <c r="P683" s="7" t="str">
        <f>IFERROR(__xludf.DUMMYFUNCTION("""COMPUTED_VALUE"""),"LĐPT")</f>
        <v>LĐPT</v>
      </c>
      <c r="Q683" s="7" t="str">
        <f>IFERROR(__xludf.DUMMYFUNCTION("""COMPUTED_VALUE"""),"Lao động phổ thông")</f>
        <v>Lao động phổ thông</v>
      </c>
      <c r="R683" s="17">
        <f>IFERROR(__xludf.DUMMYFUNCTION("""COMPUTED_VALUE"""),42420.0)</f>
        <v>42420</v>
      </c>
      <c r="S683" s="17">
        <f>IFERROR(__xludf.DUMMYFUNCTION("""COMPUTED_VALUE"""),42856.0)</f>
        <v>42856</v>
      </c>
      <c r="T683" s="7" t="str">
        <f>IFERROR(__xludf.DUMMYFUNCTION("""COMPUTED_VALUE"""),"Chính thức")</f>
        <v>Chính thức</v>
      </c>
      <c r="U683" s="7"/>
      <c r="V683" s="7" t="str">
        <f>IFERROR(__xludf.DUMMYFUNCTION("""COMPUTED_VALUE"""),"Chính thức")</f>
        <v>Chính thức</v>
      </c>
      <c r="W683" s="7" t="str">
        <f>IFERROR(__xludf.DUMMYFUNCTION("""COMPUTED_VALUE"""),"9 năm 10 tháng")</f>
        <v>9 năm 10 tháng</v>
      </c>
      <c r="X683" s="7"/>
      <c r="Y683" s="7"/>
      <c r="Z683" s="7"/>
    </row>
    <row r="684">
      <c r="A684" s="7">
        <f>IFERROR(__xludf.DUMMYFUNCTION("""COMPUTED_VALUE"""),1.0)</f>
        <v>1</v>
      </c>
      <c r="B684" s="7" t="str">
        <f>IFERROR(__xludf.DUMMYFUNCTION("""COMPUTED_VALUE"""),"DC6-PXSX2")</f>
        <v>DC6-PXSX2</v>
      </c>
      <c r="C684" s="7" t="str">
        <f>IFERROR(__xludf.DUMMYFUNCTION("""COMPUTED_VALUE"""),"Bộ phận Nguyên liệu và Dây chuyền gia công")</f>
        <v>Bộ phận Nguyên liệu và Dây chuyền gia công</v>
      </c>
      <c r="D684" s="7" t="str">
        <f>IFERROR(__xludf.DUMMYFUNCTION("""COMPUTED_VALUE"""),"Nghiền - Sấy phun Ca A - DC6")</f>
        <v>Nghiền - Sấy phun Ca A - DC6</v>
      </c>
      <c r="E684" s="7" t="str">
        <f>IFERROR(__xludf.DUMMYFUNCTION("""COMPUTED_VALUE"""),"Tổ phó")</f>
        <v>Tổ phó</v>
      </c>
      <c r="F684" s="7" t="str">
        <f>IFERROR(__xludf.DUMMYFUNCTION("""COMPUTED_VALUE"""),"NV1903")</f>
        <v>NV1903</v>
      </c>
      <c r="G684" s="7">
        <f>IFERROR(__xludf.DUMMYFUNCTION("""COMPUTED_VALUE"""),469.0)</f>
        <v>469</v>
      </c>
      <c r="H684" s="7" t="str">
        <f>IFERROR(__xludf.DUMMYFUNCTION("""COMPUTED_VALUE"""),"Nguyễn Thế Tài")</f>
        <v>Nguyễn Thế Tài</v>
      </c>
      <c r="I684" s="7" t="str">
        <f>IFERROR(__xludf.DUMMYFUNCTION("""COMPUTED_VALUE"""),"Nam")</f>
        <v>Nam</v>
      </c>
      <c r="J684" s="17">
        <f>IFERROR(__xludf.DUMMYFUNCTION("""COMPUTED_VALUE"""),30318.0)</f>
        <v>30318</v>
      </c>
      <c r="K684" s="7" t="str">
        <f>IFERROR(__xludf.DUMMYFUNCTION("""COMPUTED_VALUE"""),"Thôn 1 -  Xã Quảng Đại -  Thành phố Sầm Sơn -  Thanh Hóa - ")</f>
        <v>Thôn 1 -  Xã Quảng Đại -  Thành phố Sầm Sơn -  Thanh Hóa - </v>
      </c>
      <c r="L684" s="7" t="str">
        <f>IFERROR(__xludf.DUMMYFUNCTION("""COMPUTED_VALUE"""),"0987547105")</f>
        <v>0987547105</v>
      </c>
      <c r="M684" s="7" t="str">
        <f>IFERROR(__xludf.DUMMYFUNCTION("""COMPUTED_VALUE"""),"038083022335")</f>
        <v>038083022335</v>
      </c>
      <c r="N684" s="19">
        <f>IFERROR(__xludf.DUMMYFUNCTION("""COMPUTED_VALUE"""),44308.0)</f>
        <v>44308</v>
      </c>
      <c r="O684" s="7" t="str">
        <f>IFERROR(__xludf.DUMMYFUNCTION("""COMPUTED_VALUE"""),"Cục Cảnh sát QLHC về TTXH")</f>
        <v>Cục Cảnh sát QLHC về TTXH</v>
      </c>
      <c r="P684" s="7" t="str">
        <f>IFERROR(__xludf.DUMMYFUNCTION("""COMPUTED_VALUE"""),"LĐPT")</f>
        <v>LĐPT</v>
      </c>
      <c r="Q684" s="7" t="str">
        <f>IFERROR(__xludf.DUMMYFUNCTION("""COMPUTED_VALUE"""),"Lao động phổ thông")</f>
        <v>Lao động phổ thông</v>
      </c>
      <c r="R684" s="17">
        <f>IFERROR(__xludf.DUMMYFUNCTION("""COMPUTED_VALUE"""),43383.0)</f>
        <v>43383</v>
      </c>
      <c r="S684" s="17">
        <f>IFERROR(__xludf.DUMMYFUNCTION("""COMPUTED_VALUE"""),43739.0)</f>
        <v>43739</v>
      </c>
      <c r="T684" s="7" t="str">
        <f>IFERROR(__xludf.DUMMYFUNCTION("""COMPUTED_VALUE"""),"Chính thức")</f>
        <v>Chính thức</v>
      </c>
      <c r="U684" s="7"/>
      <c r="V684" s="7" t="str">
        <f>IFERROR(__xludf.DUMMYFUNCTION("""COMPUTED_VALUE"""),"Chính thức")</f>
        <v>Chính thức</v>
      </c>
      <c r="W684" s="7" t="str">
        <f>IFERROR(__xludf.DUMMYFUNCTION("""COMPUTED_VALUE"""),"7 năm 2 tháng")</f>
        <v>7 năm 2 tháng</v>
      </c>
      <c r="X684" s="7"/>
      <c r="Y684" s="7"/>
      <c r="Z684" s="7"/>
    </row>
    <row r="685">
      <c r="A685" s="7">
        <f>IFERROR(__xludf.DUMMYFUNCTION("""COMPUTED_VALUE"""),2.0)</f>
        <v>2</v>
      </c>
      <c r="B685" s="7" t="str">
        <f>IFERROR(__xludf.DUMMYFUNCTION("""COMPUTED_VALUE"""),"DC6-PXSX2")</f>
        <v>DC6-PXSX2</v>
      </c>
      <c r="C685" s="7" t="str">
        <f>IFERROR(__xludf.DUMMYFUNCTION("""COMPUTED_VALUE"""),"Bộ phận Nguyên liệu và Dây chuyền gia công")</f>
        <v>Bộ phận Nguyên liệu và Dây chuyền gia công</v>
      </c>
      <c r="D685" s="7" t="str">
        <f>IFERROR(__xludf.DUMMYFUNCTION("""COMPUTED_VALUE"""),"Nghiền - Sấy phun Ca A - DC6")</f>
        <v>Nghiền - Sấy phun Ca A - DC6</v>
      </c>
      <c r="E685" s="7" t="str">
        <f>IFERROR(__xludf.DUMMYFUNCTION("""COMPUTED_VALUE"""),"VH chính sấy phun mức 1")</f>
        <v>VH chính sấy phun mức 1</v>
      </c>
      <c r="F685" s="7" t="str">
        <f>IFERROR(__xludf.DUMMYFUNCTION("""COMPUTED_VALUE"""),"NV0538")</f>
        <v>NV0538</v>
      </c>
      <c r="G685" s="7">
        <f>IFERROR(__xludf.DUMMYFUNCTION("""COMPUTED_VALUE"""),410.0)</f>
        <v>410</v>
      </c>
      <c r="H685" s="7" t="str">
        <f>IFERROR(__xludf.DUMMYFUNCTION("""COMPUTED_VALUE"""),"Đỗ Như Giang")</f>
        <v>Đỗ Như Giang</v>
      </c>
      <c r="I685" s="7" t="str">
        <f>IFERROR(__xludf.DUMMYFUNCTION("""COMPUTED_VALUE"""),"Nam")</f>
        <v>Nam</v>
      </c>
      <c r="J685" s="17">
        <f>IFERROR(__xludf.DUMMYFUNCTION("""COMPUTED_VALUE"""),30988.0)</f>
        <v>30988</v>
      </c>
      <c r="K685" s="7" t="str">
        <f>IFERROR(__xludf.DUMMYFUNCTION("""COMPUTED_VALUE"""),"KP.Yên Định -  Xã Quảng Châu -  Thành phố Sầm Sơn -  Thanh Hóa")</f>
        <v>KP.Yên Định -  Xã Quảng Châu -  Thành phố Sầm Sơn -  Thanh Hóa</v>
      </c>
      <c r="L685" s="7" t="str">
        <f>IFERROR(__xludf.DUMMYFUNCTION("""COMPUTED_VALUE"""),"0396253607")</f>
        <v>0396253607</v>
      </c>
      <c r="M685" s="7" t="str">
        <f>IFERROR(__xludf.DUMMYFUNCTION("""COMPUTED_VALUE"""),"038084048870")</f>
        <v>038084048870</v>
      </c>
      <c r="N685" s="19">
        <f>IFERROR(__xludf.DUMMYFUNCTION("""COMPUTED_VALUE"""),44428.0)</f>
        <v>44428</v>
      </c>
      <c r="O685" s="7" t="str">
        <f>IFERROR(__xludf.DUMMYFUNCTION("""COMPUTED_VALUE"""),"Cục Cảnh sát QLHC về TTXH")</f>
        <v>Cục Cảnh sát QLHC về TTXH</v>
      </c>
      <c r="P685" s="7" t="str">
        <f>IFERROR(__xludf.DUMMYFUNCTION("""COMPUTED_VALUE"""),"LĐPT")</f>
        <v>LĐPT</v>
      </c>
      <c r="Q685" s="7" t="str">
        <f>IFERROR(__xludf.DUMMYFUNCTION("""COMPUTED_VALUE"""),"Lao động phổ thông")</f>
        <v>Lao động phổ thông</v>
      </c>
      <c r="R685" s="17">
        <f>IFERROR(__xludf.DUMMYFUNCTION("""COMPUTED_VALUE"""),41382.0)</f>
        <v>41382</v>
      </c>
      <c r="S685" s="17">
        <f>IFERROR(__xludf.DUMMYFUNCTION("""COMPUTED_VALUE"""),41382.0)</f>
        <v>41382</v>
      </c>
      <c r="T685" s="7" t="str">
        <f>IFERROR(__xludf.DUMMYFUNCTION("""COMPUTED_VALUE"""),"Chính thức")</f>
        <v>Chính thức</v>
      </c>
      <c r="U685" s="7"/>
      <c r="V685" s="7" t="str">
        <f>IFERROR(__xludf.DUMMYFUNCTION("""COMPUTED_VALUE"""),"Chính thức")</f>
        <v>Chính thức</v>
      </c>
      <c r="W685" s="7" t="str">
        <f>IFERROR(__xludf.DUMMYFUNCTION("""COMPUTED_VALUE"""),"12 năm 8 tháng")</f>
        <v>12 năm 8 tháng</v>
      </c>
      <c r="X685" s="7"/>
      <c r="Y685" s="7"/>
      <c r="Z685" s="7"/>
    </row>
    <row r="686">
      <c r="A686" s="7">
        <f>IFERROR(__xludf.DUMMYFUNCTION("""COMPUTED_VALUE"""),3.0)</f>
        <v>3</v>
      </c>
      <c r="B686" s="7" t="str">
        <f>IFERROR(__xludf.DUMMYFUNCTION("""COMPUTED_VALUE"""),"DC6-PXSX2")</f>
        <v>DC6-PXSX2</v>
      </c>
      <c r="C686" s="7" t="str">
        <f>IFERROR(__xludf.DUMMYFUNCTION("""COMPUTED_VALUE"""),"Bộ phận Nguyên liệu và Dây chuyền gia công")</f>
        <v>Bộ phận Nguyên liệu và Dây chuyền gia công</v>
      </c>
      <c r="D686" s="7" t="str">
        <f>IFERROR(__xludf.DUMMYFUNCTION("""COMPUTED_VALUE"""),"Nghiền - Sấy phun Ca A - DC6")</f>
        <v>Nghiền - Sấy phun Ca A - DC6</v>
      </c>
      <c r="E686" s="7" t="str">
        <f>IFERROR(__xludf.DUMMYFUNCTION("""COMPUTED_VALUE"""),"VHC Nạp nghiền")</f>
        <v>VHC Nạp nghiền</v>
      </c>
      <c r="F686" s="7" t="str">
        <f>IFERROR(__xludf.DUMMYFUNCTION("""COMPUTED_VALUE"""),"NV0543")</f>
        <v>NV0543</v>
      </c>
      <c r="G686" s="7">
        <f>IFERROR(__xludf.DUMMYFUNCTION("""COMPUTED_VALUE"""),450.0)</f>
        <v>450</v>
      </c>
      <c r="H686" s="7" t="str">
        <f>IFERROR(__xludf.DUMMYFUNCTION("""COMPUTED_VALUE"""),"Hoàng Văn Hùng")</f>
        <v>Hoàng Văn Hùng</v>
      </c>
      <c r="I686" s="7" t="str">
        <f>IFERROR(__xludf.DUMMYFUNCTION("""COMPUTED_VALUE"""),"Nam")</f>
        <v>Nam</v>
      </c>
      <c r="J686" s="17">
        <f>IFERROR(__xludf.DUMMYFUNCTION("""COMPUTED_VALUE"""),31649.0)</f>
        <v>31649</v>
      </c>
      <c r="K686" s="7" t="str">
        <f>IFERROR(__xludf.DUMMYFUNCTION("""COMPUTED_VALUE"""),"Thôn 4 -  Xã Quảng Cát -  Thành phố Thanh Hóa")</f>
        <v>Thôn 4 -  Xã Quảng Cát -  Thành phố Thanh Hóa</v>
      </c>
      <c r="L686" s="7" t="str">
        <f>IFERROR(__xludf.DUMMYFUNCTION("""COMPUTED_VALUE"""),"0988115292")</f>
        <v>0988115292</v>
      </c>
      <c r="M686" s="7" t="str">
        <f>IFERROR(__xludf.DUMMYFUNCTION("""COMPUTED_VALUE"""),"038086044934")</f>
        <v>038086044934</v>
      </c>
      <c r="N686" s="19">
        <f>IFERROR(__xludf.DUMMYFUNCTION("""COMPUTED_VALUE"""),44422.0)</f>
        <v>44422</v>
      </c>
      <c r="O686" s="7" t="str">
        <f>IFERROR(__xludf.DUMMYFUNCTION("""COMPUTED_VALUE"""),"Cục Cảnh sát QLHC về TTXH")</f>
        <v>Cục Cảnh sát QLHC về TTXH</v>
      </c>
      <c r="P686" s="7" t="str">
        <f>IFERROR(__xludf.DUMMYFUNCTION("""COMPUTED_VALUE"""),"Trung cấp")</f>
        <v>Trung cấp</v>
      </c>
      <c r="Q686" s="7" t="str">
        <f>IFERROR(__xludf.DUMMYFUNCTION("""COMPUTED_VALUE"""),"Thợ nề")</f>
        <v>Thợ nề</v>
      </c>
      <c r="R686" s="17">
        <f>IFERROR(__xludf.DUMMYFUNCTION("""COMPUTED_VALUE"""),42156.0)</f>
        <v>42156</v>
      </c>
      <c r="S686" s="17">
        <f>IFERROR(__xludf.DUMMYFUNCTION("""COMPUTED_VALUE"""),42156.0)</f>
        <v>42156</v>
      </c>
      <c r="T686" s="7" t="str">
        <f>IFERROR(__xludf.DUMMYFUNCTION("""COMPUTED_VALUE"""),"Chính thức")</f>
        <v>Chính thức</v>
      </c>
      <c r="U686" s="7"/>
      <c r="V686" s="7" t="str">
        <f>IFERROR(__xludf.DUMMYFUNCTION("""COMPUTED_VALUE"""),"Chính thức")</f>
        <v>Chính thức</v>
      </c>
      <c r="W686" s="7" t="str">
        <f>IFERROR(__xludf.DUMMYFUNCTION("""COMPUTED_VALUE"""),"10 năm 6 tháng")</f>
        <v>10 năm 6 tháng</v>
      </c>
      <c r="X686" s="7"/>
      <c r="Y686" s="7"/>
      <c r="Z686" s="7"/>
    </row>
    <row r="687">
      <c r="A687" s="7">
        <f>IFERROR(__xludf.DUMMYFUNCTION("""COMPUTED_VALUE"""),4.0)</f>
        <v>4</v>
      </c>
      <c r="B687" s="7" t="str">
        <f>IFERROR(__xludf.DUMMYFUNCTION("""COMPUTED_VALUE"""),"DC6-PXSX2")</f>
        <v>DC6-PXSX2</v>
      </c>
      <c r="C687" s="7" t="str">
        <f>IFERROR(__xludf.DUMMYFUNCTION("""COMPUTED_VALUE"""),"Bộ phận Nguyên liệu và Dây chuyền gia công")</f>
        <v>Bộ phận Nguyên liệu và Dây chuyền gia công</v>
      </c>
      <c r="D687" s="7" t="str">
        <f>IFERROR(__xludf.DUMMYFUNCTION("""COMPUTED_VALUE"""),"Nghiền - Sấy phun Ca A - DC6")</f>
        <v>Nghiền - Sấy phun Ca A - DC6</v>
      </c>
      <c r="E687" s="7" t="str">
        <f>IFERROR(__xludf.DUMMYFUNCTION("""COMPUTED_VALUE"""),"VHC than xích")</f>
        <v>VHC than xích</v>
      </c>
      <c r="F687" s="7" t="str">
        <f>IFERROR(__xludf.DUMMYFUNCTION("""COMPUTED_VALUE"""),"NV4180")</f>
        <v>NV4180</v>
      </c>
      <c r="G687" s="7">
        <f>IFERROR(__xludf.DUMMYFUNCTION("""COMPUTED_VALUE"""),408.0)</f>
        <v>408</v>
      </c>
      <c r="H687" s="7" t="str">
        <f>IFERROR(__xludf.DUMMYFUNCTION("""COMPUTED_VALUE"""),"Lê Hữu An")</f>
        <v>Lê Hữu An</v>
      </c>
      <c r="I687" s="7" t="str">
        <f>IFERROR(__xludf.DUMMYFUNCTION("""COMPUTED_VALUE"""),"Nam")</f>
        <v>Nam</v>
      </c>
      <c r="J687" s="17">
        <f>IFERROR(__xludf.DUMMYFUNCTION("""COMPUTED_VALUE"""),28665.0)</f>
        <v>28665</v>
      </c>
      <c r="K687" s="7" t="str">
        <f>IFERROR(__xludf.DUMMYFUNCTION("""COMPUTED_VALUE"""),"Phường Lam Sơn -  Thành phố Thanh Hóa - ")</f>
        <v>Phường Lam Sơn -  Thành phố Thanh Hóa - </v>
      </c>
      <c r="L687" s="7" t="str">
        <f>IFERROR(__xludf.DUMMYFUNCTION("""COMPUTED_VALUE"""),"0977984877")</f>
        <v>0977984877</v>
      </c>
      <c r="M687" s="7" t="str">
        <f>IFERROR(__xludf.DUMMYFUNCTION("""COMPUTED_VALUE"""),"038078011113")</f>
        <v>038078011113</v>
      </c>
      <c r="N687" s="19">
        <f>IFERROR(__xludf.DUMMYFUNCTION("""COMPUTED_VALUE"""),44418.0)</f>
        <v>44418</v>
      </c>
      <c r="O687" s="7" t="str">
        <f>IFERROR(__xludf.DUMMYFUNCTION("""COMPUTED_VALUE"""),"Cục Cảnh sát QLHC về TTXH")</f>
        <v>Cục Cảnh sát QLHC về TTXH</v>
      </c>
      <c r="P687" s="7" t="str">
        <f>IFERROR(__xludf.DUMMYFUNCTION("""COMPUTED_VALUE"""),"LĐPT")</f>
        <v>LĐPT</v>
      </c>
      <c r="Q687" s="7" t="str">
        <f>IFERROR(__xludf.DUMMYFUNCTION("""COMPUTED_VALUE"""),"Lao động phổ thông")</f>
        <v>Lao động phổ thông</v>
      </c>
      <c r="R687" s="17">
        <f>IFERROR(__xludf.DUMMYFUNCTION("""COMPUTED_VALUE"""),44690.0)</f>
        <v>44690</v>
      </c>
      <c r="S687" s="17">
        <f>IFERROR(__xludf.DUMMYFUNCTION("""COMPUTED_VALUE"""),44986.0)</f>
        <v>44986</v>
      </c>
      <c r="T687" s="7" t="str">
        <f>IFERROR(__xludf.DUMMYFUNCTION("""COMPUTED_VALUE"""),"Chính thức")</f>
        <v>Chính thức</v>
      </c>
      <c r="U687" s="7"/>
      <c r="V687" s="7" t="str">
        <f>IFERROR(__xludf.DUMMYFUNCTION("""COMPUTED_VALUE"""),"Chính thức")</f>
        <v>Chính thức</v>
      </c>
      <c r="W687" s="7" t="str">
        <f>IFERROR(__xludf.DUMMYFUNCTION("""COMPUTED_VALUE"""),"3 năm 7 tháng")</f>
        <v>3 năm 7 tháng</v>
      </c>
      <c r="X687" s="7"/>
      <c r="Y687" s="7"/>
      <c r="Z687" s="7"/>
    </row>
    <row r="688">
      <c r="A688" s="7">
        <f>IFERROR(__xludf.DUMMYFUNCTION("""COMPUTED_VALUE"""),5.0)</f>
        <v>5</v>
      </c>
      <c r="B688" s="7" t="str">
        <f>IFERROR(__xludf.DUMMYFUNCTION("""COMPUTED_VALUE"""),"DC6-PXSX2")</f>
        <v>DC6-PXSX2</v>
      </c>
      <c r="C688" s="7" t="str">
        <f>IFERROR(__xludf.DUMMYFUNCTION("""COMPUTED_VALUE"""),"Bộ phận Nguyên liệu và Dây chuyền gia công")</f>
        <v>Bộ phận Nguyên liệu và Dây chuyền gia công</v>
      </c>
      <c r="D688" s="7" t="str">
        <f>IFERROR(__xludf.DUMMYFUNCTION("""COMPUTED_VALUE"""),"Nghiền - Sấy phun Ca A - DC6")</f>
        <v>Nghiền - Sấy phun Ca A - DC6</v>
      </c>
      <c r="E688" s="7"/>
      <c r="F688" s="7" t="str">
        <f>IFERROR(__xludf.DUMMYFUNCTION("""COMPUTED_VALUE"""),"NV5209")</f>
        <v>NV5209</v>
      </c>
      <c r="G688" s="7">
        <f>IFERROR(__xludf.DUMMYFUNCTION("""COMPUTED_VALUE"""),411.0)</f>
        <v>411</v>
      </c>
      <c r="H688" s="7" t="str">
        <f>IFERROR(__xludf.DUMMYFUNCTION("""COMPUTED_VALUE"""),"Trương Đình Huấn")</f>
        <v>Trương Đình Huấn</v>
      </c>
      <c r="I688" s="7" t="str">
        <f>IFERROR(__xludf.DUMMYFUNCTION("""COMPUTED_VALUE"""),"Nam")</f>
        <v>Nam</v>
      </c>
      <c r="J688" s="17">
        <f>IFERROR(__xludf.DUMMYFUNCTION("""COMPUTED_VALUE"""),29869.0)</f>
        <v>29869</v>
      </c>
      <c r="K688" s="7" t="str">
        <f>IFERROR(__xludf.DUMMYFUNCTION("""COMPUTED_VALUE"""),"Quảng Đại -  Sầm Sơn -  Thanh Hóa")</f>
        <v>Quảng Đại -  Sầm Sơn -  Thanh Hóa</v>
      </c>
      <c r="L688" s="7" t="str">
        <f>IFERROR(__xludf.DUMMYFUNCTION("""COMPUTED_VALUE"""),"0962797234")</f>
        <v>0962797234</v>
      </c>
      <c r="M688" s="7" t="str">
        <f>IFERROR(__xludf.DUMMYFUNCTION("""COMPUTED_VALUE"""),"038081026926")</f>
        <v>038081026926</v>
      </c>
      <c r="N688" s="19">
        <f>IFERROR(__xludf.DUMMYFUNCTION("""COMPUTED_VALUE"""),44333.0)</f>
        <v>44333</v>
      </c>
      <c r="O688" s="7" t="str">
        <f>IFERROR(__xludf.DUMMYFUNCTION("""COMPUTED_VALUE"""),"Cục Cảnh sát QLHC về TTXH")</f>
        <v>Cục Cảnh sát QLHC về TTXH</v>
      </c>
      <c r="P688" s="7" t="str">
        <f>IFERROR(__xludf.DUMMYFUNCTION("""COMPUTED_VALUE"""),"LĐPT")</f>
        <v>LĐPT</v>
      </c>
      <c r="Q688" s="7" t="str">
        <f>IFERROR(__xludf.DUMMYFUNCTION("""COMPUTED_VALUE"""),"Lao động phổ thông")</f>
        <v>Lao động phổ thông</v>
      </c>
      <c r="R688" s="7"/>
      <c r="S688" s="7"/>
      <c r="T688" s="7" t="str">
        <f>IFERROR(__xludf.DUMMYFUNCTION("""COMPUTED_VALUE"""),"Chính thức")</f>
        <v>Chính thức</v>
      </c>
      <c r="U688" s="7"/>
      <c r="V688" s="7" t="str">
        <f>IFERROR(__xludf.DUMMYFUNCTION("""COMPUTED_VALUE"""),"Chính thức")</f>
        <v>Chính thức</v>
      </c>
      <c r="W688" s="7"/>
      <c r="X688" s="7"/>
      <c r="Y688" s="7"/>
      <c r="Z688" s="7"/>
    </row>
    <row r="689">
      <c r="A689" s="7">
        <f>IFERROR(__xludf.DUMMYFUNCTION("""COMPUTED_VALUE"""),1.0)</f>
        <v>1</v>
      </c>
      <c r="B689" s="7" t="str">
        <f>IFERROR(__xludf.DUMMYFUNCTION("""COMPUTED_VALUE"""),"DC6-PXSX2")</f>
        <v>DC6-PXSX2</v>
      </c>
      <c r="C689" s="7" t="str">
        <f>IFERROR(__xludf.DUMMYFUNCTION("""COMPUTED_VALUE"""),"Bộ phận Nguyên liệu và Dây chuyền gia công")</f>
        <v>Bộ phận Nguyên liệu và Dây chuyền gia công</v>
      </c>
      <c r="D689" s="7" t="str">
        <f>IFERROR(__xludf.DUMMYFUNCTION("""COMPUTED_VALUE"""),"Nghiền - Sấy phun Ca B - DC6")</f>
        <v>Nghiền - Sấy phun Ca B - DC6</v>
      </c>
      <c r="E689" s="7" t="str">
        <f>IFERROR(__xludf.DUMMYFUNCTION("""COMPUTED_VALUE"""),"VH Nạp nghiền")</f>
        <v>VH Nạp nghiền</v>
      </c>
      <c r="F689" s="7" t="str">
        <f>IFERROR(__xludf.DUMMYFUNCTION("""COMPUTED_VALUE"""),"NV3316")</f>
        <v>NV3316</v>
      </c>
      <c r="G689" s="7">
        <f>IFERROR(__xludf.DUMMYFUNCTION("""COMPUTED_VALUE"""),542.0)</f>
        <v>542</v>
      </c>
      <c r="H689" s="7" t="str">
        <f>IFERROR(__xludf.DUMMYFUNCTION("""COMPUTED_VALUE"""),"Nguyễn Văn Mạnh")</f>
        <v>Nguyễn Văn Mạnh</v>
      </c>
      <c r="I689" s="7" t="str">
        <f>IFERROR(__xludf.DUMMYFUNCTION("""COMPUTED_VALUE"""),"Nam")</f>
        <v>Nam</v>
      </c>
      <c r="J689" s="17">
        <f>IFERROR(__xludf.DUMMYFUNCTION("""COMPUTED_VALUE"""),33274.0)</f>
        <v>33274</v>
      </c>
      <c r="K689" s="7" t="str">
        <f>IFERROR(__xludf.DUMMYFUNCTION("""COMPUTED_VALUE"""),"Thôn Tân Trúc -  Xã Quảng Tân -  Huyện Quảng Xương -  Thanh Hóa -  Việt Nam")</f>
        <v>Thôn Tân Trúc -  Xã Quảng Tân -  Huyện Quảng Xương -  Thanh Hóa -  Việt Nam</v>
      </c>
      <c r="L689" s="7" t="str">
        <f>IFERROR(__xludf.DUMMYFUNCTION("""COMPUTED_VALUE"""),"0931364027")</f>
        <v>0931364027</v>
      </c>
      <c r="M689" s="7" t="str">
        <f>IFERROR(__xludf.DUMMYFUNCTION("""COMPUTED_VALUE"""),"038091020766")</f>
        <v>038091020766</v>
      </c>
      <c r="N689" s="19">
        <f>IFERROR(__xludf.DUMMYFUNCTION("""COMPUTED_VALUE"""),44004.0)</f>
        <v>44004</v>
      </c>
      <c r="O689" s="7" t="str">
        <f>IFERROR(__xludf.DUMMYFUNCTION("""COMPUTED_VALUE"""),"Cục Cảnh sát QLHC về TTXH")</f>
        <v>Cục Cảnh sát QLHC về TTXH</v>
      </c>
      <c r="P689" s="7" t="str">
        <f>IFERROR(__xludf.DUMMYFUNCTION("""COMPUTED_VALUE"""),"LĐPT")</f>
        <v>LĐPT</v>
      </c>
      <c r="Q689" s="7" t="str">
        <f>IFERROR(__xludf.DUMMYFUNCTION("""COMPUTED_VALUE"""),"Lao động phổ thông")</f>
        <v>Lao động phổ thông</v>
      </c>
      <c r="R689" s="17">
        <f>IFERROR(__xludf.DUMMYFUNCTION("""COMPUTED_VALUE"""),44117.0)</f>
        <v>44117</v>
      </c>
      <c r="S689" s="17">
        <f>IFERROR(__xludf.DUMMYFUNCTION("""COMPUTED_VALUE"""),44409.0)</f>
        <v>44409</v>
      </c>
      <c r="T689" s="7" t="str">
        <f>IFERROR(__xludf.DUMMYFUNCTION("""COMPUTED_VALUE"""),"Chính thức")</f>
        <v>Chính thức</v>
      </c>
      <c r="U689" s="7"/>
      <c r="V689" s="7" t="str">
        <f>IFERROR(__xludf.DUMMYFUNCTION("""COMPUTED_VALUE"""),"Chính thức")</f>
        <v>Chính thức</v>
      </c>
      <c r="W689" s="7" t="str">
        <f>IFERROR(__xludf.DUMMYFUNCTION("""COMPUTED_VALUE"""),"5 năm 2 tháng")</f>
        <v>5 năm 2 tháng</v>
      </c>
      <c r="X689" s="7"/>
      <c r="Y689" s="7"/>
      <c r="Z689" s="7"/>
    </row>
    <row r="690">
      <c r="A690" s="7">
        <f>IFERROR(__xludf.DUMMYFUNCTION("""COMPUTED_VALUE"""),2.0)</f>
        <v>2</v>
      </c>
      <c r="B690" s="7" t="str">
        <f>IFERROR(__xludf.DUMMYFUNCTION("""COMPUTED_VALUE"""),"DC6-PXSX2")</f>
        <v>DC6-PXSX2</v>
      </c>
      <c r="C690" s="7" t="str">
        <f>IFERROR(__xludf.DUMMYFUNCTION("""COMPUTED_VALUE"""),"Bộ phận Nguyên liệu và Dây chuyền gia công")</f>
        <v>Bộ phận Nguyên liệu và Dây chuyền gia công</v>
      </c>
      <c r="D690" s="7" t="str">
        <f>IFERROR(__xludf.DUMMYFUNCTION("""COMPUTED_VALUE"""),"Nghiền - Sấy phun Ca B - DC6")</f>
        <v>Nghiền - Sấy phun Ca B - DC6</v>
      </c>
      <c r="E690" s="7" t="str">
        <f>IFERROR(__xludf.DUMMYFUNCTION("""COMPUTED_VALUE"""),"Tổ phó")</f>
        <v>Tổ phó</v>
      </c>
      <c r="F690" s="7" t="str">
        <f>IFERROR(__xludf.DUMMYFUNCTION("""COMPUTED_VALUE"""),"NV0542")</f>
        <v>NV0542</v>
      </c>
      <c r="G690" s="7">
        <f>IFERROR(__xludf.DUMMYFUNCTION("""COMPUTED_VALUE"""),406.0)</f>
        <v>406</v>
      </c>
      <c r="H690" s="7" t="str">
        <f>IFERROR(__xludf.DUMMYFUNCTION("""COMPUTED_VALUE"""),"Bùi Công Thạch")</f>
        <v>Bùi Công Thạch</v>
      </c>
      <c r="I690" s="7" t="str">
        <f>IFERROR(__xludf.DUMMYFUNCTION("""COMPUTED_VALUE"""),"Nam")</f>
        <v>Nam</v>
      </c>
      <c r="J690" s="17">
        <f>IFERROR(__xludf.DUMMYFUNCTION("""COMPUTED_VALUE"""),30957.0)</f>
        <v>30957</v>
      </c>
      <c r="K690" s="7" t="str">
        <f>IFERROR(__xludf.DUMMYFUNCTION("""COMPUTED_VALUE"""),"Xã Quảng Hòa -  Huyện Quảng Xương -  Thanh Hóa - ")</f>
        <v>Xã Quảng Hòa -  Huyện Quảng Xương -  Thanh Hóa - </v>
      </c>
      <c r="L690" s="7" t="str">
        <f>IFERROR(__xludf.DUMMYFUNCTION("""COMPUTED_VALUE"""),"0945243381")</f>
        <v>0945243381</v>
      </c>
      <c r="M690" s="7" t="str">
        <f>IFERROR(__xludf.DUMMYFUNCTION("""COMPUTED_VALUE"""),"038084017974")</f>
        <v>038084017974</v>
      </c>
      <c r="N690" s="19">
        <f>IFERROR(__xludf.DUMMYFUNCTION("""COMPUTED_VALUE"""),44419.0)</f>
        <v>44419</v>
      </c>
      <c r="O690" s="7" t="str">
        <f>IFERROR(__xludf.DUMMYFUNCTION("""COMPUTED_VALUE"""),"Cục Cảnh sát QLHC về TTXH")</f>
        <v>Cục Cảnh sát QLHC về TTXH</v>
      </c>
      <c r="P690" s="7" t="str">
        <f>IFERROR(__xludf.DUMMYFUNCTION("""COMPUTED_VALUE"""),"LĐPT")</f>
        <v>LĐPT</v>
      </c>
      <c r="Q690" s="7" t="str">
        <f>IFERROR(__xludf.DUMMYFUNCTION("""COMPUTED_VALUE"""),"Lao động phổ thông")</f>
        <v>Lao động phổ thông</v>
      </c>
      <c r="R690" s="17">
        <f>IFERROR(__xludf.DUMMYFUNCTION("""COMPUTED_VALUE"""),41040.0)</f>
        <v>41040</v>
      </c>
      <c r="S690" s="17">
        <f>IFERROR(__xludf.DUMMYFUNCTION("""COMPUTED_VALUE"""),41040.0)</f>
        <v>41040</v>
      </c>
      <c r="T690" s="7" t="str">
        <f>IFERROR(__xludf.DUMMYFUNCTION("""COMPUTED_VALUE"""),"Chính thức")</f>
        <v>Chính thức</v>
      </c>
      <c r="U690" s="7"/>
      <c r="V690" s="7" t="str">
        <f>IFERROR(__xludf.DUMMYFUNCTION("""COMPUTED_VALUE"""),"Chính thức")</f>
        <v>Chính thức</v>
      </c>
      <c r="W690" s="7" t="str">
        <f>IFERROR(__xludf.DUMMYFUNCTION("""COMPUTED_VALUE"""),"13 năm 7 tháng")</f>
        <v>13 năm 7 tháng</v>
      </c>
      <c r="X690" s="7"/>
      <c r="Y690" s="7"/>
      <c r="Z690" s="7"/>
    </row>
    <row r="691">
      <c r="A691" s="7">
        <f>IFERROR(__xludf.DUMMYFUNCTION("""COMPUTED_VALUE"""),3.0)</f>
        <v>3</v>
      </c>
      <c r="B691" s="7" t="str">
        <f>IFERROR(__xludf.DUMMYFUNCTION("""COMPUTED_VALUE"""),"DC6-PXSX2")</f>
        <v>DC6-PXSX2</v>
      </c>
      <c r="C691" s="7" t="str">
        <f>IFERROR(__xludf.DUMMYFUNCTION("""COMPUTED_VALUE"""),"Bộ phận Nguyên liệu và Dây chuyền gia công")</f>
        <v>Bộ phận Nguyên liệu và Dây chuyền gia công</v>
      </c>
      <c r="D691" s="7" t="str">
        <f>IFERROR(__xludf.DUMMYFUNCTION("""COMPUTED_VALUE"""),"Nghiền - Sấy phun Ca B - DC6")</f>
        <v>Nghiền - Sấy phun Ca B - DC6</v>
      </c>
      <c r="E691" s="7" t="str">
        <f>IFERROR(__xludf.DUMMYFUNCTION("""COMPUTED_VALUE"""),"VH chính sấy phun mức 1")</f>
        <v>VH chính sấy phun mức 1</v>
      </c>
      <c r="F691" s="7" t="str">
        <f>IFERROR(__xludf.DUMMYFUNCTION("""COMPUTED_VALUE"""),"NV0537")</f>
        <v>NV0537</v>
      </c>
      <c r="G691" s="7">
        <f>IFERROR(__xludf.DUMMYFUNCTION("""COMPUTED_VALUE"""),407.0)</f>
        <v>407</v>
      </c>
      <c r="H691" s="7" t="str">
        <f>IFERROR(__xludf.DUMMYFUNCTION("""COMPUTED_VALUE"""),"Lê Văn Lực")</f>
        <v>Lê Văn Lực</v>
      </c>
      <c r="I691" s="7" t="str">
        <f>IFERROR(__xludf.DUMMYFUNCTION("""COMPUTED_VALUE"""),"Nam")</f>
        <v>Nam</v>
      </c>
      <c r="J691" s="17">
        <f>IFERROR(__xludf.DUMMYFUNCTION("""COMPUTED_VALUE"""),28174.0)</f>
        <v>28174</v>
      </c>
      <c r="K691" s="7" t="str">
        <f>IFERROR(__xludf.DUMMYFUNCTION("""COMPUTED_VALUE"""),"Cốc Hạ -  P.Đông Hương -  Thành phố Thanh Hóa - ")</f>
        <v>Cốc Hạ -  P.Đông Hương -  Thành phố Thanh Hóa - </v>
      </c>
      <c r="L691" s="7" t="str">
        <f>IFERROR(__xludf.DUMMYFUNCTION("""COMPUTED_VALUE"""),"0334141259")</f>
        <v>0334141259</v>
      </c>
      <c r="M691" s="7" t="str">
        <f>IFERROR(__xludf.DUMMYFUNCTION("""COMPUTED_VALUE"""),"038077027130")</f>
        <v>038077027130</v>
      </c>
      <c r="N691" s="19">
        <f>IFERROR(__xludf.DUMMYFUNCTION("""COMPUTED_VALUE"""),44325.0)</f>
        <v>44325</v>
      </c>
      <c r="O691" s="7" t="str">
        <f>IFERROR(__xludf.DUMMYFUNCTION("""COMPUTED_VALUE"""),"Cục Cảnh sát QLHC về TTXH")</f>
        <v>Cục Cảnh sát QLHC về TTXH</v>
      </c>
      <c r="P691" s="7" t="str">
        <f>IFERROR(__xludf.DUMMYFUNCTION("""COMPUTED_VALUE"""),"LĐPT")</f>
        <v>LĐPT</v>
      </c>
      <c r="Q691" s="7" t="str">
        <f>IFERROR(__xludf.DUMMYFUNCTION("""COMPUTED_VALUE"""),"Lao động phổ thông")</f>
        <v>Lao động phổ thông</v>
      </c>
      <c r="R691" s="17">
        <f>IFERROR(__xludf.DUMMYFUNCTION("""COMPUTED_VALUE"""),40523.0)</f>
        <v>40523</v>
      </c>
      <c r="S691" s="17">
        <f>IFERROR(__xludf.DUMMYFUNCTION("""COMPUTED_VALUE"""),40523.0)</f>
        <v>40523</v>
      </c>
      <c r="T691" s="7" t="str">
        <f>IFERROR(__xludf.DUMMYFUNCTION("""COMPUTED_VALUE"""),"Chính thức")</f>
        <v>Chính thức</v>
      </c>
      <c r="U691" s="7"/>
      <c r="V691" s="7" t="str">
        <f>IFERROR(__xludf.DUMMYFUNCTION("""COMPUTED_VALUE"""),"Chính thức")</f>
        <v>Chính thức</v>
      </c>
      <c r="W691" s="7" t="str">
        <f>IFERROR(__xludf.DUMMYFUNCTION("""COMPUTED_VALUE"""),"15 năm 0 tháng")</f>
        <v>15 năm 0 tháng</v>
      </c>
      <c r="X691" s="7"/>
      <c r="Y691" s="7"/>
      <c r="Z691" s="7"/>
    </row>
    <row r="692">
      <c r="A692" s="7">
        <f>IFERROR(__xludf.DUMMYFUNCTION("""COMPUTED_VALUE"""),4.0)</f>
        <v>4</v>
      </c>
      <c r="B692" s="7" t="str">
        <f>IFERROR(__xludf.DUMMYFUNCTION("""COMPUTED_VALUE"""),"DC6-PXSX2")</f>
        <v>DC6-PXSX2</v>
      </c>
      <c r="C692" s="7" t="str">
        <f>IFERROR(__xludf.DUMMYFUNCTION("""COMPUTED_VALUE"""),"Bộ phận Nguyên liệu và Dây chuyền gia công")</f>
        <v>Bộ phận Nguyên liệu và Dây chuyền gia công</v>
      </c>
      <c r="D692" s="7" t="str">
        <f>IFERROR(__xludf.DUMMYFUNCTION("""COMPUTED_VALUE"""),"Nghiền - Sấy phun Ca B - DC6")</f>
        <v>Nghiền - Sấy phun Ca B - DC6</v>
      </c>
      <c r="E692" s="7" t="str">
        <f>IFERROR(__xludf.DUMMYFUNCTION("""COMPUTED_VALUE"""),"VH Nạp nghiền")</f>
        <v>VH Nạp nghiền</v>
      </c>
      <c r="F692" s="7" t="str">
        <f>IFERROR(__xludf.DUMMYFUNCTION("""COMPUTED_VALUE"""),"NV2169")</f>
        <v>NV2169</v>
      </c>
      <c r="G692" s="7">
        <f>IFERROR(__xludf.DUMMYFUNCTION("""COMPUTED_VALUE"""),642.0)</f>
        <v>642</v>
      </c>
      <c r="H692" s="7" t="str">
        <f>IFERROR(__xludf.DUMMYFUNCTION("""COMPUTED_VALUE"""),"Nguyễn Văn Tình")</f>
        <v>Nguyễn Văn Tình</v>
      </c>
      <c r="I692" s="7" t="str">
        <f>IFERROR(__xludf.DUMMYFUNCTION("""COMPUTED_VALUE"""),"Nam")</f>
        <v>Nam</v>
      </c>
      <c r="J692" s="17">
        <f>IFERROR(__xludf.DUMMYFUNCTION("""COMPUTED_VALUE"""),31774.0)</f>
        <v>31774</v>
      </c>
      <c r="K692" s="7" t="str">
        <f>IFERROR(__xludf.DUMMYFUNCTION("""COMPUTED_VALUE"""),"Thôn Đồng Lòng -  Xã Hoằng Tân -  Huyện Hoằng Hóa -  Thanh Hóa - ")</f>
        <v>Thôn Đồng Lòng -  Xã Hoằng Tân -  Huyện Hoằng Hóa -  Thanh Hóa - </v>
      </c>
      <c r="L692" s="7" t="str">
        <f>IFERROR(__xludf.DUMMYFUNCTION("""COMPUTED_VALUE"""),"0987229131")</f>
        <v>0987229131</v>
      </c>
      <c r="M692" s="7" t="str">
        <f>IFERROR(__xludf.DUMMYFUNCTION("""COMPUTED_VALUE"""),"038080013830")</f>
        <v>038080013830</v>
      </c>
      <c r="N692" s="19">
        <f>IFERROR(__xludf.DUMMYFUNCTION("""COMPUTED_VALUE"""),44420.0)</f>
        <v>44420</v>
      </c>
      <c r="O692" s="7" t="str">
        <f>IFERROR(__xludf.DUMMYFUNCTION("""COMPUTED_VALUE"""),"Cục Cảnh sát QLHC về TTXH")</f>
        <v>Cục Cảnh sát QLHC về TTXH</v>
      </c>
      <c r="P692" s="7" t="str">
        <f>IFERROR(__xludf.DUMMYFUNCTION("""COMPUTED_VALUE"""),"LĐPT")</f>
        <v>LĐPT</v>
      </c>
      <c r="Q692" s="7" t="str">
        <f>IFERROR(__xludf.DUMMYFUNCTION("""COMPUTED_VALUE"""),"Lao động phổ thông")</f>
        <v>Lao động phổ thông</v>
      </c>
      <c r="R692" s="17">
        <f>IFERROR(__xludf.DUMMYFUNCTION("""COMPUTED_VALUE"""),43523.0)</f>
        <v>43523</v>
      </c>
      <c r="S692" s="17">
        <f>IFERROR(__xludf.DUMMYFUNCTION("""COMPUTED_VALUE"""),45536.0)</f>
        <v>45536</v>
      </c>
      <c r="T692" s="7" t="str">
        <f>IFERROR(__xludf.DUMMYFUNCTION("""COMPUTED_VALUE"""),"Chính thức")</f>
        <v>Chính thức</v>
      </c>
      <c r="U692" s="7"/>
      <c r="V692" s="7" t="str">
        <f>IFERROR(__xludf.DUMMYFUNCTION("""COMPUTED_VALUE"""),"Chính thức")</f>
        <v>Chính thức</v>
      </c>
      <c r="W692" s="7" t="str">
        <f>IFERROR(__xludf.DUMMYFUNCTION("""COMPUTED_VALUE"""),"6 năm 10 tháng")</f>
        <v>6 năm 10 tháng</v>
      </c>
      <c r="X692" s="7"/>
      <c r="Y692" s="7"/>
      <c r="Z692" s="7"/>
    </row>
    <row r="693">
      <c r="A693" s="7">
        <f>IFERROR(__xludf.DUMMYFUNCTION("""COMPUTED_VALUE"""),5.0)</f>
        <v>5</v>
      </c>
      <c r="B693" s="7" t="str">
        <f>IFERROR(__xludf.DUMMYFUNCTION("""COMPUTED_VALUE"""),"DC6-PXSX2")</f>
        <v>DC6-PXSX2</v>
      </c>
      <c r="C693" s="7" t="str">
        <f>IFERROR(__xludf.DUMMYFUNCTION("""COMPUTED_VALUE"""),"Bộ phận Nguyên liệu và Dây chuyền gia công")</f>
        <v>Bộ phận Nguyên liệu và Dây chuyền gia công</v>
      </c>
      <c r="D693" s="7" t="str">
        <f>IFERROR(__xludf.DUMMYFUNCTION("""COMPUTED_VALUE"""),"Nghiền - Sấy phun Ca B - DC6")</f>
        <v>Nghiền - Sấy phun Ca B - DC6</v>
      </c>
      <c r="E693" s="7" t="str">
        <f>IFERROR(__xludf.DUMMYFUNCTION("""COMPUTED_VALUE"""),"VHC than xích")</f>
        <v>VHC than xích</v>
      </c>
      <c r="F693" s="7" t="str">
        <f>IFERROR(__xludf.DUMMYFUNCTION("""COMPUTED_VALUE"""),"NV0533")</f>
        <v>NV0533</v>
      </c>
      <c r="G693" s="7">
        <f>IFERROR(__xludf.DUMMYFUNCTION("""COMPUTED_VALUE"""),460.0)</f>
        <v>460</v>
      </c>
      <c r="H693" s="7" t="str">
        <f>IFERROR(__xludf.DUMMYFUNCTION("""COMPUTED_VALUE"""),"Phạm Hữu Tạo")</f>
        <v>Phạm Hữu Tạo</v>
      </c>
      <c r="I693" s="7" t="str">
        <f>IFERROR(__xludf.DUMMYFUNCTION("""COMPUTED_VALUE"""),"Nam")</f>
        <v>Nam</v>
      </c>
      <c r="J693" s="17">
        <f>IFERROR(__xludf.DUMMYFUNCTION("""COMPUTED_VALUE"""),25792.0)</f>
        <v>25792</v>
      </c>
      <c r="K693" s="7" t="str">
        <f>IFERROR(__xludf.DUMMYFUNCTION("""COMPUTED_VALUE"""),"Yên Minh -  Xã Trường Sơn -  Huyện Nông Cống -  Thanh Hóa")</f>
        <v>Yên Minh -  Xã Trường Sơn -  Huyện Nông Cống -  Thanh Hóa</v>
      </c>
      <c r="L693" s="7" t="str">
        <f>IFERROR(__xludf.DUMMYFUNCTION("""COMPUTED_VALUE"""),"0868418511")</f>
        <v>0868418511</v>
      </c>
      <c r="M693" s="7" t="str">
        <f>IFERROR(__xludf.DUMMYFUNCTION("""COMPUTED_VALUE"""),"038070006101")</f>
        <v>038070006101</v>
      </c>
      <c r="N693" s="19">
        <f>IFERROR(__xludf.DUMMYFUNCTION("""COMPUTED_VALUE"""),44313.0)</f>
        <v>44313</v>
      </c>
      <c r="O693" s="7" t="str">
        <f>IFERROR(__xludf.DUMMYFUNCTION("""COMPUTED_VALUE"""),"Cục Cảnh sát QLHC về TTXH")</f>
        <v>Cục Cảnh sát QLHC về TTXH</v>
      </c>
      <c r="P693" s="7" t="str">
        <f>IFERROR(__xludf.DUMMYFUNCTION("""COMPUTED_VALUE"""),"LĐPT")</f>
        <v>LĐPT</v>
      </c>
      <c r="Q693" s="7" t="str">
        <f>IFERROR(__xludf.DUMMYFUNCTION("""COMPUTED_VALUE"""),"Lao động phổ thông")</f>
        <v>Lao động phổ thông</v>
      </c>
      <c r="R693" s="17">
        <f>IFERROR(__xludf.DUMMYFUNCTION("""COMPUTED_VALUE"""),40660.0)</f>
        <v>40660</v>
      </c>
      <c r="S693" s="17">
        <f>IFERROR(__xludf.DUMMYFUNCTION("""COMPUTED_VALUE"""),40690.0)</f>
        <v>40690</v>
      </c>
      <c r="T693" s="7" t="str">
        <f>IFERROR(__xludf.DUMMYFUNCTION("""COMPUTED_VALUE"""),"Chính thức")</f>
        <v>Chính thức</v>
      </c>
      <c r="U693" s="7"/>
      <c r="V693" s="7" t="str">
        <f>IFERROR(__xludf.DUMMYFUNCTION("""COMPUTED_VALUE"""),"Chính thức")</f>
        <v>Chính thức</v>
      </c>
      <c r="W693" s="7" t="str">
        <f>IFERROR(__xludf.DUMMYFUNCTION("""COMPUTED_VALUE"""),"14 năm 8 tháng")</f>
        <v>14 năm 8 tháng</v>
      </c>
      <c r="X693" s="7"/>
      <c r="Y693" s="7"/>
      <c r="Z693" s="7"/>
    </row>
    <row r="694">
      <c r="A694" s="7">
        <f>IFERROR(__xludf.DUMMYFUNCTION("""COMPUTED_VALUE"""),1.0)</f>
        <v>1</v>
      </c>
      <c r="B694" s="7" t="str">
        <f>IFERROR(__xludf.DUMMYFUNCTION("""COMPUTED_VALUE"""),"DC6-PXSX2")</f>
        <v>DC6-PXSX2</v>
      </c>
      <c r="C694" s="7" t="str">
        <f>IFERROR(__xludf.DUMMYFUNCTION("""COMPUTED_VALUE"""),"Bộ phận Nguyên liệu và Dây chuyền gia công")</f>
        <v>Bộ phận Nguyên liệu và Dây chuyền gia công</v>
      </c>
      <c r="D694" s="7" t="str">
        <f>IFERROR(__xludf.DUMMYFUNCTION("""COMPUTED_VALUE"""),"Dây chuyền gia công Ca A")</f>
        <v>Dây chuyền gia công Ca A</v>
      </c>
      <c r="E694" s="7" t="str">
        <f>IFERROR(__xludf.DUMMYFUNCTION("""COMPUTED_VALUE"""),"VH tráng Engobe")</f>
        <v>VH tráng Engobe</v>
      </c>
      <c r="F694" s="7" t="str">
        <f>IFERROR(__xludf.DUMMYFUNCTION("""COMPUTED_VALUE"""),"NV0588")</f>
        <v>NV0588</v>
      </c>
      <c r="G694" s="7">
        <f>IFERROR(__xludf.DUMMYFUNCTION("""COMPUTED_VALUE"""),394.0)</f>
        <v>394</v>
      </c>
      <c r="H694" s="7" t="str">
        <f>IFERROR(__xludf.DUMMYFUNCTION("""COMPUTED_VALUE"""),"Nguyễn Đức Toán")</f>
        <v>Nguyễn Đức Toán</v>
      </c>
      <c r="I694" s="7" t="str">
        <f>IFERROR(__xludf.DUMMYFUNCTION("""COMPUTED_VALUE"""),"Nam")</f>
        <v>Nam</v>
      </c>
      <c r="J694" s="17">
        <f>IFERROR(__xludf.DUMMYFUNCTION("""COMPUTED_VALUE"""),29010.0)</f>
        <v>29010</v>
      </c>
      <c r="K694" s="7" t="str">
        <f>IFERROR(__xludf.DUMMYFUNCTION("""COMPUTED_VALUE"""),"Xã Hoằng Trạch -  Huyện Hoằng Hóa -  Thanh Hóa - ")</f>
        <v>Xã Hoằng Trạch -  Huyện Hoằng Hóa -  Thanh Hóa - </v>
      </c>
      <c r="L694" s="7" t="str">
        <f>IFERROR(__xludf.DUMMYFUNCTION("""COMPUTED_VALUE"""),"0979579242")</f>
        <v>0979579242</v>
      </c>
      <c r="M694" s="7" t="str">
        <f>IFERROR(__xludf.DUMMYFUNCTION("""COMPUTED_VALUE"""),"038079018047")</f>
        <v>038079018047</v>
      </c>
      <c r="N694" s="19">
        <f>IFERROR(__xludf.DUMMYFUNCTION("""COMPUTED_VALUE"""),44547.0)</f>
        <v>44547</v>
      </c>
      <c r="O694" s="7" t="str">
        <f>IFERROR(__xludf.DUMMYFUNCTION("""COMPUTED_VALUE"""),"Cục Cảnh sát QLHC về TTXH")</f>
        <v>Cục Cảnh sát QLHC về TTXH</v>
      </c>
      <c r="P694" s="7" t="str">
        <f>IFERROR(__xludf.DUMMYFUNCTION("""COMPUTED_VALUE"""),"LĐPT")</f>
        <v>LĐPT</v>
      </c>
      <c r="Q694" s="7" t="str">
        <f>IFERROR(__xludf.DUMMYFUNCTION("""COMPUTED_VALUE"""),"Lao động phổ thông")</f>
        <v>Lao động phổ thông</v>
      </c>
      <c r="R694" s="17">
        <f>IFERROR(__xludf.DUMMYFUNCTION("""COMPUTED_VALUE"""),36774.0)</f>
        <v>36774</v>
      </c>
      <c r="S694" s="17">
        <f>IFERROR(__xludf.DUMMYFUNCTION("""COMPUTED_VALUE"""),36774.0)</f>
        <v>36774</v>
      </c>
      <c r="T694" s="7" t="str">
        <f>IFERROR(__xludf.DUMMYFUNCTION("""COMPUTED_VALUE"""),"Chính thức")</f>
        <v>Chính thức</v>
      </c>
      <c r="U694" s="7"/>
      <c r="V694" s="7" t="str">
        <f>IFERROR(__xludf.DUMMYFUNCTION("""COMPUTED_VALUE"""),"Chính thức")</f>
        <v>Chính thức</v>
      </c>
      <c r="W694" s="7" t="str">
        <f>IFERROR(__xludf.DUMMYFUNCTION("""COMPUTED_VALUE"""),"25 năm 3 tháng")</f>
        <v>25 năm 3 tháng</v>
      </c>
      <c r="X694" s="7"/>
      <c r="Y694" s="7"/>
      <c r="Z694" s="7"/>
    </row>
    <row r="695">
      <c r="A695" s="7">
        <f>IFERROR(__xludf.DUMMYFUNCTION("""COMPUTED_VALUE"""),2.0)</f>
        <v>2</v>
      </c>
      <c r="B695" s="7" t="str">
        <f>IFERROR(__xludf.DUMMYFUNCTION("""COMPUTED_VALUE"""),"DC6-PXSX2")</f>
        <v>DC6-PXSX2</v>
      </c>
      <c r="C695" s="7" t="str">
        <f>IFERROR(__xludf.DUMMYFUNCTION("""COMPUTED_VALUE"""),"Bộ phận Nguyên liệu và Dây chuyền gia công")</f>
        <v>Bộ phận Nguyên liệu và Dây chuyền gia công</v>
      </c>
      <c r="D695" s="7" t="str">
        <f>IFERROR(__xludf.DUMMYFUNCTION("""COMPUTED_VALUE"""),"Dây chuyền gia công Ca A")</f>
        <v>Dây chuyền gia công Ca A</v>
      </c>
      <c r="E695" s="7" t="str">
        <f>IFERROR(__xludf.DUMMYFUNCTION("""COMPUTED_VALUE"""),"Tổ trưởng")</f>
        <v>Tổ trưởng</v>
      </c>
      <c r="F695" s="7" t="str">
        <f>IFERROR(__xludf.DUMMYFUNCTION("""COMPUTED_VALUE"""),"NV0651")</f>
        <v>NV0651</v>
      </c>
      <c r="G695" s="7">
        <f>IFERROR(__xludf.DUMMYFUNCTION("""COMPUTED_VALUE"""),546.0)</f>
        <v>546</v>
      </c>
      <c r="H695" s="7" t="str">
        <f>IFERROR(__xludf.DUMMYFUNCTION("""COMPUTED_VALUE"""),"Phạm Duy Thiết")</f>
        <v>Phạm Duy Thiết</v>
      </c>
      <c r="I695" s="7" t="str">
        <f>IFERROR(__xludf.DUMMYFUNCTION("""COMPUTED_VALUE"""),"Nam")</f>
        <v>Nam</v>
      </c>
      <c r="J695" s="17">
        <f>IFERROR(__xludf.DUMMYFUNCTION("""COMPUTED_VALUE"""),28453.0)</f>
        <v>28453</v>
      </c>
      <c r="K695" s="7" t="str">
        <f>IFERROR(__xludf.DUMMYFUNCTION("""COMPUTED_VALUE"""),"Thôn 4 -  Xã Thành Lộc -  Huyện Hậu Lộc -  Thanh Hóa")</f>
        <v>Thôn 4 -  Xã Thành Lộc -  Huyện Hậu Lộc -  Thanh Hóa</v>
      </c>
      <c r="L695" s="7" t="str">
        <f>IFERROR(__xludf.DUMMYFUNCTION("""COMPUTED_VALUE"""),"0987435009")</f>
        <v>0987435009</v>
      </c>
      <c r="M695" s="7" t="str">
        <f>IFERROR(__xludf.DUMMYFUNCTION("""COMPUTED_VALUE"""),"038077020390")</f>
        <v>038077020390</v>
      </c>
      <c r="N695" s="19">
        <f>IFERROR(__xludf.DUMMYFUNCTION("""COMPUTED_VALUE"""),45049.0)</f>
        <v>45049</v>
      </c>
      <c r="O695" s="7" t="str">
        <f>IFERROR(__xludf.DUMMYFUNCTION("""COMPUTED_VALUE"""),"Cục Cảnh sát QLHC về TTXH")</f>
        <v>Cục Cảnh sát QLHC về TTXH</v>
      </c>
      <c r="P695" s="7" t="str">
        <f>IFERROR(__xludf.DUMMYFUNCTION("""COMPUTED_VALUE"""),"Trung cấp")</f>
        <v>Trung cấp</v>
      </c>
      <c r="Q695" s="7" t="str">
        <f>IFERROR(__xludf.DUMMYFUNCTION("""COMPUTED_VALUE"""),"Kỹ sư hóa Sillcat")</f>
        <v>Kỹ sư hóa Sillcat</v>
      </c>
      <c r="R695" s="17">
        <f>IFERROR(__xludf.DUMMYFUNCTION("""COMPUTED_VALUE"""),39264.0)</f>
        <v>39264</v>
      </c>
      <c r="S695" s="17">
        <f>IFERROR(__xludf.DUMMYFUNCTION("""COMPUTED_VALUE"""),39264.0)</f>
        <v>39264</v>
      </c>
      <c r="T695" s="7" t="str">
        <f>IFERROR(__xludf.DUMMYFUNCTION("""COMPUTED_VALUE"""),"Chính thức")</f>
        <v>Chính thức</v>
      </c>
      <c r="U695" s="7"/>
      <c r="V695" s="7" t="str">
        <f>IFERROR(__xludf.DUMMYFUNCTION("""COMPUTED_VALUE"""),"Chính thức")</f>
        <v>Chính thức</v>
      </c>
      <c r="W695" s="7" t="str">
        <f>IFERROR(__xludf.DUMMYFUNCTION("""COMPUTED_VALUE"""),"18 năm 5 tháng")</f>
        <v>18 năm 5 tháng</v>
      </c>
      <c r="X695" s="7"/>
      <c r="Y695" s="7"/>
      <c r="Z695" s="7"/>
    </row>
    <row r="696">
      <c r="A696" s="7">
        <f>IFERROR(__xludf.DUMMYFUNCTION("""COMPUTED_VALUE"""),3.0)</f>
        <v>3</v>
      </c>
      <c r="B696" s="7" t="str">
        <f>IFERROR(__xludf.DUMMYFUNCTION("""COMPUTED_VALUE"""),"DC6-PXSX2")</f>
        <v>DC6-PXSX2</v>
      </c>
      <c r="C696" s="7" t="str">
        <f>IFERROR(__xludf.DUMMYFUNCTION("""COMPUTED_VALUE"""),"Bộ phận Nguyên liệu và Dây chuyền gia công")</f>
        <v>Bộ phận Nguyên liệu và Dây chuyền gia công</v>
      </c>
      <c r="D696" s="7" t="str">
        <f>IFERROR(__xludf.DUMMYFUNCTION("""COMPUTED_VALUE"""),"Dây chuyền gia công Ca A")</f>
        <v>Dây chuyền gia công Ca A</v>
      </c>
      <c r="E696" s="7" t="str">
        <f>IFERROR(__xludf.DUMMYFUNCTION("""COMPUTED_VALUE"""),"VHC máy ép")</f>
        <v>VHC máy ép</v>
      </c>
      <c r="F696" s="7" t="str">
        <f>IFERROR(__xludf.DUMMYFUNCTION("""COMPUTED_VALUE"""),"NV0575")</f>
        <v>NV0575</v>
      </c>
      <c r="G696" s="7">
        <f>IFERROR(__xludf.DUMMYFUNCTION("""COMPUTED_VALUE"""),553.0)</f>
        <v>553</v>
      </c>
      <c r="H696" s="7" t="str">
        <f>IFERROR(__xludf.DUMMYFUNCTION("""COMPUTED_VALUE"""),"Lê Xuân Bắc")</f>
        <v>Lê Xuân Bắc</v>
      </c>
      <c r="I696" s="7" t="str">
        <f>IFERROR(__xludf.DUMMYFUNCTION("""COMPUTED_VALUE"""),"Nam")</f>
        <v>Nam</v>
      </c>
      <c r="J696" s="17">
        <f>IFERROR(__xludf.DUMMYFUNCTION("""COMPUTED_VALUE"""),30549.0)</f>
        <v>30549</v>
      </c>
      <c r="K696" s="7" t="str">
        <f>IFERROR(__xludf.DUMMYFUNCTION("""COMPUTED_VALUE"""),"Thị trấn Tân Phong -  Huyện Quảng Xương -  Thanh Hóa - ")</f>
        <v>Thị trấn Tân Phong -  Huyện Quảng Xương -  Thanh Hóa - </v>
      </c>
      <c r="L696" s="7" t="str">
        <f>IFERROR(__xludf.DUMMYFUNCTION("""COMPUTED_VALUE"""),"0989214996")</f>
        <v>0989214996</v>
      </c>
      <c r="M696" s="7" t="str">
        <f>IFERROR(__xludf.DUMMYFUNCTION("""COMPUTED_VALUE"""),"038083003622")</f>
        <v>038083003622</v>
      </c>
      <c r="N696" s="19">
        <f>IFERROR(__xludf.DUMMYFUNCTION("""COMPUTED_VALUE"""),44418.0)</f>
        <v>44418</v>
      </c>
      <c r="O696" s="7" t="str">
        <f>IFERROR(__xludf.DUMMYFUNCTION("""COMPUTED_VALUE"""),"Cục Cảnh sát QLHC về TTXH")</f>
        <v>Cục Cảnh sát QLHC về TTXH</v>
      </c>
      <c r="P696" s="7" t="str">
        <f>IFERROR(__xludf.DUMMYFUNCTION("""COMPUTED_VALUE"""),"LĐPT")</f>
        <v>LĐPT</v>
      </c>
      <c r="Q696" s="7" t="str">
        <f>IFERROR(__xludf.DUMMYFUNCTION("""COMPUTED_VALUE"""),"Lao động phổ thông")</f>
        <v>Lao động phổ thông</v>
      </c>
      <c r="R696" s="17">
        <f>IFERROR(__xludf.DUMMYFUNCTION("""COMPUTED_VALUE"""),40993.0)</f>
        <v>40993</v>
      </c>
      <c r="S696" s="17">
        <f>IFERROR(__xludf.DUMMYFUNCTION("""COMPUTED_VALUE"""),40993.0)</f>
        <v>40993</v>
      </c>
      <c r="T696" s="7" t="str">
        <f>IFERROR(__xludf.DUMMYFUNCTION("""COMPUTED_VALUE"""),"Chính thức")</f>
        <v>Chính thức</v>
      </c>
      <c r="U696" s="7"/>
      <c r="V696" s="7" t="str">
        <f>IFERROR(__xludf.DUMMYFUNCTION("""COMPUTED_VALUE"""),"Chính thức")</f>
        <v>Chính thức</v>
      </c>
      <c r="W696" s="7" t="str">
        <f>IFERROR(__xludf.DUMMYFUNCTION("""COMPUTED_VALUE"""),"13 năm 9 tháng")</f>
        <v>13 năm 9 tháng</v>
      </c>
      <c r="X696" s="7"/>
      <c r="Y696" s="7"/>
      <c r="Z696" s="7"/>
    </row>
    <row r="697">
      <c r="A697" s="7">
        <f>IFERROR(__xludf.DUMMYFUNCTION("""COMPUTED_VALUE"""),4.0)</f>
        <v>4</v>
      </c>
      <c r="B697" s="7" t="str">
        <f>IFERROR(__xludf.DUMMYFUNCTION("""COMPUTED_VALUE"""),"DC6-PXSX2")</f>
        <v>DC6-PXSX2</v>
      </c>
      <c r="C697" s="7" t="str">
        <f>IFERROR(__xludf.DUMMYFUNCTION("""COMPUTED_VALUE"""),"Bộ phận Nguyên liệu và Dây chuyền gia công")</f>
        <v>Bộ phận Nguyên liệu và Dây chuyền gia công</v>
      </c>
      <c r="D697" s="7" t="str">
        <f>IFERROR(__xludf.DUMMYFUNCTION("""COMPUTED_VALUE"""),"Dây chuyền gia công Ca A")</f>
        <v>Dây chuyền gia công Ca A</v>
      </c>
      <c r="E697" s="7" t="str">
        <f>IFERROR(__xludf.DUMMYFUNCTION("""COMPUTED_VALUE"""),"VHC tráng Men -  Engobe")</f>
        <v>VHC tráng Men -  Engobe</v>
      </c>
      <c r="F697" s="7" t="str">
        <f>IFERROR(__xludf.DUMMYFUNCTION("""COMPUTED_VALUE"""),"NV0580")</f>
        <v>NV0580</v>
      </c>
      <c r="G697" s="7">
        <f>IFERROR(__xludf.DUMMYFUNCTION("""COMPUTED_VALUE"""),562.0)</f>
        <v>562</v>
      </c>
      <c r="H697" s="7" t="str">
        <f>IFERROR(__xludf.DUMMYFUNCTION("""COMPUTED_VALUE"""),"Nguyễn Văn Thủy")</f>
        <v>Nguyễn Văn Thủy</v>
      </c>
      <c r="I697" s="7" t="str">
        <f>IFERROR(__xludf.DUMMYFUNCTION("""COMPUTED_VALUE"""),"Nam")</f>
        <v>Nam</v>
      </c>
      <c r="J697" s="17">
        <f>IFERROR(__xludf.DUMMYFUNCTION("""COMPUTED_VALUE"""),30014.0)</f>
        <v>30014</v>
      </c>
      <c r="K697" s="7" t="str">
        <f>IFERROR(__xludf.DUMMYFUNCTION("""COMPUTED_VALUE"""),"Xã Hoằng Xuyên -  Huyện Hoằng Hóa -  Thanh Hóa")</f>
        <v>Xã Hoằng Xuyên -  Huyện Hoằng Hóa -  Thanh Hóa</v>
      </c>
      <c r="L697" s="7" t="str">
        <f>IFERROR(__xludf.DUMMYFUNCTION("""COMPUTED_VALUE"""),"0973192457")</f>
        <v>0973192457</v>
      </c>
      <c r="M697" s="7" t="str">
        <f>IFERROR(__xludf.DUMMYFUNCTION("""COMPUTED_VALUE"""),"038082001510")</f>
        <v>038082001510</v>
      </c>
      <c r="N697" s="19">
        <f>IFERROR(__xludf.DUMMYFUNCTION("""COMPUTED_VALUE"""),44440.0)</f>
        <v>44440</v>
      </c>
      <c r="O697" s="7" t="str">
        <f>IFERROR(__xludf.DUMMYFUNCTION("""COMPUTED_VALUE"""),"Cục Cảnh sát QLHC về TTXH")</f>
        <v>Cục Cảnh sát QLHC về TTXH</v>
      </c>
      <c r="P697" s="7" t="str">
        <f>IFERROR(__xludf.DUMMYFUNCTION("""COMPUTED_VALUE"""),"Cao đẳng")</f>
        <v>Cao đẳng</v>
      </c>
      <c r="Q697" s="7" t="str">
        <f>IFERROR(__xludf.DUMMYFUNCTION("""COMPUTED_VALUE"""),"Công nghệ kỹ thuật hóa học")</f>
        <v>Công nghệ kỹ thuật hóa học</v>
      </c>
      <c r="R697" s="17">
        <f>IFERROR(__xludf.DUMMYFUNCTION("""COMPUTED_VALUE"""),42521.0)</f>
        <v>42521</v>
      </c>
      <c r="S697" s="17">
        <f>IFERROR(__xludf.DUMMYFUNCTION("""COMPUTED_VALUE"""),42856.0)</f>
        <v>42856</v>
      </c>
      <c r="T697" s="7" t="str">
        <f>IFERROR(__xludf.DUMMYFUNCTION("""COMPUTED_VALUE"""),"Chính thức")</f>
        <v>Chính thức</v>
      </c>
      <c r="U697" s="7"/>
      <c r="V697" s="7" t="str">
        <f>IFERROR(__xludf.DUMMYFUNCTION("""COMPUTED_VALUE"""),"Chính thức")</f>
        <v>Chính thức</v>
      </c>
      <c r="W697" s="7" t="str">
        <f>IFERROR(__xludf.DUMMYFUNCTION("""COMPUTED_VALUE"""),"9 năm 7 tháng")</f>
        <v>9 năm 7 tháng</v>
      </c>
      <c r="X697" s="7"/>
      <c r="Y697" s="7"/>
      <c r="Z697" s="7"/>
    </row>
    <row r="698">
      <c r="A698" s="7">
        <f>IFERROR(__xludf.DUMMYFUNCTION("""COMPUTED_VALUE"""),5.0)</f>
        <v>5</v>
      </c>
      <c r="B698" s="7" t="str">
        <f>IFERROR(__xludf.DUMMYFUNCTION("""COMPUTED_VALUE"""),"DC6-PXSX2")</f>
        <v>DC6-PXSX2</v>
      </c>
      <c r="C698" s="7" t="str">
        <f>IFERROR(__xludf.DUMMYFUNCTION("""COMPUTED_VALUE"""),"Bộ phận Nguyên liệu và Dây chuyền gia công")</f>
        <v>Bộ phận Nguyên liệu và Dây chuyền gia công</v>
      </c>
      <c r="D698" s="7" t="str">
        <f>IFERROR(__xludf.DUMMYFUNCTION("""COMPUTED_VALUE"""),"Dây chuyền gia công Ca A")</f>
        <v>Dây chuyền gia công Ca A</v>
      </c>
      <c r="E698" s="7" t="str">
        <f>IFERROR(__xludf.DUMMYFUNCTION("""COMPUTED_VALUE"""),"VH Cuối sấy")</f>
        <v>VH Cuối sấy</v>
      </c>
      <c r="F698" s="7" t="str">
        <f>IFERROR(__xludf.DUMMYFUNCTION("""COMPUTED_VALUE"""),"NV0590")</f>
        <v>NV0590</v>
      </c>
      <c r="G698" s="7">
        <f>IFERROR(__xludf.DUMMYFUNCTION("""COMPUTED_VALUE"""),395.0)</f>
        <v>395</v>
      </c>
      <c r="H698" s="7" t="str">
        <f>IFERROR(__xludf.DUMMYFUNCTION("""COMPUTED_VALUE"""),"Trịnh Sỹ Chắn")</f>
        <v>Trịnh Sỹ Chắn</v>
      </c>
      <c r="I698" s="7" t="str">
        <f>IFERROR(__xludf.DUMMYFUNCTION("""COMPUTED_VALUE"""),"Nam")</f>
        <v>Nam</v>
      </c>
      <c r="J698" s="17">
        <f>IFERROR(__xludf.DUMMYFUNCTION("""COMPUTED_VALUE"""),28764.0)</f>
        <v>28764</v>
      </c>
      <c r="K698" s="7" t="str">
        <f>IFERROR(__xludf.DUMMYFUNCTION("""COMPUTED_VALUE"""),"Phố 4 -  Xã Quảng Hưng -  Thành phố Thanh Hóa - ")</f>
        <v>Phố 4 -  Xã Quảng Hưng -  Thành phố Thanh Hóa - </v>
      </c>
      <c r="L698" s="7" t="str">
        <f>IFERROR(__xludf.DUMMYFUNCTION("""COMPUTED_VALUE"""),"0355083793")</f>
        <v>0355083793</v>
      </c>
      <c r="M698" s="7" t="str">
        <f>IFERROR(__xludf.DUMMYFUNCTION("""COMPUTED_VALUE"""),"038078007825")</f>
        <v>038078007825</v>
      </c>
      <c r="N698" s="19">
        <f>IFERROR(__xludf.DUMMYFUNCTION("""COMPUTED_VALUE"""),44317.0)</f>
        <v>44317</v>
      </c>
      <c r="O698" s="7" t="str">
        <f>IFERROR(__xludf.DUMMYFUNCTION("""COMPUTED_VALUE"""),"Cục Cảnh sát QLHC về TTXH")</f>
        <v>Cục Cảnh sát QLHC về TTXH</v>
      </c>
      <c r="P698" s="7" t="str">
        <f>IFERROR(__xludf.DUMMYFUNCTION("""COMPUTED_VALUE"""),"LĐPT")</f>
        <v>LĐPT</v>
      </c>
      <c r="Q698" s="7" t="str">
        <f>IFERROR(__xludf.DUMMYFUNCTION("""COMPUTED_VALUE"""),"Lao động phổ thông")</f>
        <v>Lao động phổ thông</v>
      </c>
      <c r="R698" s="17">
        <f>IFERROR(__xludf.DUMMYFUNCTION("""COMPUTED_VALUE"""),39385.0)</f>
        <v>39385</v>
      </c>
      <c r="S698" s="17">
        <f>IFERROR(__xludf.DUMMYFUNCTION("""COMPUTED_VALUE"""),39385.0)</f>
        <v>39385</v>
      </c>
      <c r="T698" s="7" t="str">
        <f>IFERROR(__xludf.DUMMYFUNCTION("""COMPUTED_VALUE"""),"Chính thức")</f>
        <v>Chính thức</v>
      </c>
      <c r="U698" s="7"/>
      <c r="V698" s="7" t="str">
        <f>IFERROR(__xludf.DUMMYFUNCTION("""COMPUTED_VALUE"""),"Chính thức")</f>
        <v>Chính thức</v>
      </c>
      <c r="W698" s="7" t="str">
        <f>IFERROR(__xludf.DUMMYFUNCTION("""COMPUTED_VALUE"""),"18 năm 2 tháng")</f>
        <v>18 năm 2 tháng</v>
      </c>
      <c r="X698" s="7"/>
      <c r="Y698" s="7"/>
      <c r="Z698" s="7"/>
    </row>
    <row r="699">
      <c r="A699" s="7">
        <f>IFERROR(__xludf.DUMMYFUNCTION("""COMPUTED_VALUE"""),6.0)</f>
        <v>6</v>
      </c>
      <c r="B699" s="7" t="str">
        <f>IFERROR(__xludf.DUMMYFUNCTION("""COMPUTED_VALUE"""),"DC6-PXSX2")</f>
        <v>DC6-PXSX2</v>
      </c>
      <c r="C699" s="7" t="str">
        <f>IFERROR(__xludf.DUMMYFUNCTION("""COMPUTED_VALUE"""),"Bộ phận Nguyên liệu và Dây chuyền gia công")</f>
        <v>Bộ phận Nguyên liệu và Dây chuyền gia công</v>
      </c>
      <c r="D699" s="7" t="str">
        <f>IFERROR(__xludf.DUMMYFUNCTION("""COMPUTED_VALUE"""),"Dây chuyền gia công Ca A")</f>
        <v>Dây chuyền gia công Ca A</v>
      </c>
      <c r="E699" s="7" t="str">
        <f>IFERROR(__xludf.DUMMYFUNCTION("""COMPUTED_VALUE"""),"VHC Máy in kỹ thuật số")</f>
        <v>VHC Máy in kỹ thuật số</v>
      </c>
      <c r="F699" s="7" t="str">
        <f>IFERROR(__xludf.DUMMYFUNCTION("""COMPUTED_VALUE"""),"NV1274")</f>
        <v>NV1274</v>
      </c>
      <c r="G699" s="7">
        <f>IFERROR(__xludf.DUMMYFUNCTION("""COMPUTED_VALUE"""),554.0)</f>
        <v>554</v>
      </c>
      <c r="H699" s="7" t="str">
        <f>IFERROR(__xludf.DUMMYFUNCTION("""COMPUTED_VALUE"""),"Lê Anh Quang")</f>
        <v>Lê Anh Quang</v>
      </c>
      <c r="I699" s="7" t="str">
        <f>IFERROR(__xludf.DUMMYFUNCTION("""COMPUTED_VALUE"""),"Nam")</f>
        <v>Nam</v>
      </c>
      <c r="J699" s="17">
        <f>IFERROR(__xludf.DUMMYFUNCTION("""COMPUTED_VALUE"""),33776.0)</f>
        <v>33776</v>
      </c>
      <c r="K699" s="7" t="str">
        <f>IFERROR(__xludf.DUMMYFUNCTION("""COMPUTED_VALUE"""),"Xã Quảng Ninh -  Huyện Quảng Xương -  Thanh Hóa - ")</f>
        <v>Xã Quảng Ninh -  Huyện Quảng Xương -  Thanh Hóa - </v>
      </c>
      <c r="L699" s="7" t="str">
        <f>IFERROR(__xludf.DUMMYFUNCTION("""COMPUTED_VALUE"""),"0333236742")</f>
        <v>0333236742</v>
      </c>
      <c r="M699" s="7" t="str">
        <f>IFERROR(__xludf.DUMMYFUNCTION("""COMPUTED_VALUE"""),"038092027050")</f>
        <v>038092027050</v>
      </c>
      <c r="N699" s="19">
        <f>IFERROR(__xludf.DUMMYFUNCTION("""COMPUTED_VALUE"""),44546.0)</f>
        <v>44546</v>
      </c>
      <c r="O699" s="7" t="str">
        <f>IFERROR(__xludf.DUMMYFUNCTION("""COMPUTED_VALUE"""),"Cục Cảnh sát QLHC về TTXH")</f>
        <v>Cục Cảnh sát QLHC về TTXH</v>
      </c>
      <c r="P699" s="7" t="str">
        <f>IFERROR(__xludf.DUMMYFUNCTION("""COMPUTED_VALUE"""),"Cao đẳng")</f>
        <v>Cao đẳng</v>
      </c>
      <c r="Q699" s="7" t="str">
        <f>IFERROR(__xludf.DUMMYFUNCTION("""COMPUTED_VALUE"""),"Công nghệ kỹ thuật điện -  điện tử")</f>
        <v>Công nghệ kỹ thuật điện -  điện tử</v>
      </c>
      <c r="R699" s="17">
        <f>IFERROR(__xludf.DUMMYFUNCTION("""COMPUTED_VALUE"""),43200.0)</f>
        <v>43200</v>
      </c>
      <c r="S699" s="17">
        <f>IFERROR(__xludf.DUMMYFUNCTION("""COMPUTED_VALUE"""),43586.0)</f>
        <v>43586</v>
      </c>
      <c r="T699" s="7" t="str">
        <f>IFERROR(__xludf.DUMMYFUNCTION("""COMPUTED_VALUE"""),"Chính thức")</f>
        <v>Chính thức</v>
      </c>
      <c r="U699" s="7"/>
      <c r="V699" s="7" t="str">
        <f>IFERROR(__xludf.DUMMYFUNCTION("""COMPUTED_VALUE"""),"Chính thức")</f>
        <v>Chính thức</v>
      </c>
      <c r="W699" s="7" t="str">
        <f>IFERROR(__xludf.DUMMYFUNCTION("""COMPUTED_VALUE"""),"7 năm 8 tháng")</f>
        <v>7 năm 8 tháng</v>
      </c>
      <c r="X699" s="7"/>
      <c r="Y699" s="7"/>
      <c r="Z699" s="7"/>
    </row>
    <row r="700">
      <c r="A700" s="7">
        <f>IFERROR(__xludf.DUMMYFUNCTION("""COMPUTED_VALUE"""),7.0)</f>
        <v>7</v>
      </c>
      <c r="B700" s="7" t="str">
        <f>IFERROR(__xludf.DUMMYFUNCTION("""COMPUTED_VALUE"""),"DC6-PXSX2")</f>
        <v>DC6-PXSX2</v>
      </c>
      <c r="C700" s="7" t="str">
        <f>IFERROR(__xludf.DUMMYFUNCTION("""COMPUTED_VALUE"""),"Bộ phận Nguyên liệu và Dây chuyền gia công")</f>
        <v>Bộ phận Nguyên liệu và Dây chuyền gia công</v>
      </c>
      <c r="D700" s="7" t="str">
        <f>IFERROR(__xludf.DUMMYFUNCTION("""COMPUTED_VALUE"""),"Dây chuyền gia công Ca A")</f>
        <v>Dây chuyền gia công Ca A</v>
      </c>
      <c r="E700" s="7" t="str">
        <f>IFERROR(__xludf.DUMMYFUNCTION("""COMPUTED_VALUE"""),"VH Máy in kỹ thuật số")</f>
        <v>VH Máy in kỹ thuật số</v>
      </c>
      <c r="F700" s="7" t="str">
        <f>IFERROR(__xludf.DUMMYFUNCTION("""COMPUTED_VALUE"""),"NV3011")</f>
        <v>NV3011</v>
      </c>
      <c r="G700" s="7">
        <f>IFERROR(__xludf.DUMMYFUNCTION("""COMPUTED_VALUE"""),715.0)</f>
        <v>715</v>
      </c>
      <c r="H700" s="7" t="str">
        <f>IFERROR(__xludf.DUMMYFUNCTION("""COMPUTED_VALUE"""),"Trương Quốc Thịnh")</f>
        <v>Trương Quốc Thịnh</v>
      </c>
      <c r="I700" s="7" t="str">
        <f>IFERROR(__xludf.DUMMYFUNCTION("""COMPUTED_VALUE"""),"Nam")</f>
        <v>Nam</v>
      </c>
      <c r="J700" s="17">
        <f>IFERROR(__xludf.DUMMYFUNCTION("""COMPUTED_VALUE"""),33890.0)</f>
        <v>33890</v>
      </c>
      <c r="K700" s="7" t="str">
        <f>IFERROR(__xludf.DUMMYFUNCTION("""COMPUTED_VALUE"""),"SN03 Phạm Bành -  Phường Ba Đình -  Thành phố Thanh Hóa -  Thanh Hóa")</f>
        <v>SN03 Phạm Bành -  Phường Ba Đình -  Thành phố Thanh Hóa -  Thanh Hóa</v>
      </c>
      <c r="L700" s="7" t="str">
        <f>IFERROR(__xludf.DUMMYFUNCTION("""COMPUTED_VALUE"""),"0325339041")</f>
        <v>0325339041</v>
      </c>
      <c r="M700" s="7" t="str">
        <f>IFERROR(__xludf.DUMMYFUNCTION("""COMPUTED_VALUE"""),"038092018984")</f>
        <v>038092018984</v>
      </c>
      <c r="N700" s="19">
        <f>IFERROR(__xludf.DUMMYFUNCTION("""COMPUTED_VALUE"""),43965.0)</f>
        <v>43965</v>
      </c>
      <c r="O700" s="7" t="str">
        <f>IFERROR(__xludf.DUMMYFUNCTION("""COMPUTED_VALUE"""),"Cục Cảnh sát QLHC về TTXH")</f>
        <v>Cục Cảnh sát QLHC về TTXH</v>
      </c>
      <c r="P700" s="7" t="str">
        <f>IFERROR(__xludf.DUMMYFUNCTION("""COMPUTED_VALUE"""),"LĐPT")</f>
        <v>LĐPT</v>
      </c>
      <c r="Q700" s="7" t="str">
        <f>IFERROR(__xludf.DUMMYFUNCTION("""COMPUTED_VALUE"""),"Lao động phổ thông")</f>
        <v>Lao động phổ thông</v>
      </c>
      <c r="R700" s="17">
        <f>IFERROR(__xludf.DUMMYFUNCTION("""COMPUTED_VALUE"""),45064.0)</f>
        <v>45064</v>
      </c>
      <c r="S700" s="17">
        <f>IFERROR(__xludf.DUMMYFUNCTION("""COMPUTED_VALUE"""),45444.0)</f>
        <v>45444</v>
      </c>
      <c r="T700" s="7" t="str">
        <f>IFERROR(__xludf.DUMMYFUNCTION("""COMPUTED_VALUE"""),"Chính thức")</f>
        <v>Chính thức</v>
      </c>
      <c r="U700" s="7"/>
      <c r="V700" s="7" t="str">
        <f>IFERROR(__xludf.DUMMYFUNCTION("""COMPUTED_VALUE"""),"Chính thức")</f>
        <v>Chính thức</v>
      </c>
      <c r="W700" s="7" t="str">
        <f>IFERROR(__xludf.DUMMYFUNCTION("""COMPUTED_VALUE"""),"2 năm 7 tháng")</f>
        <v>2 năm 7 tháng</v>
      </c>
      <c r="X700" s="7"/>
      <c r="Y700" s="7"/>
      <c r="Z700" s="7"/>
    </row>
    <row r="701">
      <c r="A701" s="7">
        <f>IFERROR(__xludf.DUMMYFUNCTION("""COMPUTED_VALUE"""),1.0)</f>
        <v>1</v>
      </c>
      <c r="B701" s="7" t="str">
        <f>IFERROR(__xludf.DUMMYFUNCTION("""COMPUTED_VALUE"""),"DC6-PXSX2")</f>
        <v>DC6-PXSX2</v>
      </c>
      <c r="C701" s="7" t="str">
        <f>IFERROR(__xludf.DUMMYFUNCTION("""COMPUTED_VALUE"""),"Bộ phận Nguyên liệu và Dây chuyền gia công")</f>
        <v>Bộ phận Nguyên liệu và Dây chuyền gia công</v>
      </c>
      <c r="D701" s="7" t="str">
        <f>IFERROR(__xludf.DUMMYFUNCTION("""COMPUTED_VALUE"""),"Dây chuyền gia công Ca B")</f>
        <v>Dây chuyền gia công Ca B</v>
      </c>
      <c r="E701" s="7" t="str">
        <f>IFERROR(__xludf.DUMMYFUNCTION("""COMPUTED_VALUE"""),"Tổ trưởng")</f>
        <v>Tổ trưởng</v>
      </c>
      <c r="F701" s="7" t="str">
        <f>IFERROR(__xludf.DUMMYFUNCTION("""COMPUTED_VALUE"""),"NV0567")</f>
        <v>NV0567</v>
      </c>
      <c r="G701" s="7">
        <f>IFERROR(__xludf.DUMMYFUNCTION("""COMPUTED_VALUE"""),564.0)</f>
        <v>564</v>
      </c>
      <c r="H701" s="7" t="str">
        <f>IFERROR(__xludf.DUMMYFUNCTION("""COMPUTED_VALUE"""),"Lê Ngọc Hiếu")</f>
        <v>Lê Ngọc Hiếu</v>
      </c>
      <c r="I701" s="7" t="str">
        <f>IFERROR(__xludf.DUMMYFUNCTION("""COMPUTED_VALUE"""),"Nam")</f>
        <v>Nam</v>
      </c>
      <c r="J701" s="17">
        <f>IFERROR(__xludf.DUMMYFUNCTION("""COMPUTED_VALUE"""),35243.0)</f>
        <v>35243</v>
      </c>
      <c r="K701" s="7" t="str">
        <f>IFERROR(__xludf.DUMMYFUNCTION("""COMPUTED_VALUE"""),"Phúc Cường -  Xã Quảng Tâm -  Thành phố Thanh Hóa")</f>
        <v>Phúc Cường -  Xã Quảng Tâm -  Thành phố Thanh Hóa</v>
      </c>
      <c r="L701" s="7" t="str">
        <f>IFERROR(__xludf.DUMMYFUNCTION("""COMPUTED_VALUE"""),"0983352765")</f>
        <v>0983352765</v>
      </c>
      <c r="M701" s="7" t="str">
        <f>IFERROR(__xludf.DUMMYFUNCTION("""COMPUTED_VALUE"""),"038096006009")</f>
        <v>038096006009</v>
      </c>
      <c r="N701" s="19">
        <f>IFERROR(__xludf.DUMMYFUNCTION("""COMPUTED_VALUE"""),44422.0)</f>
        <v>44422</v>
      </c>
      <c r="O701" s="7" t="str">
        <f>IFERROR(__xludf.DUMMYFUNCTION("""COMPUTED_VALUE"""),"Cục Cảnh sát QLHC về TTXH")</f>
        <v>Cục Cảnh sát QLHC về TTXH</v>
      </c>
      <c r="P701" s="7" t="str">
        <f>IFERROR(__xludf.DUMMYFUNCTION("""COMPUTED_VALUE"""),"LĐPT")</f>
        <v>LĐPT</v>
      </c>
      <c r="Q701" s="7" t="str">
        <f>IFERROR(__xludf.DUMMYFUNCTION("""COMPUTED_VALUE"""),"Lao động phổ thông")</f>
        <v>Lao động phổ thông</v>
      </c>
      <c r="R701" s="17">
        <f>IFERROR(__xludf.DUMMYFUNCTION("""COMPUTED_VALUE"""),41936.0)</f>
        <v>41936</v>
      </c>
      <c r="S701" s="17">
        <f>IFERROR(__xludf.DUMMYFUNCTION("""COMPUTED_VALUE"""),41936.0)</f>
        <v>41936</v>
      </c>
      <c r="T701" s="7" t="str">
        <f>IFERROR(__xludf.DUMMYFUNCTION("""COMPUTED_VALUE"""),"Chính thức")</f>
        <v>Chính thức</v>
      </c>
      <c r="U701" s="7"/>
      <c r="V701" s="7" t="str">
        <f>IFERROR(__xludf.DUMMYFUNCTION("""COMPUTED_VALUE"""),"Chính thức")</f>
        <v>Chính thức</v>
      </c>
      <c r="W701" s="7" t="str">
        <f>IFERROR(__xludf.DUMMYFUNCTION("""COMPUTED_VALUE"""),"11 năm 2 tháng")</f>
        <v>11 năm 2 tháng</v>
      </c>
      <c r="X701" s="7"/>
      <c r="Y701" s="7"/>
      <c r="Z701" s="7"/>
    </row>
    <row r="702">
      <c r="A702" s="7">
        <f>IFERROR(__xludf.DUMMYFUNCTION("""COMPUTED_VALUE"""),2.0)</f>
        <v>2</v>
      </c>
      <c r="B702" s="7" t="str">
        <f>IFERROR(__xludf.DUMMYFUNCTION("""COMPUTED_VALUE"""),"DC6-PXSX2")</f>
        <v>DC6-PXSX2</v>
      </c>
      <c r="C702" s="7" t="str">
        <f>IFERROR(__xludf.DUMMYFUNCTION("""COMPUTED_VALUE"""),"Bộ phận Nguyên liệu và Dây chuyền gia công")</f>
        <v>Bộ phận Nguyên liệu và Dây chuyền gia công</v>
      </c>
      <c r="D702" s="7" t="str">
        <f>IFERROR(__xludf.DUMMYFUNCTION("""COMPUTED_VALUE"""),"Dây chuyền gia công Ca B")</f>
        <v>Dây chuyền gia công Ca B</v>
      </c>
      <c r="E702" s="7" t="str">
        <f>IFERROR(__xludf.DUMMYFUNCTION("""COMPUTED_VALUE"""),"VHC máy ép")</f>
        <v>VHC máy ép</v>
      </c>
      <c r="F702" s="7" t="str">
        <f>IFERROR(__xludf.DUMMYFUNCTION("""COMPUTED_VALUE"""),"NV3464")</f>
        <v>NV3464</v>
      </c>
      <c r="G702" s="7">
        <f>IFERROR(__xludf.DUMMYFUNCTION("""COMPUTED_VALUE"""),398.0)</f>
        <v>398</v>
      </c>
      <c r="H702" s="7" t="str">
        <f>IFERROR(__xludf.DUMMYFUNCTION("""COMPUTED_VALUE"""),"Nguyễn Văn Nam")</f>
        <v>Nguyễn Văn Nam</v>
      </c>
      <c r="I702" s="7" t="str">
        <f>IFERROR(__xludf.DUMMYFUNCTION("""COMPUTED_VALUE"""),"Nam")</f>
        <v>Nam</v>
      </c>
      <c r="J702" s="17">
        <f>IFERROR(__xludf.DUMMYFUNCTION("""COMPUTED_VALUE"""),32314.0)</f>
        <v>32314</v>
      </c>
      <c r="K702" s="7" t="str">
        <f>IFERROR(__xludf.DUMMYFUNCTION("""COMPUTED_VALUE"""),"Đông Lễ -  Xã Đông Hải -  Thành phố Thanh Hóa")</f>
        <v>Đông Lễ -  Xã Đông Hải -  Thành phố Thanh Hóa</v>
      </c>
      <c r="L702" s="7" t="str">
        <f>IFERROR(__xludf.DUMMYFUNCTION("""COMPUTED_VALUE"""),"0869321623")</f>
        <v>0869321623</v>
      </c>
      <c r="M702" s="7" t="str">
        <f>IFERROR(__xludf.DUMMYFUNCTION("""COMPUTED_VALUE"""),"038088021452")</f>
        <v>038088021452</v>
      </c>
      <c r="N702" s="19">
        <f>IFERROR(__xludf.DUMMYFUNCTION("""COMPUTED_VALUE"""),44232.0)</f>
        <v>44232</v>
      </c>
      <c r="O702" s="7" t="str">
        <f>IFERROR(__xludf.DUMMYFUNCTION("""COMPUTED_VALUE"""),"Cục Cảnh sát QLHC về TTXH")</f>
        <v>Cục Cảnh sát QLHC về TTXH</v>
      </c>
      <c r="P702" s="7" t="str">
        <f>IFERROR(__xludf.DUMMYFUNCTION("""COMPUTED_VALUE"""),"LĐPT")</f>
        <v>LĐPT</v>
      </c>
      <c r="Q702" s="7" t="str">
        <f>IFERROR(__xludf.DUMMYFUNCTION("""COMPUTED_VALUE"""),"Lao động phổ thông")</f>
        <v>Lao động phổ thông</v>
      </c>
      <c r="R702" s="17">
        <f>IFERROR(__xludf.DUMMYFUNCTION("""COMPUTED_VALUE"""),44254.0)</f>
        <v>44254</v>
      </c>
      <c r="S702" s="17">
        <f>IFERROR(__xludf.DUMMYFUNCTION("""COMPUTED_VALUE"""),44531.0)</f>
        <v>44531</v>
      </c>
      <c r="T702" s="7" t="str">
        <f>IFERROR(__xludf.DUMMYFUNCTION("""COMPUTED_VALUE"""),"Chính thức")</f>
        <v>Chính thức</v>
      </c>
      <c r="U702" s="7"/>
      <c r="V702" s="7" t="str">
        <f>IFERROR(__xludf.DUMMYFUNCTION("""COMPUTED_VALUE"""),"Chính thức")</f>
        <v>Chính thức</v>
      </c>
      <c r="W702" s="7" t="str">
        <f>IFERROR(__xludf.DUMMYFUNCTION("""COMPUTED_VALUE"""),"4 năm 10 tháng")</f>
        <v>4 năm 10 tháng</v>
      </c>
      <c r="X702" s="7"/>
      <c r="Y702" s="7"/>
      <c r="Z702" s="7"/>
    </row>
    <row r="703">
      <c r="A703" s="7">
        <f>IFERROR(__xludf.DUMMYFUNCTION("""COMPUTED_VALUE"""),3.0)</f>
        <v>3</v>
      </c>
      <c r="B703" s="7" t="str">
        <f>IFERROR(__xludf.DUMMYFUNCTION("""COMPUTED_VALUE"""),"DC6-PXSX2")</f>
        <v>DC6-PXSX2</v>
      </c>
      <c r="C703" s="7" t="str">
        <f>IFERROR(__xludf.DUMMYFUNCTION("""COMPUTED_VALUE"""),"Bộ phận Nguyên liệu và Dây chuyền gia công")</f>
        <v>Bộ phận Nguyên liệu và Dây chuyền gia công</v>
      </c>
      <c r="D703" s="7" t="str">
        <f>IFERROR(__xludf.DUMMYFUNCTION("""COMPUTED_VALUE"""),"Dây chuyền gia công Ca B")</f>
        <v>Dây chuyền gia công Ca B</v>
      </c>
      <c r="E703" s="7" t="str">
        <f>IFERROR(__xludf.DUMMYFUNCTION("""COMPUTED_VALUE"""),"VH máy ép")</f>
        <v>VH máy ép</v>
      </c>
      <c r="F703" s="7" t="str">
        <f>IFERROR(__xludf.DUMMYFUNCTION("""COMPUTED_VALUE"""),"NV0568")</f>
        <v>NV0568</v>
      </c>
      <c r="G703" s="7">
        <f>IFERROR(__xludf.DUMMYFUNCTION("""COMPUTED_VALUE"""),379.0)</f>
        <v>379</v>
      </c>
      <c r="H703" s="7" t="str">
        <f>IFERROR(__xludf.DUMMYFUNCTION("""COMPUTED_VALUE"""),"Vũ Thành Hơn")</f>
        <v>Vũ Thành Hơn</v>
      </c>
      <c r="I703" s="7" t="str">
        <f>IFERROR(__xludf.DUMMYFUNCTION("""COMPUTED_VALUE"""),"Nam")</f>
        <v>Nam</v>
      </c>
      <c r="J703" s="17">
        <f>IFERROR(__xludf.DUMMYFUNCTION("""COMPUTED_VALUE"""),32748.0)</f>
        <v>32748</v>
      </c>
      <c r="K703" s="7" t="str">
        <f>IFERROR(__xludf.DUMMYFUNCTION("""COMPUTED_VALUE"""),"Xã Hà Thanh -  Huyện Hà Trung -  Thanh Hóa")</f>
        <v>Xã Hà Thanh -  Huyện Hà Trung -  Thanh Hóa</v>
      </c>
      <c r="L703" s="7" t="str">
        <f>IFERROR(__xludf.DUMMYFUNCTION("""COMPUTED_VALUE"""),"0961144491")</f>
        <v>0961144491</v>
      </c>
      <c r="M703" s="7" t="str">
        <f>IFERROR(__xludf.DUMMYFUNCTION("""COMPUTED_VALUE"""),"038089031536")</f>
        <v>038089031536</v>
      </c>
      <c r="N703" s="19">
        <f>IFERROR(__xludf.DUMMYFUNCTION("""COMPUTED_VALUE"""),44375.0)</f>
        <v>44375</v>
      </c>
      <c r="O703" s="7" t="str">
        <f>IFERROR(__xludf.DUMMYFUNCTION("""COMPUTED_VALUE"""),"Cục Cảnh sát QLHC về TTXH")</f>
        <v>Cục Cảnh sát QLHC về TTXH</v>
      </c>
      <c r="P703" s="7" t="str">
        <f>IFERROR(__xludf.DUMMYFUNCTION("""COMPUTED_VALUE"""),"LĐPT")</f>
        <v>LĐPT</v>
      </c>
      <c r="Q703" s="7" t="str">
        <f>IFERROR(__xludf.DUMMYFUNCTION("""COMPUTED_VALUE"""),"Lao động phổ thông")</f>
        <v>Lao động phổ thông</v>
      </c>
      <c r="R703" s="17">
        <f>IFERROR(__xludf.DUMMYFUNCTION("""COMPUTED_VALUE"""),42122.0)</f>
        <v>42122</v>
      </c>
      <c r="S703" s="17">
        <f>IFERROR(__xludf.DUMMYFUNCTION("""COMPUTED_VALUE"""),42122.0)</f>
        <v>42122</v>
      </c>
      <c r="T703" s="7" t="str">
        <f>IFERROR(__xludf.DUMMYFUNCTION("""COMPUTED_VALUE"""),"Chính thức")</f>
        <v>Chính thức</v>
      </c>
      <c r="U703" s="7"/>
      <c r="V703" s="7" t="str">
        <f>IFERROR(__xludf.DUMMYFUNCTION("""COMPUTED_VALUE"""),"Chính thức")</f>
        <v>Chính thức</v>
      </c>
      <c r="W703" s="7" t="str">
        <f>IFERROR(__xludf.DUMMYFUNCTION("""COMPUTED_VALUE"""),"10 năm 8 tháng")</f>
        <v>10 năm 8 tháng</v>
      </c>
      <c r="X703" s="7"/>
      <c r="Y703" s="7"/>
      <c r="Z703" s="7"/>
    </row>
    <row r="704">
      <c r="A704" s="7">
        <f>IFERROR(__xludf.DUMMYFUNCTION("""COMPUTED_VALUE"""),4.0)</f>
        <v>4</v>
      </c>
      <c r="B704" s="7" t="str">
        <f>IFERROR(__xludf.DUMMYFUNCTION("""COMPUTED_VALUE"""),"DC6-PXSX2")</f>
        <v>DC6-PXSX2</v>
      </c>
      <c r="C704" s="7" t="str">
        <f>IFERROR(__xludf.DUMMYFUNCTION("""COMPUTED_VALUE"""),"Bộ phận Nguyên liệu và Dây chuyền gia công")</f>
        <v>Bộ phận Nguyên liệu và Dây chuyền gia công</v>
      </c>
      <c r="D704" s="7" t="str">
        <f>IFERROR(__xludf.DUMMYFUNCTION("""COMPUTED_VALUE"""),"Dây chuyền gia công Ca B")</f>
        <v>Dây chuyền gia công Ca B</v>
      </c>
      <c r="E704" s="7" t="str">
        <f>IFERROR(__xludf.DUMMYFUNCTION("""COMPUTED_VALUE"""),"VHC tráng Men -  Engobe")</f>
        <v>VHC tráng Men -  Engobe</v>
      </c>
      <c r="F704" s="7" t="str">
        <f>IFERROR(__xludf.DUMMYFUNCTION("""COMPUTED_VALUE"""),"NV0566")</f>
        <v>NV0566</v>
      </c>
      <c r="G704" s="7">
        <f>IFERROR(__xludf.DUMMYFUNCTION("""COMPUTED_VALUE"""),714.0)</f>
        <v>714</v>
      </c>
      <c r="H704" s="7" t="str">
        <f>IFERROR(__xludf.DUMMYFUNCTION("""COMPUTED_VALUE"""),"Lê Thanh Bình")</f>
        <v>Lê Thanh Bình</v>
      </c>
      <c r="I704" s="7" t="str">
        <f>IFERROR(__xludf.DUMMYFUNCTION("""COMPUTED_VALUE"""),"Nam")</f>
        <v>Nam</v>
      </c>
      <c r="J704" s="17">
        <f>IFERROR(__xludf.DUMMYFUNCTION("""COMPUTED_VALUE"""),34108.0)</f>
        <v>34108</v>
      </c>
      <c r="K704" s="7" t="str">
        <f>IFERROR(__xludf.DUMMYFUNCTION("""COMPUTED_VALUE"""),"Xã Thiệu Tâm - Thiệu Hóa - Thanh Hóa")</f>
        <v>Xã Thiệu Tâm - Thiệu Hóa - Thanh Hóa</v>
      </c>
      <c r="L704" s="7" t="str">
        <f>IFERROR(__xludf.DUMMYFUNCTION("""COMPUTED_VALUE"""),"0369346075")</f>
        <v>0369346075</v>
      </c>
      <c r="M704" s="7" t="str">
        <f>IFERROR(__xludf.DUMMYFUNCTION("""COMPUTED_VALUE"""),"038093025077")</f>
        <v>038093025077</v>
      </c>
      <c r="N704" s="19">
        <f>IFERROR(__xludf.DUMMYFUNCTION("""COMPUTED_VALUE"""),44785.0)</f>
        <v>44785</v>
      </c>
      <c r="O704" s="7" t="str">
        <f>IFERROR(__xludf.DUMMYFUNCTION("""COMPUTED_VALUE"""),"Cục Cảnh sát QLHC về TTXH")</f>
        <v>Cục Cảnh sát QLHC về TTXH</v>
      </c>
      <c r="P704" s="7" t="str">
        <f>IFERROR(__xludf.DUMMYFUNCTION("""COMPUTED_VALUE"""),"LĐPT")</f>
        <v>LĐPT</v>
      </c>
      <c r="Q704" s="7" t="str">
        <f>IFERROR(__xludf.DUMMYFUNCTION("""COMPUTED_VALUE"""),"Lao động phổ thông")</f>
        <v>Lao động phổ thông</v>
      </c>
      <c r="R704" s="17">
        <f>IFERROR(__xludf.DUMMYFUNCTION("""COMPUTED_VALUE"""),41076.0)</f>
        <v>41076</v>
      </c>
      <c r="S704" s="17">
        <f>IFERROR(__xludf.DUMMYFUNCTION("""COMPUTED_VALUE"""),41076.0)</f>
        <v>41076</v>
      </c>
      <c r="T704" s="7" t="str">
        <f>IFERROR(__xludf.DUMMYFUNCTION("""COMPUTED_VALUE"""),"Chính thức")</f>
        <v>Chính thức</v>
      </c>
      <c r="U704" s="7"/>
      <c r="V704" s="7" t="str">
        <f>IFERROR(__xludf.DUMMYFUNCTION("""COMPUTED_VALUE"""),"Chính thức")</f>
        <v>Chính thức</v>
      </c>
      <c r="W704" s="7" t="str">
        <f>IFERROR(__xludf.DUMMYFUNCTION("""COMPUTED_VALUE"""),"13 năm 6 tháng")</f>
        <v>13 năm 6 tháng</v>
      </c>
      <c r="X704" s="7"/>
      <c r="Y704" s="7"/>
      <c r="Z704" s="7"/>
    </row>
    <row r="705">
      <c r="A705" s="7">
        <f>IFERROR(__xludf.DUMMYFUNCTION("""COMPUTED_VALUE"""),5.0)</f>
        <v>5</v>
      </c>
      <c r="B705" s="7" t="str">
        <f>IFERROR(__xludf.DUMMYFUNCTION("""COMPUTED_VALUE"""),"DC6-PXSX2")</f>
        <v>DC6-PXSX2</v>
      </c>
      <c r="C705" s="7" t="str">
        <f>IFERROR(__xludf.DUMMYFUNCTION("""COMPUTED_VALUE"""),"Bộ phận Nguyên liệu và Dây chuyền gia công")</f>
        <v>Bộ phận Nguyên liệu và Dây chuyền gia công</v>
      </c>
      <c r="D705" s="7" t="str">
        <f>IFERROR(__xludf.DUMMYFUNCTION("""COMPUTED_VALUE"""),"Dây chuyền gia công Ca B")</f>
        <v>Dây chuyền gia công Ca B</v>
      </c>
      <c r="E705" s="7"/>
      <c r="F705" s="7" t="str">
        <f>IFERROR(__xludf.DUMMYFUNCTION("""COMPUTED_VALUE"""),"NV5787")</f>
        <v>NV5787</v>
      </c>
      <c r="G705" s="7">
        <f>IFERROR(__xludf.DUMMYFUNCTION("""COMPUTED_VALUE"""),1269.0)</f>
        <v>1269</v>
      </c>
      <c r="H705" s="7" t="str">
        <f>IFERROR(__xludf.DUMMYFUNCTION("""COMPUTED_VALUE"""),"Văn Doãn Thuận")</f>
        <v>Văn Doãn Thuận</v>
      </c>
      <c r="I705" s="7" t="str">
        <f>IFERROR(__xludf.DUMMYFUNCTION("""COMPUTED_VALUE"""),"Nam")</f>
        <v>Nam</v>
      </c>
      <c r="J705" s="17">
        <f>IFERROR(__xludf.DUMMYFUNCTION("""COMPUTED_VALUE"""),33026.0)</f>
        <v>33026</v>
      </c>
      <c r="K705" s="7" t="str">
        <f>IFERROR(__xludf.DUMMYFUNCTION("""COMPUTED_VALUE"""),"Thôn 10 - Xã Quảng Ninh - Tỉnh Thanh Hóa")</f>
        <v>Thôn 10 - Xã Quảng Ninh - Tỉnh Thanh Hóa</v>
      </c>
      <c r="L705" s="7" t="str">
        <f>IFERROR(__xludf.DUMMYFUNCTION("""COMPUTED_VALUE"""),"0984409904")</f>
        <v>0984409904</v>
      </c>
      <c r="M705" s="7" t="str">
        <f>IFERROR(__xludf.DUMMYFUNCTION("""COMPUTED_VALUE"""),"038080019006")</f>
        <v>038080019006</v>
      </c>
      <c r="N705" s="19">
        <f>IFERROR(__xludf.DUMMYFUNCTION("""COMPUTED_VALUE"""),44427.0)</f>
        <v>44427</v>
      </c>
      <c r="O705" s="7" t="str">
        <f>IFERROR(__xludf.DUMMYFUNCTION("""COMPUTED_VALUE"""),"Cục Cảnh sát QLHC về TTXH")</f>
        <v>Cục Cảnh sát QLHC về TTXH</v>
      </c>
      <c r="P705" s="7" t="str">
        <f>IFERROR(__xludf.DUMMYFUNCTION("""COMPUTED_VALUE"""),"LĐPT")</f>
        <v>LĐPT</v>
      </c>
      <c r="Q705" s="7" t="str">
        <f>IFERROR(__xludf.DUMMYFUNCTION("""COMPUTED_VALUE"""),"Lao động phổ thông")</f>
        <v>Lao động phổ thông</v>
      </c>
      <c r="R705" s="17">
        <f>IFERROR(__xludf.DUMMYFUNCTION("""COMPUTED_VALUE"""),45964.0)</f>
        <v>45964</v>
      </c>
      <c r="S705" s="17">
        <f>IFERROR(__xludf.DUMMYFUNCTION("""COMPUTED_VALUE"""),45994.0)</f>
        <v>45994</v>
      </c>
      <c r="T705" s="7" t="str">
        <f>IFERROR(__xludf.DUMMYFUNCTION("""COMPUTED_VALUE"""),"Thử việc")</f>
        <v>Thử việc</v>
      </c>
      <c r="U705" s="7"/>
      <c r="V705" s="7" t="str">
        <f>IFERROR(__xludf.DUMMYFUNCTION("""COMPUTED_VALUE"""),"Thử việc")</f>
        <v>Thử việc</v>
      </c>
      <c r="W705" s="7" t="str">
        <f>IFERROR(__xludf.DUMMYFUNCTION("""COMPUTED_VALUE"""),"0 năm 1 tháng")</f>
        <v>0 năm 1 tháng</v>
      </c>
      <c r="X705" s="7"/>
      <c r="Y705" s="7"/>
      <c r="Z705" s="7"/>
    </row>
    <row r="706">
      <c r="A706" s="7">
        <f>IFERROR(__xludf.DUMMYFUNCTION("""COMPUTED_VALUE"""),1.0)</f>
        <v>1</v>
      </c>
      <c r="B706" s="7" t="str">
        <f>IFERROR(__xludf.DUMMYFUNCTION("""COMPUTED_VALUE"""),"PXSX2")</f>
        <v>PXSX2</v>
      </c>
      <c r="C706" s="7" t="str">
        <f>IFERROR(__xludf.DUMMYFUNCTION("""COMPUTED_VALUE"""),"Bộ phận Trạm than và Lò nung")</f>
        <v>Bộ phận Trạm than và Lò nung</v>
      </c>
      <c r="D706" s="7" t="str">
        <f>IFERROR(__xludf.DUMMYFUNCTION("""COMPUTED_VALUE"""),"Quản lý")</f>
        <v>Quản lý</v>
      </c>
      <c r="E706" s="7" t="str">
        <f>IFERROR(__xludf.DUMMYFUNCTION("""COMPUTED_VALUE"""),"Cán bộ kỹ thuật")</f>
        <v>Cán bộ kỹ thuật</v>
      </c>
      <c r="F706" s="7" t="str">
        <f>IFERROR(__xludf.DUMMYFUNCTION("""COMPUTED_VALUE"""),"NV0298")</f>
        <v>NV0298</v>
      </c>
      <c r="G706" s="7">
        <f>IFERROR(__xludf.DUMMYFUNCTION("""COMPUTED_VALUE"""),591.0)</f>
        <v>591</v>
      </c>
      <c r="H706" s="7" t="str">
        <f>IFERROR(__xludf.DUMMYFUNCTION("""COMPUTED_VALUE"""),"Trần Văn Hùng")</f>
        <v>Trần Văn Hùng</v>
      </c>
      <c r="I706" s="7" t="str">
        <f>IFERROR(__xludf.DUMMYFUNCTION("""COMPUTED_VALUE"""),"Nam")</f>
        <v>Nam</v>
      </c>
      <c r="J706" s="17">
        <f>IFERROR(__xludf.DUMMYFUNCTION("""COMPUTED_VALUE"""),27828.0)</f>
        <v>27828</v>
      </c>
      <c r="K706" s="7" t="str">
        <f>IFERROR(__xludf.DUMMYFUNCTION("""COMPUTED_VALUE"""),"Phố 5 - Phường Quảng Phú - Tỉnh Thanh Hóa")</f>
        <v>Phố 5 - Phường Quảng Phú - Tỉnh Thanh Hóa</v>
      </c>
      <c r="L706" s="7" t="str">
        <f>IFERROR(__xludf.DUMMYFUNCTION("""COMPUTED_VALUE"""),"0984135814")</f>
        <v>0984135814</v>
      </c>
      <c r="M706" s="7" t="str">
        <f>IFERROR(__xludf.DUMMYFUNCTION("""COMPUTED_VALUE"""),"038076000882")</f>
        <v>038076000882</v>
      </c>
      <c r="N706" s="19">
        <f>IFERROR(__xludf.DUMMYFUNCTION("""COMPUTED_VALUE"""),42514.0)</f>
        <v>42514</v>
      </c>
      <c r="O706" s="7" t="str">
        <f>IFERROR(__xludf.DUMMYFUNCTION("""COMPUTED_VALUE"""),"Cục Cảnh sát QLHC về TTXH")</f>
        <v>Cục Cảnh sát QLHC về TTXH</v>
      </c>
      <c r="P706" s="7" t="str">
        <f>IFERROR(__xludf.DUMMYFUNCTION("""COMPUTED_VALUE"""),"LĐPT")</f>
        <v>LĐPT</v>
      </c>
      <c r="Q706" s="7" t="str">
        <f>IFERROR(__xludf.DUMMYFUNCTION("""COMPUTED_VALUE"""),"Lao động phổ thông")</f>
        <v>Lao động phổ thông</v>
      </c>
      <c r="R706" s="17">
        <f>IFERROR(__xludf.DUMMYFUNCTION("""COMPUTED_VALUE"""),38493.0)</f>
        <v>38493</v>
      </c>
      <c r="S706" s="17">
        <f>IFERROR(__xludf.DUMMYFUNCTION("""COMPUTED_VALUE"""),38493.0)</f>
        <v>38493</v>
      </c>
      <c r="T706" s="7" t="str">
        <f>IFERROR(__xludf.DUMMYFUNCTION("""COMPUTED_VALUE"""),"Chính thức")</f>
        <v>Chính thức</v>
      </c>
      <c r="U706" s="7"/>
      <c r="V706" s="7" t="str">
        <f>IFERROR(__xludf.DUMMYFUNCTION("""COMPUTED_VALUE"""),"Chính thức")</f>
        <v>Chính thức</v>
      </c>
      <c r="W706" s="7" t="str">
        <f>IFERROR(__xludf.DUMMYFUNCTION("""COMPUTED_VALUE"""),"20 năm 7 tháng")</f>
        <v>20 năm 7 tháng</v>
      </c>
      <c r="X706" s="7"/>
      <c r="Y706" s="7"/>
      <c r="Z706" s="7"/>
    </row>
    <row r="707">
      <c r="A707" s="7">
        <f>IFERROR(__xludf.DUMMYFUNCTION("""COMPUTED_VALUE"""),1.0)</f>
        <v>1</v>
      </c>
      <c r="B707" s="7" t="str">
        <f>IFERROR(__xludf.DUMMYFUNCTION("""COMPUTED_VALUE"""),"DC6-PXSX2")</f>
        <v>DC6-PXSX2</v>
      </c>
      <c r="C707" s="7" t="str">
        <f>IFERROR(__xludf.DUMMYFUNCTION("""COMPUTED_VALUE"""),"Bộ phận Trạm than và Lò nung")</f>
        <v>Bộ phận Trạm than và Lò nung</v>
      </c>
      <c r="D707" s="7" t="str">
        <f>IFERROR(__xludf.DUMMYFUNCTION("""COMPUTED_VALUE"""),"Lò nung - Đóng hộp Ca A")</f>
        <v>Lò nung - Đóng hộp Ca A</v>
      </c>
      <c r="E707" s="7" t="str">
        <f>IFERROR(__xludf.DUMMYFUNCTION("""COMPUTED_VALUE"""),"Tổ trưởng")</f>
        <v>Tổ trưởng</v>
      </c>
      <c r="F707" s="7" t="str">
        <f>IFERROR(__xludf.DUMMYFUNCTION("""COMPUTED_VALUE"""),"NV0606")</f>
        <v>NV0606</v>
      </c>
      <c r="G707" s="7">
        <f>IFERROR(__xludf.DUMMYFUNCTION("""COMPUTED_VALUE"""),465.0)</f>
        <v>465</v>
      </c>
      <c r="H707" s="7" t="str">
        <f>IFERROR(__xludf.DUMMYFUNCTION("""COMPUTED_VALUE"""),"Nguyễn Thương Huyền")</f>
        <v>Nguyễn Thương Huyền</v>
      </c>
      <c r="I707" s="7" t="str">
        <f>IFERROR(__xludf.DUMMYFUNCTION("""COMPUTED_VALUE"""),"Nam")</f>
        <v>Nam</v>
      </c>
      <c r="J707" s="17">
        <f>IFERROR(__xludf.DUMMYFUNCTION("""COMPUTED_VALUE"""),30069.0)</f>
        <v>30069</v>
      </c>
      <c r="K707" s="7" t="str">
        <f>IFERROR(__xludf.DUMMYFUNCTION("""COMPUTED_VALUE"""),"Khu Phố Phúc Đức -  Phường Quảng Tiến -  Thành phố Sầm Sơn -  Thanh Hóa - ")</f>
        <v>Khu Phố Phúc Đức -  Phường Quảng Tiến -  Thành phố Sầm Sơn -  Thanh Hóa - </v>
      </c>
      <c r="L707" s="7" t="str">
        <f>IFERROR(__xludf.DUMMYFUNCTION("""COMPUTED_VALUE"""),"0329547716")</f>
        <v>0329547716</v>
      </c>
      <c r="M707" s="7" t="str">
        <f>IFERROR(__xludf.DUMMYFUNCTION("""COMPUTED_VALUE"""),"038082042219")</f>
        <v>038082042219</v>
      </c>
      <c r="N707" s="19">
        <f>IFERROR(__xludf.DUMMYFUNCTION("""COMPUTED_VALUE"""),44425.0)</f>
        <v>44425</v>
      </c>
      <c r="O707" s="7" t="str">
        <f>IFERROR(__xludf.DUMMYFUNCTION("""COMPUTED_VALUE"""),"Cục Cảnh sát QLHC về TTXH")</f>
        <v>Cục Cảnh sát QLHC về TTXH</v>
      </c>
      <c r="P707" s="7" t="str">
        <f>IFERROR(__xludf.DUMMYFUNCTION("""COMPUTED_VALUE"""),"Cao đẳng")</f>
        <v>Cao đẳng</v>
      </c>
      <c r="Q707" s="7" t="str">
        <f>IFERROR(__xludf.DUMMYFUNCTION("""COMPUTED_VALUE"""),"Tin học")</f>
        <v>Tin học</v>
      </c>
      <c r="R707" s="17">
        <f>IFERROR(__xludf.DUMMYFUNCTION("""COMPUTED_VALUE"""),40954.0)</f>
        <v>40954</v>
      </c>
      <c r="S707" s="17">
        <f>IFERROR(__xludf.DUMMYFUNCTION("""COMPUTED_VALUE"""),40954.0)</f>
        <v>40954</v>
      </c>
      <c r="T707" s="7" t="str">
        <f>IFERROR(__xludf.DUMMYFUNCTION("""COMPUTED_VALUE"""),"Chính thức")</f>
        <v>Chính thức</v>
      </c>
      <c r="U707" s="7"/>
      <c r="V707" s="7" t="str">
        <f>IFERROR(__xludf.DUMMYFUNCTION("""COMPUTED_VALUE"""),"Chính thức")</f>
        <v>Chính thức</v>
      </c>
      <c r="W707" s="7" t="str">
        <f>IFERROR(__xludf.DUMMYFUNCTION("""COMPUTED_VALUE"""),"13 năm 10 tháng")</f>
        <v>13 năm 10 tháng</v>
      </c>
      <c r="X707" s="7"/>
      <c r="Y707" s="7"/>
      <c r="Z707" s="7"/>
    </row>
    <row r="708">
      <c r="A708" s="7">
        <f>IFERROR(__xludf.DUMMYFUNCTION("""COMPUTED_VALUE"""),2.0)</f>
        <v>2</v>
      </c>
      <c r="B708" s="7" t="str">
        <f>IFERROR(__xludf.DUMMYFUNCTION("""COMPUTED_VALUE"""),"DC6-PXSX2")</f>
        <v>DC6-PXSX2</v>
      </c>
      <c r="C708" s="7" t="str">
        <f>IFERROR(__xludf.DUMMYFUNCTION("""COMPUTED_VALUE"""),"Bộ phận Trạm than và Lò nung")</f>
        <v>Bộ phận Trạm than và Lò nung</v>
      </c>
      <c r="D708" s="7" t="str">
        <f>IFERROR(__xludf.DUMMYFUNCTION("""COMPUTED_VALUE"""),"Lò nung - Đóng hộp Ca A")</f>
        <v>Lò nung - Đóng hộp Ca A</v>
      </c>
      <c r="E708" s="7" t="str">
        <f>IFERROR(__xludf.DUMMYFUNCTION("""COMPUTED_VALUE"""),"VHC lò")</f>
        <v>VHC lò</v>
      </c>
      <c r="F708" s="7" t="str">
        <f>IFERROR(__xludf.DUMMYFUNCTION("""COMPUTED_VALUE"""),"NV2185")</f>
        <v>NV2185</v>
      </c>
      <c r="G708" s="7">
        <f>IFERROR(__xludf.DUMMYFUNCTION("""COMPUTED_VALUE"""),428.0)</f>
        <v>428</v>
      </c>
      <c r="H708" s="7" t="str">
        <f>IFERROR(__xludf.DUMMYFUNCTION("""COMPUTED_VALUE"""),"Trần Văn Trọng")</f>
        <v>Trần Văn Trọng</v>
      </c>
      <c r="I708" s="7" t="str">
        <f>IFERROR(__xludf.DUMMYFUNCTION("""COMPUTED_VALUE"""),"Nam")</f>
        <v>Nam</v>
      </c>
      <c r="J708" s="17">
        <f>IFERROR(__xludf.DUMMYFUNCTION("""COMPUTED_VALUE"""),35476.0)</f>
        <v>35476</v>
      </c>
      <c r="K708" s="7" t="str">
        <f>IFERROR(__xludf.DUMMYFUNCTION("""COMPUTED_VALUE"""),"Thôn 8 - Quảng Giao - Quảng Xương - Thanh Hóa")</f>
        <v>Thôn 8 - Quảng Giao - Quảng Xương - Thanh Hóa</v>
      </c>
      <c r="L708" s="7" t="str">
        <f>IFERROR(__xludf.DUMMYFUNCTION("""COMPUTED_VALUE"""),"0981973741")</f>
        <v>0981973741</v>
      </c>
      <c r="M708" s="7" t="str">
        <f>IFERROR(__xludf.DUMMYFUNCTION("""COMPUTED_VALUE"""),"038097001590")</f>
        <v>038097001590</v>
      </c>
      <c r="N708" s="19">
        <f>IFERROR(__xludf.DUMMYFUNCTION("""COMPUTED_VALUE"""),44418.0)</f>
        <v>44418</v>
      </c>
      <c r="O708" s="7" t="str">
        <f>IFERROR(__xludf.DUMMYFUNCTION("""COMPUTED_VALUE"""),"Cục Cảnh sát QLHC về TTXH")</f>
        <v>Cục Cảnh sát QLHC về TTXH</v>
      </c>
      <c r="P708" s="7" t="str">
        <f>IFERROR(__xludf.DUMMYFUNCTION("""COMPUTED_VALUE"""),"LĐPT")</f>
        <v>LĐPT</v>
      </c>
      <c r="Q708" s="7" t="str">
        <f>IFERROR(__xludf.DUMMYFUNCTION("""COMPUTED_VALUE"""),"Lao động phổ thông")</f>
        <v>Lao động phổ thông</v>
      </c>
      <c r="R708" s="17">
        <f>IFERROR(__xludf.DUMMYFUNCTION("""COMPUTED_VALUE"""),43523.0)</f>
        <v>43523</v>
      </c>
      <c r="S708" s="17">
        <f>IFERROR(__xludf.DUMMYFUNCTION("""COMPUTED_VALUE"""),43800.0)</f>
        <v>43800</v>
      </c>
      <c r="T708" s="7" t="str">
        <f>IFERROR(__xludf.DUMMYFUNCTION("""COMPUTED_VALUE"""),"Chính thức")</f>
        <v>Chính thức</v>
      </c>
      <c r="U708" s="7"/>
      <c r="V708" s="7" t="str">
        <f>IFERROR(__xludf.DUMMYFUNCTION("""COMPUTED_VALUE"""),"Chính thức")</f>
        <v>Chính thức</v>
      </c>
      <c r="W708" s="7" t="str">
        <f>IFERROR(__xludf.DUMMYFUNCTION("""COMPUTED_VALUE"""),"6 năm 10 tháng")</f>
        <v>6 năm 10 tháng</v>
      </c>
      <c r="X708" s="7"/>
      <c r="Y708" s="7"/>
      <c r="Z708" s="7"/>
    </row>
    <row r="709">
      <c r="A709" s="7">
        <f>IFERROR(__xludf.DUMMYFUNCTION("""COMPUTED_VALUE"""),3.0)</f>
        <v>3</v>
      </c>
      <c r="B709" s="7" t="str">
        <f>IFERROR(__xludf.DUMMYFUNCTION("""COMPUTED_VALUE"""),"DC6-PXSX2")</f>
        <v>DC6-PXSX2</v>
      </c>
      <c r="C709" s="7" t="str">
        <f>IFERROR(__xludf.DUMMYFUNCTION("""COMPUTED_VALUE"""),"Bộ phận Trạm than và Lò nung")</f>
        <v>Bộ phận Trạm than và Lò nung</v>
      </c>
      <c r="D709" s="7" t="str">
        <f>IFERROR(__xludf.DUMMYFUNCTION("""COMPUTED_VALUE"""),"Lò nung - Đóng hộp Ca A")</f>
        <v>Lò nung - Đóng hộp Ca A</v>
      </c>
      <c r="E709" s="7" t="str">
        <f>IFERROR(__xludf.DUMMYFUNCTION("""COMPUTED_VALUE"""),"VH Bù đầu lò")</f>
        <v>VH Bù đầu lò</v>
      </c>
      <c r="F709" s="7" t="str">
        <f>IFERROR(__xludf.DUMMYFUNCTION("""COMPUTED_VALUE"""),"NV0516")</f>
        <v>NV0516</v>
      </c>
      <c r="G709" s="7">
        <f>IFERROR(__xludf.DUMMYFUNCTION("""COMPUTED_VALUE"""),576.0)</f>
        <v>576</v>
      </c>
      <c r="H709" s="7" t="str">
        <f>IFERROR(__xludf.DUMMYFUNCTION("""COMPUTED_VALUE"""),"Lê Văn Vũ")</f>
        <v>Lê Văn Vũ</v>
      </c>
      <c r="I709" s="7" t="str">
        <f>IFERROR(__xludf.DUMMYFUNCTION("""COMPUTED_VALUE"""),"Nam")</f>
        <v>Nam</v>
      </c>
      <c r="J709" s="17">
        <f>IFERROR(__xludf.DUMMYFUNCTION("""COMPUTED_VALUE"""),28773.0)</f>
        <v>28773</v>
      </c>
      <c r="K709" s="7" t="str">
        <f>IFERROR(__xludf.DUMMYFUNCTION("""COMPUTED_VALUE"""),"Thôn 3 -  Xã Xuân Sinh -  Huyện Thọ Xuân -  Thanh Hóa")</f>
        <v>Thôn 3 -  Xã Xuân Sinh -  Huyện Thọ Xuân -  Thanh Hóa</v>
      </c>
      <c r="L709" s="7" t="str">
        <f>IFERROR(__xludf.DUMMYFUNCTION("""COMPUTED_VALUE"""),"0971165460")</f>
        <v>0971165460</v>
      </c>
      <c r="M709" s="7" t="str">
        <f>IFERROR(__xludf.DUMMYFUNCTION("""COMPUTED_VALUE"""),"038078005512")</f>
        <v>038078005512</v>
      </c>
      <c r="N709" s="19">
        <f>IFERROR(__xludf.DUMMYFUNCTION("""COMPUTED_VALUE"""),44502.0)</f>
        <v>44502</v>
      </c>
      <c r="O709" s="7" t="str">
        <f>IFERROR(__xludf.DUMMYFUNCTION("""COMPUTED_VALUE"""),"Cục Cảnh sát QLHC về TTXH")</f>
        <v>Cục Cảnh sát QLHC về TTXH</v>
      </c>
      <c r="P709" s="7" t="str">
        <f>IFERROR(__xludf.DUMMYFUNCTION("""COMPUTED_VALUE"""),"LĐPT")</f>
        <v>LĐPT</v>
      </c>
      <c r="Q709" s="7" t="str">
        <f>IFERROR(__xludf.DUMMYFUNCTION("""COMPUTED_VALUE"""),"Lao động phổ thông")</f>
        <v>Lao động phổ thông</v>
      </c>
      <c r="R709" s="17">
        <f>IFERROR(__xludf.DUMMYFUNCTION("""COMPUTED_VALUE"""),40603.0)</f>
        <v>40603</v>
      </c>
      <c r="S709" s="17">
        <f>IFERROR(__xludf.DUMMYFUNCTION("""COMPUTED_VALUE"""),40603.0)</f>
        <v>40603</v>
      </c>
      <c r="T709" s="7" t="str">
        <f>IFERROR(__xludf.DUMMYFUNCTION("""COMPUTED_VALUE"""),"Chính thức")</f>
        <v>Chính thức</v>
      </c>
      <c r="U709" s="7"/>
      <c r="V709" s="7" t="str">
        <f>IFERROR(__xludf.DUMMYFUNCTION("""COMPUTED_VALUE"""),"Chính thức")</f>
        <v>Chính thức</v>
      </c>
      <c r="W709" s="7" t="str">
        <f>IFERROR(__xludf.DUMMYFUNCTION("""COMPUTED_VALUE"""),"14 năm 9 tháng")</f>
        <v>14 năm 9 tháng</v>
      </c>
      <c r="X709" s="7"/>
      <c r="Y709" s="7"/>
      <c r="Z709" s="7"/>
    </row>
    <row r="710">
      <c r="A710" s="7">
        <f>IFERROR(__xludf.DUMMYFUNCTION("""COMPUTED_VALUE"""),4.0)</f>
        <v>4</v>
      </c>
      <c r="B710" s="7" t="str">
        <f>IFERROR(__xludf.DUMMYFUNCTION("""COMPUTED_VALUE"""),"DC6-PXSX2")</f>
        <v>DC6-PXSX2</v>
      </c>
      <c r="C710" s="7" t="str">
        <f>IFERROR(__xludf.DUMMYFUNCTION("""COMPUTED_VALUE"""),"Bộ phận Trạm than và Lò nung")</f>
        <v>Bộ phận Trạm than và Lò nung</v>
      </c>
      <c r="D710" s="7" t="str">
        <f>IFERROR(__xludf.DUMMYFUNCTION("""COMPUTED_VALUE"""),"Lò nung - Đóng hộp Ca A")</f>
        <v>Lò nung - Đóng hộp Ca A</v>
      </c>
      <c r="E710" s="7" t="str">
        <f>IFERROR(__xludf.DUMMYFUNCTION("""COMPUTED_VALUE"""),"Nhóm trưởng đóng hộp")</f>
        <v>Nhóm trưởng đóng hộp</v>
      </c>
      <c r="F710" s="7" t="str">
        <f>IFERROR(__xludf.DUMMYFUNCTION("""COMPUTED_VALUE"""),"NV0486")</f>
        <v>NV0486</v>
      </c>
      <c r="G710" s="7">
        <f>IFERROR(__xludf.DUMMYFUNCTION("""COMPUTED_VALUE"""),604.0)</f>
        <v>604</v>
      </c>
      <c r="H710" s="7" t="str">
        <f>IFERROR(__xludf.DUMMYFUNCTION("""COMPUTED_VALUE"""),"Nguyễn Thái Thuận")</f>
        <v>Nguyễn Thái Thuận</v>
      </c>
      <c r="I710" s="7" t="str">
        <f>IFERROR(__xludf.DUMMYFUNCTION("""COMPUTED_VALUE"""),"Nam")</f>
        <v>Nam</v>
      </c>
      <c r="J710" s="17">
        <f>IFERROR(__xludf.DUMMYFUNCTION("""COMPUTED_VALUE"""),31579.0)</f>
        <v>31579</v>
      </c>
      <c r="K710" s="7" t="str">
        <f>IFERROR(__xludf.DUMMYFUNCTION("""COMPUTED_VALUE"""),"Phường Đông Hải -  Thành phố Thanh Hóa")</f>
        <v>Phường Đông Hải -  Thành phố Thanh Hóa</v>
      </c>
      <c r="L710" s="7" t="str">
        <f>IFERROR(__xludf.DUMMYFUNCTION("""COMPUTED_VALUE"""),"0984908678")</f>
        <v>0984908678</v>
      </c>
      <c r="M710" s="7" t="str">
        <f>IFERROR(__xludf.DUMMYFUNCTION("""COMPUTED_VALUE"""),"038086018573")</f>
        <v>038086018573</v>
      </c>
      <c r="N710" s="19">
        <f>IFERROR(__xludf.DUMMYFUNCTION("""COMPUTED_VALUE"""),44305.0)</f>
        <v>44305</v>
      </c>
      <c r="O710" s="7" t="str">
        <f>IFERROR(__xludf.DUMMYFUNCTION("""COMPUTED_VALUE"""),"Cục Cảnh sát QLHC về TTXH")</f>
        <v>Cục Cảnh sát QLHC về TTXH</v>
      </c>
      <c r="P710" s="7" t="str">
        <f>IFERROR(__xludf.DUMMYFUNCTION("""COMPUTED_VALUE"""),"LĐPT")</f>
        <v>LĐPT</v>
      </c>
      <c r="Q710" s="7" t="str">
        <f>IFERROR(__xludf.DUMMYFUNCTION("""COMPUTED_VALUE"""),"Lao động phổ thông")</f>
        <v>Lao động phổ thông</v>
      </c>
      <c r="R710" s="17">
        <f>IFERROR(__xludf.DUMMYFUNCTION("""COMPUTED_VALUE"""),42483.0)</f>
        <v>42483</v>
      </c>
      <c r="S710" s="17">
        <f>IFERROR(__xludf.DUMMYFUNCTION("""COMPUTED_VALUE"""),42856.0)</f>
        <v>42856</v>
      </c>
      <c r="T710" s="7" t="str">
        <f>IFERROR(__xludf.DUMMYFUNCTION("""COMPUTED_VALUE"""),"Chính thức")</f>
        <v>Chính thức</v>
      </c>
      <c r="U710" s="7"/>
      <c r="V710" s="7" t="str">
        <f>IFERROR(__xludf.DUMMYFUNCTION("""COMPUTED_VALUE"""),"Chính thức")</f>
        <v>Chính thức</v>
      </c>
      <c r="W710" s="7" t="str">
        <f>IFERROR(__xludf.DUMMYFUNCTION("""COMPUTED_VALUE"""),"9 năm 8 tháng")</f>
        <v>9 năm 8 tháng</v>
      </c>
      <c r="X710" s="7"/>
      <c r="Y710" s="7"/>
      <c r="Z710" s="7"/>
    </row>
    <row r="711">
      <c r="A711" s="7">
        <f>IFERROR(__xludf.DUMMYFUNCTION("""COMPUTED_VALUE"""),5.0)</f>
        <v>5</v>
      </c>
      <c r="B711" s="7" t="str">
        <f>IFERROR(__xludf.DUMMYFUNCTION("""COMPUTED_VALUE"""),"DC6-PXSX2")</f>
        <v>DC6-PXSX2</v>
      </c>
      <c r="C711" s="7" t="str">
        <f>IFERROR(__xludf.DUMMYFUNCTION("""COMPUTED_VALUE"""),"Bộ phận Trạm than và Lò nung")</f>
        <v>Bộ phận Trạm than và Lò nung</v>
      </c>
      <c r="D711" s="7" t="str">
        <f>IFERROR(__xludf.DUMMYFUNCTION("""COMPUTED_VALUE"""),"Lò nung - Đóng hộp Ca A")</f>
        <v>Lò nung - Đóng hộp Ca A</v>
      </c>
      <c r="E711" s="7" t="str">
        <f>IFERROR(__xludf.DUMMYFUNCTION("""COMPUTED_VALUE"""),"CN đóng hộp")</f>
        <v>CN đóng hộp</v>
      </c>
      <c r="F711" s="7" t="str">
        <f>IFERROR(__xludf.DUMMYFUNCTION("""COMPUTED_VALUE"""),"NV0485")</f>
        <v>NV0485</v>
      </c>
      <c r="G711" s="7">
        <f>IFERROR(__xludf.DUMMYFUNCTION("""COMPUTED_VALUE"""),462.0)</f>
        <v>462</v>
      </c>
      <c r="H711" s="7" t="str">
        <f>IFERROR(__xludf.DUMMYFUNCTION("""COMPUTED_VALUE"""),"Trần Văn Thu")</f>
        <v>Trần Văn Thu</v>
      </c>
      <c r="I711" s="7" t="str">
        <f>IFERROR(__xludf.DUMMYFUNCTION("""COMPUTED_VALUE"""),"Nam")</f>
        <v>Nam</v>
      </c>
      <c r="J711" s="17">
        <f>IFERROR(__xludf.DUMMYFUNCTION("""COMPUTED_VALUE"""),34133.0)</f>
        <v>34133</v>
      </c>
      <c r="K711" s="7" t="str">
        <f>IFERROR(__xludf.DUMMYFUNCTION("""COMPUTED_VALUE"""),"Phường Quảng Vinh -  Thành Phố Sầm Sơn -  Tỉnh Thanh Hóa")</f>
        <v>Phường Quảng Vinh -  Thành Phố Sầm Sơn -  Tỉnh Thanh Hóa</v>
      </c>
      <c r="L711" s="7" t="str">
        <f>IFERROR(__xludf.DUMMYFUNCTION("""COMPUTED_VALUE"""),"0366790724")</f>
        <v>0366790724</v>
      </c>
      <c r="M711" s="7" t="str">
        <f>IFERROR(__xludf.DUMMYFUNCTION("""COMPUTED_VALUE"""),"038093042910")</f>
        <v>038093042910</v>
      </c>
      <c r="N711" s="19">
        <f>IFERROR(__xludf.DUMMYFUNCTION("""COMPUTED_VALUE"""),44435.0)</f>
        <v>44435</v>
      </c>
      <c r="O711" s="7" t="str">
        <f>IFERROR(__xludf.DUMMYFUNCTION("""COMPUTED_VALUE"""),"Cục Cảnh sát QLHC về TTXH")</f>
        <v>Cục Cảnh sát QLHC về TTXH</v>
      </c>
      <c r="P711" s="7" t="str">
        <f>IFERROR(__xludf.DUMMYFUNCTION("""COMPUTED_VALUE"""),"LĐPT")</f>
        <v>LĐPT</v>
      </c>
      <c r="Q711" s="7" t="str">
        <f>IFERROR(__xludf.DUMMYFUNCTION("""COMPUTED_VALUE"""),"Lao động phổ thông")</f>
        <v>Lao động phổ thông</v>
      </c>
      <c r="R711" s="17">
        <f>IFERROR(__xludf.DUMMYFUNCTION("""COMPUTED_VALUE"""),42344.0)</f>
        <v>42344</v>
      </c>
      <c r="S711" s="17">
        <f>IFERROR(__xludf.DUMMYFUNCTION("""COMPUTED_VALUE"""),42856.0)</f>
        <v>42856</v>
      </c>
      <c r="T711" s="7" t="str">
        <f>IFERROR(__xludf.DUMMYFUNCTION("""COMPUTED_VALUE"""),"Chính thức")</f>
        <v>Chính thức</v>
      </c>
      <c r="U711" s="7"/>
      <c r="V711" s="7" t="str">
        <f>IFERROR(__xludf.DUMMYFUNCTION("""COMPUTED_VALUE"""),"Chính thức")</f>
        <v>Chính thức</v>
      </c>
      <c r="W711" s="7" t="str">
        <f>IFERROR(__xludf.DUMMYFUNCTION("""COMPUTED_VALUE"""),"10 năm 0 tháng")</f>
        <v>10 năm 0 tháng</v>
      </c>
      <c r="X711" s="7"/>
      <c r="Y711" s="7"/>
      <c r="Z711" s="7"/>
    </row>
    <row r="712">
      <c r="A712" s="7">
        <f>IFERROR(__xludf.DUMMYFUNCTION("""COMPUTED_VALUE"""),6.0)</f>
        <v>6</v>
      </c>
      <c r="B712" s="7" t="str">
        <f>IFERROR(__xludf.DUMMYFUNCTION("""COMPUTED_VALUE"""),"DC6-PXSX2")</f>
        <v>DC6-PXSX2</v>
      </c>
      <c r="C712" s="7" t="str">
        <f>IFERROR(__xludf.DUMMYFUNCTION("""COMPUTED_VALUE"""),"Bộ phận Trạm than và Lò nung")</f>
        <v>Bộ phận Trạm than và Lò nung</v>
      </c>
      <c r="D712" s="7" t="str">
        <f>IFERROR(__xludf.DUMMYFUNCTION("""COMPUTED_VALUE"""),"Lò nung - Đóng hộp Ca A")</f>
        <v>Lò nung - Đóng hộp Ca A</v>
      </c>
      <c r="E712" s="7" t="str">
        <f>IFERROR(__xludf.DUMMYFUNCTION("""COMPUTED_VALUE"""),"CN đóng hộp")</f>
        <v>CN đóng hộp</v>
      </c>
      <c r="F712" s="7" t="str">
        <f>IFERROR(__xludf.DUMMYFUNCTION("""COMPUTED_VALUE"""),"NV0513")</f>
        <v>NV0513</v>
      </c>
      <c r="G712" s="7">
        <f>IFERROR(__xludf.DUMMYFUNCTION("""COMPUTED_VALUE"""),455.0)</f>
        <v>455</v>
      </c>
      <c r="H712" s="7" t="str">
        <f>IFERROR(__xludf.DUMMYFUNCTION("""COMPUTED_VALUE"""),"Trịnh Thị Thư")</f>
        <v>Trịnh Thị Thư</v>
      </c>
      <c r="I712" s="7" t="str">
        <f>IFERROR(__xludf.DUMMYFUNCTION("""COMPUTED_VALUE"""),"Nữ")</f>
        <v>Nữ</v>
      </c>
      <c r="J712" s="17">
        <f>IFERROR(__xludf.DUMMYFUNCTION("""COMPUTED_VALUE"""),33061.0)</f>
        <v>33061</v>
      </c>
      <c r="K712" s="7" t="str">
        <f>IFERROR(__xludf.DUMMYFUNCTION("""COMPUTED_VALUE"""),"Thượng Đình 3 -  Xã Quảng Định -  Huyện Quảng Xương -  Thanh Hóa")</f>
        <v>Thượng Đình 3 -  Xã Quảng Định -  Huyện Quảng Xương -  Thanh Hóa</v>
      </c>
      <c r="L712" s="7" t="str">
        <f>IFERROR(__xludf.DUMMYFUNCTION("""COMPUTED_VALUE"""),"0976558067")</f>
        <v>0976558067</v>
      </c>
      <c r="M712" s="7" t="str">
        <f>IFERROR(__xludf.DUMMYFUNCTION("""COMPUTED_VALUE"""),"038190017584")</f>
        <v>038190017584</v>
      </c>
      <c r="N712" s="19">
        <f>IFERROR(__xludf.DUMMYFUNCTION("""COMPUTED_VALUE"""),44325.0)</f>
        <v>44325</v>
      </c>
      <c r="O712" s="7" t="str">
        <f>IFERROR(__xludf.DUMMYFUNCTION("""COMPUTED_VALUE"""),"Cục Cảnh sát QLHC về TTXH")</f>
        <v>Cục Cảnh sát QLHC về TTXH</v>
      </c>
      <c r="P712" s="7" t="str">
        <f>IFERROR(__xludf.DUMMYFUNCTION("""COMPUTED_VALUE"""),"LĐPT")</f>
        <v>LĐPT</v>
      </c>
      <c r="Q712" s="7" t="str">
        <f>IFERROR(__xludf.DUMMYFUNCTION("""COMPUTED_VALUE"""),"Lao động phổ thông")</f>
        <v>Lao động phổ thông</v>
      </c>
      <c r="R712" s="17">
        <f>IFERROR(__xludf.DUMMYFUNCTION("""COMPUTED_VALUE"""),40592.0)</f>
        <v>40592</v>
      </c>
      <c r="S712" s="17">
        <f>IFERROR(__xludf.DUMMYFUNCTION("""COMPUTED_VALUE"""),40592.0)</f>
        <v>40592</v>
      </c>
      <c r="T712" s="7" t="str">
        <f>IFERROR(__xludf.DUMMYFUNCTION("""COMPUTED_VALUE"""),"Chính thức")</f>
        <v>Chính thức</v>
      </c>
      <c r="U712" s="7"/>
      <c r="V712" s="7" t="str">
        <f>IFERROR(__xludf.DUMMYFUNCTION("""COMPUTED_VALUE"""),"Chính thức")</f>
        <v>Chính thức</v>
      </c>
      <c r="W712" s="7" t="str">
        <f>IFERROR(__xludf.DUMMYFUNCTION("""COMPUTED_VALUE"""),"14 năm 10 tháng")</f>
        <v>14 năm 10 tháng</v>
      </c>
      <c r="X712" s="7"/>
      <c r="Y712" s="7"/>
      <c r="Z712" s="7"/>
    </row>
    <row r="713">
      <c r="A713" s="7">
        <f>IFERROR(__xludf.DUMMYFUNCTION("""COMPUTED_VALUE"""),7.0)</f>
        <v>7</v>
      </c>
      <c r="B713" s="7" t="str">
        <f>IFERROR(__xludf.DUMMYFUNCTION("""COMPUTED_VALUE"""),"DC6-PXSX2")</f>
        <v>DC6-PXSX2</v>
      </c>
      <c r="C713" s="7" t="str">
        <f>IFERROR(__xludf.DUMMYFUNCTION("""COMPUTED_VALUE"""),"Bộ phận Trạm than và Lò nung")</f>
        <v>Bộ phận Trạm than và Lò nung</v>
      </c>
      <c r="D713" s="7" t="str">
        <f>IFERROR(__xludf.DUMMYFUNCTION("""COMPUTED_VALUE"""),"Lò nung - Đóng hộp Ca A")</f>
        <v>Lò nung - Đóng hộp Ca A</v>
      </c>
      <c r="E713" s="7" t="str">
        <f>IFERROR(__xludf.DUMMYFUNCTION("""COMPUTED_VALUE"""),"Xe nâng")</f>
        <v>Xe nâng</v>
      </c>
      <c r="F713" s="7" t="str">
        <f>IFERROR(__xludf.DUMMYFUNCTION("""COMPUTED_VALUE"""),"NV0544")</f>
        <v>NV0544</v>
      </c>
      <c r="G713" s="7">
        <f>IFERROR(__xludf.DUMMYFUNCTION("""COMPUTED_VALUE"""),720.0)</f>
        <v>720</v>
      </c>
      <c r="H713" s="7" t="str">
        <f>IFERROR(__xludf.DUMMYFUNCTION("""COMPUTED_VALUE"""),"Lê Đức Dự")</f>
        <v>Lê Đức Dự</v>
      </c>
      <c r="I713" s="7" t="str">
        <f>IFERROR(__xludf.DUMMYFUNCTION("""COMPUTED_VALUE"""),"Nam")</f>
        <v>Nam</v>
      </c>
      <c r="J713" s="17">
        <f>IFERROR(__xludf.DUMMYFUNCTION("""COMPUTED_VALUE"""),27679.0)</f>
        <v>27679</v>
      </c>
      <c r="K713" s="7" t="str">
        <f>IFERROR(__xludf.DUMMYFUNCTION("""COMPUTED_VALUE"""),"Xã Hoằng Tân -  Huyện Hoằng Hóa -  Thanh Hóa -  Việt Nam")</f>
        <v>Xã Hoằng Tân -  Huyện Hoằng Hóa -  Thanh Hóa -  Việt Nam</v>
      </c>
      <c r="L713" s="7" t="str">
        <f>IFERROR(__xludf.DUMMYFUNCTION("""COMPUTED_VALUE"""),"0988835175")</f>
        <v>0988835175</v>
      </c>
      <c r="M713" s="7" t="str">
        <f>IFERROR(__xludf.DUMMYFUNCTION("""COMPUTED_VALUE"""),"038075011354")</f>
        <v>038075011354</v>
      </c>
      <c r="N713" s="19">
        <f>IFERROR(__xludf.DUMMYFUNCTION("""COMPUTED_VALUE"""),44941.0)</f>
        <v>44941</v>
      </c>
      <c r="O713" s="7" t="str">
        <f>IFERROR(__xludf.DUMMYFUNCTION("""COMPUTED_VALUE"""),"Cục Cảnh sát QLHC về TTXH")</f>
        <v>Cục Cảnh sát QLHC về TTXH</v>
      </c>
      <c r="P713" s="7" t="str">
        <f>IFERROR(__xludf.DUMMYFUNCTION("""COMPUTED_VALUE"""),"LĐPT")</f>
        <v>LĐPT</v>
      </c>
      <c r="Q713" s="7" t="str">
        <f>IFERROR(__xludf.DUMMYFUNCTION("""COMPUTED_VALUE"""),"Lao động phổ thông")</f>
        <v>Lao động phổ thông</v>
      </c>
      <c r="R713" s="17">
        <f>IFERROR(__xludf.DUMMYFUNCTION("""COMPUTED_VALUE"""),45707.0)</f>
        <v>45707</v>
      </c>
      <c r="S713" s="7"/>
      <c r="T713" s="7" t="str">
        <f>IFERROR(__xludf.DUMMYFUNCTION("""COMPUTED_VALUE"""),"Chính thức")</f>
        <v>Chính thức</v>
      </c>
      <c r="U713" s="7"/>
      <c r="V713" s="7" t="str">
        <f>IFERROR(__xludf.DUMMYFUNCTION("""COMPUTED_VALUE"""),"Chính thức")</f>
        <v>Chính thức</v>
      </c>
      <c r="W713" s="7" t="str">
        <f>IFERROR(__xludf.DUMMYFUNCTION("""COMPUTED_VALUE"""),"0 năm 10 tháng")</f>
        <v>0 năm 10 tháng</v>
      </c>
      <c r="X713" s="7"/>
      <c r="Y713" s="7"/>
      <c r="Z713" s="7"/>
    </row>
    <row r="714">
      <c r="A714" s="7">
        <f>IFERROR(__xludf.DUMMYFUNCTION("""COMPUTED_VALUE"""),1.0)</f>
        <v>1</v>
      </c>
      <c r="B714" s="7" t="str">
        <f>IFERROR(__xludf.DUMMYFUNCTION("""COMPUTED_VALUE"""),"DC6-PXSX2")</f>
        <v>DC6-PXSX2</v>
      </c>
      <c r="C714" s="7" t="str">
        <f>IFERROR(__xludf.DUMMYFUNCTION("""COMPUTED_VALUE"""),"Bộ phận Trạm than và Lò nung")</f>
        <v>Bộ phận Trạm than và Lò nung</v>
      </c>
      <c r="D714" s="7" t="str">
        <f>IFERROR(__xludf.DUMMYFUNCTION("""COMPUTED_VALUE"""),"Lò nung - Đóng hộp Ca B")</f>
        <v>Lò nung - Đóng hộp Ca B</v>
      </c>
      <c r="E714" s="7" t="str">
        <f>IFERROR(__xludf.DUMMYFUNCTION("""COMPUTED_VALUE"""),"CN đóng hộp")</f>
        <v>CN đóng hộp</v>
      </c>
      <c r="F714" s="7" t="str">
        <f>IFERROR(__xludf.DUMMYFUNCTION("""COMPUTED_VALUE"""),"NV0552")</f>
        <v>NV0552</v>
      </c>
      <c r="G714" s="7">
        <f>IFERROR(__xludf.DUMMYFUNCTION("""COMPUTED_VALUE"""),421.0)</f>
        <v>421</v>
      </c>
      <c r="H714" s="7" t="str">
        <f>IFERROR(__xludf.DUMMYFUNCTION("""COMPUTED_VALUE"""),"Nguyễn Thị Ngân")</f>
        <v>Nguyễn Thị Ngân</v>
      </c>
      <c r="I714" s="7" t="str">
        <f>IFERROR(__xludf.DUMMYFUNCTION("""COMPUTED_VALUE"""),"Nữ")</f>
        <v>Nữ</v>
      </c>
      <c r="J714" s="17">
        <f>IFERROR(__xludf.DUMMYFUNCTION("""COMPUTED_VALUE"""),28388.0)</f>
        <v>28388</v>
      </c>
      <c r="K714" s="7" t="str">
        <f>IFERROR(__xludf.DUMMYFUNCTION("""COMPUTED_VALUE"""),"Trung Định -  Xã Quảng Định -  Huyện Quảng Xương -  Thanh Hóa -  Việt Nam")</f>
        <v>Trung Định -  Xã Quảng Định -  Huyện Quảng Xương -  Thanh Hóa -  Việt Nam</v>
      </c>
      <c r="L714" s="7" t="str">
        <f>IFERROR(__xludf.DUMMYFUNCTION("""COMPUTED_VALUE"""),"0812567893")</f>
        <v>0812567893</v>
      </c>
      <c r="M714" s="7" t="str">
        <f>IFERROR(__xludf.DUMMYFUNCTION("""COMPUTED_VALUE"""),"038177015950")</f>
        <v>038177015950</v>
      </c>
      <c r="N714" s="19">
        <f>IFERROR(__xludf.DUMMYFUNCTION("""COMPUTED_VALUE"""),44375.0)</f>
        <v>44375</v>
      </c>
      <c r="O714" s="7" t="str">
        <f>IFERROR(__xludf.DUMMYFUNCTION("""COMPUTED_VALUE"""),"Cục Cảnh sát QLHC về TTXH")</f>
        <v>Cục Cảnh sát QLHC về TTXH</v>
      </c>
      <c r="P714" s="7" t="str">
        <f>IFERROR(__xludf.DUMMYFUNCTION("""COMPUTED_VALUE"""),"THPT")</f>
        <v>THPT</v>
      </c>
      <c r="Q714" s="7" t="str">
        <f>IFERROR(__xludf.DUMMYFUNCTION("""COMPUTED_VALUE"""),"Lao động phổ thông")</f>
        <v>Lao động phổ thông</v>
      </c>
      <c r="R714" s="17">
        <f>IFERROR(__xludf.DUMMYFUNCTION("""COMPUTED_VALUE"""),42839.0)</f>
        <v>42839</v>
      </c>
      <c r="S714" s="17">
        <f>IFERROR(__xludf.DUMMYFUNCTION("""COMPUTED_VALUE"""),43252.0)</f>
        <v>43252</v>
      </c>
      <c r="T714" s="7" t="str">
        <f>IFERROR(__xludf.DUMMYFUNCTION("""COMPUTED_VALUE"""),"Chính thức")</f>
        <v>Chính thức</v>
      </c>
      <c r="U714" s="7"/>
      <c r="V714" s="7" t="str">
        <f>IFERROR(__xludf.DUMMYFUNCTION("""COMPUTED_VALUE"""),"Chính thức")</f>
        <v>Chính thức</v>
      </c>
      <c r="W714" s="7" t="str">
        <f>IFERROR(__xludf.DUMMYFUNCTION("""COMPUTED_VALUE"""),"8 năm 8 tháng")</f>
        <v>8 năm 8 tháng</v>
      </c>
      <c r="X714" s="7"/>
      <c r="Y714" s="7"/>
      <c r="Z714" s="7"/>
    </row>
    <row r="715">
      <c r="A715" s="7">
        <f>IFERROR(__xludf.DUMMYFUNCTION("""COMPUTED_VALUE"""),2.0)</f>
        <v>2</v>
      </c>
      <c r="B715" s="7" t="str">
        <f>IFERROR(__xludf.DUMMYFUNCTION("""COMPUTED_VALUE"""),"DC6-PXSX2")</f>
        <v>DC6-PXSX2</v>
      </c>
      <c r="C715" s="7" t="str">
        <f>IFERROR(__xludf.DUMMYFUNCTION("""COMPUTED_VALUE"""),"Bộ phận Trạm than và Lò nung")</f>
        <v>Bộ phận Trạm than và Lò nung</v>
      </c>
      <c r="D715" s="7" t="str">
        <f>IFERROR(__xludf.DUMMYFUNCTION("""COMPUTED_VALUE"""),"Lò nung - Đóng hộp Ca B")</f>
        <v>Lò nung - Đóng hộp Ca B</v>
      </c>
      <c r="E715" s="7" t="str">
        <f>IFERROR(__xludf.DUMMYFUNCTION("""COMPUTED_VALUE"""),"Tổ trưởng")</f>
        <v>Tổ trưởng</v>
      </c>
      <c r="F715" s="7" t="str">
        <f>IFERROR(__xludf.DUMMYFUNCTION("""COMPUTED_VALUE"""),"NV0617")</f>
        <v>NV0617</v>
      </c>
      <c r="G715" s="7">
        <f>IFERROR(__xludf.DUMMYFUNCTION("""COMPUTED_VALUE"""),627.0)</f>
        <v>627</v>
      </c>
      <c r="H715" s="7" t="str">
        <f>IFERROR(__xludf.DUMMYFUNCTION("""COMPUTED_VALUE"""),"Phạm Văn Chiến")</f>
        <v>Phạm Văn Chiến</v>
      </c>
      <c r="I715" s="7" t="str">
        <f>IFERROR(__xludf.DUMMYFUNCTION("""COMPUTED_VALUE"""),"Nam")</f>
        <v>Nam</v>
      </c>
      <c r="J715" s="17">
        <f>IFERROR(__xludf.DUMMYFUNCTION("""COMPUTED_VALUE"""),29879.0)</f>
        <v>29879</v>
      </c>
      <c r="K715" s="7" t="str">
        <f>IFERROR(__xludf.DUMMYFUNCTION("""COMPUTED_VALUE"""),"387 Nguyễn Tĩnh -  Xã Đông Hương -  Thành phố Thanh Hóa - ")</f>
        <v>387 Nguyễn Tĩnh -  Xã Đông Hương -  Thành phố Thanh Hóa - </v>
      </c>
      <c r="L715" s="7" t="str">
        <f>IFERROR(__xludf.DUMMYFUNCTION("""COMPUTED_VALUE"""),"0399851868")</f>
        <v>0399851868</v>
      </c>
      <c r="M715" s="7" t="str">
        <f>IFERROR(__xludf.DUMMYFUNCTION("""COMPUTED_VALUE"""),"038081032450")</f>
        <v>038081032450</v>
      </c>
      <c r="N715" s="19">
        <f>IFERROR(__xludf.DUMMYFUNCTION("""COMPUTED_VALUE"""),44440.0)</f>
        <v>44440</v>
      </c>
      <c r="O715" s="7" t="str">
        <f>IFERROR(__xludf.DUMMYFUNCTION("""COMPUTED_VALUE"""),"Cục Cảnh sát QLHC về TTXH")</f>
        <v>Cục Cảnh sát QLHC về TTXH</v>
      </c>
      <c r="P715" s="7" t="str">
        <f>IFERROR(__xludf.DUMMYFUNCTION("""COMPUTED_VALUE"""),"LĐPT")</f>
        <v>LĐPT</v>
      </c>
      <c r="Q715" s="7" t="str">
        <f>IFERROR(__xludf.DUMMYFUNCTION("""COMPUTED_VALUE"""),"Lao động phổ thông")</f>
        <v>Lao động phổ thông</v>
      </c>
      <c r="R715" s="17">
        <f>IFERROR(__xludf.DUMMYFUNCTION("""COMPUTED_VALUE"""),36526.0)</f>
        <v>36526</v>
      </c>
      <c r="S715" s="17">
        <f>IFERROR(__xludf.DUMMYFUNCTION("""COMPUTED_VALUE"""),36526.0)</f>
        <v>36526</v>
      </c>
      <c r="T715" s="7" t="str">
        <f>IFERROR(__xludf.DUMMYFUNCTION("""COMPUTED_VALUE"""),"Chính thức")</f>
        <v>Chính thức</v>
      </c>
      <c r="U715" s="7"/>
      <c r="V715" s="7" t="str">
        <f>IFERROR(__xludf.DUMMYFUNCTION("""COMPUTED_VALUE"""),"Chính thức")</f>
        <v>Chính thức</v>
      </c>
      <c r="W715" s="7" t="str">
        <f>IFERROR(__xludf.DUMMYFUNCTION("""COMPUTED_VALUE"""),"25 năm 11 tháng")</f>
        <v>25 năm 11 tháng</v>
      </c>
      <c r="X715" s="7"/>
      <c r="Y715" s="7"/>
      <c r="Z715" s="7"/>
    </row>
    <row r="716">
      <c r="A716" s="7">
        <f>IFERROR(__xludf.DUMMYFUNCTION("""COMPUTED_VALUE"""),3.0)</f>
        <v>3</v>
      </c>
      <c r="B716" s="7" t="str">
        <f>IFERROR(__xludf.DUMMYFUNCTION("""COMPUTED_VALUE"""),"DC6-PXSX2")</f>
        <v>DC6-PXSX2</v>
      </c>
      <c r="C716" s="7" t="str">
        <f>IFERROR(__xludf.DUMMYFUNCTION("""COMPUTED_VALUE"""),"Bộ phận Trạm than và Lò nung")</f>
        <v>Bộ phận Trạm than và Lò nung</v>
      </c>
      <c r="D716" s="7" t="str">
        <f>IFERROR(__xludf.DUMMYFUNCTION("""COMPUTED_VALUE"""),"Lò nung - Đóng hộp Ca B")</f>
        <v>Lò nung - Đóng hộp Ca B</v>
      </c>
      <c r="E716" s="7" t="str">
        <f>IFERROR(__xludf.DUMMYFUNCTION("""COMPUTED_VALUE"""),"VHC lò")</f>
        <v>VHC lò</v>
      </c>
      <c r="F716" s="7" t="str">
        <f>IFERROR(__xludf.DUMMYFUNCTION("""COMPUTED_VALUE"""),"NV0518")</f>
        <v>NV0518</v>
      </c>
      <c r="G716" s="7">
        <f>IFERROR(__xludf.DUMMYFUNCTION("""COMPUTED_VALUE"""),425.0)</f>
        <v>425</v>
      </c>
      <c r="H716" s="7" t="str">
        <f>IFERROR(__xludf.DUMMYFUNCTION("""COMPUTED_VALUE"""),"Lê Đình Thanh")</f>
        <v>Lê Đình Thanh</v>
      </c>
      <c r="I716" s="7" t="str">
        <f>IFERROR(__xludf.DUMMYFUNCTION("""COMPUTED_VALUE"""),"Nam")</f>
        <v>Nam</v>
      </c>
      <c r="J716" s="17">
        <f>IFERROR(__xludf.DUMMYFUNCTION("""COMPUTED_VALUE"""),31944.0)</f>
        <v>31944</v>
      </c>
      <c r="K716" s="7" t="str">
        <f>IFERROR(__xludf.DUMMYFUNCTION("""COMPUTED_VALUE"""),"17/73 Lê Thần Tông -  Phường Đông Vệ -  Thành phố Thanh Hóa")</f>
        <v>17/73 Lê Thần Tông -  Phường Đông Vệ -  Thành phố Thanh Hóa</v>
      </c>
      <c r="L716" s="7" t="str">
        <f>IFERROR(__xludf.DUMMYFUNCTION("""COMPUTED_VALUE"""),"0944668917")</f>
        <v>0944668917</v>
      </c>
      <c r="M716" s="7" t="str">
        <f>IFERROR(__xludf.DUMMYFUNCTION("""COMPUTED_VALUE"""),"038087006514")</f>
        <v>038087006514</v>
      </c>
      <c r="N716" s="19">
        <f>IFERROR(__xludf.DUMMYFUNCTION("""COMPUTED_VALUE"""),43630.0)</f>
        <v>43630</v>
      </c>
      <c r="O716" s="7" t="str">
        <f>IFERROR(__xludf.DUMMYFUNCTION("""COMPUTED_VALUE"""),"Cục Cảnh sát QLHC về TTXH")</f>
        <v>Cục Cảnh sát QLHC về TTXH</v>
      </c>
      <c r="P716" s="7" t="str">
        <f>IFERROR(__xludf.DUMMYFUNCTION("""COMPUTED_VALUE"""),"LĐPT")</f>
        <v>LĐPT</v>
      </c>
      <c r="Q716" s="7" t="str">
        <f>IFERROR(__xludf.DUMMYFUNCTION("""COMPUTED_VALUE"""),"Lao động phổ thông")</f>
        <v>Lao động phổ thông</v>
      </c>
      <c r="R716" s="17">
        <f>IFERROR(__xludf.DUMMYFUNCTION("""COMPUTED_VALUE"""),41677.0)</f>
        <v>41677</v>
      </c>
      <c r="S716" s="17">
        <f>IFERROR(__xludf.DUMMYFUNCTION("""COMPUTED_VALUE"""),41677.0)</f>
        <v>41677</v>
      </c>
      <c r="T716" s="7" t="str">
        <f>IFERROR(__xludf.DUMMYFUNCTION("""COMPUTED_VALUE"""),"Chính thức")</f>
        <v>Chính thức</v>
      </c>
      <c r="U716" s="7"/>
      <c r="V716" s="7" t="str">
        <f>IFERROR(__xludf.DUMMYFUNCTION("""COMPUTED_VALUE"""),"Chính thức")</f>
        <v>Chính thức</v>
      </c>
      <c r="W716" s="7" t="str">
        <f>IFERROR(__xludf.DUMMYFUNCTION("""COMPUTED_VALUE"""),"11 năm 10 tháng")</f>
        <v>11 năm 10 tháng</v>
      </c>
      <c r="X716" s="7"/>
      <c r="Y716" s="7"/>
      <c r="Z716" s="7"/>
    </row>
    <row r="717">
      <c r="A717" s="7">
        <f>IFERROR(__xludf.DUMMYFUNCTION("""COMPUTED_VALUE"""),4.0)</f>
        <v>4</v>
      </c>
      <c r="B717" s="7" t="str">
        <f>IFERROR(__xludf.DUMMYFUNCTION("""COMPUTED_VALUE"""),"DC6-PXSX2")</f>
        <v>DC6-PXSX2</v>
      </c>
      <c r="C717" s="7" t="str">
        <f>IFERROR(__xludf.DUMMYFUNCTION("""COMPUTED_VALUE"""),"Bộ phận Trạm than và Lò nung")</f>
        <v>Bộ phận Trạm than và Lò nung</v>
      </c>
      <c r="D717" s="7" t="str">
        <f>IFERROR(__xludf.DUMMYFUNCTION("""COMPUTED_VALUE"""),"Lò nung - Đóng hộp Ca B")</f>
        <v>Lò nung - Đóng hộp Ca B</v>
      </c>
      <c r="E717" s="7" t="str">
        <f>IFERROR(__xludf.DUMMYFUNCTION("""COMPUTED_VALUE"""),"VH Bù đầu lò")</f>
        <v>VH Bù đầu lò</v>
      </c>
      <c r="F717" s="7" t="str">
        <f>IFERROR(__xludf.DUMMYFUNCTION("""COMPUTED_VALUE"""),"NV0493")</f>
        <v>NV0493</v>
      </c>
      <c r="G717" s="7">
        <f>IFERROR(__xludf.DUMMYFUNCTION("""COMPUTED_VALUE"""),426.0)</f>
        <v>426</v>
      </c>
      <c r="H717" s="7" t="str">
        <f>IFERROR(__xludf.DUMMYFUNCTION("""COMPUTED_VALUE"""),"Nguyễn Trọng Sưởng")</f>
        <v>Nguyễn Trọng Sưởng</v>
      </c>
      <c r="I717" s="7" t="str">
        <f>IFERROR(__xludf.DUMMYFUNCTION("""COMPUTED_VALUE"""),"Nam")</f>
        <v>Nam</v>
      </c>
      <c r="J717" s="17">
        <f>IFERROR(__xludf.DUMMYFUNCTION("""COMPUTED_VALUE"""),27467.0)</f>
        <v>27467</v>
      </c>
      <c r="K717" s="7" t="str">
        <f>IFERROR(__xludf.DUMMYFUNCTION("""COMPUTED_VALUE"""),"Xã Hoằng Trạch -  Huyện Hoằng Hóa -  Tỉnh Thanh Hóa")</f>
        <v>Xã Hoằng Trạch -  Huyện Hoằng Hóa -  Tỉnh Thanh Hóa</v>
      </c>
      <c r="L717" s="7" t="str">
        <f>IFERROR(__xludf.DUMMYFUNCTION("""COMPUTED_VALUE"""),"0969178952")</f>
        <v>0969178952</v>
      </c>
      <c r="M717" s="7" t="str">
        <f>IFERROR(__xludf.DUMMYFUNCTION("""COMPUTED_VALUE"""),"038075002893")</f>
        <v>038075002893</v>
      </c>
      <c r="N717" s="19">
        <f>IFERROR(__xludf.DUMMYFUNCTION("""COMPUTED_VALUE"""),44420.0)</f>
        <v>44420</v>
      </c>
      <c r="O717" s="7" t="str">
        <f>IFERROR(__xludf.DUMMYFUNCTION("""COMPUTED_VALUE"""),"Cục Cảnh sát QLHC về TTXH")</f>
        <v>Cục Cảnh sát QLHC về TTXH</v>
      </c>
      <c r="P717" s="7" t="str">
        <f>IFERROR(__xludf.DUMMYFUNCTION("""COMPUTED_VALUE"""),"LĐPT")</f>
        <v>LĐPT</v>
      </c>
      <c r="Q717" s="7" t="str">
        <f>IFERROR(__xludf.DUMMYFUNCTION("""COMPUTED_VALUE"""),"Lao động phổ thông")</f>
        <v>Lao động phổ thông</v>
      </c>
      <c r="R717" s="17">
        <f>IFERROR(__xludf.DUMMYFUNCTION("""COMPUTED_VALUE"""),39692.0)</f>
        <v>39692</v>
      </c>
      <c r="S717" s="17">
        <f>IFERROR(__xludf.DUMMYFUNCTION("""COMPUTED_VALUE"""),39692.0)</f>
        <v>39692</v>
      </c>
      <c r="T717" s="7" t="str">
        <f>IFERROR(__xludf.DUMMYFUNCTION("""COMPUTED_VALUE"""),"Chính thức")</f>
        <v>Chính thức</v>
      </c>
      <c r="U717" s="7"/>
      <c r="V717" s="7" t="str">
        <f>IFERROR(__xludf.DUMMYFUNCTION("""COMPUTED_VALUE"""),"Chính thức")</f>
        <v>Chính thức</v>
      </c>
      <c r="W717" s="7" t="str">
        <f>IFERROR(__xludf.DUMMYFUNCTION("""COMPUTED_VALUE"""),"17 năm 3 tháng")</f>
        <v>17 năm 3 tháng</v>
      </c>
      <c r="X717" s="7"/>
      <c r="Y717" s="7"/>
      <c r="Z717" s="7"/>
    </row>
    <row r="718">
      <c r="A718" s="7">
        <f>IFERROR(__xludf.DUMMYFUNCTION("""COMPUTED_VALUE"""),5.0)</f>
        <v>5</v>
      </c>
      <c r="B718" s="7" t="str">
        <f>IFERROR(__xludf.DUMMYFUNCTION("""COMPUTED_VALUE"""),"DC6-PXSX2")</f>
        <v>DC6-PXSX2</v>
      </c>
      <c r="C718" s="7" t="str">
        <f>IFERROR(__xludf.DUMMYFUNCTION("""COMPUTED_VALUE"""),"Bộ phận Trạm than và Lò nung")</f>
        <v>Bộ phận Trạm than và Lò nung</v>
      </c>
      <c r="D718" s="7" t="str">
        <f>IFERROR(__xludf.DUMMYFUNCTION("""COMPUTED_VALUE"""),"Lò nung - Đóng hộp Ca B")</f>
        <v>Lò nung - Đóng hộp Ca B</v>
      </c>
      <c r="E718" s="7" t="str">
        <f>IFERROR(__xludf.DUMMYFUNCTION("""COMPUTED_VALUE"""),"CN đóng hộp")</f>
        <v>CN đóng hộp</v>
      </c>
      <c r="F718" s="7" t="str">
        <f>IFERROR(__xludf.DUMMYFUNCTION("""COMPUTED_VALUE"""),"NV0504")</f>
        <v>NV0504</v>
      </c>
      <c r="G718" s="7">
        <f>IFERROR(__xludf.DUMMYFUNCTION("""COMPUTED_VALUE"""),621.0)</f>
        <v>621</v>
      </c>
      <c r="H718" s="7" t="str">
        <f>IFERROR(__xludf.DUMMYFUNCTION("""COMPUTED_VALUE"""),"Lê Văn Hà")</f>
        <v>Lê Văn Hà</v>
      </c>
      <c r="I718" s="7" t="str">
        <f>IFERROR(__xludf.DUMMYFUNCTION("""COMPUTED_VALUE"""),"Nam")</f>
        <v>Nam</v>
      </c>
      <c r="J718" s="17">
        <f>IFERROR(__xludf.DUMMYFUNCTION("""COMPUTED_VALUE"""),31935.0)</f>
        <v>31935</v>
      </c>
      <c r="K718" s="7" t="str">
        <f>IFERROR(__xludf.DUMMYFUNCTION("""COMPUTED_VALUE"""),"Thôn 4 -  Xã Quảng Cát -  Thành phố Thanh Hóa")</f>
        <v>Thôn 4 -  Xã Quảng Cát -  Thành phố Thanh Hóa</v>
      </c>
      <c r="L718" s="7" t="str">
        <f>IFERROR(__xludf.DUMMYFUNCTION("""COMPUTED_VALUE"""),"0328149998")</f>
        <v>0328149998</v>
      </c>
      <c r="M718" s="7" t="str">
        <f>IFERROR(__xludf.DUMMYFUNCTION("""COMPUTED_VALUE"""),"038087003928")</f>
        <v>038087003928</v>
      </c>
      <c r="N718" s="19">
        <f>IFERROR(__xludf.DUMMYFUNCTION("""COMPUTED_VALUE"""),44419.0)</f>
        <v>44419</v>
      </c>
      <c r="O718" s="7" t="str">
        <f>IFERROR(__xludf.DUMMYFUNCTION("""COMPUTED_VALUE"""),"Cục Cảnh sát QLHC về TTXH")</f>
        <v>Cục Cảnh sát QLHC về TTXH</v>
      </c>
      <c r="P718" s="7" t="str">
        <f>IFERROR(__xludf.DUMMYFUNCTION("""COMPUTED_VALUE"""),"LĐPT")</f>
        <v>LĐPT</v>
      </c>
      <c r="Q718" s="7" t="str">
        <f>IFERROR(__xludf.DUMMYFUNCTION("""COMPUTED_VALUE"""),"Lao động phổ thông")</f>
        <v>Lao động phổ thông</v>
      </c>
      <c r="R718" s="17">
        <f>IFERROR(__xludf.DUMMYFUNCTION("""COMPUTED_VALUE"""),42291.0)</f>
        <v>42291</v>
      </c>
      <c r="S718" s="17">
        <f>IFERROR(__xludf.DUMMYFUNCTION("""COMPUTED_VALUE"""),42291.0)</f>
        <v>42291</v>
      </c>
      <c r="T718" s="7" t="str">
        <f>IFERROR(__xludf.DUMMYFUNCTION("""COMPUTED_VALUE"""),"Chính thức")</f>
        <v>Chính thức</v>
      </c>
      <c r="U718" s="7"/>
      <c r="V718" s="7" t="str">
        <f>IFERROR(__xludf.DUMMYFUNCTION("""COMPUTED_VALUE"""),"Chính thức")</f>
        <v>Chính thức</v>
      </c>
      <c r="W718" s="7" t="str">
        <f>IFERROR(__xludf.DUMMYFUNCTION("""COMPUTED_VALUE"""),"10 năm 2 tháng")</f>
        <v>10 năm 2 tháng</v>
      </c>
      <c r="X718" s="7"/>
      <c r="Y718" s="7"/>
      <c r="Z718" s="7"/>
    </row>
    <row r="719">
      <c r="A719" s="7">
        <f>IFERROR(__xludf.DUMMYFUNCTION("""COMPUTED_VALUE"""),6.0)</f>
        <v>6</v>
      </c>
      <c r="B719" s="7" t="str">
        <f>IFERROR(__xludf.DUMMYFUNCTION("""COMPUTED_VALUE"""),"DC6-PXSX2")</f>
        <v>DC6-PXSX2</v>
      </c>
      <c r="C719" s="7" t="str">
        <f>IFERROR(__xludf.DUMMYFUNCTION("""COMPUTED_VALUE"""),"Bộ phận Trạm than và Lò nung")</f>
        <v>Bộ phận Trạm than và Lò nung</v>
      </c>
      <c r="D719" s="7" t="str">
        <f>IFERROR(__xludf.DUMMYFUNCTION("""COMPUTED_VALUE"""),"Lò nung - Đóng hộp Ca B")</f>
        <v>Lò nung - Đóng hộp Ca B</v>
      </c>
      <c r="E719" s="7" t="str">
        <f>IFERROR(__xludf.DUMMYFUNCTION("""COMPUTED_VALUE"""),"CN đóng hộp")</f>
        <v>CN đóng hộp</v>
      </c>
      <c r="F719" s="7" t="str">
        <f>IFERROR(__xludf.DUMMYFUNCTION("""COMPUTED_VALUE"""),"NV0593")</f>
        <v>NV0593</v>
      </c>
      <c r="G719" s="7">
        <f>IFERROR(__xludf.DUMMYFUNCTION("""COMPUTED_VALUE"""),483.0)</f>
        <v>483</v>
      </c>
      <c r="H719" s="7" t="str">
        <f>IFERROR(__xludf.DUMMYFUNCTION("""COMPUTED_VALUE"""),"Phạm Thị Lê")</f>
        <v>Phạm Thị Lê</v>
      </c>
      <c r="I719" s="7" t="str">
        <f>IFERROR(__xludf.DUMMYFUNCTION("""COMPUTED_VALUE"""),"Nữ")</f>
        <v>Nữ</v>
      </c>
      <c r="J719" s="17">
        <f>IFERROR(__xludf.DUMMYFUNCTION("""COMPUTED_VALUE"""),29761.0)</f>
        <v>29761</v>
      </c>
      <c r="K719" s="7" t="str">
        <f>IFERROR(__xludf.DUMMYFUNCTION("""COMPUTED_VALUE"""),"Xã Quảng Đông -  Thành phố Thanh Hóa - ")</f>
        <v>Xã Quảng Đông -  Thành phố Thanh Hóa - </v>
      </c>
      <c r="L719" s="7" t="str">
        <f>IFERROR(__xludf.DUMMYFUNCTION("""COMPUTED_VALUE"""),"0987135819")</f>
        <v>0987135819</v>
      </c>
      <c r="M719" s="7" t="str">
        <f>IFERROR(__xludf.DUMMYFUNCTION("""COMPUTED_VALUE"""),"038181011609")</f>
        <v>038181011609</v>
      </c>
      <c r="N719" s="19">
        <f>IFERROR(__xludf.DUMMYFUNCTION("""COMPUTED_VALUE"""),44418.0)</f>
        <v>44418</v>
      </c>
      <c r="O719" s="7" t="str">
        <f>IFERROR(__xludf.DUMMYFUNCTION("""COMPUTED_VALUE"""),"Cục Cảnh sát QLHC về TTXH")</f>
        <v>Cục Cảnh sát QLHC về TTXH</v>
      </c>
      <c r="P719" s="7" t="str">
        <f>IFERROR(__xludf.DUMMYFUNCTION("""COMPUTED_VALUE"""),"LĐPT")</f>
        <v>LĐPT</v>
      </c>
      <c r="Q719" s="7" t="str">
        <f>IFERROR(__xludf.DUMMYFUNCTION("""COMPUTED_VALUE"""),"Lao động phổ thông")</f>
        <v>Lao động phổ thông</v>
      </c>
      <c r="R719" s="17">
        <f>IFERROR(__xludf.DUMMYFUNCTION("""COMPUTED_VALUE"""),41222.0)</f>
        <v>41222</v>
      </c>
      <c r="S719" s="17">
        <f>IFERROR(__xludf.DUMMYFUNCTION("""COMPUTED_VALUE"""),41222.0)</f>
        <v>41222</v>
      </c>
      <c r="T719" s="7" t="str">
        <f>IFERROR(__xludf.DUMMYFUNCTION("""COMPUTED_VALUE"""),"Chính thức")</f>
        <v>Chính thức</v>
      </c>
      <c r="U719" s="7"/>
      <c r="V719" s="7" t="str">
        <f>IFERROR(__xludf.DUMMYFUNCTION("""COMPUTED_VALUE"""),"Chính thức")</f>
        <v>Chính thức</v>
      </c>
      <c r="W719" s="7" t="str">
        <f>IFERROR(__xludf.DUMMYFUNCTION("""COMPUTED_VALUE"""),"13 năm 1 tháng")</f>
        <v>13 năm 1 tháng</v>
      </c>
      <c r="X719" s="7"/>
      <c r="Y719" s="7"/>
      <c r="Z719" s="7"/>
    </row>
    <row r="720">
      <c r="A720" s="7">
        <f>IFERROR(__xludf.DUMMYFUNCTION("""COMPUTED_VALUE"""),7.0)</f>
        <v>7</v>
      </c>
      <c r="B720" s="7" t="str">
        <f>IFERROR(__xludf.DUMMYFUNCTION("""COMPUTED_VALUE"""),"DC6-PXSX2")</f>
        <v>DC6-PXSX2</v>
      </c>
      <c r="C720" s="7" t="str">
        <f>IFERROR(__xludf.DUMMYFUNCTION("""COMPUTED_VALUE"""),"Bộ phận Trạm than và Lò nung")</f>
        <v>Bộ phận Trạm than và Lò nung</v>
      </c>
      <c r="D720" s="7" t="str">
        <f>IFERROR(__xludf.DUMMYFUNCTION("""COMPUTED_VALUE"""),"Lò nung - Đóng hộp Ca B")</f>
        <v>Lò nung - Đóng hộp Ca B</v>
      </c>
      <c r="E720" s="7" t="str">
        <f>IFERROR(__xludf.DUMMYFUNCTION("""COMPUTED_VALUE"""),"CN đóng hộp")</f>
        <v>CN đóng hộp</v>
      </c>
      <c r="F720" s="7" t="str">
        <f>IFERROR(__xludf.DUMMYFUNCTION("""COMPUTED_VALUE"""),"NV0616")</f>
        <v>NV0616</v>
      </c>
      <c r="G720" s="7">
        <f>IFERROR(__xludf.DUMMYFUNCTION("""COMPUTED_VALUE"""),454.0)</f>
        <v>454</v>
      </c>
      <c r="H720" s="7" t="str">
        <f>IFERROR(__xludf.DUMMYFUNCTION("""COMPUTED_VALUE"""),"Nguyễn Thị Lệ")</f>
        <v>Nguyễn Thị Lệ</v>
      </c>
      <c r="I720" s="7" t="str">
        <f>IFERROR(__xludf.DUMMYFUNCTION("""COMPUTED_VALUE"""),"Nữ")</f>
        <v>Nữ</v>
      </c>
      <c r="J720" s="17">
        <f>IFERROR(__xludf.DUMMYFUNCTION("""COMPUTED_VALUE"""),30780.0)</f>
        <v>30780</v>
      </c>
      <c r="K720" s="7" t="str">
        <f>IFERROR(__xludf.DUMMYFUNCTION("""COMPUTED_VALUE"""),"Xã Hoằng Trạch -  Huyện Hoằng Hóa -  Thanh Hóa -  Việt Nam")</f>
        <v>Xã Hoằng Trạch -  Huyện Hoằng Hóa -  Thanh Hóa -  Việt Nam</v>
      </c>
      <c r="L720" s="7" t="str">
        <f>IFERROR(__xludf.DUMMYFUNCTION("""COMPUTED_VALUE"""),"0398504300")</f>
        <v>0398504300</v>
      </c>
      <c r="M720" s="7" t="str">
        <f>IFERROR(__xludf.DUMMYFUNCTION("""COMPUTED_VALUE"""),"038184041628")</f>
        <v>038184041628</v>
      </c>
      <c r="N720" s="19">
        <f>IFERROR(__xludf.DUMMYFUNCTION("""COMPUTED_VALUE"""),44419.0)</f>
        <v>44419</v>
      </c>
      <c r="O720" s="7" t="str">
        <f>IFERROR(__xludf.DUMMYFUNCTION("""COMPUTED_VALUE"""),"Cục Cảnh sát QLHC về TTXH")</f>
        <v>Cục Cảnh sát QLHC về TTXH</v>
      </c>
      <c r="P720" s="7" t="str">
        <f>IFERROR(__xludf.DUMMYFUNCTION("""COMPUTED_VALUE"""),"LĐPT")</f>
        <v>LĐPT</v>
      </c>
      <c r="Q720" s="7" t="str">
        <f>IFERROR(__xludf.DUMMYFUNCTION("""COMPUTED_VALUE"""),"Lao động phổ thông")</f>
        <v>Lao động phổ thông</v>
      </c>
      <c r="R720" s="17">
        <f>IFERROR(__xludf.DUMMYFUNCTION("""COMPUTED_VALUE"""),40612.0)</f>
        <v>40612</v>
      </c>
      <c r="S720" s="17">
        <f>IFERROR(__xludf.DUMMYFUNCTION("""COMPUTED_VALUE"""),40612.0)</f>
        <v>40612</v>
      </c>
      <c r="T720" s="7" t="str">
        <f>IFERROR(__xludf.DUMMYFUNCTION("""COMPUTED_VALUE"""),"Chính thức")</f>
        <v>Chính thức</v>
      </c>
      <c r="U720" s="7"/>
      <c r="V720" s="7" t="str">
        <f>IFERROR(__xludf.DUMMYFUNCTION("""COMPUTED_VALUE"""),"Chính thức")</f>
        <v>Chính thức</v>
      </c>
      <c r="W720" s="7" t="str">
        <f>IFERROR(__xludf.DUMMYFUNCTION("""COMPUTED_VALUE"""),"14 năm 9 tháng")</f>
        <v>14 năm 9 tháng</v>
      </c>
      <c r="X720" s="7"/>
      <c r="Y720" s="7"/>
      <c r="Z720" s="7"/>
    </row>
    <row r="721">
      <c r="A721" s="7">
        <f>IFERROR(__xludf.DUMMYFUNCTION("""COMPUTED_VALUE"""),8.0)</f>
        <v>8</v>
      </c>
      <c r="B721" s="7" t="str">
        <f>IFERROR(__xludf.DUMMYFUNCTION("""COMPUTED_VALUE"""),"DC6-PXSX2")</f>
        <v>DC6-PXSX2</v>
      </c>
      <c r="C721" s="7" t="str">
        <f>IFERROR(__xludf.DUMMYFUNCTION("""COMPUTED_VALUE"""),"Bộ phận Trạm than và Lò nung")</f>
        <v>Bộ phận Trạm than và Lò nung</v>
      </c>
      <c r="D721" s="7" t="str">
        <f>IFERROR(__xludf.DUMMYFUNCTION("""COMPUTED_VALUE"""),"Lò nung - Đóng hộp Ca B")</f>
        <v>Lò nung - Đóng hộp Ca B</v>
      </c>
      <c r="E721" s="7" t="str">
        <f>IFERROR(__xludf.DUMMYFUNCTION("""COMPUTED_VALUE"""),"Xe nâng")</f>
        <v>Xe nâng</v>
      </c>
      <c r="F721" s="7" t="str">
        <f>IFERROR(__xludf.DUMMYFUNCTION("""COMPUTED_VALUE"""),"NV3948")</f>
        <v>NV3948</v>
      </c>
      <c r="G721" s="7">
        <f>IFERROR(__xludf.DUMMYFUNCTION("""COMPUTED_VALUE"""),484.0)</f>
        <v>484</v>
      </c>
      <c r="H721" s="7" t="str">
        <f>IFERROR(__xludf.DUMMYFUNCTION("""COMPUTED_VALUE"""),"Lê Trí Tư")</f>
        <v>Lê Trí Tư</v>
      </c>
      <c r="I721" s="7" t="str">
        <f>IFERROR(__xludf.DUMMYFUNCTION("""COMPUTED_VALUE"""),"Nam")</f>
        <v>Nam</v>
      </c>
      <c r="J721" s="17">
        <f>IFERROR(__xludf.DUMMYFUNCTION("""COMPUTED_VALUE"""),32150.0)</f>
        <v>32150</v>
      </c>
      <c r="K721" s="7" t="str">
        <f>IFERROR(__xludf.DUMMYFUNCTION("""COMPUTED_VALUE"""),"33 Hàm Tử -  P. Quảng Hưng -  Thành phố Thanh Hóa")</f>
        <v>33 Hàm Tử -  P. Quảng Hưng -  Thành phố Thanh Hóa</v>
      </c>
      <c r="L721" s="7" t="str">
        <f>IFERROR(__xludf.DUMMYFUNCTION("""COMPUTED_VALUE"""),"0948142689")</f>
        <v>0948142689</v>
      </c>
      <c r="M721" s="7" t="str">
        <f>IFERROR(__xludf.DUMMYFUNCTION("""COMPUTED_VALUE"""),"038088018283")</f>
        <v>038088018283</v>
      </c>
      <c r="N721" s="19">
        <f>IFERROR(__xludf.DUMMYFUNCTION("""COMPUTED_VALUE"""),44502.0)</f>
        <v>44502</v>
      </c>
      <c r="O721" s="7" t="str">
        <f>IFERROR(__xludf.DUMMYFUNCTION("""COMPUTED_VALUE"""),"Cục Cảnh sát QLHC về TTXH")</f>
        <v>Cục Cảnh sát QLHC về TTXH</v>
      </c>
      <c r="P721" s="7" t="str">
        <f>IFERROR(__xludf.DUMMYFUNCTION("""COMPUTED_VALUE"""),"Sơ cấp nghề")</f>
        <v>Sơ cấp nghề</v>
      </c>
      <c r="Q721" s="7" t="str">
        <f>IFERROR(__xludf.DUMMYFUNCTION("""COMPUTED_VALUE"""),"Vận hành xe nâng")</f>
        <v>Vận hành xe nâng</v>
      </c>
      <c r="R721" s="17">
        <f>IFERROR(__xludf.DUMMYFUNCTION("""COMPUTED_VALUE"""),44528.0)</f>
        <v>44528</v>
      </c>
      <c r="S721" s="17">
        <f>IFERROR(__xludf.DUMMYFUNCTION("""COMPUTED_VALUE"""),44774.0)</f>
        <v>44774</v>
      </c>
      <c r="T721" s="7" t="str">
        <f>IFERROR(__xludf.DUMMYFUNCTION("""COMPUTED_VALUE"""),"Chính thức")</f>
        <v>Chính thức</v>
      </c>
      <c r="U721" s="7"/>
      <c r="V721" s="7" t="str">
        <f>IFERROR(__xludf.DUMMYFUNCTION("""COMPUTED_VALUE"""),"Chính thức")</f>
        <v>Chính thức</v>
      </c>
      <c r="W721" s="7" t="str">
        <f>IFERROR(__xludf.DUMMYFUNCTION("""COMPUTED_VALUE"""),"4 năm 1 tháng")</f>
        <v>4 năm 1 tháng</v>
      </c>
      <c r="X721" s="7"/>
      <c r="Y721" s="7"/>
      <c r="Z721" s="7"/>
    </row>
    <row r="722">
      <c r="A722" s="7">
        <f>IFERROR(__xludf.DUMMYFUNCTION("""COMPUTED_VALUE"""),9.0)</f>
        <v>9</v>
      </c>
      <c r="B722" s="7" t="str">
        <f>IFERROR(__xludf.DUMMYFUNCTION("""COMPUTED_VALUE"""),"DC6-PXSX2")</f>
        <v>DC6-PXSX2</v>
      </c>
      <c r="C722" s="7" t="str">
        <f>IFERROR(__xludf.DUMMYFUNCTION("""COMPUTED_VALUE"""),"Bộ phận Trạm than và Lò nung")</f>
        <v>Bộ phận Trạm than và Lò nung</v>
      </c>
      <c r="D722" s="7" t="str">
        <f>IFERROR(__xludf.DUMMYFUNCTION("""COMPUTED_VALUE"""),"Lò nung - Đóng hộp Ca B")</f>
        <v>Lò nung - Đóng hộp Ca B</v>
      </c>
      <c r="E722" s="7"/>
      <c r="F722" s="7" t="str">
        <f>IFERROR(__xludf.DUMMYFUNCTION("""COMPUTED_VALUE"""),"NV5802")</f>
        <v>NV5802</v>
      </c>
      <c r="G722" s="7">
        <f>IFERROR(__xludf.DUMMYFUNCTION("""COMPUTED_VALUE"""),1284.0)</f>
        <v>1284</v>
      </c>
      <c r="H722" s="7" t="str">
        <f>IFERROR(__xludf.DUMMYFUNCTION("""COMPUTED_VALUE"""),"Đỗ Trung Sơn")</f>
        <v>Đỗ Trung Sơn</v>
      </c>
      <c r="I722" s="7" t="str">
        <f>IFERROR(__xludf.DUMMYFUNCTION("""COMPUTED_VALUE"""),"Nam")</f>
        <v>Nam</v>
      </c>
      <c r="J722" s="17">
        <f>IFERROR(__xludf.DUMMYFUNCTION("""COMPUTED_VALUE"""),33391.0)</f>
        <v>33391</v>
      </c>
      <c r="K722" s="7" t="str">
        <f>IFERROR(__xludf.DUMMYFUNCTION("""COMPUTED_VALUE"""),"09 đường Đình Giáp Bắc - Phường Hạc Thành - tỉnh Thanh Hóa")</f>
        <v>09 đường Đình Giáp Bắc - Phường Hạc Thành - tỉnh Thanh Hóa</v>
      </c>
      <c r="L722" s="7" t="str">
        <f>IFERROR(__xludf.DUMMYFUNCTION("""COMPUTED_VALUE"""),"0354037420")</f>
        <v>0354037420</v>
      </c>
      <c r="M722" s="7" t="str">
        <f>IFERROR(__xludf.DUMMYFUNCTION("""COMPUTED_VALUE"""),"038091011877")</f>
        <v>038091011877</v>
      </c>
      <c r="N722" s="19">
        <f>IFERROR(__xludf.DUMMYFUNCTION("""COMPUTED_VALUE"""),44326.0)</f>
        <v>44326</v>
      </c>
      <c r="O722" s="7" t="str">
        <f>IFERROR(__xludf.DUMMYFUNCTION("""COMPUTED_VALUE"""),"Cục Cảnh sát QLHC về TTXH")</f>
        <v>Cục Cảnh sát QLHC về TTXH</v>
      </c>
      <c r="P722" s="7" t="str">
        <f>IFERROR(__xludf.DUMMYFUNCTION("""COMPUTED_VALUE"""),"LĐPT")</f>
        <v>LĐPT</v>
      </c>
      <c r="Q722" s="7" t="str">
        <f>IFERROR(__xludf.DUMMYFUNCTION("""COMPUTED_VALUE"""),"Lao động phổ thông")</f>
        <v>Lao động phổ thông</v>
      </c>
      <c r="R722" s="17">
        <f>IFERROR(__xludf.DUMMYFUNCTION("""COMPUTED_VALUE"""),45972.0)</f>
        <v>45972</v>
      </c>
      <c r="S722" s="17">
        <f>IFERROR(__xludf.DUMMYFUNCTION("""COMPUTED_VALUE"""),46002.0)</f>
        <v>46002</v>
      </c>
      <c r="T722" s="7" t="str">
        <f>IFERROR(__xludf.DUMMYFUNCTION("""COMPUTED_VALUE"""),"Thử việc")</f>
        <v>Thử việc</v>
      </c>
      <c r="U722" s="7"/>
      <c r="V722" s="7" t="str">
        <f>IFERROR(__xludf.DUMMYFUNCTION("""COMPUTED_VALUE"""),"Thử việc")</f>
        <v>Thử việc</v>
      </c>
      <c r="W722" s="7" t="str">
        <f>IFERROR(__xludf.DUMMYFUNCTION("""COMPUTED_VALUE"""),"0 năm 1 tháng")</f>
        <v>0 năm 1 tháng</v>
      </c>
      <c r="X722" s="7"/>
      <c r="Y722" s="7"/>
      <c r="Z722" s="7"/>
    </row>
    <row r="723">
      <c r="A723" s="7">
        <f>IFERROR(__xludf.DUMMYFUNCTION("""COMPUTED_VALUE"""),1.0)</f>
        <v>1</v>
      </c>
      <c r="B723" s="7" t="str">
        <f>IFERROR(__xludf.DUMMYFUNCTION("""COMPUTED_VALUE"""),"DC6-PXSX2")</f>
        <v>DC6-PXSX2</v>
      </c>
      <c r="C723" s="7" t="str">
        <f>IFERROR(__xludf.DUMMYFUNCTION("""COMPUTED_VALUE"""),"Bộ phận Trạm than và Lò nung")</f>
        <v>Bộ phận Trạm than và Lò nung</v>
      </c>
      <c r="D723" s="7" t="str">
        <f>IFERROR(__xludf.DUMMYFUNCTION("""COMPUTED_VALUE"""),"Trạm than Ca A")</f>
        <v>Trạm than Ca A</v>
      </c>
      <c r="E723" s="7" t="str">
        <f>IFERROR(__xludf.DUMMYFUNCTION("""COMPUTED_VALUE"""),"Tổ phó")</f>
        <v>Tổ phó</v>
      </c>
      <c r="F723" s="7" t="str">
        <f>IFERROR(__xludf.DUMMYFUNCTION("""COMPUTED_VALUE"""),"NV0550")</f>
        <v>NV0550</v>
      </c>
      <c r="G723" s="7">
        <f>IFERROR(__xludf.DUMMYFUNCTION("""COMPUTED_VALUE"""),606.0)</f>
        <v>606</v>
      </c>
      <c r="H723" s="7" t="str">
        <f>IFERROR(__xludf.DUMMYFUNCTION("""COMPUTED_VALUE"""),"Trần Văn Tưởng")</f>
        <v>Trần Văn Tưởng</v>
      </c>
      <c r="I723" s="7" t="str">
        <f>IFERROR(__xludf.DUMMYFUNCTION("""COMPUTED_VALUE"""),"Nam")</f>
        <v>Nam</v>
      </c>
      <c r="J723" s="17">
        <f>IFERROR(__xludf.DUMMYFUNCTION("""COMPUTED_VALUE"""),28525.0)</f>
        <v>28525</v>
      </c>
      <c r="K723" s="7" t="str">
        <f>IFERROR(__xludf.DUMMYFUNCTION("""COMPUTED_VALUE"""),"Thôn 17 - Xã Quảng Cát - Quảng Xương - Thanh Hóa")</f>
        <v>Thôn 17 - Xã Quảng Cát - Quảng Xương - Thanh Hóa</v>
      </c>
      <c r="L723" s="7" t="str">
        <f>IFERROR(__xludf.DUMMYFUNCTION("""COMPUTED_VALUE"""),"0946128778")</f>
        <v>0946128778</v>
      </c>
      <c r="M723" s="7" t="str">
        <f>IFERROR(__xludf.DUMMYFUNCTION("""COMPUTED_VALUE"""),"038078027916")</f>
        <v>038078027916</v>
      </c>
      <c r="N723" s="19">
        <f>IFERROR(__xludf.DUMMYFUNCTION("""COMPUTED_VALUE"""),44422.0)</f>
        <v>44422</v>
      </c>
      <c r="O723" s="7" t="str">
        <f>IFERROR(__xludf.DUMMYFUNCTION("""COMPUTED_VALUE"""),"Cục Cảnh sát QLHC về TTXH")</f>
        <v>Cục Cảnh sát QLHC về TTXH</v>
      </c>
      <c r="P723" s="7" t="str">
        <f>IFERROR(__xludf.DUMMYFUNCTION("""COMPUTED_VALUE"""),"LĐPT")</f>
        <v>LĐPT</v>
      </c>
      <c r="Q723" s="7" t="str">
        <f>IFERROR(__xludf.DUMMYFUNCTION("""COMPUTED_VALUE"""),"Lao động phổ thông")</f>
        <v>Lao động phổ thông</v>
      </c>
      <c r="R723" s="17">
        <f>IFERROR(__xludf.DUMMYFUNCTION("""COMPUTED_VALUE"""),39286.0)</f>
        <v>39286</v>
      </c>
      <c r="S723" s="17">
        <f>IFERROR(__xludf.DUMMYFUNCTION("""COMPUTED_VALUE"""),39286.0)</f>
        <v>39286</v>
      </c>
      <c r="T723" s="7" t="str">
        <f>IFERROR(__xludf.DUMMYFUNCTION("""COMPUTED_VALUE"""),"Chính thức")</f>
        <v>Chính thức</v>
      </c>
      <c r="U723" s="7"/>
      <c r="V723" s="7" t="str">
        <f>IFERROR(__xludf.DUMMYFUNCTION("""COMPUTED_VALUE"""),"Chính thức")</f>
        <v>Chính thức</v>
      </c>
      <c r="W723" s="7" t="str">
        <f>IFERROR(__xludf.DUMMYFUNCTION("""COMPUTED_VALUE"""),"18 năm 5 tháng")</f>
        <v>18 năm 5 tháng</v>
      </c>
      <c r="X723" s="7"/>
      <c r="Y723" s="7"/>
      <c r="Z723" s="7"/>
    </row>
    <row r="724">
      <c r="A724" s="7">
        <f>IFERROR(__xludf.DUMMYFUNCTION("""COMPUTED_VALUE"""),2.0)</f>
        <v>2</v>
      </c>
      <c r="B724" s="7" t="str">
        <f>IFERROR(__xludf.DUMMYFUNCTION("""COMPUTED_VALUE"""),"DC6-PXSX2")</f>
        <v>DC6-PXSX2</v>
      </c>
      <c r="C724" s="7" t="str">
        <f>IFERROR(__xludf.DUMMYFUNCTION("""COMPUTED_VALUE"""),"Bộ phận Trạm than và Lò nung")</f>
        <v>Bộ phận Trạm than và Lò nung</v>
      </c>
      <c r="D724" s="7" t="str">
        <f>IFERROR(__xludf.DUMMYFUNCTION("""COMPUTED_VALUE"""),"Trạm than Ca A")</f>
        <v>Trạm than Ca A</v>
      </c>
      <c r="E724" s="7" t="str">
        <f>IFERROR(__xludf.DUMMYFUNCTION("""COMPUTED_VALUE"""),"VH lò mức 1")</f>
        <v>VH lò mức 1</v>
      </c>
      <c r="F724" s="7" t="str">
        <f>IFERROR(__xludf.DUMMYFUNCTION("""COMPUTED_VALUE"""),"NV0553")</f>
        <v>NV0553</v>
      </c>
      <c r="G724" s="7">
        <f>IFERROR(__xludf.DUMMYFUNCTION("""COMPUTED_VALUE"""),593.0)</f>
        <v>593</v>
      </c>
      <c r="H724" s="7" t="str">
        <f>IFERROR(__xludf.DUMMYFUNCTION("""COMPUTED_VALUE"""),"Đỗ Văn Cự")</f>
        <v>Đỗ Văn Cự</v>
      </c>
      <c r="I724" s="7" t="str">
        <f>IFERROR(__xludf.DUMMYFUNCTION("""COMPUTED_VALUE"""),"Nam")</f>
        <v>Nam</v>
      </c>
      <c r="J724" s="17">
        <f>IFERROR(__xludf.DUMMYFUNCTION("""COMPUTED_VALUE"""),27496.0)</f>
        <v>27496</v>
      </c>
      <c r="K724" s="7" t="str">
        <f>IFERROR(__xludf.DUMMYFUNCTION("""COMPUTED_VALUE"""),"Xã Hoằng Trạch - Hoằng Hóa - Thanh Hóa")</f>
        <v>Xã Hoằng Trạch - Hoằng Hóa - Thanh Hóa</v>
      </c>
      <c r="L724" s="7" t="str">
        <f>IFERROR(__xludf.DUMMYFUNCTION("""COMPUTED_VALUE"""),"0832191012")</f>
        <v>0832191012</v>
      </c>
      <c r="M724" s="7" t="str">
        <f>IFERROR(__xludf.DUMMYFUNCTION("""COMPUTED_VALUE"""),"038075040863")</f>
        <v>038075040863</v>
      </c>
      <c r="N724" s="19">
        <f>IFERROR(__xludf.DUMMYFUNCTION("""COMPUTED_VALUE"""),44545.0)</f>
        <v>44545</v>
      </c>
      <c r="O724" s="7" t="str">
        <f>IFERROR(__xludf.DUMMYFUNCTION("""COMPUTED_VALUE"""),"Cục Cảnh sát QLHC về TTXH")</f>
        <v>Cục Cảnh sát QLHC về TTXH</v>
      </c>
      <c r="P724" s="7" t="str">
        <f>IFERROR(__xludf.DUMMYFUNCTION("""COMPUTED_VALUE"""),"LĐPT")</f>
        <v>LĐPT</v>
      </c>
      <c r="Q724" s="7" t="str">
        <f>IFERROR(__xludf.DUMMYFUNCTION("""COMPUTED_VALUE"""),"Lao động phổ thông")</f>
        <v>Lao động phổ thông</v>
      </c>
      <c r="R724" s="17">
        <f>IFERROR(__xludf.DUMMYFUNCTION("""COMPUTED_VALUE"""),38826.0)</f>
        <v>38826</v>
      </c>
      <c r="S724" s="17">
        <f>IFERROR(__xludf.DUMMYFUNCTION("""COMPUTED_VALUE"""),38826.0)</f>
        <v>38826</v>
      </c>
      <c r="T724" s="7" t="str">
        <f>IFERROR(__xludf.DUMMYFUNCTION("""COMPUTED_VALUE"""),"Chính thức")</f>
        <v>Chính thức</v>
      </c>
      <c r="U724" s="7"/>
      <c r="V724" s="7" t="str">
        <f>IFERROR(__xludf.DUMMYFUNCTION("""COMPUTED_VALUE"""),"Chính thức")</f>
        <v>Chính thức</v>
      </c>
      <c r="W724" s="7" t="str">
        <f>IFERROR(__xludf.DUMMYFUNCTION("""COMPUTED_VALUE"""),"19 năm 8 tháng")</f>
        <v>19 năm 8 tháng</v>
      </c>
      <c r="X724" s="7"/>
      <c r="Y724" s="7"/>
      <c r="Z724" s="7"/>
    </row>
    <row r="725">
      <c r="A725" s="7">
        <f>IFERROR(__xludf.DUMMYFUNCTION("""COMPUTED_VALUE"""),3.0)</f>
        <v>3</v>
      </c>
      <c r="B725" s="7" t="str">
        <f>IFERROR(__xludf.DUMMYFUNCTION("""COMPUTED_VALUE"""),"DC6-PXSX2")</f>
        <v>DC6-PXSX2</v>
      </c>
      <c r="C725" s="7" t="str">
        <f>IFERROR(__xludf.DUMMYFUNCTION("""COMPUTED_VALUE"""),"Bộ phận Trạm than và Lò nung")</f>
        <v>Bộ phận Trạm than và Lò nung</v>
      </c>
      <c r="D725" s="7" t="str">
        <f>IFERROR(__xludf.DUMMYFUNCTION("""COMPUTED_VALUE"""),"Trạm than Ca A")</f>
        <v>Trạm than Ca A</v>
      </c>
      <c r="E725" s="7" t="str">
        <f>IFERROR(__xludf.DUMMYFUNCTION("""COMPUTED_VALUE"""),"VH lò mức 1")</f>
        <v>VH lò mức 1</v>
      </c>
      <c r="F725" s="7" t="str">
        <f>IFERROR(__xludf.DUMMYFUNCTION("""COMPUTED_VALUE"""),"NV0508")</f>
        <v>NV0508</v>
      </c>
      <c r="G725" s="7">
        <f>IFERROR(__xludf.DUMMYFUNCTION("""COMPUTED_VALUE"""),401.0)</f>
        <v>401</v>
      </c>
      <c r="H725" s="7" t="str">
        <f>IFERROR(__xludf.DUMMYFUNCTION("""COMPUTED_VALUE"""),"Phạm Văn Quân")</f>
        <v>Phạm Văn Quân</v>
      </c>
      <c r="I725" s="7" t="str">
        <f>IFERROR(__xludf.DUMMYFUNCTION("""COMPUTED_VALUE"""),"Nam")</f>
        <v>Nam</v>
      </c>
      <c r="J725" s="17">
        <f>IFERROR(__xludf.DUMMYFUNCTION("""COMPUTED_VALUE"""),35011.0)</f>
        <v>35011</v>
      </c>
      <c r="K725" s="7" t="str">
        <f>IFERROR(__xludf.DUMMYFUNCTION("""COMPUTED_VALUE"""),"Nguyệt Viên 3 -  Xã Hoằng Quang -  Thành phố Thanh Hóa")</f>
        <v>Nguyệt Viên 3 -  Xã Hoằng Quang -  Thành phố Thanh Hóa</v>
      </c>
      <c r="L725" s="7" t="str">
        <f>IFERROR(__xludf.DUMMYFUNCTION("""COMPUTED_VALUE"""),"0328315546")</f>
        <v>0328315546</v>
      </c>
      <c r="M725" s="7" t="str">
        <f>IFERROR(__xludf.DUMMYFUNCTION("""COMPUTED_VALUE"""),"038095017594")</f>
        <v>038095017594</v>
      </c>
      <c r="N725" s="19">
        <f>IFERROR(__xludf.DUMMYFUNCTION("""COMPUTED_VALUE"""),44317.0)</f>
        <v>44317</v>
      </c>
      <c r="O725" s="7" t="str">
        <f>IFERROR(__xludf.DUMMYFUNCTION("""COMPUTED_VALUE"""),"Cục Cảnh sát QLHC về TTXH")</f>
        <v>Cục Cảnh sát QLHC về TTXH</v>
      </c>
      <c r="P725" s="7" t="str">
        <f>IFERROR(__xludf.DUMMYFUNCTION("""COMPUTED_VALUE"""),"LĐPT")</f>
        <v>LĐPT</v>
      </c>
      <c r="Q725" s="7" t="str">
        <f>IFERROR(__xludf.DUMMYFUNCTION("""COMPUTED_VALUE"""),"Lao động phổ thông")</f>
        <v>Lao động phổ thông</v>
      </c>
      <c r="R725" s="17">
        <f>IFERROR(__xludf.DUMMYFUNCTION("""COMPUTED_VALUE"""),42629.0)</f>
        <v>42629</v>
      </c>
      <c r="S725" s="17">
        <f>IFERROR(__xludf.DUMMYFUNCTION("""COMPUTED_VALUE"""),42856.0)</f>
        <v>42856</v>
      </c>
      <c r="T725" s="7" t="str">
        <f>IFERROR(__xludf.DUMMYFUNCTION("""COMPUTED_VALUE"""),"Chính thức")</f>
        <v>Chính thức</v>
      </c>
      <c r="U725" s="7"/>
      <c r="V725" s="7" t="str">
        <f>IFERROR(__xludf.DUMMYFUNCTION("""COMPUTED_VALUE"""),"Chính thức")</f>
        <v>Chính thức</v>
      </c>
      <c r="W725" s="7" t="str">
        <f>IFERROR(__xludf.DUMMYFUNCTION("""COMPUTED_VALUE"""),"9 năm 3 tháng")</f>
        <v>9 năm 3 tháng</v>
      </c>
      <c r="X725" s="7"/>
      <c r="Y725" s="7"/>
      <c r="Z725" s="7"/>
    </row>
    <row r="726">
      <c r="A726" s="7">
        <f>IFERROR(__xludf.DUMMYFUNCTION("""COMPUTED_VALUE"""),4.0)</f>
        <v>4</v>
      </c>
      <c r="B726" s="7" t="str">
        <f>IFERROR(__xludf.DUMMYFUNCTION("""COMPUTED_VALUE"""),"DC6-PXSX2")</f>
        <v>DC6-PXSX2</v>
      </c>
      <c r="C726" s="7" t="str">
        <f>IFERROR(__xludf.DUMMYFUNCTION("""COMPUTED_VALUE"""),"Bộ phận Trạm than và Lò nung")</f>
        <v>Bộ phận Trạm than và Lò nung</v>
      </c>
      <c r="D726" s="7" t="str">
        <f>IFERROR(__xludf.DUMMYFUNCTION("""COMPUTED_VALUE"""),"Trạm than Ca A")</f>
        <v>Trạm than Ca A</v>
      </c>
      <c r="E726" s="7" t="str">
        <f>IFERROR(__xludf.DUMMYFUNCTION("""COMPUTED_VALUE"""),"VHC lò")</f>
        <v>VHC lò</v>
      </c>
      <c r="F726" s="7" t="str">
        <f>IFERROR(__xludf.DUMMYFUNCTION("""COMPUTED_VALUE"""),"NV0548")</f>
        <v>NV0548</v>
      </c>
      <c r="G726" s="7">
        <f>IFERROR(__xludf.DUMMYFUNCTION("""COMPUTED_VALUE"""),353.0)</f>
        <v>353</v>
      </c>
      <c r="H726" s="7" t="str">
        <f>IFERROR(__xludf.DUMMYFUNCTION("""COMPUTED_VALUE"""),"Đỗ Văn Năm")</f>
        <v>Đỗ Văn Năm</v>
      </c>
      <c r="I726" s="7" t="str">
        <f>IFERROR(__xludf.DUMMYFUNCTION("""COMPUTED_VALUE"""),"Nam")</f>
        <v>Nam</v>
      </c>
      <c r="J726" s="17">
        <f>IFERROR(__xludf.DUMMYFUNCTION("""COMPUTED_VALUE"""),26715.0)</f>
        <v>26715</v>
      </c>
      <c r="K726" s="7" t="str">
        <f>IFERROR(__xludf.DUMMYFUNCTION("""COMPUTED_VALUE"""),"Hoằng Trạch - Hoằng Hóa - Thanh Hóa")</f>
        <v>Hoằng Trạch - Hoằng Hóa - Thanh Hóa</v>
      </c>
      <c r="L726" s="7" t="str">
        <f>IFERROR(__xludf.DUMMYFUNCTION("""COMPUTED_VALUE"""),"0347823235")</f>
        <v>0347823235</v>
      </c>
      <c r="M726" s="7" t="str">
        <f>IFERROR(__xludf.DUMMYFUNCTION("""COMPUTED_VALUE"""),"038073036137")</f>
        <v>038073036137</v>
      </c>
      <c r="N726" s="19">
        <f>IFERROR(__xludf.DUMMYFUNCTION("""COMPUTED_VALUE"""),44419.0)</f>
        <v>44419</v>
      </c>
      <c r="O726" s="7" t="str">
        <f>IFERROR(__xludf.DUMMYFUNCTION("""COMPUTED_VALUE"""),"Cục Cảnh sát QLHC về TTXH")</f>
        <v>Cục Cảnh sát QLHC về TTXH</v>
      </c>
      <c r="P726" s="7" t="str">
        <f>IFERROR(__xludf.DUMMYFUNCTION("""COMPUTED_VALUE"""),"LĐPT")</f>
        <v>LĐPT</v>
      </c>
      <c r="Q726" s="7" t="str">
        <f>IFERROR(__xludf.DUMMYFUNCTION("""COMPUTED_VALUE"""),"Lao động phổ thông")</f>
        <v>Lao động phổ thông</v>
      </c>
      <c r="R726" s="17">
        <f>IFERROR(__xludf.DUMMYFUNCTION("""COMPUTED_VALUE"""),39690.0)</f>
        <v>39690</v>
      </c>
      <c r="S726" s="17">
        <f>IFERROR(__xludf.DUMMYFUNCTION("""COMPUTED_VALUE"""),39690.0)</f>
        <v>39690</v>
      </c>
      <c r="T726" s="7" t="str">
        <f>IFERROR(__xludf.DUMMYFUNCTION("""COMPUTED_VALUE"""),"Chính thức")</f>
        <v>Chính thức</v>
      </c>
      <c r="U726" s="7"/>
      <c r="V726" s="7" t="str">
        <f>IFERROR(__xludf.DUMMYFUNCTION("""COMPUTED_VALUE"""),"Chính thức")</f>
        <v>Chính thức</v>
      </c>
      <c r="W726" s="7" t="str">
        <f>IFERROR(__xludf.DUMMYFUNCTION("""COMPUTED_VALUE"""),"17 năm 4 tháng")</f>
        <v>17 năm 4 tháng</v>
      </c>
      <c r="X726" s="7"/>
      <c r="Y726" s="7"/>
      <c r="Z726" s="7"/>
    </row>
    <row r="727">
      <c r="A727" s="7">
        <f>IFERROR(__xludf.DUMMYFUNCTION("""COMPUTED_VALUE"""),5.0)</f>
        <v>5</v>
      </c>
      <c r="B727" s="7" t="str">
        <f>IFERROR(__xludf.DUMMYFUNCTION("""COMPUTED_VALUE"""),"DC6-PXSX2")</f>
        <v>DC6-PXSX2</v>
      </c>
      <c r="C727" s="7" t="str">
        <f>IFERROR(__xludf.DUMMYFUNCTION("""COMPUTED_VALUE"""),"Bộ phận Trạm than và Lò nung")</f>
        <v>Bộ phận Trạm than và Lò nung</v>
      </c>
      <c r="D727" s="7" t="str">
        <f>IFERROR(__xludf.DUMMYFUNCTION("""COMPUTED_VALUE"""),"Trạm than Ca A")</f>
        <v>Trạm than Ca A</v>
      </c>
      <c r="E727" s="7" t="str">
        <f>IFERROR(__xludf.DUMMYFUNCTION("""COMPUTED_VALUE"""),"VH Lò mức 2")</f>
        <v>VH Lò mức 2</v>
      </c>
      <c r="F727" s="7" t="str">
        <f>IFERROR(__xludf.DUMMYFUNCTION("""COMPUTED_VALUE"""),"NV4007")</f>
        <v>NV4007</v>
      </c>
      <c r="G727" s="7">
        <f>IFERROR(__xludf.DUMMYFUNCTION("""COMPUTED_VALUE"""),941.0)</f>
        <v>941</v>
      </c>
      <c r="H727" s="7" t="str">
        <f>IFERROR(__xludf.DUMMYFUNCTION("""COMPUTED_VALUE"""),"Lê Văn Hiếu")</f>
        <v>Lê Văn Hiếu</v>
      </c>
      <c r="I727" s="7" t="str">
        <f>IFERROR(__xludf.DUMMYFUNCTION("""COMPUTED_VALUE"""),"Nam")</f>
        <v>Nam</v>
      </c>
      <c r="J727" s="17">
        <f>IFERROR(__xludf.DUMMYFUNCTION("""COMPUTED_VALUE"""),37798.0)</f>
        <v>37798</v>
      </c>
      <c r="K727" s="7" t="str">
        <f>IFERROR(__xludf.DUMMYFUNCTION("""COMPUTED_VALUE"""),"Phố 9 -  Xã Quảng Phú -  Thành phố Thanh Hóa")</f>
        <v>Phố 9 -  Xã Quảng Phú -  Thành phố Thanh Hóa</v>
      </c>
      <c r="L727" s="7" t="str">
        <f>IFERROR(__xludf.DUMMYFUNCTION("""COMPUTED_VALUE"""),"0977933356")</f>
        <v>0977933356</v>
      </c>
      <c r="M727" s="7" t="str">
        <f>IFERROR(__xludf.DUMMYFUNCTION("""COMPUTED_VALUE"""),"038203008442")</f>
        <v>038203008442</v>
      </c>
      <c r="N727" s="19">
        <f>IFERROR(__xludf.DUMMYFUNCTION("""COMPUTED_VALUE"""),44376.0)</f>
        <v>44376</v>
      </c>
      <c r="O727" s="7" t="str">
        <f>IFERROR(__xludf.DUMMYFUNCTION("""COMPUTED_VALUE"""),"Cục Cảnh sát QLHC về TTXH")</f>
        <v>Cục Cảnh sát QLHC về TTXH</v>
      </c>
      <c r="P727" s="7" t="str">
        <f>IFERROR(__xludf.DUMMYFUNCTION("""COMPUTED_VALUE"""),"LĐPT")</f>
        <v>LĐPT</v>
      </c>
      <c r="Q727" s="7" t="str">
        <f>IFERROR(__xludf.DUMMYFUNCTION("""COMPUTED_VALUE"""),"Lao động phổ thông")</f>
        <v>Lao động phổ thông</v>
      </c>
      <c r="R727" s="17">
        <f>IFERROR(__xludf.DUMMYFUNCTION("""COMPUTED_VALUE"""),44606.0)</f>
        <v>44606</v>
      </c>
      <c r="S727" s="17">
        <f>IFERROR(__xludf.DUMMYFUNCTION("""COMPUTED_VALUE"""),44695.0)</f>
        <v>44695</v>
      </c>
      <c r="T727" s="7" t="str">
        <f>IFERROR(__xludf.DUMMYFUNCTION("""COMPUTED_VALUE"""),"Chính thức")</f>
        <v>Chính thức</v>
      </c>
      <c r="U727" s="7"/>
      <c r="V727" s="7" t="str">
        <f>IFERROR(__xludf.DUMMYFUNCTION("""COMPUTED_VALUE"""),"Chính thức")</f>
        <v>Chính thức</v>
      </c>
      <c r="W727" s="7" t="str">
        <f>IFERROR(__xludf.DUMMYFUNCTION("""COMPUTED_VALUE"""),"3 năm 10 tháng")</f>
        <v>3 năm 10 tháng</v>
      </c>
      <c r="X727" s="7"/>
      <c r="Y727" s="7"/>
      <c r="Z727" s="7"/>
    </row>
    <row r="728">
      <c r="A728" s="7">
        <f>IFERROR(__xludf.DUMMYFUNCTION("""COMPUTED_VALUE"""),1.0)</f>
        <v>1</v>
      </c>
      <c r="B728" s="7" t="str">
        <f>IFERROR(__xludf.DUMMYFUNCTION("""COMPUTED_VALUE"""),"DC6-PXSX2")</f>
        <v>DC6-PXSX2</v>
      </c>
      <c r="C728" s="7" t="str">
        <f>IFERROR(__xludf.DUMMYFUNCTION("""COMPUTED_VALUE"""),"Bộ phận Trạm than và Lò nung")</f>
        <v>Bộ phận Trạm than và Lò nung</v>
      </c>
      <c r="D728" s="7" t="str">
        <f>IFERROR(__xludf.DUMMYFUNCTION("""COMPUTED_VALUE"""),"Trạm than Ca B")</f>
        <v>Trạm than Ca B</v>
      </c>
      <c r="E728" s="7" t="str">
        <f>IFERROR(__xludf.DUMMYFUNCTION("""COMPUTED_VALUE"""),"Tổ phó")</f>
        <v>Tổ phó</v>
      </c>
      <c r="F728" s="7" t="str">
        <f>IFERROR(__xludf.DUMMYFUNCTION("""COMPUTED_VALUE"""),"NV0547")</f>
        <v>NV0547</v>
      </c>
      <c r="G728" s="7">
        <f>IFERROR(__xludf.DUMMYFUNCTION("""COMPUTED_VALUE"""),351.0)</f>
        <v>351</v>
      </c>
      <c r="H728" s="7" t="str">
        <f>IFERROR(__xludf.DUMMYFUNCTION("""COMPUTED_VALUE"""),"Lê Gia Đăng")</f>
        <v>Lê Gia Đăng</v>
      </c>
      <c r="I728" s="7" t="str">
        <f>IFERROR(__xludf.DUMMYFUNCTION("""COMPUTED_VALUE"""),"Nam")</f>
        <v>Nam</v>
      </c>
      <c r="J728" s="17">
        <f>IFERROR(__xludf.DUMMYFUNCTION("""COMPUTED_VALUE"""),28492.0)</f>
        <v>28492</v>
      </c>
      <c r="K728" s="7" t="str">
        <f>IFERROR(__xludf.DUMMYFUNCTION("""COMPUTED_VALUE"""),"Xã Quảng Cát -  Thành phố Thanh Hóa")</f>
        <v>Xã Quảng Cát -  Thành phố Thanh Hóa</v>
      </c>
      <c r="L728" s="7" t="str">
        <f>IFERROR(__xludf.DUMMYFUNCTION("""COMPUTED_VALUE"""),"0912105368")</f>
        <v>0912105368</v>
      </c>
      <c r="M728" s="7" t="str">
        <f>IFERROR(__xludf.DUMMYFUNCTION("""COMPUTED_VALUE"""),"038078001054")</f>
        <v>038078001054</v>
      </c>
      <c r="N728" s="19">
        <f>IFERROR(__xludf.DUMMYFUNCTION("""COMPUTED_VALUE"""),44534.0)</f>
        <v>44534</v>
      </c>
      <c r="O728" s="7" t="str">
        <f>IFERROR(__xludf.DUMMYFUNCTION("""COMPUTED_VALUE"""),"Cục Cảnh sát QLHC về TTXH")</f>
        <v>Cục Cảnh sát QLHC về TTXH</v>
      </c>
      <c r="P728" s="7" t="str">
        <f>IFERROR(__xludf.DUMMYFUNCTION("""COMPUTED_VALUE"""),"Trung cấp")</f>
        <v>Trung cấp</v>
      </c>
      <c r="Q728" s="7" t="str">
        <f>IFERROR(__xludf.DUMMYFUNCTION("""COMPUTED_VALUE"""),"Cấp nước đô thị")</f>
        <v>Cấp nước đô thị</v>
      </c>
      <c r="R728" s="17">
        <f>IFERROR(__xludf.DUMMYFUNCTION("""COMPUTED_VALUE"""),37212.0)</f>
        <v>37212</v>
      </c>
      <c r="S728" s="17">
        <f>IFERROR(__xludf.DUMMYFUNCTION("""COMPUTED_VALUE"""),37212.0)</f>
        <v>37212</v>
      </c>
      <c r="T728" s="7" t="str">
        <f>IFERROR(__xludf.DUMMYFUNCTION("""COMPUTED_VALUE"""),"Chính thức")</f>
        <v>Chính thức</v>
      </c>
      <c r="U728" s="7"/>
      <c r="V728" s="7" t="str">
        <f>IFERROR(__xludf.DUMMYFUNCTION("""COMPUTED_VALUE"""),"Chính thức")</f>
        <v>Chính thức</v>
      </c>
      <c r="W728" s="7" t="str">
        <f>IFERROR(__xludf.DUMMYFUNCTION("""COMPUTED_VALUE"""),"24 năm 1 tháng")</f>
        <v>24 năm 1 tháng</v>
      </c>
      <c r="X728" s="7"/>
      <c r="Y728" s="7"/>
      <c r="Z728" s="7"/>
    </row>
    <row r="729">
      <c r="A729" s="7">
        <f>IFERROR(__xludf.DUMMYFUNCTION("""COMPUTED_VALUE"""),2.0)</f>
        <v>2</v>
      </c>
      <c r="B729" s="7" t="str">
        <f>IFERROR(__xludf.DUMMYFUNCTION("""COMPUTED_VALUE"""),"DC6-PXSX2")</f>
        <v>DC6-PXSX2</v>
      </c>
      <c r="C729" s="7" t="str">
        <f>IFERROR(__xludf.DUMMYFUNCTION("""COMPUTED_VALUE"""),"Bộ phận Trạm than và Lò nung")</f>
        <v>Bộ phận Trạm than và Lò nung</v>
      </c>
      <c r="D729" s="7" t="str">
        <f>IFERROR(__xludf.DUMMYFUNCTION("""COMPUTED_VALUE"""),"Trạm than Ca B")</f>
        <v>Trạm than Ca B</v>
      </c>
      <c r="E729" s="7" t="str">
        <f>IFERROR(__xludf.DUMMYFUNCTION("""COMPUTED_VALUE"""),"Tổ phó")</f>
        <v>Tổ phó</v>
      </c>
      <c r="F729" s="7" t="str">
        <f>IFERROR(__xludf.DUMMYFUNCTION("""COMPUTED_VALUE"""),"NV0138")</f>
        <v>NV0138</v>
      </c>
      <c r="G729" s="7">
        <f>IFERROR(__xludf.DUMMYFUNCTION("""COMPUTED_VALUE"""),625.0)</f>
        <v>625</v>
      </c>
      <c r="H729" s="7" t="str">
        <f>IFERROR(__xludf.DUMMYFUNCTION("""COMPUTED_VALUE"""),"Đặng Minh Hải")</f>
        <v>Đặng Minh Hải</v>
      </c>
      <c r="I729" s="7" t="str">
        <f>IFERROR(__xludf.DUMMYFUNCTION("""COMPUTED_VALUE"""),"Nam")</f>
        <v>Nam</v>
      </c>
      <c r="J729" s="17">
        <f>IFERROR(__xludf.DUMMYFUNCTION("""COMPUTED_VALUE"""),29742.0)</f>
        <v>29742</v>
      </c>
      <c r="K729" s="7" t="str">
        <f>IFERROR(__xludf.DUMMYFUNCTION("""COMPUTED_VALUE"""),"Phố 1 -  Xã Quảng Hưng -  Thành phố Thanh Hóa -  Thanh Hóa")</f>
        <v>Phố 1 -  Xã Quảng Hưng -  Thành phố Thanh Hóa -  Thanh Hóa</v>
      </c>
      <c r="L729" s="7" t="str">
        <f>IFERROR(__xludf.DUMMYFUNCTION("""COMPUTED_VALUE"""),"0367376668")</f>
        <v>0367376668</v>
      </c>
      <c r="M729" s="7" t="str">
        <f>IFERROR(__xludf.DUMMYFUNCTION("""COMPUTED_VALUE"""),"038081000642")</f>
        <v>038081000642</v>
      </c>
      <c r="N729" s="19">
        <f>IFERROR(__xludf.DUMMYFUNCTION("""COMPUTED_VALUE"""),44320.0)</f>
        <v>44320</v>
      </c>
      <c r="O729" s="7" t="str">
        <f>IFERROR(__xludf.DUMMYFUNCTION("""COMPUTED_VALUE"""),"Cục Cảnh sát QLHC về TTXH")</f>
        <v>Cục Cảnh sát QLHC về TTXH</v>
      </c>
      <c r="P729" s="7" t="str">
        <f>IFERROR(__xludf.DUMMYFUNCTION("""COMPUTED_VALUE"""),"Trung cấp")</f>
        <v>Trung cấp</v>
      </c>
      <c r="Q729" s="7" t="str">
        <f>IFERROR(__xludf.DUMMYFUNCTION("""COMPUTED_VALUE"""),"Điện")</f>
        <v>Điện</v>
      </c>
      <c r="R729" s="17">
        <f>IFERROR(__xludf.DUMMYFUNCTION("""COMPUTED_VALUE"""),38341.0)</f>
        <v>38341</v>
      </c>
      <c r="S729" s="17">
        <f>IFERROR(__xludf.DUMMYFUNCTION("""COMPUTED_VALUE"""),38341.0)</f>
        <v>38341</v>
      </c>
      <c r="T729" s="7" t="str">
        <f>IFERROR(__xludf.DUMMYFUNCTION("""COMPUTED_VALUE"""),"Chính thức")</f>
        <v>Chính thức</v>
      </c>
      <c r="U729" s="7"/>
      <c r="V729" s="7" t="str">
        <f>IFERROR(__xludf.DUMMYFUNCTION("""COMPUTED_VALUE"""),"Chính thức")</f>
        <v>Chính thức</v>
      </c>
      <c r="W729" s="7" t="str">
        <f>IFERROR(__xludf.DUMMYFUNCTION("""COMPUTED_VALUE"""),"21 năm 0 tháng")</f>
        <v>21 năm 0 tháng</v>
      </c>
      <c r="X729" s="7"/>
      <c r="Y729" s="7"/>
      <c r="Z729" s="7"/>
    </row>
    <row r="730">
      <c r="A730" s="7">
        <f>IFERROR(__xludf.DUMMYFUNCTION("""COMPUTED_VALUE"""),3.0)</f>
        <v>3</v>
      </c>
      <c r="B730" s="7" t="str">
        <f>IFERROR(__xludf.DUMMYFUNCTION("""COMPUTED_VALUE"""),"DC6-PXSX2")</f>
        <v>DC6-PXSX2</v>
      </c>
      <c r="C730" s="7" t="str">
        <f>IFERROR(__xludf.DUMMYFUNCTION("""COMPUTED_VALUE"""),"Bộ phận Trạm than và Lò nung")</f>
        <v>Bộ phận Trạm than và Lò nung</v>
      </c>
      <c r="D730" s="7" t="str">
        <f>IFERROR(__xludf.DUMMYFUNCTION("""COMPUTED_VALUE"""),"Trạm than Ca B")</f>
        <v>Trạm than Ca B</v>
      </c>
      <c r="E730" s="7" t="str">
        <f>IFERROR(__xludf.DUMMYFUNCTION("""COMPUTED_VALUE"""),"VH lò mức 1")</f>
        <v>VH lò mức 1</v>
      </c>
      <c r="F730" s="7" t="str">
        <f>IFERROR(__xludf.DUMMYFUNCTION("""COMPUTED_VALUE"""),"NV0558")</f>
        <v>NV0558</v>
      </c>
      <c r="G730" s="7">
        <f>IFERROR(__xludf.DUMMYFUNCTION("""COMPUTED_VALUE"""),356.0)</f>
        <v>356</v>
      </c>
      <c r="H730" s="7" t="str">
        <f>IFERROR(__xludf.DUMMYFUNCTION("""COMPUTED_VALUE"""),"Cao Văn Hoàng")</f>
        <v>Cao Văn Hoàng</v>
      </c>
      <c r="I730" s="7" t="str">
        <f>IFERROR(__xludf.DUMMYFUNCTION("""COMPUTED_VALUE"""),"Nam")</f>
        <v>Nam</v>
      </c>
      <c r="J730" s="17">
        <f>IFERROR(__xludf.DUMMYFUNCTION("""COMPUTED_VALUE"""),32858.0)</f>
        <v>32858</v>
      </c>
      <c r="K730" s="7" t="str">
        <f>IFERROR(__xludf.DUMMYFUNCTION("""COMPUTED_VALUE"""),"Thôn Phong Mỹ - Xã Hoằng Phong - Hoằng Hóa - Thanh Hóa")</f>
        <v>Thôn Phong Mỹ - Xã Hoằng Phong - Hoằng Hóa - Thanh Hóa</v>
      </c>
      <c r="L730" s="7" t="str">
        <f>IFERROR(__xludf.DUMMYFUNCTION("""COMPUTED_VALUE"""),"0967362117")</f>
        <v>0967362117</v>
      </c>
      <c r="M730" s="7" t="str">
        <f>IFERROR(__xludf.DUMMYFUNCTION("""COMPUTED_VALUE"""),"038089026237")</f>
        <v>038089026237</v>
      </c>
      <c r="N730" s="19">
        <f>IFERROR(__xludf.DUMMYFUNCTION("""COMPUTED_VALUE"""),44419.0)</f>
        <v>44419</v>
      </c>
      <c r="O730" s="7" t="str">
        <f>IFERROR(__xludf.DUMMYFUNCTION("""COMPUTED_VALUE"""),"Cục Cảnh sát QLHC về TTXH")</f>
        <v>Cục Cảnh sát QLHC về TTXH</v>
      </c>
      <c r="P730" s="7" t="str">
        <f>IFERROR(__xludf.DUMMYFUNCTION("""COMPUTED_VALUE"""),"LĐPT")</f>
        <v>LĐPT</v>
      </c>
      <c r="Q730" s="7" t="str">
        <f>IFERROR(__xludf.DUMMYFUNCTION("""COMPUTED_VALUE"""),"Lao động phổ thông")</f>
        <v>Lao động phổ thông</v>
      </c>
      <c r="R730" s="17">
        <f>IFERROR(__xludf.DUMMYFUNCTION("""COMPUTED_VALUE"""),42068.0)</f>
        <v>42068</v>
      </c>
      <c r="S730" s="17">
        <f>IFERROR(__xludf.DUMMYFUNCTION("""COMPUTED_VALUE"""),42068.0)</f>
        <v>42068</v>
      </c>
      <c r="T730" s="7" t="str">
        <f>IFERROR(__xludf.DUMMYFUNCTION("""COMPUTED_VALUE"""),"Chính thức")</f>
        <v>Chính thức</v>
      </c>
      <c r="U730" s="7"/>
      <c r="V730" s="7" t="str">
        <f>IFERROR(__xludf.DUMMYFUNCTION("""COMPUTED_VALUE"""),"Chính thức")</f>
        <v>Chính thức</v>
      </c>
      <c r="W730" s="7" t="str">
        <f>IFERROR(__xludf.DUMMYFUNCTION("""COMPUTED_VALUE"""),"10 năm 9 tháng")</f>
        <v>10 năm 9 tháng</v>
      </c>
      <c r="X730" s="7"/>
      <c r="Y730" s="7"/>
      <c r="Z730" s="7"/>
    </row>
    <row r="731">
      <c r="A731" s="7">
        <f>IFERROR(__xludf.DUMMYFUNCTION("""COMPUTED_VALUE"""),4.0)</f>
        <v>4</v>
      </c>
      <c r="B731" s="7" t="str">
        <f>IFERROR(__xludf.DUMMYFUNCTION("""COMPUTED_VALUE"""),"DC6-PXSX2")</f>
        <v>DC6-PXSX2</v>
      </c>
      <c r="C731" s="7" t="str">
        <f>IFERROR(__xludf.DUMMYFUNCTION("""COMPUTED_VALUE"""),"Bộ phận Trạm than và Lò nung")</f>
        <v>Bộ phận Trạm than và Lò nung</v>
      </c>
      <c r="D731" s="7" t="str">
        <f>IFERROR(__xludf.DUMMYFUNCTION("""COMPUTED_VALUE"""),"Trạm than Ca B")</f>
        <v>Trạm than Ca B</v>
      </c>
      <c r="E731" s="7" t="str">
        <f>IFERROR(__xludf.DUMMYFUNCTION("""COMPUTED_VALUE"""),"VH Lò mức 2")</f>
        <v>VH Lò mức 2</v>
      </c>
      <c r="F731" s="7" t="str">
        <f>IFERROR(__xludf.DUMMYFUNCTION("""COMPUTED_VALUE"""),"NV0551")</f>
        <v>NV0551</v>
      </c>
      <c r="G731" s="7">
        <f>IFERROR(__xludf.DUMMYFUNCTION("""COMPUTED_VALUE"""),623.0)</f>
        <v>623</v>
      </c>
      <c r="H731" s="7" t="str">
        <f>IFERROR(__xludf.DUMMYFUNCTION("""COMPUTED_VALUE"""),"Nguyễn Xuân Cấp")</f>
        <v>Nguyễn Xuân Cấp</v>
      </c>
      <c r="I731" s="7" t="str">
        <f>IFERROR(__xludf.DUMMYFUNCTION("""COMPUTED_VALUE"""),"Nam")</f>
        <v>Nam</v>
      </c>
      <c r="J731" s="17">
        <f>IFERROR(__xludf.DUMMYFUNCTION("""COMPUTED_VALUE"""),28313.0)</f>
        <v>28313</v>
      </c>
      <c r="K731" s="7" t="str">
        <f>IFERROR(__xludf.DUMMYFUNCTION("""COMPUTED_VALUE"""),"Đội 7 - Xã Hoằng Trạch - Hoằng Hóa - Thanh Hóa")</f>
        <v>Đội 7 - Xã Hoằng Trạch - Hoằng Hóa - Thanh Hóa</v>
      </c>
      <c r="L731" s="7" t="str">
        <f>IFERROR(__xludf.DUMMYFUNCTION("""COMPUTED_VALUE"""),"0358439243")</f>
        <v>0358439243</v>
      </c>
      <c r="M731" s="7" t="str">
        <f>IFERROR(__xludf.DUMMYFUNCTION("""COMPUTED_VALUE"""),"038077031120")</f>
        <v>038077031120</v>
      </c>
      <c r="N731" s="19">
        <f>IFERROR(__xludf.DUMMYFUNCTION("""COMPUTED_VALUE"""),44419.0)</f>
        <v>44419</v>
      </c>
      <c r="O731" s="7" t="str">
        <f>IFERROR(__xludf.DUMMYFUNCTION("""COMPUTED_VALUE"""),"Cục Cảnh sát QLHC về TTXH")</f>
        <v>Cục Cảnh sát QLHC về TTXH</v>
      </c>
      <c r="P731" s="7" t="str">
        <f>IFERROR(__xludf.DUMMYFUNCTION("""COMPUTED_VALUE"""),"LĐPT")</f>
        <v>LĐPT</v>
      </c>
      <c r="Q731" s="7" t="str">
        <f>IFERROR(__xludf.DUMMYFUNCTION("""COMPUTED_VALUE"""),"Lao động phổ thông")</f>
        <v>Lao động phổ thông</v>
      </c>
      <c r="R731" s="17">
        <f>IFERROR(__xludf.DUMMYFUNCTION("""COMPUTED_VALUE"""),39114.0)</f>
        <v>39114</v>
      </c>
      <c r="S731" s="17">
        <f>IFERROR(__xludf.DUMMYFUNCTION("""COMPUTED_VALUE"""),39114.0)</f>
        <v>39114</v>
      </c>
      <c r="T731" s="7" t="str">
        <f>IFERROR(__xludf.DUMMYFUNCTION("""COMPUTED_VALUE"""),"Chính thức")</f>
        <v>Chính thức</v>
      </c>
      <c r="U731" s="7"/>
      <c r="V731" s="7" t="str">
        <f>IFERROR(__xludf.DUMMYFUNCTION("""COMPUTED_VALUE"""),"Chính thức")</f>
        <v>Chính thức</v>
      </c>
      <c r="W731" s="7" t="str">
        <f>IFERROR(__xludf.DUMMYFUNCTION("""COMPUTED_VALUE"""),"18 năm 10 tháng")</f>
        <v>18 năm 10 tháng</v>
      </c>
      <c r="X731" s="7"/>
      <c r="Y731" s="7"/>
      <c r="Z731" s="7"/>
    </row>
    <row r="732">
      <c r="A732" s="7">
        <f>IFERROR(__xludf.DUMMYFUNCTION("""COMPUTED_VALUE"""),5.0)</f>
        <v>5</v>
      </c>
      <c r="B732" s="7" t="str">
        <f>IFERROR(__xludf.DUMMYFUNCTION("""COMPUTED_VALUE"""),"DC6-PXSX2")</f>
        <v>DC6-PXSX2</v>
      </c>
      <c r="C732" s="7" t="str">
        <f>IFERROR(__xludf.DUMMYFUNCTION("""COMPUTED_VALUE"""),"Bộ phận Trạm than và Lò nung")</f>
        <v>Bộ phận Trạm than và Lò nung</v>
      </c>
      <c r="D732" s="7" t="str">
        <f>IFERROR(__xludf.DUMMYFUNCTION("""COMPUTED_VALUE"""),"Trạm than Ca B")</f>
        <v>Trạm than Ca B</v>
      </c>
      <c r="E732" s="7" t="str">
        <f>IFERROR(__xludf.DUMMYFUNCTION("""COMPUTED_VALUE"""),"VH lò mức 1")</f>
        <v>VH lò mức 1</v>
      </c>
      <c r="F732" s="7" t="str">
        <f>IFERROR(__xludf.DUMMYFUNCTION("""COMPUTED_VALUE"""),"NV1564")</f>
        <v>NV1564</v>
      </c>
      <c r="G732" s="7">
        <f>IFERROR(__xludf.DUMMYFUNCTION("""COMPUTED_VALUE"""),352.0)</f>
        <v>352</v>
      </c>
      <c r="H732" s="7" t="str">
        <f>IFERROR(__xludf.DUMMYFUNCTION("""COMPUTED_VALUE"""),"Hoàng Bùi Tuyên")</f>
        <v>Hoàng Bùi Tuyên</v>
      </c>
      <c r="I732" s="7" t="str">
        <f>IFERROR(__xludf.DUMMYFUNCTION("""COMPUTED_VALUE"""),"Nam")</f>
        <v>Nam</v>
      </c>
      <c r="J732" s="17">
        <f>IFERROR(__xludf.DUMMYFUNCTION("""COMPUTED_VALUE"""),29623.0)</f>
        <v>29623</v>
      </c>
      <c r="K732" s="7" t="str">
        <f>IFERROR(__xludf.DUMMYFUNCTION("""COMPUTED_VALUE"""),"Thôn Hồng 2 -  Xã Quảng Trạch -  Huyện Quảng Xương -  Thanh Hóa -  Việt Nam")</f>
        <v>Thôn Hồng 2 -  Xã Quảng Trạch -  Huyện Quảng Xương -  Thanh Hóa -  Việt Nam</v>
      </c>
      <c r="L732" s="7" t="str">
        <f>IFERROR(__xludf.DUMMYFUNCTION("""COMPUTED_VALUE"""),"0945139829")</f>
        <v>0945139829</v>
      </c>
      <c r="M732" s="7" t="str">
        <f>IFERROR(__xludf.DUMMYFUNCTION("""COMPUTED_VALUE"""),"038081023409")</f>
        <v>038081023409</v>
      </c>
      <c r="N732" s="19">
        <f>IFERROR(__xludf.DUMMYFUNCTION("""COMPUTED_VALUE"""),44420.0)</f>
        <v>44420</v>
      </c>
      <c r="O732" s="7" t="str">
        <f>IFERROR(__xludf.DUMMYFUNCTION("""COMPUTED_VALUE"""),"Cục Cảnh sát QLHC về TTXH")</f>
        <v>Cục Cảnh sát QLHC về TTXH</v>
      </c>
      <c r="P732" s="7" t="str">
        <f>IFERROR(__xludf.DUMMYFUNCTION("""COMPUTED_VALUE"""),"Bằng nghề")</f>
        <v>Bằng nghề</v>
      </c>
      <c r="Q732" s="7" t="str">
        <f>IFERROR(__xludf.DUMMYFUNCTION("""COMPUTED_VALUE"""),"Sửa chữa điện xí nghiệp")</f>
        <v>Sửa chữa điện xí nghiệp</v>
      </c>
      <c r="R732" s="17">
        <f>IFERROR(__xludf.DUMMYFUNCTION("""COMPUTED_VALUE"""),43306.0)</f>
        <v>43306</v>
      </c>
      <c r="S732" s="17">
        <f>IFERROR(__xludf.DUMMYFUNCTION("""COMPUTED_VALUE"""),43647.0)</f>
        <v>43647</v>
      </c>
      <c r="T732" s="7" t="str">
        <f>IFERROR(__xludf.DUMMYFUNCTION("""COMPUTED_VALUE"""),"Chính thức")</f>
        <v>Chính thức</v>
      </c>
      <c r="U732" s="7"/>
      <c r="V732" s="7" t="str">
        <f>IFERROR(__xludf.DUMMYFUNCTION("""COMPUTED_VALUE"""),"Chính thức")</f>
        <v>Chính thức</v>
      </c>
      <c r="W732" s="7" t="str">
        <f>IFERROR(__xludf.DUMMYFUNCTION("""COMPUTED_VALUE"""),"7 năm 5 tháng")</f>
        <v>7 năm 5 tháng</v>
      </c>
      <c r="X732" s="7"/>
      <c r="Y732" s="7"/>
      <c r="Z732" s="7"/>
    </row>
    <row r="733">
      <c r="A733" s="7">
        <f>IFERROR(__xludf.DUMMYFUNCTION("""COMPUTED_VALUE"""),6.0)</f>
        <v>6</v>
      </c>
      <c r="B733" s="7" t="str">
        <f>IFERROR(__xludf.DUMMYFUNCTION("""COMPUTED_VALUE"""),"DC6-PXSX2")</f>
        <v>DC6-PXSX2</v>
      </c>
      <c r="C733" s="7" t="str">
        <f>IFERROR(__xludf.DUMMYFUNCTION("""COMPUTED_VALUE"""),"Bộ phận Trạm than và Lò nung")</f>
        <v>Bộ phận Trạm than và Lò nung</v>
      </c>
      <c r="D733" s="7" t="str">
        <f>IFERROR(__xludf.DUMMYFUNCTION("""COMPUTED_VALUE"""),"Trạm than Ca B")</f>
        <v>Trạm than Ca B</v>
      </c>
      <c r="E733" s="7" t="str">
        <f>IFERROR(__xludf.DUMMYFUNCTION("""COMPUTED_VALUE"""),"VH Lò mức 2")</f>
        <v>VH Lò mức 2</v>
      </c>
      <c r="F733" s="7" t="str">
        <f>IFERROR(__xludf.DUMMYFUNCTION("""COMPUTED_VALUE"""),"NV5202")</f>
        <v>NV5202</v>
      </c>
      <c r="G733" s="7">
        <f>IFERROR(__xludf.DUMMYFUNCTION("""COMPUTED_VALUE"""),612.0)</f>
        <v>612</v>
      </c>
      <c r="H733" s="7" t="str">
        <f>IFERROR(__xludf.DUMMYFUNCTION("""COMPUTED_VALUE"""),"Vũ Văn Hanh")</f>
        <v>Vũ Văn Hanh</v>
      </c>
      <c r="I733" s="7" t="str">
        <f>IFERROR(__xludf.DUMMYFUNCTION("""COMPUTED_VALUE"""),"Nam")</f>
        <v>Nam</v>
      </c>
      <c r="J733" s="17">
        <f>IFERROR(__xludf.DUMMYFUNCTION("""COMPUTED_VALUE"""),26178.0)</f>
        <v>26178</v>
      </c>
      <c r="K733" s="7" t="str">
        <f>IFERROR(__xludf.DUMMYFUNCTION("""COMPUTED_VALUE"""),"Xã Quảng Trạch - Huyện Quảng Xương - Tỉnh Thanh Hóa")</f>
        <v>Xã Quảng Trạch - Huyện Quảng Xương - Tỉnh Thanh Hóa</v>
      </c>
      <c r="L733" s="7" t="str">
        <f>IFERROR(__xludf.DUMMYFUNCTION("""COMPUTED_VALUE"""),"0974860701")</f>
        <v>0974860701</v>
      </c>
      <c r="M733" s="7" t="str">
        <f>IFERROR(__xludf.DUMMYFUNCTION("""COMPUTED_VALUE"""),"038071026572")</f>
        <v>038071026572</v>
      </c>
      <c r="N733" s="19">
        <f>IFERROR(__xludf.DUMMYFUNCTION("""COMPUTED_VALUE"""),44375.0)</f>
        <v>44375</v>
      </c>
      <c r="O733" s="7" t="str">
        <f>IFERROR(__xludf.DUMMYFUNCTION("""COMPUTED_VALUE"""),"Cục Cảnh sát QLHC về TTXH")</f>
        <v>Cục Cảnh sát QLHC về TTXH</v>
      </c>
      <c r="P733" s="7" t="str">
        <f>IFERROR(__xludf.DUMMYFUNCTION("""COMPUTED_VALUE"""),"LĐPT")</f>
        <v>LĐPT</v>
      </c>
      <c r="Q733" s="7" t="str">
        <f>IFERROR(__xludf.DUMMYFUNCTION("""COMPUTED_VALUE"""),"Lao động phổ thông")</f>
        <v>Lao động phổ thông</v>
      </c>
      <c r="R733" s="17">
        <f>IFERROR(__xludf.DUMMYFUNCTION("""COMPUTED_VALUE"""),45804.0)</f>
        <v>45804</v>
      </c>
      <c r="S733" s="17">
        <f>IFERROR(__xludf.DUMMYFUNCTION("""COMPUTED_VALUE"""),45804.0)</f>
        <v>45804</v>
      </c>
      <c r="T733" s="7" t="str">
        <f>IFERROR(__xludf.DUMMYFUNCTION("""COMPUTED_VALUE"""),"Chính thức")</f>
        <v>Chính thức</v>
      </c>
      <c r="U733" s="7"/>
      <c r="V733" s="7" t="str">
        <f>IFERROR(__xludf.DUMMYFUNCTION("""COMPUTED_VALUE"""),"Chính thức")</f>
        <v>Chính thức</v>
      </c>
      <c r="W733" s="7" t="str">
        <f>IFERROR(__xludf.DUMMYFUNCTION("""COMPUTED_VALUE"""),"0 năm 7 tháng")</f>
        <v>0 năm 7 tháng</v>
      </c>
      <c r="X733" s="7"/>
      <c r="Y733" s="7"/>
      <c r="Z733" s="7"/>
    </row>
    <row r="734">
      <c r="A734" s="7">
        <f>IFERROR(__xludf.DUMMYFUNCTION("""COMPUTED_VALUE"""),1.0)</f>
        <v>1</v>
      </c>
      <c r="B734" s="7" t="str">
        <f>IFERROR(__xludf.DUMMYFUNCTION("""COMPUTED_VALUE"""),"PXSX2")</f>
        <v>PXSX2</v>
      </c>
      <c r="C734" s="7" t="str">
        <f>IFERROR(__xludf.DUMMYFUNCTION("""COMPUTED_VALUE"""),"Phòng Kỹ thuật")</f>
        <v>Phòng Kỹ thuật</v>
      </c>
      <c r="D734" s="7" t="str">
        <f>IFERROR(__xludf.DUMMYFUNCTION("""COMPUTED_VALUE"""),"Quản lý - Kỹ thuật")</f>
        <v>Quản lý - Kỹ thuật</v>
      </c>
      <c r="E734" s="7" t="str">
        <f>IFERROR(__xludf.DUMMYFUNCTION("""COMPUTED_VALUE"""),"Phó phòng Kỹ thuật")</f>
        <v>Phó phòng Kỹ thuật</v>
      </c>
      <c r="F734" s="7" t="str">
        <f>IFERROR(__xludf.DUMMYFUNCTION("""COMPUTED_VALUE"""),"NV0775")</f>
        <v>NV0775</v>
      </c>
      <c r="G734" s="7">
        <f>IFERROR(__xludf.DUMMYFUNCTION("""COMPUTED_VALUE"""),629.0)</f>
        <v>629</v>
      </c>
      <c r="H734" s="7" t="str">
        <f>IFERROR(__xludf.DUMMYFUNCTION("""COMPUTED_VALUE"""),"Nguyễn Văn Toàn")</f>
        <v>Nguyễn Văn Toàn</v>
      </c>
      <c r="I734" s="7" t="str">
        <f>IFERROR(__xludf.DUMMYFUNCTION("""COMPUTED_VALUE"""),"Nam")</f>
        <v>Nam</v>
      </c>
      <c r="J734" s="17">
        <f>IFERROR(__xludf.DUMMYFUNCTION("""COMPUTED_VALUE"""),30966.0)</f>
        <v>30966</v>
      </c>
      <c r="K734" s="7" t="str">
        <f>IFERROR(__xludf.DUMMYFUNCTION("""COMPUTED_VALUE"""),"Khu Phố Thống nhất 4 - Phường Nam Sầm Sơn - Tỉnh Thanh Hóa")</f>
        <v>Khu Phố Thống nhất 4 - Phường Nam Sầm Sơn - Tỉnh Thanh Hóa</v>
      </c>
      <c r="L734" s="7" t="str">
        <f>IFERROR(__xludf.DUMMYFUNCTION("""COMPUTED_VALUE"""),"0978268874")</f>
        <v>0978268874</v>
      </c>
      <c r="M734" s="7" t="str">
        <f>IFERROR(__xludf.DUMMYFUNCTION("""COMPUTED_VALUE"""),"038084029006")</f>
        <v>038084029006</v>
      </c>
      <c r="N734" s="19">
        <f>IFERROR(__xludf.DUMMYFUNCTION("""COMPUTED_VALUE"""),44320.0)</f>
        <v>44320</v>
      </c>
      <c r="O734" s="7" t="str">
        <f>IFERROR(__xludf.DUMMYFUNCTION("""COMPUTED_VALUE"""),"Cục Cảnh sát QLHC về TTXH")</f>
        <v>Cục Cảnh sát QLHC về TTXH</v>
      </c>
      <c r="P734" s="7" t="str">
        <f>IFERROR(__xludf.DUMMYFUNCTION("""COMPUTED_VALUE"""),"Đại học")</f>
        <v>Đại học</v>
      </c>
      <c r="Q734" s="7" t="str">
        <f>IFERROR(__xludf.DUMMYFUNCTION("""COMPUTED_VALUE"""),"Công nghệ kỹ thuật điện -  điện tử")</f>
        <v>Công nghệ kỹ thuật điện -  điện tử</v>
      </c>
      <c r="R734" s="17">
        <f>IFERROR(__xludf.DUMMYFUNCTION("""COMPUTED_VALUE"""),41713.0)</f>
        <v>41713</v>
      </c>
      <c r="S734" s="17">
        <f>IFERROR(__xludf.DUMMYFUNCTION("""COMPUTED_VALUE"""),41713.0)</f>
        <v>41713</v>
      </c>
      <c r="T734" s="7" t="str">
        <f>IFERROR(__xludf.DUMMYFUNCTION("""COMPUTED_VALUE"""),"Chính thức")</f>
        <v>Chính thức</v>
      </c>
      <c r="U734" s="7"/>
      <c r="V734" s="7" t="str">
        <f>IFERROR(__xludf.DUMMYFUNCTION("""COMPUTED_VALUE"""),"Chính thức")</f>
        <v>Chính thức</v>
      </c>
      <c r="W734" s="7" t="str">
        <f>IFERROR(__xludf.DUMMYFUNCTION("""COMPUTED_VALUE"""),"11 năm 9 tháng")</f>
        <v>11 năm 9 tháng</v>
      </c>
      <c r="X734" s="7"/>
      <c r="Y734" s="7"/>
      <c r="Z734" s="7"/>
    </row>
    <row r="735">
      <c r="A735" s="7">
        <f>IFERROR(__xludf.DUMMYFUNCTION("""COMPUTED_VALUE"""),2.0)</f>
        <v>2</v>
      </c>
      <c r="B735" s="7" t="str">
        <f>IFERROR(__xludf.DUMMYFUNCTION("""COMPUTED_VALUE"""),"PXSX2")</f>
        <v>PXSX2</v>
      </c>
      <c r="C735" s="7" t="str">
        <f>IFERROR(__xludf.DUMMYFUNCTION("""COMPUTED_VALUE"""),"Phòng Kỹ thuật")</f>
        <v>Phòng Kỹ thuật</v>
      </c>
      <c r="D735" s="7" t="str">
        <f>IFERROR(__xludf.DUMMYFUNCTION("""COMPUTED_VALUE"""),"Quản lý - Kỹ thuật")</f>
        <v>Quản lý - Kỹ thuật</v>
      </c>
      <c r="E735" s="7" t="str">
        <f>IFERROR(__xludf.DUMMYFUNCTION("""COMPUTED_VALUE"""),"Phó phòng Kỹ thuật")</f>
        <v>Phó phòng Kỹ thuật</v>
      </c>
      <c r="F735" s="7" t="str">
        <f>IFERROR(__xludf.DUMMYFUNCTION("""COMPUTED_VALUE"""),"NV0087")</f>
        <v>NV0087</v>
      </c>
      <c r="G735" s="7">
        <f>IFERROR(__xludf.DUMMYFUNCTION("""COMPUTED_VALUE"""),241.0)</f>
        <v>241</v>
      </c>
      <c r="H735" s="7" t="str">
        <f>IFERROR(__xludf.DUMMYFUNCTION("""COMPUTED_VALUE"""),"Lê Xuân Long")</f>
        <v>Lê Xuân Long</v>
      </c>
      <c r="I735" s="7" t="str">
        <f>IFERROR(__xludf.DUMMYFUNCTION("""COMPUTED_VALUE"""),"Nam")</f>
        <v>Nam</v>
      </c>
      <c r="J735" s="17">
        <f>IFERROR(__xludf.DUMMYFUNCTION("""COMPUTED_VALUE"""),31573.0)</f>
        <v>31573</v>
      </c>
      <c r="K735" s="7" t="str">
        <f>IFERROR(__xludf.DUMMYFUNCTION("""COMPUTED_VALUE"""),"Phường Nguyệt Viên - Tỉnh Thanh Hóa")</f>
        <v>Phường Nguyệt Viên - Tỉnh Thanh Hóa</v>
      </c>
      <c r="L735" s="7" t="str">
        <f>IFERROR(__xludf.DUMMYFUNCTION("""COMPUTED_VALUE"""),"0917537893")</f>
        <v>0917537893</v>
      </c>
      <c r="M735" s="7" t="str">
        <f>IFERROR(__xludf.DUMMYFUNCTION("""COMPUTED_VALUE"""),"038086013674")</f>
        <v>038086013674</v>
      </c>
      <c r="N735" s="19">
        <f>IFERROR(__xludf.DUMMYFUNCTION("""COMPUTED_VALUE"""),43410.0)</f>
        <v>43410</v>
      </c>
      <c r="O735" s="7" t="str">
        <f>IFERROR(__xludf.DUMMYFUNCTION("""COMPUTED_VALUE"""),"Cục Cảnh sát QLHC về TTXH")</f>
        <v>Cục Cảnh sát QLHC về TTXH</v>
      </c>
      <c r="P735" s="7" t="str">
        <f>IFERROR(__xludf.DUMMYFUNCTION("""COMPUTED_VALUE"""),"Đại học")</f>
        <v>Đại học</v>
      </c>
      <c r="Q735" s="7" t="str">
        <f>IFERROR(__xludf.DUMMYFUNCTION("""COMPUTED_VALUE"""),"Cơ khí chuyền dùng")</f>
        <v>Cơ khí chuyền dùng</v>
      </c>
      <c r="R735" s="17">
        <f>IFERROR(__xludf.DUMMYFUNCTION("""COMPUTED_VALUE"""),41713.0)</f>
        <v>41713</v>
      </c>
      <c r="S735" s="17">
        <f>IFERROR(__xludf.DUMMYFUNCTION("""COMPUTED_VALUE"""),41713.0)</f>
        <v>41713</v>
      </c>
      <c r="T735" s="7" t="str">
        <f>IFERROR(__xludf.DUMMYFUNCTION("""COMPUTED_VALUE"""),"Chính thức")</f>
        <v>Chính thức</v>
      </c>
      <c r="U735" s="7"/>
      <c r="V735" s="7" t="str">
        <f>IFERROR(__xludf.DUMMYFUNCTION("""COMPUTED_VALUE"""),"Chính thức")</f>
        <v>Chính thức</v>
      </c>
      <c r="W735" s="7" t="str">
        <f>IFERROR(__xludf.DUMMYFUNCTION("""COMPUTED_VALUE"""),"11 năm 9 tháng")</f>
        <v>11 năm 9 tháng</v>
      </c>
      <c r="X735" s="7"/>
      <c r="Y735" s="7"/>
      <c r="Z735" s="7"/>
    </row>
    <row r="736">
      <c r="A736" s="7">
        <f>IFERROR(__xludf.DUMMYFUNCTION("""COMPUTED_VALUE"""),3.0)</f>
        <v>3</v>
      </c>
      <c r="B736" s="7" t="str">
        <f>IFERROR(__xludf.DUMMYFUNCTION("""COMPUTED_VALUE"""),"PXSX2")</f>
        <v>PXSX2</v>
      </c>
      <c r="C736" s="7" t="str">
        <f>IFERROR(__xludf.DUMMYFUNCTION("""COMPUTED_VALUE"""),"Phòng Kỹ thuật")</f>
        <v>Phòng Kỹ thuật</v>
      </c>
      <c r="D736" s="7" t="str">
        <f>IFERROR(__xludf.DUMMYFUNCTION("""COMPUTED_VALUE"""),"Quản lý - Kỹ thuật")</f>
        <v>Quản lý - Kỹ thuật</v>
      </c>
      <c r="E736" s="7" t="str">
        <f>IFERROR(__xludf.DUMMYFUNCTION("""COMPUTED_VALUE"""),"CBKT")</f>
        <v>CBKT</v>
      </c>
      <c r="F736" s="7" t="str">
        <f>IFERROR(__xludf.DUMMYFUNCTION("""COMPUTED_VALUE"""),"NV0673")</f>
        <v>NV0673</v>
      </c>
      <c r="G736" s="7">
        <f>IFERROR(__xludf.DUMMYFUNCTION("""COMPUTED_VALUE"""),496.0)</f>
        <v>496</v>
      </c>
      <c r="H736" s="7" t="str">
        <f>IFERROR(__xludf.DUMMYFUNCTION("""COMPUTED_VALUE"""),"Nguyễn Văn Dũng")</f>
        <v>Nguyễn Văn Dũng</v>
      </c>
      <c r="I736" s="7" t="str">
        <f>IFERROR(__xludf.DUMMYFUNCTION("""COMPUTED_VALUE"""),"Nam")</f>
        <v>Nam</v>
      </c>
      <c r="J736" s="17">
        <f>IFERROR(__xludf.DUMMYFUNCTION("""COMPUTED_VALUE"""),32257.0)</f>
        <v>32257</v>
      </c>
      <c r="K736" s="7" t="str">
        <f>IFERROR(__xludf.DUMMYFUNCTION("""COMPUTED_VALUE"""),"Phường Quảng Phú - Tỉnh Thanh Hóa")</f>
        <v>Phường Quảng Phú - Tỉnh Thanh Hóa</v>
      </c>
      <c r="L736" s="7" t="str">
        <f>IFERROR(__xludf.DUMMYFUNCTION("""COMPUTED_VALUE"""),"0976582123")</f>
        <v>0976582123</v>
      </c>
      <c r="M736" s="7" t="str">
        <f>IFERROR(__xludf.DUMMYFUNCTION("""COMPUTED_VALUE"""),"038082038663")</f>
        <v>038082038663</v>
      </c>
      <c r="N736" s="19">
        <f>IFERROR(__xludf.DUMMYFUNCTION("""COMPUTED_VALUE"""),44419.0)</f>
        <v>44419</v>
      </c>
      <c r="O736" s="7" t="str">
        <f>IFERROR(__xludf.DUMMYFUNCTION("""COMPUTED_VALUE"""),"Cục Cảnh sát QLHC về TTXH")</f>
        <v>Cục Cảnh sát QLHC về TTXH</v>
      </c>
      <c r="P736" s="7" t="str">
        <f>IFERROR(__xludf.DUMMYFUNCTION("""COMPUTED_VALUE"""),"Kỹ sư")</f>
        <v>Kỹ sư</v>
      </c>
      <c r="Q736" s="7" t="str">
        <f>IFERROR(__xludf.DUMMYFUNCTION("""COMPUTED_VALUE"""),"Điện tử và tự động hóa")</f>
        <v>Điện tử và tự động hóa</v>
      </c>
      <c r="R736" s="17">
        <f>IFERROR(__xludf.DUMMYFUNCTION("""COMPUTED_VALUE"""),41774.0)</f>
        <v>41774</v>
      </c>
      <c r="S736" s="17">
        <f>IFERROR(__xludf.DUMMYFUNCTION("""COMPUTED_VALUE"""),41774.0)</f>
        <v>41774</v>
      </c>
      <c r="T736" s="7" t="str">
        <f>IFERROR(__xludf.DUMMYFUNCTION("""COMPUTED_VALUE"""),"Chính thức")</f>
        <v>Chính thức</v>
      </c>
      <c r="U736" s="7"/>
      <c r="V736" s="7" t="str">
        <f>IFERROR(__xludf.DUMMYFUNCTION("""COMPUTED_VALUE"""),"Chính thức")</f>
        <v>Chính thức</v>
      </c>
      <c r="W736" s="7" t="str">
        <f>IFERROR(__xludf.DUMMYFUNCTION("""COMPUTED_VALUE"""),"11 năm 7 tháng")</f>
        <v>11 năm 7 tháng</v>
      </c>
      <c r="X736" s="7"/>
      <c r="Y736" s="7"/>
      <c r="Z736" s="7"/>
    </row>
    <row r="737">
      <c r="A737" s="7">
        <f>IFERROR(__xludf.DUMMYFUNCTION("""COMPUTED_VALUE"""),4.0)</f>
        <v>4</v>
      </c>
      <c r="B737" s="7" t="str">
        <f>IFERROR(__xludf.DUMMYFUNCTION("""COMPUTED_VALUE"""),"PXSX2")</f>
        <v>PXSX2</v>
      </c>
      <c r="C737" s="7" t="str">
        <f>IFERROR(__xludf.DUMMYFUNCTION("""COMPUTED_VALUE"""),"Phòng Kỹ thuật")</f>
        <v>Phòng Kỹ thuật</v>
      </c>
      <c r="D737" s="7" t="str">
        <f>IFERROR(__xludf.DUMMYFUNCTION("""COMPUTED_VALUE"""),"Quản lý - Kỹ thuật")</f>
        <v>Quản lý - Kỹ thuật</v>
      </c>
      <c r="E737" s="7" t="str">
        <f>IFERROR(__xludf.DUMMYFUNCTION("""COMPUTED_VALUE"""),"CBKT")</f>
        <v>CBKT</v>
      </c>
      <c r="F737" s="7" t="str">
        <f>IFERROR(__xludf.DUMMYFUNCTION("""COMPUTED_VALUE"""),"NV1148")</f>
        <v>NV1148</v>
      </c>
      <c r="G737" s="7">
        <f>IFERROR(__xludf.DUMMYFUNCTION("""COMPUTED_VALUE"""),500.0)</f>
        <v>500</v>
      </c>
      <c r="H737" s="7" t="str">
        <f>IFERROR(__xludf.DUMMYFUNCTION("""COMPUTED_VALUE"""),"Phạm Văn Hưng")</f>
        <v>Phạm Văn Hưng</v>
      </c>
      <c r="I737" s="7" t="str">
        <f>IFERROR(__xludf.DUMMYFUNCTION("""COMPUTED_VALUE"""),"Nam")</f>
        <v>Nam</v>
      </c>
      <c r="J737" s="17">
        <f>IFERROR(__xludf.DUMMYFUNCTION("""COMPUTED_VALUE"""),35016.0)</f>
        <v>35016</v>
      </c>
      <c r="K737" s="7" t="str">
        <f>IFERROR(__xludf.DUMMYFUNCTION("""COMPUTED_VALUE"""),"Phố Lễ Môn - Phường Hạc Thành - Tỉnh Thanh Hóa")</f>
        <v>Phố Lễ Môn - Phường Hạc Thành - Tỉnh Thanh Hóa</v>
      </c>
      <c r="L737" s="7" t="str">
        <f>IFERROR(__xludf.DUMMYFUNCTION("""COMPUTED_VALUE"""),"0394702995")</f>
        <v>0394702995</v>
      </c>
      <c r="M737" s="7" t="str">
        <f>IFERROR(__xludf.DUMMYFUNCTION("""COMPUTED_VALUE"""),"038095017287")</f>
        <v>038095017287</v>
      </c>
      <c r="N737" s="19">
        <f>IFERROR(__xludf.DUMMYFUNCTION("""COMPUTED_VALUE"""),44316.0)</f>
        <v>44316</v>
      </c>
      <c r="O737" s="7" t="str">
        <f>IFERROR(__xludf.DUMMYFUNCTION("""COMPUTED_VALUE"""),"Cục Cảnh sát QLHC về TTXH")</f>
        <v>Cục Cảnh sát QLHC về TTXH</v>
      </c>
      <c r="P737" s="7" t="str">
        <f>IFERROR(__xludf.DUMMYFUNCTION("""COMPUTED_VALUE"""),"Trung cấp, nghề")</f>
        <v>Trung cấp, nghề</v>
      </c>
      <c r="Q737" s="7" t="str">
        <f>IFERROR(__xludf.DUMMYFUNCTION("""COMPUTED_VALUE"""),"Điện công nghiệp")</f>
        <v>Điện công nghiệp</v>
      </c>
      <c r="R737" s="17">
        <f>IFERROR(__xludf.DUMMYFUNCTION("""COMPUTED_VALUE"""),43017.0)</f>
        <v>43017</v>
      </c>
      <c r="S737" s="17">
        <f>IFERROR(__xludf.DUMMYFUNCTION("""COMPUTED_VALUE"""),43017.0)</f>
        <v>43017</v>
      </c>
      <c r="T737" s="7" t="str">
        <f>IFERROR(__xludf.DUMMYFUNCTION("""COMPUTED_VALUE"""),"Chính thức")</f>
        <v>Chính thức</v>
      </c>
      <c r="U737" s="7"/>
      <c r="V737" s="7" t="str">
        <f>IFERROR(__xludf.DUMMYFUNCTION("""COMPUTED_VALUE"""),"Chính thức")</f>
        <v>Chính thức</v>
      </c>
      <c r="W737" s="7" t="str">
        <f>IFERROR(__xludf.DUMMYFUNCTION("""COMPUTED_VALUE"""),"8 năm 2 tháng")</f>
        <v>8 năm 2 tháng</v>
      </c>
      <c r="X737" s="7"/>
      <c r="Y737" s="7"/>
      <c r="Z737" s="7"/>
    </row>
    <row r="738">
      <c r="A738" s="7">
        <f>IFERROR(__xludf.DUMMYFUNCTION("""COMPUTED_VALUE"""),5.0)</f>
        <v>5</v>
      </c>
      <c r="B738" s="7" t="str">
        <f>IFERROR(__xludf.DUMMYFUNCTION("""COMPUTED_VALUE"""),"PXSX2")</f>
        <v>PXSX2</v>
      </c>
      <c r="C738" s="7" t="str">
        <f>IFERROR(__xludf.DUMMYFUNCTION("""COMPUTED_VALUE"""),"Phòng Kỹ thuật")</f>
        <v>Phòng Kỹ thuật</v>
      </c>
      <c r="D738" s="7" t="str">
        <f>IFERROR(__xludf.DUMMYFUNCTION("""COMPUTED_VALUE"""),"Quản lý - Kỹ thuật")</f>
        <v>Quản lý - Kỹ thuật</v>
      </c>
      <c r="E738" s="7" t="str">
        <f>IFERROR(__xludf.DUMMYFUNCTION("""COMPUTED_VALUE"""),"CBKT")</f>
        <v>CBKT</v>
      </c>
      <c r="F738" s="7" t="str">
        <f>IFERROR(__xludf.DUMMYFUNCTION("""COMPUTED_VALUE"""),"NV0320")</f>
        <v>NV0320</v>
      </c>
      <c r="G738" s="7">
        <f>IFERROR(__xludf.DUMMYFUNCTION("""COMPUTED_VALUE"""),495.0)</f>
        <v>495</v>
      </c>
      <c r="H738" s="7" t="str">
        <f>IFERROR(__xludf.DUMMYFUNCTION("""COMPUTED_VALUE"""),"Lê Như An")</f>
        <v>Lê Như An</v>
      </c>
      <c r="I738" s="7" t="str">
        <f>IFERROR(__xludf.DUMMYFUNCTION("""COMPUTED_VALUE"""),"Nam")</f>
        <v>Nam</v>
      </c>
      <c r="J738" s="17">
        <f>IFERROR(__xludf.DUMMYFUNCTION("""COMPUTED_VALUE"""),31649.0)</f>
        <v>31649</v>
      </c>
      <c r="K738" s="7" t="str">
        <f>IFERROR(__xludf.DUMMYFUNCTION("""COMPUTED_VALUE"""),"Vĩnh Trị 3 - Phường Nguyệt Viên - Tỉnh Thanh Hóa")</f>
        <v>Vĩnh Trị 3 - Phường Nguyệt Viên - Tỉnh Thanh Hóa</v>
      </c>
      <c r="L738" s="7" t="str">
        <f>IFERROR(__xludf.DUMMYFUNCTION("""COMPUTED_VALUE"""),"0979214110")</f>
        <v>0979214110</v>
      </c>
      <c r="M738" s="7" t="str">
        <f>IFERROR(__xludf.DUMMYFUNCTION("""COMPUTED_VALUE"""),"038086021521")</f>
        <v>038086021521</v>
      </c>
      <c r="N738" s="19">
        <f>IFERROR(__xludf.DUMMYFUNCTION("""COMPUTED_VALUE"""),44435.0)</f>
        <v>44435</v>
      </c>
      <c r="O738" s="7" t="str">
        <f>IFERROR(__xludf.DUMMYFUNCTION("""COMPUTED_VALUE"""),"Cục Cảnh sát QLHC về TTXH")</f>
        <v>Cục Cảnh sát QLHC về TTXH</v>
      </c>
      <c r="P738" s="7" t="str">
        <f>IFERROR(__xludf.DUMMYFUNCTION("""COMPUTED_VALUE"""),"Đại học")</f>
        <v>Đại học</v>
      </c>
      <c r="Q738" s="7" t="str">
        <f>IFERROR(__xludf.DUMMYFUNCTION("""COMPUTED_VALUE"""),"Công nghệ kỹ thuật điện -  điện tử")</f>
        <v>Công nghệ kỹ thuật điện -  điện tử</v>
      </c>
      <c r="R738" s="17">
        <f>IFERROR(__xludf.DUMMYFUNCTION("""COMPUTED_VALUE"""),41960.0)</f>
        <v>41960</v>
      </c>
      <c r="S738" s="17">
        <f>IFERROR(__xludf.DUMMYFUNCTION("""COMPUTED_VALUE"""),41960.0)</f>
        <v>41960</v>
      </c>
      <c r="T738" s="7" t="str">
        <f>IFERROR(__xludf.DUMMYFUNCTION("""COMPUTED_VALUE"""),"Chính thức")</f>
        <v>Chính thức</v>
      </c>
      <c r="U738" s="7"/>
      <c r="V738" s="7" t="str">
        <f>IFERROR(__xludf.DUMMYFUNCTION("""COMPUTED_VALUE"""),"Chính thức")</f>
        <v>Chính thức</v>
      </c>
      <c r="W738" s="7" t="str">
        <f>IFERROR(__xludf.DUMMYFUNCTION("""COMPUTED_VALUE"""),"11 năm 1 tháng")</f>
        <v>11 năm 1 tháng</v>
      </c>
      <c r="X738" s="7"/>
      <c r="Y738" s="7"/>
      <c r="Z738" s="7"/>
    </row>
    <row r="739">
      <c r="A739" s="7">
        <f>IFERROR(__xludf.DUMMYFUNCTION("""COMPUTED_VALUE"""),6.0)</f>
        <v>6</v>
      </c>
      <c r="B739" s="7" t="str">
        <f>IFERROR(__xludf.DUMMYFUNCTION("""COMPUTED_VALUE"""),"PXSX2")</f>
        <v>PXSX2</v>
      </c>
      <c r="C739" s="7" t="str">
        <f>IFERROR(__xludf.DUMMYFUNCTION("""COMPUTED_VALUE"""),"Phòng Kỹ thuật")</f>
        <v>Phòng Kỹ thuật</v>
      </c>
      <c r="D739" s="7" t="str">
        <f>IFERROR(__xludf.DUMMYFUNCTION("""COMPUTED_VALUE"""),"Quản lý - Kỹ thuật")</f>
        <v>Quản lý - Kỹ thuật</v>
      </c>
      <c r="E739" s="7" t="str">
        <f>IFERROR(__xludf.DUMMYFUNCTION("""COMPUTED_VALUE"""),"CBKT")</f>
        <v>CBKT</v>
      </c>
      <c r="F739" s="7" t="str">
        <f>IFERROR(__xludf.DUMMYFUNCTION("""COMPUTED_VALUE"""),"NV5034")</f>
        <v>NV5034</v>
      </c>
      <c r="G739" s="7">
        <f>IFERROR(__xludf.DUMMYFUNCTION("""COMPUTED_VALUE"""),541.0)</f>
        <v>541</v>
      </c>
      <c r="H739" s="7" t="str">
        <f>IFERROR(__xludf.DUMMYFUNCTION("""COMPUTED_VALUE"""),"Lê Trọng Khánh")</f>
        <v>Lê Trọng Khánh</v>
      </c>
      <c r="I739" s="7" t="str">
        <f>IFERROR(__xludf.DUMMYFUNCTION("""COMPUTED_VALUE"""),"Nam")</f>
        <v>Nam</v>
      </c>
      <c r="J739" s="17">
        <f>IFERROR(__xludf.DUMMYFUNCTION("""COMPUTED_VALUE"""),36818.0)</f>
        <v>36818</v>
      </c>
      <c r="K739" s="7" t="str">
        <f>IFERROR(__xludf.DUMMYFUNCTION("""COMPUTED_VALUE"""),"Xã Quảng Bình - Tỉnh Thanh Hóa")</f>
        <v>Xã Quảng Bình - Tỉnh Thanh Hóa</v>
      </c>
      <c r="L739" s="7" t="str">
        <f>IFERROR(__xludf.DUMMYFUNCTION("""COMPUTED_VALUE"""),"0338638615")</f>
        <v>0338638615</v>
      </c>
      <c r="M739" s="7" t="str">
        <f>IFERROR(__xludf.DUMMYFUNCTION("""COMPUTED_VALUE"""),"038200009867")</f>
        <v>038200009867</v>
      </c>
      <c r="N739" s="19">
        <f>IFERROR(__xludf.DUMMYFUNCTION("""COMPUTED_VALUE"""),44833.0)</f>
        <v>44833</v>
      </c>
      <c r="O739" s="7" t="str">
        <f>IFERROR(__xludf.DUMMYFUNCTION("""COMPUTED_VALUE"""),"Cục Cảnh sát QLHC về TTXH")</f>
        <v>Cục Cảnh sát QLHC về TTXH</v>
      </c>
      <c r="P739" s="7" t="str">
        <f>IFERROR(__xludf.DUMMYFUNCTION("""COMPUTED_VALUE"""),"Cao đẳng")</f>
        <v>Cao đẳng</v>
      </c>
      <c r="Q739" s="7" t="str">
        <f>IFERROR(__xludf.DUMMYFUNCTION("""COMPUTED_VALUE"""),"Công nghệ kỹ thuật cơ khí")</f>
        <v>Công nghệ kỹ thuật cơ khí</v>
      </c>
      <c r="R739" s="17">
        <f>IFERROR(__xludf.DUMMYFUNCTION("""COMPUTED_VALUE"""),45356.0)</f>
        <v>45356</v>
      </c>
      <c r="S739" s="17">
        <f>IFERROR(__xludf.DUMMYFUNCTION("""COMPUTED_VALUE"""),45444.0)</f>
        <v>45444</v>
      </c>
      <c r="T739" s="7" t="str">
        <f>IFERROR(__xludf.DUMMYFUNCTION("""COMPUTED_VALUE"""),"Chính thức")</f>
        <v>Chính thức</v>
      </c>
      <c r="U739" s="7"/>
      <c r="V739" s="7" t="str">
        <f>IFERROR(__xludf.DUMMYFUNCTION("""COMPUTED_VALUE"""),"Chính thức")</f>
        <v>Chính thức</v>
      </c>
      <c r="W739" s="7" t="str">
        <f>IFERROR(__xludf.DUMMYFUNCTION("""COMPUTED_VALUE"""),"1 năm 9 tháng")</f>
        <v>1 năm 9 tháng</v>
      </c>
      <c r="X739" s="7"/>
      <c r="Y739" s="7"/>
      <c r="Z739" s="7"/>
    </row>
    <row r="740">
      <c r="A740" s="7">
        <f>IFERROR(__xludf.DUMMYFUNCTION("""COMPUTED_VALUE"""),7.0)</f>
        <v>7</v>
      </c>
      <c r="B740" s="7" t="str">
        <f>IFERROR(__xludf.DUMMYFUNCTION("""COMPUTED_VALUE"""),"PXSX2")</f>
        <v>PXSX2</v>
      </c>
      <c r="C740" s="7" t="str">
        <f>IFERROR(__xludf.DUMMYFUNCTION("""COMPUTED_VALUE"""),"Phòng Kỹ thuật")</f>
        <v>Phòng Kỹ thuật</v>
      </c>
      <c r="D740" s="7" t="str">
        <f>IFERROR(__xludf.DUMMYFUNCTION("""COMPUTED_VALUE"""),"Quản lý - Kỹ thuật")</f>
        <v>Quản lý - Kỹ thuật</v>
      </c>
      <c r="E740" s="7" t="str">
        <f>IFERROR(__xludf.DUMMYFUNCTION("""COMPUTED_VALUE"""),"Phó phòng Kỹ thuật")</f>
        <v>Phó phòng Kỹ thuật</v>
      </c>
      <c r="F740" s="7" t="str">
        <f>IFERROR(__xludf.DUMMYFUNCTION("""COMPUTED_VALUE"""),"NV5433")</f>
        <v>NV5433</v>
      </c>
      <c r="G740" s="7">
        <f>IFERROR(__xludf.DUMMYFUNCTION("""COMPUTED_VALUE"""),890.0)</f>
        <v>890</v>
      </c>
      <c r="H740" s="7" t="str">
        <f>IFERROR(__xludf.DUMMYFUNCTION("""COMPUTED_VALUE"""),"Nguyễn Văn Tuấn")</f>
        <v>Nguyễn Văn Tuấn</v>
      </c>
      <c r="I740" s="7" t="str">
        <f>IFERROR(__xludf.DUMMYFUNCTION("""COMPUTED_VALUE"""),"Nam")</f>
        <v>Nam</v>
      </c>
      <c r="J740" s="17">
        <f>IFERROR(__xludf.DUMMYFUNCTION("""COMPUTED_VALUE"""),33696.0)</f>
        <v>33696</v>
      </c>
      <c r="K740" s="7" t="str">
        <f>IFERROR(__xludf.DUMMYFUNCTION("""COMPUTED_VALUE"""),"Xã Đồng Tiến - Tỉnh Thanh Hóa")</f>
        <v>Xã Đồng Tiến - Tỉnh Thanh Hóa</v>
      </c>
      <c r="L740" s="7" t="str">
        <f>IFERROR(__xludf.DUMMYFUNCTION("""COMPUTED_VALUE"""),"0914519789")</f>
        <v>0914519789</v>
      </c>
      <c r="M740" s="7" t="str">
        <f>IFERROR(__xludf.DUMMYFUNCTION("""COMPUTED_VALUE"""),"038092016596")</f>
        <v>038092016596</v>
      </c>
      <c r="N740" s="19">
        <f>IFERROR(__xludf.DUMMYFUNCTION("""COMPUTED_VALUE"""),44902.0)</f>
        <v>44902</v>
      </c>
      <c r="O740" s="7" t="str">
        <f>IFERROR(__xludf.DUMMYFUNCTION("""COMPUTED_VALUE"""),"Cục Cảnh sát QLHC về TTXH")</f>
        <v>Cục Cảnh sát QLHC về TTXH</v>
      </c>
      <c r="P740" s="7" t="str">
        <f>IFERROR(__xludf.DUMMYFUNCTION("""COMPUTED_VALUE"""),"Đại học")</f>
        <v>Đại học</v>
      </c>
      <c r="Q740" s="7" t="str">
        <f>IFERROR(__xludf.DUMMYFUNCTION("""COMPUTED_VALUE"""),"Kỹ sư Cơ khí chế tạo máy")</f>
        <v>Kỹ sư Cơ khí chế tạo máy</v>
      </c>
      <c r="R740" s="17">
        <f>IFERROR(__xludf.DUMMYFUNCTION("""COMPUTED_VALUE"""),45730.0)</f>
        <v>45730</v>
      </c>
      <c r="S740" s="17">
        <f>IFERROR(__xludf.DUMMYFUNCTION("""COMPUTED_VALUE"""),45863.0)</f>
        <v>45863</v>
      </c>
      <c r="T740" s="7" t="str">
        <f>IFERROR(__xludf.DUMMYFUNCTION("""COMPUTED_VALUE"""),"Chính thức")</f>
        <v>Chính thức</v>
      </c>
      <c r="U740" s="7"/>
      <c r="V740" s="7" t="str">
        <f>IFERROR(__xludf.DUMMYFUNCTION("""COMPUTED_VALUE"""),"Chính thức")</f>
        <v>Chính thức</v>
      </c>
      <c r="W740" s="7" t="str">
        <f>IFERROR(__xludf.DUMMYFUNCTION("""COMPUTED_VALUE"""),"0 năm 9 tháng")</f>
        <v>0 năm 9 tháng</v>
      </c>
      <c r="X740" s="7"/>
      <c r="Y740" s="7"/>
      <c r="Z740" s="7"/>
    </row>
    <row r="741">
      <c r="A741" s="7">
        <f>IFERROR(__xludf.DUMMYFUNCTION("""COMPUTED_VALUE"""),1.0)</f>
        <v>1</v>
      </c>
      <c r="B741" s="7" t="str">
        <f>IFERROR(__xludf.DUMMYFUNCTION("""COMPUTED_VALUE"""),"PXSX2")</f>
        <v>PXSX2</v>
      </c>
      <c r="C741" s="7" t="str">
        <f>IFERROR(__xludf.DUMMYFUNCTION("""COMPUTED_VALUE"""),"Phòng Kỹ thuật")</f>
        <v>Phòng Kỹ thuật</v>
      </c>
      <c r="D741" s="7" t="str">
        <f>IFERROR(__xludf.DUMMYFUNCTION("""COMPUTED_VALUE"""),"Bảo dưỡng Dây chuyền mài PXSX2")</f>
        <v>Bảo dưỡng Dây chuyền mài PXSX2</v>
      </c>
      <c r="E741" s="7" t="str">
        <f>IFERROR(__xludf.DUMMYFUNCTION("""COMPUTED_VALUE"""),"Tổ Phó bảo dưỡng mài")</f>
        <v>Tổ Phó bảo dưỡng mài</v>
      </c>
      <c r="F741" s="7" t="str">
        <f>IFERROR(__xludf.DUMMYFUNCTION("""COMPUTED_VALUE"""),"NV0458")</f>
        <v>NV0458</v>
      </c>
      <c r="G741" s="7">
        <f>IFERROR(__xludf.DUMMYFUNCTION("""COMPUTED_VALUE"""),583.0)</f>
        <v>583</v>
      </c>
      <c r="H741" s="7" t="str">
        <f>IFERROR(__xludf.DUMMYFUNCTION("""COMPUTED_VALUE"""),"Nguyễn Trung Phương")</f>
        <v>Nguyễn Trung Phương</v>
      </c>
      <c r="I741" s="7" t="str">
        <f>IFERROR(__xludf.DUMMYFUNCTION("""COMPUTED_VALUE"""),"Nam")</f>
        <v>Nam</v>
      </c>
      <c r="J741" s="17">
        <f>IFERROR(__xludf.DUMMYFUNCTION("""COMPUTED_VALUE"""),30004.0)</f>
        <v>30004</v>
      </c>
      <c r="K741" s="7" t="str">
        <f>IFERROR(__xludf.DUMMYFUNCTION("""COMPUTED_VALUE"""),"Tân Khánh - Xã Hoằng Giang - Tỉnh Thanh Hóa")</f>
        <v>Tân Khánh - Xã Hoằng Giang - Tỉnh Thanh Hóa</v>
      </c>
      <c r="L741" s="7" t="str">
        <f>IFERROR(__xludf.DUMMYFUNCTION("""COMPUTED_VALUE"""),"0377876197")</f>
        <v>0377876197</v>
      </c>
      <c r="M741" s="7" t="str">
        <f>IFERROR(__xludf.DUMMYFUNCTION("""COMPUTED_VALUE"""),"038082012127")</f>
        <v>038082012127</v>
      </c>
      <c r="N741" s="19">
        <f>IFERROR(__xludf.DUMMYFUNCTION("""COMPUTED_VALUE"""),44428.0)</f>
        <v>44428</v>
      </c>
      <c r="O741" s="7" t="str">
        <f>IFERROR(__xludf.DUMMYFUNCTION("""COMPUTED_VALUE"""),"Cục Cảnh sát QLHC về TTXH")</f>
        <v>Cục Cảnh sát QLHC về TTXH</v>
      </c>
      <c r="P741" s="7" t="str">
        <f>IFERROR(__xludf.DUMMYFUNCTION("""COMPUTED_VALUE"""),"Trung cấp")</f>
        <v>Trung cấp</v>
      </c>
      <c r="Q741" s="7" t="str">
        <f>IFERROR(__xludf.DUMMYFUNCTION("""COMPUTED_VALUE"""),"Thợ điện")</f>
        <v>Thợ điện</v>
      </c>
      <c r="R741" s="17">
        <f>IFERROR(__xludf.DUMMYFUNCTION("""COMPUTED_VALUE"""),39107.0)</f>
        <v>39107</v>
      </c>
      <c r="S741" s="7"/>
      <c r="T741" s="7" t="str">
        <f>IFERROR(__xludf.DUMMYFUNCTION("""COMPUTED_VALUE"""),"Chính thức")</f>
        <v>Chính thức</v>
      </c>
      <c r="U741" s="7"/>
      <c r="V741" s="7" t="str">
        <f>IFERROR(__xludf.DUMMYFUNCTION("""COMPUTED_VALUE"""),"Chính thức")</f>
        <v>Chính thức</v>
      </c>
      <c r="W741" s="7" t="str">
        <f>IFERROR(__xludf.DUMMYFUNCTION("""COMPUTED_VALUE"""),"18 năm 11 tháng")</f>
        <v>18 năm 11 tháng</v>
      </c>
      <c r="X741" s="7"/>
      <c r="Y741" s="7"/>
      <c r="Z741" s="7"/>
    </row>
    <row r="742">
      <c r="A742" s="7">
        <f>IFERROR(__xludf.DUMMYFUNCTION("""COMPUTED_VALUE"""),2.0)</f>
        <v>2</v>
      </c>
      <c r="B742" s="7" t="str">
        <f>IFERROR(__xludf.DUMMYFUNCTION("""COMPUTED_VALUE"""),"PXSX2")</f>
        <v>PXSX2</v>
      </c>
      <c r="C742" s="7" t="str">
        <f>IFERROR(__xludf.DUMMYFUNCTION("""COMPUTED_VALUE"""),"Phòng Kỹ thuật")</f>
        <v>Phòng Kỹ thuật</v>
      </c>
      <c r="D742" s="7" t="str">
        <f>IFERROR(__xludf.DUMMYFUNCTION("""COMPUTED_VALUE"""),"Bảo dưỡng Dây chuyền mài PXSX2")</f>
        <v>Bảo dưỡng Dây chuyền mài PXSX2</v>
      </c>
      <c r="E742" s="7" t="str">
        <f>IFERROR(__xludf.DUMMYFUNCTION("""COMPUTED_VALUE"""),"Bảo dưỡng mài cạnh mức 1")</f>
        <v>Bảo dưỡng mài cạnh mức 1</v>
      </c>
      <c r="F742" s="7" t="str">
        <f>IFERROR(__xludf.DUMMYFUNCTION("""COMPUTED_VALUE"""),"NV4190")</f>
        <v>NV4190</v>
      </c>
      <c r="G742" s="7">
        <f>IFERROR(__xludf.DUMMYFUNCTION("""COMPUTED_VALUE"""),594.0)</f>
        <v>594</v>
      </c>
      <c r="H742" s="7" t="str">
        <f>IFERROR(__xludf.DUMMYFUNCTION("""COMPUTED_VALUE"""),"Trần Minh Thế")</f>
        <v>Trần Minh Thế</v>
      </c>
      <c r="I742" s="7" t="str">
        <f>IFERROR(__xludf.DUMMYFUNCTION("""COMPUTED_VALUE"""),"Nam")</f>
        <v>Nam</v>
      </c>
      <c r="J742" s="17">
        <f>IFERROR(__xludf.DUMMYFUNCTION("""COMPUTED_VALUE"""),28479.0)</f>
        <v>28479</v>
      </c>
      <c r="K742" s="7" t="str">
        <f>IFERROR(__xludf.DUMMYFUNCTION("""COMPUTED_VALUE"""),"Xã Nông Cống - Tỉnh Thanh Hóa")</f>
        <v>Xã Nông Cống - Tỉnh Thanh Hóa</v>
      </c>
      <c r="L742" s="7" t="str">
        <f>IFERROR(__xludf.DUMMYFUNCTION("""COMPUTED_VALUE"""),"0865788586")</f>
        <v>0865788586</v>
      </c>
      <c r="M742" s="7" t="str">
        <f>IFERROR(__xludf.DUMMYFUNCTION("""COMPUTED_VALUE"""),"038077008630")</f>
        <v>038077008630</v>
      </c>
      <c r="N742" s="19">
        <f>IFERROR(__xludf.DUMMYFUNCTION("""COMPUTED_VALUE"""),44440.0)</f>
        <v>44440</v>
      </c>
      <c r="O742" s="7" t="str">
        <f>IFERROR(__xludf.DUMMYFUNCTION("""COMPUTED_VALUE"""),"Cục Cảnh sát QLHC về TTXH")</f>
        <v>Cục Cảnh sát QLHC về TTXH</v>
      </c>
      <c r="P742" s="7" t="str">
        <f>IFERROR(__xludf.DUMMYFUNCTION("""COMPUTED_VALUE"""),"Bằng nghề")</f>
        <v>Bằng nghề</v>
      </c>
      <c r="Q742" s="7" t="str">
        <f>IFERROR(__xludf.DUMMYFUNCTION("""COMPUTED_VALUE"""),"Vận hành điện nước")</f>
        <v>Vận hành điện nước</v>
      </c>
      <c r="R742" s="17">
        <f>IFERROR(__xludf.DUMMYFUNCTION("""COMPUTED_VALUE"""),45414.0)</f>
        <v>45414</v>
      </c>
      <c r="S742" s="17">
        <f>IFERROR(__xludf.DUMMYFUNCTION("""COMPUTED_VALUE"""),45505.0)</f>
        <v>45505</v>
      </c>
      <c r="T742" s="7" t="str">
        <f>IFERROR(__xludf.DUMMYFUNCTION("""COMPUTED_VALUE"""),"Chính thức")</f>
        <v>Chính thức</v>
      </c>
      <c r="U742" s="7"/>
      <c r="V742" s="7" t="str">
        <f>IFERROR(__xludf.DUMMYFUNCTION("""COMPUTED_VALUE"""),"Chính thức")</f>
        <v>Chính thức</v>
      </c>
      <c r="W742" s="7" t="str">
        <f>IFERROR(__xludf.DUMMYFUNCTION("""COMPUTED_VALUE"""),"1 năm 7 tháng")</f>
        <v>1 năm 7 tháng</v>
      </c>
      <c r="X742" s="7"/>
      <c r="Y742" s="7"/>
      <c r="Z742" s="7"/>
    </row>
    <row r="743">
      <c r="A743" s="7">
        <f>IFERROR(__xludf.DUMMYFUNCTION("""COMPUTED_VALUE"""),3.0)</f>
        <v>3</v>
      </c>
      <c r="B743" s="7" t="str">
        <f>IFERROR(__xludf.DUMMYFUNCTION("""COMPUTED_VALUE"""),"PXSX2")</f>
        <v>PXSX2</v>
      </c>
      <c r="C743" s="7" t="str">
        <f>IFERROR(__xludf.DUMMYFUNCTION("""COMPUTED_VALUE"""),"Phòng Kỹ thuật")</f>
        <v>Phòng Kỹ thuật</v>
      </c>
      <c r="D743" s="7" t="str">
        <f>IFERROR(__xludf.DUMMYFUNCTION("""COMPUTED_VALUE"""),"Bảo dưỡng Dây chuyền mài PXSX2")</f>
        <v>Bảo dưỡng Dây chuyền mài PXSX2</v>
      </c>
      <c r="E743" s="7" t="str">
        <f>IFERROR(__xludf.DUMMYFUNCTION("""COMPUTED_VALUE"""),"Bảo dưỡng mài cạnh")</f>
        <v>Bảo dưỡng mài cạnh</v>
      </c>
      <c r="F743" s="7" t="str">
        <f>IFERROR(__xludf.DUMMYFUNCTION("""COMPUTED_VALUE"""),"NV5131")</f>
        <v>NV5131</v>
      </c>
      <c r="G743" s="7">
        <f>IFERROR(__xludf.DUMMYFUNCTION("""COMPUTED_VALUE"""),580.0)</f>
        <v>580</v>
      </c>
      <c r="H743" s="7" t="str">
        <f>IFERROR(__xludf.DUMMYFUNCTION("""COMPUTED_VALUE"""),"Nguyễn Trọng Duân")</f>
        <v>Nguyễn Trọng Duân</v>
      </c>
      <c r="I743" s="7" t="str">
        <f>IFERROR(__xludf.DUMMYFUNCTION("""COMPUTED_VALUE"""),"Nam")</f>
        <v>Nam</v>
      </c>
      <c r="J743" s="17">
        <f>IFERROR(__xludf.DUMMYFUNCTION("""COMPUTED_VALUE"""),33284.0)</f>
        <v>33284</v>
      </c>
      <c r="K743" s="7" t="str">
        <f>IFERROR(__xludf.DUMMYFUNCTION("""COMPUTED_VALUE"""),"Phường Quảng Phú - Tỉnh Thanh Hóa")</f>
        <v>Phường Quảng Phú - Tỉnh Thanh Hóa</v>
      </c>
      <c r="L743" s="7" t="str">
        <f>IFERROR(__xludf.DUMMYFUNCTION("""COMPUTED_VALUE"""),"0366761948")</f>
        <v>0366761948</v>
      </c>
      <c r="M743" s="7" t="str">
        <f>IFERROR(__xludf.DUMMYFUNCTION("""COMPUTED_VALUE"""),"038091007488")</f>
        <v>038091007488</v>
      </c>
      <c r="N743" s="19">
        <f>IFERROR(__xludf.DUMMYFUNCTION("""COMPUTED_VALUE"""),44608.0)</f>
        <v>44608</v>
      </c>
      <c r="O743" s="7" t="str">
        <f>IFERROR(__xludf.DUMMYFUNCTION("""COMPUTED_VALUE"""),"Cục Cảnh sát QLHC về TTXH")</f>
        <v>Cục Cảnh sát QLHC về TTXH</v>
      </c>
      <c r="P743" s="7" t="str">
        <f>IFERROR(__xludf.DUMMYFUNCTION("""COMPUTED_VALUE"""),"Cao đẳng")</f>
        <v>Cao đẳng</v>
      </c>
      <c r="Q743" s="7" t="str">
        <f>IFERROR(__xludf.DUMMYFUNCTION("""COMPUTED_VALUE"""),"Công nghệ cơ khí ")</f>
        <v>Công nghệ cơ khí </v>
      </c>
      <c r="R743" s="17">
        <f>IFERROR(__xludf.DUMMYFUNCTION("""COMPUTED_VALUE"""),45393.0)</f>
        <v>45393</v>
      </c>
      <c r="S743" s="17">
        <f>IFERROR(__xludf.DUMMYFUNCTION("""COMPUTED_VALUE"""),45474.0)</f>
        <v>45474</v>
      </c>
      <c r="T743" s="7" t="str">
        <f>IFERROR(__xludf.DUMMYFUNCTION("""COMPUTED_VALUE"""),"Chính thức")</f>
        <v>Chính thức</v>
      </c>
      <c r="U743" s="7"/>
      <c r="V743" s="7" t="str">
        <f>IFERROR(__xludf.DUMMYFUNCTION("""COMPUTED_VALUE"""),"Chính thức")</f>
        <v>Chính thức</v>
      </c>
      <c r="W743" s="7" t="str">
        <f>IFERROR(__xludf.DUMMYFUNCTION("""COMPUTED_VALUE"""),"1 năm 8 tháng")</f>
        <v>1 năm 8 tháng</v>
      </c>
      <c r="X743" s="7"/>
      <c r="Y743" s="7"/>
      <c r="Z743" s="7"/>
    </row>
    <row r="744">
      <c r="A744" s="7">
        <f>IFERROR(__xludf.DUMMYFUNCTION("""COMPUTED_VALUE"""),4.0)</f>
        <v>4</v>
      </c>
      <c r="B744" s="7" t="str">
        <f>IFERROR(__xludf.DUMMYFUNCTION("""COMPUTED_VALUE"""),"PXSX2")</f>
        <v>PXSX2</v>
      </c>
      <c r="C744" s="7" t="str">
        <f>IFERROR(__xludf.DUMMYFUNCTION("""COMPUTED_VALUE"""),"Phòng Kỹ thuật")</f>
        <v>Phòng Kỹ thuật</v>
      </c>
      <c r="D744" s="7" t="str">
        <f>IFERROR(__xludf.DUMMYFUNCTION("""COMPUTED_VALUE"""),"Bảo dưỡng Dây chuyền mài PXSX2")</f>
        <v>Bảo dưỡng Dây chuyền mài PXSX2</v>
      </c>
      <c r="E744" s="7" t="str">
        <f>IFERROR(__xludf.DUMMYFUNCTION("""COMPUTED_VALUE"""),"Bảo dưỡng mài cạnh")</f>
        <v>Bảo dưỡng mài cạnh</v>
      </c>
      <c r="F744" s="7" t="str">
        <f>IFERROR(__xludf.DUMMYFUNCTION("""COMPUTED_VALUE"""),"NV3449")</f>
        <v>NV3449</v>
      </c>
      <c r="G744" s="7">
        <f>IFERROR(__xludf.DUMMYFUNCTION("""COMPUTED_VALUE"""),598.0)</f>
        <v>598</v>
      </c>
      <c r="H744" s="7" t="str">
        <f>IFERROR(__xludf.DUMMYFUNCTION("""COMPUTED_VALUE"""),"Trần Thanh Hải")</f>
        <v>Trần Thanh Hải</v>
      </c>
      <c r="I744" s="7" t="str">
        <f>IFERROR(__xludf.DUMMYFUNCTION("""COMPUTED_VALUE"""),"Nam")</f>
        <v>Nam</v>
      </c>
      <c r="J744" s="17">
        <f>IFERROR(__xludf.DUMMYFUNCTION("""COMPUTED_VALUE"""),29466.0)</f>
        <v>29466</v>
      </c>
      <c r="K744" s="7" t="str">
        <f>IFERROR(__xludf.DUMMYFUNCTION("""COMPUTED_VALUE"""),"Hoằng Châu -  hoằng Hóa  -  TH")</f>
        <v>Hoằng Châu -  hoằng Hóa  -  TH</v>
      </c>
      <c r="L744" s="7" t="str">
        <f>IFERROR(__xludf.DUMMYFUNCTION("""COMPUTED_VALUE"""),"0979702980")</f>
        <v>0979702980</v>
      </c>
      <c r="M744" s="7" t="str">
        <f>IFERROR(__xludf.DUMMYFUNCTION("""COMPUTED_VALUE"""),"038080036651")</f>
        <v>038080036651</v>
      </c>
      <c r="N744" s="19">
        <f>IFERROR(__xludf.DUMMYFUNCTION("""COMPUTED_VALUE"""),44420.0)</f>
        <v>44420</v>
      </c>
      <c r="O744" s="7" t="str">
        <f>IFERROR(__xludf.DUMMYFUNCTION("""COMPUTED_VALUE"""),"Cục Cảnh sát QLHC về TTXH")</f>
        <v>Cục Cảnh sát QLHC về TTXH</v>
      </c>
      <c r="P744" s="7" t="str">
        <f>IFERROR(__xludf.DUMMYFUNCTION("""COMPUTED_VALUE"""),"LĐPT")</f>
        <v>LĐPT</v>
      </c>
      <c r="Q744" s="7" t="str">
        <f>IFERROR(__xludf.DUMMYFUNCTION("""COMPUTED_VALUE"""),"Lao động phổ thông")</f>
        <v>Lao động phổ thông</v>
      </c>
      <c r="R744" s="17">
        <f>IFERROR(__xludf.DUMMYFUNCTION("""COMPUTED_VALUE"""),44251.0)</f>
        <v>44251</v>
      </c>
      <c r="S744" s="17">
        <f>IFERROR(__xludf.DUMMYFUNCTION("""COMPUTED_VALUE"""),44531.0)</f>
        <v>44531</v>
      </c>
      <c r="T744" s="7" t="str">
        <f>IFERROR(__xludf.DUMMYFUNCTION("""COMPUTED_VALUE"""),"Chính thức")</f>
        <v>Chính thức</v>
      </c>
      <c r="U744" s="7"/>
      <c r="V744" s="7" t="str">
        <f>IFERROR(__xludf.DUMMYFUNCTION("""COMPUTED_VALUE"""),"Chính thức")</f>
        <v>Chính thức</v>
      </c>
      <c r="W744" s="7" t="str">
        <f>IFERROR(__xludf.DUMMYFUNCTION("""COMPUTED_VALUE"""),"4 năm 10 tháng")</f>
        <v>4 năm 10 tháng</v>
      </c>
      <c r="X744" s="7"/>
      <c r="Y744" s="7"/>
      <c r="Z744" s="7"/>
    </row>
    <row r="745">
      <c r="A745" s="7">
        <f>IFERROR(__xludf.DUMMYFUNCTION("""COMPUTED_VALUE"""),5.0)</f>
        <v>5</v>
      </c>
      <c r="B745" s="7" t="str">
        <f>IFERROR(__xludf.DUMMYFUNCTION("""COMPUTED_VALUE"""),"PXSX2")</f>
        <v>PXSX2</v>
      </c>
      <c r="C745" s="7" t="str">
        <f>IFERROR(__xludf.DUMMYFUNCTION("""COMPUTED_VALUE"""),"Phòng Kỹ thuật")</f>
        <v>Phòng Kỹ thuật</v>
      </c>
      <c r="D745" s="7" t="str">
        <f>IFERROR(__xludf.DUMMYFUNCTION("""COMPUTED_VALUE"""),"Bảo dưỡng Dây chuyền mài PXSX2")</f>
        <v>Bảo dưỡng Dây chuyền mài PXSX2</v>
      </c>
      <c r="E745" s="7" t="str">
        <f>IFERROR(__xludf.DUMMYFUNCTION("""COMPUTED_VALUE"""),"Bảo dưỡng mài bóng mức 2")</f>
        <v>Bảo dưỡng mài bóng mức 2</v>
      </c>
      <c r="F745" s="7" t="str">
        <f>IFERROR(__xludf.DUMMYFUNCTION("""COMPUTED_VALUE"""),"NV3983")</f>
        <v>NV3983</v>
      </c>
      <c r="G745" s="7">
        <f>IFERROR(__xludf.DUMMYFUNCTION("""COMPUTED_VALUE"""),579.0)</f>
        <v>579</v>
      </c>
      <c r="H745" s="7" t="str">
        <f>IFERROR(__xludf.DUMMYFUNCTION("""COMPUTED_VALUE"""),"Trần Bá Toàn")</f>
        <v>Trần Bá Toàn</v>
      </c>
      <c r="I745" s="7" t="str">
        <f>IFERROR(__xludf.DUMMYFUNCTION("""COMPUTED_VALUE"""),"Nam")</f>
        <v>Nam</v>
      </c>
      <c r="J745" s="17">
        <f>IFERROR(__xludf.DUMMYFUNCTION("""COMPUTED_VALUE"""),36748.0)</f>
        <v>36748</v>
      </c>
      <c r="K745" s="7" t="str">
        <f>IFERROR(__xludf.DUMMYFUNCTION("""COMPUTED_VALUE"""),"Thôn Quan Nội 2 -  Xã Long Anh -  Thành phố Thanh Hóa - ")</f>
        <v>Thôn Quan Nội 2 -  Xã Long Anh -  Thành phố Thanh Hóa - </v>
      </c>
      <c r="L745" s="7" t="str">
        <f>IFERROR(__xludf.DUMMYFUNCTION("""COMPUTED_VALUE"""),"0357219836")</f>
        <v>0357219836</v>
      </c>
      <c r="M745" s="7" t="str">
        <f>IFERROR(__xludf.DUMMYFUNCTION("""COMPUTED_VALUE"""),"038200026490")</f>
        <v>038200026490</v>
      </c>
      <c r="N745" s="19">
        <f>IFERROR(__xludf.DUMMYFUNCTION("""COMPUTED_VALUE"""),44440.0)</f>
        <v>44440</v>
      </c>
      <c r="O745" s="7" t="str">
        <f>IFERROR(__xludf.DUMMYFUNCTION("""COMPUTED_VALUE"""),"Cục Cảnh sát QLHC về TTXH")</f>
        <v>Cục Cảnh sát QLHC về TTXH</v>
      </c>
      <c r="P745" s="7" t="str">
        <f>IFERROR(__xludf.DUMMYFUNCTION("""COMPUTED_VALUE"""),"Trung cấp")</f>
        <v>Trung cấp</v>
      </c>
      <c r="Q745" s="7" t="str">
        <f>IFERROR(__xludf.DUMMYFUNCTION("""COMPUTED_VALUE"""),"Kỹ thuật hàn cơ khí")</f>
        <v>Kỹ thuật hàn cơ khí</v>
      </c>
      <c r="R745" s="17">
        <f>IFERROR(__xludf.DUMMYFUNCTION("""COMPUTED_VALUE"""),44565.0)</f>
        <v>44565</v>
      </c>
      <c r="S745" s="17">
        <f>IFERROR(__xludf.DUMMYFUNCTION("""COMPUTED_VALUE"""),44835.0)</f>
        <v>44835</v>
      </c>
      <c r="T745" s="7" t="str">
        <f>IFERROR(__xludf.DUMMYFUNCTION("""COMPUTED_VALUE"""),"Chính thức")</f>
        <v>Chính thức</v>
      </c>
      <c r="U745" s="7"/>
      <c r="V745" s="7" t="str">
        <f>IFERROR(__xludf.DUMMYFUNCTION("""COMPUTED_VALUE"""),"Chính thức")</f>
        <v>Chính thức</v>
      </c>
      <c r="W745" s="7" t="str">
        <f>IFERROR(__xludf.DUMMYFUNCTION("""COMPUTED_VALUE"""),"3 năm 11 tháng")</f>
        <v>3 năm 11 tháng</v>
      </c>
      <c r="X745" s="7"/>
      <c r="Y745" s="7"/>
      <c r="Z745" s="7"/>
    </row>
    <row r="746">
      <c r="A746" s="7">
        <f>IFERROR(__xludf.DUMMYFUNCTION("""COMPUTED_VALUE"""),6.0)</f>
        <v>6</v>
      </c>
      <c r="B746" s="7" t="str">
        <f>IFERROR(__xludf.DUMMYFUNCTION("""COMPUTED_VALUE"""),"PXSX2")</f>
        <v>PXSX2</v>
      </c>
      <c r="C746" s="7" t="str">
        <f>IFERROR(__xludf.DUMMYFUNCTION("""COMPUTED_VALUE"""),"Phòng Kỹ thuật")</f>
        <v>Phòng Kỹ thuật</v>
      </c>
      <c r="D746" s="7" t="str">
        <f>IFERROR(__xludf.DUMMYFUNCTION("""COMPUTED_VALUE"""),"Bảo dưỡng Dây chuyền mài PXSX2")</f>
        <v>Bảo dưỡng Dây chuyền mài PXSX2</v>
      </c>
      <c r="E746" s="7"/>
      <c r="F746" s="7" t="str">
        <f>IFERROR(__xludf.DUMMYFUNCTION("""COMPUTED_VALUE"""),"NV5762")</f>
        <v>NV5762</v>
      </c>
      <c r="G746" s="7">
        <f>IFERROR(__xludf.DUMMYFUNCTION("""COMPUTED_VALUE"""),1243.0)</f>
        <v>1243</v>
      </c>
      <c r="H746" s="7" t="str">
        <f>IFERROR(__xludf.DUMMYFUNCTION("""COMPUTED_VALUE"""),"Hoàng Sĩ Miên")</f>
        <v>Hoàng Sĩ Miên</v>
      </c>
      <c r="I746" s="7" t="str">
        <f>IFERROR(__xludf.DUMMYFUNCTION("""COMPUTED_VALUE"""),"Nam")</f>
        <v>Nam</v>
      </c>
      <c r="J746" s="17">
        <f>IFERROR(__xludf.DUMMYFUNCTION("""COMPUTED_VALUE"""),33681.0)</f>
        <v>33681</v>
      </c>
      <c r="K746" s="7" t="str">
        <f>IFERROR(__xludf.DUMMYFUNCTION("""COMPUTED_VALUE"""),"Thôn Bộ Đầu  -  Xã Hậu Lộc - Tỉnh Thanh Hóa")</f>
        <v>Thôn Bộ Đầu  -  Xã Hậu Lộc - Tỉnh Thanh Hóa</v>
      </c>
      <c r="L746" s="7" t="str">
        <f>IFERROR(__xludf.DUMMYFUNCTION("""COMPUTED_VALUE"""),"0329368078")</f>
        <v>0329368078</v>
      </c>
      <c r="M746" s="7" t="str">
        <f>IFERROR(__xludf.DUMMYFUNCTION("""COMPUTED_VALUE"""),"038092022599")</f>
        <v>038092022599</v>
      </c>
      <c r="N746" s="19">
        <f>IFERROR(__xludf.DUMMYFUNCTION("""COMPUTED_VALUE"""),44309.0)</f>
        <v>44309</v>
      </c>
      <c r="O746" s="7" t="str">
        <f>IFERROR(__xludf.DUMMYFUNCTION("""COMPUTED_VALUE"""),"Cục Cảnh sát QLHC về TTXH")</f>
        <v>Cục Cảnh sát QLHC về TTXH</v>
      </c>
      <c r="P746" s="7" t="str">
        <f>IFERROR(__xludf.DUMMYFUNCTION("""COMPUTED_VALUE"""),"Cao đẳng")</f>
        <v>Cao đẳng</v>
      </c>
      <c r="Q746" s="7" t="str">
        <f>IFERROR(__xludf.DUMMYFUNCTION("""COMPUTED_VALUE"""),"Cao đẳng điện công nghiệp")</f>
        <v>Cao đẳng điện công nghiệp</v>
      </c>
      <c r="R746" s="17">
        <f>IFERROR(__xludf.DUMMYFUNCTION("""COMPUTED_VALUE"""),45945.0)</f>
        <v>45945</v>
      </c>
      <c r="S746" s="17">
        <f>IFERROR(__xludf.DUMMYFUNCTION("""COMPUTED_VALUE"""),45976.0)</f>
        <v>45976</v>
      </c>
      <c r="T746" s="7" t="str">
        <f>IFERROR(__xludf.DUMMYFUNCTION("""COMPUTED_VALUE"""),"Chính thức")</f>
        <v>Chính thức</v>
      </c>
      <c r="U746" s="7"/>
      <c r="V746" s="7" t="str">
        <f>IFERROR(__xludf.DUMMYFUNCTION("""COMPUTED_VALUE"""),"Chính thức")</f>
        <v>Chính thức</v>
      </c>
      <c r="W746" s="7" t="str">
        <f>IFERROR(__xludf.DUMMYFUNCTION("""COMPUTED_VALUE"""),"0 năm 2 tháng")</f>
        <v>0 năm 2 tháng</v>
      </c>
      <c r="X746" s="7"/>
      <c r="Y746" s="7"/>
      <c r="Z746" s="7"/>
    </row>
    <row r="747">
      <c r="A747" s="7">
        <f>IFERROR(__xludf.DUMMYFUNCTION("""COMPUTED_VALUE"""),1.0)</f>
        <v>1</v>
      </c>
      <c r="B747" s="7" t="str">
        <f>IFERROR(__xludf.DUMMYFUNCTION("""COMPUTED_VALUE"""),"DC5-PXSX2")</f>
        <v>DC5-PXSX2</v>
      </c>
      <c r="C747" s="7" t="str">
        <f>IFERROR(__xludf.DUMMYFUNCTION("""COMPUTED_VALUE"""),"Phòng Kỹ thuật")</f>
        <v>Phòng Kỹ thuật</v>
      </c>
      <c r="D747" s="7" t="str">
        <f>IFERROR(__xludf.DUMMYFUNCTION("""COMPUTED_VALUE"""),"Cơ điện hành chính - DC5")</f>
        <v>Cơ điện hành chính - DC5</v>
      </c>
      <c r="E747" s="7" t="str">
        <f>IFERROR(__xludf.DUMMYFUNCTION("""COMPUTED_VALUE"""),"Cơ điện hành chính")</f>
        <v>Cơ điện hành chính</v>
      </c>
      <c r="F747" s="7" t="str">
        <f>IFERROR(__xludf.DUMMYFUNCTION("""COMPUTED_VALUE"""),"NV0670")</f>
        <v>NV0670</v>
      </c>
      <c r="G747" s="7">
        <f>IFERROR(__xludf.DUMMYFUNCTION("""COMPUTED_VALUE"""),862.0)</f>
        <v>862</v>
      </c>
      <c r="H747" s="7" t="str">
        <f>IFERROR(__xludf.DUMMYFUNCTION("""COMPUTED_VALUE"""),"Lê Khắc Lương")</f>
        <v>Lê Khắc Lương</v>
      </c>
      <c r="I747" s="7" t="str">
        <f>IFERROR(__xludf.DUMMYFUNCTION("""COMPUTED_VALUE"""),"Nam")</f>
        <v>Nam</v>
      </c>
      <c r="J747" s="7"/>
      <c r="K747" s="7" t="str">
        <f>IFERROR(__xludf.DUMMYFUNCTION("""COMPUTED_VALUE"""),"Xã Hoằng Phú - Tỉnh Thanh Hóa")</f>
        <v>Xã Hoằng Phú - Tỉnh Thanh Hóa</v>
      </c>
      <c r="L747" s="7" t="str">
        <f>IFERROR(__xludf.DUMMYFUNCTION("""COMPUTED_VALUE"""),"0946951356")</f>
        <v>0946951356</v>
      </c>
      <c r="M747" s="7" t="str">
        <f>IFERROR(__xludf.DUMMYFUNCTION("""COMPUTED_VALUE"""),"038092026846")</f>
        <v>038092026846</v>
      </c>
      <c r="N747" s="19">
        <f>IFERROR(__xludf.DUMMYFUNCTION("""COMPUTED_VALUE"""),44428.0)</f>
        <v>44428</v>
      </c>
      <c r="O747" s="7" t="str">
        <f>IFERROR(__xludf.DUMMYFUNCTION("""COMPUTED_VALUE"""),"Cục Cảnh sát QLHC về TTXH")</f>
        <v>Cục Cảnh sát QLHC về TTXH</v>
      </c>
      <c r="P747" s="7" t="str">
        <f>IFERROR(__xludf.DUMMYFUNCTION("""COMPUTED_VALUE"""),"Cao đẳng")</f>
        <v>Cao đẳng</v>
      </c>
      <c r="Q747" s="7" t="str">
        <f>IFERROR(__xludf.DUMMYFUNCTION("""COMPUTED_VALUE"""),"Nghề hàn")</f>
        <v>Nghề hàn</v>
      </c>
      <c r="R747" s="17">
        <f>IFERROR(__xludf.DUMMYFUNCTION("""COMPUTED_VALUE"""),45715.0)</f>
        <v>45715</v>
      </c>
      <c r="S747" s="17">
        <f>IFERROR(__xludf.DUMMYFUNCTION("""COMPUTED_VALUE"""),45715.0)</f>
        <v>45715</v>
      </c>
      <c r="T747" s="7" t="str">
        <f>IFERROR(__xludf.DUMMYFUNCTION("""COMPUTED_VALUE"""),"Chính thức")</f>
        <v>Chính thức</v>
      </c>
      <c r="U747" s="7"/>
      <c r="V747" s="7" t="str">
        <f>IFERROR(__xludf.DUMMYFUNCTION("""COMPUTED_VALUE"""),"Chính thức")</f>
        <v>Chính thức</v>
      </c>
      <c r="W747" s="7" t="str">
        <f>IFERROR(__xludf.DUMMYFUNCTION("""COMPUTED_VALUE"""),"0 năm 10 tháng")</f>
        <v>0 năm 10 tháng</v>
      </c>
      <c r="X747" s="7"/>
      <c r="Y747" s="7"/>
      <c r="Z747" s="7"/>
    </row>
    <row r="748">
      <c r="A748" s="7">
        <f>IFERROR(__xludf.DUMMYFUNCTION("""COMPUTED_VALUE"""),2.0)</f>
        <v>2</v>
      </c>
      <c r="B748" s="7" t="str">
        <f>IFERROR(__xludf.DUMMYFUNCTION("""COMPUTED_VALUE"""),"DC5-PXSX2")</f>
        <v>DC5-PXSX2</v>
      </c>
      <c r="C748" s="7" t="str">
        <f>IFERROR(__xludf.DUMMYFUNCTION("""COMPUTED_VALUE"""),"Phòng Kỹ thuật")</f>
        <v>Phòng Kỹ thuật</v>
      </c>
      <c r="D748" s="7" t="str">
        <f>IFERROR(__xludf.DUMMYFUNCTION("""COMPUTED_VALUE"""),"Cơ điện hành chính - DC5")</f>
        <v>Cơ điện hành chính - DC5</v>
      </c>
      <c r="E748" s="7" t="str">
        <f>IFERROR(__xludf.DUMMYFUNCTION("""COMPUTED_VALUE"""),"Tổ phó cơ điện - kỹ thuật")</f>
        <v>Tổ phó cơ điện - kỹ thuật</v>
      </c>
      <c r="F748" s="7" t="str">
        <f>IFERROR(__xludf.DUMMYFUNCTION("""COMPUTED_VALUE"""),"NV0107")</f>
        <v>NV0107</v>
      </c>
      <c r="G748" s="7">
        <f>IFERROR(__xludf.DUMMYFUNCTION("""COMPUTED_VALUE"""),730.0)</f>
        <v>730</v>
      </c>
      <c r="H748" s="7" t="str">
        <f>IFERROR(__xludf.DUMMYFUNCTION("""COMPUTED_VALUE"""),"Lê Văn Đại")</f>
        <v>Lê Văn Đại</v>
      </c>
      <c r="I748" s="7" t="str">
        <f>IFERROR(__xludf.DUMMYFUNCTION("""COMPUTED_VALUE"""),"Nam")</f>
        <v>Nam</v>
      </c>
      <c r="J748" s="17">
        <f>IFERROR(__xludf.DUMMYFUNCTION("""COMPUTED_VALUE"""),27890.0)</f>
        <v>27890</v>
      </c>
      <c r="K748" s="7" t="str">
        <f>IFERROR(__xludf.DUMMYFUNCTION("""COMPUTED_VALUE"""),"Thôn Tự Đông -  Xã Hoằng Phú -  Tỉnh Thanh Hóa")</f>
        <v>Thôn Tự Đông -  Xã Hoằng Phú -  Tỉnh Thanh Hóa</v>
      </c>
      <c r="L748" s="7" t="str">
        <f>IFERROR(__xludf.DUMMYFUNCTION("""COMPUTED_VALUE"""),"0353078788")</f>
        <v>0353078788</v>
      </c>
      <c r="M748" s="7" t="str">
        <f>IFERROR(__xludf.DUMMYFUNCTION("""COMPUTED_VALUE"""),"038076008504")</f>
        <v>038076008504</v>
      </c>
      <c r="N748" s="19">
        <f>IFERROR(__xludf.DUMMYFUNCTION("""COMPUTED_VALUE"""),44420.0)</f>
        <v>44420</v>
      </c>
      <c r="O748" s="7" t="str">
        <f>IFERROR(__xludf.DUMMYFUNCTION("""COMPUTED_VALUE"""),"Cục Cảnh sát QLHC về TTXH")</f>
        <v>Cục Cảnh sát QLHC về TTXH</v>
      </c>
      <c r="P748" s="7" t="str">
        <f>IFERROR(__xludf.DUMMYFUNCTION("""COMPUTED_VALUE"""),"Trung cấp")</f>
        <v>Trung cấp</v>
      </c>
      <c r="Q748" s="7" t="str">
        <f>IFERROR(__xludf.DUMMYFUNCTION("""COMPUTED_VALUE"""),"Nghề hàn")</f>
        <v>Nghề hàn</v>
      </c>
      <c r="R748" s="17">
        <f>IFERROR(__xludf.DUMMYFUNCTION("""COMPUTED_VALUE"""),39890.0)</f>
        <v>39890</v>
      </c>
      <c r="S748" s="17">
        <f>IFERROR(__xludf.DUMMYFUNCTION("""COMPUTED_VALUE"""),39890.0)</f>
        <v>39890</v>
      </c>
      <c r="T748" s="7" t="str">
        <f>IFERROR(__xludf.DUMMYFUNCTION("""COMPUTED_VALUE"""),"Chính thức")</f>
        <v>Chính thức</v>
      </c>
      <c r="U748" s="7"/>
      <c r="V748" s="7" t="str">
        <f>IFERROR(__xludf.DUMMYFUNCTION("""COMPUTED_VALUE"""),"Chính thức")</f>
        <v>Chính thức</v>
      </c>
      <c r="W748" s="7" t="str">
        <f>IFERROR(__xludf.DUMMYFUNCTION("""COMPUTED_VALUE"""),"16 năm 9 tháng")</f>
        <v>16 năm 9 tháng</v>
      </c>
      <c r="X748" s="7"/>
      <c r="Y748" s="7"/>
      <c r="Z748" s="7"/>
    </row>
    <row r="749">
      <c r="A749" s="7">
        <f>IFERROR(__xludf.DUMMYFUNCTION("""COMPUTED_VALUE"""),3.0)</f>
        <v>3</v>
      </c>
      <c r="B749" s="7" t="str">
        <f>IFERROR(__xludf.DUMMYFUNCTION("""COMPUTED_VALUE"""),"DC5-PXSX2")</f>
        <v>DC5-PXSX2</v>
      </c>
      <c r="C749" s="7" t="str">
        <f>IFERROR(__xludf.DUMMYFUNCTION("""COMPUTED_VALUE"""),"Phòng Kỹ thuật")</f>
        <v>Phòng Kỹ thuật</v>
      </c>
      <c r="D749" s="7" t="str">
        <f>IFERROR(__xludf.DUMMYFUNCTION("""COMPUTED_VALUE"""),"Cơ điện hành chính - DC5")</f>
        <v>Cơ điện hành chính - DC5</v>
      </c>
      <c r="E749" s="7" t="str">
        <f>IFERROR(__xludf.DUMMYFUNCTION("""COMPUTED_VALUE"""),"Tổ phó cơ điện - kỹ thuật")</f>
        <v>Tổ phó cơ điện - kỹ thuật</v>
      </c>
      <c r="F749" s="7" t="str">
        <f>IFERROR(__xludf.DUMMYFUNCTION("""COMPUTED_VALUE"""),"NV1480")</f>
        <v>NV1480</v>
      </c>
      <c r="G749" s="7">
        <f>IFERROR(__xludf.DUMMYFUNCTION("""COMPUTED_VALUE"""),498.0)</f>
        <v>498</v>
      </c>
      <c r="H749" s="7" t="str">
        <f>IFERROR(__xludf.DUMMYFUNCTION("""COMPUTED_VALUE"""),"Doãn Quốc Mẹo")</f>
        <v>Doãn Quốc Mẹo</v>
      </c>
      <c r="I749" s="7" t="str">
        <f>IFERROR(__xludf.DUMMYFUNCTION("""COMPUTED_VALUE"""),"Nam")</f>
        <v>Nam</v>
      </c>
      <c r="J749" s="17">
        <f>IFERROR(__xludf.DUMMYFUNCTION("""COMPUTED_VALUE"""),26886.0)</f>
        <v>26886</v>
      </c>
      <c r="K749" s="7" t="str">
        <f>IFERROR(__xludf.DUMMYFUNCTION("""COMPUTED_VALUE"""),"Tân cộng - Phường Đông Sơn - Tỉnh Thanh Hóa")</f>
        <v>Tân cộng - Phường Đông Sơn - Tỉnh Thanh Hóa</v>
      </c>
      <c r="L749" s="7" t="str">
        <f>IFERROR(__xludf.DUMMYFUNCTION("""COMPUTED_VALUE"""),"0828849987")</f>
        <v>0828849987</v>
      </c>
      <c r="M749" s="7" t="str">
        <f>IFERROR(__xludf.DUMMYFUNCTION("""COMPUTED_VALUE"""),"038073027607")</f>
        <v>038073027607</v>
      </c>
      <c r="N749" s="19">
        <f>IFERROR(__xludf.DUMMYFUNCTION("""COMPUTED_VALUE"""),44422.0)</f>
        <v>44422</v>
      </c>
      <c r="O749" s="7" t="str">
        <f>IFERROR(__xludf.DUMMYFUNCTION("""COMPUTED_VALUE"""),"Cục Cảnh sát QLHC về TTXH")</f>
        <v>Cục Cảnh sát QLHC về TTXH</v>
      </c>
      <c r="P749" s="7" t="str">
        <f>IFERROR(__xludf.DUMMYFUNCTION("""COMPUTED_VALUE"""),"Trung học chuyên nghiệp")</f>
        <v>Trung học chuyên nghiệp</v>
      </c>
      <c r="Q749" s="7" t="str">
        <f>IFERROR(__xludf.DUMMYFUNCTION("""COMPUTED_VALUE"""),"Cơ khí")</f>
        <v>Cơ khí</v>
      </c>
      <c r="R749" s="17">
        <f>IFERROR(__xludf.DUMMYFUNCTION("""COMPUTED_VALUE"""),43272.0)</f>
        <v>43272</v>
      </c>
      <c r="S749" s="17">
        <f>IFERROR(__xludf.DUMMYFUNCTION("""COMPUTED_VALUE"""),43617.0)</f>
        <v>43617</v>
      </c>
      <c r="T749" s="7" t="str">
        <f>IFERROR(__xludf.DUMMYFUNCTION("""COMPUTED_VALUE"""),"Chính thức")</f>
        <v>Chính thức</v>
      </c>
      <c r="U749" s="7"/>
      <c r="V749" s="7" t="str">
        <f>IFERROR(__xludf.DUMMYFUNCTION("""COMPUTED_VALUE"""),"Chính thức")</f>
        <v>Chính thức</v>
      </c>
      <c r="W749" s="7" t="str">
        <f>IFERROR(__xludf.DUMMYFUNCTION("""COMPUTED_VALUE"""),"7 năm 6 tháng")</f>
        <v>7 năm 6 tháng</v>
      </c>
      <c r="X749" s="7"/>
      <c r="Y749" s="7"/>
      <c r="Z749" s="7"/>
    </row>
    <row r="750">
      <c r="A750" s="7">
        <f>IFERROR(__xludf.DUMMYFUNCTION("""COMPUTED_VALUE"""),4.0)</f>
        <v>4</v>
      </c>
      <c r="B750" s="7" t="str">
        <f>IFERROR(__xludf.DUMMYFUNCTION("""COMPUTED_VALUE"""),"DC5-PXSX2")</f>
        <v>DC5-PXSX2</v>
      </c>
      <c r="C750" s="7" t="str">
        <f>IFERROR(__xludf.DUMMYFUNCTION("""COMPUTED_VALUE"""),"Phòng Kỹ thuật")</f>
        <v>Phòng Kỹ thuật</v>
      </c>
      <c r="D750" s="7" t="str">
        <f>IFERROR(__xludf.DUMMYFUNCTION("""COMPUTED_VALUE"""),"Cơ điện hành chính - DC5")</f>
        <v>Cơ điện hành chính - DC5</v>
      </c>
      <c r="E750" s="7" t="str">
        <f>IFERROR(__xludf.DUMMYFUNCTION("""COMPUTED_VALUE"""),"NT Cơ điện hành chính")</f>
        <v>NT Cơ điện hành chính</v>
      </c>
      <c r="F750" s="7" t="str">
        <f>IFERROR(__xludf.DUMMYFUNCTION("""COMPUTED_VALUE"""),"NV4480")</f>
        <v>NV4480</v>
      </c>
      <c r="G750" s="7">
        <f>IFERROR(__xludf.DUMMYFUNCTION("""COMPUTED_VALUE"""),618.0)</f>
        <v>618</v>
      </c>
      <c r="H750" s="7" t="str">
        <f>IFERROR(__xludf.DUMMYFUNCTION("""COMPUTED_VALUE"""),"Nguyễn Văn Trường")</f>
        <v>Nguyễn Văn Trường</v>
      </c>
      <c r="I750" s="7" t="str">
        <f>IFERROR(__xludf.DUMMYFUNCTION("""COMPUTED_VALUE"""),"Nam")</f>
        <v>Nam</v>
      </c>
      <c r="J750" s="17">
        <f>IFERROR(__xludf.DUMMYFUNCTION("""COMPUTED_VALUE"""),31025.0)</f>
        <v>31025</v>
      </c>
      <c r="K750" s="7" t="str">
        <f>IFERROR(__xludf.DUMMYFUNCTION("""COMPUTED_VALUE"""),"13/12 Chương Dương - Phường Quảng Phú - Tỉnh Thanh Hóa")</f>
        <v>13/12 Chương Dương - Phường Quảng Phú - Tỉnh Thanh Hóa</v>
      </c>
      <c r="L750" s="7" t="str">
        <f>IFERROR(__xludf.DUMMYFUNCTION("""COMPUTED_VALUE"""),"0944413868")</f>
        <v>0944413868</v>
      </c>
      <c r="M750" s="7" t="str">
        <f>IFERROR(__xludf.DUMMYFUNCTION("""COMPUTED_VALUE"""),"038084007421")</f>
        <v>038084007421</v>
      </c>
      <c r="N750" s="19">
        <f>IFERROR(__xludf.DUMMYFUNCTION("""COMPUTED_VALUE"""),42845.0)</f>
        <v>42845</v>
      </c>
      <c r="O750" s="7" t="str">
        <f>IFERROR(__xludf.DUMMYFUNCTION("""COMPUTED_VALUE"""),"Cục Cảnh sát QLHC về TTXH")</f>
        <v>Cục Cảnh sát QLHC về TTXH</v>
      </c>
      <c r="P750" s="7" t="str">
        <f>IFERROR(__xludf.DUMMYFUNCTION("""COMPUTED_VALUE"""),"Cao đẳng")</f>
        <v>Cao đẳng</v>
      </c>
      <c r="Q750" s="7" t="str">
        <f>IFERROR(__xludf.DUMMYFUNCTION("""COMPUTED_VALUE"""),"Cơ khí")</f>
        <v>Cơ khí</v>
      </c>
      <c r="R750" s="17">
        <f>IFERROR(__xludf.DUMMYFUNCTION("""COMPUTED_VALUE"""),44827.0)</f>
        <v>44827</v>
      </c>
      <c r="S750" s="17">
        <f>IFERROR(__xludf.DUMMYFUNCTION("""COMPUTED_VALUE"""),45047.0)</f>
        <v>45047</v>
      </c>
      <c r="T750" s="7" t="str">
        <f>IFERROR(__xludf.DUMMYFUNCTION("""COMPUTED_VALUE"""),"Chính thức")</f>
        <v>Chính thức</v>
      </c>
      <c r="U750" s="7"/>
      <c r="V750" s="7" t="str">
        <f>IFERROR(__xludf.DUMMYFUNCTION("""COMPUTED_VALUE"""),"Chính thức")</f>
        <v>Chính thức</v>
      </c>
      <c r="W750" s="7" t="str">
        <f>IFERROR(__xludf.DUMMYFUNCTION("""COMPUTED_VALUE"""),"3 năm 3 tháng")</f>
        <v>3 năm 3 tháng</v>
      </c>
      <c r="X750" s="7"/>
      <c r="Y750" s="7"/>
      <c r="Z750" s="7"/>
    </row>
    <row r="751">
      <c r="A751" s="7">
        <f>IFERROR(__xludf.DUMMYFUNCTION("""COMPUTED_VALUE"""),5.0)</f>
        <v>5</v>
      </c>
      <c r="B751" s="7" t="str">
        <f>IFERROR(__xludf.DUMMYFUNCTION("""COMPUTED_VALUE"""),"DC5-PXSX2")</f>
        <v>DC5-PXSX2</v>
      </c>
      <c r="C751" s="7" t="str">
        <f>IFERROR(__xludf.DUMMYFUNCTION("""COMPUTED_VALUE"""),"Phòng Kỹ thuật")</f>
        <v>Phòng Kỹ thuật</v>
      </c>
      <c r="D751" s="7" t="str">
        <f>IFERROR(__xludf.DUMMYFUNCTION("""COMPUTED_VALUE"""),"Cơ điện hành chính - DC5")</f>
        <v>Cơ điện hành chính - DC5</v>
      </c>
      <c r="E751" s="7" t="str">
        <f>IFERROR(__xludf.DUMMYFUNCTION("""COMPUTED_VALUE"""),"Cơ điện hành chính")</f>
        <v>Cơ điện hành chính</v>
      </c>
      <c r="F751" s="7" t="str">
        <f>IFERROR(__xludf.DUMMYFUNCTION("""COMPUTED_VALUE"""),"NV0662")</f>
        <v>NV0662</v>
      </c>
      <c r="G751" s="7">
        <f>IFERROR(__xludf.DUMMYFUNCTION("""COMPUTED_VALUE"""),626.0)</f>
        <v>626</v>
      </c>
      <c r="H751" s="7" t="str">
        <f>IFERROR(__xludf.DUMMYFUNCTION("""COMPUTED_VALUE"""),"Hoàng Văn Thắng")</f>
        <v>Hoàng Văn Thắng</v>
      </c>
      <c r="I751" s="7" t="str">
        <f>IFERROR(__xludf.DUMMYFUNCTION("""COMPUTED_VALUE"""),"Nam")</f>
        <v>Nam</v>
      </c>
      <c r="J751" s="17">
        <f>IFERROR(__xludf.DUMMYFUNCTION("""COMPUTED_VALUE"""),30821.0)</f>
        <v>30821</v>
      </c>
      <c r="K751" s="7" t="str">
        <f>IFERROR(__xludf.DUMMYFUNCTION("""COMPUTED_VALUE"""),"Thôn 7 - Phường Quảng Phú - Tỉnh Thanh Hóa")</f>
        <v>Thôn 7 - Phường Quảng Phú - Tỉnh Thanh Hóa</v>
      </c>
      <c r="L751" s="7" t="str">
        <f>IFERROR(__xludf.DUMMYFUNCTION("""COMPUTED_VALUE"""),"0974203119")</f>
        <v>0974203119</v>
      </c>
      <c r="M751" s="7" t="str">
        <f>IFERROR(__xludf.DUMMYFUNCTION("""COMPUTED_VALUE"""),"038084016713")</f>
        <v>038084016713</v>
      </c>
      <c r="N751" s="19">
        <f>IFERROR(__xludf.DUMMYFUNCTION("""COMPUTED_VALUE"""),44419.0)</f>
        <v>44419</v>
      </c>
      <c r="O751" s="7" t="str">
        <f>IFERROR(__xludf.DUMMYFUNCTION("""COMPUTED_VALUE"""),"Cục Cảnh sát QLHC về TTXH")</f>
        <v>Cục Cảnh sát QLHC về TTXH</v>
      </c>
      <c r="P751" s="7" t="str">
        <f>IFERROR(__xludf.DUMMYFUNCTION("""COMPUTED_VALUE"""),"LĐPT")</f>
        <v>LĐPT</v>
      </c>
      <c r="Q751" s="7" t="str">
        <f>IFERROR(__xludf.DUMMYFUNCTION("""COMPUTED_VALUE"""),"Lao động phổ thông")</f>
        <v>Lao động phổ thông</v>
      </c>
      <c r="R751" s="17">
        <f>IFERROR(__xludf.DUMMYFUNCTION("""COMPUTED_VALUE"""),42110.0)</f>
        <v>42110</v>
      </c>
      <c r="S751" s="17">
        <f>IFERROR(__xludf.DUMMYFUNCTION("""COMPUTED_VALUE"""),42110.0)</f>
        <v>42110</v>
      </c>
      <c r="T751" s="7" t="str">
        <f>IFERROR(__xludf.DUMMYFUNCTION("""COMPUTED_VALUE"""),"Chính thức")</f>
        <v>Chính thức</v>
      </c>
      <c r="U751" s="7"/>
      <c r="V751" s="7" t="str">
        <f>IFERROR(__xludf.DUMMYFUNCTION("""COMPUTED_VALUE"""),"Chính thức")</f>
        <v>Chính thức</v>
      </c>
      <c r="W751" s="7" t="str">
        <f>IFERROR(__xludf.DUMMYFUNCTION("""COMPUTED_VALUE"""),"10 năm 8 tháng")</f>
        <v>10 năm 8 tháng</v>
      </c>
      <c r="X751" s="7"/>
      <c r="Y751" s="7"/>
      <c r="Z751" s="7"/>
    </row>
    <row r="752">
      <c r="A752" s="7">
        <f>IFERROR(__xludf.DUMMYFUNCTION("""COMPUTED_VALUE"""),6.0)</f>
        <v>6</v>
      </c>
      <c r="B752" s="7" t="str">
        <f>IFERROR(__xludf.DUMMYFUNCTION("""COMPUTED_VALUE"""),"DC5-PXSX2")</f>
        <v>DC5-PXSX2</v>
      </c>
      <c r="C752" s="7" t="str">
        <f>IFERROR(__xludf.DUMMYFUNCTION("""COMPUTED_VALUE"""),"Phòng Kỹ thuật")</f>
        <v>Phòng Kỹ thuật</v>
      </c>
      <c r="D752" s="7" t="str">
        <f>IFERROR(__xludf.DUMMYFUNCTION("""COMPUTED_VALUE"""),"Cơ điện hành chính - DC5")</f>
        <v>Cơ điện hành chính - DC5</v>
      </c>
      <c r="E752" s="7" t="str">
        <f>IFERROR(__xludf.DUMMYFUNCTION("""COMPUTED_VALUE"""),"Cơ điện")</f>
        <v>Cơ điện</v>
      </c>
      <c r="F752" s="7" t="str">
        <f>IFERROR(__xludf.DUMMYFUNCTION("""COMPUTED_VALUE"""),"NV5474")</f>
        <v>NV5474</v>
      </c>
      <c r="G752" s="7">
        <f>IFERROR(__xludf.DUMMYFUNCTION("""COMPUTED_VALUE"""),955.0)</f>
        <v>955</v>
      </c>
      <c r="H752" s="7" t="str">
        <f>IFERROR(__xludf.DUMMYFUNCTION("""COMPUTED_VALUE"""),"Lê Trung Nguyên")</f>
        <v>Lê Trung Nguyên</v>
      </c>
      <c r="I752" s="7" t="str">
        <f>IFERROR(__xludf.DUMMYFUNCTION("""COMPUTED_VALUE"""),"Nam")</f>
        <v>Nam</v>
      </c>
      <c r="J752" s="17">
        <f>IFERROR(__xludf.DUMMYFUNCTION("""COMPUTED_VALUE"""),38736.0)</f>
        <v>38736</v>
      </c>
      <c r="K752" s="7" t="str">
        <f>IFERROR(__xludf.DUMMYFUNCTION("""COMPUTED_VALUE"""),"Phường Đông Cương - TP Thanh Hóa- Tỉnh Thanh Hóa")</f>
        <v>Phường Đông Cương - TP Thanh Hóa- Tỉnh Thanh Hóa</v>
      </c>
      <c r="L752" s="7" t="str">
        <f>IFERROR(__xludf.DUMMYFUNCTION("""COMPUTED_VALUE"""),"0904769525")</f>
        <v>0904769525</v>
      </c>
      <c r="M752" s="7" t="str">
        <f>IFERROR(__xludf.DUMMYFUNCTION("""COMPUTED_VALUE"""),"075206000010")</f>
        <v>075206000010</v>
      </c>
      <c r="N752" s="19">
        <f>IFERROR(__xludf.DUMMYFUNCTION("""COMPUTED_VALUE"""),44419.0)</f>
        <v>44419</v>
      </c>
      <c r="O752" s="7" t="str">
        <f>IFERROR(__xludf.DUMMYFUNCTION("""COMPUTED_VALUE"""),"Cục Cảnh sát QLHC về TTXH")</f>
        <v>Cục Cảnh sát QLHC về TTXH</v>
      </c>
      <c r="P752" s="7" t="str">
        <f>IFERROR(__xludf.DUMMYFUNCTION("""COMPUTED_VALUE"""),"Cao đẳng")</f>
        <v>Cao đẳng</v>
      </c>
      <c r="Q752" s="7" t="str">
        <f>IFERROR(__xludf.DUMMYFUNCTION("""COMPUTED_VALUE"""),"Cao đẳng điện công nghiệp")</f>
        <v>Cao đẳng điện công nghiệp</v>
      </c>
      <c r="R752" s="17">
        <f>IFERROR(__xludf.DUMMYFUNCTION("""COMPUTED_VALUE"""),45803.0)</f>
        <v>45803</v>
      </c>
      <c r="S752" s="17">
        <f>IFERROR(__xludf.DUMMYFUNCTION("""COMPUTED_VALUE"""),45834.0)</f>
        <v>45834</v>
      </c>
      <c r="T752" s="7" t="str">
        <f>IFERROR(__xludf.DUMMYFUNCTION("""COMPUTED_VALUE"""),"Chính thức")</f>
        <v>Chính thức</v>
      </c>
      <c r="U752" s="7"/>
      <c r="V752" s="7" t="str">
        <f>IFERROR(__xludf.DUMMYFUNCTION("""COMPUTED_VALUE"""),"Chính thức")</f>
        <v>Chính thức</v>
      </c>
      <c r="W752" s="7" t="str">
        <f>IFERROR(__xludf.DUMMYFUNCTION("""COMPUTED_VALUE"""),"0 năm 7 tháng")</f>
        <v>0 năm 7 tháng</v>
      </c>
      <c r="X752" s="7"/>
      <c r="Y752" s="7"/>
      <c r="Z752" s="7"/>
    </row>
    <row r="753">
      <c r="A753" s="7">
        <f>IFERROR(__xludf.DUMMYFUNCTION("""COMPUTED_VALUE"""),7.0)</f>
        <v>7</v>
      </c>
      <c r="B753" s="7" t="str">
        <f>IFERROR(__xludf.DUMMYFUNCTION("""COMPUTED_VALUE"""),"DC5-PXSX2")</f>
        <v>DC5-PXSX2</v>
      </c>
      <c r="C753" s="7" t="str">
        <f>IFERROR(__xludf.DUMMYFUNCTION("""COMPUTED_VALUE"""),"Phòng Kỹ thuật")</f>
        <v>Phòng Kỹ thuật</v>
      </c>
      <c r="D753" s="7" t="str">
        <f>IFERROR(__xludf.DUMMYFUNCTION("""COMPUTED_VALUE"""),"Cơ điện hành chính - DC5")</f>
        <v>Cơ điện hành chính - DC5</v>
      </c>
      <c r="E753" s="7" t="str">
        <f>IFERROR(__xludf.DUMMYFUNCTION("""COMPUTED_VALUE"""),"Cơ điện")</f>
        <v>Cơ điện</v>
      </c>
      <c r="F753" s="7" t="str">
        <f>IFERROR(__xludf.DUMMYFUNCTION("""COMPUTED_VALUE"""),"NV5554")</f>
        <v>NV5554</v>
      </c>
      <c r="G753" s="7">
        <f>IFERROR(__xludf.DUMMYFUNCTION("""COMPUTED_VALUE"""),1038.0)</f>
        <v>1038</v>
      </c>
      <c r="H753" s="7" t="str">
        <f>IFERROR(__xludf.DUMMYFUNCTION("""COMPUTED_VALUE"""),"Lê Đình Quyền")</f>
        <v>Lê Đình Quyền</v>
      </c>
      <c r="I753" s="7" t="str">
        <f>IFERROR(__xludf.DUMMYFUNCTION("""COMPUTED_VALUE"""),"Nam")</f>
        <v>Nam</v>
      </c>
      <c r="J753" s="17">
        <f>IFERROR(__xludf.DUMMYFUNCTION("""COMPUTED_VALUE"""),38316.0)</f>
        <v>38316</v>
      </c>
      <c r="K753" s="7" t="str">
        <f>IFERROR(__xludf.DUMMYFUNCTION("""COMPUTED_VALUE"""),"Phường Ngọc Sơn - Tỉnh Thanh Hóa")</f>
        <v>Phường Ngọc Sơn - Tỉnh Thanh Hóa</v>
      </c>
      <c r="L753" s="7" t="str">
        <f>IFERROR(__xludf.DUMMYFUNCTION("""COMPUTED_VALUE"""),"0335034113")</f>
        <v>0335034113</v>
      </c>
      <c r="M753" s="7" t="str">
        <f>IFERROR(__xludf.DUMMYFUNCTION("""COMPUTED_VALUE"""),"014204000049")</f>
        <v>014204000049</v>
      </c>
      <c r="N753" s="19">
        <f>IFERROR(__xludf.DUMMYFUNCTION("""COMPUTED_VALUE"""),44460.0)</f>
        <v>44460</v>
      </c>
      <c r="O753" s="7" t="str">
        <f>IFERROR(__xludf.DUMMYFUNCTION("""COMPUTED_VALUE"""),"Cục Cảnh sát QLHC về TTXH")</f>
        <v>Cục Cảnh sát QLHC về TTXH</v>
      </c>
      <c r="P753" s="7" t="str">
        <f>IFERROR(__xludf.DUMMYFUNCTION("""COMPUTED_VALUE"""),"Cao đẳng")</f>
        <v>Cao đẳng</v>
      </c>
      <c r="Q753" s="7" t="str">
        <f>IFERROR(__xludf.DUMMYFUNCTION("""COMPUTED_VALUE"""),"Cao đẳng điện công nghiệp")</f>
        <v>Cao đẳng điện công nghiệp</v>
      </c>
      <c r="R753" s="17">
        <f>IFERROR(__xludf.DUMMYFUNCTION("""COMPUTED_VALUE"""),45828.0)</f>
        <v>45828</v>
      </c>
      <c r="S753" s="17">
        <f>IFERROR(__xludf.DUMMYFUNCTION("""COMPUTED_VALUE"""),45858.0)</f>
        <v>45858</v>
      </c>
      <c r="T753" s="7" t="str">
        <f>IFERROR(__xludf.DUMMYFUNCTION("""COMPUTED_VALUE"""),"Chính thức")</f>
        <v>Chính thức</v>
      </c>
      <c r="U753" s="7"/>
      <c r="V753" s="7" t="str">
        <f>IFERROR(__xludf.DUMMYFUNCTION("""COMPUTED_VALUE"""),"Chính thức")</f>
        <v>Chính thức</v>
      </c>
      <c r="W753" s="7" t="str">
        <f>IFERROR(__xludf.DUMMYFUNCTION("""COMPUTED_VALUE"""),"0 năm 6 tháng")</f>
        <v>0 năm 6 tháng</v>
      </c>
      <c r="X753" s="7"/>
      <c r="Y753" s="7"/>
      <c r="Z753" s="7"/>
    </row>
    <row r="754">
      <c r="A754" s="7">
        <f>IFERROR(__xludf.DUMMYFUNCTION("""COMPUTED_VALUE"""),8.0)</f>
        <v>8</v>
      </c>
      <c r="B754" s="7" t="str">
        <f>IFERROR(__xludf.DUMMYFUNCTION("""COMPUTED_VALUE"""),"DC5-PXSX2")</f>
        <v>DC5-PXSX2</v>
      </c>
      <c r="C754" s="7" t="str">
        <f>IFERROR(__xludf.DUMMYFUNCTION("""COMPUTED_VALUE"""),"Phòng Kỹ thuật")</f>
        <v>Phòng Kỹ thuật</v>
      </c>
      <c r="D754" s="7" t="str">
        <f>IFERROR(__xludf.DUMMYFUNCTION("""COMPUTED_VALUE"""),"Cơ điện hành chính - DC5")</f>
        <v>Cơ điện hành chính - DC5</v>
      </c>
      <c r="E754" s="7" t="str">
        <f>IFERROR(__xludf.DUMMYFUNCTION("""COMPUTED_VALUE"""),"Cơ điện")</f>
        <v>Cơ điện</v>
      </c>
      <c r="F754" s="7" t="str">
        <f>IFERROR(__xludf.DUMMYFUNCTION("""COMPUTED_VALUE"""),"NV5755")</f>
        <v>NV5755</v>
      </c>
      <c r="G754" s="7">
        <f>IFERROR(__xludf.DUMMYFUNCTION("""COMPUTED_VALUE"""),1234.0)</f>
        <v>1234</v>
      </c>
      <c r="H754" s="7" t="str">
        <f>IFERROR(__xludf.DUMMYFUNCTION("""COMPUTED_VALUE"""),"Đỗ Văn Dũng")</f>
        <v>Đỗ Văn Dũng</v>
      </c>
      <c r="I754" s="7" t="str">
        <f>IFERROR(__xludf.DUMMYFUNCTION("""COMPUTED_VALUE"""),"Nam")</f>
        <v>Nam</v>
      </c>
      <c r="J754" s="17">
        <f>IFERROR(__xludf.DUMMYFUNCTION("""COMPUTED_VALUE"""),35938.0)</f>
        <v>35938</v>
      </c>
      <c r="K754" s="7" t="str">
        <f>IFERROR(__xludf.DUMMYFUNCTION("""COMPUTED_VALUE"""),"Thôn 2 - Phường Đông Tiến - Tỉnh Thanh Hóa")</f>
        <v>Thôn 2 - Phường Đông Tiến - Tỉnh Thanh Hóa</v>
      </c>
      <c r="L754" s="7" t="str">
        <f>IFERROR(__xludf.DUMMYFUNCTION("""COMPUTED_VALUE"""),"0979852573")</f>
        <v>0979852573</v>
      </c>
      <c r="M754" s="7" t="str">
        <f>IFERROR(__xludf.DUMMYFUNCTION("""COMPUTED_VALUE"""),"038098022572")</f>
        <v>038098022572</v>
      </c>
      <c r="N754" s="19">
        <f>IFERROR(__xludf.DUMMYFUNCTION("""COMPUTED_VALUE"""),44419.0)</f>
        <v>44419</v>
      </c>
      <c r="O754" s="7" t="str">
        <f>IFERROR(__xludf.DUMMYFUNCTION("""COMPUTED_VALUE"""),"Cục Cảnh sát QLHC về TTXH")</f>
        <v>Cục Cảnh sát QLHC về TTXH</v>
      </c>
      <c r="P754" s="7" t="str">
        <f>IFERROR(__xludf.DUMMYFUNCTION("""COMPUTED_VALUE"""),"Kỹ sư")</f>
        <v>Kỹ sư</v>
      </c>
      <c r="Q754" s="7" t="str">
        <f>IFERROR(__xludf.DUMMYFUNCTION("""COMPUTED_VALUE"""),"Kỹ sư kỹ thuật điện - điện tử")</f>
        <v>Kỹ sư kỹ thuật điện - điện tử</v>
      </c>
      <c r="R754" s="17">
        <f>IFERROR(__xludf.DUMMYFUNCTION("""COMPUTED_VALUE"""),45938.0)</f>
        <v>45938</v>
      </c>
      <c r="S754" s="17">
        <f>IFERROR(__xludf.DUMMYFUNCTION("""COMPUTED_VALUE"""),45969.0)</f>
        <v>45969</v>
      </c>
      <c r="T754" s="7" t="str">
        <f>IFERROR(__xludf.DUMMYFUNCTION("""COMPUTED_VALUE"""),"Chính thức")</f>
        <v>Chính thức</v>
      </c>
      <c r="U754" s="7"/>
      <c r="V754" s="7" t="str">
        <f>IFERROR(__xludf.DUMMYFUNCTION("""COMPUTED_VALUE"""),"Chính thức")</f>
        <v>Chính thức</v>
      </c>
      <c r="W754" s="7" t="str">
        <f>IFERROR(__xludf.DUMMYFUNCTION("""COMPUTED_VALUE"""),"0 năm 2 tháng")</f>
        <v>0 năm 2 tháng</v>
      </c>
      <c r="X754" s="7"/>
      <c r="Y754" s="7"/>
      <c r="Z754" s="7"/>
    </row>
    <row r="755">
      <c r="A755" s="7">
        <f>IFERROR(__xludf.DUMMYFUNCTION("""COMPUTED_VALUE"""),1.0)</f>
        <v>1</v>
      </c>
      <c r="B755" s="7" t="str">
        <f>IFERROR(__xludf.DUMMYFUNCTION("""COMPUTED_VALUE"""),"DC5-PXSX2")</f>
        <v>DC5-PXSX2</v>
      </c>
      <c r="C755" s="7" t="str">
        <f>IFERROR(__xludf.DUMMYFUNCTION("""COMPUTED_VALUE"""),"Phòng Kỹ thuật")</f>
        <v>Phòng Kỹ thuật</v>
      </c>
      <c r="D755" s="7" t="str">
        <f>IFERROR(__xludf.DUMMYFUNCTION("""COMPUTED_VALUE"""),"Cơ điện Ca A - DC5")</f>
        <v>Cơ điện Ca A - DC5</v>
      </c>
      <c r="E755" s="7" t="str">
        <f>IFERROR(__xludf.DUMMYFUNCTION("""COMPUTED_VALUE"""),"NT cơ điện đi ca")</f>
        <v>NT cơ điện đi ca</v>
      </c>
      <c r="F755" s="7" t="str">
        <f>IFERROR(__xludf.DUMMYFUNCTION("""COMPUTED_VALUE"""),"NV0672")</f>
        <v>NV0672</v>
      </c>
      <c r="G755" s="7">
        <f>IFERROR(__xludf.DUMMYFUNCTION("""COMPUTED_VALUE"""),615.0)</f>
        <v>615</v>
      </c>
      <c r="H755" s="7" t="str">
        <f>IFERROR(__xludf.DUMMYFUNCTION("""COMPUTED_VALUE"""),"Nguyễn Thắng Thịnh")</f>
        <v>Nguyễn Thắng Thịnh</v>
      </c>
      <c r="I755" s="7" t="str">
        <f>IFERROR(__xludf.DUMMYFUNCTION("""COMPUTED_VALUE"""),"Nam")</f>
        <v>Nam</v>
      </c>
      <c r="J755" s="17">
        <f>IFERROR(__xludf.DUMMYFUNCTION("""COMPUTED_VALUE"""),32398.0)</f>
        <v>32398</v>
      </c>
      <c r="K755" s="7" t="str">
        <f>IFERROR(__xludf.DUMMYFUNCTION("""COMPUTED_VALUE"""),"Đặng Tiến Đông - Phường Hạc Thành - Tỉnh Thanh Hóa")</f>
        <v>Đặng Tiến Đông - Phường Hạc Thành - Tỉnh Thanh Hóa</v>
      </c>
      <c r="L755" s="7" t="str">
        <f>IFERROR(__xludf.DUMMYFUNCTION("""COMPUTED_VALUE"""),"0988977411")</f>
        <v>0988977411</v>
      </c>
      <c r="M755" s="7" t="str">
        <f>IFERROR(__xludf.DUMMYFUNCTION("""COMPUTED_VALUE"""),"038088017447")</f>
        <v>038088017447</v>
      </c>
      <c r="N755" s="19">
        <f>IFERROR(__xludf.DUMMYFUNCTION("""COMPUTED_VALUE"""),44748.0)</f>
        <v>44748</v>
      </c>
      <c r="O755" s="7" t="str">
        <f>IFERROR(__xludf.DUMMYFUNCTION("""COMPUTED_VALUE"""),"Cục Cảnh sát QLHC về TTXH")</f>
        <v>Cục Cảnh sát QLHC về TTXH</v>
      </c>
      <c r="P755" s="7" t="str">
        <f>IFERROR(__xludf.DUMMYFUNCTION("""COMPUTED_VALUE"""),"Công nhân kỹ thuật")</f>
        <v>Công nhân kỹ thuật</v>
      </c>
      <c r="Q755" s="7" t="str">
        <f>IFERROR(__xludf.DUMMYFUNCTION("""COMPUTED_VALUE"""),"Công nghệ điện")</f>
        <v>Công nghệ điện</v>
      </c>
      <c r="R755" s="17">
        <f>IFERROR(__xludf.DUMMYFUNCTION("""COMPUTED_VALUE"""),41701.0)</f>
        <v>41701</v>
      </c>
      <c r="S755" s="17">
        <f>IFERROR(__xludf.DUMMYFUNCTION("""COMPUTED_VALUE"""),41701.0)</f>
        <v>41701</v>
      </c>
      <c r="T755" s="7" t="str">
        <f>IFERROR(__xludf.DUMMYFUNCTION("""COMPUTED_VALUE"""),"Chính thức")</f>
        <v>Chính thức</v>
      </c>
      <c r="U755" s="7"/>
      <c r="V755" s="7" t="str">
        <f>IFERROR(__xludf.DUMMYFUNCTION("""COMPUTED_VALUE"""),"Chính thức")</f>
        <v>Chính thức</v>
      </c>
      <c r="W755" s="7" t="str">
        <f>IFERROR(__xludf.DUMMYFUNCTION("""COMPUTED_VALUE"""),"11 năm 9 tháng")</f>
        <v>11 năm 9 tháng</v>
      </c>
      <c r="X755" s="7"/>
      <c r="Y755" s="7"/>
      <c r="Z755" s="7"/>
    </row>
    <row r="756">
      <c r="A756" s="7">
        <f>IFERROR(__xludf.DUMMYFUNCTION("""COMPUTED_VALUE"""),2.0)</f>
        <v>2</v>
      </c>
      <c r="B756" s="7" t="str">
        <f>IFERROR(__xludf.DUMMYFUNCTION("""COMPUTED_VALUE"""),"DC5-PXSX2")</f>
        <v>DC5-PXSX2</v>
      </c>
      <c r="C756" s="7" t="str">
        <f>IFERROR(__xludf.DUMMYFUNCTION("""COMPUTED_VALUE"""),"Phòng Kỹ thuật")</f>
        <v>Phòng Kỹ thuật</v>
      </c>
      <c r="D756" s="7" t="str">
        <f>IFERROR(__xludf.DUMMYFUNCTION("""COMPUTED_VALUE"""),"Cơ điện Ca A - DC5")</f>
        <v>Cơ điện Ca A - DC5</v>
      </c>
      <c r="E756" s="7" t="str">
        <f>IFERROR(__xludf.DUMMYFUNCTION("""COMPUTED_VALUE"""),"Cơ điện đi ca")</f>
        <v>Cơ điện đi ca</v>
      </c>
      <c r="F756" s="7" t="str">
        <f>IFERROR(__xludf.DUMMYFUNCTION("""COMPUTED_VALUE"""),"NV2328")</f>
        <v>NV2328</v>
      </c>
      <c r="G756" s="7">
        <f>IFERROR(__xludf.DUMMYFUNCTION("""COMPUTED_VALUE"""),481.0)</f>
        <v>481</v>
      </c>
      <c r="H756" s="7" t="str">
        <f>IFERROR(__xludf.DUMMYFUNCTION("""COMPUTED_VALUE"""),"Trịnh Quang Ngọc")</f>
        <v>Trịnh Quang Ngọc</v>
      </c>
      <c r="I756" s="7" t="str">
        <f>IFERROR(__xludf.DUMMYFUNCTION("""COMPUTED_VALUE"""),"Nam")</f>
        <v>Nam</v>
      </c>
      <c r="J756" s="17">
        <f>IFERROR(__xludf.DUMMYFUNCTION("""COMPUTED_VALUE"""),26872.0)</f>
        <v>26872</v>
      </c>
      <c r="K756" s="7" t="str">
        <f>IFERROR(__xludf.DUMMYFUNCTION("""COMPUTED_VALUE"""),"30 Lý Tự Trọng - Phường Hạc Thành - Tỉnh Thanh Hóa")</f>
        <v>30 Lý Tự Trọng - Phường Hạc Thành - Tỉnh Thanh Hóa</v>
      </c>
      <c r="L756" s="7" t="str">
        <f>IFERROR(__xludf.DUMMYFUNCTION("""COMPUTED_VALUE"""),"0386692496")</f>
        <v>0386692496</v>
      </c>
      <c r="M756" s="7" t="str">
        <f>IFERROR(__xludf.DUMMYFUNCTION("""COMPUTED_VALUE"""),"038073020840")</f>
        <v>038073020840</v>
      </c>
      <c r="N756" s="19">
        <f>IFERROR(__xludf.DUMMYFUNCTION("""COMPUTED_VALUE"""),44326.0)</f>
        <v>44326</v>
      </c>
      <c r="O756" s="7" t="str">
        <f>IFERROR(__xludf.DUMMYFUNCTION("""COMPUTED_VALUE"""),"Cục Cảnh sát QLHC về TTXH")</f>
        <v>Cục Cảnh sát QLHC về TTXH</v>
      </c>
      <c r="P756" s="7" t="str">
        <f>IFERROR(__xludf.DUMMYFUNCTION("""COMPUTED_VALUE"""),"Sơ cấp nghề")</f>
        <v>Sơ cấp nghề</v>
      </c>
      <c r="Q756" s="7" t="str">
        <f>IFERROR(__xludf.DUMMYFUNCTION("""COMPUTED_VALUE"""),"Điện")</f>
        <v>Điện</v>
      </c>
      <c r="R756" s="17">
        <f>IFERROR(__xludf.DUMMYFUNCTION("""COMPUTED_VALUE"""),43577.0)</f>
        <v>43577</v>
      </c>
      <c r="S756" s="17">
        <f>IFERROR(__xludf.DUMMYFUNCTION("""COMPUTED_VALUE"""),43983.0)</f>
        <v>43983</v>
      </c>
      <c r="T756" s="7" t="str">
        <f>IFERROR(__xludf.DUMMYFUNCTION("""COMPUTED_VALUE"""),"Chính thức")</f>
        <v>Chính thức</v>
      </c>
      <c r="U756" s="7"/>
      <c r="V756" s="7" t="str">
        <f>IFERROR(__xludf.DUMMYFUNCTION("""COMPUTED_VALUE"""),"Chính thức")</f>
        <v>Chính thức</v>
      </c>
      <c r="W756" s="7" t="str">
        <f>IFERROR(__xludf.DUMMYFUNCTION("""COMPUTED_VALUE"""),"6 năm 8 tháng")</f>
        <v>6 năm 8 tháng</v>
      </c>
      <c r="X756" s="7"/>
      <c r="Y756" s="7"/>
      <c r="Z756" s="7"/>
    </row>
    <row r="757">
      <c r="A757" s="7">
        <f>IFERROR(__xludf.DUMMYFUNCTION("""COMPUTED_VALUE"""),3.0)</f>
        <v>3</v>
      </c>
      <c r="B757" s="7" t="str">
        <f>IFERROR(__xludf.DUMMYFUNCTION("""COMPUTED_VALUE"""),"DC5-PXSX2")</f>
        <v>DC5-PXSX2</v>
      </c>
      <c r="C757" s="7" t="str">
        <f>IFERROR(__xludf.DUMMYFUNCTION("""COMPUTED_VALUE"""),"Phòng Kỹ thuật")</f>
        <v>Phòng Kỹ thuật</v>
      </c>
      <c r="D757" s="7" t="str">
        <f>IFERROR(__xludf.DUMMYFUNCTION("""COMPUTED_VALUE"""),"Cơ điện Ca A - DC5")</f>
        <v>Cơ điện Ca A - DC5</v>
      </c>
      <c r="E757" s="7" t="str">
        <f>IFERROR(__xludf.DUMMYFUNCTION("""COMPUTED_VALUE"""),"Cơ điện đi ca")</f>
        <v>Cơ điện đi ca</v>
      </c>
      <c r="F757" s="7" t="str">
        <f>IFERROR(__xludf.DUMMYFUNCTION("""COMPUTED_VALUE"""),"NV5493")</f>
        <v>NV5493</v>
      </c>
      <c r="G757" s="7">
        <f>IFERROR(__xludf.DUMMYFUNCTION("""COMPUTED_VALUE"""),976.0)</f>
        <v>976</v>
      </c>
      <c r="H757" s="7" t="str">
        <f>IFERROR(__xludf.DUMMYFUNCTION("""COMPUTED_VALUE"""),"Mai Anh Đức")</f>
        <v>Mai Anh Đức</v>
      </c>
      <c r="I757" s="7" t="str">
        <f>IFERROR(__xludf.DUMMYFUNCTION("""COMPUTED_VALUE"""),"Nam")</f>
        <v>Nam</v>
      </c>
      <c r="J757" s="17">
        <f>IFERROR(__xludf.DUMMYFUNCTION("""COMPUTED_VALUE"""),38107.0)</f>
        <v>38107</v>
      </c>
      <c r="K757" s="7" t="str">
        <f>IFERROR(__xludf.DUMMYFUNCTION("""COMPUTED_VALUE"""),"Định Hải - Nghi Sơn - Thanh Hóa")</f>
        <v>Định Hải - Nghi Sơn - Thanh Hóa</v>
      </c>
      <c r="L757" s="7" t="str">
        <f>IFERROR(__xludf.DUMMYFUNCTION("""COMPUTED_VALUE"""),"0378160062")</f>
        <v>0378160062</v>
      </c>
      <c r="M757" s="7" t="str">
        <f>IFERROR(__xludf.DUMMYFUNCTION("""COMPUTED_VALUE"""),"038204027138")</f>
        <v>038204027138</v>
      </c>
      <c r="N757" s="19">
        <f>IFERROR(__xludf.DUMMYFUNCTION("""COMPUTED_VALUE"""),44419.0)</f>
        <v>44419</v>
      </c>
      <c r="O757" s="7" t="str">
        <f>IFERROR(__xludf.DUMMYFUNCTION("""COMPUTED_VALUE"""),"Cục Cảnh sát QLHC về TTXH")</f>
        <v>Cục Cảnh sát QLHC về TTXH</v>
      </c>
      <c r="P757" s="7" t="str">
        <f>IFERROR(__xludf.DUMMYFUNCTION("""COMPUTED_VALUE"""),"Cao đẳng")</f>
        <v>Cao đẳng</v>
      </c>
      <c r="Q757" s="7" t="str">
        <f>IFERROR(__xludf.DUMMYFUNCTION("""COMPUTED_VALUE"""),"Cao đẳng điện công nghiệp")</f>
        <v>Cao đẳng điện công nghiệp</v>
      </c>
      <c r="R757" s="17">
        <f>IFERROR(__xludf.DUMMYFUNCTION("""COMPUTED_VALUE"""),45807.0)</f>
        <v>45807</v>
      </c>
      <c r="S757" s="17">
        <f>IFERROR(__xludf.DUMMYFUNCTION("""COMPUTED_VALUE"""),45838.0)</f>
        <v>45838</v>
      </c>
      <c r="T757" s="7" t="str">
        <f>IFERROR(__xludf.DUMMYFUNCTION("""COMPUTED_VALUE"""),"Chính thức")</f>
        <v>Chính thức</v>
      </c>
      <c r="U757" s="7"/>
      <c r="V757" s="7" t="str">
        <f>IFERROR(__xludf.DUMMYFUNCTION("""COMPUTED_VALUE"""),"Chính thức")</f>
        <v>Chính thức</v>
      </c>
      <c r="W757" s="7" t="str">
        <f>IFERROR(__xludf.DUMMYFUNCTION("""COMPUTED_VALUE"""),"0 năm 7 tháng")</f>
        <v>0 năm 7 tháng</v>
      </c>
      <c r="X757" s="7"/>
      <c r="Y757" s="7"/>
      <c r="Z757" s="7"/>
    </row>
    <row r="758">
      <c r="A758" s="7">
        <f>IFERROR(__xludf.DUMMYFUNCTION("""COMPUTED_VALUE"""),1.0)</f>
        <v>1</v>
      </c>
      <c r="B758" s="7" t="str">
        <f>IFERROR(__xludf.DUMMYFUNCTION("""COMPUTED_VALUE"""),"DC5-PXSX2")</f>
        <v>DC5-PXSX2</v>
      </c>
      <c r="C758" s="7" t="str">
        <f>IFERROR(__xludf.DUMMYFUNCTION("""COMPUTED_VALUE"""),"Phòng Kỹ thuật")</f>
        <v>Phòng Kỹ thuật</v>
      </c>
      <c r="D758" s="7" t="str">
        <f>IFERROR(__xludf.DUMMYFUNCTION("""COMPUTED_VALUE"""),"Cơ điện Ca B - DC5")</f>
        <v>Cơ điện Ca B - DC5</v>
      </c>
      <c r="E758" s="7" t="str">
        <f>IFERROR(__xludf.DUMMYFUNCTION("""COMPUTED_VALUE"""),"Cơ điện đi ca")</f>
        <v>Cơ điện đi ca</v>
      </c>
      <c r="F758" s="7" t="str">
        <f>IFERROR(__xludf.DUMMYFUNCTION("""COMPUTED_VALUE"""),"NV0677")</f>
        <v>NV0677</v>
      </c>
      <c r="G758" s="7">
        <f>IFERROR(__xludf.DUMMYFUNCTION("""COMPUTED_VALUE"""),540.0)</f>
        <v>540</v>
      </c>
      <c r="H758" s="7" t="str">
        <f>IFERROR(__xludf.DUMMYFUNCTION("""COMPUTED_VALUE"""),"Trần Minh Công")</f>
        <v>Trần Minh Công</v>
      </c>
      <c r="I758" s="7" t="str">
        <f>IFERROR(__xludf.DUMMYFUNCTION("""COMPUTED_VALUE"""),"Nam")</f>
        <v>Nam</v>
      </c>
      <c r="J758" s="17">
        <f>IFERROR(__xludf.DUMMYFUNCTION("""COMPUTED_VALUE"""),31810.0)</f>
        <v>31810</v>
      </c>
      <c r="K758" s="7" t="str">
        <f>IFERROR(__xludf.DUMMYFUNCTION("""COMPUTED_VALUE"""),"Tân Thượng - Xã Lưu Vệ - Tỉnh Thanh Hóa")</f>
        <v>Tân Thượng - Xã Lưu Vệ - Tỉnh Thanh Hóa</v>
      </c>
      <c r="L758" s="7" t="str">
        <f>IFERROR(__xludf.DUMMYFUNCTION("""COMPUTED_VALUE"""),"0943314995")</f>
        <v>0943314995</v>
      </c>
      <c r="M758" s="7" t="str">
        <f>IFERROR(__xludf.DUMMYFUNCTION("""COMPUTED_VALUE"""),"038087023413")</f>
        <v>038087023413</v>
      </c>
      <c r="N758" s="19">
        <f>IFERROR(__xludf.DUMMYFUNCTION("""COMPUTED_VALUE"""),44270.0)</f>
        <v>44270</v>
      </c>
      <c r="O758" s="7" t="str">
        <f>IFERROR(__xludf.DUMMYFUNCTION("""COMPUTED_VALUE"""),"Cục Cảnh sát QLHC về TTXH")</f>
        <v>Cục Cảnh sát QLHC về TTXH</v>
      </c>
      <c r="P758" s="7" t="str">
        <f>IFERROR(__xludf.DUMMYFUNCTION("""COMPUTED_VALUE"""),"Trung cấp")</f>
        <v>Trung cấp</v>
      </c>
      <c r="Q758" s="7" t="str">
        <f>IFERROR(__xludf.DUMMYFUNCTION("""COMPUTED_VALUE"""),"Điện công nghiệp")</f>
        <v>Điện công nghiệp</v>
      </c>
      <c r="R758" s="17">
        <f>IFERROR(__xludf.DUMMYFUNCTION("""COMPUTED_VALUE"""),42424.0)</f>
        <v>42424</v>
      </c>
      <c r="S758" s="17">
        <f>IFERROR(__xludf.DUMMYFUNCTION("""COMPUTED_VALUE"""),42424.0)</f>
        <v>42424</v>
      </c>
      <c r="T758" s="7" t="str">
        <f>IFERROR(__xludf.DUMMYFUNCTION("""COMPUTED_VALUE"""),"Chính thức")</f>
        <v>Chính thức</v>
      </c>
      <c r="U758" s="7"/>
      <c r="V758" s="7" t="str">
        <f>IFERROR(__xludf.DUMMYFUNCTION("""COMPUTED_VALUE"""),"Chính thức")</f>
        <v>Chính thức</v>
      </c>
      <c r="W758" s="7" t="str">
        <f>IFERROR(__xludf.DUMMYFUNCTION("""COMPUTED_VALUE"""),"9 năm 10 tháng")</f>
        <v>9 năm 10 tháng</v>
      </c>
      <c r="X758" s="7"/>
      <c r="Y758" s="7"/>
      <c r="Z758" s="7"/>
    </row>
    <row r="759">
      <c r="A759" s="7">
        <f>IFERROR(__xludf.DUMMYFUNCTION("""COMPUTED_VALUE"""),2.0)</f>
        <v>2</v>
      </c>
      <c r="B759" s="7" t="str">
        <f>IFERROR(__xludf.DUMMYFUNCTION("""COMPUTED_VALUE"""),"DC5-PXSX2")</f>
        <v>DC5-PXSX2</v>
      </c>
      <c r="C759" s="7" t="str">
        <f>IFERROR(__xludf.DUMMYFUNCTION("""COMPUTED_VALUE"""),"Phòng Kỹ thuật")</f>
        <v>Phòng Kỹ thuật</v>
      </c>
      <c r="D759" s="7" t="str">
        <f>IFERROR(__xludf.DUMMYFUNCTION("""COMPUTED_VALUE"""),"Cơ điện Ca B - DC5")</f>
        <v>Cơ điện Ca B - DC5</v>
      </c>
      <c r="E759" s="7" t="str">
        <f>IFERROR(__xludf.DUMMYFUNCTION("""COMPUTED_VALUE"""),"Cơ điện đi ca")</f>
        <v>Cơ điện đi ca</v>
      </c>
      <c r="F759" s="7" t="str">
        <f>IFERROR(__xludf.DUMMYFUNCTION("""COMPUTED_VALUE"""),"NV0664")</f>
        <v>NV0664</v>
      </c>
      <c r="G759" s="7">
        <f>IFERROR(__xludf.DUMMYFUNCTION("""COMPUTED_VALUE"""),446.0)</f>
        <v>446</v>
      </c>
      <c r="H759" s="7" t="str">
        <f>IFERROR(__xludf.DUMMYFUNCTION("""COMPUTED_VALUE"""),"Lê Viết Lượng")</f>
        <v>Lê Viết Lượng</v>
      </c>
      <c r="I759" s="7" t="str">
        <f>IFERROR(__xludf.DUMMYFUNCTION("""COMPUTED_VALUE"""),"Nam")</f>
        <v>Nam</v>
      </c>
      <c r="J759" s="17">
        <f>IFERROR(__xludf.DUMMYFUNCTION("""COMPUTED_VALUE"""),29826.0)</f>
        <v>29826</v>
      </c>
      <c r="K759" s="7" t="str">
        <f>IFERROR(__xludf.DUMMYFUNCTION("""COMPUTED_VALUE"""),"Đội 1 -  Xã Thiệu Trung - Tỉnh Thanh Hóa")</f>
        <v>Đội 1 -  Xã Thiệu Trung - Tỉnh Thanh Hóa</v>
      </c>
      <c r="L759" s="7" t="str">
        <f>IFERROR(__xludf.DUMMYFUNCTION("""COMPUTED_VALUE"""),"0985491465")</f>
        <v>0985491465</v>
      </c>
      <c r="M759" s="7" t="str">
        <f>IFERROR(__xludf.DUMMYFUNCTION("""COMPUTED_VALUE"""),"038081036900")</f>
        <v>038081036900</v>
      </c>
      <c r="N759" s="19">
        <f>IFERROR(__xludf.DUMMYFUNCTION("""COMPUTED_VALUE"""),44419.0)</f>
        <v>44419</v>
      </c>
      <c r="O759" s="7" t="str">
        <f>IFERROR(__xludf.DUMMYFUNCTION("""COMPUTED_VALUE"""),"Cục Cảnh sát QLHC về TTXH")</f>
        <v>Cục Cảnh sát QLHC về TTXH</v>
      </c>
      <c r="P759" s="7" t="str">
        <f>IFERROR(__xludf.DUMMYFUNCTION("""COMPUTED_VALUE"""),"Trung cấp")</f>
        <v>Trung cấp</v>
      </c>
      <c r="Q759" s="7" t="str">
        <f>IFERROR(__xludf.DUMMYFUNCTION("""COMPUTED_VALUE"""),"Thợ điện")</f>
        <v>Thợ điện</v>
      </c>
      <c r="R759" s="17">
        <f>IFERROR(__xludf.DUMMYFUNCTION("""COMPUTED_VALUE"""),38089.0)</f>
        <v>38089</v>
      </c>
      <c r="S759" s="17">
        <f>IFERROR(__xludf.DUMMYFUNCTION("""COMPUTED_VALUE"""),38089.0)</f>
        <v>38089</v>
      </c>
      <c r="T759" s="7" t="str">
        <f>IFERROR(__xludf.DUMMYFUNCTION("""COMPUTED_VALUE"""),"Chính thức")</f>
        <v>Chính thức</v>
      </c>
      <c r="U759" s="7"/>
      <c r="V759" s="7" t="str">
        <f>IFERROR(__xludf.DUMMYFUNCTION("""COMPUTED_VALUE"""),"Chính thức")</f>
        <v>Chính thức</v>
      </c>
      <c r="W759" s="7" t="str">
        <f>IFERROR(__xludf.DUMMYFUNCTION("""COMPUTED_VALUE"""),"21 năm 8 tháng")</f>
        <v>21 năm 8 tháng</v>
      </c>
      <c r="X759" s="7"/>
      <c r="Y759" s="7"/>
      <c r="Z759" s="7"/>
    </row>
    <row r="760">
      <c r="A760" s="7">
        <f>IFERROR(__xludf.DUMMYFUNCTION("""COMPUTED_VALUE"""),3.0)</f>
        <v>3</v>
      </c>
      <c r="B760" s="7" t="str">
        <f>IFERROR(__xludf.DUMMYFUNCTION("""COMPUTED_VALUE"""),"DC5-PXSX2")</f>
        <v>DC5-PXSX2</v>
      </c>
      <c r="C760" s="7" t="str">
        <f>IFERROR(__xludf.DUMMYFUNCTION("""COMPUTED_VALUE"""),"Phòng Kỹ thuật")</f>
        <v>Phòng Kỹ thuật</v>
      </c>
      <c r="D760" s="7" t="str">
        <f>IFERROR(__xludf.DUMMYFUNCTION("""COMPUTED_VALUE"""),"Cơ điện Ca B - DC5")</f>
        <v>Cơ điện Ca B - DC5</v>
      </c>
      <c r="E760" s="7" t="str">
        <f>IFERROR(__xludf.DUMMYFUNCTION("""COMPUTED_VALUE"""),"Cơ điện đi ca")</f>
        <v>Cơ điện đi ca</v>
      </c>
      <c r="F760" s="7" t="str">
        <f>IFERROR(__xludf.DUMMYFUNCTION("""COMPUTED_VALUE"""),"NV5201")</f>
        <v>NV5201</v>
      </c>
      <c r="G760" s="7">
        <f>IFERROR(__xludf.DUMMYFUNCTION("""COMPUTED_VALUE"""),522.0)</f>
        <v>522</v>
      </c>
      <c r="H760" s="7" t="str">
        <f>IFERROR(__xludf.DUMMYFUNCTION("""COMPUTED_VALUE"""),"Trần Xuân Long Vũ")</f>
        <v>Trần Xuân Long Vũ</v>
      </c>
      <c r="I760" s="7" t="str">
        <f>IFERROR(__xludf.DUMMYFUNCTION("""COMPUTED_VALUE"""),"Nam")</f>
        <v>Nam</v>
      </c>
      <c r="J760" s="17">
        <f>IFERROR(__xludf.DUMMYFUNCTION("""COMPUTED_VALUE"""),36995.0)</f>
        <v>36995</v>
      </c>
      <c r="K760" s="7" t="str">
        <f>IFERROR(__xludf.DUMMYFUNCTION("""COMPUTED_VALUE"""),"Xã Hợp Tiến - Tỉnh Thanh Hóa")</f>
        <v>Xã Hợp Tiến - Tỉnh Thanh Hóa</v>
      </c>
      <c r="L760" s="7" t="str">
        <f>IFERROR(__xludf.DUMMYFUNCTION("""COMPUTED_VALUE"""),"0964734750")</f>
        <v>0964734750</v>
      </c>
      <c r="M760" s="7" t="str">
        <f>IFERROR(__xludf.DUMMYFUNCTION("""COMPUTED_VALUE"""),"038201014058")</f>
        <v>038201014058</v>
      </c>
      <c r="N760" s="19">
        <f>IFERROR(__xludf.DUMMYFUNCTION("""COMPUTED_VALUE"""),44819.0)</f>
        <v>44819</v>
      </c>
      <c r="O760" s="7" t="str">
        <f>IFERROR(__xludf.DUMMYFUNCTION("""COMPUTED_VALUE"""),"Cục Cảnh sát QLHC về TTXH")</f>
        <v>Cục Cảnh sát QLHC về TTXH</v>
      </c>
      <c r="P760" s="7" t="str">
        <f>IFERROR(__xludf.DUMMYFUNCTION("""COMPUTED_VALUE"""),"Đại học")</f>
        <v>Đại học</v>
      </c>
      <c r="Q760" s="7" t="str">
        <f>IFERROR(__xludf.DUMMYFUNCTION("""COMPUTED_VALUE"""),"Cơ khí chế tạo")</f>
        <v>Cơ khí chế tạo</v>
      </c>
      <c r="R760" s="17">
        <f>IFERROR(__xludf.DUMMYFUNCTION("""COMPUTED_VALUE"""),45434.0)</f>
        <v>45434</v>
      </c>
      <c r="S760" s="17">
        <f>IFERROR(__xludf.DUMMYFUNCTION("""COMPUTED_VALUE"""),45505.0)</f>
        <v>45505</v>
      </c>
      <c r="T760" s="7" t="str">
        <f>IFERROR(__xludf.DUMMYFUNCTION("""COMPUTED_VALUE"""),"Chính thức")</f>
        <v>Chính thức</v>
      </c>
      <c r="U760" s="7"/>
      <c r="V760" s="7" t="str">
        <f>IFERROR(__xludf.DUMMYFUNCTION("""COMPUTED_VALUE"""),"Chính thức")</f>
        <v>Chính thức</v>
      </c>
      <c r="W760" s="7" t="str">
        <f>IFERROR(__xludf.DUMMYFUNCTION("""COMPUTED_VALUE"""),"1 năm 7 tháng")</f>
        <v>1 năm 7 tháng</v>
      </c>
      <c r="X760" s="7"/>
      <c r="Y760" s="7"/>
      <c r="Z760" s="7"/>
    </row>
    <row r="761">
      <c r="A761" s="7">
        <f>IFERROR(__xludf.DUMMYFUNCTION("""COMPUTED_VALUE"""),1.0)</f>
        <v>1</v>
      </c>
      <c r="B761" s="7" t="str">
        <f>IFERROR(__xludf.DUMMYFUNCTION("""COMPUTED_VALUE"""),"DC6-PXSX2")</f>
        <v>DC6-PXSX2</v>
      </c>
      <c r="C761" s="7" t="str">
        <f>IFERROR(__xludf.DUMMYFUNCTION("""COMPUTED_VALUE"""),"Phòng Kỹ thuật")</f>
        <v>Phòng Kỹ thuật</v>
      </c>
      <c r="D761" s="7" t="str">
        <f>IFERROR(__xludf.DUMMYFUNCTION("""COMPUTED_VALUE"""),"Cơ điện hành chính - DC6")</f>
        <v>Cơ điện hành chính - DC6</v>
      </c>
      <c r="E761" s="7" t="str">
        <f>IFERROR(__xludf.DUMMYFUNCTION("""COMPUTED_VALUE"""),"NT Cơ điện hành chính")</f>
        <v>NT Cơ điện hành chính</v>
      </c>
      <c r="F761" s="7" t="str">
        <f>IFERROR(__xludf.DUMMYFUNCTION("""COMPUTED_VALUE"""),"NV0461")</f>
        <v>NV0461</v>
      </c>
      <c r="G761" s="7">
        <f>IFERROR(__xludf.DUMMYFUNCTION("""COMPUTED_VALUE"""),510.0)</f>
        <v>510</v>
      </c>
      <c r="H761" s="7" t="str">
        <f>IFERROR(__xludf.DUMMYFUNCTION("""COMPUTED_VALUE"""),"Phạm Văn Tiến")</f>
        <v>Phạm Văn Tiến</v>
      </c>
      <c r="I761" s="7" t="str">
        <f>IFERROR(__xludf.DUMMYFUNCTION("""COMPUTED_VALUE"""),"Nam")</f>
        <v>Nam</v>
      </c>
      <c r="J761" s="17">
        <f>IFERROR(__xludf.DUMMYFUNCTION("""COMPUTED_VALUE"""),32544.0)</f>
        <v>32544</v>
      </c>
      <c r="K761" s="7" t="str">
        <f>IFERROR(__xludf.DUMMYFUNCTION("""COMPUTED_VALUE"""),"Phường Hạc Thành - Tỉnh Thanh Hóa")</f>
        <v>Phường Hạc Thành - Tỉnh Thanh Hóa</v>
      </c>
      <c r="L761" s="7" t="str">
        <f>IFERROR(__xludf.DUMMYFUNCTION("""COMPUTED_VALUE"""),"0974999132")</f>
        <v>0974999132</v>
      </c>
      <c r="M761" s="7" t="str">
        <f>IFERROR(__xludf.DUMMYFUNCTION("""COMPUTED_VALUE"""),"038089039119")</f>
        <v>038089039119</v>
      </c>
      <c r="N761" s="19">
        <f>IFERROR(__xludf.DUMMYFUNCTION("""COMPUTED_VALUE"""),44461.0)</f>
        <v>44461</v>
      </c>
      <c r="O761" s="7" t="str">
        <f>IFERROR(__xludf.DUMMYFUNCTION("""COMPUTED_VALUE"""),"Cục Cảnh sát QLHC về TTXH")</f>
        <v>Cục Cảnh sát QLHC về TTXH</v>
      </c>
      <c r="P761" s="7" t="str">
        <f>IFERROR(__xludf.DUMMYFUNCTION("""COMPUTED_VALUE"""),"Trung cấp")</f>
        <v>Trung cấp</v>
      </c>
      <c r="Q761" s="7" t="str">
        <f>IFERROR(__xludf.DUMMYFUNCTION("""COMPUTED_VALUE"""),"Công nghệ kỹ thuật điiện")</f>
        <v>Công nghệ kỹ thuật điiện</v>
      </c>
      <c r="R761" s="17">
        <f>IFERROR(__xludf.DUMMYFUNCTION("""COMPUTED_VALUE"""),41784.0)</f>
        <v>41784</v>
      </c>
      <c r="S761" s="17">
        <f>IFERROR(__xludf.DUMMYFUNCTION("""COMPUTED_VALUE"""),41784.0)</f>
        <v>41784</v>
      </c>
      <c r="T761" s="7" t="str">
        <f>IFERROR(__xludf.DUMMYFUNCTION("""COMPUTED_VALUE"""),"Chính thức")</f>
        <v>Chính thức</v>
      </c>
      <c r="U761" s="7"/>
      <c r="V761" s="7" t="str">
        <f>IFERROR(__xludf.DUMMYFUNCTION("""COMPUTED_VALUE"""),"Chính thức")</f>
        <v>Chính thức</v>
      </c>
      <c r="W761" s="7" t="str">
        <f>IFERROR(__xludf.DUMMYFUNCTION("""COMPUTED_VALUE"""),"11 năm 7 tháng")</f>
        <v>11 năm 7 tháng</v>
      </c>
      <c r="X761" s="7"/>
      <c r="Y761" s="7"/>
      <c r="Z761" s="7"/>
    </row>
    <row r="762">
      <c r="A762" s="7">
        <f>IFERROR(__xludf.DUMMYFUNCTION("""COMPUTED_VALUE"""),2.0)</f>
        <v>2</v>
      </c>
      <c r="B762" s="7" t="str">
        <f>IFERROR(__xludf.DUMMYFUNCTION("""COMPUTED_VALUE"""),"DC6-PXSX2")</f>
        <v>DC6-PXSX2</v>
      </c>
      <c r="C762" s="7" t="str">
        <f>IFERROR(__xludf.DUMMYFUNCTION("""COMPUTED_VALUE"""),"Phòng Kỹ thuật")</f>
        <v>Phòng Kỹ thuật</v>
      </c>
      <c r="D762" s="7" t="str">
        <f>IFERROR(__xludf.DUMMYFUNCTION("""COMPUTED_VALUE"""),"Cơ điện hành chính - DC6")</f>
        <v>Cơ điện hành chính - DC6</v>
      </c>
      <c r="E762" s="7" t="str">
        <f>IFERROR(__xludf.DUMMYFUNCTION("""COMPUTED_VALUE"""),"Cơ điện hành chính Mức 1")</f>
        <v>Cơ điện hành chính Mức 1</v>
      </c>
      <c r="F762" s="7" t="str">
        <f>IFERROR(__xludf.DUMMYFUNCTION("""COMPUTED_VALUE"""),"NV0950")</f>
        <v>NV0950</v>
      </c>
      <c r="G762" s="7">
        <f>IFERROR(__xludf.DUMMYFUNCTION("""COMPUTED_VALUE"""),502.0)</f>
        <v>502</v>
      </c>
      <c r="H762" s="7" t="str">
        <f>IFERROR(__xludf.DUMMYFUNCTION("""COMPUTED_VALUE"""),"Nguyễn Huy Công")</f>
        <v>Nguyễn Huy Công</v>
      </c>
      <c r="I762" s="7" t="str">
        <f>IFERROR(__xludf.DUMMYFUNCTION("""COMPUTED_VALUE"""),"Nam")</f>
        <v>Nam</v>
      </c>
      <c r="J762" s="17">
        <f>IFERROR(__xludf.DUMMYFUNCTION("""COMPUTED_VALUE"""),33370.0)</f>
        <v>33370</v>
      </c>
      <c r="K762" s="7" t="str">
        <f>IFERROR(__xludf.DUMMYFUNCTION("""COMPUTED_VALUE"""),"Xã Hoằng Sơn - Tỉnh Thanh Hóa")</f>
        <v>Xã Hoằng Sơn - Tỉnh Thanh Hóa</v>
      </c>
      <c r="L762" s="7" t="str">
        <f>IFERROR(__xludf.DUMMYFUNCTION("""COMPUTED_VALUE"""),"0367095745")</f>
        <v>0367095745</v>
      </c>
      <c r="M762" s="7" t="str">
        <f>IFERROR(__xludf.DUMMYFUNCTION("""COMPUTED_VALUE"""),"038091006372")</f>
        <v>038091006372</v>
      </c>
      <c r="N762" s="19">
        <f>IFERROR(__xludf.DUMMYFUNCTION("""COMPUTED_VALUE"""),44420.0)</f>
        <v>44420</v>
      </c>
      <c r="O762" s="7" t="str">
        <f>IFERROR(__xludf.DUMMYFUNCTION("""COMPUTED_VALUE"""),"Cục Cảnh sát QLHC về TTXH")</f>
        <v>Cục Cảnh sát QLHC về TTXH</v>
      </c>
      <c r="P762" s="7" t="str">
        <f>IFERROR(__xludf.DUMMYFUNCTION("""COMPUTED_VALUE"""),"Trung cấp")</f>
        <v>Trung cấp</v>
      </c>
      <c r="Q762" s="7" t="str">
        <f>IFERROR(__xludf.DUMMYFUNCTION("""COMPUTED_VALUE"""),"Nghề hàn")</f>
        <v>Nghề hàn</v>
      </c>
      <c r="R762" s="17">
        <f>IFERROR(__xludf.DUMMYFUNCTION("""COMPUTED_VALUE"""),44351.0)</f>
        <v>44351</v>
      </c>
      <c r="S762" s="17">
        <f>IFERROR(__xludf.DUMMYFUNCTION("""COMPUTED_VALUE"""),44652.0)</f>
        <v>44652</v>
      </c>
      <c r="T762" s="7" t="str">
        <f>IFERROR(__xludf.DUMMYFUNCTION("""COMPUTED_VALUE"""),"Chính thức")</f>
        <v>Chính thức</v>
      </c>
      <c r="U762" s="7"/>
      <c r="V762" s="7" t="str">
        <f>IFERROR(__xludf.DUMMYFUNCTION("""COMPUTED_VALUE"""),"Chính thức")</f>
        <v>Chính thức</v>
      </c>
      <c r="W762" s="7" t="str">
        <f>IFERROR(__xludf.DUMMYFUNCTION("""COMPUTED_VALUE"""),"4 năm 6 tháng")</f>
        <v>4 năm 6 tháng</v>
      </c>
      <c r="X762" s="7"/>
      <c r="Y762" s="7"/>
      <c r="Z762" s="7"/>
    </row>
    <row r="763">
      <c r="A763" s="7">
        <f>IFERROR(__xludf.DUMMYFUNCTION("""COMPUTED_VALUE"""),3.0)</f>
        <v>3</v>
      </c>
      <c r="B763" s="7" t="str">
        <f>IFERROR(__xludf.DUMMYFUNCTION("""COMPUTED_VALUE"""),"DC6-PXSX2")</f>
        <v>DC6-PXSX2</v>
      </c>
      <c r="C763" s="7" t="str">
        <f>IFERROR(__xludf.DUMMYFUNCTION("""COMPUTED_VALUE"""),"Phòng Kỹ thuật")</f>
        <v>Phòng Kỹ thuật</v>
      </c>
      <c r="D763" s="7" t="str">
        <f>IFERROR(__xludf.DUMMYFUNCTION("""COMPUTED_VALUE"""),"Cơ điện hành chính - DC6")</f>
        <v>Cơ điện hành chính - DC6</v>
      </c>
      <c r="E763" s="7" t="str">
        <f>IFERROR(__xludf.DUMMYFUNCTION("""COMPUTED_VALUE"""),"Cơ điện hành chính Mức 2")</f>
        <v>Cơ điện hành chính Mức 2</v>
      </c>
      <c r="F763" s="7" t="str">
        <f>IFERROR(__xludf.DUMMYFUNCTION("""COMPUTED_VALUE"""),"NV0976")</f>
        <v>NV0976</v>
      </c>
      <c r="G763" s="7">
        <f>IFERROR(__xludf.DUMMYFUNCTION("""COMPUTED_VALUE"""),544.0)</f>
        <v>544</v>
      </c>
      <c r="H763" s="7" t="str">
        <f>IFERROR(__xludf.DUMMYFUNCTION("""COMPUTED_VALUE"""),"Hoàng Văn Vũ")</f>
        <v>Hoàng Văn Vũ</v>
      </c>
      <c r="I763" s="7" t="str">
        <f>IFERROR(__xludf.DUMMYFUNCTION("""COMPUTED_VALUE"""),"Nam")</f>
        <v>Nam</v>
      </c>
      <c r="J763" s="17">
        <f>IFERROR(__xludf.DUMMYFUNCTION("""COMPUTED_VALUE"""),33620.0)</f>
        <v>33620</v>
      </c>
      <c r="K763" s="7" t="str">
        <f>IFERROR(__xludf.DUMMYFUNCTION("""COMPUTED_VALUE"""),"Phố 5 - Phường Quảng Phú - Tỉnh Thanh Hóa")</f>
        <v>Phố 5 - Phường Quảng Phú - Tỉnh Thanh Hóa</v>
      </c>
      <c r="L763" s="7" t="str">
        <f>IFERROR(__xludf.DUMMYFUNCTION("""COMPUTED_VALUE"""),"0969270558")</f>
        <v>0969270558</v>
      </c>
      <c r="M763" s="7" t="str">
        <f>IFERROR(__xludf.DUMMYFUNCTION("""COMPUTED_VALUE"""),"038092016905")</f>
        <v>038092016905</v>
      </c>
      <c r="N763" s="19">
        <f>IFERROR(__xludf.DUMMYFUNCTION("""COMPUTED_VALUE"""),43775.0)</f>
        <v>43775</v>
      </c>
      <c r="O763" s="7" t="str">
        <f>IFERROR(__xludf.DUMMYFUNCTION("""COMPUTED_VALUE"""),"Cục Cảnh sát QLHC về TTXH")</f>
        <v>Cục Cảnh sát QLHC về TTXH</v>
      </c>
      <c r="P763" s="7" t="str">
        <f>IFERROR(__xludf.DUMMYFUNCTION("""COMPUTED_VALUE"""),"Trung cấp, nghề")</f>
        <v>Trung cấp, nghề</v>
      </c>
      <c r="Q763" s="7" t="str">
        <f>IFERROR(__xludf.DUMMYFUNCTION("""COMPUTED_VALUE"""),"Điện dân dụng và công nghiệp")</f>
        <v>Điện dân dụng và công nghiệp</v>
      </c>
      <c r="R763" s="17">
        <f>IFERROR(__xludf.DUMMYFUNCTION("""COMPUTED_VALUE"""),44264.0)</f>
        <v>44264</v>
      </c>
      <c r="S763" s="17">
        <f>IFERROR(__xludf.DUMMYFUNCTION("""COMPUTED_VALUE"""),44562.0)</f>
        <v>44562</v>
      </c>
      <c r="T763" s="7" t="str">
        <f>IFERROR(__xludf.DUMMYFUNCTION("""COMPUTED_VALUE"""),"Chính thức")</f>
        <v>Chính thức</v>
      </c>
      <c r="U763" s="7"/>
      <c r="V763" s="7" t="str">
        <f>IFERROR(__xludf.DUMMYFUNCTION("""COMPUTED_VALUE"""),"Chính thức")</f>
        <v>Chính thức</v>
      </c>
      <c r="W763" s="7" t="str">
        <f>IFERROR(__xludf.DUMMYFUNCTION("""COMPUTED_VALUE"""),"4 năm 9 tháng")</f>
        <v>4 năm 9 tháng</v>
      </c>
      <c r="X763" s="7"/>
      <c r="Y763" s="7"/>
      <c r="Z763" s="7"/>
    </row>
    <row r="764">
      <c r="A764" s="7">
        <f>IFERROR(__xludf.DUMMYFUNCTION("""COMPUTED_VALUE"""),4.0)</f>
        <v>4</v>
      </c>
      <c r="B764" s="7" t="str">
        <f>IFERROR(__xludf.DUMMYFUNCTION("""COMPUTED_VALUE"""),"DC6-PXSX2")</f>
        <v>DC6-PXSX2</v>
      </c>
      <c r="C764" s="7" t="str">
        <f>IFERROR(__xludf.DUMMYFUNCTION("""COMPUTED_VALUE"""),"Phòng Kỹ thuật")</f>
        <v>Phòng Kỹ thuật</v>
      </c>
      <c r="D764" s="7" t="str">
        <f>IFERROR(__xludf.DUMMYFUNCTION("""COMPUTED_VALUE"""),"Cơ điện hành chính - DC6")</f>
        <v>Cơ điện hành chính - DC6</v>
      </c>
      <c r="E764" s="7" t="str">
        <f>IFERROR(__xludf.DUMMYFUNCTION("""COMPUTED_VALUE"""),"Cơ điện hành chính Mức 2")</f>
        <v>Cơ điện hành chính Mức 2</v>
      </c>
      <c r="F764" s="7" t="str">
        <f>IFERROR(__xludf.DUMMYFUNCTION("""COMPUTED_VALUE"""),"NV5492")</f>
        <v>NV5492</v>
      </c>
      <c r="G764" s="7">
        <f>IFERROR(__xludf.DUMMYFUNCTION("""COMPUTED_VALUE"""),975.0)</f>
        <v>975</v>
      </c>
      <c r="H764" s="7" t="str">
        <f>IFERROR(__xludf.DUMMYFUNCTION("""COMPUTED_VALUE"""),"Lê Bật Nam")</f>
        <v>Lê Bật Nam</v>
      </c>
      <c r="I764" s="7" t="str">
        <f>IFERROR(__xludf.DUMMYFUNCTION("""COMPUTED_VALUE"""),"Nam")</f>
        <v>Nam</v>
      </c>
      <c r="J764" s="17">
        <f>IFERROR(__xludf.DUMMYFUNCTION("""COMPUTED_VALUE"""),36750.0)</f>
        <v>36750</v>
      </c>
      <c r="K764" s="7" t="str">
        <f>IFERROR(__xludf.DUMMYFUNCTION("""COMPUTED_VALUE"""),"Thị trấn Nưa - Triệu Sơn - Thanh Hóa")</f>
        <v>Thị trấn Nưa - Triệu Sơn - Thanh Hóa</v>
      </c>
      <c r="L764" s="7" t="str">
        <f>IFERROR(__xludf.DUMMYFUNCTION("""COMPUTED_VALUE"""),"0923757104")</f>
        <v>0923757104</v>
      </c>
      <c r="M764" s="7" t="str">
        <f>IFERROR(__xludf.DUMMYFUNCTION("""COMPUTED_VALUE"""),"038200009693")</f>
        <v>038200009693</v>
      </c>
      <c r="N764" s="19">
        <f>IFERROR(__xludf.DUMMYFUNCTION("""COMPUTED_VALUE"""),44833.0)</f>
        <v>44833</v>
      </c>
      <c r="O764" s="7" t="str">
        <f>IFERROR(__xludf.DUMMYFUNCTION("""COMPUTED_VALUE"""),"Cục Cảnh sát QLHC về TTXH")</f>
        <v>Cục Cảnh sát QLHC về TTXH</v>
      </c>
      <c r="P764" s="7" t="str">
        <f>IFERROR(__xludf.DUMMYFUNCTION("""COMPUTED_VALUE"""),"Trung cấp, nghề")</f>
        <v>Trung cấp, nghề</v>
      </c>
      <c r="Q764" s="7" t="str">
        <f>IFERROR(__xludf.DUMMYFUNCTION("""COMPUTED_VALUE"""),"Công nghệ oto")</f>
        <v>Công nghệ oto</v>
      </c>
      <c r="R764" s="17">
        <f>IFERROR(__xludf.DUMMYFUNCTION("""COMPUTED_VALUE"""),45807.0)</f>
        <v>45807</v>
      </c>
      <c r="S764" s="17">
        <f>IFERROR(__xludf.DUMMYFUNCTION("""COMPUTED_VALUE"""),45838.0)</f>
        <v>45838</v>
      </c>
      <c r="T764" s="7" t="str">
        <f>IFERROR(__xludf.DUMMYFUNCTION("""COMPUTED_VALUE"""),"Chính thức")</f>
        <v>Chính thức</v>
      </c>
      <c r="U764" s="7"/>
      <c r="V764" s="7" t="str">
        <f>IFERROR(__xludf.DUMMYFUNCTION("""COMPUTED_VALUE"""),"Chính thức")</f>
        <v>Chính thức</v>
      </c>
      <c r="W764" s="7" t="str">
        <f>IFERROR(__xludf.DUMMYFUNCTION("""COMPUTED_VALUE"""),"0 năm 7 tháng")</f>
        <v>0 năm 7 tháng</v>
      </c>
      <c r="X764" s="7"/>
      <c r="Y764" s="7"/>
      <c r="Z764" s="7"/>
    </row>
    <row r="765">
      <c r="A765" s="7">
        <f>IFERROR(__xludf.DUMMYFUNCTION("""COMPUTED_VALUE"""),1.0)</f>
        <v>1</v>
      </c>
      <c r="B765" s="7" t="str">
        <f>IFERROR(__xludf.DUMMYFUNCTION("""COMPUTED_VALUE"""),"DC6-PXSX2")</f>
        <v>DC6-PXSX2</v>
      </c>
      <c r="C765" s="7" t="str">
        <f>IFERROR(__xludf.DUMMYFUNCTION("""COMPUTED_VALUE"""),"Phòng Kỹ thuật")</f>
        <v>Phòng Kỹ thuật</v>
      </c>
      <c r="D765" s="7" t="str">
        <f>IFERROR(__xludf.DUMMYFUNCTION("""COMPUTED_VALUE"""),"Cơ điện Ca A - DC6")</f>
        <v>Cơ điện Ca A - DC6</v>
      </c>
      <c r="E765" s="7" t="str">
        <f>IFERROR(__xludf.DUMMYFUNCTION("""COMPUTED_VALUE"""),"NT cơ điện đi ca")</f>
        <v>NT cơ điện đi ca</v>
      </c>
      <c r="F765" s="7" t="str">
        <f>IFERROR(__xludf.DUMMYFUNCTION("""COMPUTED_VALUE"""),"NV0731")</f>
        <v>NV0731</v>
      </c>
      <c r="G765" s="7">
        <f>IFERROR(__xludf.DUMMYFUNCTION("""COMPUTED_VALUE"""),399.0)</f>
        <v>399</v>
      </c>
      <c r="H765" s="7" t="str">
        <f>IFERROR(__xludf.DUMMYFUNCTION("""COMPUTED_VALUE"""),"Nguyễn Doãn Nghiêm")</f>
        <v>Nguyễn Doãn Nghiêm</v>
      </c>
      <c r="I765" s="7" t="str">
        <f>IFERROR(__xludf.DUMMYFUNCTION("""COMPUTED_VALUE"""),"Nam")</f>
        <v>Nam</v>
      </c>
      <c r="J765" s="17">
        <f>IFERROR(__xludf.DUMMYFUNCTION("""COMPUTED_VALUE"""),33782.0)</f>
        <v>33782</v>
      </c>
      <c r="K765" s="7" t="str">
        <f>IFERROR(__xludf.DUMMYFUNCTION("""COMPUTED_VALUE"""),"Thôn 6 -  Xã Hoằng Hóa - Tỉnh Thanh Hóa")</f>
        <v>Thôn 6 -  Xã Hoằng Hóa - Tỉnh Thanh Hóa</v>
      </c>
      <c r="L765" s="7" t="str">
        <f>IFERROR(__xludf.DUMMYFUNCTION("""COMPUTED_VALUE"""),"0379846509")</f>
        <v>0379846509</v>
      </c>
      <c r="M765" s="7" t="str">
        <f>IFERROR(__xludf.DUMMYFUNCTION("""COMPUTED_VALUE"""),"038092024522")</f>
        <v>038092024522</v>
      </c>
      <c r="N765" s="19">
        <f>IFERROR(__xludf.DUMMYFUNCTION("""COMPUTED_VALUE"""),44547.0)</f>
        <v>44547</v>
      </c>
      <c r="O765" s="7" t="str">
        <f>IFERROR(__xludf.DUMMYFUNCTION("""COMPUTED_VALUE"""),"Cục Cảnh sát QLHC về TTXH")</f>
        <v>Cục Cảnh sát QLHC về TTXH</v>
      </c>
      <c r="P765" s="7" t="str">
        <f>IFERROR(__xludf.DUMMYFUNCTION("""COMPUTED_VALUE"""),"Sơ cấp nghề")</f>
        <v>Sơ cấp nghề</v>
      </c>
      <c r="Q765" s="7" t="str">
        <f>IFERROR(__xludf.DUMMYFUNCTION("""COMPUTED_VALUE"""),"THợ sửa điện")</f>
        <v>THợ sửa điện</v>
      </c>
      <c r="R765" s="17">
        <f>IFERROR(__xludf.DUMMYFUNCTION("""COMPUTED_VALUE"""),42119.0)</f>
        <v>42119</v>
      </c>
      <c r="S765" s="17">
        <f>IFERROR(__xludf.DUMMYFUNCTION("""COMPUTED_VALUE"""),42119.0)</f>
        <v>42119</v>
      </c>
      <c r="T765" s="7" t="str">
        <f>IFERROR(__xludf.DUMMYFUNCTION("""COMPUTED_VALUE"""),"Chính thức")</f>
        <v>Chính thức</v>
      </c>
      <c r="U765" s="7"/>
      <c r="V765" s="7" t="str">
        <f>IFERROR(__xludf.DUMMYFUNCTION("""COMPUTED_VALUE"""),"Chính thức")</f>
        <v>Chính thức</v>
      </c>
      <c r="W765" s="7" t="str">
        <f>IFERROR(__xludf.DUMMYFUNCTION("""COMPUTED_VALUE"""),"10 năm 8 tháng")</f>
        <v>10 năm 8 tháng</v>
      </c>
      <c r="X765" s="7"/>
      <c r="Y765" s="7"/>
      <c r="Z765" s="7"/>
    </row>
    <row r="766">
      <c r="A766" s="7">
        <f>IFERROR(__xludf.DUMMYFUNCTION("""COMPUTED_VALUE"""),2.0)</f>
        <v>2</v>
      </c>
      <c r="B766" s="7" t="str">
        <f>IFERROR(__xludf.DUMMYFUNCTION("""COMPUTED_VALUE"""),"DC6-PXSX2")</f>
        <v>DC6-PXSX2</v>
      </c>
      <c r="C766" s="7" t="str">
        <f>IFERROR(__xludf.DUMMYFUNCTION("""COMPUTED_VALUE"""),"Phòng Kỹ thuật")</f>
        <v>Phòng Kỹ thuật</v>
      </c>
      <c r="D766" s="7" t="str">
        <f>IFERROR(__xludf.DUMMYFUNCTION("""COMPUTED_VALUE"""),"Cơ điện Ca A - DC6")</f>
        <v>Cơ điện Ca A - DC6</v>
      </c>
      <c r="E766" s="7" t="str">
        <f>IFERROR(__xludf.DUMMYFUNCTION("""COMPUTED_VALUE"""),"Cơ điện đi ca")</f>
        <v>Cơ điện đi ca</v>
      </c>
      <c r="F766" s="7" t="str">
        <f>IFERROR(__xludf.DUMMYFUNCTION("""COMPUTED_VALUE"""),"NV4175")</f>
        <v>NV4175</v>
      </c>
      <c r="G766" s="7">
        <f>IFERROR(__xludf.DUMMYFUNCTION("""COMPUTED_VALUE"""),400.0)</f>
        <v>400</v>
      </c>
      <c r="H766" s="7" t="str">
        <f>IFERROR(__xludf.DUMMYFUNCTION("""COMPUTED_VALUE"""),"Dương Văn Lý")</f>
        <v>Dương Văn Lý</v>
      </c>
      <c r="I766" s="7" t="str">
        <f>IFERROR(__xludf.DUMMYFUNCTION("""COMPUTED_VALUE"""),"Nam")</f>
        <v>Nam</v>
      </c>
      <c r="J766" s="17">
        <f>IFERROR(__xludf.DUMMYFUNCTION("""COMPUTED_VALUE"""),32084.0)</f>
        <v>32084</v>
      </c>
      <c r="K766" s="7" t="str">
        <f>IFERROR(__xludf.DUMMYFUNCTION("""COMPUTED_VALUE"""),"Phường Ngọc Sơn - Tỉnh Thanh Hóa")</f>
        <v>Phường Ngọc Sơn - Tỉnh Thanh Hóa</v>
      </c>
      <c r="L766" s="7" t="str">
        <f>IFERROR(__xludf.DUMMYFUNCTION("""COMPUTED_VALUE"""),"0962252180")</f>
        <v>0962252180</v>
      </c>
      <c r="M766" s="7" t="str">
        <f>IFERROR(__xludf.DUMMYFUNCTION("""COMPUTED_VALUE"""),"038087022873")</f>
        <v>038087022873</v>
      </c>
      <c r="N766" s="19">
        <f>IFERROR(__xludf.DUMMYFUNCTION("""COMPUTED_VALUE"""),44418.0)</f>
        <v>44418</v>
      </c>
      <c r="O766" s="7" t="str">
        <f>IFERROR(__xludf.DUMMYFUNCTION("""COMPUTED_VALUE"""),"Cục Cảnh sát QLHC về TTXH")</f>
        <v>Cục Cảnh sát QLHC về TTXH</v>
      </c>
      <c r="P766" s="7" t="str">
        <f>IFERROR(__xludf.DUMMYFUNCTION("""COMPUTED_VALUE"""),"Trung học chuyên nghiệp")</f>
        <v>Trung học chuyên nghiệp</v>
      </c>
      <c r="Q766" s="7" t="str">
        <f>IFERROR(__xludf.DUMMYFUNCTION("""COMPUTED_VALUE"""),"Điện xí nghiệp")</f>
        <v>Điện xí nghiệp</v>
      </c>
      <c r="R766" s="17">
        <f>IFERROR(__xludf.DUMMYFUNCTION("""COMPUTED_VALUE"""),44690.0)</f>
        <v>44690</v>
      </c>
      <c r="S766" s="17">
        <f>IFERROR(__xludf.DUMMYFUNCTION("""COMPUTED_VALUE"""),44986.0)</f>
        <v>44986</v>
      </c>
      <c r="T766" s="7" t="str">
        <f>IFERROR(__xludf.DUMMYFUNCTION("""COMPUTED_VALUE"""),"Chính thức")</f>
        <v>Chính thức</v>
      </c>
      <c r="U766" s="7"/>
      <c r="V766" s="7" t="str">
        <f>IFERROR(__xludf.DUMMYFUNCTION("""COMPUTED_VALUE"""),"Chính thức")</f>
        <v>Chính thức</v>
      </c>
      <c r="W766" s="7" t="str">
        <f>IFERROR(__xludf.DUMMYFUNCTION("""COMPUTED_VALUE"""),"3 năm 7 tháng")</f>
        <v>3 năm 7 tháng</v>
      </c>
      <c r="X766" s="7"/>
      <c r="Y766" s="7"/>
      <c r="Z766" s="7"/>
    </row>
    <row r="767">
      <c r="A767" s="7"/>
      <c r="B767" s="7" t="str">
        <f>IFERROR(__xludf.DUMMYFUNCTION("""COMPUTED_VALUE"""),"DC6-PXSX2")</f>
        <v>DC6-PXSX2</v>
      </c>
      <c r="C767" s="7" t="str">
        <f>IFERROR(__xludf.DUMMYFUNCTION("""COMPUTED_VALUE"""),"Phòng Kỹ thuật")</f>
        <v>Phòng Kỹ thuật</v>
      </c>
      <c r="D767" s="7" t="str">
        <f>IFERROR(__xludf.DUMMYFUNCTION("""COMPUTED_VALUE"""),"Cơ điện Ca B - DC6")</f>
        <v>Cơ điện Ca B - DC6</v>
      </c>
      <c r="E767" s="7" t="str">
        <f>IFERROR(__xludf.DUMMYFUNCTION("""COMPUTED_VALUE"""),"NT cơ điện đi ca")</f>
        <v>NT cơ điện đi ca</v>
      </c>
      <c r="F767" s="7" t="str">
        <f>IFERROR(__xludf.DUMMYFUNCTION("""COMPUTED_VALUE"""),"NV5163")</f>
        <v>NV5163</v>
      </c>
      <c r="G767" s="7">
        <f>IFERROR(__xludf.DUMMYFUNCTION("""COMPUTED_VALUE"""),578.0)</f>
        <v>578</v>
      </c>
      <c r="H767" s="7" t="str">
        <f>IFERROR(__xludf.DUMMYFUNCTION("""COMPUTED_VALUE"""),"Phan Đình Văn ")</f>
        <v>Phan Đình Văn </v>
      </c>
      <c r="I767" s="7" t="str">
        <f>IFERROR(__xludf.DUMMYFUNCTION("""COMPUTED_VALUE"""),"Nam")</f>
        <v>Nam</v>
      </c>
      <c r="J767" s="17">
        <f>IFERROR(__xludf.DUMMYFUNCTION("""COMPUTED_VALUE"""),31737.0)</f>
        <v>31737</v>
      </c>
      <c r="K767" s="7" t="str">
        <f>IFERROR(__xludf.DUMMYFUNCTION("""COMPUTED_VALUE"""),"Xã Hoằng Lộc - Tỉnh Thanh Hóa")</f>
        <v>Xã Hoằng Lộc - Tỉnh Thanh Hóa</v>
      </c>
      <c r="L767" s="7" t="str">
        <f>IFERROR(__xludf.DUMMYFUNCTION("""COMPUTED_VALUE"""),"0785728668")</f>
        <v>0785728668</v>
      </c>
      <c r="M767" s="7" t="str">
        <f>IFERROR(__xludf.DUMMYFUNCTION("""COMPUTED_VALUE"""),"038086039792")</f>
        <v>038086039792</v>
      </c>
      <c r="N767" s="19">
        <f>IFERROR(__xludf.DUMMYFUNCTION("""COMPUTED_VALUE"""),44602.0)</f>
        <v>44602</v>
      </c>
      <c r="O767" s="7" t="str">
        <f>IFERROR(__xludf.DUMMYFUNCTION("""COMPUTED_VALUE"""),"Cục Cảnh sát QLHC về TTXH")</f>
        <v>Cục Cảnh sát QLHC về TTXH</v>
      </c>
      <c r="P767" s="7" t="str">
        <f>IFERROR(__xludf.DUMMYFUNCTION("""COMPUTED_VALUE"""),"Bằng nghề")</f>
        <v>Bằng nghề</v>
      </c>
      <c r="Q767" s="7" t="str">
        <f>IFERROR(__xludf.DUMMYFUNCTION("""COMPUTED_VALUE"""),"Điện Công nghiệp và dân dụng")</f>
        <v>Điện Công nghiệp và dân dụng</v>
      </c>
      <c r="R767" s="17">
        <f>IFERROR(__xludf.DUMMYFUNCTION("""COMPUTED_VALUE"""),45414.0)</f>
        <v>45414</v>
      </c>
      <c r="S767" s="17">
        <f>IFERROR(__xludf.DUMMYFUNCTION("""COMPUTED_VALUE"""),45505.0)</f>
        <v>45505</v>
      </c>
      <c r="T767" s="7" t="str">
        <f>IFERROR(__xludf.DUMMYFUNCTION("""COMPUTED_VALUE"""),"Chính thức")</f>
        <v>Chính thức</v>
      </c>
      <c r="U767" s="7"/>
      <c r="V767" s="7" t="str">
        <f>IFERROR(__xludf.DUMMYFUNCTION("""COMPUTED_VALUE"""),"Chính thức")</f>
        <v>Chính thức</v>
      </c>
      <c r="W767" s="7" t="str">
        <f>IFERROR(__xludf.DUMMYFUNCTION("""COMPUTED_VALUE"""),"1 năm 7 tháng")</f>
        <v>1 năm 7 tháng</v>
      </c>
      <c r="X767" s="7"/>
      <c r="Y767" s="7"/>
      <c r="Z767" s="7"/>
    </row>
    <row r="768">
      <c r="A768" s="7"/>
      <c r="B768" s="7" t="str">
        <f>IFERROR(__xludf.DUMMYFUNCTION("""COMPUTED_VALUE"""),"DC6-PXSX2")</f>
        <v>DC6-PXSX2</v>
      </c>
      <c r="C768" s="7" t="str">
        <f>IFERROR(__xludf.DUMMYFUNCTION("""COMPUTED_VALUE"""),"Phòng Kỹ thuật")</f>
        <v>Phòng Kỹ thuật</v>
      </c>
      <c r="D768" s="7" t="str">
        <f>IFERROR(__xludf.DUMMYFUNCTION("""COMPUTED_VALUE"""),"Cơ điện Ca B - DC6")</f>
        <v>Cơ điện Ca B - DC6</v>
      </c>
      <c r="E768" s="7" t="str">
        <f>IFERROR(__xludf.DUMMYFUNCTION("""COMPUTED_VALUE"""),"Cơ điện đi ca")</f>
        <v>Cơ điện đi ca</v>
      </c>
      <c r="F768" s="7" t="str">
        <f>IFERROR(__xludf.DUMMYFUNCTION("""COMPUTED_VALUE"""),"NV3083")</f>
        <v>NV3083</v>
      </c>
      <c r="G768" s="7">
        <f>IFERROR(__xludf.DUMMYFUNCTION("""COMPUTED_VALUE"""),819.0)</f>
        <v>819</v>
      </c>
      <c r="H768" s="7" t="str">
        <f>IFERROR(__xludf.DUMMYFUNCTION("""COMPUTED_VALUE"""),"Phạm Hồng Phong")</f>
        <v>Phạm Hồng Phong</v>
      </c>
      <c r="I768" s="7" t="str">
        <f>IFERROR(__xludf.DUMMYFUNCTION("""COMPUTED_VALUE"""),"Nam")</f>
        <v>Nam</v>
      </c>
      <c r="J768" s="17">
        <f>IFERROR(__xludf.DUMMYFUNCTION("""COMPUTED_VALUE"""),33829.0)</f>
        <v>33829</v>
      </c>
      <c r="K768" s="7" t="str">
        <f>IFERROR(__xludf.DUMMYFUNCTION("""COMPUTED_VALUE"""),"Phường Hàm Rồng - Tỉnh Thanh Hóa")</f>
        <v>Phường Hàm Rồng - Tỉnh Thanh Hóa</v>
      </c>
      <c r="L768" s="7" t="str">
        <f>IFERROR(__xludf.DUMMYFUNCTION("""COMPUTED_VALUE"""),"0968135042")</f>
        <v>0968135042</v>
      </c>
      <c r="M768" s="7" t="str">
        <f>IFERROR(__xludf.DUMMYFUNCTION("""COMPUTED_VALUE"""),"038092052977")</f>
        <v>038092052977</v>
      </c>
      <c r="N768" s="19">
        <f>IFERROR(__xludf.DUMMYFUNCTION("""COMPUTED_VALUE"""),44460.0)</f>
        <v>44460</v>
      </c>
      <c r="O768" s="7" t="str">
        <f>IFERROR(__xludf.DUMMYFUNCTION("""COMPUTED_VALUE"""),"Cục Cảnh sát QLHC về TTXH")</f>
        <v>Cục Cảnh sát QLHC về TTXH</v>
      </c>
      <c r="P768" s="7" t="str">
        <f>IFERROR(__xludf.DUMMYFUNCTION("""COMPUTED_VALUE"""),"Cao đẳng nghề")</f>
        <v>Cao đẳng nghề</v>
      </c>
      <c r="Q768" s="7" t="str">
        <f>IFERROR(__xludf.DUMMYFUNCTION("""COMPUTED_VALUE"""),"Điện công nghiệp")</f>
        <v>Điện công nghiệp</v>
      </c>
      <c r="R768" s="17">
        <f>IFERROR(__xludf.DUMMYFUNCTION("""COMPUTED_VALUE"""),44019.0)</f>
        <v>44019</v>
      </c>
      <c r="S768" s="17">
        <f>IFERROR(__xludf.DUMMYFUNCTION("""COMPUTED_VALUE"""),44317.0)</f>
        <v>44317</v>
      </c>
      <c r="T768" s="7" t="str">
        <f>IFERROR(__xludf.DUMMYFUNCTION("""COMPUTED_VALUE"""),"Chính thức")</f>
        <v>Chính thức</v>
      </c>
      <c r="U768" s="7"/>
      <c r="V768" s="7" t="str">
        <f>IFERROR(__xludf.DUMMYFUNCTION("""COMPUTED_VALUE"""),"Chính thức")</f>
        <v>Chính thức</v>
      </c>
      <c r="W768" s="7" t="str">
        <f>IFERROR(__xludf.DUMMYFUNCTION("""COMPUTED_VALUE"""),"5 năm 5 tháng")</f>
        <v>5 năm 5 tháng</v>
      </c>
      <c r="X768" s="7"/>
      <c r="Y768" s="7"/>
      <c r="Z768" s="7"/>
    </row>
    <row r="769">
      <c r="A769" s="7">
        <f>IFERROR(__xludf.DUMMYFUNCTION("""COMPUTED_VALUE"""),1.0)</f>
        <v>1</v>
      </c>
      <c r="B769" s="7" t="str">
        <f>IFERROR(__xludf.DUMMYFUNCTION("""COMPUTED_VALUE"""),"PXSX2")</f>
        <v>PXSX2</v>
      </c>
      <c r="C769" s="7" t="str">
        <f>IFERROR(__xludf.DUMMYFUNCTION("""COMPUTED_VALUE"""),"Nhóm Hậu cần nội vụ PXSX2")</f>
        <v>Nhóm Hậu cần nội vụ PXSX2</v>
      </c>
      <c r="D769" s="7" t="str">
        <f>IFERROR(__xludf.DUMMYFUNCTION("""COMPUTED_VALUE"""),"Bộ phận hành chính")</f>
        <v>Bộ phận hành chính</v>
      </c>
      <c r="E769" s="7" t="str">
        <f>IFERROR(__xludf.DUMMYFUNCTION("""COMPUTED_VALUE"""),"Tổ phó tổ xe máy hậu cần")</f>
        <v>Tổ phó tổ xe máy hậu cần</v>
      </c>
      <c r="F769" s="7" t="str">
        <f>IFERROR(__xludf.DUMMYFUNCTION("""COMPUTED_VALUE"""),"NV1613")</f>
        <v>NV1613</v>
      </c>
      <c r="G769" s="7">
        <f>IFERROR(__xludf.DUMMYFUNCTION("""COMPUTED_VALUE"""),509.0)</f>
        <v>509</v>
      </c>
      <c r="H769" s="7" t="str">
        <f>IFERROR(__xludf.DUMMYFUNCTION("""COMPUTED_VALUE"""),"Lê Hữu Thiết")</f>
        <v>Lê Hữu Thiết</v>
      </c>
      <c r="I769" s="7" t="str">
        <f>IFERROR(__xludf.DUMMYFUNCTION("""COMPUTED_VALUE"""),"Nam")</f>
        <v>Nam</v>
      </c>
      <c r="J769" s="17">
        <f>IFERROR(__xludf.DUMMYFUNCTION("""COMPUTED_VALUE"""),32304.0)</f>
        <v>32304</v>
      </c>
      <c r="K769" s="7" t="str">
        <f>IFERROR(__xludf.DUMMYFUNCTION("""COMPUTED_VALUE"""),"Thôn 6 -  Xã Hoằng Thành -  Huyện Hoằng Hóa -  Thanh Hóa - ")</f>
        <v>Thôn 6 -  Xã Hoằng Thành -  Huyện Hoằng Hóa -  Thanh Hóa - </v>
      </c>
      <c r="L769" s="7" t="str">
        <f>IFERROR(__xludf.DUMMYFUNCTION("""COMPUTED_VALUE"""),"0949272018")</f>
        <v>0949272018</v>
      </c>
      <c r="M769" s="7" t="str">
        <f>IFERROR(__xludf.DUMMYFUNCTION("""COMPUTED_VALUE"""),"038088046017")</f>
        <v>038088046017</v>
      </c>
      <c r="N769" s="19">
        <f>IFERROR(__xludf.DUMMYFUNCTION("""COMPUTED_VALUE"""),44420.0)</f>
        <v>44420</v>
      </c>
      <c r="O769" s="7" t="str">
        <f>IFERROR(__xludf.DUMMYFUNCTION("""COMPUTED_VALUE"""),"Cục Cảnh sát QLHC về TTXH")</f>
        <v>Cục Cảnh sát QLHC về TTXH</v>
      </c>
      <c r="P769" s="7" t="str">
        <f>IFERROR(__xludf.DUMMYFUNCTION("""COMPUTED_VALUE"""),"Bằng nghề")</f>
        <v>Bằng nghề</v>
      </c>
      <c r="Q769" s="7" t="str">
        <f>IFERROR(__xludf.DUMMYFUNCTION("""COMPUTED_VALUE"""),"Lái xe hạng C")</f>
        <v>Lái xe hạng C</v>
      </c>
      <c r="R769" s="17">
        <f>IFERROR(__xludf.DUMMYFUNCTION("""COMPUTED_VALUE"""),43307.0)</f>
        <v>43307</v>
      </c>
      <c r="S769" s="17">
        <f>IFERROR(__xludf.DUMMYFUNCTION("""COMPUTED_VALUE"""),43466.0)</f>
        <v>43466</v>
      </c>
      <c r="T769" s="7" t="str">
        <f>IFERROR(__xludf.DUMMYFUNCTION("""COMPUTED_VALUE"""),"Chính thức")</f>
        <v>Chính thức</v>
      </c>
      <c r="U769" s="7"/>
      <c r="V769" s="7" t="str">
        <f>IFERROR(__xludf.DUMMYFUNCTION("""COMPUTED_VALUE"""),"Chính thức")</f>
        <v>Chính thức</v>
      </c>
      <c r="W769" s="7" t="str">
        <f>IFERROR(__xludf.DUMMYFUNCTION("""COMPUTED_VALUE"""),"7 năm 5 tháng")</f>
        <v>7 năm 5 tháng</v>
      </c>
      <c r="X769" s="7"/>
      <c r="Y769" s="7"/>
      <c r="Z769" s="7"/>
    </row>
    <row r="770">
      <c r="A770" s="7">
        <f>IFERROR(__xludf.DUMMYFUNCTION("""COMPUTED_VALUE"""),2.0)</f>
        <v>2</v>
      </c>
      <c r="B770" s="7" t="str">
        <f>IFERROR(__xludf.DUMMYFUNCTION("""COMPUTED_VALUE"""),"PXSX2")</f>
        <v>PXSX2</v>
      </c>
      <c r="C770" s="7" t="str">
        <f>IFERROR(__xludf.DUMMYFUNCTION("""COMPUTED_VALUE"""),"Nhóm Hậu cần nội vụ PXSX2")</f>
        <v>Nhóm Hậu cần nội vụ PXSX2</v>
      </c>
      <c r="D770" s="7" t="str">
        <f>IFERROR(__xludf.DUMMYFUNCTION("""COMPUTED_VALUE"""),"Bộ phận hành chính")</f>
        <v>Bộ phận hành chính</v>
      </c>
      <c r="E770" s="7" t="str">
        <f>IFERROR(__xludf.DUMMYFUNCTION("""COMPUTED_VALUE"""),"Vệ sinh công nghiệp")</f>
        <v>Vệ sinh công nghiệp</v>
      </c>
      <c r="F770" s="7" t="str">
        <f>IFERROR(__xludf.DUMMYFUNCTION("""COMPUTED_VALUE"""),"NV2606")</f>
        <v>NV2606</v>
      </c>
      <c r="G770" s="7">
        <f>IFERROR(__xludf.DUMMYFUNCTION("""COMPUTED_VALUE"""),533.0)</f>
        <v>533</v>
      </c>
      <c r="H770" s="7" t="str">
        <f>IFERROR(__xludf.DUMMYFUNCTION("""COMPUTED_VALUE"""),"Nguyễn Thị Vân")</f>
        <v>Nguyễn Thị Vân</v>
      </c>
      <c r="I770" s="7" t="str">
        <f>IFERROR(__xludf.DUMMYFUNCTION("""COMPUTED_VALUE"""),"Nữ")</f>
        <v>Nữ</v>
      </c>
      <c r="J770" s="17">
        <f>IFERROR(__xludf.DUMMYFUNCTION("""COMPUTED_VALUE"""),28483.0)</f>
        <v>28483</v>
      </c>
      <c r="K770" s="7" t="str">
        <f>IFERROR(__xludf.DUMMYFUNCTION("""COMPUTED_VALUE"""),"Xã Xuân Bình -  Huyện Như Xuân -  Thanh Hóa")</f>
        <v>Xã Xuân Bình -  Huyện Như Xuân -  Thanh Hóa</v>
      </c>
      <c r="L770" s="7" t="str">
        <f>IFERROR(__xludf.DUMMYFUNCTION("""COMPUTED_VALUE"""),"0961601352")</f>
        <v>0961601352</v>
      </c>
      <c r="M770" s="7" t="str">
        <f>IFERROR(__xludf.DUMMYFUNCTION("""COMPUTED_VALUE"""),"038177004378")</f>
        <v>038177004378</v>
      </c>
      <c r="N770" s="19">
        <f>IFERROR(__xludf.DUMMYFUNCTION("""COMPUTED_VALUE"""),43019.0)</f>
        <v>43019</v>
      </c>
      <c r="O770" s="7" t="str">
        <f>IFERROR(__xludf.DUMMYFUNCTION("""COMPUTED_VALUE"""),"Cục Cảnh sát QLHC về TTXH")</f>
        <v>Cục Cảnh sát QLHC về TTXH</v>
      </c>
      <c r="P770" s="7" t="str">
        <f>IFERROR(__xludf.DUMMYFUNCTION("""COMPUTED_VALUE"""),"LĐPT")</f>
        <v>LĐPT</v>
      </c>
      <c r="Q770" s="7" t="str">
        <f>IFERROR(__xludf.DUMMYFUNCTION("""COMPUTED_VALUE"""),"Lao động phổ thông")</f>
        <v>Lao động phổ thông</v>
      </c>
      <c r="R770" s="17">
        <f>IFERROR(__xludf.DUMMYFUNCTION("""COMPUTED_VALUE"""),45404.0)</f>
        <v>45404</v>
      </c>
      <c r="S770" s="17">
        <f>IFERROR(__xludf.DUMMYFUNCTION("""COMPUTED_VALUE"""),45536.0)</f>
        <v>45536</v>
      </c>
      <c r="T770" s="7" t="str">
        <f>IFERROR(__xludf.DUMMYFUNCTION("""COMPUTED_VALUE"""),"Chính thức")</f>
        <v>Chính thức</v>
      </c>
      <c r="U770" s="7"/>
      <c r="V770" s="7" t="str">
        <f>IFERROR(__xludf.DUMMYFUNCTION("""COMPUTED_VALUE"""),"Chính thức")</f>
        <v>Chính thức</v>
      </c>
      <c r="W770" s="7" t="str">
        <f>IFERROR(__xludf.DUMMYFUNCTION("""COMPUTED_VALUE"""),"1 năm 8 tháng")</f>
        <v>1 năm 8 tháng</v>
      </c>
      <c r="X770" s="7"/>
      <c r="Y770" s="7"/>
      <c r="Z770" s="7"/>
    </row>
    <row r="771">
      <c r="A771" s="7">
        <f>IFERROR(__xludf.DUMMYFUNCTION("""COMPUTED_VALUE"""),3.0)</f>
        <v>3</v>
      </c>
      <c r="B771" s="7" t="str">
        <f>IFERROR(__xludf.DUMMYFUNCTION("""COMPUTED_VALUE"""),"PXSX2")</f>
        <v>PXSX2</v>
      </c>
      <c r="C771" s="7" t="str">
        <f>IFERROR(__xludf.DUMMYFUNCTION("""COMPUTED_VALUE"""),"Nhóm Hậu cần nội vụ PXSX2")</f>
        <v>Nhóm Hậu cần nội vụ PXSX2</v>
      </c>
      <c r="D771" s="7" t="str">
        <f>IFERROR(__xludf.DUMMYFUNCTION("""COMPUTED_VALUE"""),"Bộ phận hành chính")</f>
        <v>Bộ phận hành chính</v>
      </c>
      <c r="E771" s="7" t="str">
        <f>IFERROR(__xludf.DUMMYFUNCTION("""COMPUTED_VALUE"""),"Nhóm trưởng xúc lật")</f>
        <v>Nhóm trưởng xúc lật</v>
      </c>
      <c r="F771" s="7" t="str">
        <f>IFERROR(__xludf.DUMMYFUNCTION("""COMPUTED_VALUE"""),"NV0714")</f>
        <v>NV0714</v>
      </c>
      <c r="G771" s="7">
        <f>IFERROR(__xludf.DUMMYFUNCTION("""COMPUTED_VALUE"""),728.0)</f>
        <v>728</v>
      </c>
      <c r="H771" s="7" t="str">
        <f>IFERROR(__xludf.DUMMYFUNCTION("""COMPUTED_VALUE"""),"Phùng Văn Dũng")</f>
        <v>Phùng Văn Dũng</v>
      </c>
      <c r="I771" s="7" t="str">
        <f>IFERROR(__xludf.DUMMYFUNCTION("""COMPUTED_VALUE"""),"Nam")</f>
        <v>Nam</v>
      </c>
      <c r="J771" s="17">
        <f>IFERROR(__xludf.DUMMYFUNCTION("""COMPUTED_VALUE"""),28392.0)</f>
        <v>28392</v>
      </c>
      <c r="K771" s="7" t="str">
        <f>IFERROR(__xludf.DUMMYFUNCTION("""COMPUTED_VALUE"""),"Xã Hà Yên -  Huyện Hà Trung -  Thanh Hóa")</f>
        <v>Xã Hà Yên -  Huyện Hà Trung -  Thanh Hóa</v>
      </c>
      <c r="L771" s="7" t="str">
        <f>IFERROR(__xludf.DUMMYFUNCTION("""COMPUTED_VALUE"""),"0977280532")</f>
        <v>0977280532</v>
      </c>
      <c r="M771" s="7" t="str">
        <f>IFERROR(__xludf.DUMMYFUNCTION("""COMPUTED_VALUE"""),"038077009001")</f>
        <v>038077009001</v>
      </c>
      <c r="N771" s="19">
        <f>IFERROR(__xludf.DUMMYFUNCTION("""COMPUTED_VALUE"""),44375.0)</f>
        <v>44375</v>
      </c>
      <c r="O771" s="7" t="str">
        <f>IFERROR(__xludf.DUMMYFUNCTION("""COMPUTED_VALUE"""),"Cục Cảnh sát QLHC về TTXH")</f>
        <v>Cục Cảnh sát QLHC về TTXH</v>
      </c>
      <c r="P771" s="7" t="str">
        <f>IFERROR(__xludf.DUMMYFUNCTION("""COMPUTED_VALUE"""),"Bằng nghề")</f>
        <v>Bằng nghề</v>
      </c>
      <c r="Q771" s="7" t="str">
        <f>IFERROR(__xludf.DUMMYFUNCTION("""COMPUTED_VALUE"""),"Lái máy xúc")</f>
        <v>Lái máy xúc</v>
      </c>
      <c r="R771" s="17">
        <f>IFERROR(__xludf.DUMMYFUNCTION("""COMPUTED_VALUE"""),38108.0)</f>
        <v>38108</v>
      </c>
      <c r="S771" s="17">
        <f>IFERROR(__xludf.DUMMYFUNCTION("""COMPUTED_VALUE"""),38108.0)</f>
        <v>38108</v>
      </c>
      <c r="T771" s="7" t="str">
        <f>IFERROR(__xludf.DUMMYFUNCTION("""COMPUTED_VALUE"""),"Chính thức")</f>
        <v>Chính thức</v>
      </c>
      <c r="U771" s="7"/>
      <c r="V771" s="7" t="str">
        <f>IFERROR(__xludf.DUMMYFUNCTION("""COMPUTED_VALUE"""),"Chính thức")</f>
        <v>Chính thức</v>
      </c>
      <c r="W771" s="7" t="str">
        <f>IFERROR(__xludf.DUMMYFUNCTION("""COMPUTED_VALUE"""),"21 năm 7 tháng")</f>
        <v>21 năm 7 tháng</v>
      </c>
      <c r="X771" s="7"/>
      <c r="Y771" s="7"/>
      <c r="Z771" s="7"/>
    </row>
    <row r="772">
      <c r="A772" s="7">
        <f>IFERROR(__xludf.DUMMYFUNCTION("""COMPUTED_VALUE"""),4.0)</f>
        <v>4</v>
      </c>
      <c r="B772" s="7" t="str">
        <f>IFERROR(__xludf.DUMMYFUNCTION("""COMPUTED_VALUE"""),"PXSX2")</f>
        <v>PXSX2</v>
      </c>
      <c r="C772" s="7" t="str">
        <f>IFERROR(__xludf.DUMMYFUNCTION("""COMPUTED_VALUE"""),"Nhóm Hậu cần nội vụ PXSX2")</f>
        <v>Nhóm Hậu cần nội vụ PXSX2</v>
      </c>
      <c r="D772" s="7" t="str">
        <f>IFERROR(__xludf.DUMMYFUNCTION("""COMPUTED_VALUE"""),"Bộ phận hành chính")</f>
        <v>Bộ phận hành chính</v>
      </c>
      <c r="E772" s="7" t="str">
        <f>IFERROR(__xludf.DUMMYFUNCTION("""COMPUTED_VALUE"""),"Xúc lật")</f>
        <v>Xúc lật</v>
      </c>
      <c r="F772" s="7" t="str">
        <f>IFERROR(__xludf.DUMMYFUNCTION("""COMPUTED_VALUE"""),"NV0713")</f>
        <v>NV0713</v>
      </c>
      <c r="G772" s="7">
        <f>IFERROR(__xludf.DUMMYFUNCTION("""COMPUTED_VALUE"""),581.0)</f>
        <v>581</v>
      </c>
      <c r="H772" s="7" t="str">
        <f>IFERROR(__xludf.DUMMYFUNCTION("""COMPUTED_VALUE"""),"Đỗ Đức Hà")</f>
        <v>Đỗ Đức Hà</v>
      </c>
      <c r="I772" s="7" t="str">
        <f>IFERROR(__xludf.DUMMYFUNCTION("""COMPUTED_VALUE"""),"Nam")</f>
        <v>Nam</v>
      </c>
      <c r="J772" s="17">
        <f>IFERROR(__xludf.DUMMYFUNCTION("""COMPUTED_VALUE"""),26475.0)</f>
        <v>26475</v>
      </c>
      <c r="K772" s="7" t="str">
        <f>IFERROR(__xludf.DUMMYFUNCTION("""COMPUTED_VALUE"""),"Thôn 8 -  Xã Hoằng Trạch -  Huyện Hoằng Hóa -  Thanh Hóa - ")</f>
        <v>Thôn 8 -  Xã Hoằng Trạch -  Huyện Hoằng Hóa -  Thanh Hóa - </v>
      </c>
      <c r="L772" s="7" t="str">
        <f>IFERROR(__xludf.DUMMYFUNCTION("""COMPUTED_VALUE"""),"0399751070")</f>
        <v>0399751070</v>
      </c>
      <c r="M772" s="7" t="str">
        <f>IFERROR(__xludf.DUMMYFUNCTION("""COMPUTED_VALUE"""),"038072005305")</f>
        <v>038072005305</v>
      </c>
      <c r="N772" s="19">
        <f>IFERROR(__xludf.DUMMYFUNCTION("""COMPUTED_VALUE"""),43035.0)</f>
        <v>43035</v>
      </c>
      <c r="O772" s="7" t="str">
        <f>IFERROR(__xludf.DUMMYFUNCTION("""COMPUTED_VALUE"""),"Cục Cảnh sát QLHC về TTXH")</f>
        <v>Cục Cảnh sát QLHC về TTXH</v>
      </c>
      <c r="P772" s="7" t="str">
        <f>IFERROR(__xludf.DUMMYFUNCTION("""COMPUTED_VALUE"""),"Bằng nghề")</f>
        <v>Bằng nghề</v>
      </c>
      <c r="Q772" s="7" t="str">
        <f>IFERROR(__xludf.DUMMYFUNCTION("""COMPUTED_VALUE"""),"Lái máy xúc")</f>
        <v>Lái máy xúc</v>
      </c>
      <c r="R772" s="17">
        <f>IFERROR(__xludf.DUMMYFUNCTION("""COMPUTED_VALUE"""),38078.0)</f>
        <v>38078</v>
      </c>
      <c r="S772" s="17">
        <f>IFERROR(__xludf.DUMMYFUNCTION("""COMPUTED_VALUE"""),38078.0)</f>
        <v>38078</v>
      </c>
      <c r="T772" s="7" t="str">
        <f>IFERROR(__xludf.DUMMYFUNCTION("""COMPUTED_VALUE"""),"Chính thức")</f>
        <v>Chính thức</v>
      </c>
      <c r="U772" s="7"/>
      <c r="V772" s="7" t="str">
        <f>IFERROR(__xludf.DUMMYFUNCTION("""COMPUTED_VALUE"""),"Chính thức")</f>
        <v>Chính thức</v>
      </c>
      <c r="W772" s="7" t="str">
        <f>IFERROR(__xludf.DUMMYFUNCTION("""COMPUTED_VALUE"""),"21 năm 8 tháng")</f>
        <v>21 năm 8 tháng</v>
      </c>
      <c r="X772" s="7"/>
      <c r="Y772" s="7"/>
      <c r="Z772" s="7"/>
    </row>
    <row r="773">
      <c r="A773" s="7">
        <f>IFERROR(__xludf.DUMMYFUNCTION("""COMPUTED_VALUE"""),5.0)</f>
        <v>5</v>
      </c>
      <c r="B773" s="7" t="str">
        <f>IFERROR(__xludf.DUMMYFUNCTION("""COMPUTED_VALUE"""),"PXSX2")</f>
        <v>PXSX2</v>
      </c>
      <c r="C773" s="7" t="str">
        <f>IFERROR(__xludf.DUMMYFUNCTION("""COMPUTED_VALUE"""),"Nhóm Hậu cần nội vụ PXSX2")</f>
        <v>Nhóm Hậu cần nội vụ PXSX2</v>
      </c>
      <c r="D773" s="7" t="str">
        <f>IFERROR(__xludf.DUMMYFUNCTION("""COMPUTED_VALUE"""),"Bộ phận hành chính")</f>
        <v>Bộ phận hành chính</v>
      </c>
      <c r="E773" s="7" t="str">
        <f>IFERROR(__xludf.DUMMYFUNCTION("""COMPUTED_VALUE"""),"Xúc lật")</f>
        <v>Xúc lật</v>
      </c>
      <c r="F773" s="7" t="str">
        <f>IFERROR(__xludf.DUMMYFUNCTION("""COMPUTED_VALUE"""),"NV1695")</f>
        <v>NV1695</v>
      </c>
      <c r="G773" s="7">
        <f>IFERROR(__xludf.DUMMYFUNCTION("""COMPUTED_VALUE"""),581.0)</f>
        <v>581</v>
      </c>
      <c r="H773" s="7" t="str">
        <f>IFERROR(__xludf.DUMMYFUNCTION("""COMPUTED_VALUE"""),"Trần Văn Đức")</f>
        <v>Trần Văn Đức</v>
      </c>
      <c r="I773" s="7" t="str">
        <f>IFERROR(__xludf.DUMMYFUNCTION("""COMPUTED_VALUE"""),"Nam")</f>
        <v>Nam</v>
      </c>
      <c r="J773" s="17">
        <f>IFERROR(__xludf.DUMMYFUNCTION("""COMPUTED_VALUE"""),31690.0)</f>
        <v>31690</v>
      </c>
      <c r="K773" s="7" t="str">
        <f>IFERROR(__xludf.DUMMYFUNCTION("""COMPUTED_VALUE"""),"Thôn 12 -  Xã Quảng Cát -  Thành phố Thanh Hóa -  Thanh Hóa -  Việt Nam")</f>
        <v>Thôn 12 -  Xã Quảng Cát -  Thành phố Thanh Hóa -  Thanh Hóa -  Việt Nam</v>
      </c>
      <c r="L773" s="7" t="str">
        <f>IFERROR(__xludf.DUMMYFUNCTION("""COMPUTED_VALUE"""),"0866103109")</f>
        <v>0866103109</v>
      </c>
      <c r="M773" s="7" t="str">
        <f>IFERROR(__xludf.DUMMYFUNCTION("""COMPUTED_VALUE"""),"038086004016")</f>
        <v>038086004016</v>
      </c>
      <c r="N773" s="19">
        <f>IFERROR(__xludf.DUMMYFUNCTION("""COMPUTED_VALUE"""),43340.0)</f>
        <v>43340</v>
      </c>
      <c r="O773" s="7" t="str">
        <f>IFERROR(__xludf.DUMMYFUNCTION("""COMPUTED_VALUE"""),"Cục Cảnh sát QLHC về TTXH")</f>
        <v>Cục Cảnh sát QLHC về TTXH</v>
      </c>
      <c r="P773" s="7" t="str">
        <f>IFERROR(__xludf.DUMMYFUNCTION("""COMPUTED_VALUE"""),"Bằng nghề")</f>
        <v>Bằng nghề</v>
      </c>
      <c r="Q773" s="7" t="str">
        <f>IFERROR(__xludf.DUMMYFUNCTION("""COMPUTED_VALUE"""),"Lái Xe hạng C")</f>
        <v>Lái Xe hạng C</v>
      </c>
      <c r="R773" s="17">
        <f>IFERROR(__xludf.DUMMYFUNCTION("""COMPUTED_VALUE"""),43340.0)</f>
        <v>43340</v>
      </c>
      <c r="S773" s="17">
        <f>IFERROR(__xludf.DUMMYFUNCTION("""COMPUTED_VALUE"""),43647.0)</f>
        <v>43647</v>
      </c>
      <c r="T773" s="7" t="str">
        <f>IFERROR(__xludf.DUMMYFUNCTION("""COMPUTED_VALUE"""),"Chính thức")</f>
        <v>Chính thức</v>
      </c>
      <c r="U773" s="7"/>
      <c r="V773" s="7" t="str">
        <f>IFERROR(__xludf.DUMMYFUNCTION("""COMPUTED_VALUE"""),"Chính thức")</f>
        <v>Chính thức</v>
      </c>
      <c r="W773" s="7" t="str">
        <f>IFERROR(__xludf.DUMMYFUNCTION("""COMPUTED_VALUE"""),"7 năm 4 tháng")</f>
        <v>7 năm 4 tháng</v>
      </c>
      <c r="X773" s="7"/>
      <c r="Y773" s="7"/>
      <c r="Z773" s="7"/>
    </row>
    <row r="774">
      <c r="A774" s="7">
        <f>IFERROR(__xludf.DUMMYFUNCTION("""COMPUTED_VALUE"""),6.0)</f>
        <v>6</v>
      </c>
      <c r="B774" s="7" t="str">
        <f>IFERROR(__xludf.DUMMYFUNCTION("""COMPUTED_VALUE"""),"PXSX2")</f>
        <v>PXSX2</v>
      </c>
      <c r="C774" s="7" t="str">
        <f>IFERROR(__xludf.DUMMYFUNCTION("""COMPUTED_VALUE"""),"Nhóm Hậu cần nội vụ PXSX2")</f>
        <v>Nhóm Hậu cần nội vụ PXSX2</v>
      </c>
      <c r="D774" s="7" t="str">
        <f>IFERROR(__xludf.DUMMYFUNCTION("""COMPUTED_VALUE"""),"Bộ phận hành chính")</f>
        <v>Bộ phận hành chính</v>
      </c>
      <c r="E774" s="7" t="str">
        <f>IFERROR(__xludf.DUMMYFUNCTION("""COMPUTED_VALUE"""),"Vệ sinh công nghiệp")</f>
        <v>Vệ sinh công nghiệp</v>
      </c>
      <c r="F774" s="7" t="str">
        <f>IFERROR(__xludf.DUMMYFUNCTION("""COMPUTED_VALUE"""),"NV5302")</f>
        <v>NV5302</v>
      </c>
      <c r="G774" s="7">
        <f>IFERROR(__xludf.DUMMYFUNCTION("""COMPUTED_VALUE"""),893.0)</f>
        <v>893</v>
      </c>
      <c r="H774" s="7" t="str">
        <f>IFERROR(__xludf.DUMMYFUNCTION("""COMPUTED_VALUE"""),"Lê Thị Ánh")</f>
        <v>Lê Thị Ánh</v>
      </c>
      <c r="I774" s="7" t="str">
        <f>IFERROR(__xludf.DUMMYFUNCTION("""COMPUTED_VALUE"""),"Nữ")</f>
        <v>Nữ</v>
      </c>
      <c r="J774" s="17">
        <f>IFERROR(__xludf.DUMMYFUNCTION("""COMPUTED_VALUE"""),32585.0)</f>
        <v>32585</v>
      </c>
      <c r="K774" s="7" t="str">
        <f>IFERROR(__xludf.DUMMYFUNCTION("""COMPUTED_VALUE"""),"Hoằng Phong -  Hoằng Hóa -  Thanh Hóa")</f>
        <v>Hoằng Phong -  Hoằng Hóa -  Thanh Hóa</v>
      </c>
      <c r="L774" s="7" t="str">
        <f>IFERROR(__xludf.DUMMYFUNCTION("""COMPUTED_VALUE"""),"0984675315")</f>
        <v>0984675315</v>
      </c>
      <c r="M774" s="7" t="str">
        <f>IFERROR(__xludf.DUMMYFUNCTION("""COMPUTED_VALUE"""),"038189032432")</f>
        <v>038189032432</v>
      </c>
      <c r="N774" s="19">
        <f>IFERROR(__xludf.DUMMYFUNCTION("""COMPUTED_VALUE"""),44557.0)</f>
        <v>44557</v>
      </c>
      <c r="O774" s="7" t="str">
        <f>IFERROR(__xludf.DUMMYFUNCTION("""COMPUTED_VALUE"""),"Cục Cảnh sát QLHC về TTXH")</f>
        <v>Cục Cảnh sát QLHC về TTXH</v>
      </c>
      <c r="P774" s="7" t="str">
        <f>IFERROR(__xludf.DUMMYFUNCTION("""COMPUTED_VALUE"""),"LĐPT")</f>
        <v>LĐPT</v>
      </c>
      <c r="Q774" s="7" t="str">
        <f>IFERROR(__xludf.DUMMYFUNCTION("""COMPUTED_VALUE"""),"Lao động phổ thông")</f>
        <v>Lao động phổ thông</v>
      </c>
      <c r="R774" s="17">
        <f>IFERROR(__xludf.DUMMYFUNCTION("""COMPUTED_VALUE"""),45733.0)</f>
        <v>45733</v>
      </c>
      <c r="S774" s="17">
        <f>IFERROR(__xludf.DUMMYFUNCTION("""COMPUTED_VALUE"""),45733.0)</f>
        <v>45733</v>
      </c>
      <c r="T774" s="7" t="str">
        <f>IFERROR(__xludf.DUMMYFUNCTION("""COMPUTED_VALUE"""),"Chính thức")</f>
        <v>Chính thức</v>
      </c>
      <c r="U774" s="7"/>
      <c r="V774" s="7" t="str">
        <f>IFERROR(__xludf.DUMMYFUNCTION("""COMPUTED_VALUE"""),"Chính thức")</f>
        <v>Chính thức</v>
      </c>
      <c r="W774" s="7" t="str">
        <f>IFERROR(__xludf.DUMMYFUNCTION("""COMPUTED_VALUE"""),"0 năm 9 tháng")</f>
        <v>0 năm 9 tháng</v>
      </c>
      <c r="X774" s="7"/>
      <c r="Y774" s="7"/>
      <c r="Z774" s="7"/>
    </row>
    <row r="775">
      <c r="A775" s="7">
        <f>IFERROR(__xludf.DUMMYFUNCTION("""COMPUTED_VALUE"""),1.0)</f>
        <v>1</v>
      </c>
      <c r="B775" s="7" t="str">
        <f>IFERROR(__xludf.DUMMYFUNCTION("""COMPUTED_VALUE"""),"PXSX2")</f>
        <v>PXSX2</v>
      </c>
      <c r="C775" s="7" t="str">
        <f>IFERROR(__xludf.DUMMYFUNCTION("""COMPUTED_VALUE"""),"Test mẫu PXSX2")</f>
        <v>Test mẫu PXSX2</v>
      </c>
      <c r="D775" s="7" t="str">
        <f>IFERROR(__xludf.DUMMYFUNCTION("""COMPUTED_VALUE"""),"Test mẫu PXSX2")</f>
        <v>Test mẫu PXSX2</v>
      </c>
      <c r="E775" s="7" t="str">
        <f>IFERROR(__xludf.DUMMYFUNCTION("""COMPUTED_VALUE"""),"CBKT thiết kế mẫu")</f>
        <v>CBKT thiết kế mẫu</v>
      </c>
      <c r="F775" s="7" t="str">
        <f>IFERROR(__xludf.DUMMYFUNCTION("""COMPUTED_VALUE"""),"NV0768")</f>
        <v>NV0768</v>
      </c>
      <c r="G775" s="7">
        <f>IFERROR(__xludf.DUMMYFUNCTION("""COMPUTED_VALUE"""),575.0)</f>
        <v>575</v>
      </c>
      <c r="H775" s="7" t="str">
        <f>IFERROR(__xludf.DUMMYFUNCTION("""COMPUTED_VALUE"""),"Vũ Đức Cường")</f>
        <v>Vũ Đức Cường</v>
      </c>
      <c r="I775" s="7" t="str">
        <f>IFERROR(__xludf.DUMMYFUNCTION("""COMPUTED_VALUE"""),"Nam")</f>
        <v>Nam</v>
      </c>
      <c r="J775" s="17">
        <f>IFERROR(__xludf.DUMMYFUNCTION("""COMPUTED_VALUE"""),29778.0)</f>
        <v>29778</v>
      </c>
      <c r="K775" s="7" t="str">
        <f>IFERROR(__xludf.DUMMYFUNCTION("""COMPUTED_VALUE"""),"Phố Thành Bắc - P.Quảng Hưng - TP Thanh Hóa")</f>
        <v>Phố Thành Bắc - P.Quảng Hưng - TP Thanh Hóa</v>
      </c>
      <c r="L775" s="7" t="str">
        <f>IFERROR(__xludf.DUMMYFUNCTION("""COMPUTED_VALUE"""),"0944397773")</f>
        <v>0944397773</v>
      </c>
      <c r="M775" s="7" t="str">
        <f>IFERROR(__xludf.DUMMYFUNCTION("""COMPUTED_VALUE"""),"038081019292")</f>
        <v>038081019292</v>
      </c>
      <c r="N775" s="19">
        <f>IFERROR(__xludf.DUMMYFUNCTION("""COMPUTED_VALUE"""),44428.0)</f>
        <v>44428</v>
      </c>
      <c r="O775" s="7" t="str">
        <f>IFERROR(__xludf.DUMMYFUNCTION("""COMPUTED_VALUE"""),"Cục Cảnh sát QLHC về TTXH")</f>
        <v>Cục Cảnh sát QLHC về TTXH</v>
      </c>
      <c r="P775" s="7" t="str">
        <f>IFERROR(__xludf.DUMMYFUNCTION("""COMPUTED_VALUE"""),"Đại học")</f>
        <v>Đại học</v>
      </c>
      <c r="Q775" s="7" t="str">
        <f>IFERROR(__xludf.DUMMYFUNCTION("""COMPUTED_VALUE"""),"Công nghệ kỹ thuật hóa học")</f>
        <v>Công nghệ kỹ thuật hóa học</v>
      </c>
      <c r="R775" s="17">
        <f>IFERROR(__xludf.DUMMYFUNCTION("""COMPUTED_VALUE"""),36774.0)</f>
        <v>36774</v>
      </c>
      <c r="S775" s="17">
        <f>IFERROR(__xludf.DUMMYFUNCTION("""COMPUTED_VALUE"""),36774.0)</f>
        <v>36774</v>
      </c>
      <c r="T775" s="7" t="str">
        <f>IFERROR(__xludf.DUMMYFUNCTION("""COMPUTED_VALUE"""),"Chính thức")</f>
        <v>Chính thức</v>
      </c>
      <c r="U775" s="7"/>
      <c r="V775" s="7" t="str">
        <f>IFERROR(__xludf.DUMMYFUNCTION("""COMPUTED_VALUE"""),"Chính thức")</f>
        <v>Chính thức</v>
      </c>
      <c r="W775" s="7" t="str">
        <f>IFERROR(__xludf.DUMMYFUNCTION("""COMPUTED_VALUE"""),"25 năm 3 tháng")</f>
        <v>25 năm 3 tháng</v>
      </c>
      <c r="X775" s="7"/>
      <c r="Y775" s="7"/>
      <c r="Z775" s="7"/>
    </row>
    <row r="776">
      <c r="A776" s="7">
        <f>IFERROR(__xludf.DUMMYFUNCTION("""COMPUTED_VALUE"""),2.0)</f>
        <v>2</v>
      </c>
      <c r="B776" s="7" t="str">
        <f>IFERROR(__xludf.DUMMYFUNCTION("""COMPUTED_VALUE"""),"PXSX2")</f>
        <v>PXSX2</v>
      </c>
      <c r="C776" s="7" t="str">
        <f>IFERROR(__xludf.DUMMYFUNCTION("""COMPUTED_VALUE"""),"Test mẫu PXSX2")</f>
        <v>Test mẫu PXSX2</v>
      </c>
      <c r="D776" s="7" t="str">
        <f>IFERROR(__xludf.DUMMYFUNCTION("""COMPUTED_VALUE"""),"Test mẫu PXSX2")</f>
        <v>Test mẫu PXSX2</v>
      </c>
      <c r="E776" s="7" t="str">
        <f>IFERROR(__xludf.DUMMYFUNCTION("""COMPUTED_VALUE"""),"NV Test mẫu")</f>
        <v>NV Test mẫu</v>
      </c>
      <c r="F776" s="7" t="str">
        <f>IFERROR(__xludf.DUMMYFUNCTION("""COMPUTED_VALUE"""),"NV5216")</f>
        <v>NV5216</v>
      </c>
      <c r="G776" s="7">
        <f>IFERROR(__xludf.DUMMYFUNCTION("""COMPUTED_VALUE"""),550.0)</f>
        <v>550</v>
      </c>
      <c r="H776" s="7" t="str">
        <f>IFERROR(__xludf.DUMMYFUNCTION("""COMPUTED_VALUE"""),"Lưu Đăng Khoa")</f>
        <v>Lưu Đăng Khoa</v>
      </c>
      <c r="I776" s="7" t="str">
        <f>IFERROR(__xludf.DUMMYFUNCTION("""COMPUTED_VALUE"""),"Nam")</f>
        <v>Nam</v>
      </c>
      <c r="J776" s="17">
        <f>IFERROR(__xludf.DUMMYFUNCTION("""COMPUTED_VALUE"""),33646.0)</f>
        <v>33646</v>
      </c>
      <c r="K776" s="7" t="str">
        <f>IFERROR(__xludf.DUMMYFUNCTION("""COMPUTED_VALUE"""),"94 Trần Bình Trọng -  Phường Đông Sơn -  thành phố Thanh Hóa")</f>
        <v>94 Trần Bình Trọng -  Phường Đông Sơn -  thành phố Thanh Hóa</v>
      </c>
      <c r="L776" s="7" t="str">
        <f>IFERROR(__xludf.DUMMYFUNCTION("""COMPUTED_VALUE"""),"0964983926")</f>
        <v>0964983926</v>
      </c>
      <c r="M776" s="7" t="str">
        <f>IFERROR(__xludf.DUMMYFUNCTION("""COMPUTED_VALUE"""),"038092010901")</f>
        <v>038092010901</v>
      </c>
      <c r="N776" s="19">
        <f>IFERROR(__xludf.DUMMYFUNCTION("""COMPUTED_VALUE"""),45486.0)</f>
        <v>45486</v>
      </c>
      <c r="O776" s="7" t="str">
        <f>IFERROR(__xludf.DUMMYFUNCTION("""COMPUTED_VALUE"""),"Cục Cảnh sát QLHC về TTXH")</f>
        <v>Cục Cảnh sát QLHC về TTXH</v>
      </c>
      <c r="P776" s="7" t="str">
        <f>IFERROR(__xludf.DUMMYFUNCTION("""COMPUTED_VALUE"""),"Cử nhân")</f>
        <v>Cử nhân</v>
      </c>
      <c r="Q776" s="7" t="str">
        <f>IFERROR(__xludf.DUMMYFUNCTION("""COMPUTED_VALUE"""),"Công nghệ thông tin")</f>
        <v>Công nghệ thông tin</v>
      </c>
      <c r="R776" s="17">
        <f>IFERROR(__xludf.DUMMYFUNCTION("""COMPUTED_VALUE"""),45439.0)</f>
        <v>45439</v>
      </c>
      <c r="S776" s="17">
        <f>IFERROR(__xludf.DUMMYFUNCTION("""COMPUTED_VALUE"""),45505.0)</f>
        <v>45505</v>
      </c>
      <c r="T776" s="7" t="str">
        <f>IFERROR(__xludf.DUMMYFUNCTION("""COMPUTED_VALUE"""),"Chính thức")</f>
        <v>Chính thức</v>
      </c>
      <c r="U776" s="7"/>
      <c r="V776" s="7" t="str">
        <f>IFERROR(__xludf.DUMMYFUNCTION("""COMPUTED_VALUE"""),"Chính thức")</f>
        <v>Chính thức</v>
      </c>
      <c r="W776" s="7" t="str">
        <f>IFERROR(__xludf.DUMMYFUNCTION("""COMPUTED_VALUE"""),"1 năm 7 tháng")</f>
        <v>1 năm 7 tháng</v>
      </c>
      <c r="X776" s="7"/>
      <c r="Y776" s="7"/>
      <c r="Z776" s="7"/>
    </row>
    <row r="777">
      <c r="A777" s="7">
        <f>IFERROR(__xludf.DUMMYFUNCTION("""COMPUTED_VALUE"""),3.0)</f>
        <v>3</v>
      </c>
      <c r="B777" s="7" t="str">
        <f>IFERROR(__xludf.DUMMYFUNCTION("""COMPUTED_VALUE"""),"PXSX2")</f>
        <v>PXSX2</v>
      </c>
      <c r="C777" s="7" t="str">
        <f>IFERROR(__xludf.DUMMYFUNCTION("""COMPUTED_VALUE"""),"Test mẫu PXSX2")</f>
        <v>Test mẫu PXSX2</v>
      </c>
      <c r="D777" s="7" t="str">
        <f>IFERROR(__xludf.DUMMYFUNCTION("""COMPUTED_VALUE"""),"Test mẫu PXSX2")</f>
        <v>Test mẫu PXSX2</v>
      </c>
      <c r="E777" s="7" t="str">
        <f>IFERROR(__xludf.DUMMYFUNCTION("""COMPUTED_VALUE"""),"NV Test mẫu")</f>
        <v>NV Test mẫu</v>
      </c>
      <c r="F777" s="7" t="str">
        <f>IFERROR(__xludf.DUMMYFUNCTION("""COMPUTED_VALUE"""),"NV3086")</f>
        <v>NV3086</v>
      </c>
      <c r="G777" s="7">
        <f>IFERROR(__xludf.DUMMYFUNCTION("""COMPUTED_VALUE"""),527.0)</f>
        <v>527</v>
      </c>
      <c r="H777" s="7" t="str">
        <f>IFERROR(__xludf.DUMMYFUNCTION("""COMPUTED_VALUE"""),"Nguyễn Sỹ Tư")</f>
        <v>Nguyễn Sỹ Tư</v>
      </c>
      <c r="I777" s="7" t="str">
        <f>IFERROR(__xludf.DUMMYFUNCTION("""COMPUTED_VALUE"""),"Nam")</f>
        <v>Nam</v>
      </c>
      <c r="J777" s="17">
        <f>IFERROR(__xludf.DUMMYFUNCTION("""COMPUTED_VALUE"""),33342.0)</f>
        <v>33342</v>
      </c>
      <c r="K777" s="7" t="str">
        <f>IFERROR(__xludf.DUMMYFUNCTION("""COMPUTED_VALUE"""),"Xã Quảng Thành -  Thành phố Thanh Hóa -  Thanh Hóa -  Việt Nam")</f>
        <v>Xã Quảng Thành -  Thành phố Thanh Hóa -  Thanh Hóa -  Việt Nam</v>
      </c>
      <c r="L777" s="7" t="str">
        <f>IFERROR(__xludf.DUMMYFUNCTION("""COMPUTED_VALUE"""),"0842009296")</f>
        <v>0842009296</v>
      </c>
      <c r="M777" s="7" t="str">
        <f>IFERROR(__xludf.DUMMYFUNCTION("""COMPUTED_VALUE"""),"038091029473")</f>
        <v>038091029473</v>
      </c>
      <c r="N777" s="19">
        <f>IFERROR(__xludf.DUMMYFUNCTION("""COMPUTED_VALUE"""),44375.0)</f>
        <v>44375</v>
      </c>
      <c r="O777" s="7" t="str">
        <f>IFERROR(__xludf.DUMMYFUNCTION("""COMPUTED_VALUE"""),"Cục Cảnh sát QLHC về TTXH")</f>
        <v>Cục Cảnh sát QLHC về TTXH</v>
      </c>
      <c r="P777" s="7" t="str">
        <f>IFERROR(__xludf.DUMMYFUNCTION("""COMPUTED_VALUE"""),"Kỹ sư")</f>
        <v>Kỹ sư</v>
      </c>
      <c r="Q777" s="7" t="str">
        <f>IFERROR(__xludf.DUMMYFUNCTION("""COMPUTED_VALUE"""),"Công Nghệ Kỹ thuật hóa học")</f>
        <v>Công Nghệ Kỹ thuật hóa học</v>
      </c>
      <c r="R777" s="17">
        <f>IFERROR(__xludf.DUMMYFUNCTION("""COMPUTED_VALUE"""),45697.0)</f>
        <v>45697</v>
      </c>
      <c r="S777" s="17">
        <f>IFERROR(__xludf.DUMMYFUNCTION("""COMPUTED_VALUE"""),45697.0)</f>
        <v>45697</v>
      </c>
      <c r="T777" s="7" t="str">
        <f>IFERROR(__xludf.DUMMYFUNCTION("""COMPUTED_VALUE"""),"Chính thức")</f>
        <v>Chính thức</v>
      </c>
      <c r="U777" s="7"/>
      <c r="V777" s="7" t="str">
        <f>IFERROR(__xludf.DUMMYFUNCTION("""COMPUTED_VALUE"""),"Chính thức")</f>
        <v>Chính thức</v>
      </c>
      <c r="W777" s="7" t="str">
        <f>IFERROR(__xludf.DUMMYFUNCTION("""COMPUTED_VALUE"""),"0 năm 10 tháng")</f>
        <v>0 năm 10 tháng</v>
      </c>
      <c r="X777" s="7"/>
      <c r="Y777" s="7"/>
      <c r="Z777" s="7"/>
    </row>
    <row r="778">
      <c r="A778" s="7">
        <f>IFERROR(__xludf.DUMMYFUNCTION("""COMPUTED_VALUE"""),4.0)</f>
        <v>4</v>
      </c>
      <c r="B778" s="7" t="str">
        <f>IFERROR(__xludf.DUMMYFUNCTION("""COMPUTED_VALUE"""),"PXSX2")</f>
        <v>PXSX2</v>
      </c>
      <c r="C778" s="7" t="str">
        <f>IFERROR(__xludf.DUMMYFUNCTION("""COMPUTED_VALUE"""),"Test mẫu PXSX2")</f>
        <v>Test mẫu PXSX2</v>
      </c>
      <c r="D778" s="7" t="str">
        <f>IFERROR(__xludf.DUMMYFUNCTION("""COMPUTED_VALUE"""),"Test mẫu PXSX2")</f>
        <v>Test mẫu PXSX2</v>
      </c>
      <c r="E778" s="7" t="str">
        <f>IFERROR(__xludf.DUMMYFUNCTION("""COMPUTED_VALUE"""),"NV Test mẫu")</f>
        <v>NV Test mẫu</v>
      </c>
      <c r="F778" s="7" t="str">
        <f>IFERROR(__xludf.DUMMYFUNCTION("""COMPUTED_VALUE"""),"NV0710")</f>
        <v>NV0710</v>
      </c>
      <c r="G778" s="7">
        <f>IFERROR(__xludf.DUMMYFUNCTION("""COMPUTED_VALUE"""),468.0)</f>
        <v>468</v>
      </c>
      <c r="H778" s="7" t="str">
        <f>IFERROR(__xludf.DUMMYFUNCTION("""COMPUTED_VALUE"""),"Lê Ngọc Minh")</f>
        <v>Lê Ngọc Minh</v>
      </c>
      <c r="I778" s="7" t="str">
        <f>IFERROR(__xludf.DUMMYFUNCTION("""COMPUTED_VALUE"""),"Nam")</f>
        <v>Nam</v>
      </c>
      <c r="J778" s="17">
        <f>IFERROR(__xludf.DUMMYFUNCTION("""COMPUTED_VALUE"""),34672.0)</f>
        <v>34672</v>
      </c>
      <c r="K778" s="7" t="str">
        <f>IFERROR(__xludf.DUMMYFUNCTION("""COMPUTED_VALUE"""),"Xã Quảng Tâm -  Thành phố Thanh Hóa -  Thanh Hóa -  Việt Nam")</f>
        <v>Xã Quảng Tâm -  Thành phố Thanh Hóa -  Thanh Hóa -  Việt Nam</v>
      </c>
      <c r="L778" s="7" t="str">
        <f>IFERROR(__xludf.DUMMYFUNCTION("""COMPUTED_VALUE"""),"0359015877")</f>
        <v>0359015877</v>
      </c>
      <c r="M778" s="7" t="str">
        <f>IFERROR(__xludf.DUMMYFUNCTION("""COMPUTED_VALUE"""),"038094008908")</f>
        <v>038094008908</v>
      </c>
      <c r="N778" s="19">
        <f>IFERROR(__xludf.DUMMYFUNCTION("""COMPUTED_VALUE"""),44375.0)</f>
        <v>44375</v>
      </c>
      <c r="O778" s="7" t="str">
        <f>IFERROR(__xludf.DUMMYFUNCTION("""COMPUTED_VALUE"""),"Cục Cảnh sát QLHC về TTXH")</f>
        <v>Cục Cảnh sát QLHC về TTXH</v>
      </c>
      <c r="P778" s="7" t="str">
        <f>IFERROR(__xludf.DUMMYFUNCTION("""COMPUTED_VALUE"""),"Trung cấp")</f>
        <v>Trung cấp</v>
      </c>
      <c r="Q778" s="7" t="str">
        <f>IFERROR(__xludf.DUMMYFUNCTION("""COMPUTED_VALUE"""),"Xây dựng")</f>
        <v>Xây dựng</v>
      </c>
      <c r="R778" s="17">
        <f>IFERROR(__xludf.DUMMYFUNCTION("""COMPUTED_VALUE"""),41872.0)</f>
        <v>41872</v>
      </c>
      <c r="S778" s="17">
        <f>IFERROR(__xludf.DUMMYFUNCTION("""COMPUTED_VALUE"""),41872.0)</f>
        <v>41872</v>
      </c>
      <c r="T778" s="7" t="str">
        <f>IFERROR(__xludf.DUMMYFUNCTION("""COMPUTED_VALUE"""),"Chính thức")</f>
        <v>Chính thức</v>
      </c>
      <c r="U778" s="7"/>
      <c r="V778" s="7" t="str">
        <f>IFERROR(__xludf.DUMMYFUNCTION("""COMPUTED_VALUE"""),"Chính thức")</f>
        <v>Chính thức</v>
      </c>
      <c r="W778" s="7" t="str">
        <f>IFERROR(__xludf.DUMMYFUNCTION("""COMPUTED_VALUE"""),"11 năm 4 tháng")</f>
        <v>11 năm 4 tháng</v>
      </c>
      <c r="X778" s="7"/>
      <c r="Y778" s="7"/>
      <c r="Z778" s="7"/>
    </row>
    <row r="779">
      <c r="A779" s="7">
        <f>IFERROR(__xludf.DUMMYFUNCTION("""COMPUTED_VALUE"""),1.0)</f>
        <v>1</v>
      </c>
      <c r="B779" s="7" t="str">
        <f>IFERROR(__xludf.DUMMYFUNCTION("""COMPUTED_VALUE"""),"PXSX2")</f>
        <v>PXSX2</v>
      </c>
      <c r="C779" s="7" t="str">
        <f>IFERROR(__xludf.DUMMYFUNCTION("""COMPUTED_VALUE"""),"Phân xưởng sản xuất bao bì")</f>
        <v>Phân xưởng sản xuất bao bì</v>
      </c>
      <c r="D779" s="7" t="str">
        <f>IFERROR(__xludf.DUMMYFUNCTION("""COMPUTED_VALUE"""),"Bộ phận hành chính")</f>
        <v>Bộ phận hành chính</v>
      </c>
      <c r="E779" s="7" t="str">
        <f>IFERROR(__xludf.DUMMYFUNCTION("""COMPUTED_VALUE"""),"Xuất hàng kiêm thủ kho")</f>
        <v>Xuất hàng kiêm thủ kho</v>
      </c>
      <c r="F779" s="7" t="str">
        <f>IFERROR(__xludf.DUMMYFUNCTION("""COMPUTED_VALUE"""),"NV5651")</f>
        <v>NV5651</v>
      </c>
      <c r="G779" s="7">
        <f>IFERROR(__xludf.DUMMYFUNCTION("""COMPUTED_VALUE"""),1144.0)</f>
        <v>1144</v>
      </c>
      <c r="H779" s="7" t="str">
        <f>IFERROR(__xludf.DUMMYFUNCTION("""COMPUTED_VALUE"""),"Đào Thị Hoa")</f>
        <v>Đào Thị Hoa</v>
      </c>
      <c r="I779" s="7" t="str">
        <f>IFERROR(__xludf.DUMMYFUNCTION("""COMPUTED_VALUE"""),"Nữ")</f>
        <v>Nữ</v>
      </c>
      <c r="J779" s="17">
        <f>IFERROR(__xludf.DUMMYFUNCTION("""COMPUTED_VALUE"""),31238.0)</f>
        <v>31238</v>
      </c>
      <c r="K779" s="7" t="str">
        <f>IFERROR(__xludf.DUMMYFUNCTION("""COMPUTED_VALUE"""),"16 Dương Văn Nga - Phường Hàm Rồng - Tỉnh Thanh Hóa")</f>
        <v>16 Dương Văn Nga - Phường Hàm Rồng - Tỉnh Thanh Hóa</v>
      </c>
      <c r="L779" s="7" t="str">
        <f>IFERROR(__xludf.DUMMYFUNCTION("""COMPUTED_VALUE"""),"0915126262")</f>
        <v>0915126262</v>
      </c>
      <c r="M779" s="7" t="str">
        <f>IFERROR(__xludf.DUMMYFUNCTION("""COMPUTED_VALUE"""),"038185016066")</f>
        <v>038185016066</v>
      </c>
      <c r="N779" s="19">
        <f>IFERROR(__xludf.DUMMYFUNCTION("""COMPUTED_VALUE"""),45764.0)</f>
        <v>45764</v>
      </c>
      <c r="O779" s="7" t="str">
        <f>IFERROR(__xludf.DUMMYFUNCTION("""COMPUTED_VALUE"""),"Bộ công an")</f>
        <v>Bộ công an</v>
      </c>
      <c r="P779" s="7" t="str">
        <f>IFERROR(__xludf.DUMMYFUNCTION("""COMPUTED_VALUE"""),"Đại học")</f>
        <v>Đại học</v>
      </c>
      <c r="Q779" s="7" t="str">
        <f>IFERROR(__xludf.DUMMYFUNCTION("""COMPUTED_VALUE"""),"Cử nhân Tiếng Anh")</f>
        <v>Cử nhân Tiếng Anh</v>
      </c>
      <c r="R779" s="17">
        <f>IFERROR(__xludf.DUMMYFUNCTION("""COMPUTED_VALUE"""),45880.0)</f>
        <v>45880</v>
      </c>
      <c r="S779" s="17">
        <f>IFERROR(__xludf.DUMMYFUNCTION("""COMPUTED_VALUE"""),45911.0)</f>
        <v>45911</v>
      </c>
      <c r="T779" s="7" t="str">
        <f>IFERROR(__xludf.DUMMYFUNCTION("""COMPUTED_VALUE"""),"Chính thức")</f>
        <v>Chính thức</v>
      </c>
      <c r="U779" s="7"/>
      <c r="V779" s="7" t="str">
        <f>IFERROR(__xludf.DUMMYFUNCTION("""COMPUTED_VALUE"""),"Chính thức")</f>
        <v>Chính thức</v>
      </c>
      <c r="W779" s="7" t="str">
        <f>IFERROR(__xludf.DUMMYFUNCTION("""COMPUTED_VALUE"""),"0 năm 4 tháng")</f>
        <v>0 năm 4 tháng</v>
      </c>
      <c r="X779" s="7"/>
      <c r="Y779" s="7"/>
      <c r="Z779" s="7"/>
    </row>
    <row r="780">
      <c r="A780" s="7">
        <f>IFERROR(__xludf.DUMMYFUNCTION("""COMPUTED_VALUE"""),2.0)</f>
        <v>2</v>
      </c>
      <c r="B780" s="7" t="str">
        <f>IFERROR(__xludf.DUMMYFUNCTION("""COMPUTED_VALUE"""),"PXSX2")</f>
        <v>PXSX2</v>
      </c>
      <c r="C780" s="7" t="str">
        <f>IFERROR(__xludf.DUMMYFUNCTION("""COMPUTED_VALUE"""),"Phân xưởng sản xuất bao bì")</f>
        <v>Phân xưởng sản xuất bao bì</v>
      </c>
      <c r="D780" s="7" t="str">
        <f>IFERROR(__xludf.DUMMYFUNCTION("""COMPUTED_VALUE"""),"Bộ phận hành chính")</f>
        <v>Bộ phận hành chính</v>
      </c>
      <c r="E780" s="7" t="str">
        <f>IFERROR(__xludf.DUMMYFUNCTION("""COMPUTED_VALUE"""),"Công nhân vận hành")</f>
        <v>Công nhân vận hành</v>
      </c>
      <c r="F780" s="7" t="str">
        <f>IFERROR(__xludf.DUMMYFUNCTION("""COMPUTED_VALUE"""),"NV5653")</f>
        <v>NV5653</v>
      </c>
      <c r="G780" s="7">
        <f>IFERROR(__xludf.DUMMYFUNCTION("""COMPUTED_VALUE"""),1146.0)</f>
        <v>1146</v>
      </c>
      <c r="H780" s="7" t="str">
        <f>IFERROR(__xludf.DUMMYFUNCTION("""COMPUTED_VALUE"""),"Lê Duy Hiền")</f>
        <v>Lê Duy Hiền</v>
      </c>
      <c r="I780" s="7" t="str">
        <f>IFERROR(__xludf.DUMMYFUNCTION("""COMPUTED_VALUE"""),"Nam")</f>
        <v>Nam</v>
      </c>
      <c r="J780" s="17">
        <f>IFERROR(__xludf.DUMMYFUNCTION("""COMPUTED_VALUE"""),25602.0)</f>
        <v>25602</v>
      </c>
      <c r="K780" s="7" t="str">
        <f>IFERROR(__xludf.DUMMYFUNCTION("""COMPUTED_VALUE"""),"Thôn Phục Lễ - Xã Hoằng Châu - Tỉnh Thanh Hóa")</f>
        <v>Thôn Phục Lễ - Xã Hoằng Châu - Tỉnh Thanh Hóa</v>
      </c>
      <c r="L780" s="7" t="str">
        <f>IFERROR(__xludf.DUMMYFUNCTION("""COMPUTED_VALUE"""),"0964388129")</f>
        <v>0964388129</v>
      </c>
      <c r="M780" s="7" t="str">
        <f>IFERROR(__xludf.DUMMYFUNCTION("""COMPUTED_VALUE"""),"038070009765")</f>
        <v>038070009765</v>
      </c>
      <c r="N780" s="19">
        <f>IFERROR(__xludf.DUMMYFUNCTION("""COMPUTED_VALUE"""),44435.0)</f>
        <v>44435</v>
      </c>
      <c r="O780" s="7" t="str">
        <f>IFERROR(__xludf.DUMMYFUNCTION("""COMPUTED_VALUE"""),"Cục Cảnh sát QLHC về TTXH")</f>
        <v>Cục Cảnh sát QLHC về TTXH</v>
      </c>
      <c r="P780" s="7" t="str">
        <f>IFERROR(__xludf.DUMMYFUNCTION("""COMPUTED_VALUE"""),"LĐPT")</f>
        <v>LĐPT</v>
      </c>
      <c r="Q780" s="7" t="str">
        <f>IFERROR(__xludf.DUMMYFUNCTION("""COMPUTED_VALUE"""),"Lao động phổ thông")</f>
        <v>Lao động phổ thông</v>
      </c>
      <c r="R780" s="17">
        <f>IFERROR(__xludf.DUMMYFUNCTION("""COMPUTED_VALUE"""),45880.0)</f>
        <v>45880</v>
      </c>
      <c r="S780" s="17">
        <f>IFERROR(__xludf.DUMMYFUNCTION("""COMPUTED_VALUE"""),45911.0)</f>
        <v>45911</v>
      </c>
      <c r="T780" s="7" t="str">
        <f>IFERROR(__xludf.DUMMYFUNCTION("""COMPUTED_VALUE"""),"Chính thức")</f>
        <v>Chính thức</v>
      </c>
      <c r="U780" s="7"/>
      <c r="V780" s="7" t="str">
        <f>IFERROR(__xludf.DUMMYFUNCTION("""COMPUTED_VALUE"""),"Chính thức")</f>
        <v>Chính thức</v>
      </c>
      <c r="W780" s="7" t="str">
        <f>IFERROR(__xludf.DUMMYFUNCTION("""COMPUTED_VALUE"""),"0 năm 4 tháng")</f>
        <v>0 năm 4 tháng</v>
      </c>
      <c r="X780" s="7"/>
      <c r="Y780" s="7"/>
      <c r="Z780" s="7"/>
    </row>
    <row r="781">
      <c r="A781" s="7">
        <f>IFERROR(__xludf.DUMMYFUNCTION("""COMPUTED_VALUE"""),3.0)</f>
        <v>3</v>
      </c>
      <c r="B781" s="7" t="str">
        <f>IFERROR(__xludf.DUMMYFUNCTION("""COMPUTED_VALUE"""),"PXSX2")</f>
        <v>PXSX2</v>
      </c>
      <c r="C781" s="7" t="str">
        <f>IFERROR(__xludf.DUMMYFUNCTION("""COMPUTED_VALUE"""),"Phân xưởng sản xuất bao bì")</f>
        <v>Phân xưởng sản xuất bao bì</v>
      </c>
      <c r="D781" s="7" t="str">
        <f>IFERROR(__xludf.DUMMYFUNCTION("""COMPUTED_VALUE"""),"Bộ phận hành chính")</f>
        <v>Bộ phận hành chính</v>
      </c>
      <c r="E781" s="7" t="str">
        <f>IFERROR(__xludf.DUMMYFUNCTION("""COMPUTED_VALUE"""),"Tổ trưởng - VH máy dán")</f>
        <v>Tổ trưởng - VH máy dán</v>
      </c>
      <c r="F781" s="7" t="str">
        <f>IFERROR(__xludf.DUMMYFUNCTION("""COMPUTED_VALUE"""),"NV5656")</f>
        <v>NV5656</v>
      </c>
      <c r="G781" s="7">
        <f>IFERROR(__xludf.DUMMYFUNCTION("""COMPUTED_VALUE"""),1149.0)</f>
        <v>1149</v>
      </c>
      <c r="H781" s="7" t="str">
        <f>IFERROR(__xludf.DUMMYFUNCTION("""COMPUTED_VALUE"""),"Lê Văn Hiệp")</f>
        <v>Lê Văn Hiệp</v>
      </c>
      <c r="I781" s="7" t="str">
        <f>IFERROR(__xludf.DUMMYFUNCTION("""COMPUTED_VALUE"""),"Nam")</f>
        <v>Nam</v>
      </c>
      <c r="J781" s="17">
        <f>IFERROR(__xludf.DUMMYFUNCTION("""COMPUTED_VALUE"""),31551.0)</f>
        <v>31551</v>
      </c>
      <c r="K781" s="7" t="str">
        <f>IFERROR(__xludf.DUMMYFUNCTION("""COMPUTED_VALUE"""),"Thôn Thần Xuân - Xã Hoằng Sơn - Tỉnh Thanh Hóa")</f>
        <v>Thôn Thần Xuân - Xã Hoằng Sơn - Tỉnh Thanh Hóa</v>
      </c>
      <c r="L781" s="7" t="str">
        <f>IFERROR(__xludf.DUMMYFUNCTION("""COMPUTED_VALUE"""),"0385003973")</f>
        <v>0385003973</v>
      </c>
      <c r="M781" s="7" t="str">
        <f>IFERROR(__xludf.DUMMYFUNCTION("""COMPUTED_VALUE"""),"038086036935")</f>
        <v>038086036935</v>
      </c>
      <c r="N781" s="19">
        <f>IFERROR(__xludf.DUMMYFUNCTION("""COMPUTED_VALUE"""),44534.0)</f>
        <v>44534</v>
      </c>
      <c r="O781" s="7" t="str">
        <f>IFERROR(__xludf.DUMMYFUNCTION("""COMPUTED_VALUE"""),"Cục Cảnh sát QLHC về TTXH")</f>
        <v>Cục Cảnh sát QLHC về TTXH</v>
      </c>
      <c r="P781" s="7" t="str">
        <f>IFERROR(__xludf.DUMMYFUNCTION("""COMPUTED_VALUE"""),"Cao đẳng")</f>
        <v>Cao đẳng</v>
      </c>
      <c r="Q781" s="7" t="str">
        <f>IFERROR(__xludf.DUMMYFUNCTION("""COMPUTED_VALUE"""),"Cao đẳng công nghiệp")</f>
        <v>Cao đẳng công nghiệp</v>
      </c>
      <c r="R781" s="17">
        <f>IFERROR(__xludf.DUMMYFUNCTION("""COMPUTED_VALUE"""),45880.0)</f>
        <v>45880</v>
      </c>
      <c r="S781" s="17">
        <f>IFERROR(__xludf.DUMMYFUNCTION("""COMPUTED_VALUE"""),45911.0)</f>
        <v>45911</v>
      </c>
      <c r="T781" s="7" t="str">
        <f>IFERROR(__xludf.DUMMYFUNCTION("""COMPUTED_VALUE"""),"Chính thức")</f>
        <v>Chính thức</v>
      </c>
      <c r="U781" s="7"/>
      <c r="V781" s="7" t="str">
        <f>IFERROR(__xludf.DUMMYFUNCTION("""COMPUTED_VALUE"""),"Chính thức")</f>
        <v>Chính thức</v>
      </c>
      <c r="W781" s="7" t="str">
        <f>IFERROR(__xludf.DUMMYFUNCTION("""COMPUTED_VALUE"""),"0 năm 4 tháng")</f>
        <v>0 năm 4 tháng</v>
      </c>
      <c r="X781" s="7"/>
      <c r="Y781" s="7"/>
      <c r="Z781" s="7"/>
    </row>
    <row r="782">
      <c r="A782" s="7">
        <f>IFERROR(__xludf.DUMMYFUNCTION("""COMPUTED_VALUE"""),4.0)</f>
        <v>4</v>
      </c>
      <c r="B782" s="7" t="str">
        <f>IFERROR(__xludf.DUMMYFUNCTION("""COMPUTED_VALUE"""),"PXSX2")</f>
        <v>PXSX2</v>
      </c>
      <c r="C782" s="7" t="str">
        <f>IFERROR(__xludf.DUMMYFUNCTION("""COMPUTED_VALUE"""),"Phân xưởng sản xuất bao bì")</f>
        <v>Phân xưởng sản xuất bao bì</v>
      </c>
      <c r="D782" s="7" t="str">
        <f>IFERROR(__xludf.DUMMYFUNCTION("""COMPUTED_VALUE"""),"Bộ phận hành chính")</f>
        <v>Bộ phận hành chính</v>
      </c>
      <c r="E782" s="7" t="str">
        <f>IFERROR(__xludf.DUMMYFUNCTION("""COMPUTED_VALUE"""),"Quản đốc - kiêm kế hoạch SX")</f>
        <v>Quản đốc - kiêm kế hoạch SX</v>
      </c>
      <c r="F782" s="7" t="str">
        <f>IFERROR(__xludf.DUMMYFUNCTION("""COMPUTED_VALUE"""),"NV5677")</f>
        <v>NV5677</v>
      </c>
      <c r="G782" s="7">
        <f>IFERROR(__xludf.DUMMYFUNCTION("""COMPUTED_VALUE"""),1171.0)</f>
        <v>1171</v>
      </c>
      <c r="H782" s="7" t="str">
        <f>IFERROR(__xludf.DUMMYFUNCTION("""COMPUTED_VALUE"""),"Đinh Xuân Lộc")</f>
        <v>Đinh Xuân Lộc</v>
      </c>
      <c r="I782" s="7" t="str">
        <f>IFERROR(__xludf.DUMMYFUNCTION("""COMPUTED_VALUE"""),"Nam")</f>
        <v>Nam</v>
      </c>
      <c r="J782" s="17">
        <f>IFERROR(__xludf.DUMMYFUNCTION("""COMPUTED_VALUE"""),32176.0)</f>
        <v>32176</v>
      </c>
      <c r="K782" s="7" t="str">
        <f>IFERROR(__xludf.DUMMYFUNCTION("""COMPUTED_VALUE"""),"Phúc Sơn - Hoằng Hóa - Thanh Hóa")</f>
        <v>Phúc Sơn - Hoằng Hóa - Thanh Hóa</v>
      </c>
      <c r="L782" s="7" t="str">
        <f>IFERROR(__xludf.DUMMYFUNCTION("""COMPUTED_VALUE"""),"0984257615")</f>
        <v>0984257615</v>
      </c>
      <c r="M782" s="7" t="str">
        <f>IFERROR(__xludf.DUMMYFUNCTION("""COMPUTED_VALUE"""),"038088005240")</f>
        <v>038088005240</v>
      </c>
      <c r="N782" s="19">
        <f>IFERROR(__xludf.DUMMYFUNCTION("""COMPUTED_VALUE"""),44419.0)</f>
        <v>44419</v>
      </c>
      <c r="O782" s="7" t="str">
        <f>IFERROR(__xludf.DUMMYFUNCTION("""COMPUTED_VALUE"""),"Cục Cảnh sát QLHC về TTXH")</f>
        <v>Cục Cảnh sát QLHC về TTXH</v>
      </c>
      <c r="P782" s="7" t="str">
        <f>IFERROR(__xludf.DUMMYFUNCTION("""COMPUTED_VALUE"""),"Trung cấp")</f>
        <v>Trung cấp</v>
      </c>
      <c r="Q782" s="7" t="str">
        <f>IFERROR(__xludf.DUMMYFUNCTION("""COMPUTED_VALUE"""),"Trung cấp nghề sữa chữa 
ô tô -  xe máy")</f>
        <v>Trung cấp nghề sữa chữa 
ô tô -  xe máy</v>
      </c>
      <c r="R782" s="17">
        <f>IFERROR(__xludf.DUMMYFUNCTION("""COMPUTED_VALUE"""),45870.0)</f>
        <v>45870</v>
      </c>
      <c r="S782" s="17">
        <f>IFERROR(__xludf.DUMMYFUNCTION("""COMPUTED_VALUE"""),45901.0)</f>
        <v>45901</v>
      </c>
      <c r="T782" s="7" t="str">
        <f>IFERROR(__xludf.DUMMYFUNCTION("""COMPUTED_VALUE"""),"Chính thức")</f>
        <v>Chính thức</v>
      </c>
      <c r="U782" s="7"/>
      <c r="V782" s="7" t="str">
        <f>IFERROR(__xludf.DUMMYFUNCTION("""COMPUTED_VALUE"""),"Chính thức")</f>
        <v>Chính thức</v>
      </c>
      <c r="W782" s="7" t="str">
        <f>IFERROR(__xludf.DUMMYFUNCTION("""COMPUTED_VALUE"""),"0 năm 4 tháng")</f>
        <v>0 năm 4 tháng</v>
      </c>
      <c r="X782" s="7"/>
      <c r="Y782" s="7"/>
      <c r="Z782" s="7"/>
    </row>
    <row r="783">
      <c r="A783" s="7">
        <f>IFERROR(__xludf.DUMMYFUNCTION("""COMPUTED_VALUE"""),5.0)</f>
        <v>5</v>
      </c>
      <c r="B783" s="7" t="str">
        <f>IFERROR(__xludf.DUMMYFUNCTION("""COMPUTED_VALUE"""),"PXSX2")</f>
        <v>PXSX2</v>
      </c>
      <c r="C783" s="7" t="str">
        <f>IFERROR(__xludf.DUMMYFUNCTION("""COMPUTED_VALUE"""),"Phân xưởng sản xuất bao bì")</f>
        <v>Phân xưởng sản xuất bao bì</v>
      </c>
      <c r="D783" s="7" t="str">
        <f>IFERROR(__xludf.DUMMYFUNCTION("""COMPUTED_VALUE"""),"Bộ phận hành chính")</f>
        <v>Bộ phận hành chính</v>
      </c>
      <c r="E783" s="7" t="str">
        <f>IFERROR(__xludf.DUMMYFUNCTION("""COMPUTED_VALUE"""),"Tổ trưởng - VH máy in")</f>
        <v>Tổ trưởng - VH máy in</v>
      </c>
      <c r="F783" s="7" t="str">
        <f>IFERROR(__xludf.DUMMYFUNCTION("""COMPUTED_VALUE"""),"NV5679")</f>
        <v>NV5679</v>
      </c>
      <c r="G783" s="7">
        <f>IFERROR(__xludf.DUMMYFUNCTION("""COMPUTED_VALUE"""),1173.0)</f>
        <v>1173</v>
      </c>
      <c r="H783" s="7" t="str">
        <f>IFERROR(__xludf.DUMMYFUNCTION("""COMPUTED_VALUE"""),"Đỗ Văn Hùng")</f>
        <v>Đỗ Văn Hùng</v>
      </c>
      <c r="I783" s="7" t="str">
        <f>IFERROR(__xludf.DUMMYFUNCTION("""COMPUTED_VALUE"""),"Nam")</f>
        <v>Nam</v>
      </c>
      <c r="J783" s="17">
        <f>IFERROR(__xludf.DUMMYFUNCTION("""COMPUTED_VALUE"""),30880.0)</f>
        <v>30880</v>
      </c>
      <c r="K783" s="7" t="str">
        <f>IFERROR(__xludf.DUMMYFUNCTION("""COMPUTED_VALUE"""),"Thôn Hải Phúc- Xã Hoằng Châu - Tỉnh Thanh Hóa")</f>
        <v>Thôn Hải Phúc- Xã Hoằng Châu - Tỉnh Thanh Hóa</v>
      </c>
      <c r="L783" s="7" t="str">
        <f>IFERROR(__xludf.DUMMYFUNCTION("""COMPUTED_VALUE"""),"0973266233")</f>
        <v>0973266233</v>
      </c>
      <c r="M783" s="7" t="str">
        <f>IFERROR(__xludf.DUMMYFUNCTION("""COMPUTED_VALUE"""),"038084054485")</f>
        <v>038084054485</v>
      </c>
      <c r="N783" s="19">
        <f>IFERROR(__xludf.DUMMYFUNCTION("""COMPUTED_VALUE"""),45225.0)</f>
        <v>45225</v>
      </c>
      <c r="O783" s="7" t="str">
        <f>IFERROR(__xludf.DUMMYFUNCTION("""COMPUTED_VALUE"""),"Cục Cảnh sát QLHC về TTXH")</f>
        <v>Cục Cảnh sát QLHC về TTXH</v>
      </c>
      <c r="P783" s="7" t="str">
        <f>IFERROR(__xludf.DUMMYFUNCTION("""COMPUTED_VALUE"""),"LĐPT")</f>
        <v>LĐPT</v>
      </c>
      <c r="Q783" s="7" t="str">
        <f>IFERROR(__xludf.DUMMYFUNCTION("""COMPUTED_VALUE"""),"Lao động phổ thông")</f>
        <v>Lao động phổ thông</v>
      </c>
      <c r="R783" s="17">
        <f>IFERROR(__xludf.DUMMYFUNCTION("""COMPUTED_VALUE"""),45885.0)</f>
        <v>45885</v>
      </c>
      <c r="S783" s="17">
        <f>IFERROR(__xludf.DUMMYFUNCTION("""COMPUTED_VALUE"""),45916.0)</f>
        <v>45916</v>
      </c>
      <c r="T783" s="7" t="str">
        <f>IFERROR(__xludf.DUMMYFUNCTION("""COMPUTED_VALUE"""),"Chính thức")</f>
        <v>Chính thức</v>
      </c>
      <c r="U783" s="7"/>
      <c r="V783" s="7" t="str">
        <f>IFERROR(__xludf.DUMMYFUNCTION("""COMPUTED_VALUE"""),"Chính thức")</f>
        <v>Chính thức</v>
      </c>
      <c r="W783" s="7" t="str">
        <f>IFERROR(__xludf.DUMMYFUNCTION("""COMPUTED_VALUE"""),"0 năm 4 tháng")</f>
        <v>0 năm 4 tháng</v>
      </c>
      <c r="X783" s="7"/>
      <c r="Y783" s="7"/>
      <c r="Z783" s="7"/>
    </row>
    <row r="784">
      <c r="A784" s="7">
        <f>IFERROR(__xludf.DUMMYFUNCTION("""COMPUTED_VALUE"""),6.0)</f>
        <v>6</v>
      </c>
      <c r="B784" s="7" t="str">
        <f>IFERROR(__xludf.DUMMYFUNCTION("""COMPUTED_VALUE"""),"PXSX2")</f>
        <v>PXSX2</v>
      </c>
      <c r="C784" s="7" t="str">
        <f>IFERROR(__xludf.DUMMYFUNCTION("""COMPUTED_VALUE"""),"Phân xưởng sản xuất bao bì")</f>
        <v>Phân xưởng sản xuất bao bì</v>
      </c>
      <c r="D784" s="7" t="str">
        <f>IFERROR(__xludf.DUMMYFUNCTION("""COMPUTED_VALUE"""),"Bộ phận hành chính")</f>
        <v>Bộ phận hành chính</v>
      </c>
      <c r="E784" s="7" t="str">
        <f>IFERROR(__xludf.DUMMYFUNCTION("""COMPUTED_VALUE"""),"Công nhân vận hành")</f>
        <v>Công nhân vận hành</v>
      </c>
      <c r="F784" s="7" t="str">
        <f>IFERROR(__xludf.DUMMYFUNCTION("""COMPUTED_VALUE"""),"NV5680")</f>
        <v>NV5680</v>
      </c>
      <c r="G784" s="7">
        <f>IFERROR(__xludf.DUMMYFUNCTION("""COMPUTED_VALUE"""),1174.0)</f>
        <v>1174</v>
      </c>
      <c r="H784" s="7" t="str">
        <f>IFERROR(__xludf.DUMMYFUNCTION("""COMPUTED_VALUE"""),"Lê Văn Thúy")</f>
        <v>Lê Văn Thúy</v>
      </c>
      <c r="I784" s="7" t="str">
        <f>IFERROR(__xludf.DUMMYFUNCTION("""COMPUTED_VALUE"""),"Nam")</f>
        <v>Nam</v>
      </c>
      <c r="J784" s="17">
        <f>IFERROR(__xludf.DUMMYFUNCTION("""COMPUTED_VALUE"""),28078.0)</f>
        <v>28078</v>
      </c>
      <c r="K784" s="7" t="str">
        <f>IFERROR(__xludf.DUMMYFUNCTION("""COMPUTED_VALUE"""),"Thôn Đức Thành - Xã Hoằng Sơn - Tỉnh Thanh Hóa")</f>
        <v>Thôn Đức Thành - Xã Hoằng Sơn - Tỉnh Thanh Hóa</v>
      </c>
      <c r="L784" s="7" t="str">
        <f>IFERROR(__xludf.DUMMYFUNCTION("""COMPUTED_VALUE"""),"0365605549")</f>
        <v>0365605549</v>
      </c>
      <c r="M784" s="7" t="str">
        <f>IFERROR(__xludf.DUMMYFUNCTION("""COMPUTED_VALUE"""),"038076016590")</f>
        <v>038076016590</v>
      </c>
      <c r="N784" s="7"/>
      <c r="O784" s="7" t="str">
        <f>IFERROR(__xludf.DUMMYFUNCTION("""COMPUTED_VALUE"""),"Cục Cảnh sát QLHC về TTXH")</f>
        <v>Cục Cảnh sát QLHC về TTXH</v>
      </c>
      <c r="P784" s="7" t="str">
        <f>IFERROR(__xludf.DUMMYFUNCTION("""COMPUTED_VALUE"""),"LĐPT")</f>
        <v>LĐPT</v>
      </c>
      <c r="Q784" s="7" t="str">
        <f>IFERROR(__xludf.DUMMYFUNCTION("""COMPUTED_VALUE"""),"Lao động phổ thông")</f>
        <v>Lao động phổ thông</v>
      </c>
      <c r="R784" s="17">
        <f>IFERROR(__xludf.DUMMYFUNCTION("""COMPUTED_VALUE"""),45875.0)</f>
        <v>45875</v>
      </c>
      <c r="S784" s="17">
        <f>IFERROR(__xludf.DUMMYFUNCTION("""COMPUTED_VALUE"""),45906.0)</f>
        <v>45906</v>
      </c>
      <c r="T784" s="7" t="str">
        <f>IFERROR(__xludf.DUMMYFUNCTION("""COMPUTED_VALUE"""),"Chính thức")</f>
        <v>Chính thức</v>
      </c>
      <c r="U784" s="7"/>
      <c r="V784" s="7" t="str">
        <f>IFERROR(__xludf.DUMMYFUNCTION("""COMPUTED_VALUE"""),"Chính thức")</f>
        <v>Chính thức</v>
      </c>
      <c r="W784" s="7" t="str">
        <f>IFERROR(__xludf.DUMMYFUNCTION("""COMPUTED_VALUE"""),"0 năm 4 tháng")</f>
        <v>0 năm 4 tháng</v>
      </c>
      <c r="X784" s="7"/>
      <c r="Y784" s="7"/>
      <c r="Z784" s="7"/>
    </row>
    <row r="785">
      <c r="A785" s="7">
        <f>IFERROR(__xludf.DUMMYFUNCTION("""COMPUTED_VALUE"""),7.0)</f>
        <v>7</v>
      </c>
      <c r="B785" s="7" t="str">
        <f>IFERROR(__xludf.DUMMYFUNCTION("""COMPUTED_VALUE"""),"PXSX2")</f>
        <v>PXSX2</v>
      </c>
      <c r="C785" s="7" t="str">
        <f>IFERROR(__xludf.DUMMYFUNCTION("""COMPUTED_VALUE"""),"Phân xưởng sản xuất bao bì")</f>
        <v>Phân xưởng sản xuất bao bì</v>
      </c>
      <c r="D785" s="7" t="str">
        <f>IFERROR(__xludf.DUMMYFUNCTION("""COMPUTED_VALUE"""),"Bộ phận hành chính")</f>
        <v>Bộ phận hành chính</v>
      </c>
      <c r="E785" s="7" t="str">
        <f>IFERROR(__xludf.DUMMYFUNCTION("""COMPUTED_VALUE"""),"Công nhân vận hành")</f>
        <v>Công nhân vận hành</v>
      </c>
      <c r="F785" s="7" t="str">
        <f>IFERROR(__xludf.DUMMYFUNCTION("""COMPUTED_VALUE"""),"NV5681")</f>
        <v>NV5681</v>
      </c>
      <c r="G785" s="7">
        <f>IFERROR(__xludf.DUMMYFUNCTION("""COMPUTED_VALUE"""),1175.0)</f>
        <v>1175</v>
      </c>
      <c r="H785" s="7" t="str">
        <f>IFERROR(__xludf.DUMMYFUNCTION("""COMPUTED_VALUE"""),"Lê Văn Tư")</f>
        <v>Lê Văn Tư</v>
      </c>
      <c r="I785" s="7" t="str">
        <f>IFERROR(__xludf.DUMMYFUNCTION("""COMPUTED_VALUE"""),"Nam")</f>
        <v>Nam</v>
      </c>
      <c r="J785" s="17">
        <f>IFERROR(__xludf.DUMMYFUNCTION("""COMPUTED_VALUE"""),32883.0)</f>
        <v>32883</v>
      </c>
      <c r="K785" s="7" t="str">
        <f>IFERROR(__xludf.DUMMYFUNCTION("""COMPUTED_VALUE"""),"Thôn Đình Sen- Xã Hoằng Châu - Tỉnh Thanh Hóa")</f>
        <v>Thôn Đình Sen- Xã Hoằng Châu - Tỉnh Thanh Hóa</v>
      </c>
      <c r="L785" s="7" t="str">
        <f>IFERROR(__xludf.DUMMYFUNCTION("""COMPUTED_VALUE"""),"0372521667")</f>
        <v>0372521667</v>
      </c>
      <c r="M785" s="7" t="str">
        <f>IFERROR(__xludf.DUMMYFUNCTION("""COMPUTED_VALUE"""),"038090038005")</f>
        <v>038090038005</v>
      </c>
      <c r="N785" s="19">
        <f>IFERROR(__xludf.DUMMYFUNCTION("""COMPUTED_VALUE"""),44742.0)</f>
        <v>44742</v>
      </c>
      <c r="O785" s="7" t="str">
        <f>IFERROR(__xludf.DUMMYFUNCTION("""COMPUTED_VALUE"""),"Cục Cảnh sát QLHC về TTXH")</f>
        <v>Cục Cảnh sát QLHC về TTXH</v>
      </c>
      <c r="P785" s="7" t="str">
        <f>IFERROR(__xludf.DUMMYFUNCTION("""COMPUTED_VALUE"""),"LĐPT")</f>
        <v>LĐPT</v>
      </c>
      <c r="Q785" s="7" t="str">
        <f>IFERROR(__xludf.DUMMYFUNCTION("""COMPUTED_VALUE"""),"Lao động phổ thông")</f>
        <v>Lao động phổ thông</v>
      </c>
      <c r="R785" s="17">
        <f>IFERROR(__xludf.DUMMYFUNCTION("""COMPUTED_VALUE"""),45874.0)</f>
        <v>45874</v>
      </c>
      <c r="S785" s="17">
        <f>IFERROR(__xludf.DUMMYFUNCTION("""COMPUTED_VALUE"""),45905.0)</f>
        <v>45905</v>
      </c>
      <c r="T785" s="7" t="str">
        <f>IFERROR(__xludf.DUMMYFUNCTION("""COMPUTED_VALUE"""),"Chính thức")</f>
        <v>Chính thức</v>
      </c>
      <c r="U785" s="7"/>
      <c r="V785" s="7" t="str">
        <f>IFERROR(__xludf.DUMMYFUNCTION("""COMPUTED_VALUE"""),"Chính thức")</f>
        <v>Chính thức</v>
      </c>
      <c r="W785" s="7" t="str">
        <f>IFERROR(__xludf.DUMMYFUNCTION("""COMPUTED_VALUE"""),"0 năm 4 tháng")</f>
        <v>0 năm 4 tháng</v>
      </c>
      <c r="X785" s="7"/>
      <c r="Y785" s="7"/>
      <c r="Z785" s="7"/>
    </row>
    <row r="786">
      <c r="A786" s="7">
        <f>IFERROR(__xludf.DUMMYFUNCTION("""COMPUTED_VALUE"""),8.0)</f>
        <v>8</v>
      </c>
      <c r="B786" s="7" t="str">
        <f>IFERROR(__xludf.DUMMYFUNCTION("""COMPUTED_VALUE"""),"PXSX2")</f>
        <v>PXSX2</v>
      </c>
      <c r="C786" s="7" t="str">
        <f>IFERROR(__xludf.DUMMYFUNCTION("""COMPUTED_VALUE"""),"Phân xưởng sản xuất bao bì")</f>
        <v>Phân xưởng sản xuất bao bì</v>
      </c>
      <c r="D786" s="7" t="str">
        <f>IFERROR(__xludf.DUMMYFUNCTION("""COMPUTED_VALUE"""),"Bộ phận hành chính")</f>
        <v>Bộ phận hành chính</v>
      </c>
      <c r="E786" s="7" t="str">
        <f>IFERROR(__xludf.DUMMYFUNCTION("""COMPUTED_VALUE"""),"Công nhân vận hành")</f>
        <v>Công nhân vận hành</v>
      </c>
      <c r="F786" s="7" t="str">
        <f>IFERROR(__xludf.DUMMYFUNCTION("""COMPUTED_VALUE"""),"NV5682")</f>
        <v>NV5682</v>
      </c>
      <c r="G786" s="7">
        <f>IFERROR(__xludf.DUMMYFUNCTION("""COMPUTED_VALUE"""),1176.0)</f>
        <v>1176</v>
      </c>
      <c r="H786" s="7" t="str">
        <f>IFERROR(__xludf.DUMMYFUNCTION("""COMPUTED_VALUE"""),"Tống Ngọc Liên")</f>
        <v>Tống Ngọc Liên</v>
      </c>
      <c r="I786" s="7" t="str">
        <f>IFERROR(__xludf.DUMMYFUNCTION("""COMPUTED_VALUE"""),"Nam")</f>
        <v>Nam</v>
      </c>
      <c r="J786" s="17">
        <f>IFERROR(__xludf.DUMMYFUNCTION("""COMPUTED_VALUE"""),24586.0)</f>
        <v>24586</v>
      </c>
      <c r="K786" s="7" t="str">
        <f>IFERROR(__xludf.DUMMYFUNCTION("""COMPUTED_VALUE"""),"Thôn Gia Hòa- Xã Hoằng Châu - Tỉnh Thanh Hóa")</f>
        <v>Thôn Gia Hòa- Xã Hoằng Châu - Tỉnh Thanh Hóa</v>
      </c>
      <c r="L786" s="7" t="str">
        <f>IFERROR(__xludf.DUMMYFUNCTION("""COMPUTED_VALUE"""),"0986190514")</f>
        <v>0986190514</v>
      </c>
      <c r="M786" s="7" t="str">
        <f>IFERROR(__xludf.DUMMYFUNCTION("""COMPUTED_VALUE"""),"038067004362")</f>
        <v>038067004362</v>
      </c>
      <c r="N786" s="7"/>
      <c r="O786" s="7" t="str">
        <f>IFERROR(__xludf.DUMMYFUNCTION("""COMPUTED_VALUE"""),"Cục Cảnh sát QLHC về TTXH")</f>
        <v>Cục Cảnh sát QLHC về TTXH</v>
      </c>
      <c r="P786" s="7" t="str">
        <f>IFERROR(__xludf.DUMMYFUNCTION("""COMPUTED_VALUE"""),"LĐPT")</f>
        <v>LĐPT</v>
      </c>
      <c r="Q786" s="7" t="str">
        <f>IFERROR(__xludf.DUMMYFUNCTION("""COMPUTED_VALUE"""),"Lao động phổ thông")</f>
        <v>Lao động phổ thông</v>
      </c>
      <c r="R786" s="17">
        <f>IFERROR(__xludf.DUMMYFUNCTION("""COMPUTED_VALUE"""),45875.0)</f>
        <v>45875</v>
      </c>
      <c r="S786" s="17">
        <f>IFERROR(__xludf.DUMMYFUNCTION("""COMPUTED_VALUE"""),45906.0)</f>
        <v>45906</v>
      </c>
      <c r="T786" s="7" t="str">
        <f>IFERROR(__xludf.DUMMYFUNCTION("""COMPUTED_VALUE"""),"Chính thức")</f>
        <v>Chính thức</v>
      </c>
      <c r="U786" s="7"/>
      <c r="V786" s="7" t="str">
        <f>IFERROR(__xludf.DUMMYFUNCTION("""COMPUTED_VALUE"""),"Chính thức")</f>
        <v>Chính thức</v>
      </c>
      <c r="W786" s="7" t="str">
        <f>IFERROR(__xludf.DUMMYFUNCTION("""COMPUTED_VALUE"""),"0 năm 4 tháng")</f>
        <v>0 năm 4 tháng</v>
      </c>
      <c r="X786" s="7"/>
      <c r="Y786" s="7"/>
      <c r="Z786" s="7"/>
    </row>
    <row r="787">
      <c r="A787" s="7">
        <f>IFERROR(__xludf.DUMMYFUNCTION("""COMPUTED_VALUE"""),9.0)</f>
        <v>9</v>
      </c>
      <c r="B787" s="7" t="str">
        <f>IFERROR(__xludf.DUMMYFUNCTION("""COMPUTED_VALUE"""),"PXSX2")</f>
        <v>PXSX2</v>
      </c>
      <c r="C787" s="7" t="str">
        <f>IFERROR(__xludf.DUMMYFUNCTION("""COMPUTED_VALUE"""),"Phân xưởng sản xuất bao bì")</f>
        <v>Phân xưởng sản xuất bao bì</v>
      </c>
      <c r="D787" s="7" t="str">
        <f>IFERROR(__xludf.DUMMYFUNCTION("""COMPUTED_VALUE"""),"Bộ phận hành chính")</f>
        <v>Bộ phận hành chính</v>
      </c>
      <c r="E787" s="7" t="str">
        <f>IFERROR(__xludf.DUMMYFUNCTION("""COMPUTED_VALUE"""),"Công nhân vận hành")</f>
        <v>Công nhân vận hành</v>
      </c>
      <c r="F787" s="7" t="str">
        <f>IFERROR(__xludf.DUMMYFUNCTION("""COMPUTED_VALUE"""),"NV5685")</f>
        <v>NV5685</v>
      </c>
      <c r="G787" s="7">
        <f>IFERROR(__xludf.DUMMYFUNCTION("""COMPUTED_VALUE"""),1179.0)</f>
        <v>1179</v>
      </c>
      <c r="H787" s="7" t="str">
        <f>IFERROR(__xludf.DUMMYFUNCTION("""COMPUTED_VALUE"""),"Lê Văn Minh")</f>
        <v>Lê Văn Minh</v>
      </c>
      <c r="I787" s="7" t="str">
        <f>IFERROR(__xludf.DUMMYFUNCTION("""COMPUTED_VALUE"""),"Nam")</f>
        <v>Nam</v>
      </c>
      <c r="J787" s="17">
        <f>IFERROR(__xludf.DUMMYFUNCTION("""COMPUTED_VALUE"""),35608.0)</f>
        <v>35608</v>
      </c>
      <c r="K787" s="7" t="str">
        <f>IFERROR(__xludf.DUMMYFUNCTION("""COMPUTED_VALUE"""),"31 Trần Bình Trọng - Phường Hạc Thành - Tỉnh Thanh Hóa")</f>
        <v>31 Trần Bình Trọng - Phường Hạc Thành - Tỉnh Thanh Hóa</v>
      </c>
      <c r="L787" s="7" t="str">
        <f>IFERROR(__xludf.DUMMYFUNCTION("""COMPUTED_VALUE"""),"0356566718")</f>
        <v>0356566718</v>
      </c>
      <c r="M787" s="7" t="str">
        <f>IFERROR(__xludf.DUMMYFUNCTION("""COMPUTED_VALUE"""),"038097030003")</f>
        <v>038097030003</v>
      </c>
      <c r="N787" s="19">
        <f>IFERROR(__xludf.DUMMYFUNCTION("""COMPUTED_VALUE"""),44683.0)</f>
        <v>44683</v>
      </c>
      <c r="O787" s="7" t="str">
        <f>IFERROR(__xludf.DUMMYFUNCTION("""COMPUTED_VALUE"""),"Cục Cảnh sát QLHC về TTXH")</f>
        <v>Cục Cảnh sát QLHC về TTXH</v>
      </c>
      <c r="P787" s="7" t="str">
        <f>IFERROR(__xludf.DUMMYFUNCTION("""COMPUTED_VALUE"""),"Kỹ sư")</f>
        <v>Kỹ sư</v>
      </c>
      <c r="Q787" s="7" t="str">
        <f>IFERROR(__xludf.DUMMYFUNCTION("""COMPUTED_VALUE"""),"Kỹ sư kỹ thuật điện tử và tự động hóa")</f>
        <v>Kỹ sư kỹ thuật điện tử và tự động hóa</v>
      </c>
      <c r="R787" s="17">
        <f>IFERROR(__xludf.DUMMYFUNCTION("""COMPUTED_VALUE"""),45905.0)</f>
        <v>45905</v>
      </c>
      <c r="S787" s="17">
        <f>IFERROR(__xludf.DUMMYFUNCTION("""COMPUTED_VALUE"""),45935.0)</f>
        <v>45935</v>
      </c>
      <c r="T787" s="7" t="str">
        <f>IFERROR(__xludf.DUMMYFUNCTION("""COMPUTED_VALUE"""),"Chính thức")</f>
        <v>Chính thức</v>
      </c>
      <c r="U787" s="7"/>
      <c r="V787" s="7" t="str">
        <f>IFERROR(__xludf.DUMMYFUNCTION("""COMPUTED_VALUE"""),"Chính thức")</f>
        <v>Chính thức</v>
      </c>
      <c r="W787" s="7" t="str">
        <f>IFERROR(__xludf.DUMMYFUNCTION("""COMPUTED_VALUE"""),"0 năm 3 tháng")</f>
        <v>0 năm 3 tháng</v>
      </c>
      <c r="X787" s="7"/>
      <c r="Y787" s="7"/>
      <c r="Z787" s="7"/>
    </row>
    <row r="788">
      <c r="A788" s="7">
        <f>IFERROR(__xludf.DUMMYFUNCTION("""COMPUTED_VALUE"""),10.0)</f>
        <v>10</v>
      </c>
      <c r="B788" s="7" t="str">
        <f>IFERROR(__xludf.DUMMYFUNCTION("""COMPUTED_VALUE"""),"PXSX2")</f>
        <v>PXSX2</v>
      </c>
      <c r="C788" s="7" t="str">
        <f>IFERROR(__xludf.DUMMYFUNCTION("""COMPUTED_VALUE"""),"Phân xưởng sản xuất bao bì")</f>
        <v>Phân xưởng sản xuất bao bì</v>
      </c>
      <c r="D788" s="7" t="str">
        <f>IFERROR(__xludf.DUMMYFUNCTION("""COMPUTED_VALUE"""),"Bộ phận hành chính")</f>
        <v>Bộ phận hành chính</v>
      </c>
      <c r="E788" s="7" t="str">
        <f>IFERROR(__xludf.DUMMYFUNCTION("""COMPUTED_VALUE"""),"Tổ phó và VH đầu dồn")</f>
        <v>Tổ phó và VH đầu dồn</v>
      </c>
      <c r="F788" s="7" t="str">
        <f>IFERROR(__xludf.DUMMYFUNCTION("""COMPUTED_VALUE"""),"NV5688")</f>
        <v>NV5688</v>
      </c>
      <c r="G788" s="7">
        <f>IFERROR(__xludf.DUMMYFUNCTION("""COMPUTED_VALUE"""),1182.0)</f>
        <v>1182</v>
      </c>
      <c r="H788" s="7" t="str">
        <f>IFERROR(__xludf.DUMMYFUNCTION("""COMPUTED_VALUE"""),"Nguyễn Ngọc Vũ")</f>
        <v>Nguyễn Ngọc Vũ</v>
      </c>
      <c r="I788" s="7" t="str">
        <f>IFERROR(__xludf.DUMMYFUNCTION("""COMPUTED_VALUE"""),"Nam")</f>
        <v>Nam</v>
      </c>
      <c r="J788" s="17">
        <f>IFERROR(__xludf.DUMMYFUNCTION("""COMPUTED_VALUE"""),35120.0)</f>
        <v>35120</v>
      </c>
      <c r="K788" s="7" t="str">
        <f>IFERROR(__xludf.DUMMYFUNCTION("""COMPUTED_VALUE"""),"Xã Thọ Bình - Tỉnh Thanh Hóa")</f>
        <v>Xã Thọ Bình - Tỉnh Thanh Hóa</v>
      </c>
      <c r="L788" s="7" t="str">
        <f>IFERROR(__xludf.DUMMYFUNCTION("""COMPUTED_VALUE"""),"0386877418")</f>
        <v>0386877418</v>
      </c>
      <c r="M788" s="7" t="str">
        <f>IFERROR(__xludf.DUMMYFUNCTION("""COMPUTED_VALUE"""),"038096029498")</f>
        <v>038096029498</v>
      </c>
      <c r="N788" s="19">
        <f>IFERROR(__xludf.DUMMYFUNCTION("""COMPUTED_VALUE"""),45176.0)</f>
        <v>45176</v>
      </c>
      <c r="O788" s="7" t="str">
        <f>IFERROR(__xludf.DUMMYFUNCTION("""COMPUTED_VALUE"""),"Cục Cảnh sát QLHC về TTXH")</f>
        <v>Cục Cảnh sát QLHC về TTXH</v>
      </c>
      <c r="P788" s="7" t="str">
        <f>IFERROR(__xludf.DUMMYFUNCTION("""COMPUTED_VALUE"""),"LĐPT")</f>
        <v>LĐPT</v>
      </c>
      <c r="Q788" s="7" t="str">
        <f>IFERROR(__xludf.DUMMYFUNCTION("""COMPUTED_VALUE"""),"Lao động phổ thông")</f>
        <v>Lao động phổ thông</v>
      </c>
      <c r="R788" s="17">
        <f>IFERROR(__xludf.DUMMYFUNCTION("""COMPUTED_VALUE"""),45905.0)</f>
        <v>45905</v>
      </c>
      <c r="S788" s="17">
        <f>IFERROR(__xludf.DUMMYFUNCTION("""COMPUTED_VALUE"""),45935.0)</f>
        <v>45935</v>
      </c>
      <c r="T788" s="7" t="str">
        <f>IFERROR(__xludf.DUMMYFUNCTION("""COMPUTED_VALUE"""),"Chính thức")</f>
        <v>Chính thức</v>
      </c>
      <c r="U788" s="7"/>
      <c r="V788" s="7" t="str">
        <f>IFERROR(__xludf.DUMMYFUNCTION("""COMPUTED_VALUE"""),"Chính thức")</f>
        <v>Chính thức</v>
      </c>
      <c r="W788" s="7" t="str">
        <f>IFERROR(__xludf.DUMMYFUNCTION("""COMPUTED_VALUE"""),"0 năm 3 tháng")</f>
        <v>0 năm 3 tháng</v>
      </c>
      <c r="X788" s="7"/>
      <c r="Y788" s="7"/>
      <c r="Z788" s="7"/>
    </row>
    <row r="789">
      <c r="A789" s="7">
        <f>IFERROR(__xludf.DUMMYFUNCTION("""COMPUTED_VALUE"""),11.0)</f>
        <v>11</v>
      </c>
      <c r="B789" s="7" t="str">
        <f>IFERROR(__xludf.DUMMYFUNCTION("""COMPUTED_VALUE"""),"PXSX2")</f>
        <v>PXSX2</v>
      </c>
      <c r="C789" s="7" t="str">
        <f>IFERROR(__xludf.DUMMYFUNCTION("""COMPUTED_VALUE"""),"Phân xưởng sản xuất bao bì")</f>
        <v>Phân xưởng sản xuất bao bì</v>
      </c>
      <c r="D789" s="7" t="str">
        <f>IFERROR(__xludf.DUMMYFUNCTION("""COMPUTED_VALUE"""),"Bộ phận hành chính")</f>
        <v>Bộ phận hành chính</v>
      </c>
      <c r="E789" s="7" t="str">
        <f>IFERROR(__xludf.DUMMYFUNCTION("""COMPUTED_VALUE"""),"Cán bộ cơ điện")</f>
        <v>Cán bộ cơ điện</v>
      </c>
      <c r="F789" s="7" t="str">
        <f>IFERROR(__xludf.DUMMYFUNCTION("""COMPUTED_VALUE"""),"NV5698")</f>
        <v>NV5698</v>
      </c>
      <c r="G789" s="7">
        <f>IFERROR(__xludf.DUMMYFUNCTION("""COMPUTED_VALUE"""),1190.0)</f>
        <v>1190</v>
      </c>
      <c r="H789" s="7" t="str">
        <f>IFERROR(__xludf.DUMMYFUNCTION("""COMPUTED_VALUE"""),"Lê Hữu Tuấn")</f>
        <v>Lê Hữu Tuấn</v>
      </c>
      <c r="I789" s="7" t="str">
        <f>IFERROR(__xludf.DUMMYFUNCTION("""COMPUTED_VALUE"""),"Nam")</f>
        <v>Nam</v>
      </c>
      <c r="J789" s="17">
        <f>IFERROR(__xludf.DUMMYFUNCTION("""COMPUTED_VALUE"""),34431.0)</f>
        <v>34431</v>
      </c>
      <c r="K789" s="7" t="str">
        <f>IFERROR(__xludf.DUMMYFUNCTION("""COMPUTED_VALUE"""),"Quang Minh - Xã Quảng Ngọc - Tỉnh Thanh Hóa")</f>
        <v>Quang Minh - Xã Quảng Ngọc - Tỉnh Thanh Hóa</v>
      </c>
      <c r="L789" s="7" t="str">
        <f>IFERROR(__xludf.DUMMYFUNCTION("""COMPUTED_VALUE"""),"0984328309")</f>
        <v>0984328309</v>
      </c>
      <c r="M789" s="7" t="str">
        <f>IFERROR(__xludf.DUMMYFUNCTION("""COMPUTED_VALUE"""),"038094026742")</f>
        <v>038094026742</v>
      </c>
      <c r="N789" s="19">
        <f>IFERROR(__xludf.DUMMYFUNCTION("""COMPUTED_VALUE"""),44419.0)</f>
        <v>44419</v>
      </c>
      <c r="O789" s="7" t="str">
        <f>IFERROR(__xludf.DUMMYFUNCTION("""COMPUTED_VALUE"""),"Cục Cảnh sát QLHC về TTXH")</f>
        <v>Cục Cảnh sát QLHC về TTXH</v>
      </c>
      <c r="P789" s="7" t="str">
        <f>IFERROR(__xludf.DUMMYFUNCTION("""COMPUTED_VALUE"""),"Kỹ sư")</f>
        <v>Kỹ sư</v>
      </c>
      <c r="Q789" s="7" t="str">
        <f>IFERROR(__xludf.DUMMYFUNCTION("""COMPUTED_VALUE"""),"Kỹ sư công nghệ kỹ thuật cơ khí")</f>
        <v>Kỹ sư công nghệ kỹ thuật cơ khí</v>
      </c>
      <c r="R789" s="17">
        <f>IFERROR(__xludf.DUMMYFUNCTION("""COMPUTED_VALUE"""),45911.0)</f>
        <v>45911</v>
      </c>
      <c r="S789" s="17">
        <f>IFERROR(__xludf.DUMMYFUNCTION("""COMPUTED_VALUE"""),45941.0)</f>
        <v>45941</v>
      </c>
      <c r="T789" s="7" t="str">
        <f>IFERROR(__xludf.DUMMYFUNCTION("""COMPUTED_VALUE"""),"Chính thức")</f>
        <v>Chính thức</v>
      </c>
      <c r="U789" s="7"/>
      <c r="V789" s="7" t="str">
        <f>IFERROR(__xludf.DUMMYFUNCTION("""COMPUTED_VALUE"""),"Chính thức")</f>
        <v>Chính thức</v>
      </c>
      <c r="W789" s="7" t="str">
        <f>IFERROR(__xludf.DUMMYFUNCTION("""COMPUTED_VALUE"""),"0 năm 3 tháng")</f>
        <v>0 năm 3 tháng</v>
      </c>
      <c r="X789" s="7"/>
      <c r="Y789" s="7"/>
      <c r="Z789" s="7"/>
    </row>
    <row r="790">
      <c r="A790" s="7">
        <f>IFERROR(__xludf.DUMMYFUNCTION("""COMPUTED_VALUE"""),12.0)</f>
        <v>12</v>
      </c>
      <c r="B790" s="7" t="str">
        <f>IFERROR(__xludf.DUMMYFUNCTION("""COMPUTED_VALUE"""),"PXSX2")</f>
        <v>PXSX2</v>
      </c>
      <c r="C790" s="7" t="str">
        <f>IFERROR(__xludf.DUMMYFUNCTION("""COMPUTED_VALUE"""),"Phân xưởng sản xuất bao bì")</f>
        <v>Phân xưởng sản xuất bao bì</v>
      </c>
      <c r="D790" s="7" t="str">
        <f>IFERROR(__xludf.DUMMYFUNCTION("""COMPUTED_VALUE"""),"Bộ phận hành chính")</f>
        <v>Bộ phận hành chính</v>
      </c>
      <c r="E790" s="7" t="str">
        <f>IFERROR(__xludf.DUMMYFUNCTION("""COMPUTED_VALUE"""),"Thiết kế và khắc bản in")</f>
        <v>Thiết kế và khắc bản in</v>
      </c>
      <c r="F790" s="7" t="str">
        <f>IFERROR(__xludf.DUMMYFUNCTION("""COMPUTED_VALUE"""),"NV5703")</f>
        <v>NV5703</v>
      </c>
      <c r="G790" s="7">
        <f>IFERROR(__xludf.DUMMYFUNCTION("""COMPUTED_VALUE"""),1191.0)</f>
        <v>1191</v>
      </c>
      <c r="H790" s="7" t="str">
        <f>IFERROR(__xludf.DUMMYFUNCTION("""COMPUTED_VALUE"""),"Hoàng Văn Yên")</f>
        <v>Hoàng Văn Yên</v>
      </c>
      <c r="I790" s="7" t="str">
        <f>IFERROR(__xludf.DUMMYFUNCTION("""COMPUTED_VALUE"""),"Nam")</f>
        <v>Nam</v>
      </c>
      <c r="J790" s="17">
        <f>IFERROR(__xludf.DUMMYFUNCTION("""COMPUTED_VALUE"""),27839.0)</f>
        <v>27839</v>
      </c>
      <c r="K790" s="7" t="str">
        <f>IFERROR(__xludf.DUMMYFUNCTION("""COMPUTED_VALUE"""),"SN 29/109 Đường Ngô Từ - Phường Hạc Thành - Tỉnh Thanh Hóa")</f>
        <v>SN 29/109 Đường Ngô Từ - Phường Hạc Thành - Tỉnh Thanh Hóa</v>
      </c>
      <c r="L790" s="7" t="str">
        <f>IFERROR(__xludf.DUMMYFUNCTION("""COMPUTED_VALUE"""),"0978753899")</f>
        <v>0978753899</v>
      </c>
      <c r="M790" s="7" t="str">
        <f>IFERROR(__xludf.DUMMYFUNCTION("""COMPUTED_VALUE"""),"038076018099")</f>
        <v>038076018099</v>
      </c>
      <c r="N790" s="19">
        <f>IFERROR(__xludf.DUMMYFUNCTION("""COMPUTED_VALUE"""),44375.0)</f>
        <v>44375</v>
      </c>
      <c r="O790" s="7" t="str">
        <f>IFERROR(__xludf.DUMMYFUNCTION("""COMPUTED_VALUE"""),"Cục Cảnh sát QLHC về TTXH")</f>
        <v>Cục Cảnh sát QLHC về TTXH</v>
      </c>
      <c r="P790" s="7" t="str">
        <f>IFERROR(__xludf.DUMMYFUNCTION("""COMPUTED_VALUE"""),"LĐPT")</f>
        <v>LĐPT</v>
      </c>
      <c r="Q790" s="7" t="str">
        <f>IFERROR(__xludf.DUMMYFUNCTION("""COMPUTED_VALUE"""),"Lao động phổ thông")</f>
        <v>Lao động phổ thông</v>
      </c>
      <c r="R790" s="17">
        <f>IFERROR(__xludf.DUMMYFUNCTION("""COMPUTED_VALUE"""),45915.0)</f>
        <v>45915</v>
      </c>
      <c r="S790" s="17">
        <f>IFERROR(__xludf.DUMMYFUNCTION("""COMPUTED_VALUE"""),45945.0)</f>
        <v>45945</v>
      </c>
      <c r="T790" s="7" t="str">
        <f>IFERROR(__xludf.DUMMYFUNCTION("""COMPUTED_VALUE"""),"Chính thức")</f>
        <v>Chính thức</v>
      </c>
      <c r="U790" s="7"/>
      <c r="V790" s="7" t="str">
        <f>IFERROR(__xludf.DUMMYFUNCTION("""COMPUTED_VALUE"""),"Chính thức")</f>
        <v>Chính thức</v>
      </c>
      <c r="W790" s="7" t="str">
        <f>IFERROR(__xludf.DUMMYFUNCTION("""COMPUTED_VALUE"""),"0 năm 3 tháng")</f>
        <v>0 năm 3 tháng</v>
      </c>
      <c r="X790" s="7"/>
      <c r="Y790" s="7"/>
      <c r="Z790" s="7"/>
    </row>
    <row r="791">
      <c r="A791" s="7">
        <f>IFERROR(__xludf.DUMMYFUNCTION("""COMPUTED_VALUE"""),13.0)</f>
        <v>13</v>
      </c>
      <c r="B791" s="7" t="str">
        <f>IFERROR(__xludf.DUMMYFUNCTION("""COMPUTED_VALUE"""),"PXSX2")</f>
        <v>PXSX2</v>
      </c>
      <c r="C791" s="7" t="str">
        <f>IFERROR(__xludf.DUMMYFUNCTION("""COMPUTED_VALUE"""),"Phân xưởng sản xuất bao bì")</f>
        <v>Phân xưởng sản xuất bao bì</v>
      </c>
      <c r="D791" s="7" t="str">
        <f>IFERROR(__xludf.DUMMYFUNCTION("""COMPUTED_VALUE"""),"Bộ phận hành chính")</f>
        <v>Bộ phận hành chính</v>
      </c>
      <c r="E791" s="7" t="str">
        <f>IFERROR(__xludf.DUMMYFUNCTION("""COMPUTED_VALUE"""),"Tổ phó - VH máy in")</f>
        <v>Tổ phó - VH máy in</v>
      </c>
      <c r="F791" s="7" t="str">
        <f>IFERROR(__xludf.DUMMYFUNCTION("""COMPUTED_VALUE"""),"NV5704")</f>
        <v>NV5704</v>
      </c>
      <c r="G791" s="7">
        <f>IFERROR(__xludf.DUMMYFUNCTION("""COMPUTED_VALUE"""),1192.0)</f>
        <v>1192</v>
      </c>
      <c r="H791" s="7" t="str">
        <f>IFERROR(__xludf.DUMMYFUNCTION("""COMPUTED_VALUE"""),"Hoàng Văn Thủy")</f>
        <v>Hoàng Văn Thủy</v>
      </c>
      <c r="I791" s="7" t="str">
        <f>IFERROR(__xludf.DUMMYFUNCTION("""COMPUTED_VALUE"""),"Nam")</f>
        <v>Nam</v>
      </c>
      <c r="J791" s="17">
        <f>IFERROR(__xludf.DUMMYFUNCTION("""COMPUTED_VALUE"""),32121.0)</f>
        <v>32121</v>
      </c>
      <c r="K791" s="7" t="str">
        <f>IFERROR(__xludf.DUMMYFUNCTION("""COMPUTED_VALUE"""),"Thôn Phúc Hải 1 - Xã Hoằng Châu - Tỉnh Thanh Hóa")</f>
        <v>Thôn Phúc Hải 1 - Xã Hoằng Châu - Tỉnh Thanh Hóa</v>
      </c>
      <c r="L791" s="7" t="str">
        <f>IFERROR(__xludf.DUMMYFUNCTION("""COMPUTED_VALUE"""),"0962498030")</f>
        <v>0962498030</v>
      </c>
      <c r="M791" s="7" t="str">
        <f>IFERROR(__xludf.DUMMYFUNCTION("""COMPUTED_VALUE"""),"038087006713")</f>
        <v>038087006713</v>
      </c>
      <c r="N791" s="19">
        <f>IFERROR(__xludf.DUMMYFUNCTION("""COMPUTED_VALUE"""),45211.0)</f>
        <v>45211</v>
      </c>
      <c r="O791" s="7" t="str">
        <f>IFERROR(__xludf.DUMMYFUNCTION("""COMPUTED_VALUE"""),"Cục Cảnh sát QLHC về TTXH")</f>
        <v>Cục Cảnh sát QLHC về TTXH</v>
      </c>
      <c r="P791" s="7" t="str">
        <f>IFERROR(__xludf.DUMMYFUNCTION("""COMPUTED_VALUE"""),"LĐPT")</f>
        <v>LĐPT</v>
      </c>
      <c r="Q791" s="7" t="str">
        <f>IFERROR(__xludf.DUMMYFUNCTION("""COMPUTED_VALUE"""),"Lao động phổ thông")</f>
        <v>Lao động phổ thông</v>
      </c>
      <c r="R791" s="17">
        <f>IFERROR(__xludf.DUMMYFUNCTION("""COMPUTED_VALUE"""),45915.0)</f>
        <v>45915</v>
      </c>
      <c r="S791" s="17">
        <f>IFERROR(__xludf.DUMMYFUNCTION("""COMPUTED_VALUE"""),45945.0)</f>
        <v>45945</v>
      </c>
      <c r="T791" s="7" t="str">
        <f>IFERROR(__xludf.DUMMYFUNCTION("""COMPUTED_VALUE"""),"Chính thức")</f>
        <v>Chính thức</v>
      </c>
      <c r="U791" s="7"/>
      <c r="V791" s="7" t="str">
        <f>IFERROR(__xludf.DUMMYFUNCTION("""COMPUTED_VALUE"""),"Chính thức")</f>
        <v>Chính thức</v>
      </c>
      <c r="W791" s="7" t="str">
        <f>IFERROR(__xludf.DUMMYFUNCTION("""COMPUTED_VALUE"""),"0 năm 3 tháng")</f>
        <v>0 năm 3 tháng</v>
      </c>
      <c r="X791" s="7"/>
      <c r="Y791" s="7"/>
      <c r="Z791" s="7"/>
    </row>
    <row r="792">
      <c r="A792" s="7">
        <f>IFERROR(__xludf.DUMMYFUNCTION("""COMPUTED_VALUE"""),14.0)</f>
        <v>14</v>
      </c>
      <c r="B792" s="7" t="str">
        <f>IFERROR(__xludf.DUMMYFUNCTION("""COMPUTED_VALUE"""),"PXSX2")</f>
        <v>PXSX2</v>
      </c>
      <c r="C792" s="7" t="str">
        <f>IFERROR(__xludf.DUMMYFUNCTION("""COMPUTED_VALUE"""),"Phân xưởng sản xuất bao bì")</f>
        <v>Phân xưởng sản xuất bao bì</v>
      </c>
      <c r="D792" s="7" t="str">
        <f>IFERROR(__xludf.DUMMYFUNCTION("""COMPUTED_VALUE"""),"Bộ phận hành chính")</f>
        <v>Bộ phận hành chính</v>
      </c>
      <c r="E792" s="7" t="str">
        <f>IFERROR(__xludf.DUMMYFUNCTION("""COMPUTED_VALUE"""),"Tổ trưởng kiêm VH giàn sóng")</f>
        <v>Tổ trưởng kiêm VH giàn sóng</v>
      </c>
      <c r="F792" s="7" t="str">
        <f>IFERROR(__xludf.DUMMYFUNCTION("""COMPUTED_VALUE"""),"NV5722")</f>
        <v>NV5722</v>
      </c>
      <c r="G792" s="7">
        <f>IFERROR(__xludf.DUMMYFUNCTION("""COMPUTED_VALUE"""),1214.0)</f>
        <v>1214</v>
      </c>
      <c r="H792" s="7" t="str">
        <f>IFERROR(__xludf.DUMMYFUNCTION("""COMPUTED_VALUE"""),"Đàm Khắc Nghị")</f>
        <v>Đàm Khắc Nghị</v>
      </c>
      <c r="I792" s="7" t="str">
        <f>IFERROR(__xludf.DUMMYFUNCTION("""COMPUTED_VALUE"""),"Nam")</f>
        <v>Nam</v>
      </c>
      <c r="J792" s="17">
        <f>IFERROR(__xludf.DUMMYFUNCTION("""COMPUTED_VALUE"""),29984.0)</f>
        <v>29984</v>
      </c>
      <c r="K792" s="7" t="str">
        <f>IFERROR(__xludf.DUMMYFUNCTION("""COMPUTED_VALUE"""),"133B đường Đông Tác -  Phường Hàm Rồng - Tỉnh Thanh Hóa")</f>
        <v>133B đường Đông Tác -  Phường Hàm Rồng - Tỉnh Thanh Hóa</v>
      </c>
      <c r="L792" s="7" t="str">
        <f>IFERROR(__xludf.DUMMYFUNCTION("""COMPUTED_VALUE"""),"0986067716")</f>
        <v>0986067716</v>
      </c>
      <c r="M792" s="7" t="str">
        <f>IFERROR(__xludf.DUMMYFUNCTION("""COMPUTED_VALUE"""),"038082015923")</f>
        <v>038082015923</v>
      </c>
      <c r="N792" s="19">
        <f>IFERROR(__xludf.DUMMYFUNCTION("""COMPUTED_VALUE"""),44418.0)</f>
        <v>44418</v>
      </c>
      <c r="O792" s="7" t="str">
        <f>IFERROR(__xludf.DUMMYFUNCTION("""COMPUTED_VALUE"""),"Cục Cảnh sát QLHC về TTXH")</f>
        <v>Cục Cảnh sát QLHC về TTXH</v>
      </c>
      <c r="P792" s="7" t="str">
        <f>IFERROR(__xludf.DUMMYFUNCTION("""COMPUTED_VALUE"""),"Cao đẳng")</f>
        <v>Cao đẳng</v>
      </c>
      <c r="Q792" s="7" t="str">
        <f>IFERROR(__xludf.DUMMYFUNCTION("""COMPUTED_VALUE"""),"Cao đẳng chế tạo máy")</f>
        <v>Cao đẳng chế tạo máy</v>
      </c>
      <c r="R792" s="17">
        <f>IFERROR(__xludf.DUMMYFUNCTION("""COMPUTED_VALUE"""),45927.0)</f>
        <v>45927</v>
      </c>
      <c r="S792" s="17">
        <f>IFERROR(__xludf.DUMMYFUNCTION("""COMPUTED_VALUE"""),45927.0)</f>
        <v>45927</v>
      </c>
      <c r="T792" s="7" t="str">
        <f>IFERROR(__xludf.DUMMYFUNCTION("""COMPUTED_VALUE"""),"Chính thức")</f>
        <v>Chính thức</v>
      </c>
      <c r="U792" s="7"/>
      <c r="V792" s="7" t="str">
        <f>IFERROR(__xludf.DUMMYFUNCTION("""COMPUTED_VALUE"""),"Chính thức")</f>
        <v>Chính thức</v>
      </c>
      <c r="W792" s="7" t="str">
        <f>IFERROR(__xludf.DUMMYFUNCTION("""COMPUTED_VALUE"""),"0 năm 3 tháng")</f>
        <v>0 năm 3 tháng</v>
      </c>
      <c r="X792" s="7"/>
      <c r="Y792" s="7"/>
      <c r="Z792" s="7"/>
    </row>
    <row r="793">
      <c r="A793" s="7">
        <f>IFERROR(__xludf.DUMMYFUNCTION("""COMPUTED_VALUE"""),15.0)</f>
        <v>15</v>
      </c>
      <c r="B793" s="7" t="str">
        <f>IFERROR(__xludf.DUMMYFUNCTION("""COMPUTED_VALUE"""),"PXSX2")</f>
        <v>PXSX2</v>
      </c>
      <c r="C793" s="7" t="str">
        <f>IFERROR(__xludf.DUMMYFUNCTION("""COMPUTED_VALUE"""),"Phân xưởng sản xuất bao bì")</f>
        <v>Phân xưởng sản xuất bao bì</v>
      </c>
      <c r="D793" s="7" t="str">
        <f>IFERROR(__xludf.DUMMYFUNCTION("""COMPUTED_VALUE"""),"Bộ phận hành chính")</f>
        <v>Bộ phận hành chính</v>
      </c>
      <c r="E793" s="7" t="str">
        <f>IFERROR(__xludf.DUMMYFUNCTION("""COMPUTED_VALUE"""),"Công nhân vận hành")</f>
        <v>Công nhân vận hành</v>
      </c>
      <c r="F793" s="7" t="str">
        <f>IFERROR(__xludf.DUMMYFUNCTION("""COMPUTED_VALUE"""),"NV5753")</f>
        <v>NV5753</v>
      </c>
      <c r="G793" s="7">
        <f>IFERROR(__xludf.DUMMYFUNCTION("""COMPUTED_VALUE"""),1232.0)</f>
        <v>1232</v>
      </c>
      <c r="H793" s="7" t="str">
        <f>IFERROR(__xludf.DUMMYFUNCTION("""COMPUTED_VALUE"""),"Nguyễn Văn Thanh")</f>
        <v>Nguyễn Văn Thanh</v>
      </c>
      <c r="I793" s="7" t="str">
        <f>IFERROR(__xludf.DUMMYFUNCTION("""COMPUTED_VALUE"""),"Nam")</f>
        <v>Nam</v>
      </c>
      <c r="J793" s="17">
        <f>IFERROR(__xludf.DUMMYFUNCTION("""COMPUTED_VALUE"""),30625.0)</f>
        <v>30625</v>
      </c>
      <c r="K793" s="7" t="str">
        <f>IFERROR(__xludf.DUMMYFUNCTION("""COMPUTED_VALUE"""),"Yên Cảnh - Xã Quảng Yên - Tỉnh Thanh Hóa")</f>
        <v>Yên Cảnh - Xã Quảng Yên - Tỉnh Thanh Hóa</v>
      </c>
      <c r="L793" s="7" t="str">
        <f>IFERROR(__xludf.DUMMYFUNCTION("""COMPUTED_VALUE"""),"0904784373")</f>
        <v>0904784373</v>
      </c>
      <c r="M793" s="7" t="str">
        <f>IFERROR(__xludf.DUMMYFUNCTION("""COMPUTED_VALUE"""),"038083001901")</f>
        <v>038083001901</v>
      </c>
      <c r="N793" s="19">
        <f>IFERROR(__xludf.DUMMYFUNCTION("""COMPUTED_VALUE"""),45408.0)</f>
        <v>45408</v>
      </c>
      <c r="O793" s="7" t="str">
        <f>IFERROR(__xludf.DUMMYFUNCTION("""COMPUTED_VALUE"""),"Cục Cảnh sát QLHC về TTXH")</f>
        <v>Cục Cảnh sát QLHC về TTXH</v>
      </c>
      <c r="P793" s="7" t="str">
        <f>IFERROR(__xludf.DUMMYFUNCTION("""COMPUTED_VALUE"""),"LĐPT")</f>
        <v>LĐPT</v>
      </c>
      <c r="Q793" s="7" t="str">
        <f>IFERROR(__xludf.DUMMYFUNCTION("""COMPUTED_VALUE"""),"Lao động phổ thông")</f>
        <v>Lao động phổ thông</v>
      </c>
      <c r="R793" s="17">
        <f>IFERROR(__xludf.DUMMYFUNCTION("""COMPUTED_VALUE"""),45937.0)</f>
        <v>45937</v>
      </c>
      <c r="S793" s="17">
        <f>IFERROR(__xludf.DUMMYFUNCTION("""COMPUTED_VALUE"""),45968.0)</f>
        <v>45968</v>
      </c>
      <c r="T793" s="7" t="str">
        <f>IFERROR(__xludf.DUMMYFUNCTION("""COMPUTED_VALUE"""),"Chính thức")</f>
        <v>Chính thức</v>
      </c>
      <c r="U793" s="7"/>
      <c r="V793" s="7" t="str">
        <f>IFERROR(__xludf.DUMMYFUNCTION("""COMPUTED_VALUE"""),"Chính thức")</f>
        <v>Chính thức</v>
      </c>
      <c r="W793" s="7" t="str">
        <f>IFERROR(__xludf.DUMMYFUNCTION("""COMPUTED_VALUE"""),"0 năm 2 tháng")</f>
        <v>0 năm 2 tháng</v>
      </c>
      <c r="X793" s="7"/>
      <c r="Y793" s="7"/>
      <c r="Z793" s="7"/>
    </row>
    <row r="794">
      <c r="A794" s="7">
        <f>IFERROR(__xludf.DUMMYFUNCTION("""COMPUTED_VALUE"""),16.0)</f>
        <v>16</v>
      </c>
      <c r="B794" s="7" t="str">
        <f>IFERROR(__xludf.DUMMYFUNCTION("""COMPUTED_VALUE"""),"PXSX2")</f>
        <v>PXSX2</v>
      </c>
      <c r="C794" s="7" t="str">
        <f>IFERROR(__xludf.DUMMYFUNCTION("""COMPUTED_VALUE"""),"Phân xưởng sản xuất bao bì")</f>
        <v>Phân xưởng sản xuất bao bì</v>
      </c>
      <c r="D794" s="7" t="str">
        <f>IFERROR(__xludf.DUMMYFUNCTION("""COMPUTED_VALUE"""),"Bộ phận hành chính")</f>
        <v>Bộ phận hành chính</v>
      </c>
      <c r="E794" s="7" t="str">
        <f>IFERROR(__xludf.DUMMYFUNCTION("""COMPUTED_VALUE"""),"Công nhân vận hành")</f>
        <v>Công nhân vận hành</v>
      </c>
      <c r="F794" s="7" t="str">
        <f>IFERROR(__xludf.DUMMYFUNCTION("""COMPUTED_VALUE"""),"NV5759")</f>
        <v>NV5759</v>
      </c>
      <c r="G794" s="7">
        <f>IFERROR(__xludf.DUMMYFUNCTION("""COMPUTED_VALUE"""),1240.0)</f>
        <v>1240</v>
      </c>
      <c r="H794" s="7" t="str">
        <f>IFERROR(__xludf.DUMMYFUNCTION("""COMPUTED_VALUE"""),"Nguyễn Văn Hiếu")</f>
        <v>Nguyễn Văn Hiếu</v>
      </c>
      <c r="I794" s="7" t="str">
        <f>IFERROR(__xludf.DUMMYFUNCTION("""COMPUTED_VALUE"""),"Nam")</f>
        <v>Nam</v>
      </c>
      <c r="J794" s="17">
        <f>IFERROR(__xludf.DUMMYFUNCTION("""COMPUTED_VALUE"""),30420.0)</f>
        <v>30420</v>
      </c>
      <c r="K794" s="7" t="str">
        <f>IFERROR(__xludf.DUMMYFUNCTION("""COMPUTED_VALUE"""),"Phường Nam Sầm Sơn - Tỉnh Thanh Hóa")</f>
        <v>Phường Nam Sầm Sơn - Tỉnh Thanh Hóa</v>
      </c>
      <c r="L794" s="7" t="str">
        <f>IFERROR(__xludf.DUMMYFUNCTION("""COMPUTED_VALUE"""),"0975803118")</f>
        <v>0975803118</v>
      </c>
      <c r="M794" s="7" t="str">
        <f>IFERROR(__xludf.DUMMYFUNCTION("""COMPUTED_VALUE"""),"038083035683")</f>
        <v>038083035683</v>
      </c>
      <c r="N794" s="19">
        <f>IFERROR(__xludf.DUMMYFUNCTION("""COMPUTED_VALUE"""),44326.0)</f>
        <v>44326</v>
      </c>
      <c r="O794" s="7" t="str">
        <f>IFERROR(__xludf.DUMMYFUNCTION("""COMPUTED_VALUE"""),"Cục Cảnh sát QLHC về TTXH")</f>
        <v>Cục Cảnh sát QLHC về TTXH</v>
      </c>
      <c r="P794" s="7" t="str">
        <f>IFERROR(__xludf.DUMMYFUNCTION("""COMPUTED_VALUE"""),"Cao đẳng")</f>
        <v>Cao đẳng</v>
      </c>
      <c r="Q794" s="7" t="str">
        <f>IFERROR(__xludf.DUMMYFUNCTION("""COMPUTED_VALUE"""),"Cao đẳng Lâm Nghiệp")</f>
        <v>Cao đẳng Lâm Nghiệp</v>
      </c>
      <c r="R794" s="17">
        <f>IFERROR(__xludf.DUMMYFUNCTION("""COMPUTED_VALUE"""),45941.0)</f>
        <v>45941</v>
      </c>
      <c r="S794" s="17">
        <f>IFERROR(__xludf.DUMMYFUNCTION("""COMPUTED_VALUE"""),45972.0)</f>
        <v>45972</v>
      </c>
      <c r="T794" s="7" t="str">
        <f>IFERROR(__xludf.DUMMYFUNCTION("""COMPUTED_VALUE"""),"Chính thức")</f>
        <v>Chính thức</v>
      </c>
      <c r="U794" s="7"/>
      <c r="V794" s="7" t="str">
        <f>IFERROR(__xludf.DUMMYFUNCTION("""COMPUTED_VALUE"""),"Chính thức")</f>
        <v>Chính thức</v>
      </c>
      <c r="W794" s="7" t="str">
        <f>IFERROR(__xludf.DUMMYFUNCTION("""COMPUTED_VALUE"""),"0 năm 2 tháng")</f>
        <v>0 năm 2 tháng</v>
      </c>
      <c r="X794" s="7"/>
      <c r="Y794" s="7"/>
      <c r="Z794" s="7"/>
    </row>
    <row r="795">
      <c r="A795" s="7">
        <f>IFERROR(__xludf.DUMMYFUNCTION("""COMPUTED_VALUE"""),17.0)</f>
        <v>17</v>
      </c>
      <c r="B795" s="7" t="str">
        <f>IFERROR(__xludf.DUMMYFUNCTION("""COMPUTED_VALUE"""),"PXSX2")</f>
        <v>PXSX2</v>
      </c>
      <c r="C795" s="7" t="str">
        <f>IFERROR(__xludf.DUMMYFUNCTION("""COMPUTED_VALUE"""),"Phân xưởng sản xuất bao bì")</f>
        <v>Phân xưởng sản xuất bao bì</v>
      </c>
      <c r="D795" s="7" t="str">
        <f>IFERROR(__xludf.DUMMYFUNCTION("""COMPUTED_VALUE"""),"Bộ phận hành chính")</f>
        <v>Bộ phận hành chính</v>
      </c>
      <c r="E795" s="7" t="str">
        <f>IFERROR(__xludf.DUMMYFUNCTION("""COMPUTED_VALUE"""),"Công nhân vận hành")</f>
        <v>Công nhân vận hành</v>
      </c>
      <c r="F795" s="7" t="str">
        <f>IFERROR(__xludf.DUMMYFUNCTION("""COMPUTED_VALUE"""),"NV5760")</f>
        <v>NV5760</v>
      </c>
      <c r="G795" s="7">
        <f>IFERROR(__xludf.DUMMYFUNCTION("""COMPUTED_VALUE"""),1241.0)</f>
        <v>1241</v>
      </c>
      <c r="H795" s="7" t="str">
        <f>IFERROR(__xludf.DUMMYFUNCTION("""COMPUTED_VALUE"""),"Ngũ Thị Thu Phương")</f>
        <v>Ngũ Thị Thu Phương</v>
      </c>
      <c r="I795" s="7" t="str">
        <f>IFERROR(__xludf.DUMMYFUNCTION("""COMPUTED_VALUE"""),"Nữ")</f>
        <v>Nữ</v>
      </c>
      <c r="J795" s="17">
        <f>IFERROR(__xludf.DUMMYFUNCTION("""COMPUTED_VALUE"""),30732.0)</f>
        <v>30732</v>
      </c>
      <c r="K795" s="7" t="str">
        <f>IFERROR(__xludf.DUMMYFUNCTION("""COMPUTED_VALUE"""),"1242 Quang trung - Phường Quảng Phú - Tỉnh Thanh Hóa")</f>
        <v>1242 Quang trung - Phường Quảng Phú - Tỉnh Thanh Hóa</v>
      </c>
      <c r="L795" s="7" t="str">
        <f>IFERROR(__xludf.DUMMYFUNCTION("""COMPUTED_VALUE"""),"0915869332")</f>
        <v>0915869332</v>
      </c>
      <c r="M795" s="7" t="str">
        <f>IFERROR(__xludf.DUMMYFUNCTION("""COMPUTED_VALUE"""),"038184048943")</f>
        <v>038184048943</v>
      </c>
      <c r="N795" s="19">
        <f>IFERROR(__xludf.DUMMYFUNCTION("""COMPUTED_VALUE"""),45296.0)</f>
        <v>45296</v>
      </c>
      <c r="O795" s="7" t="str">
        <f>IFERROR(__xludf.DUMMYFUNCTION("""COMPUTED_VALUE"""),"Cục Cảnh sát QLHC về TTXH")</f>
        <v>Cục Cảnh sát QLHC về TTXH</v>
      </c>
      <c r="P795" s="7" t="str">
        <f>IFERROR(__xludf.DUMMYFUNCTION("""COMPUTED_VALUE"""),"LĐPT")</f>
        <v>LĐPT</v>
      </c>
      <c r="Q795" s="7" t="str">
        <f>IFERROR(__xludf.DUMMYFUNCTION("""COMPUTED_VALUE"""),"Lao động phổ thông")</f>
        <v>Lao động phổ thông</v>
      </c>
      <c r="R795" s="17">
        <f>IFERROR(__xludf.DUMMYFUNCTION("""COMPUTED_VALUE"""),45943.0)</f>
        <v>45943</v>
      </c>
      <c r="S795" s="17">
        <f>IFERROR(__xludf.DUMMYFUNCTION("""COMPUTED_VALUE"""),45974.0)</f>
        <v>45974</v>
      </c>
      <c r="T795" s="7" t="str">
        <f>IFERROR(__xludf.DUMMYFUNCTION("""COMPUTED_VALUE"""),"Chính thức")</f>
        <v>Chính thức</v>
      </c>
      <c r="U795" s="7"/>
      <c r="V795" s="7" t="str">
        <f>IFERROR(__xludf.DUMMYFUNCTION("""COMPUTED_VALUE"""),"Chính thức")</f>
        <v>Chính thức</v>
      </c>
      <c r="W795" s="7" t="str">
        <f>IFERROR(__xludf.DUMMYFUNCTION("""COMPUTED_VALUE"""),"0 năm 2 tháng")</f>
        <v>0 năm 2 tháng</v>
      </c>
      <c r="X795" s="7"/>
      <c r="Y795" s="7"/>
      <c r="Z795" s="7"/>
    </row>
    <row r="796">
      <c r="A796" s="7">
        <f>IFERROR(__xludf.DUMMYFUNCTION("""COMPUTED_VALUE"""),18.0)</f>
        <v>18</v>
      </c>
      <c r="B796" s="7" t="str">
        <f>IFERROR(__xludf.DUMMYFUNCTION("""COMPUTED_VALUE"""),"PXSX2")</f>
        <v>PXSX2</v>
      </c>
      <c r="C796" s="7" t="str">
        <f>IFERROR(__xludf.DUMMYFUNCTION("""COMPUTED_VALUE"""),"Phân xưởng sản xuất bao bì")</f>
        <v>Phân xưởng sản xuất bao bì</v>
      </c>
      <c r="D796" s="7" t="str">
        <f>IFERROR(__xludf.DUMMYFUNCTION("""COMPUTED_VALUE"""),"Bộ phận hành chính")</f>
        <v>Bộ phận hành chính</v>
      </c>
      <c r="E796" s="7" t="str">
        <f>IFERROR(__xludf.DUMMYFUNCTION("""COMPUTED_VALUE"""),"Công nhân vận hành")</f>
        <v>Công nhân vận hành</v>
      </c>
      <c r="F796" s="7" t="str">
        <f>IFERROR(__xludf.DUMMYFUNCTION("""COMPUTED_VALUE"""),"NV5756")</f>
        <v>NV5756</v>
      </c>
      <c r="G796" s="7">
        <f>IFERROR(__xludf.DUMMYFUNCTION("""COMPUTED_VALUE"""),1236.0)</f>
        <v>1236</v>
      </c>
      <c r="H796" s="7" t="str">
        <f>IFERROR(__xludf.DUMMYFUNCTION("""COMPUTED_VALUE"""),"Lê Thị Huê")</f>
        <v>Lê Thị Huê</v>
      </c>
      <c r="I796" s="7" t="str">
        <f>IFERROR(__xludf.DUMMYFUNCTION("""COMPUTED_VALUE"""),"Nữ")</f>
        <v>Nữ</v>
      </c>
      <c r="J796" s="17">
        <f>IFERROR(__xludf.DUMMYFUNCTION("""COMPUTED_VALUE"""),31665.0)</f>
        <v>31665</v>
      </c>
      <c r="K796" s="7" t="str">
        <f>IFERROR(__xludf.DUMMYFUNCTION("""COMPUTED_VALUE"""),"68 Trần Mai Ninh - KP Xuân Thượng - Phường Nam Sầm Sơn - Tỉnh Thanh Hóa")</f>
        <v>68 Trần Mai Ninh - KP Xuân Thượng - Phường Nam Sầm Sơn - Tỉnh Thanh Hóa</v>
      </c>
      <c r="L796" s="7" t="str">
        <f>IFERROR(__xludf.DUMMYFUNCTION("""COMPUTED_VALUE"""),"0343406382")</f>
        <v>0343406382</v>
      </c>
      <c r="M796" s="7" t="str">
        <f>IFERROR(__xludf.DUMMYFUNCTION("""COMPUTED_VALUE"""),"038186023253")</f>
        <v>038186023253</v>
      </c>
      <c r="N796" s="19">
        <f>IFERROR(__xludf.DUMMYFUNCTION("""COMPUTED_VALUE"""),44297.0)</f>
        <v>44297</v>
      </c>
      <c r="O796" s="7" t="str">
        <f>IFERROR(__xludf.DUMMYFUNCTION("""COMPUTED_VALUE"""),"Cục Cảnh sát QLHC về TTXH")</f>
        <v>Cục Cảnh sát QLHC về TTXH</v>
      </c>
      <c r="P796" s="7" t="str">
        <f>IFERROR(__xludf.DUMMYFUNCTION("""COMPUTED_VALUE"""),"Đại học")</f>
        <v>Đại học</v>
      </c>
      <c r="Q796" s="7" t="str">
        <f>IFERROR(__xludf.DUMMYFUNCTION("""COMPUTED_VALUE"""),"Cử nhân khoa học")</f>
        <v>Cử nhân khoa học</v>
      </c>
      <c r="R796" s="17">
        <f>IFERROR(__xludf.DUMMYFUNCTION("""COMPUTED_VALUE"""),45940.0)</f>
        <v>45940</v>
      </c>
      <c r="S796" s="17">
        <f>IFERROR(__xludf.DUMMYFUNCTION("""COMPUTED_VALUE"""),45971.0)</f>
        <v>45971</v>
      </c>
      <c r="T796" s="7" t="str">
        <f>IFERROR(__xludf.DUMMYFUNCTION("""COMPUTED_VALUE"""),"Chính thức")</f>
        <v>Chính thức</v>
      </c>
      <c r="U796" s="7"/>
      <c r="V796" s="7" t="str">
        <f>IFERROR(__xludf.DUMMYFUNCTION("""COMPUTED_VALUE"""),"Chính thức")</f>
        <v>Chính thức</v>
      </c>
      <c r="W796" s="7" t="str">
        <f>IFERROR(__xludf.DUMMYFUNCTION("""COMPUTED_VALUE"""),"0 năm 2 tháng")</f>
        <v>0 năm 2 tháng</v>
      </c>
      <c r="X796" s="7"/>
      <c r="Y796" s="7"/>
      <c r="Z796" s="7"/>
    </row>
    <row r="797">
      <c r="A797" s="7">
        <f>IFERROR(__xludf.DUMMYFUNCTION("""COMPUTED_VALUE"""),19.0)</f>
        <v>19</v>
      </c>
      <c r="B797" s="7" t="str">
        <f>IFERROR(__xludf.DUMMYFUNCTION("""COMPUTED_VALUE"""),"PXSX2")</f>
        <v>PXSX2</v>
      </c>
      <c r="C797" s="7" t="str">
        <f>IFERROR(__xludf.DUMMYFUNCTION("""COMPUTED_VALUE"""),"Phân xưởng sản xuất bao bì")</f>
        <v>Phân xưởng sản xuất bao bì</v>
      </c>
      <c r="D797" s="7" t="str">
        <f>IFERROR(__xludf.DUMMYFUNCTION("""COMPUTED_VALUE"""),"Bộ phận hành chính")</f>
        <v>Bộ phận hành chính</v>
      </c>
      <c r="E797" s="7" t="str">
        <f>IFERROR(__xludf.DUMMYFUNCTION("""COMPUTED_VALUE"""),"Công nhân vận hành")</f>
        <v>Công nhân vận hành</v>
      </c>
      <c r="F797" s="7" t="str">
        <f>IFERROR(__xludf.DUMMYFUNCTION("""COMPUTED_VALUE"""),"NV5778")</f>
        <v>NV5778</v>
      </c>
      <c r="G797" s="7">
        <f>IFERROR(__xludf.DUMMYFUNCTION("""COMPUTED_VALUE"""),1259.0)</f>
        <v>1259</v>
      </c>
      <c r="H797" s="7" t="str">
        <f>IFERROR(__xludf.DUMMYFUNCTION("""COMPUTED_VALUE"""),"Nguyễn Văn Dũng")</f>
        <v>Nguyễn Văn Dũng</v>
      </c>
      <c r="I797" s="7" t="str">
        <f>IFERROR(__xludf.DUMMYFUNCTION("""COMPUTED_VALUE"""),"Nam")</f>
        <v>Nam</v>
      </c>
      <c r="J797" s="17">
        <f>IFERROR(__xludf.DUMMYFUNCTION("""COMPUTED_VALUE"""),35287.0)</f>
        <v>35287</v>
      </c>
      <c r="K797" s="7" t="str">
        <f>IFERROR(__xludf.DUMMYFUNCTION("""COMPUTED_VALUE"""),"Thôn Thắng Lộc - Xã Vạn Lộc - Tỉnh Thanh Hóa")</f>
        <v>Thôn Thắng Lộc - Xã Vạn Lộc - Tỉnh Thanh Hóa</v>
      </c>
      <c r="L797" s="7" t="str">
        <f>IFERROR(__xludf.DUMMYFUNCTION("""COMPUTED_VALUE"""),"0985491815")</f>
        <v>0985491815</v>
      </c>
      <c r="M797" s="7" t="str">
        <f>IFERROR(__xludf.DUMMYFUNCTION("""COMPUTED_VALUE"""),"038096001583")</f>
        <v>038096001583</v>
      </c>
      <c r="N797" s="19">
        <f>IFERROR(__xludf.DUMMYFUNCTION("""COMPUTED_VALUE"""),45544.0)</f>
        <v>45544</v>
      </c>
      <c r="O797" s="7" t="str">
        <f>IFERROR(__xludf.DUMMYFUNCTION("""COMPUTED_VALUE"""),"Bộ công an")</f>
        <v>Bộ công an</v>
      </c>
      <c r="P797" s="7" t="str">
        <f>IFERROR(__xludf.DUMMYFUNCTION("""COMPUTED_VALUE"""),"LĐPT")</f>
        <v>LĐPT</v>
      </c>
      <c r="Q797" s="7" t="str">
        <f>IFERROR(__xludf.DUMMYFUNCTION("""COMPUTED_VALUE"""),"Lao động phổ thông")</f>
        <v>Lao động phổ thông</v>
      </c>
      <c r="R797" s="17">
        <f>IFERROR(__xludf.DUMMYFUNCTION("""COMPUTED_VALUE"""),45959.0)</f>
        <v>45959</v>
      </c>
      <c r="S797" s="17">
        <f>IFERROR(__xludf.DUMMYFUNCTION("""COMPUTED_VALUE"""),45990.0)</f>
        <v>45990</v>
      </c>
      <c r="T797" s="7" t="str">
        <f>IFERROR(__xludf.DUMMYFUNCTION("""COMPUTED_VALUE"""),"Thử việc")</f>
        <v>Thử việc</v>
      </c>
      <c r="U797" s="7"/>
      <c r="V797" s="7" t="str">
        <f>IFERROR(__xludf.DUMMYFUNCTION("""COMPUTED_VALUE"""),"Thử việc")</f>
        <v>Thử việc</v>
      </c>
      <c r="W797" s="7" t="str">
        <f>IFERROR(__xludf.DUMMYFUNCTION("""COMPUTED_VALUE"""),"0 năm 2 tháng")</f>
        <v>0 năm 2 tháng</v>
      </c>
      <c r="X797" s="7"/>
      <c r="Y797" s="7"/>
      <c r="Z797" s="7"/>
    </row>
    <row r="798">
      <c r="A798" s="7">
        <f>IFERROR(__xludf.DUMMYFUNCTION("""COMPUTED_VALUE"""),20.0)</f>
        <v>20</v>
      </c>
      <c r="B798" s="7" t="str">
        <f>IFERROR(__xludf.DUMMYFUNCTION("""COMPUTED_VALUE"""),"PXSX2")</f>
        <v>PXSX2</v>
      </c>
      <c r="C798" s="7" t="str">
        <f>IFERROR(__xludf.DUMMYFUNCTION("""COMPUTED_VALUE"""),"Phân xưởng sản xuất bao bì")</f>
        <v>Phân xưởng sản xuất bao bì</v>
      </c>
      <c r="D798" s="7" t="str">
        <f>IFERROR(__xludf.DUMMYFUNCTION("""COMPUTED_VALUE"""),"Bộ phận hành chính")</f>
        <v>Bộ phận hành chính</v>
      </c>
      <c r="E798" s="7" t="str">
        <f>IFERROR(__xludf.DUMMYFUNCTION("""COMPUTED_VALUE"""),"Công nhân vận hành")</f>
        <v>Công nhân vận hành</v>
      </c>
      <c r="F798" s="7" t="str">
        <f>IFERROR(__xludf.DUMMYFUNCTION("""COMPUTED_VALUE"""),"NV5769")</f>
        <v>NV5769</v>
      </c>
      <c r="G798" s="7">
        <f>IFERROR(__xludf.DUMMYFUNCTION("""COMPUTED_VALUE"""),1250.0)</f>
        <v>1250</v>
      </c>
      <c r="H798" s="7" t="str">
        <f>IFERROR(__xludf.DUMMYFUNCTION("""COMPUTED_VALUE"""),"Đỗ Xuân Hùng")</f>
        <v>Đỗ Xuân Hùng</v>
      </c>
      <c r="I798" s="7" t="str">
        <f>IFERROR(__xludf.DUMMYFUNCTION("""COMPUTED_VALUE"""),"Nam")</f>
        <v>Nam</v>
      </c>
      <c r="J798" s="17">
        <f>IFERROR(__xludf.DUMMYFUNCTION("""COMPUTED_VALUE"""),27265.0)</f>
        <v>27265</v>
      </c>
      <c r="K798" s="7" t="str">
        <f>IFERROR(__xludf.DUMMYFUNCTION("""COMPUTED_VALUE"""),"Thôn Hà Thái - Xã Hoằng Hóa - Tỉnh Thanh Hóa")</f>
        <v>Thôn Hà Thái - Xã Hoằng Hóa - Tỉnh Thanh Hóa</v>
      </c>
      <c r="L798" s="7" t="str">
        <f>IFERROR(__xludf.DUMMYFUNCTION("""COMPUTED_VALUE"""),"0964662087")</f>
        <v>0964662087</v>
      </c>
      <c r="M798" s="7" t="str">
        <f>IFERROR(__xludf.DUMMYFUNCTION("""COMPUTED_VALUE"""),"038074019375")</f>
        <v>038074019375</v>
      </c>
      <c r="N798" s="19">
        <f>IFERROR(__xludf.DUMMYFUNCTION("""COMPUTED_VALUE"""),45812.0)</f>
        <v>45812</v>
      </c>
      <c r="O798" s="7" t="str">
        <f>IFERROR(__xludf.DUMMYFUNCTION("""COMPUTED_VALUE"""),"Bộ công an")</f>
        <v>Bộ công an</v>
      </c>
      <c r="P798" s="7" t="str">
        <f>IFERROR(__xludf.DUMMYFUNCTION("""COMPUTED_VALUE"""),"LĐPT")</f>
        <v>LĐPT</v>
      </c>
      <c r="Q798" s="7" t="str">
        <f>IFERROR(__xludf.DUMMYFUNCTION("""COMPUTED_VALUE"""),"Lao động phổ thông")</f>
        <v>Lao động phổ thông</v>
      </c>
      <c r="R798" s="17">
        <f>IFERROR(__xludf.DUMMYFUNCTION("""COMPUTED_VALUE"""),45947.0)</f>
        <v>45947</v>
      </c>
      <c r="S798" s="17">
        <f>IFERROR(__xludf.DUMMYFUNCTION("""COMPUTED_VALUE"""),45947.0)</f>
        <v>45947</v>
      </c>
      <c r="T798" s="7" t="str">
        <f>IFERROR(__xludf.DUMMYFUNCTION("""COMPUTED_VALUE"""),"Thử việc")</f>
        <v>Thử việc</v>
      </c>
      <c r="U798" s="7"/>
      <c r="V798" s="7" t="str">
        <f>IFERROR(__xludf.DUMMYFUNCTION("""COMPUTED_VALUE"""),"Chính thức")</f>
        <v>Chính thức</v>
      </c>
      <c r="W798" s="7" t="str">
        <f>IFERROR(__xludf.DUMMYFUNCTION("""COMPUTED_VALUE"""),"0 năm 2 tháng")</f>
        <v>0 năm 2 tháng</v>
      </c>
      <c r="X798" s="7"/>
      <c r="Y798" s="7"/>
      <c r="Z798" s="7"/>
    </row>
    <row r="799">
      <c r="A799" s="7">
        <f>IFERROR(__xludf.DUMMYFUNCTION("""COMPUTED_VALUE"""),21.0)</f>
        <v>21</v>
      </c>
      <c r="B799" s="7" t="str">
        <f>IFERROR(__xludf.DUMMYFUNCTION("""COMPUTED_VALUE"""),"PXSX2")</f>
        <v>PXSX2</v>
      </c>
      <c r="C799" s="7" t="str">
        <f>IFERROR(__xludf.DUMMYFUNCTION("""COMPUTED_VALUE"""),"Phân xưởng sản xuất bao bì")</f>
        <v>Phân xưởng sản xuất bao bì</v>
      </c>
      <c r="D799" s="7" t="str">
        <f>IFERROR(__xludf.DUMMYFUNCTION("""COMPUTED_VALUE"""),"Bộ phận hành chính")</f>
        <v>Bộ phận hành chính</v>
      </c>
      <c r="E799" s="7" t="str">
        <f>IFERROR(__xludf.DUMMYFUNCTION("""COMPUTED_VALUE"""),"Công nhân vận hành")</f>
        <v>Công nhân vận hành</v>
      </c>
      <c r="F799" s="7" t="str">
        <f>IFERROR(__xludf.DUMMYFUNCTION("""COMPUTED_VALUE"""),"NV5790")</f>
        <v>NV5790</v>
      </c>
      <c r="G799" s="7">
        <f>IFERROR(__xludf.DUMMYFUNCTION("""COMPUTED_VALUE"""),1273.0)</f>
        <v>1273</v>
      </c>
      <c r="H799" s="7" t="str">
        <f>IFERROR(__xludf.DUMMYFUNCTION("""COMPUTED_VALUE"""),"Nguyễn Văn Quân")</f>
        <v>Nguyễn Văn Quân</v>
      </c>
      <c r="I799" s="7" t="str">
        <f>IFERROR(__xludf.DUMMYFUNCTION("""COMPUTED_VALUE"""),"Nam")</f>
        <v>Nam</v>
      </c>
      <c r="J799" s="17">
        <f>IFERROR(__xludf.DUMMYFUNCTION("""COMPUTED_VALUE"""),37764.0)</f>
        <v>37764</v>
      </c>
      <c r="K799" s="7" t="str">
        <f>IFERROR(__xludf.DUMMYFUNCTION("""COMPUTED_VALUE"""),"Thôn Xuân Lai - Xã Xuân Hòa - Tỉnh Thanh Hóa")</f>
        <v>Thôn Xuân Lai - Xã Xuân Hòa - Tỉnh Thanh Hóa</v>
      </c>
      <c r="L799" s="7" t="str">
        <f>IFERROR(__xludf.DUMMYFUNCTION("""COMPUTED_VALUE"""),"0365800706")</f>
        <v>0365800706</v>
      </c>
      <c r="M799" s="7" t="str">
        <f>IFERROR(__xludf.DUMMYFUNCTION("""COMPUTED_VALUE"""),"038203020962")</f>
        <v>038203020962</v>
      </c>
      <c r="N799" s="19">
        <f>IFERROR(__xludf.DUMMYFUNCTION("""COMPUTED_VALUE"""),44315.0)</f>
        <v>44315</v>
      </c>
      <c r="O799" s="7" t="str">
        <f>IFERROR(__xludf.DUMMYFUNCTION("""COMPUTED_VALUE"""),"Cục Cảnh sát QLHC về TTXH")</f>
        <v>Cục Cảnh sát QLHC về TTXH</v>
      </c>
      <c r="P799" s="7" t="str">
        <f>IFERROR(__xludf.DUMMYFUNCTION("""COMPUTED_VALUE"""),"LĐPT")</f>
        <v>LĐPT</v>
      </c>
      <c r="Q799" s="7" t="str">
        <f>IFERROR(__xludf.DUMMYFUNCTION("""COMPUTED_VALUE"""),"Lao động phổ thông")</f>
        <v>Lao động phổ thông</v>
      </c>
      <c r="R799" s="17">
        <f>IFERROR(__xludf.DUMMYFUNCTION("""COMPUTED_VALUE"""),45965.0)</f>
        <v>45965</v>
      </c>
      <c r="S799" s="17">
        <f>IFERROR(__xludf.DUMMYFUNCTION("""COMPUTED_VALUE"""),45995.0)</f>
        <v>45995</v>
      </c>
      <c r="T799" s="7" t="str">
        <f>IFERROR(__xludf.DUMMYFUNCTION("""COMPUTED_VALUE"""),"Thử việc")</f>
        <v>Thử việc</v>
      </c>
      <c r="U799" s="7"/>
      <c r="V799" s="7" t="str">
        <f>IFERROR(__xludf.DUMMYFUNCTION("""COMPUTED_VALUE"""),"Thử việc")</f>
        <v>Thử việc</v>
      </c>
      <c r="W799" s="7" t="str">
        <f>IFERROR(__xludf.DUMMYFUNCTION("""COMPUTED_VALUE"""),"0 năm 1 tháng")</f>
        <v>0 năm 1 tháng</v>
      </c>
      <c r="X799" s="7"/>
      <c r="Y799" s="7"/>
      <c r="Z799" s="7"/>
    </row>
    <row r="800">
      <c r="A800" s="7">
        <f>IFERROR(__xludf.DUMMYFUNCTION("""COMPUTED_VALUE"""),22.0)</f>
        <v>22</v>
      </c>
      <c r="B800" s="7" t="str">
        <f>IFERROR(__xludf.DUMMYFUNCTION("""COMPUTED_VALUE"""),"PXSX2")</f>
        <v>PXSX2</v>
      </c>
      <c r="C800" s="7" t="str">
        <f>IFERROR(__xludf.DUMMYFUNCTION("""COMPUTED_VALUE"""),"Phân xưởng sản xuất bao bì")</f>
        <v>Phân xưởng sản xuất bao bì</v>
      </c>
      <c r="D800" s="7" t="str">
        <f>IFERROR(__xludf.DUMMYFUNCTION("""COMPUTED_VALUE"""),"Bộ phận hành chính")</f>
        <v>Bộ phận hành chính</v>
      </c>
      <c r="E800" s="7" t="str">
        <f>IFERROR(__xludf.DUMMYFUNCTION("""COMPUTED_VALUE"""),"Công nhân vận hành")</f>
        <v>Công nhân vận hành</v>
      </c>
      <c r="F800" s="7" t="str">
        <f>IFERROR(__xludf.DUMMYFUNCTION("""COMPUTED_VALUE"""),"NV3245")</f>
        <v>NV3245</v>
      </c>
      <c r="G800" s="7">
        <f>IFERROR(__xludf.DUMMYFUNCTION("""COMPUTED_VALUE"""),397.0)</f>
        <v>397</v>
      </c>
      <c r="H800" s="7" t="str">
        <f>IFERROR(__xludf.DUMMYFUNCTION("""COMPUTED_VALUE"""),"Lê Hữu Việt")</f>
        <v>Lê Hữu Việt</v>
      </c>
      <c r="I800" s="7" t="str">
        <f>IFERROR(__xludf.DUMMYFUNCTION("""COMPUTED_VALUE"""),"Nam")</f>
        <v>Nam</v>
      </c>
      <c r="J800" s="17">
        <f>IFERROR(__xludf.DUMMYFUNCTION("""COMPUTED_VALUE"""),33850.0)</f>
        <v>33850</v>
      </c>
      <c r="K800" s="7" t="str">
        <f>IFERROR(__xludf.DUMMYFUNCTION("""COMPUTED_VALUE"""),"Thôn 1 -Xã Hoằng Lộc - Tỉnh Thanh Hóa")</f>
        <v>Thôn 1 -Xã Hoằng Lộc - Tỉnh Thanh Hóa</v>
      </c>
      <c r="L800" s="7" t="str">
        <f>IFERROR(__xludf.DUMMYFUNCTION("""COMPUTED_VALUE"""),"0946642286")</f>
        <v>0946642286</v>
      </c>
      <c r="M800" s="7" t="str">
        <f>IFERROR(__xludf.DUMMYFUNCTION("""COMPUTED_VALUE"""),"038092040869")</f>
        <v>038092040869</v>
      </c>
      <c r="N800" s="19">
        <f>IFERROR(__xludf.DUMMYFUNCTION("""COMPUTED_VALUE"""),44420.0)</f>
        <v>44420</v>
      </c>
      <c r="O800" s="7" t="str">
        <f>IFERROR(__xludf.DUMMYFUNCTION("""COMPUTED_VALUE"""),"Cục Cảnh sát QLHC về TTXH")</f>
        <v>Cục Cảnh sát QLHC về TTXH</v>
      </c>
      <c r="P800" s="7" t="str">
        <f>IFERROR(__xludf.DUMMYFUNCTION("""COMPUTED_VALUE"""),"Cao đẳng nghề")</f>
        <v>Cao đẳng nghề</v>
      </c>
      <c r="Q800" s="7" t="str">
        <f>IFERROR(__xludf.DUMMYFUNCTION("""COMPUTED_VALUE"""),"Công nghệ điện tử")</f>
        <v>Công nghệ điện tử</v>
      </c>
      <c r="R800" s="17">
        <f>IFERROR(__xludf.DUMMYFUNCTION("""COMPUTED_VALUE"""),44075.0)</f>
        <v>44075</v>
      </c>
      <c r="S800" s="17">
        <f>IFERROR(__xludf.DUMMYFUNCTION("""COMPUTED_VALUE"""),44197.0)</f>
        <v>44197</v>
      </c>
      <c r="T800" s="7" t="str">
        <f>IFERROR(__xludf.DUMMYFUNCTION("""COMPUTED_VALUE"""),"Chính thức")</f>
        <v>Chính thức</v>
      </c>
      <c r="U800" s="7"/>
      <c r="V800" s="7" t="str">
        <f>IFERROR(__xludf.DUMMYFUNCTION("""COMPUTED_VALUE"""),"Điều động")</f>
        <v>Điều động</v>
      </c>
      <c r="W800" s="7" t="str">
        <f>IFERROR(__xludf.DUMMYFUNCTION("""COMPUTED_VALUE"""),"5 năm 3 tháng")</f>
        <v>5 năm 3 tháng</v>
      </c>
      <c r="X800" s="7"/>
      <c r="Y800" s="7"/>
      <c r="Z800" s="7"/>
    </row>
    <row r="801">
      <c r="A801" s="7">
        <f>IFERROR(__xludf.DUMMYFUNCTION("""COMPUTED_VALUE"""),23.0)</f>
        <v>23</v>
      </c>
      <c r="B801" s="7" t="str">
        <f>IFERROR(__xludf.DUMMYFUNCTION("""COMPUTED_VALUE"""),"PXSX2")</f>
        <v>PXSX2</v>
      </c>
      <c r="C801" s="7" t="str">
        <f>IFERROR(__xludf.DUMMYFUNCTION("""COMPUTED_VALUE"""),"Phân xưởng sản xuất bao bì")</f>
        <v>Phân xưởng sản xuất bao bì</v>
      </c>
      <c r="D801" s="7" t="str">
        <f>IFERROR(__xludf.DUMMYFUNCTION("""COMPUTED_VALUE"""),"Bộ phận hành chính")</f>
        <v>Bộ phận hành chính</v>
      </c>
      <c r="E801" s="7" t="str">
        <f>IFERROR(__xludf.DUMMYFUNCTION("""COMPUTED_VALUE"""),"Công nhân vận hành")</f>
        <v>Công nhân vận hành</v>
      </c>
      <c r="F801" s="7" t="str">
        <f>IFERROR(__xludf.DUMMYFUNCTION("""COMPUTED_VALUE"""),"NV5811")</f>
        <v>NV5811</v>
      </c>
      <c r="G801" s="7">
        <f>IFERROR(__xludf.DUMMYFUNCTION("""COMPUTED_VALUE"""),1293.0)</f>
        <v>1293</v>
      </c>
      <c r="H801" s="7" t="str">
        <f>IFERROR(__xludf.DUMMYFUNCTION("""COMPUTED_VALUE"""),"Nguyễn Văn Hải")</f>
        <v>Nguyễn Văn Hải</v>
      </c>
      <c r="I801" s="7" t="str">
        <f>IFERROR(__xludf.DUMMYFUNCTION("""COMPUTED_VALUE"""),"Nam")</f>
        <v>Nam</v>
      </c>
      <c r="J801" s="17">
        <f>IFERROR(__xludf.DUMMYFUNCTION("""COMPUTED_VALUE"""),30538.0)</f>
        <v>30538</v>
      </c>
      <c r="K801" s="7" t="str">
        <f>IFERROR(__xludf.DUMMYFUNCTION("""COMPUTED_VALUE"""),"Phố Tiến Thành - Phường Quảng Phú - Tỉnh Thanh Hoá")</f>
        <v>Phố Tiến Thành - Phường Quảng Phú - Tỉnh Thanh Hoá</v>
      </c>
      <c r="L801" s="7" t="str">
        <f>IFERROR(__xludf.DUMMYFUNCTION("""COMPUTED_VALUE"""),"0968112167")</f>
        <v>0968112167</v>
      </c>
      <c r="M801" s="7" t="str">
        <f>IFERROR(__xludf.DUMMYFUNCTION("""COMPUTED_VALUE"""),"038083042959")</f>
        <v>038083042959</v>
      </c>
      <c r="N801" s="19">
        <f>IFERROR(__xludf.DUMMYFUNCTION("""COMPUTED_VALUE"""),44420.0)</f>
        <v>44420</v>
      </c>
      <c r="O801" s="7" t="str">
        <f>IFERROR(__xludf.DUMMYFUNCTION("""COMPUTED_VALUE"""),"Cục Cảnh sát QLHC về TTXH")</f>
        <v>Cục Cảnh sát QLHC về TTXH</v>
      </c>
      <c r="P801" s="7" t="str">
        <f>IFERROR(__xludf.DUMMYFUNCTION("""COMPUTED_VALUE"""),"LĐPT")</f>
        <v>LĐPT</v>
      </c>
      <c r="Q801" s="7" t="str">
        <f>IFERROR(__xludf.DUMMYFUNCTION("""COMPUTED_VALUE"""),"Lao động phổ thông")</f>
        <v>Lao động phổ thông</v>
      </c>
      <c r="R801" s="17">
        <f>IFERROR(__xludf.DUMMYFUNCTION("""COMPUTED_VALUE"""),45978.0)</f>
        <v>45978</v>
      </c>
      <c r="S801" s="17">
        <f>IFERROR(__xludf.DUMMYFUNCTION("""COMPUTED_VALUE"""),46008.0)</f>
        <v>46008</v>
      </c>
      <c r="T801" s="7" t="str">
        <f>IFERROR(__xludf.DUMMYFUNCTION("""COMPUTED_VALUE"""),"Thử việc")</f>
        <v>Thử việc</v>
      </c>
      <c r="U801" s="7"/>
      <c r="V801" s="7" t="str">
        <f>IFERROR(__xludf.DUMMYFUNCTION("""COMPUTED_VALUE"""),"Thử việc")</f>
        <v>Thử việc</v>
      </c>
      <c r="W801" s="7" t="str">
        <f>IFERROR(__xludf.DUMMYFUNCTION("""COMPUTED_VALUE"""),"0 năm 1 tháng")</f>
        <v>0 năm 1 tháng</v>
      </c>
      <c r="X801" s="7"/>
      <c r="Y801" s="7"/>
      <c r="Z801" s="7"/>
    </row>
    <row r="802">
      <c r="A802" s="21" t="str">
        <f>IFERROR(__xludf.DUMMYFUNCTION("""COMPUTED_VALUE"""),"2")</f>
        <v>2</v>
      </c>
      <c r="B802" s="7" t="str">
        <f>IFERROR(__xludf.DUMMYFUNCTION("""COMPUTED_VALUE"""),"PXSX2")</f>
        <v>PXSX2</v>
      </c>
      <c r="C802" s="7" t="str">
        <f>IFERROR(__xludf.DUMMYFUNCTION("""COMPUTED_VALUE"""),"Phòng công nghệ")</f>
        <v>Phòng công nghệ</v>
      </c>
      <c r="D802" s="7" t="str">
        <f>IFERROR(__xludf.DUMMYFUNCTION("""COMPUTED_VALUE"""),"Công nghệ")</f>
        <v>Công nghệ</v>
      </c>
      <c r="E802" s="7" t="str">
        <f>IFERROR(__xludf.DUMMYFUNCTION("""COMPUTED_VALUE"""),"Trưởng bộ phận công nghệ")</f>
        <v>Trưởng bộ phận công nghệ</v>
      </c>
      <c r="F802" s="7" t="str">
        <f>IFERROR(__xludf.DUMMYFUNCTION("""COMPUTED_VALUE"""),"NV0215")</f>
        <v>NV0215</v>
      </c>
      <c r="G802" s="7">
        <f>IFERROR(__xludf.DUMMYFUNCTION("""COMPUTED_VALUE"""),169.0)</f>
        <v>169</v>
      </c>
      <c r="H802" s="7" t="str">
        <f>IFERROR(__xludf.DUMMYFUNCTION("""COMPUTED_VALUE"""),"Vũ Đình Hoàng")</f>
        <v>Vũ Đình Hoàng</v>
      </c>
      <c r="I802" s="7" t="str">
        <f>IFERROR(__xludf.DUMMYFUNCTION("""COMPUTED_VALUE"""),"Nam")</f>
        <v>Nam</v>
      </c>
      <c r="J802" s="17">
        <f>IFERROR(__xludf.DUMMYFUNCTION("""COMPUTED_VALUE"""),32795.0)</f>
        <v>32795</v>
      </c>
      <c r="K802" s="7" t="str">
        <f>IFERROR(__xludf.DUMMYFUNCTION("""COMPUTED_VALUE"""),"Phường Quảng Phú - Tỉnh Thanh Hóa")</f>
        <v>Phường Quảng Phú - Tỉnh Thanh Hóa</v>
      </c>
      <c r="L802" s="20" t="str">
        <f>IFERROR(__xludf.DUMMYFUNCTION("""COMPUTED_VALUE"""),"0977303383")</f>
        <v>0977303383</v>
      </c>
      <c r="M802" s="7" t="str">
        <f>IFERROR(__xludf.DUMMYFUNCTION("""COMPUTED_VALUE"""),"038089011822")</f>
        <v>038089011822</v>
      </c>
      <c r="N802" s="19">
        <f>IFERROR(__xludf.DUMMYFUNCTION("""COMPUTED_VALUE"""),44408.0)</f>
        <v>44408</v>
      </c>
      <c r="O802" s="7" t="str">
        <f>IFERROR(__xludf.DUMMYFUNCTION("""COMPUTED_VALUE"""),"Cục Cảnh sát QLHC về TTXH")</f>
        <v>Cục Cảnh sát QLHC về TTXH</v>
      </c>
      <c r="P802" s="7" t="str">
        <f>IFERROR(__xludf.DUMMYFUNCTION("""COMPUTED_VALUE"""),"Cao đẳng")</f>
        <v>Cao đẳng</v>
      </c>
      <c r="Q802" s="7" t="str">
        <f>IFERROR(__xludf.DUMMYFUNCTION("""COMPUTED_VALUE"""),"Công nghệ hóa dầu")</f>
        <v>Công nghệ hóa dầu</v>
      </c>
      <c r="R802" s="17">
        <f>IFERROR(__xludf.DUMMYFUNCTION("""COMPUTED_VALUE"""),41716.0)</f>
        <v>41716</v>
      </c>
      <c r="S802" s="17">
        <f>IFERROR(__xludf.DUMMYFUNCTION("""COMPUTED_VALUE"""),41716.0)</f>
        <v>41716</v>
      </c>
      <c r="T802" s="17" t="str">
        <f>IFERROR(__xludf.DUMMYFUNCTION("""COMPUTED_VALUE"""),"Chính thức")</f>
        <v>Chính thức</v>
      </c>
      <c r="U802" s="7"/>
      <c r="V802" s="7" t="str">
        <f>IFERROR(__xludf.DUMMYFUNCTION("""COMPUTED_VALUE"""),"Chính thức")</f>
        <v>Chính thức</v>
      </c>
      <c r="W802" s="7" t="str">
        <f>IFERROR(__xludf.DUMMYFUNCTION("""COMPUTED_VALUE"""),"11 năm 9 tháng")</f>
        <v>11 năm 9 tháng</v>
      </c>
      <c r="X802" s="7"/>
      <c r="Y802" s="7"/>
      <c r="Z802" s="7"/>
    </row>
    <row r="803">
      <c r="A803" s="21" t="str">
        <f>IFERROR(__xludf.DUMMYFUNCTION("""COMPUTED_VALUE"""),"3")</f>
        <v>3</v>
      </c>
      <c r="B803" s="7" t="str">
        <f>IFERROR(__xludf.DUMMYFUNCTION("""COMPUTED_VALUE"""),"PXSX2")</f>
        <v>PXSX2</v>
      </c>
      <c r="C803" s="7" t="str">
        <f>IFERROR(__xludf.DUMMYFUNCTION("""COMPUTED_VALUE"""),"Phòng công nghệ")</f>
        <v>Phòng công nghệ</v>
      </c>
      <c r="D803" s="7" t="str">
        <f>IFERROR(__xludf.DUMMYFUNCTION("""COMPUTED_VALUE"""),"Công nghệ")</f>
        <v>Công nghệ</v>
      </c>
      <c r="E803" s="7" t="str">
        <f>IFERROR(__xludf.DUMMYFUNCTION("""COMPUTED_VALUE"""),"CBKT Công nghệ")</f>
        <v>CBKT Công nghệ</v>
      </c>
      <c r="F803" s="7" t="str">
        <f>IFERROR(__xludf.DUMMYFUNCTION("""COMPUTED_VALUE"""),"NV0423")</f>
        <v>NV0423</v>
      </c>
      <c r="G803" s="7">
        <f>IFERROR(__xludf.DUMMYFUNCTION("""COMPUTED_VALUE"""),531.0)</f>
        <v>531</v>
      </c>
      <c r="H803" s="7" t="str">
        <f>IFERROR(__xludf.DUMMYFUNCTION("""COMPUTED_VALUE"""),"Trần Tiến Dũng")</f>
        <v>Trần Tiến Dũng</v>
      </c>
      <c r="I803" s="7" t="str">
        <f>IFERROR(__xludf.DUMMYFUNCTION("""COMPUTED_VALUE"""),"Nam")</f>
        <v>Nam</v>
      </c>
      <c r="J803" s="17">
        <f>IFERROR(__xludf.DUMMYFUNCTION("""COMPUTED_VALUE"""),28908.0)</f>
        <v>28908</v>
      </c>
      <c r="K803" s="7" t="str">
        <f>IFERROR(__xludf.DUMMYFUNCTION("""COMPUTED_VALUE"""),"Xã Lưu Vệ - Tỉnh Thanh Hóa")</f>
        <v>Xã Lưu Vệ - Tỉnh Thanh Hóa</v>
      </c>
      <c r="L803" s="20" t="str">
        <f>IFERROR(__xludf.DUMMYFUNCTION("""COMPUTED_VALUE"""),"0978234577")</f>
        <v>0978234577</v>
      </c>
      <c r="M803" s="7" t="str">
        <f>IFERROR(__xludf.DUMMYFUNCTION("""COMPUTED_VALUE"""),"038079004202")</f>
        <v>038079004202</v>
      </c>
      <c r="N803" s="19">
        <f>IFERROR(__xludf.DUMMYFUNCTION("""COMPUTED_VALUE"""),44419.0)</f>
        <v>44419</v>
      </c>
      <c r="O803" s="7" t="str">
        <f>IFERROR(__xludf.DUMMYFUNCTION("""COMPUTED_VALUE"""),"Cục Cảnh sát QLHC về TTXH")</f>
        <v>Cục Cảnh sát QLHC về TTXH</v>
      </c>
      <c r="P803" s="7" t="str">
        <f>IFERROR(__xludf.DUMMYFUNCTION("""COMPUTED_VALUE"""),"Trung cấp")</f>
        <v>Trung cấp</v>
      </c>
      <c r="Q803" s="7" t="str">
        <f>IFERROR(__xludf.DUMMYFUNCTION("""COMPUTED_VALUE"""),"Phân tích hóa")</f>
        <v>Phân tích hóa</v>
      </c>
      <c r="R803" s="17">
        <f>IFERROR(__xludf.DUMMYFUNCTION("""COMPUTED_VALUE"""),40262.0)</f>
        <v>40262</v>
      </c>
      <c r="S803" s="17">
        <f>IFERROR(__xludf.DUMMYFUNCTION("""COMPUTED_VALUE"""),40262.0)</f>
        <v>40262</v>
      </c>
      <c r="T803" s="17" t="str">
        <f>IFERROR(__xludf.DUMMYFUNCTION("""COMPUTED_VALUE"""),"Chính thức")</f>
        <v>Chính thức</v>
      </c>
      <c r="U803" s="7"/>
      <c r="V803" s="7" t="str">
        <f>IFERROR(__xludf.DUMMYFUNCTION("""COMPUTED_VALUE"""),"Chính thức")</f>
        <v>Chính thức</v>
      </c>
      <c r="W803" s="7" t="str">
        <f>IFERROR(__xludf.DUMMYFUNCTION("""COMPUTED_VALUE"""),"15 năm 9 tháng")</f>
        <v>15 năm 9 tháng</v>
      </c>
      <c r="X803" s="7"/>
      <c r="Y803" s="7"/>
      <c r="Z803" s="7"/>
    </row>
    <row r="804">
      <c r="A804" s="21" t="str">
        <f>IFERROR(__xludf.DUMMYFUNCTION("""COMPUTED_VALUE"""),"4")</f>
        <v>4</v>
      </c>
      <c r="B804" s="7" t="str">
        <f>IFERROR(__xludf.DUMMYFUNCTION("""COMPUTED_VALUE"""),"PXSX2")</f>
        <v>PXSX2</v>
      </c>
      <c r="C804" s="7" t="str">
        <f>IFERROR(__xludf.DUMMYFUNCTION("""COMPUTED_VALUE"""),"Phòng công nghệ")</f>
        <v>Phòng công nghệ</v>
      </c>
      <c r="D804" s="7" t="str">
        <f>IFERROR(__xludf.DUMMYFUNCTION("""COMPUTED_VALUE"""),"Công nghệ")</f>
        <v>Công nghệ</v>
      </c>
      <c r="E804" s="7" t="str">
        <f>IFERROR(__xludf.DUMMYFUNCTION("""COMPUTED_VALUE"""),"Nhân viên kỹ thuật")</f>
        <v>Nhân viên kỹ thuật</v>
      </c>
      <c r="F804" s="7" t="str">
        <f>IFERROR(__xludf.DUMMYFUNCTION("""COMPUTED_VALUE"""),"NV1330")</f>
        <v>NV1330</v>
      </c>
      <c r="G804" s="7">
        <f>IFERROR(__xludf.DUMMYFUNCTION("""COMPUTED_VALUE"""),515.0)</f>
        <v>515</v>
      </c>
      <c r="H804" s="7" t="str">
        <f>IFERROR(__xludf.DUMMYFUNCTION("""COMPUTED_VALUE"""),"Đoàn Ngọc Toàn")</f>
        <v>Đoàn Ngọc Toàn</v>
      </c>
      <c r="I804" s="7" t="str">
        <f>IFERROR(__xludf.DUMMYFUNCTION("""COMPUTED_VALUE"""),"Nam")</f>
        <v>Nam</v>
      </c>
      <c r="J804" s="17">
        <f>IFERROR(__xludf.DUMMYFUNCTION("""COMPUTED_VALUE"""),32653.0)</f>
        <v>32653</v>
      </c>
      <c r="K804" s="7" t="str">
        <f>IFERROR(__xludf.DUMMYFUNCTION("""COMPUTED_VALUE"""),"Hưng Lộc - Hậu Lộc - Thanh Hóa")</f>
        <v>Hưng Lộc - Hậu Lộc - Thanh Hóa</v>
      </c>
      <c r="L804" s="20" t="str">
        <f>IFERROR(__xludf.DUMMYFUNCTION("""COMPUTED_VALUE"""),"0973790322")</f>
        <v>0973790322</v>
      </c>
      <c r="M804" s="7" t="str">
        <f>IFERROR(__xludf.DUMMYFUNCTION("""COMPUTED_VALUE"""),"038089040509")</f>
        <v>038089040509</v>
      </c>
      <c r="N804" s="19">
        <f>IFERROR(__xludf.DUMMYFUNCTION("""COMPUTED_VALUE"""),44896.0)</f>
        <v>44896</v>
      </c>
      <c r="O804" s="7" t="str">
        <f>IFERROR(__xludf.DUMMYFUNCTION("""COMPUTED_VALUE"""),"Cục Cảnh sát QLHC về TTXH")</f>
        <v>Cục Cảnh sát QLHC về TTXH</v>
      </c>
      <c r="P804" s="7" t="str">
        <f>IFERROR(__xludf.DUMMYFUNCTION("""COMPUTED_VALUE"""),"Đại học")</f>
        <v>Đại học</v>
      </c>
      <c r="Q804" s="7" t="str">
        <f>IFERROR(__xludf.DUMMYFUNCTION("""COMPUTED_VALUE"""),"Công nghệ kỹ thuật hóa học")</f>
        <v>Công nghệ kỹ thuật hóa học</v>
      </c>
      <c r="R804" s="17">
        <f>IFERROR(__xludf.DUMMYFUNCTION("""COMPUTED_VALUE"""),43192.0)</f>
        <v>43192</v>
      </c>
      <c r="S804" s="17">
        <f>IFERROR(__xludf.DUMMYFUNCTION("""COMPUTED_VALUE"""),47239.0)</f>
        <v>47239</v>
      </c>
      <c r="T804" s="17" t="str">
        <f>IFERROR(__xludf.DUMMYFUNCTION("""COMPUTED_VALUE"""),"Chính thức")</f>
        <v>Chính thức</v>
      </c>
      <c r="U804" s="7"/>
      <c r="V804" s="7" t="str">
        <f>IFERROR(__xludf.DUMMYFUNCTION("""COMPUTED_VALUE"""),"Chính thức")</f>
        <v>Chính thức</v>
      </c>
      <c r="W804" s="7" t="str">
        <f>IFERROR(__xludf.DUMMYFUNCTION("""COMPUTED_VALUE"""),"7 năm 8 tháng")</f>
        <v>7 năm 8 tháng</v>
      </c>
      <c r="X804" s="7"/>
      <c r="Y804" s="7"/>
      <c r="Z804" s="7"/>
    </row>
    <row r="805">
      <c r="A805" s="21" t="str">
        <f>IFERROR(__xludf.DUMMYFUNCTION("""COMPUTED_VALUE"""),"5")</f>
        <v>5</v>
      </c>
      <c r="B805" s="7" t="str">
        <f>IFERROR(__xludf.DUMMYFUNCTION("""COMPUTED_VALUE"""),"PXSX2")</f>
        <v>PXSX2</v>
      </c>
      <c r="C805" s="7" t="str">
        <f>IFERROR(__xludf.DUMMYFUNCTION("""COMPUTED_VALUE"""),"Phòng công nghệ")</f>
        <v>Phòng công nghệ</v>
      </c>
      <c r="D805" s="7" t="str">
        <f>IFERROR(__xludf.DUMMYFUNCTION("""COMPUTED_VALUE"""),"Công nghệ")</f>
        <v>Công nghệ</v>
      </c>
      <c r="E805" s="7" t="str">
        <f>IFERROR(__xludf.DUMMYFUNCTION("""COMPUTED_VALUE"""),"NV kiểm tra nguyên liệu xương")</f>
        <v>NV kiểm tra nguyên liệu xương</v>
      </c>
      <c r="F805" s="7" t="str">
        <f>IFERROR(__xludf.DUMMYFUNCTION("""COMPUTED_VALUE"""),"NV4152")</f>
        <v>NV4152</v>
      </c>
      <c r="G805" s="7">
        <f>IFERROR(__xludf.DUMMYFUNCTION("""COMPUTED_VALUE"""),622.0)</f>
        <v>622</v>
      </c>
      <c r="H805" s="7" t="str">
        <f>IFERROR(__xludf.DUMMYFUNCTION("""COMPUTED_VALUE"""),"Lê Kim Tùng")</f>
        <v>Lê Kim Tùng</v>
      </c>
      <c r="I805" s="7" t="str">
        <f>IFERROR(__xludf.DUMMYFUNCTION("""COMPUTED_VALUE"""),"Nam")</f>
        <v>Nam</v>
      </c>
      <c r="J805" s="17">
        <f>IFERROR(__xludf.DUMMYFUNCTION("""COMPUTED_VALUE"""),33917.0)</f>
        <v>33917</v>
      </c>
      <c r="K805" s="7" t="str">
        <f>IFERROR(__xludf.DUMMYFUNCTION("""COMPUTED_VALUE"""),"Xã Hợp Thành -  Huyện Triệu Sơn -  Thanh Hóa")</f>
        <v>Xã Hợp Thành -  Huyện Triệu Sơn -  Thanh Hóa</v>
      </c>
      <c r="L805" s="20" t="str">
        <f>IFERROR(__xludf.DUMMYFUNCTION("""COMPUTED_VALUE"""),"0369963484")</f>
        <v>0369963484</v>
      </c>
      <c r="M805" s="7" t="str">
        <f>IFERROR(__xludf.DUMMYFUNCTION("""COMPUTED_VALUE"""),"038092010207")</f>
        <v>038092010207</v>
      </c>
      <c r="N805" s="19">
        <f>IFERROR(__xludf.DUMMYFUNCTION("""COMPUTED_VALUE"""),44427.0)</f>
        <v>44427</v>
      </c>
      <c r="O805" s="7" t="str">
        <f>IFERROR(__xludf.DUMMYFUNCTION("""COMPUTED_VALUE"""),"Cục Cảnh sát QLHC về TTXH")</f>
        <v>Cục Cảnh sát QLHC về TTXH</v>
      </c>
      <c r="P805" s="7" t="str">
        <f>IFERROR(__xludf.DUMMYFUNCTION("""COMPUTED_VALUE"""),"Cao đẳng")</f>
        <v>Cao đẳng</v>
      </c>
      <c r="Q805" s="7" t="str">
        <f>IFERROR(__xludf.DUMMYFUNCTION("""COMPUTED_VALUE"""),"Công nghệ kỹ thuật hóa học")</f>
        <v>Công nghệ kỹ thuật hóa học</v>
      </c>
      <c r="R805" s="17">
        <f>IFERROR(__xludf.DUMMYFUNCTION("""COMPUTED_VALUE"""),44673.0)</f>
        <v>44673</v>
      </c>
      <c r="S805" s="17">
        <f>IFERROR(__xludf.DUMMYFUNCTION("""COMPUTED_VALUE"""),44986.0)</f>
        <v>44986</v>
      </c>
      <c r="T805" s="17" t="str">
        <f>IFERROR(__xludf.DUMMYFUNCTION("""COMPUTED_VALUE"""),"Chính thức")</f>
        <v>Chính thức</v>
      </c>
      <c r="U805" s="7"/>
      <c r="V805" s="7" t="str">
        <f>IFERROR(__xludf.DUMMYFUNCTION("""COMPUTED_VALUE"""),"Chính thức")</f>
        <v>Chính thức</v>
      </c>
      <c r="W805" s="7" t="str">
        <f>IFERROR(__xludf.DUMMYFUNCTION("""COMPUTED_VALUE"""),"3 năm 8 tháng")</f>
        <v>3 năm 8 tháng</v>
      </c>
      <c r="X805" s="7"/>
      <c r="Y805" s="7"/>
      <c r="Z805" s="7"/>
    </row>
    <row r="806">
      <c r="A806" s="21" t="str">
        <f>IFERROR(__xludf.DUMMYFUNCTION("""COMPUTED_VALUE"""),"6")</f>
        <v>6</v>
      </c>
      <c r="B806" s="7" t="str">
        <f>IFERROR(__xludf.DUMMYFUNCTION("""COMPUTED_VALUE"""),"PXSX2")</f>
        <v>PXSX2</v>
      </c>
      <c r="C806" s="7" t="str">
        <f>IFERROR(__xludf.DUMMYFUNCTION("""COMPUTED_VALUE"""),"Phòng công nghệ")</f>
        <v>Phòng công nghệ</v>
      </c>
      <c r="D806" s="7" t="str">
        <f>IFERROR(__xludf.DUMMYFUNCTION("""COMPUTED_VALUE"""),"Công nghệ")</f>
        <v>Công nghệ</v>
      </c>
      <c r="E806" s="7" t="str">
        <f>IFERROR(__xludf.DUMMYFUNCTION("""COMPUTED_VALUE"""),"NV kiểm tra nguyên liệu xương")</f>
        <v>NV kiểm tra nguyên liệu xương</v>
      </c>
      <c r="F806" s="7" t="str">
        <f>IFERROR(__xludf.DUMMYFUNCTION("""COMPUTED_VALUE"""),"NV5537")</f>
        <v>NV5537</v>
      </c>
      <c r="G806" s="7">
        <f>IFERROR(__xludf.DUMMYFUNCTION("""COMPUTED_VALUE"""),1019.0)</f>
        <v>1019</v>
      </c>
      <c r="H806" s="7" t="str">
        <f>IFERROR(__xludf.DUMMYFUNCTION("""COMPUTED_VALUE"""),"Tào Văn Đạt")</f>
        <v>Tào Văn Đạt</v>
      </c>
      <c r="I806" s="7" t="str">
        <f>IFERROR(__xludf.DUMMYFUNCTION("""COMPUTED_VALUE"""),"Nam")</f>
        <v>Nam</v>
      </c>
      <c r="J806" s="17">
        <f>IFERROR(__xludf.DUMMYFUNCTION("""COMPUTED_VALUE"""),32452.0)</f>
        <v>32452</v>
      </c>
      <c r="K806" s="7" t="str">
        <f>IFERROR(__xludf.DUMMYFUNCTION("""COMPUTED_VALUE"""),"Thôn Phú Trung - Xã Hoằng Phú - Tỉnh Thanh Hóa")</f>
        <v>Thôn Phú Trung - Xã Hoằng Phú - Tỉnh Thanh Hóa</v>
      </c>
      <c r="L806" s="20" t="str">
        <f>IFERROR(__xludf.DUMMYFUNCTION("""COMPUTED_VALUE"""),"0986885289")</f>
        <v>0986885289</v>
      </c>
      <c r="M806" s="7" t="str">
        <f>IFERROR(__xludf.DUMMYFUNCTION("""COMPUTED_VALUE"""),"038088017736")</f>
        <v>038088017736</v>
      </c>
      <c r="N806" s="19">
        <f>IFERROR(__xludf.DUMMYFUNCTION("""COMPUTED_VALUE"""),44551.0)</f>
        <v>44551</v>
      </c>
      <c r="O806" s="7" t="str">
        <f>IFERROR(__xludf.DUMMYFUNCTION("""COMPUTED_VALUE"""),"Cục Cảnh sát QLHC về TTXH")</f>
        <v>Cục Cảnh sát QLHC về TTXH</v>
      </c>
      <c r="P806" s="7" t="str">
        <f>IFERROR(__xludf.DUMMYFUNCTION("""COMPUTED_VALUE"""),"Đại học")</f>
        <v>Đại học</v>
      </c>
      <c r="Q806" s="7" t="str">
        <f>IFERROR(__xludf.DUMMYFUNCTION("""COMPUTED_VALUE"""),"Kỹ Sư Môi Trường")</f>
        <v>Kỹ Sư Môi Trường</v>
      </c>
      <c r="R806" s="17">
        <f>IFERROR(__xludf.DUMMYFUNCTION("""COMPUTED_VALUE"""),45820.0)</f>
        <v>45820</v>
      </c>
      <c r="S806" s="17">
        <f>IFERROR(__xludf.DUMMYFUNCTION("""COMPUTED_VALUE"""),45850.0)</f>
        <v>45850</v>
      </c>
      <c r="T806" s="17" t="str">
        <f>IFERROR(__xludf.DUMMYFUNCTION("""COMPUTED_VALUE"""),"Chính thức")</f>
        <v>Chính thức</v>
      </c>
      <c r="U806" s="7"/>
      <c r="V806" s="7" t="str">
        <f>IFERROR(__xludf.DUMMYFUNCTION("""COMPUTED_VALUE"""),"Chính thức")</f>
        <v>Chính thức</v>
      </c>
      <c r="W806" s="7" t="str">
        <f>IFERROR(__xludf.DUMMYFUNCTION("""COMPUTED_VALUE"""),"0 năm 6 tháng")</f>
        <v>0 năm 6 tháng</v>
      </c>
      <c r="X806" s="7"/>
      <c r="Y806" s="7"/>
      <c r="Z806" s="7"/>
    </row>
    <row r="807">
      <c r="A807" s="21" t="str">
        <f>IFERROR(__xludf.DUMMYFUNCTION("""COMPUTED_VALUE"""),"7")</f>
        <v>7</v>
      </c>
      <c r="B807" s="7" t="str">
        <f>IFERROR(__xludf.DUMMYFUNCTION("""COMPUTED_VALUE"""),"PXSX2")</f>
        <v>PXSX2</v>
      </c>
      <c r="C807" s="7" t="str">
        <f>IFERROR(__xludf.DUMMYFUNCTION("""COMPUTED_VALUE"""),"Phòng công nghệ")</f>
        <v>Phòng công nghệ</v>
      </c>
      <c r="D807" s="7" t="str">
        <f>IFERROR(__xludf.DUMMYFUNCTION("""COMPUTED_VALUE"""),"Công nghệ")</f>
        <v>Công nghệ</v>
      </c>
      <c r="E807" s="7"/>
      <c r="F807" s="7" t="str">
        <f>IFERROR(__xludf.DUMMYFUNCTION("""COMPUTED_VALUE"""),"NV5794")</f>
        <v>NV5794</v>
      </c>
      <c r="G807" s="7">
        <f>IFERROR(__xludf.DUMMYFUNCTION("""COMPUTED_VALUE"""),1276.0)</f>
        <v>1276</v>
      </c>
      <c r="H807" s="7" t="str">
        <f>IFERROR(__xludf.DUMMYFUNCTION("""COMPUTED_VALUE"""),"Phạm Việt Anh")</f>
        <v>Phạm Việt Anh</v>
      </c>
      <c r="I807" s="7" t="str">
        <f>IFERROR(__xludf.DUMMYFUNCTION("""COMPUTED_VALUE"""),"Nam")</f>
        <v>Nam</v>
      </c>
      <c r="J807" s="17">
        <f>IFERROR(__xludf.DUMMYFUNCTION("""COMPUTED_VALUE"""),35284.0)</f>
        <v>35284</v>
      </c>
      <c r="K807" s="7" t="str">
        <f>IFERROR(__xludf.DUMMYFUNCTION("""COMPUTED_VALUE"""),"Thôn Định Hưng - Xã Kim Tân - Tỉnh Thanh Hóa")</f>
        <v>Thôn Định Hưng - Xã Kim Tân - Tỉnh Thanh Hóa</v>
      </c>
      <c r="L807" s="20" t="str">
        <f>IFERROR(__xludf.DUMMYFUNCTION("""COMPUTED_VALUE"""),"0962390346")</f>
        <v>0962390346</v>
      </c>
      <c r="M807" s="7" t="str">
        <f>IFERROR(__xludf.DUMMYFUNCTION("""COMPUTED_VALUE"""),"038096010588")</f>
        <v>038096010588</v>
      </c>
      <c r="N807" s="19">
        <f>IFERROR(__xludf.DUMMYFUNCTION("""COMPUTED_VALUE"""),44459.0)</f>
        <v>44459</v>
      </c>
      <c r="O807" s="7" t="str">
        <f>IFERROR(__xludf.DUMMYFUNCTION("""COMPUTED_VALUE"""),"Cục Cảnh sát QLHC về TTXH")</f>
        <v>Cục Cảnh sát QLHC về TTXH</v>
      </c>
      <c r="P807" s="7" t="str">
        <f>IFERROR(__xludf.DUMMYFUNCTION("""COMPUTED_VALUE"""),"LĐPT")</f>
        <v>LĐPT</v>
      </c>
      <c r="Q807" s="7" t="str">
        <f>IFERROR(__xludf.DUMMYFUNCTION("""COMPUTED_VALUE"""),"Lao động phổ thông")</f>
        <v>Lao động phổ thông</v>
      </c>
      <c r="R807" s="17">
        <f>IFERROR(__xludf.DUMMYFUNCTION("""COMPUTED_VALUE"""),45966.0)</f>
        <v>45966</v>
      </c>
      <c r="S807" s="17">
        <f>IFERROR(__xludf.DUMMYFUNCTION("""COMPUTED_VALUE"""),45996.0)</f>
        <v>45996</v>
      </c>
      <c r="T807" s="17" t="str">
        <f>IFERROR(__xludf.DUMMYFUNCTION("""COMPUTED_VALUE"""),"Thử việc")</f>
        <v>Thử việc</v>
      </c>
      <c r="U807" s="7"/>
      <c r="V807" s="7" t="str">
        <f>IFERROR(__xludf.DUMMYFUNCTION("""COMPUTED_VALUE"""),"Thử việc")</f>
        <v>Thử việc</v>
      </c>
      <c r="W807" s="7" t="str">
        <f>IFERROR(__xludf.DUMMYFUNCTION("""COMPUTED_VALUE"""),"0 năm 1 tháng")</f>
        <v>0 năm 1 tháng</v>
      </c>
      <c r="X807" s="7"/>
      <c r="Y807" s="7"/>
      <c r="Z807" s="7"/>
    </row>
    <row r="808">
      <c r="A808" s="21" t="str">
        <f>IFERROR(__xludf.DUMMYFUNCTION("""COMPUTED_VALUE"""),"1")</f>
        <v>1</v>
      </c>
      <c r="B808" s="7" t="str">
        <f>IFERROR(__xludf.DUMMYFUNCTION("""COMPUTED_VALUE"""),"PXSX2")</f>
        <v>PXSX2</v>
      </c>
      <c r="C808" s="7" t="str">
        <f>IFERROR(__xludf.DUMMYFUNCTION("""COMPUTED_VALUE"""),"Phòng công nghệ")</f>
        <v>Phòng công nghệ</v>
      </c>
      <c r="D808" s="7" t="str">
        <f>IFERROR(__xludf.DUMMYFUNCTION("""COMPUTED_VALUE"""),"Cơ lý đi ca")</f>
        <v>Cơ lý đi ca</v>
      </c>
      <c r="E808" s="7" t="str">
        <f>IFERROR(__xludf.DUMMYFUNCTION("""COMPUTED_VALUE"""),"NV kiểm soát công nghệ Ca A")</f>
        <v>NV kiểm soát công nghệ Ca A</v>
      </c>
      <c r="F808" s="7" t="str">
        <f>IFERROR(__xludf.DUMMYFUNCTION("""COMPUTED_VALUE"""),"NV1762")</f>
        <v>NV1762</v>
      </c>
      <c r="G808" s="7">
        <f>IFERROR(__xludf.DUMMYFUNCTION("""COMPUTED_VALUE"""),616.0)</f>
        <v>616</v>
      </c>
      <c r="H808" s="7" t="str">
        <f>IFERROR(__xludf.DUMMYFUNCTION("""COMPUTED_VALUE"""),"Nguyễn Văn Tân")</f>
        <v>Nguyễn Văn Tân</v>
      </c>
      <c r="I808" s="7" t="str">
        <f>IFERROR(__xludf.DUMMYFUNCTION("""COMPUTED_VALUE"""),"Nam")</f>
        <v>Nam</v>
      </c>
      <c r="J808" s="17">
        <f>IFERROR(__xludf.DUMMYFUNCTION("""COMPUTED_VALUE"""),35126.0)</f>
        <v>35126</v>
      </c>
      <c r="K808" s="7" t="str">
        <f>IFERROR(__xludf.DUMMYFUNCTION("""COMPUTED_VALUE"""),"Thôn Chùa -  Xã Hoằng Lộc -  Huyện Hoằng Hóa -  Thanh Hóa")</f>
        <v>Thôn Chùa -  Xã Hoằng Lộc -  Huyện Hoằng Hóa -  Thanh Hóa</v>
      </c>
      <c r="L808" s="20" t="str">
        <f>IFERROR(__xludf.DUMMYFUNCTION("""COMPUTED_VALUE"""),"0976134438")</f>
        <v>0976134438</v>
      </c>
      <c r="M808" s="7" t="str">
        <f>IFERROR(__xludf.DUMMYFUNCTION("""COMPUTED_VALUE"""),"038096033285")</f>
        <v>038096033285</v>
      </c>
      <c r="N808" s="19">
        <f>IFERROR(__xludf.DUMMYFUNCTION("""COMPUTED_VALUE"""),44419.0)</f>
        <v>44419</v>
      </c>
      <c r="O808" s="7" t="str">
        <f>IFERROR(__xludf.DUMMYFUNCTION("""COMPUTED_VALUE"""),"Cục Cảnh sát QLHC về TTXH")</f>
        <v>Cục Cảnh sát QLHC về TTXH</v>
      </c>
      <c r="P808" s="7" t="str">
        <f>IFERROR(__xludf.DUMMYFUNCTION("""COMPUTED_VALUE"""),"Đại học")</f>
        <v>Đại học</v>
      </c>
      <c r="Q808" s="7" t="str">
        <f>IFERROR(__xludf.DUMMYFUNCTION("""COMPUTED_VALUE"""),"Sư phạm hóa")</f>
        <v>Sư phạm hóa</v>
      </c>
      <c r="R808" s="17">
        <f>IFERROR(__xludf.DUMMYFUNCTION("""COMPUTED_VALUE"""),43339.0)</f>
        <v>43339</v>
      </c>
      <c r="S808" s="17">
        <f>IFERROR(__xludf.DUMMYFUNCTION("""COMPUTED_VALUE"""),43678.0)</f>
        <v>43678</v>
      </c>
      <c r="T808" s="17" t="str">
        <f>IFERROR(__xludf.DUMMYFUNCTION("""COMPUTED_VALUE"""),"Chính thức")</f>
        <v>Chính thức</v>
      </c>
      <c r="U808" s="7"/>
      <c r="V808" s="7" t="str">
        <f>IFERROR(__xludf.DUMMYFUNCTION("""COMPUTED_VALUE"""),"Chính thức")</f>
        <v>Chính thức</v>
      </c>
      <c r="W808" s="7" t="str">
        <f>IFERROR(__xludf.DUMMYFUNCTION("""COMPUTED_VALUE"""),"7 năm 4 tháng")</f>
        <v>7 năm 4 tháng</v>
      </c>
      <c r="X808" s="7"/>
      <c r="Y808" s="7"/>
      <c r="Z808" s="7"/>
    </row>
    <row r="809">
      <c r="A809" s="21" t="str">
        <f>IFERROR(__xludf.DUMMYFUNCTION("""COMPUTED_VALUE"""),"2")</f>
        <v>2</v>
      </c>
      <c r="B809" s="7" t="str">
        <f>IFERROR(__xludf.DUMMYFUNCTION("""COMPUTED_VALUE"""),"PXSX2")</f>
        <v>PXSX2</v>
      </c>
      <c r="C809" s="7" t="str">
        <f>IFERROR(__xludf.DUMMYFUNCTION("""COMPUTED_VALUE"""),"Phòng công nghệ")</f>
        <v>Phòng công nghệ</v>
      </c>
      <c r="D809" s="7" t="str">
        <f>IFERROR(__xludf.DUMMYFUNCTION("""COMPUTED_VALUE"""),"Cơ lý đi ca")</f>
        <v>Cơ lý đi ca</v>
      </c>
      <c r="E809" s="7" t="str">
        <f>IFERROR(__xludf.DUMMYFUNCTION("""COMPUTED_VALUE"""),"NV kiểm soát công nghệ Ca B")</f>
        <v>NV kiểm soát công nghệ Ca B</v>
      </c>
      <c r="F809" s="7" t="str">
        <f>IFERROR(__xludf.DUMMYFUNCTION("""COMPUTED_VALUE"""),"NV0433")</f>
        <v>NV0433</v>
      </c>
      <c r="G809" s="7">
        <f>IFERROR(__xludf.DUMMYFUNCTION("""COMPUTED_VALUE"""),357.0)</f>
        <v>357</v>
      </c>
      <c r="H809" s="7" t="str">
        <f>IFERROR(__xludf.DUMMYFUNCTION("""COMPUTED_VALUE"""),"Nguyễn Ngọc Quyền")</f>
        <v>Nguyễn Ngọc Quyền</v>
      </c>
      <c r="I809" s="7" t="str">
        <f>IFERROR(__xludf.DUMMYFUNCTION("""COMPUTED_VALUE"""),"Nam")</f>
        <v>Nam</v>
      </c>
      <c r="J809" s="17">
        <f>IFERROR(__xludf.DUMMYFUNCTION("""COMPUTED_VALUE"""),29074.0)</f>
        <v>29074</v>
      </c>
      <c r="K809" s="7" t="str">
        <f>IFERROR(__xludf.DUMMYFUNCTION("""COMPUTED_VALUE"""),"Yên Bái - Yên Định - Thanh Hóa")</f>
        <v>Yên Bái - Yên Định - Thanh Hóa</v>
      </c>
      <c r="L809" s="20" t="str">
        <f>IFERROR(__xludf.DUMMYFUNCTION("""COMPUTED_VALUE"""),"0976134438")</f>
        <v>0976134438</v>
      </c>
      <c r="M809" s="7" t="str">
        <f>IFERROR(__xludf.DUMMYFUNCTION("""COMPUTED_VALUE"""),"038079027273")</f>
        <v>038079027273</v>
      </c>
      <c r="N809" s="19">
        <f>IFERROR(__xludf.DUMMYFUNCTION("""COMPUTED_VALUE"""),44420.0)</f>
        <v>44420</v>
      </c>
      <c r="O809" s="7" t="str">
        <f>IFERROR(__xludf.DUMMYFUNCTION("""COMPUTED_VALUE"""),"Cục Cảnh sát QLHC về TTXH")</f>
        <v>Cục Cảnh sát QLHC về TTXH</v>
      </c>
      <c r="P809" s="7" t="str">
        <f>IFERROR(__xludf.DUMMYFUNCTION("""COMPUTED_VALUE"""),"Kỹ sư")</f>
        <v>Kỹ sư</v>
      </c>
      <c r="Q809" s="7" t="str">
        <f>IFERROR(__xludf.DUMMYFUNCTION("""COMPUTED_VALUE"""),"Công nghệ hóa học")</f>
        <v>Công nghệ hóa học</v>
      </c>
      <c r="R809" s="17">
        <f>IFERROR(__xludf.DUMMYFUNCTION("""COMPUTED_VALUE"""),41949.0)</f>
        <v>41949</v>
      </c>
      <c r="S809" s="17">
        <f>IFERROR(__xludf.DUMMYFUNCTION("""COMPUTED_VALUE"""),41949.0)</f>
        <v>41949</v>
      </c>
      <c r="T809" s="17" t="str">
        <f>IFERROR(__xludf.DUMMYFUNCTION("""COMPUTED_VALUE"""),"Chính thức")</f>
        <v>Chính thức</v>
      </c>
      <c r="U809" s="7"/>
      <c r="V809" s="7" t="str">
        <f>IFERROR(__xludf.DUMMYFUNCTION("""COMPUTED_VALUE"""),"Chính thức")</f>
        <v>Chính thức</v>
      </c>
      <c r="W809" s="7" t="str">
        <f>IFERROR(__xludf.DUMMYFUNCTION("""COMPUTED_VALUE"""),"11 năm 1 tháng")</f>
        <v>11 năm 1 tháng</v>
      </c>
      <c r="X809" s="7"/>
      <c r="Y809" s="7"/>
      <c r="Z809" s="7"/>
    </row>
    <row r="810">
      <c r="A810" s="21" t="str">
        <f>IFERROR(__xludf.DUMMYFUNCTION("""COMPUTED_VALUE"""),"3")</f>
        <v>3</v>
      </c>
      <c r="B810" s="7" t="str">
        <f>IFERROR(__xludf.DUMMYFUNCTION("""COMPUTED_VALUE"""),"PXSX2")</f>
        <v>PXSX2</v>
      </c>
      <c r="C810" s="7" t="str">
        <f>IFERROR(__xludf.DUMMYFUNCTION("""COMPUTED_VALUE"""),"Phòng công nghệ")</f>
        <v>Phòng công nghệ</v>
      </c>
      <c r="D810" s="7" t="str">
        <f>IFERROR(__xludf.DUMMYFUNCTION("""COMPUTED_VALUE"""),"Cơ lý đi ca")</f>
        <v>Cơ lý đi ca</v>
      </c>
      <c r="E810" s="7" t="str">
        <f>IFERROR(__xludf.DUMMYFUNCTION("""COMPUTED_VALUE"""),"NV kiểm soát công nghệ Ca C")</f>
        <v>NV kiểm soát công nghệ Ca C</v>
      </c>
      <c r="F810" s="7" t="str">
        <f>IFERROR(__xludf.DUMMYFUNCTION("""COMPUTED_VALUE"""),"NV5116")</f>
        <v>NV5116</v>
      </c>
      <c r="G810" s="7">
        <f>IFERROR(__xludf.DUMMYFUNCTION("""COMPUTED_VALUE"""),503.0)</f>
        <v>503</v>
      </c>
      <c r="H810" s="7" t="str">
        <f>IFERROR(__xludf.DUMMYFUNCTION("""COMPUTED_VALUE"""),"Nguyễn Đức Hải")</f>
        <v>Nguyễn Đức Hải</v>
      </c>
      <c r="I810" s="7" t="str">
        <f>IFERROR(__xludf.DUMMYFUNCTION("""COMPUTED_VALUE"""),"Nam")</f>
        <v>Nam</v>
      </c>
      <c r="J810" s="17">
        <f>IFERROR(__xludf.DUMMYFUNCTION("""COMPUTED_VALUE"""),30025.0)</f>
        <v>30025</v>
      </c>
      <c r="K810" s="7" t="str">
        <f>IFERROR(__xludf.DUMMYFUNCTION("""COMPUTED_VALUE"""),"Lê Thánh Tông -  Phường Đông Sơn -  thành phố Thanh Hóa")</f>
        <v>Lê Thánh Tông -  Phường Đông Sơn -  thành phố Thanh Hóa</v>
      </c>
      <c r="L810" s="20" t="str">
        <f>IFERROR(__xludf.DUMMYFUNCTION("""COMPUTED_VALUE"""),"0865673113")</f>
        <v>0865673113</v>
      </c>
      <c r="M810" s="7" t="str">
        <f>IFERROR(__xludf.DUMMYFUNCTION("""COMPUTED_VALUE"""),"038082009151")</f>
        <v>038082009151</v>
      </c>
      <c r="N810" s="19">
        <f>IFERROR(__xludf.DUMMYFUNCTION("""COMPUTED_VALUE"""),44641.0)</f>
        <v>44641</v>
      </c>
      <c r="O810" s="7" t="str">
        <f>IFERROR(__xludf.DUMMYFUNCTION("""COMPUTED_VALUE"""),"Cục Cảnh sát QLHC về TTXH")</f>
        <v>Cục Cảnh sát QLHC về TTXH</v>
      </c>
      <c r="P810" s="7" t="str">
        <f>IFERROR(__xludf.DUMMYFUNCTION("""COMPUTED_VALUE"""),"Cử nhân")</f>
        <v>Cử nhân</v>
      </c>
      <c r="Q810" s="7" t="str">
        <f>IFERROR(__xludf.DUMMYFUNCTION("""COMPUTED_VALUE"""),"Hóa học")</f>
        <v>Hóa học</v>
      </c>
      <c r="R810" s="17">
        <f>IFERROR(__xludf.DUMMYFUNCTION("""COMPUTED_VALUE"""),45386.0)</f>
        <v>45386</v>
      </c>
      <c r="S810" s="17">
        <f>IFERROR(__xludf.DUMMYFUNCTION("""COMPUTED_VALUE"""),45505.0)</f>
        <v>45505</v>
      </c>
      <c r="T810" s="17" t="str">
        <f>IFERROR(__xludf.DUMMYFUNCTION("""COMPUTED_VALUE"""),"Chính thức")</f>
        <v>Chính thức</v>
      </c>
      <c r="U810" s="7"/>
      <c r="V810" s="7" t="str">
        <f>IFERROR(__xludf.DUMMYFUNCTION("""COMPUTED_VALUE"""),"Chính thức")</f>
        <v>Chính thức</v>
      </c>
      <c r="W810" s="7" t="str">
        <f>IFERROR(__xludf.DUMMYFUNCTION("""COMPUTED_VALUE"""),"1 năm 8 tháng")</f>
        <v>1 năm 8 tháng</v>
      </c>
      <c r="X810" s="7"/>
      <c r="Y810" s="7"/>
      <c r="Z810" s="7"/>
    </row>
    <row r="811">
      <c r="A811" s="21" t="str">
        <f>IFERROR(__xludf.DUMMYFUNCTION("""COMPUTED_VALUE"""),"1")</f>
        <v>1</v>
      </c>
      <c r="B811" s="7" t="str">
        <f>IFERROR(__xludf.DUMMYFUNCTION("""COMPUTED_VALUE"""),"PXSX2")</f>
        <v>PXSX2</v>
      </c>
      <c r="C811" s="7" t="str">
        <f>IFERROR(__xludf.DUMMYFUNCTION("""COMPUTED_VALUE"""),"Phòng công nghệ")</f>
        <v>Phòng công nghệ</v>
      </c>
      <c r="D811" s="7" t="str">
        <f>IFERROR(__xludf.DUMMYFUNCTION("""COMPUTED_VALUE"""),"Tổ nghiền men PXSX2")</f>
        <v>Tổ nghiền men PXSX2</v>
      </c>
      <c r="E811" s="7" t="str">
        <f>IFERROR(__xludf.DUMMYFUNCTION("""COMPUTED_VALUE"""),"Tổ phó hành chính - Phụ trách nghiền PXSX2")</f>
        <v>Tổ phó hành chính - Phụ trách nghiền PXSX2</v>
      </c>
      <c r="F811" s="7" t="str">
        <f>IFERROR(__xludf.DUMMYFUNCTION("""COMPUTED_VALUE"""),"NV0424")</f>
        <v>NV0424</v>
      </c>
      <c r="G811" s="7">
        <f>IFERROR(__xludf.DUMMYFUNCTION("""COMPUTED_VALUE"""),485.0)</f>
        <v>485</v>
      </c>
      <c r="H811" s="7" t="str">
        <f>IFERROR(__xludf.DUMMYFUNCTION("""COMPUTED_VALUE"""),"Lê Văn Linh")</f>
        <v>Lê Văn Linh</v>
      </c>
      <c r="I811" s="7" t="str">
        <f>IFERROR(__xludf.DUMMYFUNCTION("""COMPUTED_VALUE"""),"Nam")</f>
        <v>Nam</v>
      </c>
      <c r="J811" s="17">
        <f>IFERROR(__xludf.DUMMYFUNCTION("""COMPUTED_VALUE"""),27030.0)</f>
        <v>27030</v>
      </c>
      <c r="K811" s="7" t="str">
        <f>IFERROR(__xludf.DUMMYFUNCTION("""COMPUTED_VALUE"""),"03/20 Nguyễn Công Trứ -  Phường Đông Sơn -  Thành phố Thanh Hóa")</f>
        <v>03/20 Nguyễn Công Trứ -  Phường Đông Sơn -  Thành phố Thanh Hóa</v>
      </c>
      <c r="L811" s="20" t="str">
        <f>IFERROR(__xludf.DUMMYFUNCTION("""COMPUTED_VALUE"""),"0946891135")</f>
        <v>0946891135</v>
      </c>
      <c r="M811" s="7" t="str">
        <f>IFERROR(__xludf.DUMMYFUNCTION("""COMPUTED_VALUE"""),"038074017203")</f>
        <v>038074017203</v>
      </c>
      <c r="N811" s="19">
        <f>IFERROR(__xludf.DUMMYFUNCTION("""COMPUTED_VALUE"""),44435.0)</f>
        <v>44435</v>
      </c>
      <c r="O811" s="7" t="str">
        <f>IFERROR(__xludf.DUMMYFUNCTION("""COMPUTED_VALUE"""),"Cục Cảnh sát QLHC về TTXH")</f>
        <v>Cục Cảnh sát QLHC về TTXH</v>
      </c>
      <c r="P811" s="7" t="str">
        <f>IFERROR(__xludf.DUMMYFUNCTION("""COMPUTED_VALUE"""),"LĐPT")</f>
        <v>LĐPT</v>
      </c>
      <c r="Q811" s="7" t="str">
        <f>IFERROR(__xludf.DUMMYFUNCTION("""COMPUTED_VALUE"""),"Lao động phổ thông")</f>
        <v>Lao động phổ thông</v>
      </c>
      <c r="R811" s="17">
        <f>IFERROR(__xludf.DUMMYFUNCTION("""COMPUTED_VALUE"""),39142.0)</f>
        <v>39142</v>
      </c>
      <c r="S811" s="17">
        <f>IFERROR(__xludf.DUMMYFUNCTION("""COMPUTED_VALUE"""),39142.0)</f>
        <v>39142</v>
      </c>
      <c r="T811" s="7" t="str">
        <f>IFERROR(__xludf.DUMMYFUNCTION("""COMPUTED_VALUE"""),"Chính thức")</f>
        <v>Chính thức</v>
      </c>
      <c r="U811" s="7"/>
      <c r="V811" s="7" t="str">
        <f>IFERROR(__xludf.DUMMYFUNCTION("""COMPUTED_VALUE"""),"Chính thức")</f>
        <v>Chính thức</v>
      </c>
      <c r="W811" s="7" t="str">
        <f>IFERROR(__xludf.DUMMYFUNCTION("""COMPUTED_VALUE"""),"18 năm 9 tháng")</f>
        <v>18 năm 9 tháng</v>
      </c>
      <c r="X811" s="7"/>
      <c r="Y811" s="7"/>
      <c r="Z811" s="7"/>
    </row>
    <row r="812">
      <c r="A812" s="21" t="str">
        <f>IFERROR(__xludf.DUMMYFUNCTION("""COMPUTED_VALUE"""),"2")</f>
        <v>2</v>
      </c>
      <c r="B812" s="7" t="str">
        <f>IFERROR(__xludf.DUMMYFUNCTION("""COMPUTED_VALUE"""),"PXSX2")</f>
        <v>PXSX2</v>
      </c>
      <c r="C812" s="7" t="str">
        <f>IFERROR(__xludf.DUMMYFUNCTION("""COMPUTED_VALUE"""),"Phòng công nghệ")</f>
        <v>Phòng công nghệ</v>
      </c>
      <c r="D812" s="7" t="str">
        <f>IFERROR(__xludf.DUMMYFUNCTION("""COMPUTED_VALUE"""),"Tổ nghiền men PXSX2")</f>
        <v>Tổ nghiền men PXSX2</v>
      </c>
      <c r="E812" s="7" t="str">
        <f>IFERROR(__xludf.DUMMYFUNCTION("""COMPUTED_VALUE"""),"Công nhân men màu mức 1")</f>
        <v>Công nhân men màu mức 1</v>
      </c>
      <c r="F812" s="7" t="str">
        <f>IFERROR(__xludf.DUMMYFUNCTION("""COMPUTED_VALUE"""),"NV0941")</f>
        <v>NV0941</v>
      </c>
      <c r="G812" s="7">
        <f>IFERROR(__xludf.DUMMYFUNCTION("""COMPUTED_VALUE"""),463.0)</f>
        <v>463</v>
      </c>
      <c r="H812" s="7" t="str">
        <f>IFERROR(__xludf.DUMMYFUNCTION("""COMPUTED_VALUE"""),"Hoàng Văn Biên")</f>
        <v>Hoàng Văn Biên</v>
      </c>
      <c r="I812" s="7" t="str">
        <f>IFERROR(__xludf.DUMMYFUNCTION("""COMPUTED_VALUE"""),"Nam")</f>
        <v>Nam</v>
      </c>
      <c r="J812" s="17">
        <f>IFERROR(__xludf.DUMMYFUNCTION("""COMPUTED_VALUE"""),27595.0)</f>
        <v>27595</v>
      </c>
      <c r="K812" s="7" t="str">
        <f>IFERROR(__xludf.DUMMYFUNCTION("""COMPUTED_VALUE"""),"15/29/421 Cốc Hạ -  Xã Đông Hương -  Thành phố Thanh Hóa - ")</f>
        <v>15/29/421 Cốc Hạ -  Xã Đông Hương -  Thành phố Thanh Hóa - </v>
      </c>
      <c r="L812" s="20" t="str">
        <f>IFERROR(__xludf.DUMMYFUNCTION("""COMPUTED_VALUE"""),"0337550669")</f>
        <v>0337550669</v>
      </c>
      <c r="M812" s="7" t="str">
        <f>IFERROR(__xludf.DUMMYFUNCTION("""COMPUTED_VALUE"""),"040075015067")</f>
        <v>040075015067</v>
      </c>
      <c r="N812" s="19">
        <f>IFERROR(__xludf.DUMMYFUNCTION("""COMPUTED_VALUE"""),44435.0)</f>
        <v>44435</v>
      </c>
      <c r="O812" s="7" t="str">
        <f>IFERROR(__xludf.DUMMYFUNCTION("""COMPUTED_VALUE"""),"Cục Cảnh sát QLHC về TTXH")</f>
        <v>Cục Cảnh sát QLHC về TTXH</v>
      </c>
      <c r="P812" s="7" t="str">
        <f>IFERROR(__xludf.DUMMYFUNCTION("""COMPUTED_VALUE"""),"Bằng nghề")</f>
        <v>Bằng nghề</v>
      </c>
      <c r="Q812" s="7" t="str">
        <f>IFERROR(__xludf.DUMMYFUNCTION("""COMPUTED_VALUE"""),"Thợ điện")</f>
        <v>Thợ điện</v>
      </c>
      <c r="R812" s="17">
        <f>IFERROR(__xludf.DUMMYFUNCTION("""COMPUTED_VALUE"""),42853.0)</f>
        <v>42853</v>
      </c>
      <c r="S812" s="17">
        <f>IFERROR(__xludf.DUMMYFUNCTION("""COMPUTED_VALUE"""),43466.0)</f>
        <v>43466</v>
      </c>
      <c r="T812" s="7" t="str">
        <f>IFERROR(__xludf.DUMMYFUNCTION("""COMPUTED_VALUE"""),"Chính thức")</f>
        <v>Chính thức</v>
      </c>
      <c r="U812" s="7"/>
      <c r="V812" s="7" t="str">
        <f>IFERROR(__xludf.DUMMYFUNCTION("""COMPUTED_VALUE"""),"Chính thức")</f>
        <v>Chính thức</v>
      </c>
      <c r="W812" s="7" t="str">
        <f>IFERROR(__xludf.DUMMYFUNCTION("""COMPUTED_VALUE"""),"8 năm 8 tháng")</f>
        <v>8 năm 8 tháng</v>
      </c>
      <c r="X812" s="7"/>
      <c r="Y812" s="7"/>
      <c r="Z812" s="7"/>
    </row>
    <row r="813">
      <c r="A813" s="21" t="str">
        <f>IFERROR(__xludf.DUMMYFUNCTION("""COMPUTED_VALUE"""),"3")</f>
        <v>3</v>
      </c>
      <c r="B813" s="7" t="str">
        <f>IFERROR(__xludf.DUMMYFUNCTION("""COMPUTED_VALUE"""),"PXSX2")</f>
        <v>PXSX2</v>
      </c>
      <c r="C813" s="7" t="str">
        <f>IFERROR(__xludf.DUMMYFUNCTION("""COMPUTED_VALUE"""),"Phòng công nghệ")</f>
        <v>Phòng công nghệ</v>
      </c>
      <c r="D813" s="7" t="str">
        <f>IFERROR(__xludf.DUMMYFUNCTION("""COMPUTED_VALUE"""),"Tổ nghiền men PXSX2")</f>
        <v>Tổ nghiền men PXSX2</v>
      </c>
      <c r="E813" s="7" t="str">
        <f>IFERROR(__xludf.DUMMYFUNCTION("""COMPUTED_VALUE"""),"Công nhân men màu mức 2")</f>
        <v>Công nhân men màu mức 2</v>
      </c>
      <c r="F813" s="7" t="str">
        <f>IFERROR(__xludf.DUMMYFUNCTION("""COMPUTED_VALUE"""),"NV2868")</f>
        <v>NV2868</v>
      </c>
      <c r="G813" s="7">
        <f>IFERROR(__xludf.DUMMYFUNCTION("""COMPUTED_VALUE"""),490.0)</f>
        <v>490</v>
      </c>
      <c r="H813" s="7" t="str">
        <f>IFERROR(__xludf.DUMMYFUNCTION("""COMPUTED_VALUE"""),"Bùi Công Thủy")</f>
        <v>Bùi Công Thủy</v>
      </c>
      <c r="I813" s="7" t="str">
        <f>IFERROR(__xludf.DUMMYFUNCTION("""COMPUTED_VALUE"""),"Nam")</f>
        <v>Nam</v>
      </c>
      <c r="J813" s="17">
        <f>IFERROR(__xludf.DUMMYFUNCTION("""COMPUTED_VALUE"""),29509.0)</f>
        <v>29509</v>
      </c>
      <c r="K813" s="7" t="str">
        <f>IFERROR(__xludf.DUMMYFUNCTION("""COMPUTED_VALUE"""),"Thôn 2 -  Xã Quảng Hòa -  Huyện Quảng Xương -  Thanh Hóa")</f>
        <v>Thôn 2 -  Xã Quảng Hòa -  Huyện Quảng Xương -  Thanh Hóa</v>
      </c>
      <c r="L813" s="20" t="str">
        <f>IFERROR(__xludf.DUMMYFUNCTION("""COMPUTED_VALUE"""),"0399751070")</f>
        <v>0399751070</v>
      </c>
      <c r="M813" s="7" t="str">
        <f>IFERROR(__xludf.DUMMYFUNCTION("""COMPUTED_VALUE"""),"038080007727")</f>
        <v>038080007727</v>
      </c>
      <c r="N813" s="19">
        <f>IFERROR(__xludf.DUMMYFUNCTION("""COMPUTED_VALUE"""),44252.0)</f>
        <v>44252</v>
      </c>
      <c r="O813" s="7" t="str">
        <f>IFERROR(__xludf.DUMMYFUNCTION("""COMPUTED_VALUE"""),"Cục Cảnh sát QLHC về TTXH")</f>
        <v>Cục Cảnh sát QLHC về TTXH</v>
      </c>
      <c r="P813" s="7" t="str">
        <f>IFERROR(__xludf.DUMMYFUNCTION("""COMPUTED_VALUE"""),"LĐPT")</f>
        <v>LĐPT</v>
      </c>
      <c r="Q813" s="7" t="str">
        <f>IFERROR(__xludf.DUMMYFUNCTION("""COMPUTED_VALUE"""),"Lao động phổ thông")</f>
        <v>Lao động phổ thông</v>
      </c>
      <c r="R813" s="17">
        <f>IFERROR(__xludf.DUMMYFUNCTION("""COMPUTED_VALUE"""),43902.0)</f>
        <v>43902</v>
      </c>
      <c r="S813" s="17">
        <f>IFERROR(__xludf.DUMMYFUNCTION("""COMPUTED_VALUE"""),44197.0)</f>
        <v>44197</v>
      </c>
      <c r="T813" s="7" t="str">
        <f>IFERROR(__xludf.DUMMYFUNCTION("""COMPUTED_VALUE"""),"Chính thức")</f>
        <v>Chính thức</v>
      </c>
      <c r="U813" s="7"/>
      <c r="V813" s="7" t="str">
        <f>IFERROR(__xludf.DUMMYFUNCTION("""COMPUTED_VALUE"""),"Chính thức")</f>
        <v>Chính thức</v>
      </c>
      <c r="W813" s="7" t="str">
        <f>IFERROR(__xludf.DUMMYFUNCTION("""COMPUTED_VALUE"""),"5 năm 9 tháng")</f>
        <v>5 năm 9 tháng</v>
      </c>
      <c r="X813" s="7"/>
      <c r="Y813" s="7"/>
      <c r="Z813" s="7"/>
    </row>
    <row r="814">
      <c r="A814" s="21" t="str">
        <f>IFERROR(__xludf.DUMMYFUNCTION("""COMPUTED_VALUE"""),"4")</f>
        <v>4</v>
      </c>
      <c r="B814" s="7" t="str">
        <f>IFERROR(__xludf.DUMMYFUNCTION("""COMPUTED_VALUE"""),"PXSX2")</f>
        <v>PXSX2</v>
      </c>
      <c r="C814" s="7" t="str">
        <f>IFERROR(__xludf.DUMMYFUNCTION("""COMPUTED_VALUE"""),"Phòng công nghệ")</f>
        <v>Phòng công nghệ</v>
      </c>
      <c r="D814" s="7" t="str">
        <f>IFERROR(__xludf.DUMMYFUNCTION("""COMPUTED_VALUE"""),"Tổ nghiền men PXSX2")</f>
        <v>Tổ nghiền men PXSX2</v>
      </c>
      <c r="E814" s="7" t="str">
        <f>IFERROR(__xludf.DUMMYFUNCTION("""COMPUTED_VALUE"""),"Công nhân men màu mức 2")</f>
        <v>Công nhân men màu mức 2</v>
      </c>
      <c r="F814" s="7" t="str">
        <f>IFERROR(__xludf.DUMMYFUNCTION("""COMPUTED_VALUE"""),"NV0446")</f>
        <v>NV0446</v>
      </c>
      <c r="G814" s="7">
        <f>IFERROR(__xludf.DUMMYFUNCTION("""COMPUTED_VALUE"""),491.0)</f>
        <v>491</v>
      </c>
      <c r="H814" s="7" t="str">
        <f>IFERROR(__xludf.DUMMYFUNCTION("""COMPUTED_VALUE"""),"Nguyễn Văn Tùng")</f>
        <v>Nguyễn Văn Tùng</v>
      </c>
      <c r="I814" s="7" t="str">
        <f>IFERROR(__xludf.DUMMYFUNCTION("""COMPUTED_VALUE"""),"Nam")</f>
        <v>Nam</v>
      </c>
      <c r="J814" s="17">
        <f>IFERROR(__xludf.DUMMYFUNCTION("""COMPUTED_VALUE"""),31504.0)</f>
        <v>31504</v>
      </c>
      <c r="K814" s="7" t="str">
        <f>IFERROR(__xludf.DUMMYFUNCTION("""COMPUTED_VALUE"""),"Xã Thiệu Long -  Huyện Thiệu Hoá -  Thanh Hóa - ")</f>
        <v>Xã Thiệu Long -  Huyện Thiệu Hoá -  Thanh Hóa - </v>
      </c>
      <c r="L814" s="20" t="str">
        <f>IFERROR(__xludf.DUMMYFUNCTION("""COMPUTED_VALUE"""),"0904036843")</f>
        <v>0904036843</v>
      </c>
      <c r="M814" s="7" t="str">
        <f>IFERROR(__xludf.DUMMYFUNCTION("""COMPUTED_VALUE"""),"038086048029")</f>
        <v>038086048029</v>
      </c>
      <c r="N814" s="19">
        <f>IFERROR(__xludf.DUMMYFUNCTION("""COMPUTED_VALUE"""),44375.0)</f>
        <v>44375</v>
      </c>
      <c r="O814" s="7" t="str">
        <f>IFERROR(__xludf.DUMMYFUNCTION("""COMPUTED_VALUE"""),"Cục Cảnh sát QLHC về TTXH")</f>
        <v>Cục Cảnh sát QLHC về TTXH</v>
      </c>
      <c r="P814" s="7" t="str">
        <f>IFERROR(__xludf.DUMMYFUNCTION("""COMPUTED_VALUE"""),"Cao đẳng")</f>
        <v>Cao đẳng</v>
      </c>
      <c r="Q814" s="7" t="str">
        <f>IFERROR(__xludf.DUMMYFUNCTION("""COMPUTED_VALUE"""),"Công nghệ kỹ thuật hóa học")</f>
        <v>Công nghệ kỹ thuật hóa học</v>
      </c>
      <c r="R814" s="17">
        <f>IFERROR(__xludf.DUMMYFUNCTION("""COMPUTED_VALUE"""),44609.0)</f>
        <v>44609</v>
      </c>
      <c r="S814" s="17">
        <f>IFERROR(__xludf.DUMMYFUNCTION("""COMPUTED_VALUE"""),45017.0)</f>
        <v>45017</v>
      </c>
      <c r="T814" s="7" t="str">
        <f>IFERROR(__xludf.DUMMYFUNCTION("""COMPUTED_VALUE"""),"Chính thức")</f>
        <v>Chính thức</v>
      </c>
      <c r="U814" s="7"/>
      <c r="V814" s="7" t="str">
        <f>IFERROR(__xludf.DUMMYFUNCTION("""COMPUTED_VALUE"""),"Chính thức")</f>
        <v>Chính thức</v>
      </c>
      <c r="W814" s="7" t="str">
        <f>IFERROR(__xludf.DUMMYFUNCTION("""COMPUTED_VALUE"""),"3 năm 10 tháng")</f>
        <v>3 năm 10 tháng</v>
      </c>
      <c r="X814" s="7"/>
      <c r="Y814" s="7"/>
      <c r="Z814" s="7"/>
    </row>
    <row r="815">
      <c r="A815" s="21" t="str">
        <f>IFERROR(__xludf.DUMMYFUNCTION("""COMPUTED_VALUE"""),"5")</f>
        <v>5</v>
      </c>
      <c r="B815" s="7" t="str">
        <f>IFERROR(__xludf.DUMMYFUNCTION("""COMPUTED_VALUE"""),"PXSX2")</f>
        <v>PXSX2</v>
      </c>
      <c r="C815" s="7" t="str">
        <f>IFERROR(__xludf.DUMMYFUNCTION("""COMPUTED_VALUE"""),"Phòng công nghệ")</f>
        <v>Phòng công nghệ</v>
      </c>
      <c r="D815" s="7" t="str">
        <f>IFERROR(__xludf.DUMMYFUNCTION("""COMPUTED_VALUE"""),"Tổ nghiền men PXSX2")</f>
        <v>Tổ nghiền men PXSX2</v>
      </c>
      <c r="E815" s="7" t="str">
        <f>IFERROR(__xludf.DUMMYFUNCTION("""COMPUTED_VALUE"""),"Công nhân men màu mức 2")</f>
        <v>Công nhân men màu mức 2</v>
      </c>
      <c r="F815" s="7" t="str">
        <f>IFERROR(__xludf.DUMMYFUNCTION("""COMPUTED_VALUE"""),"NV3529")</f>
        <v>NV3529</v>
      </c>
      <c r="G815" s="7">
        <f>IFERROR(__xludf.DUMMYFUNCTION("""COMPUTED_VALUE"""),858.0)</f>
        <v>858</v>
      </c>
      <c r="H815" s="7" t="str">
        <f>IFERROR(__xludf.DUMMYFUNCTION("""COMPUTED_VALUE"""),"Lê Duy Nguyên")</f>
        <v>Lê Duy Nguyên</v>
      </c>
      <c r="I815" s="7" t="str">
        <f>IFERROR(__xludf.DUMMYFUNCTION("""COMPUTED_VALUE"""),"Nam")</f>
        <v>Nam</v>
      </c>
      <c r="J815" s="7"/>
      <c r="K815" s="7" t="str">
        <f>IFERROR(__xludf.DUMMYFUNCTION("""COMPUTED_VALUE"""),"Phố 7 -  Phường Quảng Hưng -  Thành phố Thanh Hóa -  Tỉnh Thanh Hóa")</f>
        <v>Phố 7 -  Phường Quảng Hưng -  Thành phố Thanh Hóa -  Tỉnh Thanh Hóa</v>
      </c>
      <c r="L815" s="20" t="str">
        <f>IFERROR(__xludf.DUMMYFUNCTION("""COMPUTED_VALUE"""),"0943313985")</f>
        <v>0943313985</v>
      </c>
      <c r="M815" s="7" t="str">
        <f>IFERROR(__xludf.DUMMYFUNCTION("""COMPUTED_VALUE"""),"037083020663")</f>
        <v>037083020663</v>
      </c>
      <c r="N815" s="19">
        <f>IFERROR(__xludf.DUMMYFUNCTION("""COMPUTED_VALUE"""),44596.0)</f>
        <v>44596</v>
      </c>
      <c r="O815" s="7" t="str">
        <f>IFERROR(__xludf.DUMMYFUNCTION("""COMPUTED_VALUE"""),"Cục Cảnh sát QLHC về TTXH")</f>
        <v>Cục Cảnh sát QLHC về TTXH</v>
      </c>
      <c r="P815" s="7" t="str">
        <f>IFERROR(__xludf.DUMMYFUNCTION("""COMPUTED_VALUE"""),"LĐPT")</f>
        <v>LĐPT</v>
      </c>
      <c r="Q815" s="7" t="str">
        <f>IFERROR(__xludf.DUMMYFUNCTION("""COMPUTED_VALUE"""),"Lao động phổ thông")</f>
        <v>Lao động phổ thông</v>
      </c>
      <c r="R815" s="17">
        <f>IFERROR(__xludf.DUMMYFUNCTION("""COMPUTED_VALUE"""),45712.0)</f>
        <v>45712</v>
      </c>
      <c r="S815" s="17">
        <f>IFERROR(__xludf.DUMMYFUNCTION("""COMPUTED_VALUE"""),45712.0)</f>
        <v>45712</v>
      </c>
      <c r="T815" s="7" t="str">
        <f>IFERROR(__xludf.DUMMYFUNCTION("""COMPUTED_VALUE"""),"Chính thức")</f>
        <v>Chính thức</v>
      </c>
      <c r="U815" s="7"/>
      <c r="V815" s="7" t="str">
        <f>IFERROR(__xludf.DUMMYFUNCTION("""COMPUTED_VALUE"""),"Chính thức")</f>
        <v>Chính thức</v>
      </c>
      <c r="W815" s="7" t="str">
        <f>IFERROR(__xludf.DUMMYFUNCTION("""COMPUTED_VALUE"""),"0 năm 10 tháng")</f>
        <v>0 năm 10 tháng</v>
      </c>
      <c r="X815" s="7"/>
      <c r="Y815" s="7"/>
      <c r="Z815" s="7"/>
    </row>
    <row r="816">
      <c r="A816" s="21" t="str">
        <f>IFERROR(__xludf.DUMMYFUNCTION("""COMPUTED_VALUE"""),"6")</f>
        <v>6</v>
      </c>
      <c r="B816" s="7" t="str">
        <f>IFERROR(__xludf.DUMMYFUNCTION("""COMPUTED_VALUE"""),"PXSX2")</f>
        <v>PXSX2</v>
      </c>
      <c r="C816" s="7" t="str">
        <f>IFERROR(__xludf.DUMMYFUNCTION("""COMPUTED_VALUE"""),"Phòng công nghệ")</f>
        <v>Phòng công nghệ</v>
      </c>
      <c r="D816" s="7" t="str">
        <f>IFERROR(__xludf.DUMMYFUNCTION("""COMPUTED_VALUE"""),"Tổ nghiền men PXSX2")</f>
        <v>Tổ nghiền men PXSX2</v>
      </c>
      <c r="E816" s="7" t="str">
        <f>IFERROR(__xludf.DUMMYFUNCTION("""COMPUTED_VALUE"""),"Công nhân men màu mức 1")</f>
        <v>Công nhân men màu mức 1</v>
      </c>
      <c r="F816" s="7" t="str">
        <f>IFERROR(__xludf.DUMMYFUNCTION("""COMPUTED_VALUE"""),"NV1901")</f>
        <v>NV1901</v>
      </c>
      <c r="G816" s="7">
        <f>IFERROR(__xludf.DUMMYFUNCTION("""COMPUTED_VALUE"""),885.0)</f>
        <v>885</v>
      </c>
      <c r="H816" s="7" t="str">
        <f>IFERROR(__xludf.DUMMYFUNCTION("""COMPUTED_VALUE"""),"Lê Ngọc Toàn")</f>
        <v>Lê Ngọc Toàn</v>
      </c>
      <c r="I816" s="7" t="str">
        <f>IFERROR(__xludf.DUMMYFUNCTION("""COMPUTED_VALUE"""),"Nam")</f>
        <v>Nam</v>
      </c>
      <c r="J816" s="17">
        <f>IFERROR(__xludf.DUMMYFUNCTION("""COMPUTED_VALUE"""),36583.0)</f>
        <v>36583</v>
      </c>
      <c r="K816" s="7" t="str">
        <f>IFERROR(__xludf.DUMMYFUNCTION("""COMPUTED_VALUE"""),"Xã Hoằng Thanh -  Huyện Hoằng Hóa -  Thanh Hóa -  Việt Nam")</f>
        <v>Xã Hoằng Thanh -  Huyện Hoằng Hóa -  Thanh Hóa -  Việt Nam</v>
      </c>
      <c r="L816" s="20" t="str">
        <f>IFERROR(__xludf.DUMMYFUNCTION("""COMPUTED_VALUE"""),"0979796910;0325270534")</f>
        <v>0979796910;0325270534</v>
      </c>
      <c r="M816" s="7" t="str">
        <f>IFERROR(__xludf.DUMMYFUNCTION("""COMPUTED_VALUE"""),"038200007917")</f>
        <v>038200007917</v>
      </c>
      <c r="N816" s="19">
        <f>IFERROR(__xludf.DUMMYFUNCTION("""COMPUTED_VALUE"""),42926.0)</f>
        <v>42926</v>
      </c>
      <c r="O816" s="7" t="str">
        <f>IFERROR(__xludf.DUMMYFUNCTION("""COMPUTED_VALUE"""),"Cục Cảnh sát QLHC về TTXH")</f>
        <v>Cục Cảnh sát QLHC về TTXH</v>
      </c>
      <c r="P816" s="7" t="str">
        <f>IFERROR(__xludf.DUMMYFUNCTION("""COMPUTED_VALUE"""),"LĐPT")</f>
        <v>LĐPT</v>
      </c>
      <c r="Q816" s="7" t="str">
        <f>IFERROR(__xludf.DUMMYFUNCTION("""COMPUTED_VALUE"""),"Lao động phổ thông")</f>
        <v>Lao động phổ thông</v>
      </c>
      <c r="R816" s="17">
        <f>IFERROR(__xludf.DUMMYFUNCTION("""COMPUTED_VALUE"""),44979.0)</f>
        <v>44979</v>
      </c>
      <c r="S816" s="17">
        <f>IFERROR(__xludf.DUMMYFUNCTION("""COMPUTED_VALUE"""),45292.0)</f>
        <v>45292</v>
      </c>
      <c r="T816" s="7" t="str">
        <f>IFERROR(__xludf.DUMMYFUNCTION("""COMPUTED_VALUE"""),"Chính thức")</f>
        <v>Chính thức</v>
      </c>
      <c r="U816" s="7"/>
      <c r="V816" s="7" t="str">
        <f>IFERROR(__xludf.DUMMYFUNCTION("""COMPUTED_VALUE"""),"Chính thức")</f>
        <v>Chính thức</v>
      </c>
      <c r="W816" s="7" t="str">
        <f>IFERROR(__xludf.DUMMYFUNCTION("""COMPUTED_VALUE"""),"2 năm 10 tháng")</f>
        <v>2 năm 10 tháng</v>
      </c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8" max="8" width="15.5"/>
  </cols>
  <sheetData>
    <row r="1">
      <c r="A1" s="22" t="str">
        <f>IFERROR(__xludf.DUMMYFUNCTION("IMPORTRANGE(""1NQSUuzu_9LTfDGxqwQ1SpoKtXGS1dkxhnBNrVQATgY4"",""Danh sách nhân sự!A:Z"")"),"Chi tiết nhân sự theo phòng ban-2025")</f>
        <v>Chi tiết nhân sự theo phòng ban-2025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 t="str">
        <f>IFERROR(__xludf.DUMMYFUNCTION("""COMPUTED_VALUE"""),"Đơn vị")</f>
        <v>Đơn vị</v>
      </c>
      <c r="C2" s="22">
        <f>IFERROR(__xludf.DUMMYFUNCTION("""COMPUTED_VALUE"""),314.0)</f>
        <v>314</v>
      </c>
      <c r="D2" s="22"/>
      <c r="E2" s="22">
        <f>IFERROR(__xludf.DUMMYFUNCTION("""COMPUTED_VALUE"""),314.0)</f>
        <v>314</v>
      </c>
      <c r="F2" s="22" t="str">
        <f>IFERROR(__xludf.DUMMYFUNCTION("""COMPUTED_VALUE"""),"Mã nhân viên")</f>
        <v>Mã nhân viên</v>
      </c>
      <c r="G2" s="22" t="str">
        <f>IFERROR(__xludf.DUMMYFUNCTION("""COMPUTED_VALUE"""),"Mã chấm công")</f>
        <v>Mã chấm công</v>
      </c>
      <c r="H2" s="22" t="str">
        <f>IFERROR(__xludf.DUMMYFUNCTION("""COMPUTED_VALUE"""),"Họ tên ")</f>
        <v>Họ tên </v>
      </c>
      <c r="I2" s="22" t="str">
        <f>IFERROR(__xludf.DUMMYFUNCTION("""COMPUTED_VALUE"""),"Giới tính")</f>
        <v>Giới tính</v>
      </c>
      <c r="J2" s="22" t="str">
        <f>IFERROR(__xludf.DUMMYFUNCTION("""COMPUTED_VALUE"""),"Ngày/ tháng/năm sinh")</f>
        <v>Ngày/ tháng/năm sinh</v>
      </c>
      <c r="K2" s="22" t="str">
        <f>IFERROR(__xludf.DUMMYFUNCTION("""COMPUTED_VALUE"""),"Địa chỉ")</f>
        <v>Địa chỉ</v>
      </c>
      <c r="L2" s="23" t="str">
        <f>IFERROR(__xludf.DUMMYFUNCTION("""COMPUTED_VALUE"""),"Số điện thoại")</f>
        <v>Số điện thoại</v>
      </c>
      <c r="M2" s="23" t="str">
        <f>IFERROR(__xludf.DUMMYFUNCTION("""COMPUTED_VALUE"""),"Số CCCD")</f>
        <v>Số CCCD</v>
      </c>
      <c r="N2" s="22" t="str">
        <f>IFERROR(__xludf.DUMMYFUNCTION("""COMPUTED_VALUE"""),"Ngày cấp")</f>
        <v>Ngày cấp</v>
      </c>
      <c r="O2" s="22" t="str">
        <f>IFERROR(__xludf.DUMMYFUNCTION("""COMPUTED_VALUE"""),"Nơi cấp")</f>
        <v>Nơi cấp</v>
      </c>
      <c r="P2" s="22" t="str">
        <f>IFERROR(__xludf.DUMMYFUNCTION("""COMPUTED_VALUE"""),"Trình độ")</f>
        <v>Trình độ</v>
      </c>
      <c r="Q2" s="22" t="str">
        <f>IFERROR(__xludf.DUMMYFUNCTION("""COMPUTED_VALUE"""),"Chuyên môn")</f>
        <v>Chuyên môn</v>
      </c>
      <c r="R2" s="24" t="str">
        <f>IFERROR(__xludf.DUMMYFUNCTION("""COMPUTED_VALUE"""),"Ngày thử việc")</f>
        <v>Ngày thử việc</v>
      </c>
      <c r="S2" s="24" t="str">
        <f>IFERROR(__xludf.DUMMYFUNCTION("""COMPUTED_VALUE"""),"Ngày chính thức")</f>
        <v>Ngày chính thức</v>
      </c>
      <c r="T2" s="22" t="str">
        <f>IFERROR(__xludf.DUMMYFUNCTION("""COMPUTED_VALUE"""),"Loại hợp đồng")</f>
        <v>Loại hợp đồng</v>
      </c>
      <c r="U2" s="22" t="str">
        <f>IFERROR(__xludf.DUMMYFUNCTION("""COMPUTED_VALUE"""),"Kênh tuyển dụng")</f>
        <v>Kênh tuyển dụng</v>
      </c>
      <c r="V2" s="22" t="str">
        <f>IFERROR(__xludf.DUMMYFUNCTION("""COMPUTED_VALUE"""),"Trạng thái làm việc (Làm việc và nghỉ việc)")</f>
        <v>Trạng thái làm việc (Làm việc và nghỉ việc)</v>
      </c>
      <c r="W2" s="22" t="str">
        <f>IFERROR(__xludf.DUMMYFUNCTION("""COMPUTED_VALUE"""),"Thâm niên")</f>
        <v>Thâm niên</v>
      </c>
      <c r="X2" s="22"/>
      <c r="Y2" s="22"/>
      <c r="Z2" s="22"/>
    </row>
    <row r="3">
      <c r="A3" s="22" t="str">
        <f>IFERROR(__xludf.DUMMYFUNCTION("""COMPUTED_VALUE"""),"I")</f>
        <v>I</v>
      </c>
      <c r="B3" s="22" t="str">
        <f>IFERROR(__xludf.DUMMYFUNCTION("""COMPUTED_VALUE"""),"Hội đồng cổ đông")</f>
        <v>Hội đồng cổ đông</v>
      </c>
      <c r="C3" s="22">
        <f>IFERROR(__xludf.DUMMYFUNCTION("""COMPUTED_VALUE"""),1.0)</f>
        <v>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>
        <f>IFERROR(__xludf.DUMMYFUNCTION("""COMPUTED_VALUE"""),1.0)</f>
        <v>1</v>
      </c>
      <c r="B4" s="22" t="str">
        <f>IFERROR(__xludf.DUMMYFUNCTION("""COMPUTED_VALUE"""),"Văn phòng")</f>
        <v>Văn phòng</v>
      </c>
      <c r="C4" s="22" t="str">
        <f>IFERROR(__xludf.DUMMYFUNCTION("""COMPUTED_VALUE"""),"Hội đồng cổ đông")</f>
        <v>Hội đồng cổ đông</v>
      </c>
      <c r="D4" s="22" t="str">
        <f>IFERROR(__xludf.DUMMYFUNCTION("""COMPUTED_VALUE"""),"Bộ phận hành chính")</f>
        <v>Bộ phận hành chính</v>
      </c>
      <c r="E4" s="22" t="str">
        <f>IFERROR(__xludf.DUMMYFUNCTION("""COMPUTED_VALUE"""),"Cổ đông sáng lập")</f>
        <v>Cổ đông sáng lập</v>
      </c>
      <c r="F4" s="22" t="str">
        <f>IFERROR(__xludf.DUMMYFUNCTION("""COMPUTED_VALUE"""),"NV1020")</f>
        <v>NV1020</v>
      </c>
      <c r="G4" s="22"/>
      <c r="H4" s="22" t="str">
        <f>IFERROR(__xludf.DUMMYFUNCTION("""COMPUTED_VALUE"""),"Đỗ Đức Ty")</f>
        <v>Đỗ Đức Ty</v>
      </c>
      <c r="I4" s="22" t="str">
        <f>IFERROR(__xludf.DUMMYFUNCTION("""COMPUTED_VALUE"""),"Nam")</f>
        <v>Nam</v>
      </c>
      <c r="J4" s="24">
        <f>IFERROR(__xludf.DUMMYFUNCTION("""COMPUTED_VALUE"""),20386.0)</f>
        <v>20386</v>
      </c>
      <c r="K4" s="22" t="str">
        <f>IFERROR(__xludf.DUMMYFUNCTION("""COMPUTED_VALUE"""),"86 Lê Văn An - Phường Hạc Thành - Tỉnh Thanh Hóa")</f>
        <v>86 Lê Văn An - Phường Hạc Thành - Tỉnh Thanh Hóa</v>
      </c>
      <c r="L4" s="22" t="str">
        <f>IFERROR(__xludf.DUMMYFUNCTION("""COMPUTED_VALUE"""),"0913293137")</f>
        <v>0913293137</v>
      </c>
      <c r="M4" s="22" t="str">
        <f>IFERROR(__xludf.DUMMYFUNCTION("""COMPUTED_VALUE"""),"038055003187")</f>
        <v>038055003187</v>
      </c>
      <c r="N4" s="25">
        <f>IFERROR(__xludf.DUMMYFUNCTION("""COMPUTED_VALUE"""),44427.0)</f>
        <v>44427</v>
      </c>
      <c r="O4" s="22" t="str">
        <f>IFERROR(__xludf.DUMMYFUNCTION("""COMPUTED_VALUE"""),"Cục Cảnh sát QLHC về TTXH")</f>
        <v>Cục Cảnh sát QLHC về TTXH</v>
      </c>
      <c r="P4" s="22" t="str">
        <f>IFERROR(__xludf.DUMMYFUNCTION("""COMPUTED_VALUE"""),"Tiến sĩ")</f>
        <v>Tiến sĩ</v>
      </c>
      <c r="Q4" s="22" t="str">
        <f>IFERROR(__xludf.DUMMYFUNCTION("""COMPUTED_VALUE"""),"Kinh tế")</f>
        <v>Kinh tế</v>
      </c>
      <c r="R4" s="24">
        <f>IFERROR(__xludf.DUMMYFUNCTION("""COMPUTED_VALUE"""),26665.0)</f>
        <v>26665</v>
      </c>
      <c r="S4" s="26">
        <f>IFERROR(__xludf.DUMMYFUNCTION("""COMPUTED_VALUE"""),26665.0)</f>
        <v>26665</v>
      </c>
      <c r="T4" s="22" t="str">
        <f>IFERROR(__xludf.DUMMYFUNCTION("""COMPUTED_VALUE"""),"Chính thức")</f>
        <v>Chính thức</v>
      </c>
      <c r="U4" s="22"/>
      <c r="V4" s="22" t="str">
        <f>IFERROR(__xludf.DUMMYFUNCTION("""COMPUTED_VALUE"""),"Chính thức")</f>
        <v>Chính thức</v>
      </c>
      <c r="W4" s="22" t="str">
        <f>IFERROR(__xludf.DUMMYFUNCTION("""COMPUTED_VALUE"""),"52 năm 11 tháng")</f>
        <v>52 năm 11 tháng</v>
      </c>
      <c r="X4" s="22"/>
      <c r="Y4" s="22"/>
      <c r="Z4" s="22"/>
    </row>
    <row r="5">
      <c r="A5" s="22" t="str">
        <f>IFERROR(__xludf.DUMMYFUNCTION("""COMPUTED_VALUE"""),"II")</f>
        <v>II</v>
      </c>
      <c r="B5" s="22" t="str">
        <f>IFERROR(__xludf.DUMMYFUNCTION("""COMPUTED_VALUE"""),"Hội đồng quản trị")</f>
        <v>Hội đồng quản trị</v>
      </c>
      <c r="C5" s="22">
        <f>IFERROR(__xludf.DUMMYFUNCTION("""COMPUTED_VALUE"""),4.0)</f>
        <v>4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>
        <f>IFERROR(__xludf.DUMMYFUNCTION("""COMPUTED_VALUE"""),1.0)</f>
        <v>1</v>
      </c>
      <c r="B6" s="22" t="str">
        <f>IFERROR(__xludf.DUMMYFUNCTION("""COMPUTED_VALUE"""),"Văn phòng")</f>
        <v>Văn phòng</v>
      </c>
      <c r="C6" s="22" t="str">
        <f>IFERROR(__xludf.DUMMYFUNCTION("""COMPUTED_VALUE"""),"Hội đồng Quản trị")</f>
        <v>Hội đồng Quản trị</v>
      </c>
      <c r="D6" s="22" t="str">
        <f>IFERROR(__xludf.DUMMYFUNCTION("""COMPUTED_VALUE"""),"Bộ phận hành chính")</f>
        <v>Bộ phận hành chính</v>
      </c>
      <c r="E6" s="22" t="str">
        <f>IFERROR(__xludf.DUMMYFUNCTION("""COMPUTED_VALUE"""),"Chủ tịch Hội đồng quản trị")</f>
        <v>Chủ tịch Hội đồng quản trị</v>
      </c>
      <c r="F6" s="22" t="str">
        <f>IFERROR(__xludf.DUMMYFUNCTION("""COMPUTED_VALUE"""),"NV0002")</f>
        <v>NV0002</v>
      </c>
      <c r="G6" s="22"/>
      <c r="H6" s="22" t="str">
        <f>IFERROR(__xludf.DUMMYFUNCTION("""COMPUTED_VALUE"""),"Đỗ Đức Thắng")</f>
        <v>Đỗ Đức Thắng</v>
      </c>
      <c r="I6" s="22" t="str">
        <f>IFERROR(__xludf.DUMMYFUNCTION("""COMPUTED_VALUE"""),"Nam")</f>
        <v>Nam</v>
      </c>
      <c r="J6" s="24">
        <f>IFERROR(__xludf.DUMMYFUNCTION("""COMPUTED_VALUE"""),30822.0)</f>
        <v>30822</v>
      </c>
      <c r="K6" s="22" t="str">
        <f>IFERROR(__xludf.DUMMYFUNCTION("""COMPUTED_VALUE"""),"CC. E311 - Golden Westlake, Tòa nhà 151, P. Thụy Khuê, Q. Tây Hồ, HN")</f>
        <v>CC. E311 - Golden Westlake, Tòa nhà 151, P. Thụy Khuê, Q. Tây Hồ, HN</v>
      </c>
      <c r="L6" s="22" t="str">
        <f>IFERROR(__xludf.DUMMYFUNCTION("""COMPUTED_VALUE"""),"0987466666")</f>
        <v>0987466666</v>
      </c>
      <c r="M6" s="22" t="str">
        <f>IFERROR(__xludf.DUMMYFUNCTION("""COMPUTED_VALUE"""),"038084002379")</f>
        <v>038084002379</v>
      </c>
      <c r="N6" s="25">
        <f>IFERROR(__xludf.DUMMYFUNCTION("""COMPUTED_VALUE"""),44427.0)</f>
        <v>44427</v>
      </c>
      <c r="O6" s="22" t="str">
        <f>IFERROR(__xludf.DUMMYFUNCTION("""COMPUTED_VALUE"""),"Cục Cảnh sát QLHC về TTXH")</f>
        <v>Cục Cảnh sát QLHC về TTXH</v>
      </c>
      <c r="P6" s="22" t="str">
        <f>IFERROR(__xludf.DUMMYFUNCTION("""COMPUTED_VALUE"""),"Tiến sĩ")</f>
        <v>Tiến sĩ</v>
      </c>
      <c r="Q6" s="22" t="str">
        <f>IFERROR(__xludf.DUMMYFUNCTION("""COMPUTED_VALUE"""),"Kinh tế")</f>
        <v>Kinh tế</v>
      </c>
      <c r="R6" s="24">
        <f>IFERROR(__xludf.DUMMYFUNCTION("""COMPUTED_VALUE"""),40544.0)</f>
        <v>40544</v>
      </c>
      <c r="S6" s="26">
        <f>IFERROR(__xludf.DUMMYFUNCTION("""COMPUTED_VALUE"""),40544.0)</f>
        <v>40544</v>
      </c>
      <c r="T6" s="22" t="str">
        <f>IFERROR(__xludf.DUMMYFUNCTION("""COMPUTED_VALUE"""),"Chính thức")</f>
        <v>Chính thức</v>
      </c>
      <c r="U6" s="22"/>
      <c r="V6" s="22" t="str">
        <f>IFERROR(__xludf.DUMMYFUNCTION("""COMPUTED_VALUE"""),"Chính thức")</f>
        <v>Chính thức</v>
      </c>
      <c r="W6" s="22" t="str">
        <f>IFERROR(__xludf.DUMMYFUNCTION("""COMPUTED_VALUE"""),"14 năm 11 tháng")</f>
        <v>14 năm 11 tháng</v>
      </c>
      <c r="X6" s="22"/>
      <c r="Y6" s="22"/>
      <c r="Z6" s="22"/>
    </row>
    <row r="7">
      <c r="A7" s="22">
        <f>IFERROR(__xludf.DUMMYFUNCTION("""COMPUTED_VALUE"""),2.0)</f>
        <v>2</v>
      </c>
      <c r="B7" s="22" t="str">
        <f>IFERROR(__xludf.DUMMYFUNCTION("""COMPUTED_VALUE"""),"Văn phòng")</f>
        <v>Văn phòng</v>
      </c>
      <c r="C7" s="22" t="str">
        <f>IFERROR(__xludf.DUMMYFUNCTION("""COMPUTED_VALUE"""),"Hội đồng Quản trị")</f>
        <v>Hội đồng Quản trị</v>
      </c>
      <c r="D7" s="22" t="str">
        <f>IFERROR(__xludf.DUMMYFUNCTION("""COMPUTED_VALUE"""),"Bộ phận hành chính")</f>
        <v>Bộ phận hành chính</v>
      </c>
      <c r="E7" s="22" t="str">
        <f>IFERROR(__xludf.DUMMYFUNCTION("""COMPUTED_VALUE"""),"Phó tổng giám đốc")</f>
        <v>Phó tổng giám đốc</v>
      </c>
      <c r="F7" s="22" t="str">
        <f>IFERROR(__xludf.DUMMYFUNCTION("""COMPUTED_VALUE"""),"NV1022")</f>
        <v>NV1022</v>
      </c>
      <c r="G7" s="22"/>
      <c r="H7" s="22" t="str">
        <f>IFERROR(__xludf.DUMMYFUNCTION("""COMPUTED_VALUE"""),"Vũ Thị Nhung")</f>
        <v>Vũ Thị Nhung</v>
      </c>
      <c r="I7" s="22" t="str">
        <f>IFERROR(__xludf.DUMMYFUNCTION("""COMPUTED_VALUE"""),"Nữ")</f>
        <v>Nữ</v>
      </c>
      <c r="J7" s="24">
        <f>IFERROR(__xludf.DUMMYFUNCTION("""COMPUTED_VALUE"""),20004.0)</f>
        <v>20004</v>
      </c>
      <c r="K7" s="22" t="str">
        <f>IFERROR(__xludf.DUMMYFUNCTION("""COMPUTED_VALUE"""),"86 Lê Văn An - Phường Hạc Thành - Tỉnh Thanh Hóa")</f>
        <v>86 Lê Văn An - Phường Hạc Thành - Tỉnh Thanh Hóa</v>
      </c>
      <c r="L7" s="22" t="str">
        <f>IFERROR(__xludf.DUMMYFUNCTION("""COMPUTED_VALUE"""),"0912751878")</f>
        <v>0912751878</v>
      </c>
      <c r="M7" s="22" t="str">
        <f>IFERROR(__xludf.DUMMYFUNCTION("""COMPUTED_VALUE"""),"038155003181")</f>
        <v>038155003181</v>
      </c>
      <c r="N7" s="25">
        <f>IFERROR(__xludf.DUMMYFUNCTION("""COMPUTED_VALUE"""),44427.0)</f>
        <v>44427</v>
      </c>
      <c r="O7" s="22" t="str">
        <f>IFERROR(__xludf.DUMMYFUNCTION("""COMPUTED_VALUE"""),"Cục Cảnh sát QLHC về TTXH")</f>
        <v>Cục Cảnh sát QLHC về TTXH</v>
      </c>
      <c r="P7" s="22" t="str">
        <f>IFERROR(__xludf.DUMMYFUNCTION("""COMPUTED_VALUE"""),"Trung cấp")</f>
        <v>Trung cấp</v>
      </c>
      <c r="Q7" s="22" t="str">
        <f>IFERROR(__xludf.DUMMYFUNCTION("""COMPUTED_VALUE"""),"Kế toán")</f>
        <v>Kế toán</v>
      </c>
      <c r="R7" s="24">
        <f>IFERROR(__xludf.DUMMYFUNCTION("""COMPUTED_VALUE"""),33086.0)</f>
        <v>33086</v>
      </c>
      <c r="S7" s="26">
        <f>IFERROR(__xludf.DUMMYFUNCTION("""COMPUTED_VALUE"""),33086.0)</f>
        <v>33086</v>
      </c>
      <c r="T7" s="22" t="str">
        <f>IFERROR(__xludf.DUMMYFUNCTION("""COMPUTED_VALUE"""),"Chính thức")</f>
        <v>Chính thức</v>
      </c>
      <c r="U7" s="22"/>
      <c r="V7" s="22" t="str">
        <f>IFERROR(__xludf.DUMMYFUNCTION("""COMPUTED_VALUE"""),"Chính thức")</f>
        <v>Chính thức</v>
      </c>
      <c r="W7" s="22" t="str">
        <f>IFERROR(__xludf.DUMMYFUNCTION("""COMPUTED_VALUE"""),"35 năm 4 tháng")</f>
        <v>35 năm 4 tháng</v>
      </c>
      <c r="X7" s="22"/>
      <c r="Y7" s="22"/>
      <c r="Z7" s="22"/>
    </row>
    <row r="8">
      <c r="A8" s="22">
        <f>IFERROR(__xludf.DUMMYFUNCTION("""COMPUTED_VALUE"""),3.0)</f>
        <v>3</v>
      </c>
      <c r="B8" s="22" t="str">
        <f>IFERROR(__xludf.DUMMYFUNCTION("""COMPUTED_VALUE"""),"Văn phòng")</f>
        <v>Văn phòng</v>
      </c>
      <c r="C8" s="22" t="str">
        <f>IFERROR(__xludf.DUMMYFUNCTION("""COMPUTED_VALUE"""),"Hội đồng Quản trị")</f>
        <v>Hội đồng Quản trị</v>
      </c>
      <c r="D8" s="22" t="str">
        <f>IFERROR(__xludf.DUMMYFUNCTION("""COMPUTED_VALUE"""),"Bộ phận hành chính")</f>
        <v>Bộ phận hành chính</v>
      </c>
      <c r="E8" s="22" t="str">
        <f>IFERROR(__xludf.DUMMYFUNCTION("""COMPUTED_VALUE"""),"Phó tổng giám đốc")</f>
        <v>Phó tổng giám đốc</v>
      </c>
      <c r="F8" s="22" t="str">
        <f>IFERROR(__xludf.DUMMYFUNCTION("""COMPUTED_VALUE"""),"NV4080")</f>
        <v>NV4080</v>
      </c>
      <c r="G8" s="22"/>
      <c r="H8" s="22" t="str">
        <f>IFERROR(__xludf.DUMMYFUNCTION("""COMPUTED_VALUE"""),"Trần Thị Nguyệt")</f>
        <v>Trần Thị Nguyệt</v>
      </c>
      <c r="I8" s="22" t="str">
        <f>IFERROR(__xludf.DUMMYFUNCTION("""COMPUTED_VALUE"""),"Nữ")</f>
        <v>Nữ</v>
      </c>
      <c r="J8" s="24">
        <f>IFERROR(__xludf.DUMMYFUNCTION("""COMPUTED_VALUE"""),31849.0)</f>
        <v>31849</v>
      </c>
      <c r="K8" s="22" t="str">
        <f>IFERROR(__xludf.DUMMYFUNCTION("""COMPUTED_VALUE"""),"CC. E311 - Golden Westlake, Tòa nhà 151, P. Thụy Khuê, Q. Tây Hồ, HN")</f>
        <v>CC. E311 - Golden Westlake, Tòa nhà 151, P. Thụy Khuê, Q. Tây Hồ, HN</v>
      </c>
      <c r="L8" s="22" t="str">
        <f>IFERROR(__xludf.DUMMYFUNCTION("""COMPUTED_VALUE"""),"0945537799")</f>
        <v>0945537799</v>
      </c>
      <c r="M8" s="22" t="str">
        <f>IFERROR(__xludf.DUMMYFUNCTION("""COMPUTED_VALUE"""),"037187006587")</f>
        <v>037187006587</v>
      </c>
      <c r="N8" s="25">
        <f>IFERROR(__xludf.DUMMYFUNCTION("""COMPUTED_VALUE"""),44098.0)</f>
        <v>44098</v>
      </c>
      <c r="O8" s="22" t="str">
        <f>IFERROR(__xludf.DUMMYFUNCTION("""COMPUTED_VALUE"""),"Cục Cảnh sát QLHC về TTXH")</f>
        <v>Cục Cảnh sát QLHC về TTXH</v>
      </c>
      <c r="P8" s="22" t="str">
        <f>IFERROR(__xludf.DUMMYFUNCTION("""COMPUTED_VALUE"""),"Đại học")</f>
        <v>Đại học</v>
      </c>
      <c r="Q8" s="22"/>
      <c r="R8" s="24">
        <f>IFERROR(__xludf.DUMMYFUNCTION("""COMPUTED_VALUE"""),44531.0)</f>
        <v>44531</v>
      </c>
      <c r="S8" s="26">
        <f>IFERROR(__xludf.DUMMYFUNCTION("""COMPUTED_VALUE"""),44531.0)</f>
        <v>44531</v>
      </c>
      <c r="T8" s="22" t="str">
        <f>IFERROR(__xludf.DUMMYFUNCTION("""COMPUTED_VALUE"""),"Chính thức")</f>
        <v>Chính thức</v>
      </c>
      <c r="U8" s="22"/>
      <c r="V8" s="22" t="str">
        <f>IFERROR(__xludf.DUMMYFUNCTION("""COMPUTED_VALUE"""),"Chính thức")</f>
        <v>Chính thức</v>
      </c>
      <c r="W8" s="22" t="str">
        <f>IFERROR(__xludf.DUMMYFUNCTION("""COMPUTED_VALUE"""),"4 năm 0 tháng")</f>
        <v>4 năm 0 tháng</v>
      </c>
      <c r="X8" s="22"/>
      <c r="Y8" s="22"/>
      <c r="Z8" s="22"/>
    </row>
    <row r="9">
      <c r="A9" s="22">
        <f>IFERROR(__xludf.DUMMYFUNCTION("""COMPUTED_VALUE"""),4.0)</f>
        <v>4</v>
      </c>
      <c r="B9" s="22" t="str">
        <f>IFERROR(__xludf.DUMMYFUNCTION("""COMPUTED_VALUE"""),"Văn phòng")</f>
        <v>Văn phòng</v>
      </c>
      <c r="C9" s="22" t="str">
        <f>IFERROR(__xludf.DUMMYFUNCTION("""COMPUTED_VALUE"""),"Hội đồng Quản trị")</f>
        <v>Hội đồng Quản trị</v>
      </c>
      <c r="D9" s="22" t="str">
        <f>IFERROR(__xludf.DUMMYFUNCTION("""COMPUTED_VALUE"""),"Bộ phận hành chính")</f>
        <v>Bộ phận hành chính</v>
      </c>
      <c r="E9" s="22" t="str">
        <f>IFERROR(__xludf.DUMMYFUNCTION("""COMPUTED_VALUE"""),"Tổng giám đốc")</f>
        <v>Tổng giám đốc</v>
      </c>
      <c r="F9" s="22" t="str">
        <f>IFERROR(__xludf.DUMMYFUNCTION("""COMPUTED_VALUE"""),"NV1118")</f>
        <v>NV1118</v>
      </c>
      <c r="G9" s="22"/>
      <c r="H9" s="22" t="str">
        <f>IFERROR(__xludf.DUMMYFUNCTION("""COMPUTED_VALUE"""),"Vũ Xuân Tuấn")</f>
        <v>Vũ Xuân Tuấn</v>
      </c>
      <c r="I9" s="22" t="str">
        <f>IFERROR(__xludf.DUMMYFUNCTION("""COMPUTED_VALUE"""),"Nam")</f>
        <v>Nam</v>
      </c>
      <c r="J9" s="24">
        <f>IFERROR(__xludf.DUMMYFUNCTION("""COMPUTED_VALUE"""),26547.0)</f>
        <v>26547</v>
      </c>
      <c r="K9" s="22" t="str">
        <f>IFERROR(__xludf.DUMMYFUNCTION("""COMPUTED_VALUE"""),"SN 264 Lý Nhân Tông, Phường Đông Thọ, Thành phố Thanh Hóa")</f>
        <v>SN 264 Lý Nhân Tông, Phường Đông Thọ, Thành phố Thanh Hóa</v>
      </c>
      <c r="L9" s="22" t="str">
        <f>IFERROR(__xludf.DUMMYFUNCTION("""COMPUTED_VALUE"""),"0913313384")</f>
        <v>0913313384</v>
      </c>
      <c r="M9" s="22" t="str">
        <f>IFERROR(__xludf.DUMMYFUNCTION("""COMPUTED_VALUE"""),"038072047546")</f>
        <v>038072047546</v>
      </c>
      <c r="N9" s="25">
        <f>IFERROR(__xludf.DUMMYFUNCTION("""COMPUTED_VALUE"""),44375.0)</f>
        <v>44375</v>
      </c>
      <c r="O9" s="22" t="str">
        <f>IFERROR(__xludf.DUMMYFUNCTION("""COMPUTED_VALUE"""),"Cục Cảnh sát QLHC về TTXH")</f>
        <v>Cục Cảnh sát QLHC về TTXH</v>
      </c>
      <c r="P9" s="22" t="str">
        <f>IFERROR(__xludf.DUMMYFUNCTION("""COMPUTED_VALUE"""),"Cao học")</f>
        <v>Cao học</v>
      </c>
      <c r="Q9" s="22" t="str">
        <f>IFERROR(__xludf.DUMMYFUNCTION("""COMPUTED_VALUE"""),"Quản trị kinh doanh")</f>
        <v>Quản trị kinh doanh</v>
      </c>
      <c r="R9" s="24">
        <f>IFERROR(__xludf.DUMMYFUNCTION("""COMPUTED_VALUE"""),35855.0)</f>
        <v>35855</v>
      </c>
      <c r="S9" s="26">
        <f>IFERROR(__xludf.DUMMYFUNCTION("""COMPUTED_VALUE"""),35855.0)</f>
        <v>35855</v>
      </c>
      <c r="T9" s="22" t="str">
        <f>IFERROR(__xludf.DUMMYFUNCTION("""COMPUTED_VALUE"""),"Chính thức")</f>
        <v>Chính thức</v>
      </c>
      <c r="U9" s="22"/>
      <c r="V9" s="22" t="str">
        <f>IFERROR(__xludf.DUMMYFUNCTION("""COMPUTED_VALUE"""),"Chính thức")</f>
        <v>Chính thức</v>
      </c>
      <c r="W9" s="22" t="str">
        <f>IFERROR(__xludf.DUMMYFUNCTION("""COMPUTED_VALUE"""),"27 năm 9 tháng")</f>
        <v>27 năm 9 tháng</v>
      </c>
      <c r="X9" s="22"/>
      <c r="Y9" s="22"/>
      <c r="Z9" s="22"/>
    </row>
    <row r="10">
      <c r="A10" s="22" t="str">
        <f>IFERROR(__xludf.DUMMYFUNCTION("""COMPUTED_VALUE"""),"III")</f>
        <v>III</v>
      </c>
      <c r="B10" s="22" t="str">
        <f>IFERROR(__xludf.DUMMYFUNCTION("""COMPUTED_VALUE"""),"Ban tổng giám đốc")</f>
        <v>Ban tổng giám đốc</v>
      </c>
      <c r="C10" s="22">
        <f>IFERROR(__xludf.DUMMYFUNCTION("""COMPUTED_VALUE"""),3.0)</f>
        <v>3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>
        <f>IFERROR(__xludf.DUMMYFUNCTION("""COMPUTED_VALUE"""),1.0)</f>
        <v>1</v>
      </c>
      <c r="B11" s="22" t="str">
        <f>IFERROR(__xludf.DUMMYFUNCTION("""COMPUTED_VALUE"""),"Văn phòng")</f>
        <v>Văn phòng</v>
      </c>
      <c r="C11" s="22" t="str">
        <f>IFERROR(__xludf.DUMMYFUNCTION("""COMPUTED_VALUE"""),"Ban tổng giám đốc")</f>
        <v>Ban tổng giám đốc</v>
      </c>
      <c r="D11" s="22" t="str">
        <f>IFERROR(__xludf.DUMMYFUNCTION("""COMPUTED_VALUE"""),"Bộ phận hành chính")</f>
        <v>Bộ phận hành chính</v>
      </c>
      <c r="E11" s="22" t="str">
        <f>IFERROR(__xludf.DUMMYFUNCTION("""COMPUTED_VALUE"""),"Phó giám đốc Công ty, Nhà máy")</f>
        <v>Phó giám đốc Công ty, Nhà máy</v>
      </c>
      <c r="F11" s="22" t="str">
        <f>IFERROR(__xludf.DUMMYFUNCTION("""COMPUTED_VALUE"""),"NV0003")</f>
        <v>NV0003</v>
      </c>
      <c r="G11" s="22"/>
      <c r="H11" s="22" t="str">
        <f>IFERROR(__xludf.DUMMYFUNCTION("""COMPUTED_VALUE"""),"Nguyễn Thanh Hải")</f>
        <v>Nguyễn Thanh Hải</v>
      </c>
      <c r="I11" s="22" t="str">
        <f>IFERROR(__xludf.DUMMYFUNCTION("""COMPUTED_VALUE"""),"Nam")</f>
        <v>Nam</v>
      </c>
      <c r="J11" s="24">
        <f>IFERROR(__xludf.DUMMYFUNCTION("""COMPUTED_VALUE"""),25846.0)</f>
        <v>25846</v>
      </c>
      <c r="K11" s="22" t="str">
        <f>IFERROR(__xludf.DUMMYFUNCTION("""COMPUTED_VALUE"""),"Sổ nhà 07 Ngỏ 353 - Đường Lê Thánh Tông - Phường Hạc Thành - Tỉnh Thanh Hóa")</f>
        <v>Sổ nhà 07 Ngỏ 353 - Đường Lê Thánh Tông - Phường Hạc Thành - Tỉnh Thanh Hóa</v>
      </c>
      <c r="L11" s="22" t="str">
        <f>IFERROR(__xludf.DUMMYFUNCTION("""COMPUTED_VALUE"""),"0912275763")</f>
        <v>0912275763</v>
      </c>
      <c r="M11" s="22" t="str">
        <f>IFERROR(__xludf.DUMMYFUNCTION("""COMPUTED_VALUE"""),"038070000338")</f>
        <v>038070000338</v>
      </c>
      <c r="N11" s="25">
        <f>IFERROR(__xludf.DUMMYFUNCTION("""COMPUTED_VALUE"""),42485.0)</f>
        <v>42485</v>
      </c>
      <c r="O11" s="22" t="str">
        <f>IFERROR(__xludf.DUMMYFUNCTION("""COMPUTED_VALUE"""),"Cục Cảnh sát QLHC về TTXH")</f>
        <v>Cục Cảnh sát QLHC về TTXH</v>
      </c>
      <c r="P11" s="22" t="str">
        <f>IFERROR(__xludf.DUMMYFUNCTION("""COMPUTED_VALUE"""),"Đại học")</f>
        <v>Đại học</v>
      </c>
      <c r="Q11" s="22" t="str">
        <f>IFERROR(__xludf.DUMMYFUNCTION("""COMPUTED_VALUE"""),"Cử nhân hóa")</f>
        <v>Cử nhân hóa</v>
      </c>
      <c r="R11" s="24">
        <f>IFERROR(__xludf.DUMMYFUNCTION("""COMPUTED_VALUE"""),36747.0)</f>
        <v>36747</v>
      </c>
      <c r="S11" s="26">
        <f>IFERROR(__xludf.DUMMYFUNCTION("""COMPUTED_VALUE"""),36747.0)</f>
        <v>36747</v>
      </c>
      <c r="T11" s="22" t="str">
        <f>IFERROR(__xludf.DUMMYFUNCTION("""COMPUTED_VALUE"""),"Chính thức")</f>
        <v>Chính thức</v>
      </c>
      <c r="U11" s="22"/>
      <c r="V11" s="22" t="str">
        <f>IFERROR(__xludf.DUMMYFUNCTION("""COMPUTED_VALUE"""),"Chính thức")</f>
        <v>Chính thức</v>
      </c>
      <c r="W11" s="22" t="str">
        <f>IFERROR(__xludf.DUMMYFUNCTION("""COMPUTED_VALUE"""),"25 năm 4 tháng")</f>
        <v>25 năm 4 tháng</v>
      </c>
      <c r="X11" s="22"/>
      <c r="Y11" s="22"/>
      <c r="Z11" s="22"/>
    </row>
    <row r="12">
      <c r="A12" s="22">
        <f>IFERROR(__xludf.DUMMYFUNCTION("""COMPUTED_VALUE"""),2.0)</f>
        <v>2</v>
      </c>
      <c r="B12" s="22" t="str">
        <f>IFERROR(__xludf.DUMMYFUNCTION("""COMPUTED_VALUE"""),"Văn phòng")</f>
        <v>Văn phòng</v>
      </c>
      <c r="C12" s="22" t="str">
        <f>IFERROR(__xludf.DUMMYFUNCTION("""COMPUTED_VALUE"""),"Ban tổng giám đốc")</f>
        <v>Ban tổng giám đốc</v>
      </c>
      <c r="D12" s="22" t="str">
        <f>IFERROR(__xludf.DUMMYFUNCTION("""COMPUTED_VALUE"""),"Bộ phận hành chính")</f>
        <v>Bộ phận hành chính</v>
      </c>
      <c r="E12" s="22" t="str">
        <f>IFERROR(__xludf.DUMMYFUNCTION("""COMPUTED_VALUE"""),"Phó tổng giám đốc")</f>
        <v>Phó tổng giám đốc</v>
      </c>
      <c r="F12" s="22" t="str">
        <f>IFERROR(__xludf.DUMMYFUNCTION("""COMPUTED_VALUE"""),"NV0001")</f>
        <v>NV0001</v>
      </c>
      <c r="G12" s="22"/>
      <c r="H12" s="22" t="str">
        <f>IFERROR(__xludf.DUMMYFUNCTION("""COMPUTED_VALUE"""),"Phạm Văn Thắng")</f>
        <v>Phạm Văn Thắng</v>
      </c>
      <c r="I12" s="22" t="str">
        <f>IFERROR(__xludf.DUMMYFUNCTION("""COMPUTED_VALUE"""),"Nam")</f>
        <v>Nam</v>
      </c>
      <c r="J12" s="24">
        <f>IFERROR(__xludf.DUMMYFUNCTION("""COMPUTED_VALUE"""),28112.0)</f>
        <v>28112</v>
      </c>
      <c r="K12" s="22" t="str">
        <f>IFERROR(__xludf.DUMMYFUNCTION("""COMPUTED_VALUE"""),"Phường Nguyệt Viên - Tỉnh Thanh Hóa")</f>
        <v>Phường Nguyệt Viên - Tỉnh Thanh Hóa</v>
      </c>
      <c r="L12" s="22" t="str">
        <f>IFERROR(__xludf.DUMMYFUNCTION("""COMPUTED_VALUE"""),"0904942789")</f>
        <v>0904942789</v>
      </c>
      <c r="M12" s="22" t="str">
        <f>IFERROR(__xludf.DUMMYFUNCTION("""COMPUTED_VALUE"""),"038076030328")</f>
        <v>038076030328</v>
      </c>
      <c r="N12" s="25">
        <f>IFERROR(__xludf.DUMMYFUNCTION("""COMPUTED_VALUE"""),44374.0)</f>
        <v>44374</v>
      </c>
      <c r="O12" s="22" t="str">
        <f>IFERROR(__xludf.DUMMYFUNCTION("""COMPUTED_VALUE"""),"Cục Cảnh sát QLHC về TTXH")</f>
        <v>Cục Cảnh sát QLHC về TTXH</v>
      </c>
      <c r="P12" s="22" t="str">
        <f>IFERROR(__xludf.DUMMYFUNCTION("""COMPUTED_VALUE"""),"Đại học")</f>
        <v>Đại học</v>
      </c>
      <c r="Q12" s="22" t="str">
        <f>IFERROR(__xludf.DUMMYFUNCTION("""COMPUTED_VALUE"""),"Cử nhân luật")</f>
        <v>Cử nhân luật</v>
      </c>
      <c r="R12" s="24">
        <f>IFERROR(__xludf.DUMMYFUNCTION("""COMPUTED_VALUE"""),38718.0)</f>
        <v>38718</v>
      </c>
      <c r="S12" s="26">
        <f>IFERROR(__xludf.DUMMYFUNCTION("""COMPUTED_VALUE"""),38718.0)</f>
        <v>38718</v>
      </c>
      <c r="T12" s="22" t="str">
        <f>IFERROR(__xludf.DUMMYFUNCTION("""COMPUTED_VALUE"""),"Chính thức")</f>
        <v>Chính thức</v>
      </c>
      <c r="U12" s="22"/>
      <c r="V12" s="22" t="str">
        <f>IFERROR(__xludf.DUMMYFUNCTION("""COMPUTED_VALUE"""),"Chính thức")</f>
        <v>Chính thức</v>
      </c>
      <c r="W12" s="22" t="str">
        <f>IFERROR(__xludf.DUMMYFUNCTION("""COMPUTED_VALUE"""),"19 năm 11 tháng")</f>
        <v>19 năm 11 tháng</v>
      </c>
      <c r="X12" s="22"/>
      <c r="Y12" s="22"/>
      <c r="Z12" s="22"/>
    </row>
    <row r="13">
      <c r="A13" s="22">
        <f>IFERROR(__xludf.DUMMYFUNCTION("""COMPUTED_VALUE"""),3.0)</f>
        <v>3</v>
      </c>
      <c r="B13" s="22" t="str">
        <f>IFERROR(__xludf.DUMMYFUNCTION("""COMPUTED_VALUE"""),"Văn phòng")</f>
        <v>Văn phòng</v>
      </c>
      <c r="C13" s="22" t="str">
        <f>IFERROR(__xludf.DUMMYFUNCTION("""COMPUTED_VALUE"""),"Ban tổng giám đốc")</f>
        <v>Ban tổng giám đốc</v>
      </c>
      <c r="D13" s="22" t="str">
        <f>IFERROR(__xludf.DUMMYFUNCTION("""COMPUTED_VALUE"""),"Bộ phận hành chính")</f>
        <v>Bộ phận hành chính</v>
      </c>
      <c r="E13" s="22" t="str">
        <f>IFERROR(__xludf.DUMMYFUNCTION("""COMPUTED_VALUE"""),"Phó giám đốc kiêm thư ký HĐQT")</f>
        <v>Phó giám đốc kiêm thư ký HĐQT</v>
      </c>
      <c r="F13" s="22" t="str">
        <f>IFERROR(__xludf.DUMMYFUNCTION("""COMPUTED_VALUE"""),"NV0013")</f>
        <v>NV0013</v>
      </c>
      <c r="G13" s="22">
        <f>IFERROR(__xludf.DUMMYFUNCTION("""COMPUTED_VALUE"""),6.0)</f>
        <v>6</v>
      </c>
      <c r="H13" s="22" t="str">
        <f>IFERROR(__xludf.DUMMYFUNCTION("""COMPUTED_VALUE"""),"Lê Thị Tú")</f>
        <v>Lê Thị Tú</v>
      </c>
      <c r="I13" s="22" t="str">
        <f>IFERROR(__xludf.DUMMYFUNCTION("""COMPUTED_VALUE"""),"Nữ")</f>
        <v>Nữ</v>
      </c>
      <c r="J13" s="24">
        <f>IFERROR(__xludf.DUMMYFUNCTION("""COMPUTED_VALUE"""),31764.0)</f>
        <v>31764</v>
      </c>
      <c r="K13" s="22" t="str">
        <f>IFERROR(__xludf.DUMMYFUNCTION("""COMPUTED_VALUE"""),"25/18 Cao Điển - Phường Hạc Thành - Tỉnh Thanh Hóa")</f>
        <v>25/18 Cao Điển - Phường Hạc Thành - Tỉnh Thanh Hóa</v>
      </c>
      <c r="L13" s="22" t="str">
        <f>IFERROR(__xludf.DUMMYFUNCTION("""COMPUTED_VALUE"""),"0977024506")</f>
        <v>0977024506</v>
      </c>
      <c r="M13" s="22" t="str">
        <f>IFERROR(__xludf.DUMMYFUNCTION("""COMPUTED_VALUE"""),"038186016247")</f>
        <v>038186016247</v>
      </c>
      <c r="N13" s="25">
        <f>IFERROR(__xludf.DUMMYFUNCTION("""COMPUTED_VALUE"""),43642.0)</f>
        <v>43642</v>
      </c>
      <c r="O13" s="22" t="str">
        <f>IFERROR(__xludf.DUMMYFUNCTION("""COMPUTED_VALUE"""),"Cục Cảnh sát QLHC về TTXH")</f>
        <v>Cục Cảnh sát QLHC về TTXH</v>
      </c>
      <c r="P13" s="22" t="str">
        <f>IFERROR(__xludf.DUMMYFUNCTION("""COMPUTED_VALUE"""),"Đại học")</f>
        <v>Đại học</v>
      </c>
      <c r="Q13" s="22" t="str">
        <f>IFERROR(__xludf.DUMMYFUNCTION("""COMPUTED_VALUE"""),"Kế toán")</f>
        <v>Kế toán</v>
      </c>
      <c r="R13" s="24">
        <f>IFERROR(__xludf.DUMMYFUNCTION("""COMPUTED_VALUE"""),40003.0)</f>
        <v>40003</v>
      </c>
      <c r="S13" s="26">
        <f>IFERROR(__xludf.DUMMYFUNCTION("""COMPUTED_VALUE"""),40003.0)</f>
        <v>40003</v>
      </c>
      <c r="T13" s="22" t="str">
        <f>IFERROR(__xludf.DUMMYFUNCTION("""COMPUTED_VALUE"""),"Chính thức")</f>
        <v>Chính thức</v>
      </c>
      <c r="U13" s="22"/>
      <c r="V13" s="22" t="str">
        <f>IFERROR(__xludf.DUMMYFUNCTION("""COMPUTED_VALUE"""),"Chính thức")</f>
        <v>Chính thức</v>
      </c>
      <c r="W13" s="22" t="str">
        <f>IFERROR(__xludf.DUMMYFUNCTION("""COMPUTED_VALUE"""),"16 năm 5 tháng")</f>
        <v>16 năm 5 tháng</v>
      </c>
      <c r="X13" s="22"/>
      <c r="Y13" s="22"/>
      <c r="Z13" s="22"/>
    </row>
    <row r="14">
      <c r="A14" s="22" t="str">
        <f>IFERROR(__xludf.DUMMYFUNCTION("""COMPUTED_VALUE"""),"IV")</f>
        <v>IV</v>
      </c>
      <c r="B14" s="22" t="str">
        <f>IFERROR(__xludf.DUMMYFUNCTION("""COMPUTED_VALUE"""),"Phòng Tổ chức - Hành chính")</f>
        <v>Phòng Tổ chức - Hành chính</v>
      </c>
      <c r="C14" s="22">
        <f>IFERROR(__xludf.DUMMYFUNCTION("""COMPUTED_VALUE"""),54.0)</f>
        <v>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 t="str">
        <f>IFERROR(__xludf.DUMMYFUNCTION("""COMPUTED_VALUE"""),"a.")</f>
        <v>a.</v>
      </c>
      <c r="B15" s="22" t="str">
        <f>IFERROR(__xludf.DUMMYFUNCTION("""COMPUTED_VALUE"""),"Bộ phận nghiệp vụ")</f>
        <v>Bộ phận nghiệp vụ</v>
      </c>
      <c r="C15" s="22">
        <f>IFERROR(__xludf.DUMMYFUNCTION("""COMPUTED_VALUE"""),8.0)</f>
        <v>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>
        <f>IFERROR(__xludf.DUMMYFUNCTION("""COMPUTED_VALUE"""),1.0)</f>
        <v>1</v>
      </c>
      <c r="B16" s="22" t="str">
        <f>IFERROR(__xludf.DUMMYFUNCTION("""COMPUTED_VALUE"""),"Văn phòng")</f>
        <v>Văn phòng</v>
      </c>
      <c r="C16" s="22" t="str">
        <f>IFERROR(__xludf.DUMMYFUNCTION("""COMPUTED_VALUE"""),"Phòng Tổ chức - Hành chính")</f>
        <v>Phòng Tổ chức - Hành chính</v>
      </c>
      <c r="D16" s="22" t="str">
        <f>IFERROR(__xludf.DUMMYFUNCTION("""COMPUTED_VALUE"""),"Bộ phận nghiệp vụ")</f>
        <v>Bộ phận nghiệp vụ</v>
      </c>
      <c r="E16" s="22" t="str">
        <f>IFERROR(__xludf.DUMMYFUNCTION("""COMPUTED_VALUE"""),"Phó tổng giám đốc phụ trách")</f>
        <v>Phó tổng giám đốc phụ trách</v>
      </c>
      <c r="F16" s="22" t="str">
        <f>IFERROR(__xludf.DUMMYFUNCTION("""COMPUTED_VALUE"""),"NV0093")</f>
        <v>NV0093</v>
      </c>
      <c r="G16" s="22"/>
      <c r="H16" s="22" t="str">
        <f>IFERROR(__xludf.DUMMYFUNCTION("""COMPUTED_VALUE"""),"Lê Quang Trung")</f>
        <v>Lê Quang Trung</v>
      </c>
      <c r="I16" s="22" t="str">
        <f>IFERROR(__xludf.DUMMYFUNCTION("""COMPUTED_VALUE"""),"Nam")</f>
        <v>Nam</v>
      </c>
      <c r="J16" s="24">
        <f>IFERROR(__xludf.DUMMYFUNCTION("""COMPUTED_VALUE"""),28588.0)</f>
        <v>28588</v>
      </c>
      <c r="K16" s="22" t="str">
        <f>IFERROR(__xludf.DUMMYFUNCTION("""COMPUTED_VALUE"""),"Lô G35, Khu I, khu đô thị Bình Minh - Phường Hạc Thành - Tỉnh Thanh Hóa")</f>
        <v>Lô G35, Khu I, khu đô thị Bình Minh - Phường Hạc Thành - Tỉnh Thanh Hóa</v>
      </c>
      <c r="L16" s="22" t="str">
        <f>IFERROR(__xludf.DUMMYFUNCTION("""COMPUTED_VALUE"""),"0912162888")</f>
        <v>0912162888</v>
      </c>
      <c r="M16" s="22" t="str">
        <f>IFERROR(__xludf.DUMMYFUNCTION("""COMPUTED_VALUE"""),"025078011871")</f>
        <v>025078011871</v>
      </c>
      <c r="N16" s="25">
        <f>IFERROR(__xludf.DUMMYFUNCTION("""COMPUTED_VALUE"""),44375.0)</f>
        <v>44375</v>
      </c>
      <c r="O16" s="22" t="str">
        <f>IFERROR(__xludf.DUMMYFUNCTION("""COMPUTED_VALUE"""),"Cục Cảnh sát QLHC về TTXH")</f>
        <v>Cục Cảnh sát QLHC về TTXH</v>
      </c>
      <c r="P16" s="22" t="str">
        <f>IFERROR(__xludf.DUMMYFUNCTION("""COMPUTED_VALUE"""),"Đại học")</f>
        <v>Đại học</v>
      </c>
      <c r="Q16" s="22" t="str">
        <f>IFERROR(__xludf.DUMMYFUNCTION("""COMPUTED_VALUE"""),"KS - Xây dựng")</f>
        <v>KS - Xây dựng</v>
      </c>
      <c r="R16" s="24">
        <f>IFERROR(__xludf.DUMMYFUNCTION("""COMPUTED_VALUE"""),37366.0)</f>
        <v>37366</v>
      </c>
      <c r="S16" s="26">
        <f>IFERROR(__xludf.DUMMYFUNCTION("""COMPUTED_VALUE"""),37366.0)</f>
        <v>37366</v>
      </c>
      <c r="T16" s="22" t="str">
        <f>IFERROR(__xludf.DUMMYFUNCTION("""COMPUTED_VALUE"""),"Chính thức")</f>
        <v>Chính thức</v>
      </c>
      <c r="U16" s="22"/>
      <c r="V16" s="22" t="str">
        <f>IFERROR(__xludf.DUMMYFUNCTION("""COMPUTED_VALUE"""),"Chính thức")</f>
        <v>Chính thức</v>
      </c>
      <c r="W16" s="22" t="str">
        <f>IFERROR(__xludf.DUMMYFUNCTION("""COMPUTED_VALUE"""),"23 năm 8 tháng")</f>
        <v>23 năm 8 tháng</v>
      </c>
      <c r="X16" s="22"/>
      <c r="Y16" s="22"/>
      <c r="Z16" s="22"/>
    </row>
    <row r="17">
      <c r="A17" s="22">
        <f>IFERROR(__xludf.DUMMYFUNCTION("""COMPUTED_VALUE"""),2.0)</f>
        <v>2</v>
      </c>
      <c r="B17" s="22" t="str">
        <f>IFERROR(__xludf.DUMMYFUNCTION("""COMPUTED_VALUE"""),"Văn phòng")</f>
        <v>Văn phòng</v>
      </c>
      <c r="C17" s="22" t="str">
        <f>IFERROR(__xludf.DUMMYFUNCTION("""COMPUTED_VALUE"""),"Phòng Tổ chức - Hành chính")</f>
        <v>Phòng Tổ chức - Hành chính</v>
      </c>
      <c r="D17" s="22" t="str">
        <f>IFERROR(__xludf.DUMMYFUNCTION("""COMPUTED_VALUE"""),"Bộ phận nghiệp vụ")</f>
        <v>Bộ phận nghiệp vụ</v>
      </c>
      <c r="E17" s="22" t="str">
        <f>IFERROR(__xludf.DUMMYFUNCTION("""COMPUTED_VALUE"""),"Chuyên viên")</f>
        <v>Chuyên viên</v>
      </c>
      <c r="F17" s="22" t="str">
        <f>IFERROR(__xludf.DUMMYFUNCTION("""COMPUTED_VALUE"""),"NV0095")</f>
        <v>NV0095</v>
      </c>
      <c r="G17" s="22">
        <f>IFERROR(__xludf.DUMMYFUNCTION("""COMPUTED_VALUE"""),56.0)</f>
        <v>56</v>
      </c>
      <c r="H17" s="22" t="str">
        <f>IFERROR(__xludf.DUMMYFUNCTION("""COMPUTED_VALUE"""),"Vũ Nguyên Hồng")</f>
        <v>Vũ Nguyên Hồng</v>
      </c>
      <c r="I17" s="22" t="str">
        <f>IFERROR(__xludf.DUMMYFUNCTION("""COMPUTED_VALUE"""),"Nam")</f>
        <v>Nam</v>
      </c>
      <c r="J17" s="24">
        <f>IFERROR(__xludf.DUMMYFUNCTION("""COMPUTED_VALUE"""),27229.0)</f>
        <v>27229</v>
      </c>
      <c r="K17" s="22" t="str">
        <f>IFERROR(__xludf.DUMMYFUNCTION("""COMPUTED_VALUE"""),"15 Yết Kiêu - Đông Sơn - Thành Phố Thanh Hóa")</f>
        <v>15 Yết Kiêu - Đông Sơn - Thành Phố Thanh Hóa</v>
      </c>
      <c r="L17" s="22" t="str">
        <f>IFERROR(__xludf.DUMMYFUNCTION("""COMPUTED_VALUE"""),"0917785913")</f>
        <v>0917785913</v>
      </c>
      <c r="M17" s="22" t="str">
        <f>IFERROR(__xludf.DUMMYFUNCTION("""COMPUTED_VALUE"""),"010074000108")</f>
        <v>010074000108</v>
      </c>
      <c r="N17" s="25">
        <f>IFERROR(__xludf.DUMMYFUNCTION("""COMPUTED_VALUE"""),44427.0)</f>
        <v>44427</v>
      </c>
      <c r="O17" s="22" t="str">
        <f>IFERROR(__xludf.DUMMYFUNCTION("""COMPUTED_VALUE"""),"Cục Cảnh sát QLHC về TTXH")</f>
        <v>Cục Cảnh sát QLHC về TTXH</v>
      </c>
      <c r="P17" s="22" t="str">
        <f>IFERROR(__xludf.DUMMYFUNCTION("""COMPUTED_VALUE"""),"Đại học")</f>
        <v>Đại học</v>
      </c>
      <c r="Q17" s="22" t="str">
        <f>IFERROR(__xludf.DUMMYFUNCTION("""COMPUTED_VALUE"""),"Cử nhân kinh tế")</f>
        <v>Cử nhân kinh tế</v>
      </c>
      <c r="R17" s="24">
        <f>IFERROR(__xludf.DUMMYFUNCTION("""COMPUTED_VALUE"""),36514.0)</f>
        <v>36514</v>
      </c>
      <c r="S17" s="26">
        <f>IFERROR(__xludf.DUMMYFUNCTION("""COMPUTED_VALUE"""),36514.0)</f>
        <v>36514</v>
      </c>
      <c r="T17" s="22" t="str">
        <f>IFERROR(__xludf.DUMMYFUNCTION("""COMPUTED_VALUE"""),"Chính thức")</f>
        <v>Chính thức</v>
      </c>
      <c r="U17" s="22"/>
      <c r="V17" s="22" t="str">
        <f>IFERROR(__xludf.DUMMYFUNCTION("""COMPUTED_VALUE"""),"Chính thức")</f>
        <v>Chính thức</v>
      </c>
      <c r="W17" s="22" t="str">
        <f>IFERROR(__xludf.DUMMYFUNCTION("""COMPUTED_VALUE"""),"26 năm 0 tháng")</f>
        <v>26 năm 0 tháng</v>
      </c>
      <c r="X17" s="22"/>
      <c r="Y17" s="22"/>
      <c r="Z17" s="22"/>
    </row>
    <row r="18">
      <c r="A18" s="22">
        <f>IFERROR(__xludf.DUMMYFUNCTION("""COMPUTED_VALUE"""),3.0)</f>
        <v>3</v>
      </c>
      <c r="B18" s="22" t="str">
        <f>IFERROR(__xludf.DUMMYFUNCTION("""COMPUTED_VALUE"""),"Văn phòng")</f>
        <v>Văn phòng</v>
      </c>
      <c r="C18" s="22" t="str">
        <f>IFERROR(__xludf.DUMMYFUNCTION("""COMPUTED_VALUE"""),"Phòng Tổ chức - Hành chính")</f>
        <v>Phòng Tổ chức - Hành chính</v>
      </c>
      <c r="D18" s="22" t="str">
        <f>IFERROR(__xludf.DUMMYFUNCTION("""COMPUTED_VALUE"""),"Bộ phận nghiệp vụ")</f>
        <v>Bộ phận nghiệp vụ</v>
      </c>
      <c r="E18" s="22" t="str">
        <f>IFERROR(__xludf.DUMMYFUNCTION("""COMPUTED_VALUE"""),"Chuyên viên")</f>
        <v>Chuyên viên</v>
      </c>
      <c r="F18" s="22" t="str">
        <f>IFERROR(__xludf.DUMMYFUNCTION("""COMPUTED_VALUE"""),"NV3899")</f>
        <v>NV3899</v>
      </c>
      <c r="G18" s="22">
        <f>IFERROR(__xludf.DUMMYFUNCTION("""COMPUTED_VALUE"""),30.0)</f>
        <v>30</v>
      </c>
      <c r="H18" s="22" t="str">
        <f>IFERROR(__xludf.DUMMYFUNCTION("""COMPUTED_VALUE"""),"Vũ Hải Minh")</f>
        <v>Vũ Hải Minh</v>
      </c>
      <c r="I18" s="22" t="str">
        <f>IFERROR(__xludf.DUMMYFUNCTION("""COMPUTED_VALUE"""),"Nam")</f>
        <v>Nam</v>
      </c>
      <c r="J18" s="24">
        <f>IFERROR(__xludf.DUMMYFUNCTION("""COMPUTED_VALUE"""),36401.0)</f>
        <v>36401</v>
      </c>
      <c r="K18" s="22" t="str">
        <f>IFERROR(__xludf.DUMMYFUNCTION("""COMPUTED_VALUE"""),"SN264 Lý Nhân Tông - Đông Thọ - Thành Phố Thanh Hóa")</f>
        <v>SN264 Lý Nhân Tông - Đông Thọ - Thành Phố Thanh Hóa</v>
      </c>
      <c r="L18" s="22" t="str">
        <f>IFERROR(__xludf.DUMMYFUNCTION("""COMPUTED_VALUE"""),"0911316183")</f>
        <v>0911316183</v>
      </c>
      <c r="M18" s="22" t="str">
        <f>IFERROR(__xludf.DUMMYFUNCTION("""COMPUTED_VALUE"""),"038099026456")</f>
        <v>038099026456</v>
      </c>
      <c r="N18" s="25">
        <f>IFERROR(__xludf.DUMMYFUNCTION("""COMPUTED_VALUE"""),45583.0)</f>
        <v>45583</v>
      </c>
      <c r="O18" s="22" t="str">
        <f>IFERROR(__xludf.DUMMYFUNCTION("""COMPUTED_VALUE"""),"Bộ Công An")</f>
        <v>Bộ Công An</v>
      </c>
      <c r="P18" s="22" t="str">
        <f>IFERROR(__xludf.DUMMYFUNCTION("""COMPUTED_VALUE"""),"Thạc sĩ")</f>
        <v>Thạc sĩ</v>
      </c>
      <c r="Q18" s="22" t="str">
        <f>IFERROR(__xludf.DUMMYFUNCTION("""COMPUTED_VALUE"""),"Tài chính ngân hàng")</f>
        <v>Tài chính ngân hàng</v>
      </c>
      <c r="R18" s="24">
        <f>IFERROR(__xludf.DUMMYFUNCTION("""COMPUTED_VALUE"""),44504.0)</f>
        <v>44504</v>
      </c>
      <c r="S18" s="26">
        <f>IFERROR(__xludf.DUMMYFUNCTION("""COMPUTED_VALUE"""),44504.0)</f>
        <v>44504</v>
      </c>
      <c r="T18" s="22" t="str">
        <f>IFERROR(__xludf.DUMMYFUNCTION("""COMPUTED_VALUE"""),"Chính thức")</f>
        <v>Chính thức</v>
      </c>
      <c r="U18" s="22"/>
      <c r="V18" s="22" t="str">
        <f>IFERROR(__xludf.DUMMYFUNCTION("""COMPUTED_VALUE"""),"Chính thức")</f>
        <v>Chính thức</v>
      </c>
      <c r="W18" s="22" t="str">
        <f>IFERROR(__xludf.DUMMYFUNCTION("""COMPUTED_VALUE"""),"4 năm 1 tháng")</f>
        <v>4 năm 1 tháng</v>
      </c>
      <c r="X18" s="22"/>
      <c r="Y18" s="22"/>
      <c r="Z18" s="22"/>
    </row>
    <row r="19">
      <c r="A19" s="22">
        <f>IFERROR(__xludf.DUMMYFUNCTION("""COMPUTED_VALUE"""),4.0)</f>
        <v>4</v>
      </c>
      <c r="B19" s="22" t="str">
        <f>IFERROR(__xludf.DUMMYFUNCTION("""COMPUTED_VALUE"""),"Văn phòng")</f>
        <v>Văn phòng</v>
      </c>
      <c r="C19" s="22" t="str">
        <f>IFERROR(__xludf.DUMMYFUNCTION("""COMPUTED_VALUE"""),"Phòng Tổ chức - Hành chính")</f>
        <v>Phòng Tổ chức - Hành chính</v>
      </c>
      <c r="D19" s="22" t="str">
        <f>IFERROR(__xludf.DUMMYFUNCTION("""COMPUTED_VALUE"""),"Bộ phận nghiệp vụ")</f>
        <v>Bộ phận nghiệp vụ</v>
      </c>
      <c r="E19" s="22" t="str">
        <f>IFERROR(__xludf.DUMMYFUNCTION("""COMPUTED_VALUE"""),"Phó phòng ")</f>
        <v>Phó phòng </v>
      </c>
      <c r="F19" s="22" t="str">
        <f>IFERROR(__xludf.DUMMYFUNCTION("""COMPUTED_VALUE"""),"NV0004")</f>
        <v>NV0004</v>
      </c>
      <c r="G19" s="22">
        <f>IFERROR(__xludf.DUMMYFUNCTION("""COMPUTED_VALUE"""),4.0)</f>
        <v>4</v>
      </c>
      <c r="H19" s="22" t="str">
        <f>IFERROR(__xludf.DUMMYFUNCTION("""COMPUTED_VALUE"""),"Lê Xuân Thành")</f>
        <v>Lê Xuân Thành</v>
      </c>
      <c r="I19" s="22" t="str">
        <f>IFERROR(__xludf.DUMMYFUNCTION("""COMPUTED_VALUE"""),"Nam")</f>
        <v>Nam</v>
      </c>
      <c r="J19" s="24">
        <f>IFERROR(__xludf.DUMMYFUNCTION("""COMPUTED_VALUE"""),33472.0)</f>
        <v>33472</v>
      </c>
      <c r="K19" s="22" t="str">
        <f>IFERROR(__xludf.DUMMYFUNCTION("""COMPUTED_VALUE"""),"Thôn 8 - Phường Quảng Phú - Tỉnh Thanh Hóa")</f>
        <v>Thôn 8 - Phường Quảng Phú - Tỉnh Thanh Hóa</v>
      </c>
      <c r="L19" s="22" t="str">
        <f>IFERROR(__xludf.DUMMYFUNCTION("""COMPUTED_VALUE"""),"0932345799")</f>
        <v>0932345799</v>
      </c>
      <c r="M19" s="22" t="str">
        <f>IFERROR(__xludf.DUMMYFUNCTION("""COMPUTED_VALUE"""),"038091005867")</f>
        <v>038091005867</v>
      </c>
      <c r="N19" s="25">
        <f>IFERROR(__xludf.DUMMYFUNCTION("""COMPUTED_VALUE"""),45117.0)</f>
        <v>45117</v>
      </c>
      <c r="O19" s="22" t="str">
        <f>IFERROR(__xludf.DUMMYFUNCTION("""COMPUTED_VALUE"""),"Cục Cảnh sát QLHC về TTXH")</f>
        <v>Cục Cảnh sát QLHC về TTXH</v>
      </c>
      <c r="P19" s="22" t="str">
        <f>IFERROR(__xludf.DUMMYFUNCTION("""COMPUTED_VALUE"""),"Đại học")</f>
        <v>Đại học</v>
      </c>
      <c r="Q19" s="22" t="str">
        <f>IFERROR(__xludf.DUMMYFUNCTION("""COMPUTED_VALUE"""),"Điện tử - viễn thông")</f>
        <v>Điện tử - viễn thông</v>
      </c>
      <c r="R19" s="24">
        <f>IFERROR(__xludf.DUMMYFUNCTION("""COMPUTED_VALUE"""),41943.0)</f>
        <v>41943</v>
      </c>
      <c r="S19" s="26">
        <f>IFERROR(__xludf.DUMMYFUNCTION("""COMPUTED_VALUE"""),41943.0)</f>
        <v>41943</v>
      </c>
      <c r="T19" s="22" t="str">
        <f>IFERROR(__xludf.DUMMYFUNCTION("""COMPUTED_VALUE"""),"Chính thức")</f>
        <v>Chính thức</v>
      </c>
      <c r="U19" s="22"/>
      <c r="V19" s="22" t="str">
        <f>IFERROR(__xludf.DUMMYFUNCTION("""COMPUTED_VALUE"""),"Chính thức")</f>
        <v>Chính thức</v>
      </c>
      <c r="W19" s="22" t="str">
        <f>IFERROR(__xludf.DUMMYFUNCTION("""COMPUTED_VALUE"""),"11 năm 2 tháng")</f>
        <v>11 năm 2 tháng</v>
      </c>
      <c r="X19" s="22"/>
      <c r="Y19" s="22"/>
      <c r="Z19" s="22"/>
    </row>
    <row r="20">
      <c r="A20" s="22">
        <f>IFERROR(__xludf.DUMMYFUNCTION("""COMPUTED_VALUE"""),5.0)</f>
        <v>5</v>
      </c>
      <c r="B20" s="22" t="str">
        <f>IFERROR(__xludf.DUMMYFUNCTION("""COMPUTED_VALUE"""),"Văn phòng")</f>
        <v>Văn phòng</v>
      </c>
      <c r="C20" s="22" t="str">
        <f>IFERROR(__xludf.DUMMYFUNCTION("""COMPUTED_VALUE"""),"Phòng Tổ chức - Hành chính")</f>
        <v>Phòng Tổ chức - Hành chính</v>
      </c>
      <c r="D20" s="22" t="str">
        <f>IFERROR(__xludf.DUMMYFUNCTION("""COMPUTED_VALUE"""),"Bộ phận nghiệp vụ")</f>
        <v>Bộ phận nghiệp vụ</v>
      </c>
      <c r="E20" s="22" t="str">
        <f>IFERROR(__xludf.DUMMYFUNCTION("""COMPUTED_VALUE"""),"Chuyên viên")</f>
        <v>Chuyên viên</v>
      </c>
      <c r="F20" s="22" t="str">
        <f>IFERROR(__xludf.DUMMYFUNCTION("""COMPUTED_VALUE"""),"NV0706")</f>
        <v>NV0706</v>
      </c>
      <c r="G20" s="22">
        <f>IFERROR(__xludf.DUMMYFUNCTION("""COMPUTED_VALUE"""),16.0)</f>
        <v>16</v>
      </c>
      <c r="H20" s="22" t="str">
        <f>IFERROR(__xludf.DUMMYFUNCTION("""COMPUTED_VALUE"""),"Phạm Văn Lực")</f>
        <v>Phạm Văn Lực</v>
      </c>
      <c r="I20" s="22" t="str">
        <f>IFERROR(__xludf.DUMMYFUNCTION("""COMPUTED_VALUE"""),"Nam")</f>
        <v>Nam</v>
      </c>
      <c r="J20" s="24">
        <f>IFERROR(__xludf.DUMMYFUNCTION("""COMPUTED_VALUE"""),32918.0)</f>
        <v>32918</v>
      </c>
      <c r="K20" s="22" t="str">
        <f>IFERROR(__xludf.DUMMYFUNCTION("""COMPUTED_VALUE"""),"Thôn 9 - Quảng Định - Quảng Xương - TH")</f>
        <v>Thôn 9 - Quảng Định - Quảng Xương - TH</v>
      </c>
      <c r="L20" s="22" t="str">
        <f>IFERROR(__xludf.DUMMYFUNCTION("""COMPUTED_VALUE"""),"0978732037")</f>
        <v>0978732037</v>
      </c>
      <c r="M20" s="22" t="str">
        <f>IFERROR(__xludf.DUMMYFUNCTION("""COMPUTED_VALUE"""),"038090057534")</f>
        <v>038090057534</v>
      </c>
      <c r="N20" s="25">
        <f>IFERROR(__xludf.DUMMYFUNCTION("""COMPUTED_VALUE"""),44375.0)</f>
        <v>44375</v>
      </c>
      <c r="O20" s="22" t="str">
        <f>IFERROR(__xludf.DUMMYFUNCTION("""COMPUTED_VALUE"""),"Cục Cảnh sát QLHC về TTXH")</f>
        <v>Cục Cảnh sát QLHC về TTXH</v>
      </c>
      <c r="P20" s="22" t="str">
        <f>IFERROR(__xludf.DUMMYFUNCTION("""COMPUTED_VALUE"""),"LĐPT")</f>
        <v>LĐPT</v>
      </c>
      <c r="Q20" s="22" t="str">
        <f>IFERROR(__xludf.DUMMYFUNCTION("""COMPUTED_VALUE"""),"Lao động phổ thông")</f>
        <v>Lao động phổ thông</v>
      </c>
      <c r="R20" s="24">
        <f>IFERROR(__xludf.DUMMYFUNCTION("""COMPUTED_VALUE"""),41240.0)</f>
        <v>41240</v>
      </c>
      <c r="S20" s="26">
        <f>IFERROR(__xludf.DUMMYFUNCTION("""COMPUTED_VALUE"""),41240.0)</f>
        <v>41240</v>
      </c>
      <c r="T20" s="22" t="str">
        <f>IFERROR(__xludf.DUMMYFUNCTION("""COMPUTED_VALUE"""),"Chính thức")</f>
        <v>Chính thức</v>
      </c>
      <c r="U20" s="22"/>
      <c r="V20" s="22" t="str">
        <f>IFERROR(__xludf.DUMMYFUNCTION("""COMPUTED_VALUE"""),"Chính thức")</f>
        <v>Chính thức</v>
      </c>
      <c r="W20" s="22" t="str">
        <f>IFERROR(__xludf.DUMMYFUNCTION("""COMPUTED_VALUE"""),"13 năm 1 tháng")</f>
        <v>13 năm 1 tháng</v>
      </c>
      <c r="X20" s="22"/>
      <c r="Y20" s="22"/>
      <c r="Z20" s="22"/>
    </row>
    <row r="21">
      <c r="A21" s="22">
        <f>IFERROR(__xludf.DUMMYFUNCTION("""COMPUTED_VALUE"""),6.0)</f>
        <v>6</v>
      </c>
      <c r="B21" s="22" t="str">
        <f>IFERROR(__xludf.DUMMYFUNCTION("""COMPUTED_VALUE"""),"Văn phòng")</f>
        <v>Văn phòng</v>
      </c>
      <c r="C21" s="22" t="str">
        <f>IFERROR(__xludf.DUMMYFUNCTION("""COMPUTED_VALUE"""),"Phòng Tổ chức - Hành chính")</f>
        <v>Phòng Tổ chức - Hành chính</v>
      </c>
      <c r="D21" s="22" t="str">
        <f>IFERROR(__xludf.DUMMYFUNCTION("""COMPUTED_VALUE"""),"Bộ phận nghiệp vụ")</f>
        <v>Bộ phận nghiệp vụ</v>
      </c>
      <c r="E21" s="22" t="str">
        <f>IFERROR(__xludf.DUMMYFUNCTION("""COMPUTED_VALUE"""),"Phó phòng ")</f>
        <v>Phó phòng </v>
      </c>
      <c r="F21" s="22" t="str">
        <f>IFERROR(__xludf.DUMMYFUNCTION("""COMPUTED_VALUE"""),"NV3250")</f>
        <v>NV3250</v>
      </c>
      <c r="G21" s="22">
        <f>IFERROR(__xludf.DUMMYFUNCTION("""COMPUTED_VALUE"""),834.0)</f>
        <v>834</v>
      </c>
      <c r="H21" s="22" t="str">
        <f>IFERROR(__xludf.DUMMYFUNCTION("""COMPUTED_VALUE"""),"Đỗ Ngọc Toàn")</f>
        <v>Đỗ Ngọc Toàn</v>
      </c>
      <c r="I21" s="22" t="str">
        <f>IFERROR(__xludf.DUMMYFUNCTION("""COMPUTED_VALUE"""),"Nam")</f>
        <v>Nam</v>
      </c>
      <c r="J21" s="24">
        <f>IFERROR(__xludf.DUMMYFUNCTION("""COMPUTED_VALUE"""),23367.0)</f>
        <v>23367</v>
      </c>
      <c r="K21" s="22" t="str">
        <f>IFERROR(__xludf.DUMMYFUNCTION("""COMPUTED_VALUE"""),"54B Đường Trấn Xuân Soạn - Phường Hạc Thành - Tỉnh Thanh Hóa")</f>
        <v>54B Đường Trấn Xuân Soạn - Phường Hạc Thành - Tỉnh Thanh Hóa</v>
      </c>
      <c r="L21" s="22" t="str">
        <f>IFERROR(__xludf.DUMMYFUNCTION("""COMPUTED_VALUE"""),"0963712678")</f>
        <v>0963712678</v>
      </c>
      <c r="M21" s="22" t="str">
        <f>IFERROR(__xludf.DUMMYFUNCTION("""COMPUTED_VALUE"""),"038064006605")</f>
        <v>038064006605</v>
      </c>
      <c r="N21" s="25">
        <f>IFERROR(__xludf.DUMMYFUNCTION("""COMPUTED_VALUE"""),43370.0)</f>
        <v>43370</v>
      </c>
      <c r="O21" s="22" t="str">
        <f>IFERROR(__xludf.DUMMYFUNCTION("""COMPUTED_VALUE"""),"Cục Cảnh sát QLHC về TTXH")</f>
        <v>Cục Cảnh sát QLHC về TTXH</v>
      </c>
      <c r="P21" s="22" t="str">
        <f>IFERROR(__xludf.DUMMYFUNCTION("""COMPUTED_VALUE"""),"Đại học")</f>
        <v>Đại học</v>
      </c>
      <c r="Q21" s="22" t="str">
        <f>IFERROR(__xludf.DUMMYFUNCTION("""COMPUTED_VALUE"""),"Kỹ sư nông học")</f>
        <v>Kỹ sư nông học</v>
      </c>
      <c r="R21" s="24">
        <f>IFERROR(__xludf.DUMMYFUNCTION("""COMPUTED_VALUE"""),44092.0)</f>
        <v>44092</v>
      </c>
      <c r="S21" s="22"/>
      <c r="T21" s="22" t="str">
        <f>IFERROR(__xludf.DUMMYFUNCTION("""COMPUTED_VALUE"""),"Chính thức")</f>
        <v>Chính thức</v>
      </c>
      <c r="U21" s="22"/>
      <c r="V21" s="22" t="str">
        <f>IFERROR(__xludf.DUMMYFUNCTION("""COMPUTED_VALUE"""),"Chính thức")</f>
        <v>Chính thức</v>
      </c>
      <c r="W21" s="22" t="str">
        <f>IFERROR(__xludf.DUMMYFUNCTION("""COMPUTED_VALUE"""),"5 năm 3 tháng")</f>
        <v>5 năm 3 tháng</v>
      </c>
      <c r="X21" s="22"/>
      <c r="Y21" s="22"/>
      <c r="Z21" s="22"/>
    </row>
    <row r="22">
      <c r="A22" s="22">
        <f>IFERROR(__xludf.DUMMYFUNCTION("""COMPUTED_VALUE"""),7.0)</f>
        <v>7</v>
      </c>
      <c r="B22" s="22" t="str">
        <f>IFERROR(__xludf.DUMMYFUNCTION("""COMPUTED_VALUE"""),"Văn phòng")</f>
        <v>Văn phòng</v>
      </c>
      <c r="C22" s="22" t="str">
        <f>IFERROR(__xludf.DUMMYFUNCTION("""COMPUTED_VALUE"""),"Phòng Tổ chức - Hành chính")</f>
        <v>Phòng Tổ chức - Hành chính</v>
      </c>
      <c r="D22" s="22" t="str">
        <f>IFERROR(__xludf.DUMMYFUNCTION("""COMPUTED_VALUE"""),"Bộ phận nghiệp vụ")</f>
        <v>Bộ phận nghiệp vụ</v>
      </c>
      <c r="E22" s="22" t="str">
        <f>IFERROR(__xludf.DUMMYFUNCTION("""COMPUTED_VALUE"""),"Nhân viên")</f>
        <v>Nhân viên</v>
      </c>
      <c r="F22" s="22" t="str">
        <f>IFERROR(__xludf.DUMMYFUNCTION("""COMPUTED_VALUE"""),"NV5361")</f>
        <v>NV5361</v>
      </c>
      <c r="G22" s="22">
        <f>IFERROR(__xludf.DUMMYFUNCTION("""COMPUTED_VALUE"""),809.0)</f>
        <v>809</v>
      </c>
      <c r="H22" s="22" t="str">
        <f>IFERROR(__xludf.DUMMYFUNCTION("""COMPUTED_VALUE"""),"Lê Thị Diễm")</f>
        <v>Lê Thị Diễm</v>
      </c>
      <c r="I22" s="22" t="str">
        <f>IFERROR(__xludf.DUMMYFUNCTION("""COMPUTED_VALUE"""),"Nữ")</f>
        <v>Nữ</v>
      </c>
      <c r="J22" s="24">
        <f>IFERROR(__xludf.DUMMYFUNCTION("""COMPUTED_VALUE"""),36780.0)</f>
        <v>36780</v>
      </c>
      <c r="K22" s="22" t="str">
        <f>IFERROR(__xludf.DUMMYFUNCTION("""COMPUTED_VALUE"""),"Thôn 8 - Phường Quảng Phú - Tỉnh Thanh Hóa")</f>
        <v>Thôn 8 - Phường Quảng Phú - Tỉnh Thanh Hóa</v>
      </c>
      <c r="L22" s="22" t="str">
        <f>IFERROR(__xludf.DUMMYFUNCTION("""COMPUTED_VALUE"""),"0378751149")</f>
        <v>0378751149</v>
      </c>
      <c r="M22" s="22" t="str">
        <f>IFERROR(__xludf.DUMMYFUNCTION("""COMPUTED_VALUE"""),"038300010002")</f>
        <v>038300010002</v>
      </c>
      <c r="N22" s="25">
        <f>IFERROR(__xludf.DUMMYFUNCTION("""COMPUTED_VALUE"""),45614.0)</f>
        <v>45614</v>
      </c>
      <c r="O22" s="22" t="str">
        <f>IFERROR(__xludf.DUMMYFUNCTION("""COMPUTED_VALUE"""),"Bộ Công An")</f>
        <v>Bộ Công An</v>
      </c>
      <c r="P22" s="22" t="str">
        <f>IFERROR(__xludf.DUMMYFUNCTION("""COMPUTED_VALUE"""),"Cử nhân")</f>
        <v>Cử nhân</v>
      </c>
      <c r="Q22" s="22" t="str">
        <f>IFERROR(__xludf.DUMMYFUNCTION("""COMPUTED_VALUE"""),"Quan hệ lao động")</f>
        <v>Quan hệ lao động</v>
      </c>
      <c r="R22" s="24">
        <f>IFERROR(__xludf.DUMMYFUNCTION("""COMPUTED_VALUE"""),45749.0)</f>
        <v>45749</v>
      </c>
      <c r="S22" s="26">
        <f>IFERROR(__xludf.DUMMYFUNCTION("""COMPUTED_VALUE"""),45749.0)</f>
        <v>45749</v>
      </c>
      <c r="T22" s="22" t="str">
        <f>IFERROR(__xludf.DUMMYFUNCTION("""COMPUTED_VALUE"""),"Chính thức")</f>
        <v>Chính thức</v>
      </c>
      <c r="U22" s="22"/>
      <c r="V22" s="22" t="str">
        <f>IFERROR(__xludf.DUMMYFUNCTION("""COMPUTED_VALUE"""),"Chính thức")</f>
        <v>Chính thức</v>
      </c>
      <c r="W22" s="22" t="str">
        <f>IFERROR(__xludf.DUMMYFUNCTION("""COMPUTED_VALUE"""),"0 năm 8 tháng")</f>
        <v>0 năm 8 tháng</v>
      </c>
      <c r="X22" s="22"/>
      <c r="Y22" s="22"/>
      <c r="Z22" s="22"/>
    </row>
    <row r="23">
      <c r="A23" s="22">
        <f>IFERROR(__xludf.DUMMYFUNCTION("""COMPUTED_VALUE"""),8.0)</f>
        <v>8</v>
      </c>
      <c r="B23" s="22" t="str">
        <f>IFERROR(__xludf.DUMMYFUNCTION("""COMPUTED_VALUE"""),"Văn phòng")</f>
        <v>Văn phòng</v>
      </c>
      <c r="C23" s="22" t="str">
        <f>IFERROR(__xludf.DUMMYFUNCTION("""COMPUTED_VALUE"""),"Phòng Tổ chức - Hành chính")</f>
        <v>Phòng Tổ chức - Hành chính</v>
      </c>
      <c r="D23" s="22" t="str">
        <f>IFERROR(__xludf.DUMMYFUNCTION("""COMPUTED_VALUE"""),"Bộ phận nghiệp vụ")</f>
        <v>Bộ phận nghiệp vụ</v>
      </c>
      <c r="E23" s="22" t="str">
        <f>IFERROR(__xludf.DUMMYFUNCTION("""COMPUTED_VALUE"""),"Nhân viên")</f>
        <v>Nhân viên</v>
      </c>
      <c r="F23" s="22" t="str">
        <f>IFERROR(__xludf.DUMMYFUNCTION("""COMPUTED_VALUE"""),"NV3613")</f>
        <v>NV3613</v>
      </c>
      <c r="G23" s="22">
        <f>IFERROR(__xludf.DUMMYFUNCTION("""COMPUTED_VALUE"""),1152.0)</f>
        <v>1152</v>
      </c>
      <c r="H23" s="22" t="str">
        <f>IFERROR(__xludf.DUMMYFUNCTION("""COMPUTED_VALUE"""),"Thiều Đình Ngọc")</f>
        <v>Thiều Đình Ngọc</v>
      </c>
      <c r="I23" s="22" t="str">
        <f>IFERROR(__xludf.DUMMYFUNCTION("""COMPUTED_VALUE"""),"Nam")</f>
        <v>Nam</v>
      </c>
      <c r="J23" s="24">
        <f>IFERROR(__xludf.DUMMYFUNCTION("""COMPUTED_VALUE"""),31947.0)</f>
        <v>31947</v>
      </c>
      <c r="K23" s="22" t="str">
        <f>IFERROR(__xludf.DUMMYFUNCTION("""COMPUTED_VALUE"""),"Thôn Hải Phúc - Xã Hoằng Châu - Tỉnh Thanh Hóa")</f>
        <v>Thôn Hải Phúc - Xã Hoằng Châu - Tỉnh Thanh Hóa</v>
      </c>
      <c r="L23" s="22" t="str">
        <f>IFERROR(__xludf.DUMMYFUNCTION("""COMPUTED_VALUE"""),"0962691115")</f>
        <v>0962691115</v>
      </c>
      <c r="M23" s="22" t="str">
        <f>IFERROR(__xludf.DUMMYFUNCTION("""COMPUTED_VALUE"""),"038087015042")</f>
        <v>038087015042</v>
      </c>
      <c r="N23" s="25">
        <f>IFERROR(__xludf.DUMMYFUNCTION("""COMPUTED_VALUE"""),44420.0)</f>
        <v>44420</v>
      </c>
      <c r="O23" s="22" t="str">
        <f>IFERROR(__xludf.DUMMYFUNCTION("""COMPUTED_VALUE"""),"Cục Cảnh sát QLHC về TTXH")</f>
        <v>Cục Cảnh sát QLHC về TTXH</v>
      </c>
      <c r="P23" s="22" t="str">
        <f>IFERROR(__xludf.DUMMYFUNCTION("""COMPUTED_VALUE"""),"Kỹ sư")</f>
        <v>Kỹ sư</v>
      </c>
      <c r="Q23" s="22" t="str">
        <f>IFERROR(__xludf.DUMMYFUNCTION("""COMPUTED_VALUE"""),"Hoa viên cây cảnh")</f>
        <v>Hoa viên cây cảnh</v>
      </c>
      <c r="R23" s="24">
        <f>IFERROR(__xludf.DUMMYFUNCTION("""COMPUTED_VALUE"""),45880.0)</f>
        <v>45880</v>
      </c>
      <c r="S23" s="26">
        <f>IFERROR(__xludf.DUMMYFUNCTION("""COMPUTED_VALUE"""),45880.0)</f>
        <v>45880</v>
      </c>
      <c r="T23" s="22" t="str">
        <f>IFERROR(__xludf.DUMMYFUNCTION("""COMPUTED_VALUE"""),"Chính thức")</f>
        <v>Chính thức</v>
      </c>
      <c r="U23" s="22"/>
      <c r="V23" s="22" t="str">
        <f>IFERROR(__xludf.DUMMYFUNCTION("""COMPUTED_VALUE"""),"Chính thức")</f>
        <v>Chính thức</v>
      </c>
      <c r="W23" s="22" t="str">
        <f>IFERROR(__xludf.DUMMYFUNCTION("""COMPUTED_VALUE"""),"0 năm 4 tháng")</f>
        <v>0 năm 4 tháng</v>
      </c>
      <c r="X23" s="22"/>
      <c r="Y23" s="22"/>
      <c r="Z23" s="22"/>
    </row>
    <row r="24">
      <c r="A24" s="22">
        <f>IFERROR(__xludf.DUMMYFUNCTION("""COMPUTED_VALUE"""),9.0)</f>
        <v>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>
        <f>IFERROR(__xludf.DUMMYFUNCTION("""COMPUTED_VALUE"""),10.0)</f>
        <v>10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>
        <f>IFERROR(__xludf.DUMMYFUNCTION("""COMPUTED_VALUE"""),11.0)</f>
        <v>11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 t="str">
        <f>IFERROR(__xludf.DUMMYFUNCTION("""COMPUTED_VALUE"""),"b.")</f>
        <v>b.</v>
      </c>
      <c r="B27" s="22" t="str">
        <f>IFERROR(__xludf.DUMMYFUNCTION("""COMPUTED_VALUE"""),"Tổ xe con")</f>
        <v>Tổ xe con</v>
      </c>
      <c r="C27" s="22">
        <f>IFERROR(__xludf.DUMMYFUNCTION("""COMPUTED_VALUE"""),8.0)</f>
        <v>8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>
        <f>IFERROR(__xludf.DUMMYFUNCTION("""COMPUTED_VALUE"""),1.0)</f>
        <v>1</v>
      </c>
      <c r="B28" s="22" t="str">
        <f>IFERROR(__xludf.DUMMYFUNCTION("""COMPUTED_VALUE"""),"Văn phòng")</f>
        <v>Văn phòng</v>
      </c>
      <c r="C28" s="22" t="str">
        <f>IFERROR(__xludf.DUMMYFUNCTION("""COMPUTED_VALUE"""),"Phòng Tổ chức - Hành chính")</f>
        <v>Phòng Tổ chức - Hành chính</v>
      </c>
      <c r="D28" s="22" t="str">
        <f>IFERROR(__xludf.DUMMYFUNCTION("""COMPUTED_VALUE"""),"Tổ xe con")</f>
        <v>Tổ xe con</v>
      </c>
      <c r="E28" s="22" t="str">
        <f>IFERROR(__xludf.DUMMYFUNCTION("""COMPUTED_VALUE"""),"Lái xe văn phòng")</f>
        <v>Lái xe văn phòng</v>
      </c>
      <c r="F28" s="22" t="str">
        <f>IFERROR(__xludf.DUMMYFUNCTION("""COMPUTED_VALUE"""),"NV0015")</f>
        <v>NV0015</v>
      </c>
      <c r="G28" s="22">
        <f>IFERROR(__xludf.DUMMYFUNCTION("""COMPUTED_VALUE"""),814.0)</f>
        <v>814</v>
      </c>
      <c r="H28" s="22" t="str">
        <f>IFERROR(__xludf.DUMMYFUNCTION("""COMPUTED_VALUE"""),"Nguyễn Mạnh Hà")</f>
        <v>Nguyễn Mạnh Hà</v>
      </c>
      <c r="I28" s="22" t="str">
        <f>IFERROR(__xludf.DUMMYFUNCTION("""COMPUTED_VALUE"""),"Nam")</f>
        <v>Nam</v>
      </c>
      <c r="J28" s="24">
        <f>IFERROR(__xludf.DUMMYFUNCTION("""COMPUTED_VALUE"""),26318.0)</f>
        <v>26318</v>
      </c>
      <c r="K28" s="22" t="str">
        <f>IFERROR(__xludf.DUMMYFUNCTION("""COMPUTED_VALUE"""),"SN331 - Đường Lê Lợi - Phường Sầm Sơn- Tỉnh Thanh Hóa")</f>
        <v>SN331 - Đường Lê Lợi - Phường Sầm Sơn- Tỉnh Thanh Hóa</v>
      </c>
      <c r="L28" s="27" t="str">
        <f>IFERROR(__xludf.DUMMYFUNCTION("""COMPUTED_VALUE"""),"0854183333")</f>
        <v>0854183333</v>
      </c>
      <c r="M28" s="22" t="str">
        <f>IFERROR(__xludf.DUMMYFUNCTION("""COMPUTED_VALUE"""),"037072009840")</f>
        <v>037072009840</v>
      </c>
      <c r="N28" s="25">
        <f>IFERROR(__xludf.DUMMYFUNCTION("""COMPUTED_VALUE"""),44513.0)</f>
        <v>44513</v>
      </c>
      <c r="O28" s="22" t="str">
        <f>IFERROR(__xludf.DUMMYFUNCTION("""COMPUTED_VALUE"""),"Cục Cảnh sát QLHC về TTXH")</f>
        <v>Cục Cảnh sát QLHC về TTXH</v>
      </c>
      <c r="P28" s="22" t="str">
        <f>IFERROR(__xludf.DUMMYFUNCTION("""COMPUTED_VALUE"""),"Bằng nghề")</f>
        <v>Bằng nghề</v>
      </c>
      <c r="Q28" s="22" t="str">
        <f>IFERROR(__xludf.DUMMYFUNCTION("""COMPUTED_VALUE"""),"Lái xe")</f>
        <v>Lái xe</v>
      </c>
      <c r="R28" s="24">
        <f>IFERROR(__xludf.DUMMYFUNCTION("""COMPUTED_VALUE"""),41299.0)</f>
        <v>41299</v>
      </c>
      <c r="S28" s="26">
        <f>IFERROR(__xludf.DUMMYFUNCTION("""COMPUTED_VALUE"""),41299.0)</f>
        <v>41299</v>
      </c>
      <c r="T28" s="22" t="str">
        <f>IFERROR(__xludf.DUMMYFUNCTION("""COMPUTED_VALUE"""),"Chính thức")</f>
        <v>Chính thức</v>
      </c>
      <c r="U28" s="22"/>
      <c r="V28" s="22" t="str">
        <f>IFERROR(__xludf.DUMMYFUNCTION("""COMPUTED_VALUE"""),"Chính thức")</f>
        <v>Chính thức</v>
      </c>
      <c r="W28" s="22" t="str">
        <f>IFERROR(__xludf.DUMMYFUNCTION("""COMPUTED_VALUE"""),"12 năm 11 tháng")</f>
        <v>12 năm 11 tháng</v>
      </c>
      <c r="X28" s="22"/>
      <c r="Y28" s="22"/>
      <c r="Z28" s="22"/>
    </row>
    <row r="29">
      <c r="A29" s="22">
        <f>IFERROR(__xludf.DUMMYFUNCTION("""COMPUTED_VALUE"""),2.0)</f>
        <v>2</v>
      </c>
      <c r="B29" s="22" t="str">
        <f>IFERROR(__xludf.DUMMYFUNCTION("""COMPUTED_VALUE"""),"Văn phòng")</f>
        <v>Văn phòng</v>
      </c>
      <c r="C29" s="22" t="str">
        <f>IFERROR(__xludf.DUMMYFUNCTION("""COMPUTED_VALUE"""),"Phòng Tổ chức - Hành chính")</f>
        <v>Phòng Tổ chức - Hành chính</v>
      </c>
      <c r="D29" s="22" t="str">
        <f>IFERROR(__xludf.DUMMYFUNCTION("""COMPUTED_VALUE"""),"Tổ xe con")</f>
        <v>Tổ xe con</v>
      </c>
      <c r="E29" s="22" t="str">
        <f>IFERROR(__xludf.DUMMYFUNCTION("""COMPUTED_VALUE"""),"Lái xe văn phòng")</f>
        <v>Lái xe văn phòng</v>
      </c>
      <c r="F29" s="22" t="str">
        <f>IFERROR(__xludf.DUMMYFUNCTION("""COMPUTED_VALUE"""),"NV0934")</f>
        <v>NV0934</v>
      </c>
      <c r="G29" s="22"/>
      <c r="H29" s="22" t="str">
        <f>IFERROR(__xludf.DUMMYFUNCTION("""COMPUTED_VALUE"""),"Đỗ Văn Khẩn")</f>
        <v>Đỗ Văn Khẩn</v>
      </c>
      <c r="I29" s="22" t="str">
        <f>IFERROR(__xludf.DUMMYFUNCTION("""COMPUTED_VALUE"""),"Nam")</f>
        <v>Nam</v>
      </c>
      <c r="J29" s="24">
        <f>IFERROR(__xludf.DUMMYFUNCTION("""COMPUTED_VALUE"""),28806.0)</f>
        <v>28806</v>
      </c>
      <c r="K29" s="22" t="str">
        <f>IFERROR(__xludf.DUMMYFUNCTION("""COMPUTED_VALUE"""),"Phố 2 - Phường Quảng Phú - Tỉnh Thanh Hóa")</f>
        <v>Phố 2 - Phường Quảng Phú - Tỉnh Thanh Hóa</v>
      </c>
      <c r="L29" s="27" t="str">
        <f>IFERROR(__xludf.DUMMYFUNCTION("""COMPUTED_VALUE"""),"0941262789")</f>
        <v>0941262789</v>
      </c>
      <c r="M29" s="22" t="str">
        <f>IFERROR(__xludf.DUMMYFUNCTION("""COMPUTED_VALUE"""),"038078009872")</f>
        <v>038078009872</v>
      </c>
      <c r="N29" s="25">
        <f>IFERROR(__xludf.DUMMYFUNCTION("""COMPUTED_VALUE"""),44320.0)</f>
        <v>44320</v>
      </c>
      <c r="O29" s="22" t="str">
        <f>IFERROR(__xludf.DUMMYFUNCTION("""COMPUTED_VALUE"""),"Cục Cảnh sát QLHC về TTXH")</f>
        <v>Cục Cảnh sát QLHC về TTXH</v>
      </c>
      <c r="P29" s="22" t="str">
        <f>IFERROR(__xludf.DUMMYFUNCTION("""COMPUTED_VALUE"""),"Bằng nghề")</f>
        <v>Bằng nghề</v>
      </c>
      <c r="Q29" s="22" t="str">
        <f>IFERROR(__xludf.DUMMYFUNCTION("""COMPUTED_VALUE"""),"Lái xe")</f>
        <v>Lái xe</v>
      </c>
      <c r="R29" s="24">
        <f>IFERROR(__xludf.DUMMYFUNCTION("""COMPUTED_VALUE"""),38050.0)</f>
        <v>38050</v>
      </c>
      <c r="S29" s="26">
        <f>IFERROR(__xludf.DUMMYFUNCTION("""COMPUTED_VALUE"""),38050.0)</f>
        <v>38050</v>
      </c>
      <c r="T29" s="22" t="str">
        <f>IFERROR(__xludf.DUMMYFUNCTION("""COMPUTED_VALUE"""),"Chính thức")</f>
        <v>Chính thức</v>
      </c>
      <c r="U29" s="22"/>
      <c r="V29" s="22" t="str">
        <f>IFERROR(__xludf.DUMMYFUNCTION("""COMPUTED_VALUE"""),"Chính thức")</f>
        <v>Chính thức</v>
      </c>
      <c r="W29" s="22" t="str">
        <f>IFERROR(__xludf.DUMMYFUNCTION("""COMPUTED_VALUE"""),"21 năm 9 tháng")</f>
        <v>21 năm 9 tháng</v>
      </c>
      <c r="X29" s="22"/>
      <c r="Y29" s="22"/>
      <c r="Z29" s="22"/>
    </row>
    <row r="30">
      <c r="A30" s="22">
        <f>IFERROR(__xludf.DUMMYFUNCTION("""COMPUTED_VALUE"""),3.0)</f>
        <v>3</v>
      </c>
      <c r="B30" s="22" t="str">
        <f>IFERROR(__xludf.DUMMYFUNCTION("""COMPUTED_VALUE"""),"Văn phòng")</f>
        <v>Văn phòng</v>
      </c>
      <c r="C30" s="22" t="str">
        <f>IFERROR(__xludf.DUMMYFUNCTION("""COMPUTED_VALUE"""),"Phòng Tổ chức - Hành chính")</f>
        <v>Phòng Tổ chức - Hành chính</v>
      </c>
      <c r="D30" s="22" t="str">
        <f>IFERROR(__xludf.DUMMYFUNCTION("""COMPUTED_VALUE"""),"Tổ xe con")</f>
        <v>Tổ xe con</v>
      </c>
      <c r="E30" s="22" t="str">
        <f>IFERROR(__xludf.DUMMYFUNCTION("""COMPUTED_VALUE"""),"Lái xe văn phòng")</f>
        <v>Lái xe văn phòng</v>
      </c>
      <c r="F30" s="22" t="str">
        <f>IFERROR(__xludf.DUMMYFUNCTION("""COMPUTED_VALUE"""),"NV1385")</f>
        <v>NV1385</v>
      </c>
      <c r="G30" s="22">
        <f>IFERROR(__xludf.DUMMYFUNCTION("""COMPUTED_VALUE"""),816.0)</f>
        <v>816</v>
      </c>
      <c r="H30" s="22" t="str">
        <f>IFERROR(__xludf.DUMMYFUNCTION("""COMPUTED_VALUE"""),"Nguyễn Đức Dũng")</f>
        <v>Nguyễn Đức Dũng</v>
      </c>
      <c r="I30" s="22" t="str">
        <f>IFERROR(__xludf.DUMMYFUNCTION("""COMPUTED_VALUE"""),"Nam")</f>
        <v>Nam</v>
      </c>
      <c r="J30" s="24">
        <f>IFERROR(__xludf.DUMMYFUNCTION("""COMPUTED_VALUE"""),31920.0)</f>
        <v>31920</v>
      </c>
      <c r="K30" s="22" t="str">
        <f>IFERROR(__xludf.DUMMYFUNCTION("""COMPUTED_VALUE"""),"SN06/8 Nguyễn Công Trứ - Phường Hạc Thành - Tỉnh Thanh Hóa")</f>
        <v>SN06/8 Nguyễn Công Trứ - Phường Hạc Thành - Tỉnh Thanh Hóa</v>
      </c>
      <c r="L30" s="27" t="str">
        <f>IFERROR(__xludf.DUMMYFUNCTION("""COMPUTED_VALUE"""),"0945075888")</f>
        <v>0945075888</v>
      </c>
      <c r="M30" s="22" t="str">
        <f>IFERROR(__xludf.DUMMYFUNCTION("""COMPUTED_VALUE"""),"038087008348")</f>
        <v>038087008348</v>
      </c>
      <c r="N30" s="25">
        <f>IFERROR(__xludf.DUMMYFUNCTION("""COMPUTED_VALUE"""),43045.0)</f>
        <v>43045</v>
      </c>
      <c r="O30" s="22" t="str">
        <f>IFERROR(__xludf.DUMMYFUNCTION("""COMPUTED_VALUE"""),"Cục Cảnh sát QLHC về TTXH")</f>
        <v>Cục Cảnh sát QLHC về TTXH</v>
      </c>
      <c r="P30" s="22" t="str">
        <f>IFERROR(__xludf.DUMMYFUNCTION("""COMPUTED_VALUE"""),"Bằng nghề")</f>
        <v>Bằng nghề</v>
      </c>
      <c r="Q30" s="22" t="str">
        <f>IFERROR(__xludf.DUMMYFUNCTION("""COMPUTED_VALUE"""),"Hạng B2")</f>
        <v>Hạng B2</v>
      </c>
      <c r="R30" s="24">
        <f>IFERROR(__xludf.DUMMYFUNCTION("""COMPUTED_VALUE"""),43201.0)</f>
        <v>43201</v>
      </c>
      <c r="S30" s="26">
        <f>IFERROR(__xludf.DUMMYFUNCTION("""COMPUTED_VALUE"""),43586.0)</f>
        <v>43586</v>
      </c>
      <c r="T30" s="22" t="str">
        <f>IFERROR(__xludf.DUMMYFUNCTION("""COMPUTED_VALUE"""),"Chính thức")</f>
        <v>Chính thức</v>
      </c>
      <c r="U30" s="22"/>
      <c r="V30" s="22" t="str">
        <f>IFERROR(__xludf.DUMMYFUNCTION("""COMPUTED_VALUE"""),"Chính thức")</f>
        <v>Chính thức</v>
      </c>
      <c r="W30" s="22" t="str">
        <f>IFERROR(__xludf.DUMMYFUNCTION("""COMPUTED_VALUE"""),"7 năm 8 tháng")</f>
        <v>7 năm 8 tháng</v>
      </c>
      <c r="X30" s="22"/>
      <c r="Y30" s="22"/>
      <c r="Z30" s="22"/>
    </row>
    <row r="31">
      <c r="A31" s="22">
        <f>IFERROR(__xludf.DUMMYFUNCTION("""COMPUTED_VALUE"""),4.0)</f>
        <v>4</v>
      </c>
      <c r="B31" s="22" t="str">
        <f>IFERROR(__xludf.DUMMYFUNCTION("""COMPUTED_VALUE"""),"Văn phòng")</f>
        <v>Văn phòng</v>
      </c>
      <c r="C31" s="22" t="str">
        <f>IFERROR(__xludf.DUMMYFUNCTION("""COMPUTED_VALUE"""),"Phòng Tổ chức - Hành chính")</f>
        <v>Phòng Tổ chức - Hành chính</v>
      </c>
      <c r="D31" s="22" t="str">
        <f>IFERROR(__xludf.DUMMYFUNCTION("""COMPUTED_VALUE"""),"Tổ xe con")</f>
        <v>Tổ xe con</v>
      </c>
      <c r="E31" s="22" t="str">
        <f>IFERROR(__xludf.DUMMYFUNCTION("""COMPUTED_VALUE"""),"Lái xe văn phòng")</f>
        <v>Lái xe văn phòng</v>
      </c>
      <c r="F31" s="22" t="str">
        <f>IFERROR(__xludf.DUMMYFUNCTION("""COMPUTED_VALUE"""),"NV1384")</f>
        <v>NV1384</v>
      </c>
      <c r="G31" s="22">
        <f>IFERROR(__xludf.DUMMYFUNCTION("""COMPUTED_VALUE"""),820.0)</f>
        <v>820</v>
      </c>
      <c r="H31" s="22" t="str">
        <f>IFERROR(__xludf.DUMMYFUNCTION("""COMPUTED_VALUE"""),"Nguyễn Tài Thành")</f>
        <v>Nguyễn Tài Thành</v>
      </c>
      <c r="I31" s="22" t="str">
        <f>IFERROR(__xludf.DUMMYFUNCTION("""COMPUTED_VALUE"""),"Nam")</f>
        <v>Nam</v>
      </c>
      <c r="J31" s="24">
        <f>IFERROR(__xludf.DUMMYFUNCTION("""COMPUTED_VALUE"""),29861.0)</f>
        <v>29861</v>
      </c>
      <c r="K31" s="22" t="str">
        <f>IFERROR(__xludf.DUMMYFUNCTION("""COMPUTED_VALUE"""),"SN 56 Đường Bạch Đằng - Phường Quảng Phú - Tỉnh Thanh Hóa")</f>
        <v>SN 56 Đường Bạch Đằng - Phường Quảng Phú - Tỉnh Thanh Hóa</v>
      </c>
      <c r="L31" s="27" t="str">
        <f>IFERROR(__xludf.DUMMYFUNCTION("""COMPUTED_VALUE"""),"0917491899")</f>
        <v>0917491899</v>
      </c>
      <c r="M31" s="22" t="str">
        <f>IFERROR(__xludf.DUMMYFUNCTION("""COMPUTED_VALUE"""),"038081005805")</f>
        <v>038081005805</v>
      </c>
      <c r="N31" s="25">
        <f>IFERROR(__xludf.DUMMYFUNCTION("""COMPUTED_VALUE"""),42947.0)</f>
        <v>42947</v>
      </c>
      <c r="O31" s="22" t="str">
        <f>IFERROR(__xludf.DUMMYFUNCTION("""COMPUTED_VALUE"""),"Cục Cảnh sát QLHC về TTXH")</f>
        <v>Cục Cảnh sát QLHC về TTXH</v>
      </c>
      <c r="P31" s="22" t="str">
        <f>IFERROR(__xludf.DUMMYFUNCTION("""COMPUTED_VALUE"""),"Bằng nghề")</f>
        <v>Bằng nghề</v>
      </c>
      <c r="Q31" s="22" t="str">
        <f>IFERROR(__xludf.DUMMYFUNCTION("""COMPUTED_VALUE"""),"Hạng E")</f>
        <v>Hạng E</v>
      </c>
      <c r="R31" s="24">
        <f>IFERROR(__xludf.DUMMYFUNCTION("""COMPUTED_VALUE"""),43206.0)</f>
        <v>43206</v>
      </c>
      <c r="S31" s="26">
        <f>IFERROR(__xludf.DUMMYFUNCTION("""COMPUTED_VALUE"""),43586.0)</f>
        <v>43586</v>
      </c>
      <c r="T31" s="22" t="str">
        <f>IFERROR(__xludf.DUMMYFUNCTION("""COMPUTED_VALUE"""),"Chính thức")</f>
        <v>Chính thức</v>
      </c>
      <c r="U31" s="22"/>
      <c r="V31" s="22" t="str">
        <f>IFERROR(__xludf.DUMMYFUNCTION("""COMPUTED_VALUE"""),"Chính thức")</f>
        <v>Chính thức</v>
      </c>
      <c r="W31" s="22" t="str">
        <f>IFERROR(__xludf.DUMMYFUNCTION("""COMPUTED_VALUE"""),"7 năm 8 tháng")</f>
        <v>7 năm 8 tháng</v>
      </c>
      <c r="X31" s="22"/>
      <c r="Y31" s="22"/>
      <c r="Z31" s="22"/>
    </row>
    <row r="32">
      <c r="A32" s="22">
        <f>IFERROR(__xludf.DUMMYFUNCTION("""COMPUTED_VALUE"""),5.0)</f>
        <v>5</v>
      </c>
      <c r="B32" s="22" t="str">
        <f>IFERROR(__xludf.DUMMYFUNCTION("""COMPUTED_VALUE"""),"Văn phòng")</f>
        <v>Văn phòng</v>
      </c>
      <c r="C32" s="22" t="str">
        <f>IFERROR(__xludf.DUMMYFUNCTION("""COMPUTED_VALUE"""),"Phòng Tổ chức - Hành chính")</f>
        <v>Phòng Tổ chức - Hành chính</v>
      </c>
      <c r="D32" s="22" t="str">
        <f>IFERROR(__xludf.DUMMYFUNCTION("""COMPUTED_VALUE"""),"Tổ xe con")</f>
        <v>Tổ xe con</v>
      </c>
      <c r="E32" s="22" t="str">
        <f>IFERROR(__xludf.DUMMYFUNCTION("""COMPUTED_VALUE"""),"Lái xe văn phòng")</f>
        <v>Lái xe văn phòng</v>
      </c>
      <c r="F32" s="22" t="str">
        <f>IFERROR(__xludf.DUMMYFUNCTION("""COMPUTED_VALUE"""),"NV0403")</f>
        <v>NV0403</v>
      </c>
      <c r="G32" s="22">
        <f>IFERROR(__xludf.DUMMYFUNCTION("""COMPUTED_VALUE"""),815.0)</f>
        <v>815</v>
      </c>
      <c r="H32" s="22" t="str">
        <f>IFERROR(__xludf.DUMMYFUNCTION("""COMPUTED_VALUE"""),"Nguyễn Văn Dũng")</f>
        <v>Nguyễn Văn Dũng</v>
      </c>
      <c r="I32" s="22" t="str">
        <f>IFERROR(__xludf.DUMMYFUNCTION("""COMPUTED_VALUE"""),"Nam")</f>
        <v>Nam</v>
      </c>
      <c r="J32" s="24">
        <f>IFERROR(__xludf.DUMMYFUNCTION("""COMPUTED_VALUE"""),32662.0)</f>
        <v>32662</v>
      </c>
      <c r="K32" s="22" t="str">
        <f>IFERROR(__xludf.DUMMYFUNCTION("""COMPUTED_VALUE"""),"SN 05 Thôn Trung Sơn - Xã Hoằng Châu - Tỉnh Thanh Hóa")</f>
        <v>SN 05 Thôn Trung Sơn - Xã Hoằng Châu - Tỉnh Thanh Hóa</v>
      </c>
      <c r="L32" s="27" t="str">
        <f>IFERROR(__xludf.DUMMYFUNCTION("""COMPUTED_VALUE"""),"0931351389")</f>
        <v>0931351389</v>
      </c>
      <c r="M32" s="22" t="str">
        <f>IFERROR(__xludf.DUMMYFUNCTION("""COMPUTED_VALUE"""),"038089011423")</f>
        <v>038089011423</v>
      </c>
      <c r="N32" s="25">
        <f>IFERROR(__xludf.DUMMYFUNCTION("""COMPUTED_VALUE"""),44427.0)</f>
        <v>44427</v>
      </c>
      <c r="O32" s="22" t="str">
        <f>IFERROR(__xludf.DUMMYFUNCTION("""COMPUTED_VALUE"""),"Cục Cảnh sát QLHC về TTXH")</f>
        <v>Cục Cảnh sát QLHC về TTXH</v>
      </c>
      <c r="P32" s="22" t="str">
        <f>IFERROR(__xludf.DUMMYFUNCTION("""COMPUTED_VALUE"""),"Bằng nghề")</f>
        <v>Bằng nghề</v>
      </c>
      <c r="Q32" s="22" t="str">
        <f>IFERROR(__xludf.DUMMYFUNCTION("""COMPUTED_VALUE"""),"Lái xe hạng B1")</f>
        <v>Lái xe hạng B1</v>
      </c>
      <c r="R32" s="24">
        <f>IFERROR(__xludf.DUMMYFUNCTION("""COMPUTED_VALUE"""),43773.0)</f>
        <v>43773</v>
      </c>
      <c r="S32" s="26">
        <f>IFERROR(__xludf.DUMMYFUNCTION("""COMPUTED_VALUE"""),40121.0)</f>
        <v>40121</v>
      </c>
      <c r="T32" s="22" t="str">
        <f>IFERROR(__xludf.DUMMYFUNCTION("""COMPUTED_VALUE"""),"Chính thức")</f>
        <v>Chính thức</v>
      </c>
      <c r="U32" s="22"/>
      <c r="V32" s="22" t="str">
        <f>IFERROR(__xludf.DUMMYFUNCTION("""COMPUTED_VALUE"""),"Chính thức")</f>
        <v>Chính thức</v>
      </c>
      <c r="W32" s="22" t="str">
        <f>IFERROR(__xludf.DUMMYFUNCTION("""COMPUTED_VALUE"""),"6 năm 1 tháng")</f>
        <v>6 năm 1 tháng</v>
      </c>
      <c r="X32" s="22"/>
      <c r="Y32" s="22"/>
      <c r="Z32" s="22"/>
    </row>
    <row r="33">
      <c r="A33" s="22">
        <f>IFERROR(__xludf.DUMMYFUNCTION("""COMPUTED_VALUE"""),6.0)</f>
        <v>6</v>
      </c>
      <c r="B33" s="22" t="str">
        <f>IFERROR(__xludf.DUMMYFUNCTION("""COMPUTED_VALUE"""),"Văn phòng")</f>
        <v>Văn phòng</v>
      </c>
      <c r="C33" s="22" t="str">
        <f>IFERROR(__xludf.DUMMYFUNCTION("""COMPUTED_VALUE"""),"Phòng Tổ chức - Hành chính")</f>
        <v>Phòng Tổ chức - Hành chính</v>
      </c>
      <c r="D33" s="22" t="str">
        <f>IFERROR(__xludf.DUMMYFUNCTION("""COMPUTED_VALUE"""),"Tổ xe con")</f>
        <v>Tổ xe con</v>
      </c>
      <c r="E33" s="22" t="str">
        <f>IFERROR(__xludf.DUMMYFUNCTION("""COMPUTED_VALUE"""),"Lái xe văn phòng")</f>
        <v>Lái xe văn phòng</v>
      </c>
      <c r="F33" s="22" t="str">
        <f>IFERROR(__xludf.DUMMYFUNCTION("""COMPUTED_VALUE"""),"NV2644")</f>
        <v>NV2644</v>
      </c>
      <c r="G33" s="22"/>
      <c r="H33" s="22" t="str">
        <f>IFERROR(__xludf.DUMMYFUNCTION("""COMPUTED_VALUE"""),"Nguyễn Thế Triều")</f>
        <v>Nguyễn Thế Triều</v>
      </c>
      <c r="I33" s="22" t="str">
        <f>IFERROR(__xludf.DUMMYFUNCTION("""COMPUTED_VALUE"""),"Nam")</f>
        <v>Nam</v>
      </c>
      <c r="J33" s="24">
        <f>IFERROR(__xludf.DUMMYFUNCTION("""COMPUTED_VALUE"""),31988.0)</f>
        <v>31988</v>
      </c>
      <c r="K33" s="22" t="str">
        <f>IFERROR(__xludf.DUMMYFUNCTION("""COMPUTED_VALUE"""),"Thôn 10 - Xã Quảng Ninh - Tỉnh Thanh Hóa")</f>
        <v>Thôn 10 - Xã Quảng Ninh - Tỉnh Thanh Hóa</v>
      </c>
      <c r="L33" s="27" t="str">
        <f>IFERROR(__xludf.DUMMYFUNCTION("""COMPUTED_VALUE"""),"0979325122")</f>
        <v>0979325122</v>
      </c>
      <c r="M33" s="22" t="str">
        <f>IFERROR(__xludf.DUMMYFUNCTION("""COMPUTED_VALUE"""),"038087014469")</f>
        <v>038087014469</v>
      </c>
      <c r="N33" s="25">
        <f>IFERROR(__xludf.DUMMYFUNCTION("""COMPUTED_VALUE"""),43517.0)</f>
        <v>43517</v>
      </c>
      <c r="O33" s="22" t="str">
        <f>IFERROR(__xludf.DUMMYFUNCTION("""COMPUTED_VALUE"""),"Cục Cảnh sát QLHC về TTXH")</f>
        <v>Cục Cảnh sát QLHC về TTXH</v>
      </c>
      <c r="P33" s="22" t="str">
        <f>IFERROR(__xludf.DUMMYFUNCTION("""COMPUTED_VALUE"""),"Bằng nghề")</f>
        <v>Bằng nghề</v>
      </c>
      <c r="Q33" s="22" t="str">
        <f>IFERROR(__xludf.DUMMYFUNCTION("""COMPUTED_VALUE"""),"Hạng B2")</f>
        <v>Hạng B2</v>
      </c>
      <c r="R33" s="24">
        <f>IFERROR(__xludf.DUMMYFUNCTION("""COMPUTED_VALUE"""),43781.0)</f>
        <v>43781</v>
      </c>
      <c r="S33" s="26">
        <f>IFERROR(__xludf.DUMMYFUNCTION("""COMPUTED_VALUE"""),43983.0)</f>
        <v>43983</v>
      </c>
      <c r="T33" s="22" t="str">
        <f>IFERROR(__xludf.DUMMYFUNCTION("""COMPUTED_VALUE"""),"Chính thức")</f>
        <v>Chính thức</v>
      </c>
      <c r="U33" s="22"/>
      <c r="V33" s="22" t="str">
        <f>IFERROR(__xludf.DUMMYFUNCTION("""COMPUTED_VALUE"""),"Chính thức")</f>
        <v>Chính thức</v>
      </c>
      <c r="W33" s="22" t="str">
        <f>IFERROR(__xludf.DUMMYFUNCTION("""COMPUTED_VALUE"""),"6 năm 1 tháng")</f>
        <v>6 năm 1 tháng</v>
      </c>
      <c r="X33" s="22"/>
      <c r="Y33" s="22"/>
      <c r="Z33" s="22"/>
    </row>
    <row r="34">
      <c r="A34" s="22">
        <f>IFERROR(__xludf.DUMMYFUNCTION("""COMPUTED_VALUE"""),7.0)</f>
        <v>7</v>
      </c>
      <c r="B34" s="22" t="str">
        <f>IFERROR(__xludf.DUMMYFUNCTION("""COMPUTED_VALUE"""),"Văn phòng")</f>
        <v>Văn phòng</v>
      </c>
      <c r="C34" s="22" t="str">
        <f>IFERROR(__xludf.DUMMYFUNCTION("""COMPUTED_VALUE"""),"Phòng Tổ chức - Hành chính")</f>
        <v>Phòng Tổ chức - Hành chính</v>
      </c>
      <c r="D34" s="22" t="str">
        <f>IFERROR(__xludf.DUMMYFUNCTION("""COMPUTED_VALUE"""),"Tổ xe con")</f>
        <v>Tổ xe con</v>
      </c>
      <c r="E34" s="22" t="str">
        <f>IFERROR(__xludf.DUMMYFUNCTION("""COMPUTED_VALUE"""),"Lái xe văn phòng")</f>
        <v>Lái xe văn phòng</v>
      </c>
      <c r="F34" s="22" t="str">
        <f>IFERROR(__xludf.DUMMYFUNCTION("""COMPUTED_VALUE"""),"NV3312")</f>
        <v>NV3312</v>
      </c>
      <c r="G34" s="22"/>
      <c r="H34" s="22" t="str">
        <f>IFERROR(__xludf.DUMMYFUNCTION("""COMPUTED_VALUE"""),"Nguyễn Trọng Du")</f>
        <v>Nguyễn Trọng Du</v>
      </c>
      <c r="I34" s="22" t="str">
        <f>IFERROR(__xludf.DUMMYFUNCTION("""COMPUTED_VALUE"""),"Nam")</f>
        <v>Nam</v>
      </c>
      <c r="J34" s="24">
        <f>IFERROR(__xludf.DUMMYFUNCTION("""COMPUTED_VALUE"""),31469.0)</f>
        <v>31469</v>
      </c>
      <c r="K34" s="22" t="str">
        <f>IFERROR(__xludf.DUMMYFUNCTION("""COMPUTED_VALUE"""),"Thôn 2 - Xã Nhân Hà - Tỉnh Ninh Bình")</f>
        <v>Thôn 2 - Xã Nhân Hà - Tỉnh Ninh Bình</v>
      </c>
      <c r="L34" s="27" t="str">
        <f>IFERROR(__xludf.DUMMYFUNCTION("""COMPUTED_VALUE"""),"0985207738")</f>
        <v>0985207738</v>
      </c>
      <c r="M34" s="22" t="str">
        <f>IFERROR(__xludf.DUMMYFUNCTION("""COMPUTED_VALUE"""),"168127594")</f>
        <v>168127594</v>
      </c>
      <c r="N34" s="22"/>
      <c r="O34" s="22"/>
      <c r="P34" s="22" t="str">
        <f>IFERROR(__xludf.DUMMYFUNCTION("""COMPUTED_VALUE"""),"Bằng nghề")</f>
        <v>Bằng nghề</v>
      </c>
      <c r="Q34" s="22" t="str">
        <f>IFERROR(__xludf.DUMMYFUNCTION("""COMPUTED_VALUE"""),"Hạng B2")</f>
        <v>Hạng B2</v>
      </c>
      <c r="R34" s="24">
        <f>IFERROR(__xludf.DUMMYFUNCTION("""COMPUTED_VALUE"""),43301.0)</f>
        <v>43301</v>
      </c>
      <c r="S34" s="22"/>
      <c r="T34" s="22" t="str">
        <f>IFERROR(__xludf.DUMMYFUNCTION("""COMPUTED_VALUE"""),"Chính thức")</f>
        <v>Chính thức</v>
      </c>
      <c r="U34" s="22"/>
      <c r="V34" s="22" t="str">
        <f>IFERROR(__xludf.DUMMYFUNCTION("""COMPUTED_VALUE"""),"Chính thức")</f>
        <v>Chính thức</v>
      </c>
      <c r="W34" s="22" t="str">
        <f>IFERROR(__xludf.DUMMYFUNCTION("""COMPUTED_VALUE"""),"7 năm 5 tháng")</f>
        <v>7 năm 5 tháng</v>
      </c>
      <c r="X34" s="22"/>
      <c r="Y34" s="22"/>
      <c r="Z34" s="22"/>
    </row>
    <row r="35">
      <c r="A35" s="22">
        <f>IFERROR(__xludf.DUMMYFUNCTION("""COMPUTED_VALUE"""),8.0)</f>
        <v>8</v>
      </c>
      <c r="B35" s="22" t="str">
        <f>IFERROR(__xludf.DUMMYFUNCTION("""COMPUTED_VALUE"""),"Văn phòng")</f>
        <v>Văn phòng</v>
      </c>
      <c r="C35" s="22" t="str">
        <f>IFERROR(__xludf.DUMMYFUNCTION("""COMPUTED_VALUE"""),"Phòng Tổ chức - Hành chính")</f>
        <v>Phòng Tổ chức - Hành chính</v>
      </c>
      <c r="D35" s="22" t="str">
        <f>IFERROR(__xludf.DUMMYFUNCTION("""COMPUTED_VALUE"""),"Tổ xe con")</f>
        <v>Tổ xe con</v>
      </c>
      <c r="E35" s="22" t="str">
        <f>IFERROR(__xludf.DUMMYFUNCTION("""COMPUTED_VALUE"""),"Lái xe văn phòng")</f>
        <v>Lái xe văn phòng</v>
      </c>
      <c r="F35" s="22" t="str">
        <f>IFERROR(__xludf.DUMMYFUNCTION("""COMPUTED_VALUE"""),"NV4478")</f>
        <v>NV4478</v>
      </c>
      <c r="G35" s="22"/>
      <c r="H35" s="22" t="str">
        <f>IFERROR(__xludf.DUMMYFUNCTION("""COMPUTED_VALUE"""),"Nguyễn Thế Hưng")</f>
        <v>Nguyễn Thế Hưng</v>
      </c>
      <c r="I35" s="22" t="str">
        <f>IFERROR(__xludf.DUMMYFUNCTION("""COMPUTED_VALUE"""),"Nam")</f>
        <v>Nam</v>
      </c>
      <c r="J35" s="24">
        <f>IFERROR(__xludf.DUMMYFUNCTION("""COMPUTED_VALUE"""),30112.0)</f>
        <v>30112</v>
      </c>
      <c r="K35" s="22" t="str">
        <f>IFERROR(__xludf.DUMMYFUNCTION("""COMPUTED_VALUE"""),"80 Đặng Tiến Đông Phường Hạc Thành - Tỉnh Thanh Hóa")</f>
        <v>80 Đặng Tiến Đông Phường Hạc Thành - Tỉnh Thanh Hóa</v>
      </c>
      <c r="L35" s="22" t="str">
        <f>IFERROR(__xludf.DUMMYFUNCTION("""COMPUTED_VALUE"""),"0966850555")</f>
        <v>0966850555</v>
      </c>
      <c r="M35" s="22" t="str">
        <f>IFERROR(__xludf.DUMMYFUNCTION("""COMPUTED_VALUE"""),"038082000862")</f>
        <v>038082000862</v>
      </c>
      <c r="N35" s="25">
        <f>IFERROR(__xludf.DUMMYFUNCTION("""COMPUTED_VALUE"""),44445.0)</f>
        <v>44445</v>
      </c>
      <c r="O35" s="22" t="str">
        <f>IFERROR(__xludf.DUMMYFUNCTION("""COMPUTED_VALUE"""),"Cục Cảnh sát QLHC về TTXH")</f>
        <v>Cục Cảnh sát QLHC về TTXH</v>
      </c>
      <c r="P35" s="22" t="str">
        <f>IFERROR(__xludf.DUMMYFUNCTION("""COMPUTED_VALUE"""),"Bằng nghề")</f>
        <v>Bằng nghề</v>
      </c>
      <c r="Q35" s="22" t="str">
        <f>IFERROR(__xludf.DUMMYFUNCTION("""COMPUTED_VALUE"""),"Lái xe hạng B2")</f>
        <v>Lái xe hạng B2</v>
      </c>
      <c r="R35" s="24">
        <f>IFERROR(__xludf.DUMMYFUNCTION("""COMPUTED_VALUE"""),44823.0)</f>
        <v>44823</v>
      </c>
      <c r="S35" s="26">
        <f>IFERROR(__xludf.DUMMYFUNCTION("""COMPUTED_VALUE"""),45017.0)</f>
        <v>45017</v>
      </c>
      <c r="T35" s="22" t="str">
        <f>IFERROR(__xludf.DUMMYFUNCTION("""COMPUTED_VALUE"""),"Chính thức")</f>
        <v>Chính thức</v>
      </c>
      <c r="U35" s="22"/>
      <c r="V35" s="22" t="str">
        <f>IFERROR(__xludf.DUMMYFUNCTION("""COMPUTED_VALUE"""),"Chính thức")</f>
        <v>Chính thức</v>
      </c>
      <c r="W35" s="22" t="str">
        <f>IFERROR(__xludf.DUMMYFUNCTION("""COMPUTED_VALUE"""),"3 năm 3 tháng")</f>
        <v>3 năm 3 tháng</v>
      </c>
      <c r="X35" s="22"/>
      <c r="Y35" s="22"/>
      <c r="Z35" s="22"/>
    </row>
    <row r="36">
      <c r="A36" s="22" t="str">
        <f>IFERROR(__xludf.DUMMYFUNCTION("""COMPUTED_VALUE"""),"c.")</f>
        <v>c.</v>
      </c>
      <c r="B36" s="22" t="str">
        <f>IFERROR(__xludf.DUMMYFUNCTION("""COMPUTED_VALUE"""),"Tổ tạp vụ")</f>
        <v>Tổ tạp vụ</v>
      </c>
      <c r="C36" s="22">
        <f>IFERROR(__xludf.DUMMYFUNCTION("""COMPUTED_VALUE"""),4.0)</f>
        <v>4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>
        <f>IFERROR(__xludf.DUMMYFUNCTION("""COMPUTED_VALUE"""),1.0)</f>
        <v>1</v>
      </c>
      <c r="B37" s="22" t="str">
        <f>IFERROR(__xludf.DUMMYFUNCTION("""COMPUTED_VALUE"""),"Văn phòng")</f>
        <v>Văn phòng</v>
      </c>
      <c r="C37" s="22" t="str">
        <f>IFERROR(__xludf.DUMMYFUNCTION("""COMPUTED_VALUE"""),"Phòng Tổ chức - Hành chính")</f>
        <v>Phòng Tổ chức - Hành chính</v>
      </c>
      <c r="D37" s="22" t="str">
        <f>IFERROR(__xludf.DUMMYFUNCTION("""COMPUTED_VALUE"""),"Tổ tạp vụ")</f>
        <v>Tổ tạp vụ</v>
      </c>
      <c r="E37" s="22" t="str">
        <f>IFERROR(__xludf.DUMMYFUNCTION("""COMPUTED_VALUE"""),"Nhân viên tạp vụ")</f>
        <v>Nhân viên tạp vụ</v>
      </c>
      <c r="F37" s="22" t="str">
        <f>IFERROR(__xludf.DUMMYFUNCTION("""COMPUTED_VALUE"""),"NV0346")</f>
        <v>NV0346</v>
      </c>
      <c r="G37" s="22">
        <f>IFERROR(__xludf.DUMMYFUNCTION("""COMPUTED_VALUE"""),36.0)</f>
        <v>36</v>
      </c>
      <c r="H37" s="22" t="str">
        <f>IFERROR(__xludf.DUMMYFUNCTION("""COMPUTED_VALUE"""),"Đỗ Thị Chiến")</f>
        <v>Đỗ Thị Chiến</v>
      </c>
      <c r="I37" s="22" t="str">
        <f>IFERROR(__xludf.DUMMYFUNCTION("""COMPUTED_VALUE"""),"Nữ")</f>
        <v>Nữ</v>
      </c>
      <c r="J37" s="24">
        <f>IFERROR(__xludf.DUMMYFUNCTION("""COMPUTED_VALUE"""),30025.0)</f>
        <v>30025</v>
      </c>
      <c r="K37" s="22" t="str">
        <f>IFERROR(__xludf.DUMMYFUNCTION("""COMPUTED_VALUE"""),"Thôn 8 - Xã Hoằng Lộc - Tỉnh Thanh Hóa")</f>
        <v>Thôn 8 - Xã Hoằng Lộc - Tỉnh Thanh Hóa</v>
      </c>
      <c r="L37" s="22" t="str">
        <f>IFERROR(__xludf.DUMMYFUNCTION("""COMPUTED_VALUE"""),"0353623962")</f>
        <v>0353623962</v>
      </c>
      <c r="M37" s="22" t="str">
        <f>IFERROR(__xludf.DUMMYFUNCTION("""COMPUTED_VALUE"""),"038182047618")</f>
        <v>038182047618</v>
      </c>
      <c r="N37" s="25">
        <f>IFERROR(__xludf.DUMMYFUNCTION("""COMPUTED_VALUE"""),44422.0)</f>
        <v>44422</v>
      </c>
      <c r="O37" s="22" t="str">
        <f>IFERROR(__xludf.DUMMYFUNCTION("""COMPUTED_VALUE"""),"Cục Cảnh sát QLHC về TTXH")</f>
        <v>Cục Cảnh sát QLHC về TTXH</v>
      </c>
      <c r="P37" s="22" t="str">
        <f>IFERROR(__xludf.DUMMYFUNCTION("""COMPUTED_VALUE"""),"LĐPT")</f>
        <v>LĐPT</v>
      </c>
      <c r="Q37" s="22" t="str">
        <f>IFERROR(__xludf.DUMMYFUNCTION("""COMPUTED_VALUE"""),"Lao động phổ thông")</f>
        <v>Lao động phổ thông</v>
      </c>
      <c r="R37" s="24">
        <f>IFERROR(__xludf.DUMMYFUNCTION("""COMPUTED_VALUE"""),40973.0)</f>
        <v>40973</v>
      </c>
      <c r="S37" s="26">
        <f>IFERROR(__xludf.DUMMYFUNCTION("""COMPUTED_VALUE"""),40973.0)</f>
        <v>40973</v>
      </c>
      <c r="T37" s="22" t="str">
        <f>IFERROR(__xludf.DUMMYFUNCTION("""COMPUTED_VALUE"""),"Chính thức")</f>
        <v>Chính thức</v>
      </c>
      <c r="U37" s="22"/>
      <c r="V37" s="22" t="str">
        <f>IFERROR(__xludf.DUMMYFUNCTION("""COMPUTED_VALUE"""),"Chính thức")</f>
        <v>Chính thức</v>
      </c>
      <c r="W37" s="22" t="str">
        <f>IFERROR(__xludf.DUMMYFUNCTION("""COMPUTED_VALUE"""),"13 năm 9 tháng")</f>
        <v>13 năm 9 tháng</v>
      </c>
      <c r="X37" s="22"/>
      <c r="Y37" s="22"/>
      <c r="Z37" s="22"/>
    </row>
    <row r="38">
      <c r="A38" s="22">
        <f>IFERROR(__xludf.DUMMYFUNCTION("""COMPUTED_VALUE"""),2.0)</f>
        <v>2</v>
      </c>
      <c r="B38" s="22" t="str">
        <f>IFERROR(__xludf.DUMMYFUNCTION("""COMPUTED_VALUE"""),"Văn phòng")</f>
        <v>Văn phòng</v>
      </c>
      <c r="C38" s="22" t="str">
        <f>IFERROR(__xludf.DUMMYFUNCTION("""COMPUTED_VALUE"""),"Phòng Tổ chức - Hành chính")</f>
        <v>Phòng Tổ chức - Hành chính</v>
      </c>
      <c r="D38" s="22" t="str">
        <f>IFERROR(__xludf.DUMMYFUNCTION("""COMPUTED_VALUE"""),"Tổ tạp vụ")</f>
        <v>Tổ tạp vụ</v>
      </c>
      <c r="E38" s="22" t="str">
        <f>IFERROR(__xludf.DUMMYFUNCTION("""COMPUTED_VALUE"""),"Nhân viên tạp vụ")</f>
        <v>Nhân viên tạp vụ</v>
      </c>
      <c r="F38" s="22" t="str">
        <f>IFERROR(__xludf.DUMMYFUNCTION("""COMPUTED_VALUE"""),"NV0023")</f>
        <v>NV0023</v>
      </c>
      <c r="G38" s="22"/>
      <c r="H38" s="22" t="str">
        <f>IFERROR(__xludf.DUMMYFUNCTION("""COMPUTED_VALUE"""),"Đỗ Đức Châm")</f>
        <v>Đỗ Đức Châm</v>
      </c>
      <c r="I38" s="22" t="str">
        <f>IFERROR(__xludf.DUMMYFUNCTION("""COMPUTED_VALUE"""),"Nam")</f>
        <v>Nam</v>
      </c>
      <c r="J38" s="24">
        <f>IFERROR(__xludf.DUMMYFUNCTION("""COMPUTED_VALUE"""),23670.0)</f>
        <v>23670</v>
      </c>
      <c r="K38" s="22" t="str">
        <f>IFERROR(__xludf.DUMMYFUNCTION("""COMPUTED_VALUE"""),"Thôn Hàm Ninh - Xã Hoằng Lộc - Tỉnh Thanh Hóa")</f>
        <v>Thôn Hàm Ninh - Xã Hoằng Lộc - Tỉnh Thanh Hóa</v>
      </c>
      <c r="L38" s="22" t="str">
        <f>IFERROR(__xludf.DUMMYFUNCTION("""COMPUTED_VALUE"""),"0357143646")</f>
        <v>0357143646</v>
      </c>
      <c r="M38" s="22" t="str">
        <f>IFERROR(__xludf.DUMMYFUNCTION("""COMPUTED_VALUE"""),"038064004475")</f>
        <v>038064004475</v>
      </c>
      <c r="N38" s="25">
        <f>IFERROR(__xludf.DUMMYFUNCTION("""COMPUTED_VALUE"""),44440.0)</f>
        <v>44440</v>
      </c>
      <c r="O38" s="22" t="str">
        <f>IFERROR(__xludf.DUMMYFUNCTION("""COMPUTED_VALUE"""),"Cục Cảnh sát QLHC về TTXH")</f>
        <v>Cục Cảnh sát QLHC về TTXH</v>
      </c>
      <c r="P38" s="22" t="str">
        <f>IFERROR(__xludf.DUMMYFUNCTION("""COMPUTED_VALUE"""),"LĐPT")</f>
        <v>LĐPT</v>
      </c>
      <c r="Q38" s="22" t="str">
        <f>IFERROR(__xludf.DUMMYFUNCTION("""COMPUTED_VALUE"""),"Lao động phổ thông")</f>
        <v>Lao động phổ thông</v>
      </c>
      <c r="R38" s="24">
        <f>IFERROR(__xludf.DUMMYFUNCTION("""COMPUTED_VALUE"""),38523.0)</f>
        <v>38523</v>
      </c>
      <c r="S38" s="26">
        <f>IFERROR(__xludf.DUMMYFUNCTION("""COMPUTED_VALUE"""),38523.0)</f>
        <v>38523</v>
      </c>
      <c r="T38" s="22" t="str">
        <f>IFERROR(__xludf.DUMMYFUNCTION("""COMPUTED_VALUE"""),"Chính thức")</f>
        <v>Chính thức</v>
      </c>
      <c r="U38" s="22"/>
      <c r="V38" s="22" t="str">
        <f>IFERROR(__xludf.DUMMYFUNCTION("""COMPUTED_VALUE"""),"Chính thức")</f>
        <v>Chính thức</v>
      </c>
      <c r="W38" s="22" t="str">
        <f>IFERROR(__xludf.DUMMYFUNCTION("""COMPUTED_VALUE"""),"20 năm 6 tháng")</f>
        <v>20 năm 6 tháng</v>
      </c>
      <c r="X38" s="22"/>
      <c r="Y38" s="22"/>
      <c r="Z38" s="22"/>
    </row>
    <row r="39">
      <c r="A39" s="22">
        <f>IFERROR(__xludf.DUMMYFUNCTION("""COMPUTED_VALUE"""),3.0)</f>
        <v>3</v>
      </c>
      <c r="B39" s="22" t="str">
        <f>IFERROR(__xludf.DUMMYFUNCTION("""COMPUTED_VALUE"""),"Văn phòng")</f>
        <v>Văn phòng</v>
      </c>
      <c r="C39" s="22" t="str">
        <f>IFERROR(__xludf.DUMMYFUNCTION("""COMPUTED_VALUE"""),"Phòng Tổ chức - Hành chính")</f>
        <v>Phòng Tổ chức - Hành chính</v>
      </c>
      <c r="D39" s="22" t="str">
        <f>IFERROR(__xludf.DUMMYFUNCTION("""COMPUTED_VALUE"""),"Tổ tạp vụ")</f>
        <v>Tổ tạp vụ</v>
      </c>
      <c r="E39" s="22" t="str">
        <f>IFERROR(__xludf.DUMMYFUNCTION("""COMPUTED_VALUE"""),"Nhân viên tạp vụ")</f>
        <v>Nhân viên tạp vụ</v>
      </c>
      <c r="F39" s="22" t="str">
        <f>IFERROR(__xludf.DUMMYFUNCTION("""COMPUTED_VALUE"""),"NV0347")</f>
        <v>NV0347</v>
      </c>
      <c r="G39" s="22"/>
      <c r="H39" s="22" t="str">
        <f>IFERROR(__xludf.DUMMYFUNCTION("""COMPUTED_VALUE"""),"Trịnh Thị Nhung")</f>
        <v>Trịnh Thị Nhung</v>
      </c>
      <c r="I39" s="22" t="str">
        <f>IFERROR(__xludf.DUMMYFUNCTION("""COMPUTED_VALUE"""),"Nữ")</f>
        <v>Nữ</v>
      </c>
      <c r="J39" s="24">
        <f>IFERROR(__xludf.DUMMYFUNCTION("""COMPUTED_VALUE"""),29209.0)</f>
        <v>29209</v>
      </c>
      <c r="K39" s="22" t="str">
        <f>IFERROR(__xludf.DUMMYFUNCTION("""COMPUTED_VALUE"""),"Thôn 8 - Phường Quảng Phú - Tỉnh Thanh Hóa")</f>
        <v>Thôn 8 - Phường Quảng Phú - Tỉnh Thanh Hóa</v>
      </c>
      <c r="L39" s="22" t="str">
        <f>IFERROR(__xludf.DUMMYFUNCTION("""COMPUTED_VALUE"""),"0396488132")</f>
        <v>0396488132</v>
      </c>
      <c r="M39" s="22" t="str">
        <f>IFERROR(__xludf.DUMMYFUNCTION("""COMPUTED_VALUE"""),"038179022950")</f>
        <v>038179022950</v>
      </c>
      <c r="N39" s="25">
        <f>IFERROR(__xludf.DUMMYFUNCTION("""COMPUTED_VALUE"""),44422.0)</f>
        <v>44422</v>
      </c>
      <c r="O39" s="22" t="str">
        <f>IFERROR(__xludf.DUMMYFUNCTION("""COMPUTED_VALUE"""),"Cục Cảnh sát QLHC về TTXH")</f>
        <v>Cục Cảnh sát QLHC về TTXH</v>
      </c>
      <c r="P39" s="22" t="str">
        <f>IFERROR(__xludf.DUMMYFUNCTION("""COMPUTED_VALUE"""),"LĐPT")</f>
        <v>LĐPT</v>
      </c>
      <c r="Q39" s="22" t="str">
        <f>IFERROR(__xludf.DUMMYFUNCTION("""COMPUTED_VALUE"""),"Lao động phổ thông")</f>
        <v>Lao động phổ thông</v>
      </c>
      <c r="R39" s="24">
        <f>IFERROR(__xludf.DUMMYFUNCTION("""COMPUTED_VALUE"""),37742.0)</f>
        <v>37742</v>
      </c>
      <c r="S39" s="26">
        <f>IFERROR(__xludf.DUMMYFUNCTION("""COMPUTED_VALUE"""),37742.0)</f>
        <v>37742</v>
      </c>
      <c r="T39" s="22" t="str">
        <f>IFERROR(__xludf.DUMMYFUNCTION("""COMPUTED_VALUE"""),"Chính thức")</f>
        <v>Chính thức</v>
      </c>
      <c r="U39" s="22"/>
      <c r="V39" s="22" t="str">
        <f>IFERROR(__xludf.DUMMYFUNCTION("""COMPUTED_VALUE"""),"Chính thức")</f>
        <v>Chính thức</v>
      </c>
      <c r="W39" s="22" t="str">
        <f>IFERROR(__xludf.DUMMYFUNCTION("""COMPUTED_VALUE"""),"22 năm 7 tháng")</f>
        <v>22 năm 7 tháng</v>
      </c>
      <c r="X39" s="22"/>
      <c r="Y39" s="22"/>
      <c r="Z39" s="22"/>
    </row>
    <row r="40">
      <c r="A40" s="22">
        <f>IFERROR(__xludf.DUMMYFUNCTION("""COMPUTED_VALUE"""),4.0)</f>
        <v>4</v>
      </c>
      <c r="B40" s="22" t="str">
        <f>IFERROR(__xludf.DUMMYFUNCTION("""COMPUTED_VALUE"""),"Văn phòng")</f>
        <v>Văn phòng</v>
      </c>
      <c r="C40" s="22" t="str">
        <f>IFERROR(__xludf.DUMMYFUNCTION("""COMPUTED_VALUE"""),"Phòng Tổ chức - Hành chính")</f>
        <v>Phòng Tổ chức - Hành chính</v>
      </c>
      <c r="D40" s="22" t="str">
        <f>IFERROR(__xludf.DUMMYFUNCTION("""COMPUTED_VALUE"""),"Tổ tạp vụ")</f>
        <v>Tổ tạp vụ</v>
      </c>
      <c r="E40" s="22" t="str">
        <f>IFERROR(__xludf.DUMMYFUNCTION("""COMPUTED_VALUE"""),"Nhân viên tạp vụ")</f>
        <v>Nhân viên tạp vụ</v>
      </c>
      <c r="F40" s="22" t="str">
        <f>IFERROR(__xludf.DUMMYFUNCTION("""COMPUTED_VALUE"""),"NV0085")</f>
        <v>NV0085</v>
      </c>
      <c r="G40" s="22"/>
      <c r="H40" s="22" t="str">
        <f>IFERROR(__xludf.DUMMYFUNCTION("""COMPUTED_VALUE"""),"Đỗ Thị Hường")</f>
        <v>Đỗ Thị Hường</v>
      </c>
      <c r="I40" s="22" t="str">
        <f>IFERROR(__xludf.DUMMYFUNCTION("""COMPUTED_VALUE"""),"Nữ")</f>
        <v>Nữ</v>
      </c>
      <c r="J40" s="24">
        <f>IFERROR(__xludf.DUMMYFUNCTION("""COMPUTED_VALUE"""),25883.0)</f>
        <v>25883</v>
      </c>
      <c r="K40" s="22" t="str">
        <f>IFERROR(__xludf.DUMMYFUNCTION("""COMPUTED_VALUE"""),"Thôn Hàm Ninh - Xã Hoằng Lộc - Tỉnh Thanh Hóa")</f>
        <v>Thôn Hàm Ninh - Xã Hoằng Lộc - Tỉnh Thanh Hóa</v>
      </c>
      <c r="L40" s="22" t="str">
        <f>IFERROR(__xludf.DUMMYFUNCTION("""COMPUTED_VALUE"""),"0981185198")</f>
        <v>0981185198</v>
      </c>
      <c r="M40" s="22" t="str">
        <f>IFERROR(__xludf.DUMMYFUNCTION("""COMPUTED_VALUE"""),"038170001784")</f>
        <v>038170001784</v>
      </c>
      <c r="N40" s="25">
        <f>IFERROR(__xludf.DUMMYFUNCTION("""COMPUTED_VALUE"""),44420.0)</f>
        <v>44420</v>
      </c>
      <c r="O40" s="22" t="str">
        <f>IFERROR(__xludf.DUMMYFUNCTION("""COMPUTED_VALUE"""),"Cục Cảnh sát QLHC về TTXH")</f>
        <v>Cục Cảnh sát QLHC về TTXH</v>
      </c>
      <c r="P40" s="22" t="str">
        <f>IFERROR(__xludf.DUMMYFUNCTION("""COMPUTED_VALUE"""),"LĐPT")</f>
        <v>LĐPT</v>
      </c>
      <c r="Q40" s="22" t="str">
        <f>IFERROR(__xludf.DUMMYFUNCTION("""COMPUTED_VALUE"""),"Lao động phổ thông")</f>
        <v>Lao động phổ thông</v>
      </c>
      <c r="R40" s="24">
        <f>IFERROR(__xludf.DUMMYFUNCTION("""COMPUTED_VALUE"""),39246.0)</f>
        <v>39246</v>
      </c>
      <c r="S40" s="26">
        <f>IFERROR(__xludf.DUMMYFUNCTION("""COMPUTED_VALUE"""),39246.0)</f>
        <v>39246</v>
      </c>
      <c r="T40" s="22" t="str">
        <f>IFERROR(__xludf.DUMMYFUNCTION("""COMPUTED_VALUE"""),"Chính thức")</f>
        <v>Chính thức</v>
      </c>
      <c r="U40" s="22"/>
      <c r="V40" s="22" t="str">
        <f>IFERROR(__xludf.DUMMYFUNCTION("""COMPUTED_VALUE"""),"Chính thức")</f>
        <v>Chính thức</v>
      </c>
      <c r="W40" s="22" t="str">
        <f>IFERROR(__xludf.DUMMYFUNCTION("""COMPUTED_VALUE"""),"18 năm 6 tháng")</f>
        <v>18 năm 6 tháng</v>
      </c>
      <c r="X40" s="22"/>
      <c r="Y40" s="22"/>
      <c r="Z40" s="22"/>
    </row>
    <row r="41">
      <c r="A41" s="22">
        <f>IFERROR(__xludf.DUMMYFUNCTION("""COMPUTED_VALUE"""),5.0)</f>
        <v>5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 t="str">
        <f>IFERROR(__xludf.DUMMYFUNCTION("""COMPUTED_VALUE"""),"d.")</f>
        <v>d.</v>
      </c>
      <c r="B42" s="22" t="str">
        <f>IFERROR(__xludf.DUMMYFUNCTION("""COMPUTED_VALUE"""),"Bộ phận mua hàng")</f>
        <v>Bộ phận mua hàng</v>
      </c>
      <c r="C42" s="22">
        <f>IFERROR(__xludf.DUMMYFUNCTION("""COMPUTED_VALUE"""),8.0)</f>
        <v>8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>
        <f>IFERROR(__xludf.DUMMYFUNCTION("""COMPUTED_VALUE"""),1.0)</f>
        <v>1</v>
      </c>
      <c r="B43" s="22" t="str">
        <f>IFERROR(__xludf.DUMMYFUNCTION("""COMPUTED_VALUE"""),"Văn phòng")</f>
        <v>Văn phòng</v>
      </c>
      <c r="C43" s="22" t="str">
        <f>IFERROR(__xludf.DUMMYFUNCTION("""COMPUTED_VALUE"""),"Phòng Tổ chức - Hành chính")</f>
        <v>Phòng Tổ chức - Hành chính</v>
      </c>
      <c r="D43" s="22" t="str">
        <f>IFERROR(__xludf.DUMMYFUNCTION("""COMPUTED_VALUE"""),"Bộ phận mua hàng")</f>
        <v>Bộ phận mua hàng</v>
      </c>
      <c r="E43" s="22" t="str">
        <f>IFERROR(__xludf.DUMMYFUNCTION("""COMPUTED_VALUE"""),"Nhân viên cung ứng")</f>
        <v>Nhân viên cung ứng</v>
      </c>
      <c r="F43" s="22" t="str">
        <f>IFERROR(__xludf.DUMMYFUNCTION("""COMPUTED_VALUE"""),"NV0039")</f>
        <v>NV0039</v>
      </c>
      <c r="G43" s="22">
        <f>IFERROR(__xludf.DUMMYFUNCTION("""COMPUTED_VALUE"""),32.0)</f>
        <v>32</v>
      </c>
      <c r="H43" s="22" t="str">
        <f>IFERROR(__xludf.DUMMYFUNCTION("""COMPUTED_VALUE"""),"Đỗ Hữu Nghị")</f>
        <v>Đỗ Hữu Nghị</v>
      </c>
      <c r="I43" s="22" t="str">
        <f>IFERROR(__xludf.DUMMYFUNCTION("""COMPUTED_VALUE"""),"Nam")</f>
        <v>Nam</v>
      </c>
      <c r="J43" s="24">
        <f>IFERROR(__xludf.DUMMYFUNCTION("""COMPUTED_VALUE"""),33561.0)</f>
        <v>33561</v>
      </c>
      <c r="K43" s="22" t="str">
        <f>IFERROR(__xludf.DUMMYFUNCTION("""COMPUTED_VALUE"""),"P1802 tòa CT1. CC Xuân Mai - Phường Hạc Thành - Tỉnh Thanh Hóa")</f>
        <v>P1802 tòa CT1. CC Xuân Mai - Phường Hạc Thành - Tỉnh Thanh Hóa</v>
      </c>
      <c r="L43" s="27" t="str">
        <f>IFERROR(__xludf.DUMMYFUNCTION("""COMPUTED_VALUE"""),"0967531234")</f>
        <v>0967531234</v>
      </c>
      <c r="M43" s="22" t="str">
        <f>IFERROR(__xludf.DUMMYFUNCTION("""COMPUTED_VALUE"""),"038091001326")</f>
        <v>038091001326</v>
      </c>
      <c r="N43" s="25">
        <f>IFERROR(__xludf.DUMMYFUNCTION("""COMPUTED_VALUE"""),44877.0)</f>
        <v>44877</v>
      </c>
      <c r="O43" s="22" t="str">
        <f>IFERROR(__xludf.DUMMYFUNCTION("""COMPUTED_VALUE"""),"Cục Cảnh sát QLHC về TTXH")</f>
        <v>Cục Cảnh sát QLHC về TTXH</v>
      </c>
      <c r="P43" s="22" t="str">
        <f>IFERROR(__xludf.DUMMYFUNCTION("""COMPUTED_VALUE"""),"Cao đẳng")</f>
        <v>Cao đẳng</v>
      </c>
      <c r="Q43" s="22" t="str">
        <f>IFERROR(__xludf.DUMMYFUNCTION("""COMPUTED_VALUE"""),"Kế toán")</f>
        <v>Kế toán</v>
      </c>
      <c r="R43" s="24">
        <f>IFERROR(__xludf.DUMMYFUNCTION("""COMPUTED_VALUE"""),41677.0)</f>
        <v>41677</v>
      </c>
      <c r="S43" s="26">
        <f>IFERROR(__xludf.DUMMYFUNCTION("""COMPUTED_VALUE"""),41677.0)</f>
        <v>41677</v>
      </c>
      <c r="T43" s="22" t="str">
        <f>IFERROR(__xludf.DUMMYFUNCTION("""COMPUTED_VALUE"""),"Chính thức")</f>
        <v>Chính thức</v>
      </c>
      <c r="U43" s="22"/>
      <c r="V43" s="22" t="str">
        <f>IFERROR(__xludf.DUMMYFUNCTION("""COMPUTED_VALUE"""),"Chính thức")</f>
        <v>Chính thức</v>
      </c>
      <c r="W43" s="22" t="str">
        <f>IFERROR(__xludf.DUMMYFUNCTION("""COMPUTED_VALUE"""),"11 năm 10 tháng")</f>
        <v>11 năm 10 tháng</v>
      </c>
      <c r="X43" s="22"/>
      <c r="Y43" s="22"/>
      <c r="Z43" s="22"/>
    </row>
    <row r="44">
      <c r="A44" s="22">
        <f>IFERROR(__xludf.DUMMYFUNCTION("""COMPUTED_VALUE"""),2.0)</f>
        <v>2</v>
      </c>
      <c r="B44" s="22" t="str">
        <f>IFERROR(__xludf.DUMMYFUNCTION("""COMPUTED_VALUE"""),"Văn phòng")</f>
        <v>Văn phòng</v>
      </c>
      <c r="C44" s="22" t="str">
        <f>IFERROR(__xludf.DUMMYFUNCTION("""COMPUTED_VALUE"""),"Phòng Tổ chức - Hành chính")</f>
        <v>Phòng Tổ chức - Hành chính</v>
      </c>
      <c r="D44" s="22" t="str">
        <f>IFERROR(__xludf.DUMMYFUNCTION("""COMPUTED_VALUE"""),"Bộ phận mua hàng")</f>
        <v>Bộ phận mua hàng</v>
      </c>
      <c r="E44" s="22" t="str">
        <f>IFERROR(__xludf.DUMMYFUNCTION("""COMPUTED_VALUE"""),"Trưởng bộ phận")</f>
        <v>Trưởng bộ phận</v>
      </c>
      <c r="F44" s="22" t="str">
        <f>IFERROR(__xludf.DUMMYFUNCTION("""COMPUTED_VALUE"""),"NV0409")</f>
        <v>NV0409</v>
      </c>
      <c r="G44" s="22">
        <f>IFERROR(__xludf.DUMMYFUNCTION("""COMPUTED_VALUE"""),31.0)</f>
        <v>31</v>
      </c>
      <c r="H44" s="22" t="str">
        <f>IFERROR(__xludf.DUMMYFUNCTION("""COMPUTED_VALUE"""),"Vũ Xuân Tùng")</f>
        <v>Vũ Xuân Tùng</v>
      </c>
      <c r="I44" s="22" t="str">
        <f>IFERROR(__xludf.DUMMYFUNCTION("""COMPUTED_VALUE"""),"Nam")</f>
        <v>Nam</v>
      </c>
      <c r="J44" s="24">
        <f>IFERROR(__xludf.DUMMYFUNCTION("""COMPUTED_VALUE"""),30965.0)</f>
        <v>30965</v>
      </c>
      <c r="K44" s="22" t="str">
        <f>IFERROR(__xludf.DUMMYFUNCTION("""COMPUTED_VALUE"""),"Phố Đông Bắc Ga - phường Hạc Thành - Tinh Thanh Hóa")</f>
        <v>Phố Đông Bắc Ga - phường Hạc Thành - Tinh Thanh Hóa</v>
      </c>
      <c r="L44" s="27" t="str">
        <f>IFERROR(__xludf.DUMMYFUNCTION("""COMPUTED_VALUE"""),"0915851003")</f>
        <v>0915851003</v>
      </c>
      <c r="M44" s="22" t="str">
        <f>IFERROR(__xludf.DUMMYFUNCTION("""COMPUTED_VALUE"""),"038084017182")</f>
        <v>038084017182</v>
      </c>
      <c r="N44" s="25">
        <f>IFERROR(__xludf.DUMMYFUNCTION("""COMPUTED_VALUE"""),45593.0)</f>
        <v>45593</v>
      </c>
      <c r="O44" s="22" t="str">
        <f>IFERROR(__xludf.DUMMYFUNCTION("""COMPUTED_VALUE"""),"Bộ Công An")</f>
        <v>Bộ Công An</v>
      </c>
      <c r="P44" s="22" t="str">
        <f>IFERROR(__xludf.DUMMYFUNCTION("""COMPUTED_VALUE"""),"Cao đẳng")</f>
        <v>Cao đẳng</v>
      </c>
      <c r="Q44" s="22" t="str">
        <f>IFERROR(__xludf.DUMMYFUNCTION("""COMPUTED_VALUE"""),"Công nghệ thông tin")</f>
        <v>Công nghệ thông tin</v>
      </c>
      <c r="R44" s="24">
        <f>IFERROR(__xludf.DUMMYFUNCTION("""COMPUTED_VALUE"""),40471.0)</f>
        <v>40471</v>
      </c>
      <c r="S44" s="26">
        <f>IFERROR(__xludf.DUMMYFUNCTION("""COMPUTED_VALUE"""),40471.0)</f>
        <v>40471</v>
      </c>
      <c r="T44" s="22" t="str">
        <f>IFERROR(__xludf.DUMMYFUNCTION("""COMPUTED_VALUE"""),"Chính thức")</f>
        <v>Chính thức</v>
      </c>
      <c r="U44" s="22"/>
      <c r="V44" s="22" t="str">
        <f>IFERROR(__xludf.DUMMYFUNCTION("""COMPUTED_VALUE"""),"Chính thức")</f>
        <v>Chính thức</v>
      </c>
      <c r="W44" s="22" t="str">
        <f>IFERROR(__xludf.DUMMYFUNCTION("""COMPUTED_VALUE"""),"15 năm 2 tháng")</f>
        <v>15 năm 2 tháng</v>
      </c>
      <c r="X44" s="22"/>
      <c r="Y44" s="22"/>
      <c r="Z44" s="22"/>
    </row>
    <row r="45">
      <c r="A45" s="22">
        <f>IFERROR(__xludf.DUMMYFUNCTION("""COMPUTED_VALUE"""),3.0)</f>
        <v>3</v>
      </c>
      <c r="B45" s="22" t="str">
        <f>IFERROR(__xludf.DUMMYFUNCTION("""COMPUTED_VALUE"""),"Văn phòng")</f>
        <v>Văn phòng</v>
      </c>
      <c r="C45" s="22" t="str">
        <f>IFERROR(__xludf.DUMMYFUNCTION("""COMPUTED_VALUE"""),"Phòng Tổ chức - Hành chính")</f>
        <v>Phòng Tổ chức - Hành chính</v>
      </c>
      <c r="D45" s="22" t="str">
        <f>IFERROR(__xludf.DUMMYFUNCTION("""COMPUTED_VALUE"""),"Bộ phận mua hàng")</f>
        <v>Bộ phận mua hàng</v>
      </c>
      <c r="E45" s="22" t="str">
        <f>IFERROR(__xludf.DUMMYFUNCTION("""COMPUTED_VALUE"""),"Nhân viên cung ứng")</f>
        <v>Nhân viên cung ứng</v>
      </c>
      <c r="F45" s="22" t="str">
        <f>IFERROR(__xludf.DUMMYFUNCTION("""COMPUTED_VALUE"""),"NV0046")</f>
        <v>NV0046</v>
      </c>
      <c r="G45" s="22">
        <f>IFERROR(__xludf.DUMMYFUNCTION("""COMPUTED_VALUE"""),38.0)</f>
        <v>38</v>
      </c>
      <c r="H45" s="22" t="str">
        <f>IFERROR(__xludf.DUMMYFUNCTION("""COMPUTED_VALUE"""),"Nguyễn Đức Hà")</f>
        <v>Nguyễn Đức Hà</v>
      </c>
      <c r="I45" s="22" t="str">
        <f>IFERROR(__xludf.DUMMYFUNCTION("""COMPUTED_VALUE"""),"Nam")</f>
        <v>Nam</v>
      </c>
      <c r="J45" s="24">
        <f>IFERROR(__xludf.DUMMYFUNCTION("""COMPUTED_VALUE"""),30078.0)</f>
        <v>30078</v>
      </c>
      <c r="K45" s="22" t="str">
        <f>IFERROR(__xludf.DUMMYFUNCTION("""COMPUTED_VALUE"""),"SN 02 đường số 6 Thôn Phúc Thọ - xã Hoằng Hóa - Tỉnh Thanh Hóa")</f>
        <v>SN 02 đường số 6 Thôn Phúc Thọ - xã Hoằng Hóa - Tỉnh Thanh Hóa</v>
      </c>
      <c r="L45" s="27" t="str">
        <f>IFERROR(__xludf.DUMMYFUNCTION("""COMPUTED_VALUE"""),"0385679882")</f>
        <v>0385679882</v>
      </c>
      <c r="M45" s="22" t="str">
        <f>IFERROR(__xludf.DUMMYFUNCTION("""COMPUTED_VALUE"""),"038082004952")</f>
        <v>038082004952</v>
      </c>
      <c r="N45" s="25">
        <f>IFERROR(__xludf.DUMMYFUNCTION("""COMPUTED_VALUE"""),44427.0)</f>
        <v>44427</v>
      </c>
      <c r="O45" s="22" t="str">
        <f>IFERROR(__xludf.DUMMYFUNCTION("""COMPUTED_VALUE"""),"Cục Cảnh sát QLHC về TTXH")</f>
        <v>Cục Cảnh sát QLHC về TTXH</v>
      </c>
      <c r="P45" s="22" t="str">
        <f>IFERROR(__xludf.DUMMYFUNCTION("""COMPUTED_VALUE"""),"LĐPT")</f>
        <v>LĐPT</v>
      </c>
      <c r="Q45" s="22" t="str">
        <f>IFERROR(__xludf.DUMMYFUNCTION("""COMPUTED_VALUE"""),"Lao động phổ thông")</f>
        <v>Lao động phổ thông</v>
      </c>
      <c r="R45" s="24">
        <f>IFERROR(__xludf.DUMMYFUNCTION("""COMPUTED_VALUE"""),42236.0)</f>
        <v>42236</v>
      </c>
      <c r="S45" s="26">
        <f>IFERROR(__xludf.DUMMYFUNCTION("""COMPUTED_VALUE"""),42236.0)</f>
        <v>42236</v>
      </c>
      <c r="T45" s="22" t="str">
        <f>IFERROR(__xludf.DUMMYFUNCTION("""COMPUTED_VALUE"""),"Chính thức")</f>
        <v>Chính thức</v>
      </c>
      <c r="U45" s="22"/>
      <c r="V45" s="22" t="str">
        <f>IFERROR(__xludf.DUMMYFUNCTION("""COMPUTED_VALUE"""),"Chính thức")</f>
        <v>Chính thức</v>
      </c>
      <c r="W45" s="22" t="str">
        <f>IFERROR(__xludf.DUMMYFUNCTION("""COMPUTED_VALUE"""),"10 năm 4 tháng")</f>
        <v>10 năm 4 tháng</v>
      </c>
      <c r="X45" s="22"/>
      <c r="Y45" s="22"/>
      <c r="Z45" s="22"/>
    </row>
    <row r="46">
      <c r="A46" s="22">
        <f>IFERROR(__xludf.DUMMYFUNCTION("""COMPUTED_VALUE"""),4.0)</f>
        <v>4</v>
      </c>
      <c r="B46" s="22" t="str">
        <f>IFERROR(__xludf.DUMMYFUNCTION("""COMPUTED_VALUE"""),"Văn phòng")</f>
        <v>Văn phòng</v>
      </c>
      <c r="C46" s="22" t="str">
        <f>IFERROR(__xludf.DUMMYFUNCTION("""COMPUTED_VALUE"""),"Phòng Tổ chức - Hành chính")</f>
        <v>Phòng Tổ chức - Hành chính</v>
      </c>
      <c r="D46" s="22" t="str">
        <f>IFERROR(__xludf.DUMMYFUNCTION("""COMPUTED_VALUE"""),"Bộ phận mua hàng")</f>
        <v>Bộ phận mua hàng</v>
      </c>
      <c r="E46" s="22" t="str">
        <f>IFERROR(__xludf.DUMMYFUNCTION("""COMPUTED_VALUE"""),"Nhân viên cung ứng")</f>
        <v>Nhân viên cung ứng</v>
      </c>
      <c r="F46" s="22" t="str">
        <f>IFERROR(__xludf.DUMMYFUNCTION("""COMPUTED_VALUE"""),"NV0038")</f>
        <v>NV0038</v>
      </c>
      <c r="G46" s="22">
        <f>IFERROR(__xludf.DUMMYFUNCTION("""COMPUTED_VALUE"""),654.0)</f>
        <v>654</v>
      </c>
      <c r="H46" s="22" t="str">
        <f>IFERROR(__xludf.DUMMYFUNCTION("""COMPUTED_VALUE"""),"Nguyễn Thị Bích Thảo")</f>
        <v>Nguyễn Thị Bích Thảo</v>
      </c>
      <c r="I46" s="22" t="str">
        <f>IFERROR(__xludf.DUMMYFUNCTION("""COMPUTED_VALUE"""),"Nữ")</f>
        <v>Nữ</v>
      </c>
      <c r="J46" s="24">
        <f>IFERROR(__xludf.DUMMYFUNCTION("""COMPUTED_VALUE"""),33903.0)</f>
        <v>33903</v>
      </c>
      <c r="K46" s="22" t="str">
        <f>IFERROR(__xludf.DUMMYFUNCTION("""COMPUTED_VALUE"""),"P1802 tòa CT1. CC Xuân Mai - Phường Hạc Thành - Tỉnh Thanh Hóa")</f>
        <v>P1802 tòa CT1. CC Xuân Mai - Phường Hạc Thành - Tỉnh Thanh Hóa</v>
      </c>
      <c r="L46" s="27" t="str">
        <f>IFERROR(__xludf.DUMMYFUNCTION("""COMPUTED_VALUE"""),"0948316858")</f>
        <v>0948316858</v>
      </c>
      <c r="M46" s="22" t="str">
        <f>IFERROR(__xludf.DUMMYFUNCTION("""COMPUTED_VALUE"""),"038192049086")</f>
        <v>038192049086</v>
      </c>
      <c r="N46" s="25">
        <f>IFERROR(__xludf.DUMMYFUNCTION("""COMPUTED_VALUE"""),44830.0)</f>
        <v>44830</v>
      </c>
      <c r="O46" s="22" t="str">
        <f>IFERROR(__xludf.DUMMYFUNCTION("""COMPUTED_VALUE"""),"Cục Cảnh sát QLHC về TTXH")</f>
        <v>Cục Cảnh sát QLHC về TTXH</v>
      </c>
      <c r="P46" s="22" t="str">
        <f>IFERROR(__xludf.DUMMYFUNCTION("""COMPUTED_VALUE"""),"Đại học")</f>
        <v>Đại học</v>
      </c>
      <c r="Q46" s="22" t="str">
        <f>IFERROR(__xludf.DUMMYFUNCTION("""COMPUTED_VALUE"""),"Cử nhân kinh tế")</f>
        <v>Cử nhân kinh tế</v>
      </c>
      <c r="R46" s="24">
        <f>IFERROR(__xludf.DUMMYFUNCTION("""COMPUTED_VALUE"""),41913.0)</f>
        <v>41913</v>
      </c>
      <c r="S46" s="26">
        <f>IFERROR(__xludf.DUMMYFUNCTION("""COMPUTED_VALUE"""),41913.0)</f>
        <v>41913</v>
      </c>
      <c r="T46" s="22" t="str">
        <f>IFERROR(__xludf.DUMMYFUNCTION("""COMPUTED_VALUE"""),"Chính thức")</f>
        <v>Chính thức</v>
      </c>
      <c r="U46" s="22"/>
      <c r="V46" s="22" t="str">
        <f>IFERROR(__xludf.DUMMYFUNCTION("""COMPUTED_VALUE"""),"Chính thức")</f>
        <v>Chính thức</v>
      </c>
      <c r="W46" s="22" t="str">
        <f>IFERROR(__xludf.DUMMYFUNCTION("""COMPUTED_VALUE"""),"11 năm 2 tháng")</f>
        <v>11 năm 2 tháng</v>
      </c>
      <c r="X46" s="22"/>
      <c r="Y46" s="22"/>
      <c r="Z46" s="22"/>
    </row>
    <row r="47">
      <c r="A47" s="22">
        <f>IFERROR(__xludf.DUMMYFUNCTION("""COMPUTED_VALUE"""),5.0)</f>
        <v>5</v>
      </c>
      <c r="B47" s="22" t="str">
        <f>IFERROR(__xludf.DUMMYFUNCTION("""COMPUTED_VALUE"""),"Văn phòng")</f>
        <v>Văn phòng</v>
      </c>
      <c r="C47" s="22" t="str">
        <f>IFERROR(__xludf.DUMMYFUNCTION("""COMPUTED_VALUE"""),"Phòng Tổ chức - Hành chính")</f>
        <v>Phòng Tổ chức - Hành chính</v>
      </c>
      <c r="D47" s="22" t="str">
        <f>IFERROR(__xludf.DUMMYFUNCTION("""COMPUTED_VALUE"""),"Bộ phận mua hàng")</f>
        <v>Bộ phận mua hàng</v>
      </c>
      <c r="E47" s="22" t="str">
        <f>IFERROR(__xludf.DUMMYFUNCTION("""COMPUTED_VALUE"""),"Nhân viên cung ứng")</f>
        <v>Nhân viên cung ứng</v>
      </c>
      <c r="F47" s="22" t="str">
        <f>IFERROR(__xludf.DUMMYFUNCTION("""COMPUTED_VALUE"""),"NV0420")</f>
        <v>NV0420</v>
      </c>
      <c r="G47" s="22">
        <f>IFERROR(__xludf.DUMMYFUNCTION("""COMPUTED_VALUE"""),37.0)</f>
        <v>37</v>
      </c>
      <c r="H47" s="22" t="str">
        <f>IFERROR(__xludf.DUMMYFUNCTION("""COMPUTED_VALUE"""),"Nguyễn Hữu Long")</f>
        <v>Nguyễn Hữu Long</v>
      </c>
      <c r="I47" s="22" t="str">
        <f>IFERROR(__xludf.DUMMYFUNCTION("""COMPUTED_VALUE"""),"Nam")</f>
        <v>Nam</v>
      </c>
      <c r="J47" s="24">
        <f>IFERROR(__xludf.DUMMYFUNCTION("""COMPUTED_VALUE"""),34395.0)</f>
        <v>34395</v>
      </c>
      <c r="K47" s="22" t="str">
        <f>IFERROR(__xludf.DUMMYFUNCTION("""COMPUTED_VALUE"""),"Thôn 14 - Xã Lưu Vệ - tỉnh Thanh Hóa")</f>
        <v>Thôn 14 - Xã Lưu Vệ - tỉnh Thanh Hóa</v>
      </c>
      <c r="L47" s="27" t="str">
        <f>IFERROR(__xludf.DUMMYFUNCTION("""COMPUTED_VALUE"""),"0978811676")</f>
        <v>0978811676</v>
      </c>
      <c r="M47" s="22" t="str">
        <f>IFERROR(__xludf.DUMMYFUNCTION("""COMPUTED_VALUE"""),"038094040805")</f>
        <v>038094040805</v>
      </c>
      <c r="N47" s="25">
        <f>IFERROR(__xludf.DUMMYFUNCTION("""COMPUTED_VALUE"""),45931.0)</f>
        <v>45931</v>
      </c>
      <c r="O47" s="22" t="str">
        <f>IFERROR(__xludf.DUMMYFUNCTION("""COMPUTED_VALUE"""),"Bộ Công An")</f>
        <v>Bộ Công An</v>
      </c>
      <c r="P47" s="22" t="str">
        <f>IFERROR(__xludf.DUMMYFUNCTION("""COMPUTED_VALUE"""),"Cử nhân")</f>
        <v>Cử nhân</v>
      </c>
      <c r="Q47" s="22" t="str">
        <f>IFERROR(__xludf.DUMMYFUNCTION("""COMPUTED_VALUE"""),"Kế toán")</f>
        <v>Kế toán</v>
      </c>
      <c r="R47" s="24">
        <f>IFERROR(__xludf.DUMMYFUNCTION("""COMPUTED_VALUE"""),42470.0)</f>
        <v>42470</v>
      </c>
      <c r="S47" s="26">
        <f>IFERROR(__xludf.DUMMYFUNCTION("""COMPUTED_VALUE"""),42856.0)</f>
        <v>42856</v>
      </c>
      <c r="T47" s="22" t="str">
        <f>IFERROR(__xludf.DUMMYFUNCTION("""COMPUTED_VALUE"""),"Chính thức")</f>
        <v>Chính thức</v>
      </c>
      <c r="U47" s="22"/>
      <c r="V47" s="22" t="str">
        <f>IFERROR(__xludf.DUMMYFUNCTION("""COMPUTED_VALUE"""),"Chính thức")</f>
        <v>Chính thức</v>
      </c>
      <c r="W47" s="22" t="str">
        <f>IFERROR(__xludf.DUMMYFUNCTION("""COMPUTED_VALUE"""),"9 năm 8 tháng")</f>
        <v>9 năm 8 tháng</v>
      </c>
      <c r="X47" s="22"/>
      <c r="Y47" s="22"/>
      <c r="Z47" s="22"/>
    </row>
    <row r="48">
      <c r="A48" s="22">
        <f>IFERROR(__xludf.DUMMYFUNCTION("""COMPUTED_VALUE"""),6.0)</f>
        <v>6</v>
      </c>
      <c r="B48" s="22" t="str">
        <f>IFERROR(__xludf.DUMMYFUNCTION("""COMPUTED_VALUE"""),"Văn phòng")</f>
        <v>Văn phòng</v>
      </c>
      <c r="C48" s="22" t="str">
        <f>IFERROR(__xludf.DUMMYFUNCTION("""COMPUTED_VALUE"""),"Phòng Tổ chức - Hành chính")</f>
        <v>Phòng Tổ chức - Hành chính</v>
      </c>
      <c r="D48" s="22" t="str">
        <f>IFERROR(__xludf.DUMMYFUNCTION("""COMPUTED_VALUE"""),"Bộ phận mua hàng")</f>
        <v>Bộ phận mua hàng</v>
      </c>
      <c r="E48" s="22" t="str">
        <f>IFERROR(__xludf.DUMMYFUNCTION("""COMPUTED_VALUE"""),"Nhân viên cung ứng")</f>
        <v>Nhân viên cung ứng</v>
      </c>
      <c r="F48" s="22" t="str">
        <f>IFERROR(__xludf.DUMMYFUNCTION("""COMPUTED_VALUE"""),"NV3932")</f>
        <v>NV3932</v>
      </c>
      <c r="G48" s="22">
        <f>IFERROR(__xludf.DUMMYFUNCTION("""COMPUTED_VALUE"""),648.0)</f>
        <v>648</v>
      </c>
      <c r="H48" s="22" t="str">
        <f>IFERROR(__xludf.DUMMYFUNCTION("""COMPUTED_VALUE"""),"Trịnh Thị Thúy")</f>
        <v>Trịnh Thị Thúy</v>
      </c>
      <c r="I48" s="22" t="str">
        <f>IFERROR(__xludf.DUMMYFUNCTION("""COMPUTED_VALUE"""),"Nữ")</f>
        <v>Nữ</v>
      </c>
      <c r="J48" s="24">
        <f>IFERROR(__xludf.DUMMYFUNCTION("""COMPUTED_VALUE"""),32683.0)</f>
        <v>32683</v>
      </c>
      <c r="K48" s="22" t="str">
        <f>IFERROR(__xludf.DUMMYFUNCTION("""COMPUTED_VALUE"""),"137 Phạm Vấn - Phường Hạc Thành - Tỉnh Thanh Hóa")</f>
        <v>137 Phạm Vấn - Phường Hạc Thành - Tỉnh Thanh Hóa</v>
      </c>
      <c r="L48" s="27" t="str">
        <f>IFERROR(__xludf.DUMMYFUNCTION("""COMPUTED_VALUE"""),"0966624148")</f>
        <v>0966624148</v>
      </c>
      <c r="M48" s="22" t="str">
        <f>IFERROR(__xludf.DUMMYFUNCTION("""COMPUTED_VALUE"""),"038189007233")</f>
        <v>038189007233</v>
      </c>
      <c r="N48" s="25">
        <f>IFERROR(__xludf.DUMMYFUNCTION("""COMPUTED_VALUE"""),44518.0)</f>
        <v>44518</v>
      </c>
      <c r="O48" s="22" t="str">
        <f>IFERROR(__xludf.DUMMYFUNCTION("""COMPUTED_VALUE"""),"Bộ Công An")</f>
        <v>Bộ Công An</v>
      </c>
      <c r="P48" s="22" t="str">
        <f>IFERROR(__xludf.DUMMYFUNCTION("""COMPUTED_VALUE"""),"Cử nhân")</f>
        <v>Cử nhân</v>
      </c>
      <c r="Q48" s="22" t="str">
        <f>IFERROR(__xludf.DUMMYFUNCTION("""COMPUTED_VALUE"""),"Kinh Tế")</f>
        <v>Kinh Tế</v>
      </c>
      <c r="R48" s="24">
        <f>IFERROR(__xludf.DUMMYFUNCTION("""COMPUTED_VALUE"""),44524.0)</f>
        <v>44524</v>
      </c>
      <c r="S48" s="26">
        <f>IFERROR(__xludf.DUMMYFUNCTION("""COMPUTED_VALUE"""),44652.0)</f>
        <v>44652</v>
      </c>
      <c r="T48" s="22" t="str">
        <f>IFERROR(__xludf.DUMMYFUNCTION("""COMPUTED_VALUE"""),"Chính thức")</f>
        <v>Chính thức</v>
      </c>
      <c r="U48" s="22"/>
      <c r="V48" s="22" t="str">
        <f>IFERROR(__xludf.DUMMYFUNCTION("""COMPUTED_VALUE"""),"Chính thức")</f>
        <v>Chính thức</v>
      </c>
      <c r="W48" s="22" t="str">
        <f>IFERROR(__xludf.DUMMYFUNCTION("""COMPUTED_VALUE"""),"4 năm 1 tháng")</f>
        <v>4 năm 1 tháng</v>
      </c>
      <c r="X48" s="22"/>
      <c r="Y48" s="22"/>
      <c r="Z48" s="22"/>
    </row>
    <row r="49">
      <c r="A49" s="22">
        <f>IFERROR(__xludf.DUMMYFUNCTION("""COMPUTED_VALUE"""),7.0)</f>
        <v>7</v>
      </c>
      <c r="B49" s="22" t="str">
        <f>IFERROR(__xludf.DUMMYFUNCTION("""COMPUTED_VALUE"""),"Văn phòng")</f>
        <v>Văn phòng</v>
      </c>
      <c r="C49" s="22" t="str">
        <f>IFERROR(__xludf.DUMMYFUNCTION("""COMPUTED_VALUE"""),"Phòng Tổ chức - Hành chính")</f>
        <v>Phòng Tổ chức - Hành chính</v>
      </c>
      <c r="D49" s="22" t="str">
        <f>IFERROR(__xludf.DUMMYFUNCTION("""COMPUTED_VALUE"""),"Bộ phận mua hàng")</f>
        <v>Bộ phận mua hàng</v>
      </c>
      <c r="E49" s="22" t="str">
        <f>IFERROR(__xludf.DUMMYFUNCTION("""COMPUTED_VALUE"""),"Nhân viên cung ứng")</f>
        <v>Nhân viên cung ứng</v>
      </c>
      <c r="F49" s="22" t="str">
        <f>IFERROR(__xludf.DUMMYFUNCTION("""COMPUTED_VALUE"""),"NV3756")</f>
        <v>NV3756</v>
      </c>
      <c r="G49" s="22">
        <f>IFERROR(__xludf.DUMMYFUNCTION("""COMPUTED_VALUE"""),691.0)</f>
        <v>691</v>
      </c>
      <c r="H49" s="22" t="str">
        <f>IFERROR(__xludf.DUMMYFUNCTION("""COMPUTED_VALUE"""),"Đỗ Đức Chung")</f>
        <v>Đỗ Đức Chung</v>
      </c>
      <c r="I49" s="22" t="str">
        <f>IFERROR(__xludf.DUMMYFUNCTION("""COMPUTED_VALUE"""),"Nam")</f>
        <v>Nam</v>
      </c>
      <c r="J49" s="24">
        <f>IFERROR(__xludf.DUMMYFUNCTION("""COMPUTED_VALUE"""),34656.0)</f>
        <v>34656</v>
      </c>
      <c r="K49" s="22" t="str">
        <f>IFERROR(__xludf.DUMMYFUNCTION("""COMPUTED_VALUE"""),"Thôn 8, Xã Hoằng Trạch, Huyện Hoằng Hóa, Thanh Hóa,")</f>
        <v>Thôn 8, Xã Hoằng Trạch, Huyện Hoằng Hóa, Thanh Hóa,</v>
      </c>
      <c r="L49" s="27" t="str">
        <f>IFERROR(__xludf.DUMMYFUNCTION("""COMPUTED_VALUE"""),"0986888436")</f>
        <v>0986888436</v>
      </c>
      <c r="M49" s="22" t="str">
        <f>IFERROR(__xludf.DUMMYFUNCTION("""COMPUTED_VALUE"""),"038094032248")</f>
        <v>038094032248</v>
      </c>
      <c r="N49" s="25">
        <f>IFERROR(__xludf.DUMMYFUNCTION("""COMPUTED_VALUE"""),44422.0)</f>
        <v>44422</v>
      </c>
      <c r="O49" s="22" t="str">
        <f>IFERROR(__xludf.DUMMYFUNCTION("""COMPUTED_VALUE"""),"Cục Cảnh sát QLHC về TTXH")</f>
        <v>Cục Cảnh sát QLHC về TTXH</v>
      </c>
      <c r="P49" s="22" t="str">
        <f>IFERROR(__xludf.DUMMYFUNCTION("""COMPUTED_VALUE"""),"LĐPT")</f>
        <v>LĐPT</v>
      </c>
      <c r="Q49" s="22" t="str">
        <f>IFERROR(__xludf.DUMMYFUNCTION("""COMPUTED_VALUE"""),"Lao động phổ thông")</f>
        <v>Lao động phổ thông</v>
      </c>
      <c r="R49" s="24">
        <f>IFERROR(__xludf.DUMMYFUNCTION("""COMPUTED_VALUE"""),44392.0)</f>
        <v>44392</v>
      </c>
      <c r="S49" s="26">
        <f>IFERROR(__xludf.DUMMYFUNCTION("""COMPUTED_VALUE"""),44531.0)</f>
        <v>44531</v>
      </c>
      <c r="T49" s="22" t="str">
        <f>IFERROR(__xludf.DUMMYFUNCTION("""COMPUTED_VALUE"""),"Chính thức")</f>
        <v>Chính thức</v>
      </c>
      <c r="U49" s="22"/>
      <c r="V49" s="22" t="str">
        <f>IFERROR(__xludf.DUMMYFUNCTION("""COMPUTED_VALUE"""),"Chính thức")</f>
        <v>Chính thức</v>
      </c>
      <c r="W49" s="22" t="str">
        <f>IFERROR(__xludf.DUMMYFUNCTION("""COMPUTED_VALUE"""),"4 năm 5 tháng")</f>
        <v>4 năm 5 tháng</v>
      </c>
      <c r="X49" s="22"/>
      <c r="Y49" s="22"/>
      <c r="Z49" s="22"/>
    </row>
    <row r="50">
      <c r="A50" s="22">
        <f>IFERROR(__xludf.DUMMYFUNCTION("""COMPUTED_VALUE"""),8.0)</f>
        <v>8</v>
      </c>
      <c r="B50" s="22" t="str">
        <f>IFERROR(__xludf.DUMMYFUNCTION("""COMPUTED_VALUE"""),"Văn phòng")</f>
        <v>Văn phòng</v>
      </c>
      <c r="C50" s="22" t="str">
        <f>IFERROR(__xludf.DUMMYFUNCTION("""COMPUTED_VALUE"""),"Phòng Tổ chức - Hành chính")</f>
        <v>Phòng Tổ chức - Hành chính</v>
      </c>
      <c r="D50" s="22" t="str">
        <f>IFERROR(__xludf.DUMMYFUNCTION("""COMPUTED_VALUE"""),"Bộ phận mua hàng")</f>
        <v>Bộ phận mua hàng</v>
      </c>
      <c r="E50" s="22" t="str">
        <f>IFERROR(__xludf.DUMMYFUNCTION("""COMPUTED_VALUE"""),"Nhân viên cung ứng")</f>
        <v>Nhân viên cung ứng</v>
      </c>
      <c r="F50" s="22"/>
      <c r="G50" s="22"/>
      <c r="H50" s="22" t="str">
        <f>IFERROR(__xludf.DUMMYFUNCTION("""COMPUTED_VALUE"""),"Ngô Thanh Hương")</f>
        <v>Ngô Thanh Hương</v>
      </c>
      <c r="I50" s="22" t="str">
        <f>IFERROR(__xludf.DUMMYFUNCTION("""COMPUTED_VALUE"""),"Nữ")</f>
        <v>Nữ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 t="str">
        <f>IFERROR(__xludf.DUMMYFUNCTION("""COMPUTED_VALUE"""),"e.")</f>
        <v>e.</v>
      </c>
      <c r="B51" s="22" t="str">
        <f>IFERROR(__xludf.DUMMYFUNCTION("""COMPUTED_VALUE"""),"Tổ bảo vệ")</f>
        <v>Tổ bảo vệ</v>
      </c>
      <c r="C51" s="22">
        <f>IFERROR(__xludf.DUMMYFUNCTION("""COMPUTED_VALUE"""),26.0)</f>
        <v>26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>
        <f>IFERROR(__xludf.DUMMYFUNCTION("""COMPUTED_VALUE"""),1.0)</f>
        <v>1</v>
      </c>
      <c r="B52" s="22" t="str">
        <f>IFERROR(__xludf.DUMMYFUNCTION("""COMPUTED_VALUE"""),"Văn phòng")</f>
        <v>Văn phòng</v>
      </c>
      <c r="C52" s="22" t="str">
        <f>IFERROR(__xludf.DUMMYFUNCTION("""COMPUTED_VALUE"""),"Phòng Tổ chức - Hành chính")</f>
        <v>Phòng Tổ chức - Hành chính</v>
      </c>
      <c r="D52" s="22" t="str">
        <f>IFERROR(__xludf.DUMMYFUNCTION("""COMPUTED_VALUE"""),"Tổ Bảo vệ")</f>
        <v>Tổ Bảo vệ</v>
      </c>
      <c r="E52" s="22" t="str">
        <f>IFERROR(__xludf.DUMMYFUNCTION("""COMPUTED_VALUE"""),"Bảo vệ kiêm xuất hàng")</f>
        <v>Bảo vệ kiêm xuất hàng</v>
      </c>
      <c r="F52" s="22" t="str">
        <f>IFERROR(__xludf.DUMMYFUNCTION("""COMPUTED_VALUE"""),"NV0358")</f>
        <v>NV0358</v>
      </c>
      <c r="G52" s="22">
        <f>IFERROR(__xludf.DUMMYFUNCTION("""COMPUTED_VALUE"""),482.0)</f>
        <v>482</v>
      </c>
      <c r="H52" s="22" t="str">
        <f>IFERROR(__xludf.DUMMYFUNCTION("""COMPUTED_VALUE"""),"Trần Văn Quý")</f>
        <v>Trần Văn Quý</v>
      </c>
      <c r="I52" s="22" t="str">
        <f>IFERROR(__xludf.DUMMYFUNCTION("""COMPUTED_VALUE"""),"Nam")</f>
        <v>Nam</v>
      </c>
      <c r="J52" s="24">
        <f>IFERROR(__xludf.DUMMYFUNCTION("""COMPUTED_VALUE"""),28187.0)</f>
        <v>28187</v>
      </c>
      <c r="K52" s="22" t="str">
        <f>IFERROR(__xludf.DUMMYFUNCTION("""COMPUTED_VALUE"""),"Xã Quảng Hưng - Thành phố Thanh Hóa")</f>
        <v>Xã Quảng Hưng - Thành phố Thanh Hóa</v>
      </c>
      <c r="L52" s="27" t="str">
        <f>IFERROR(__xludf.DUMMYFUNCTION("""COMPUTED_VALUE"""),"0394370161")</f>
        <v>0394370161</v>
      </c>
      <c r="M52" s="22" t="str">
        <f>IFERROR(__xludf.DUMMYFUNCTION("""COMPUTED_VALUE"""),"038077019652")</f>
        <v>038077019652</v>
      </c>
      <c r="N52" s="25">
        <f>IFERROR(__xludf.DUMMYFUNCTION("""COMPUTED_VALUE"""),44326.0)</f>
        <v>44326</v>
      </c>
      <c r="O52" s="22" t="str">
        <f>IFERROR(__xludf.DUMMYFUNCTION("""COMPUTED_VALUE"""),"Cục Cảnh sát QLHC về TTXH")</f>
        <v>Cục Cảnh sát QLHC về TTXH</v>
      </c>
      <c r="P52" s="22" t="str">
        <f>IFERROR(__xludf.DUMMYFUNCTION("""COMPUTED_VALUE"""),"LĐPT")</f>
        <v>LĐPT</v>
      </c>
      <c r="Q52" s="22" t="str">
        <f>IFERROR(__xludf.DUMMYFUNCTION("""COMPUTED_VALUE"""),"Lao động phổ thông")</f>
        <v>Lao động phổ thông</v>
      </c>
      <c r="R52" s="24">
        <f>IFERROR(__xludf.DUMMYFUNCTION("""COMPUTED_VALUE"""),41541.0)</f>
        <v>41541</v>
      </c>
      <c r="S52" s="26">
        <f>IFERROR(__xludf.DUMMYFUNCTION("""COMPUTED_VALUE"""),41541.0)</f>
        <v>41541</v>
      </c>
      <c r="T52" s="22" t="str">
        <f>IFERROR(__xludf.DUMMYFUNCTION("""COMPUTED_VALUE"""),"Chính thức")</f>
        <v>Chính thức</v>
      </c>
      <c r="U52" s="22"/>
      <c r="V52" s="22" t="str">
        <f>IFERROR(__xludf.DUMMYFUNCTION("""COMPUTED_VALUE"""),"Chính thức")</f>
        <v>Chính thức</v>
      </c>
      <c r="W52" s="22" t="str">
        <f>IFERROR(__xludf.DUMMYFUNCTION("""COMPUTED_VALUE"""),"12 năm 3 tháng")</f>
        <v>12 năm 3 tháng</v>
      </c>
      <c r="X52" s="22"/>
      <c r="Y52" s="22"/>
      <c r="Z52" s="22"/>
    </row>
    <row r="53">
      <c r="A53" s="22">
        <f>IFERROR(__xludf.DUMMYFUNCTION("""COMPUTED_VALUE"""),2.0)</f>
        <v>2</v>
      </c>
      <c r="B53" s="22" t="str">
        <f>IFERROR(__xludf.DUMMYFUNCTION("""COMPUTED_VALUE"""),"Văn phòng")</f>
        <v>Văn phòng</v>
      </c>
      <c r="C53" s="22" t="str">
        <f>IFERROR(__xludf.DUMMYFUNCTION("""COMPUTED_VALUE"""),"Phòng Tổ chức - Hành chính")</f>
        <v>Phòng Tổ chức - Hành chính</v>
      </c>
      <c r="D53" s="22" t="str">
        <f>IFERROR(__xludf.DUMMYFUNCTION("""COMPUTED_VALUE"""),"Tổ Bảo vệ")</f>
        <v>Tổ Bảo vệ</v>
      </c>
      <c r="E53" s="22" t="str">
        <f>IFERROR(__xludf.DUMMYFUNCTION("""COMPUTED_VALUE"""),"Bảo vệ kiêm xuất hàng")</f>
        <v>Bảo vệ kiêm xuất hàng</v>
      </c>
      <c r="F53" s="22" t="str">
        <f>IFERROR(__xludf.DUMMYFUNCTION("""COMPUTED_VALUE"""),"NV0694")</f>
        <v>NV0694</v>
      </c>
      <c r="G53" s="22">
        <f>IFERROR(__xludf.DUMMYFUNCTION("""COMPUTED_VALUE"""),752.0)</f>
        <v>752</v>
      </c>
      <c r="H53" s="22" t="str">
        <f>IFERROR(__xludf.DUMMYFUNCTION("""COMPUTED_VALUE"""),"Nguyễn Đức Lâm")</f>
        <v>Nguyễn Đức Lâm</v>
      </c>
      <c r="I53" s="22" t="str">
        <f>IFERROR(__xludf.DUMMYFUNCTION("""COMPUTED_VALUE"""),"Nam")</f>
        <v>Nam</v>
      </c>
      <c r="J53" s="24">
        <f>IFERROR(__xludf.DUMMYFUNCTION("""COMPUTED_VALUE"""),27591.0)</f>
        <v>27591</v>
      </c>
      <c r="K53" s="22" t="str">
        <f>IFERROR(__xludf.DUMMYFUNCTION("""COMPUTED_VALUE"""),"Thôn 2 - Quảng Hưng - Thành phố Thanh Hóa")</f>
        <v>Thôn 2 - Quảng Hưng - Thành phố Thanh Hóa</v>
      </c>
      <c r="L53" s="27" t="str">
        <f>IFERROR(__xludf.DUMMYFUNCTION("""COMPUTED_VALUE"""),"0378608842")</f>
        <v>0378608842</v>
      </c>
      <c r="M53" s="22" t="str">
        <f>IFERROR(__xludf.DUMMYFUNCTION("""COMPUTED_VALUE"""),"038075010273")</f>
        <v>038075010273</v>
      </c>
      <c r="N53" s="25">
        <f>IFERROR(__xludf.DUMMYFUNCTION("""COMPUTED_VALUE"""),44419.0)</f>
        <v>44419</v>
      </c>
      <c r="O53" s="22" t="str">
        <f>IFERROR(__xludf.DUMMYFUNCTION("""COMPUTED_VALUE"""),"Cục Cảnh sát QLHC về TTXH")</f>
        <v>Cục Cảnh sát QLHC về TTXH</v>
      </c>
      <c r="P53" s="22" t="str">
        <f>IFERROR(__xludf.DUMMYFUNCTION("""COMPUTED_VALUE"""),"LĐPT")</f>
        <v>LĐPT</v>
      </c>
      <c r="Q53" s="22" t="str">
        <f>IFERROR(__xludf.DUMMYFUNCTION("""COMPUTED_VALUE"""),"Lao động phổ thông")</f>
        <v>Lao động phổ thông</v>
      </c>
      <c r="R53" s="24">
        <f>IFERROR(__xludf.DUMMYFUNCTION("""COMPUTED_VALUE"""),39600.0)</f>
        <v>39600</v>
      </c>
      <c r="S53" s="26">
        <f>IFERROR(__xludf.DUMMYFUNCTION("""COMPUTED_VALUE"""),39600.0)</f>
        <v>39600</v>
      </c>
      <c r="T53" s="22" t="str">
        <f>IFERROR(__xludf.DUMMYFUNCTION("""COMPUTED_VALUE"""),"Chính thức")</f>
        <v>Chính thức</v>
      </c>
      <c r="U53" s="22"/>
      <c r="V53" s="22" t="str">
        <f>IFERROR(__xludf.DUMMYFUNCTION("""COMPUTED_VALUE"""),"Chính thức")</f>
        <v>Chính thức</v>
      </c>
      <c r="W53" s="22" t="str">
        <f>IFERROR(__xludf.DUMMYFUNCTION("""COMPUTED_VALUE"""),"17 năm 6 tháng")</f>
        <v>17 năm 6 tháng</v>
      </c>
      <c r="X53" s="22"/>
      <c r="Y53" s="22"/>
      <c r="Z53" s="22"/>
    </row>
    <row r="54">
      <c r="A54" s="22">
        <f>IFERROR(__xludf.DUMMYFUNCTION("""COMPUTED_VALUE"""),3.0)</f>
        <v>3</v>
      </c>
      <c r="B54" s="22" t="str">
        <f>IFERROR(__xludf.DUMMYFUNCTION("""COMPUTED_VALUE"""),"Văn phòng")</f>
        <v>Văn phòng</v>
      </c>
      <c r="C54" s="22" t="str">
        <f>IFERROR(__xludf.DUMMYFUNCTION("""COMPUTED_VALUE"""),"Phòng Tổ chức - Hành chính")</f>
        <v>Phòng Tổ chức - Hành chính</v>
      </c>
      <c r="D54" s="22" t="str">
        <f>IFERROR(__xludf.DUMMYFUNCTION("""COMPUTED_VALUE"""),"Tổ Bảo vệ")</f>
        <v>Tổ Bảo vệ</v>
      </c>
      <c r="E54" s="22" t="str">
        <f>IFERROR(__xludf.DUMMYFUNCTION("""COMPUTED_VALUE"""),"Bảo vệ kiêm xuất hàng")</f>
        <v>Bảo vệ kiêm xuất hàng</v>
      </c>
      <c r="F54" s="22" t="str">
        <f>IFERROR(__xludf.DUMMYFUNCTION("""COMPUTED_VALUE"""),"NV0700")</f>
        <v>NV0700</v>
      </c>
      <c r="G54" s="22">
        <f>IFERROR(__xludf.DUMMYFUNCTION("""COMPUTED_VALUE"""),76.0)</f>
        <v>76</v>
      </c>
      <c r="H54" s="22" t="str">
        <f>IFERROR(__xludf.DUMMYFUNCTION("""COMPUTED_VALUE"""),"Trương Ngọc Sơn")</f>
        <v>Trương Ngọc Sơn</v>
      </c>
      <c r="I54" s="22" t="str">
        <f>IFERROR(__xludf.DUMMYFUNCTION("""COMPUTED_VALUE"""),"Nam")</f>
        <v>Nam</v>
      </c>
      <c r="J54" s="24">
        <f>IFERROR(__xludf.DUMMYFUNCTION("""COMPUTED_VALUE"""),27412.0)</f>
        <v>27412</v>
      </c>
      <c r="K54" s="22" t="str">
        <f>IFERROR(__xludf.DUMMYFUNCTION("""COMPUTED_VALUE"""),"Hoằng Phong - Hoằng Hóa - Thanh Hóa")</f>
        <v>Hoằng Phong - Hoằng Hóa - Thanh Hóa</v>
      </c>
      <c r="L54" s="27" t="str">
        <f>IFERROR(__xludf.DUMMYFUNCTION("""COMPUTED_VALUE"""),"0383358289")</f>
        <v>0383358289</v>
      </c>
      <c r="M54" s="22" t="str">
        <f>IFERROR(__xludf.DUMMYFUNCTION("""COMPUTED_VALUE"""),"038075008187")</f>
        <v>038075008187</v>
      </c>
      <c r="N54" s="25">
        <f>IFERROR(__xludf.DUMMYFUNCTION("""COMPUTED_VALUE"""),45523.0)</f>
        <v>45523</v>
      </c>
      <c r="O54" s="22" t="str">
        <f>IFERROR(__xludf.DUMMYFUNCTION("""COMPUTED_VALUE"""),"Cục Cảnh sát QLHC về TTXH")</f>
        <v>Cục Cảnh sát QLHC về TTXH</v>
      </c>
      <c r="P54" s="22" t="str">
        <f>IFERROR(__xludf.DUMMYFUNCTION("""COMPUTED_VALUE"""),"LĐPT")</f>
        <v>LĐPT</v>
      </c>
      <c r="Q54" s="22" t="str">
        <f>IFERROR(__xludf.DUMMYFUNCTION("""COMPUTED_VALUE"""),"Lao động phổ thông")</f>
        <v>Lao động phổ thông</v>
      </c>
      <c r="R54" s="24">
        <f>IFERROR(__xludf.DUMMYFUNCTION("""COMPUTED_VALUE"""),42086.0)</f>
        <v>42086</v>
      </c>
      <c r="S54" s="26">
        <f>IFERROR(__xludf.DUMMYFUNCTION("""COMPUTED_VALUE"""),42086.0)</f>
        <v>42086</v>
      </c>
      <c r="T54" s="22" t="str">
        <f>IFERROR(__xludf.DUMMYFUNCTION("""COMPUTED_VALUE"""),"Chính thức")</f>
        <v>Chính thức</v>
      </c>
      <c r="U54" s="22"/>
      <c r="V54" s="22" t="str">
        <f>IFERROR(__xludf.DUMMYFUNCTION("""COMPUTED_VALUE"""),"Chính thức")</f>
        <v>Chính thức</v>
      </c>
      <c r="W54" s="22" t="str">
        <f>IFERROR(__xludf.DUMMYFUNCTION("""COMPUTED_VALUE"""),"10 năm 9 tháng")</f>
        <v>10 năm 9 tháng</v>
      </c>
      <c r="X54" s="22"/>
      <c r="Y54" s="22"/>
      <c r="Z54" s="22"/>
    </row>
    <row r="55">
      <c r="A55" s="22">
        <f>IFERROR(__xludf.DUMMYFUNCTION("""COMPUTED_VALUE"""),4.0)</f>
        <v>4</v>
      </c>
      <c r="B55" s="22" t="str">
        <f>IFERROR(__xludf.DUMMYFUNCTION("""COMPUTED_VALUE"""),"Văn phòng")</f>
        <v>Văn phòng</v>
      </c>
      <c r="C55" s="22" t="str">
        <f>IFERROR(__xludf.DUMMYFUNCTION("""COMPUTED_VALUE"""),"Phòng Tổ chức - Hành chính")</f>
        <v>Phòng Tổ chức - Hành chính</v>
      </c>
      <c r="D55" s="22" t="str">
        <f>IFERROR(__xludf.DUMMYFUNCTION("""COMPUTED_VALUE"""),"Tổ Bảo vệ")</f>
        <v>Tổ Bảo vệ</v>
      </c>
      <c r="E55" s="22" t="str">
        <f>IFERROR(__xludf.DUMMYFUNCTION("""COMPUTED_VALUE"""),"Bảo vệ kiêm xuất hàng")</f>
        <v>Bảo vệ kiêm xuất hàng</v>
      </c>
      <c r="F55" s="22" t="str">
        <f>IFERROR(__xludf.DUMMYFUNCTION("""COMPUTED_VALUE"""),"NV1689")</f>
        <v>NV1689</v>
      </c>
      <c r="G55" s="22">
        <f>IFERROR(__xludf.DUMMYFUNCTION("""COMPUTED_VALUE"""),67.0)</f>
        <v>67</v>
      </c>
      <c r="H55" s="22" t="str">
        <f>IFERROR(__xludf.DUMMYFUNCTION("""COMPUTED_VALUE"""),"Lê Văn Hào")</f>
        <v>Lê Văn Hào</v>
      </c>
      <c r="I55" s="22" t="str">
        <f>IFERROR(__xludf.DUMMYFUNCTION("""COMPUTED_VALUE"""),"Nam")</f>
        <v>Nam</v>
      </c>
      <c r="J55" s="24">
        <f>IFERROR(__xludf.DUMMYFUNCTION("""COMPUTED_VALUE"""),27143.0)</f>
        <v>27143</v>
      </c>
      <c r="K55" s="22" t="str">
        <f>IFERROR(__xludf.DUMMYFUNCTION("""COMPUTED_VALUE"""),"Phố 1 - Phường Quảng Hưng - Thành Phố Thanh Hóa")</f>
        <v>Phố 1 - Phường Quảng Hưng - Thành Phố Thanh Hóa</v>
      </c>
      <c r="L55" s="27" t="str">
        <f>IFERROR(__xludf.DUMMYFUNCTION("""COMPUTED_VALUE"""),"0941954675")</f>
        <v>0941954675</v>
      </c>
      <c r="M55" s="22" t="str">
        <f>IFERROR(__xludf.DUMMYFUNCTION("""COMPUTED_VALUE"""),"038074004945")</f>
        <v>038074004945</v>
      </c>
      <c r="N55" s="25">
        <f>IFERROR(__xludf.DUMMYFUNCTION("""COMPUTED_VALUE"""),44419.0)</f>
        <v>44419</v>
      </c>
      <c r="O55" s="22" t="str">
        <f>IFERROR(__xludf.DUMMYFUNCTION("""COMPUTED_VALUE"""),"Cục Cảnh sát QLHC về TTXH")</f>
        <v>Cục Cảnh sát QLHC về TTXH</v>
      </c>
      <c r="P55" s="22" t="str">
        <f>IFERROR(__xludf.DUMMYFUNCTION("""COMPUTED_VALUE"""),"LĐPT")</f>
        <v>LĐPT</v>
      </c>
      <c r="Q55" s="22" t="str">
        <f>IFERROR(__xludf.DUMMYFUNCTION("""COMPUTED_VALUE"""),"Lao động phổ thông")</f>
        <v>Lao động phổ thông</v>
      </c>
      <c r="R55" s="24">
        <f>IFERROR(__xludf.DUMMYFUNCTION("""COMPUTED_VALUE"""),43335.0)</f>
        <v>43335</v>
      </c>
      <c r="S55" s="26">
        <f>IFERROR(__xludf.DUMMYFUNCTION("""COMPUTED_VALUE"""),43678.0)</f>
        <v>43678</v>
      </c>
      <c r="T55" s="22" t="str">
        <f>IFERROR(__xludf.DUMMYFUNCTION("""COMPUTED_VALUE"""),"Chính thức")</f>
        <v>Chính thức</v>
      </c>
      <c r="U55" s="22"/>
      <c r="V55" s="22" t="str">
        <f>IFERROR(__xludf.DUMMYFUNCTION("""COMPUTED_VALUE"""),"Chính thức")</f>
        <v>Chính thức</v>
      </c>
      <c r="W55" s="22" t="str">
        <f>IFERROR(__xludf.DUMMYFUNCTION("""COMPUTED_VALUE"""),"7 năm 4 tháng")</f>
        <v>7 năm 4 tháng</v>
      </c>
      <c r="X55" s="22"/>
      <c r="Y55" s="22"/>
      <c r="Z55" s="22"/>
    </row>
    <row r="56">
      <c r="A56" s="22">
        <f>IFERROR(__xludf.DUMMYFUNCTION("""COMPUTED_VALUE"""),5.0)</f>
        <v>5</v>
      </c>
      <c r="B56" s="22" t="str">
        <f>IFERROR(__xludf.DUMMYFUNCTION("""COMPUTED_VALUE"""),"Văn phòng")</f>
        <v>Văn phòng</v>
      </c>
      <c r="C56" s="22" t="str">
        <f>IFERROR(__xludf.DUMMYFUNCTION("""COMPUTED_VALUE"""),"Phòng Tổ chức - Hành chính")</f>
        <v>Phòng Tổ chức - Hành chính</v>
      </c>
      <c r="D56" s="22" t="str">
        <f>IFERROR(__xludf.DUMMYFUNCTION("""COMPUTED_VALUE"""),"Tổ Bảo vệ")</f>
        <v>Tổ Bảo vệ</v>
      </c>
      <c r="E56" s="22" t="str">
        <f>IFERROR(__xludf.DUMMYFUNCTION("""COMPUTED_VALUE"""),"Bảo vệ kiêm xuất hàng")</f>
        <v>Bảo vệ kiêm xuất hàng</v>
      </c>
      <c r="F56" s="22" t="str">
        <f>IFERROR(__xludf.DUMMYFUNCTION("""COMPUTED_VALUE"""),"NV1295")</f>
        <v>NV1295</v>
      </c>
      <c r="G56" s="22">
        <f>IFERROR(__xludf.DUMMYFUNCTION("""COMPUTED_VALUE"""),603.0)</f>
        <v>603</v>
      </c>
      <c r="H56" s="22" t="str">
        <f>IFERROR(__xludf.DUMMYFUNCTION("""COMPUTED_VALUE"""),"Trịnh Sỹ Thiết")</f>
        <v>Trịnh Sỹ Thiết</v>
      </c>
      <c r="I56" s="22" t="str">
        <f>IFERROR(__xludf.DUMMYFUNCTION("""COMPUTED_VALUE"""),"Nam")</f>
        <v>Nam</v>
      </c>
      <c r="J56" s="24">
        <f>IFERROR(__xludf.DUMMYFUNCTION("""COMPUTED_VALUE"""),27020.0)</f>
        <v>27020</v>
      </c>
      <c r="K56" s="22" t="str">
        <f>IFERROR(__xludf.DUMMYFUNCTION("""COMPUTED_VALUE"""),"Phố 4 - Phường Quảng Hưng - Thành Phố")</f>
        <v>Phố 4 - Phường Quảng Hưng - Thành Phố</v>
      </c>
      <c r="L56" s="27" t="str">
        <f>IFERROR(__xludf.DUMMYFUNCTION("""COMPUTED_VALUE"""),"0944340036")</f>
        <v>0944340036</v>
      </c>
      <c r="M56" s="22" t="str">
        <f>IFERROR(__xludf.DUMMYFUNCTION("""COMPUTED_VALUE"""),"038073007463")</f>
        <v>038073007463</v>
      </c>
      <c r="N56" s="25">
        <f>IFERROR(__xludf.DUMMYFUNCTION("""COMPUTED_VALUE"""),44320.0)</f>
        <v>44320</v>
      </c>
      <c r="O56" s="22" t="str">
        <f>IFERROR(__xludf.DUMMYFUNCTION("""COMPUTED_VALUE"""),"Cục Cảnh sát QLHC về TTXH")</f>
        <v>Cục Cảnh sát QLHC về TTXH</v>
      </c>
      <c r="P56" s="22" t="str">
        <f>IFERROR(__xludf.DUMMYFUNCTION("""COMPUTED_VALUE"""),"LĐPT")</f>
        <v>LĐPT</v>
      </c>
      <c r="Q56" s="22" t="str">
        <f>IFERROR(__xludf.DUMMYFUNCTION("""COMPUTED_VALUE"""),"Lao động phổ thông")</f>
        <v>Lao động phổ thông</v>
      </c>
      <c r="R56" s="24">
        <f>IFERROR(__xludf.DUMMYFUNCTION("""COMPUTED_VALUE"""),43179.0)</f>
        <v>43179</v>
      </c>
      <c r="S56" s="26">
        <f>IFERROR(__xludf.DUMMYFUNCTION("""COMPUTED_VALUE"""),43466.0)</f>
        <v>43466</v>
      </c>
      <c r="T56" s="22" t="str">
        <f>IFERROR(__xludf.DUMMYFUNCTION("""COMPUTED_VALUE"""),"Chính thức")</f>
        <v>Chính thức</v>
      </c>
      <c r="U56" s="22"/>
      <c r="V56" s="22" t="str">
        <f>IFERROR(__xludf.DUMMYFUNCTION("""COMPUTED_VALUE"""),"Chính thức")</f>
        <v>Chính thức</v>
      </c>
      <c r="W56" s="22" t="str">
        <f>IFERROR(__xludf.DUMMYFUNCTION("""COMPUTED_VALUE"""),"7 năm 9 tháng")</f>
        <v>7 năm 9 tháng</v>
      </c>
      <c r="X56" s="22"/>
      <c r="Y56" s="22"/>
      <c r="Z56" s="22"/>
    </row>
    <row r="57">
      <c r="A57" s="22">
        <f>IFERROR(__xludf.DUMMYFUNCTION("""COMPUTED_VALUE"""),6.0)</f>
        <v>6</v>
      </c>
      <c r="B57" s="22" t="str">
        <f>IFERROR(__xludf.DUMMYFUNCTION("""COMPUTED_VALUE"""),"Văn phòng")</f>
        <v>Văn phòng</v>
      </c>
      <c r="C57" s="22" t="str">
        <f>IFERROR(__xludf.DUMMYFUNCTION("""COMPUTED_VALUE"""),"Phòng Tổ chức - Hành chính")</f>
        <v>Phòng Tổ chức - Hành chính</v>
      </c>
      <c r="D57" s="22" t="str">
        <f>IFERROR(__xludf.DUMMYFUNCTION("""COMPUTED_VALUE"""),"Tổ Bảo vệ")</f>
        <v>Tổ Bảo vệ</v>
      </c>
      <c r="E57" s="22" t="str">
        <f>IFERROR(__xludf.DUMMYFUNCTION("""COMPUTED_VALUE"""),"Bảo vệ kiêm xuất hàng")</f>
        <v>Bảo vệ kiêm xuất hàng</v>
      </c>
      <c r="F57" s="22" t="str">
        <f>IFERROR(__xludf.DUMMYFUNCTION("""COMPUTED_VALUE"""),"NV3197")</f>
        <v>NV3197</v>
      </c>
      <c r="G57" s="22">
        <f>IFERROR(__xludf.DUMMYFUNCTION("""COMPUTED_VALUE"""),570.0)</f>
        <v>570</v>
      </c>
      <c r="H57" s="22" t="str">
        <f>IFERROR(__xludf.DUMMYFUNCTION("""COMPUTED_VALUE"""),"Nguyễn Văn Trung")</f>
        <v>Nguyễn Văn Trung</v>
      </c>
      <c r="I57" s="22" t="str">
        <f>IFERROR(__xludf.DUMMYFUNCTION("""COMPUTED_VALUE"""),"Nam")</f>
        <v>Nam</v>
      </c>
      <c r="J57" s="24">
        <f>IFERROR(__xludf.DUMMYFUNCTION("""COMPUTED_VALUE"""),26356.0)</f>
        <v>26356</v>
      </c>
      <c r="K57" s="22" t="str">
        <f>IFERROR(__xludf.DUMMYFUNCTION("""COMPUTED_VALUE"""),"Quảng Hưng - Thành Phố Thanh Hóa")</f>
        <v>Quảng Hưng - Thành Phố Thanh Hóa</v>
      </c>
      <c r="L57" s="27" t="str">
        <f>IFERROR(__xludf.DUMMYFUNCTION("""COMPUTED_VALUE"""),"0965006225")</f>
        <v>0965006225</v>
      </c>
      <c r="M57" s="22" t="str">
        <f>IFERROR(__xludf.DUMMYFUNCTION("""COMPUTED_VALUE"""),"038072009393")</f>
        <v>038072009393</v>
      </c>
      <c r="N57" s="25">
        <f>IFERROR(__xludf.DUMMYFUNCTION("""COMPUTED_VALUE"""),44305.0)</f>
        <v>44305</v>
      </c>
      <c r="O57" s="22" t="str">
        <f>IFERROR(__xludf.DUMMYFUNCTION("""COMPUTED_VALUE"""),"Cục Cảnh sát QLHC về TTXH")</f>
        <v>Cục Cảnh sát QLHC về TTXH</v>
      </c>
      <c r="P57" s="22" t="str">
        <f>IFERROR(__xludf.DUMMYFUNCTION("""COMPUTED_VALUE"""),"LĐPT")</f>
        <v>LĐPT</v>
      </c>
      <c r="Q57" s="22" t="str">
        <f>IFERROR(__xludf.DUMMYFUNCTION("""COMPUTED_VALUE"""),"Lao động phổ thông")</f>
        <v>Lao động phổ thông</v>
      </c>
      <c r="R57" s="24">
        <f>IFERROR(__xludf.DUMMYFUNCTION("""COMPUTED_VALUE"""),44052.0)</f>
        <v>44052</v>
      </c>
      <c r="S57" s="26">
        <f>IFERROR(__xludf.DUMMYFUNCTION("""COMPUTED_VALUE"""),44348.0)</f>
        <v>44348</v>
      </c>
      <c r="T57" s="22" t="str">
        <f>IFERROR(__xludf.DUMMYFUNCTION("""COMPUTED_VALUE"""),"Chính thức")</f>
        <v>Chính thức</v>
      </c>
      <c r="U57" s="22"/>
      <c r="V57" s="22" t="str">
        <f>IFERROR(__xludf.DUMMYFUNCTION("""COMPUTED_VALUE"""),"Chính thức")</f>
        <v>Chính thức</v>
      </c>
      <c r="W57" s="22" t="str">
        <f>IFERROR(__xludf.DUMMYFUNCTION("""COMPUTED_VALUE"""),"5 năm 4 tháng")</f>
        <v>5 năm 4 tháng</v>
      </c>
      <c r="X57" s="22"/>
      <c r="Y57" s="22"/>
      <c r="Z57" s="22"/>
    </row>
    <row r="58">
      <c r="A58" s="22">
        <f>IFERROR(__xludf.DUMMYFUNCTION("""COMPUTED_VALUE"""),7.0)</f>
        <v>7</v>
      </c>
      <c r="B58" s="22" t="str">
        <f>IFERROR(__xludf.DUMMYFUNCTION("""COMPUTED_VALUE"""),"Văn phòng")</f>
        <v>Văn phòng</v>
      </c>
      <c r="C58" s="22" t="str">
        <f>IFERROR(__xludf.DUMMYFUNCTION("""COMPUTED_VALUE"""),"Phòng Tổ chức - Hành chính")</f>
        <v>Phòng Tổ chức - Hành chính</v>
      </c>
      <c r="D58" s="22" t="str">
        <f>IFERROR(__xludf.DUMMYFUNCTION("""COMPUTED_VALUE"""),"Tổ Bảo vệ")</f>
        <v>Tổ Bảo vệ</v>
      </c>
      <c r="E58" s="22" t="str">
        <f>IFERROR(__xludf.DUMMYFUNCTION("""COMPUTED_VALUE"""),"Nhân viên bảo vệ")</f>
        <v>Nhân viên bảo vệ</v>
      </c>
      <c r="F58" s="22" t="str">
        <f>IFERROR(__xludf.DUMMYFUNCTION("""COMPUTED_VALUE"""),"NV3422")</f>
        <v>NV3422</v>
      </c>
      <c r="G58" s="22">
        <f>IFERROR(__xludf.DUMMYFUNCTION("""COMPUTED_VALUE"""),601.0)</f>
        <v>601</v>
      </c>
      <c r="H58" s="22" t="str">
        <f>IFERROR(__xludf.DUMMYFUNCTION("""COMPUTED_VALUE"""),"Lê Văn Phương")</f>
        <v>Lê Văn Phương</v>
      </c>
      <c r="I58" s="22" t="str">
        <f>IFERROR(__xludf.DUMMYFUNCTION("""COMPUTED_VALUE"""),"Nam")</f>
        <v>Nam</v>
      </c>
      <c r="J58" s="24">
        <f>IFERROR(__xludf.DUMMYFUNCTION("""COMPUTED_VALUE"""),23987.0)</f>
        <v>23987</v>
      </c>
      <c r="K58" s="22" t="str">
        <f>IFERROR(__xludf.DUMMYFUNCTION("""COMPUTED_VALUE"""),"Quảng Hợp - Quảng Xương - Thanh Hóa")</f>
        <v>Quảng Hợp - Quảng Xương - Thanh Hóa</v>
      </c>
      <c r="L58" s="27" t="str">
        <f>IFERROR(__xludf.DUMMYFUNCTION("""COMPUTED_VALUE"""),"0963133662")</f>
        <v>0963133662</v>
      </c>
      <c r="M58" s="22" t="str">
        <f>IFERROR(__xludf.DUMMYFUNCTION("""COMPUTED_VALUE"""),"038065033082")</f>
        <v>038065033082</v>
      </c>
      <c r="N58" s="25">
        <f>IFERROR(__xludf.DUMMYFUNCTION("""COMPUTED_VALUE"""),44423.0)</f>
        <v>44423</v>
      </c>
      <c r="O58" s="22" t="str">
        <f>IFERROR(__xludf.DUMMYFUNCTION("""COMPUTED_VALUE"""),"Cục Cảnh sát QLHC về TTXH")</f>
        <v>Cục Cảnh sát QLHC về TTXH</v>
      </c>
      <c r="P58" s="22" t="str">
        <f>IFERROR(__xludf.DUMMYFUNCTION("""COMPUTED_VALUE"""),"LĐPT")</f>
        <v>LĐPT</v>
      </c>
      <c r="Q58" s="22" t="str">
        <f>IFERROR(__xludf.DUMMYFUNCTION("""COMPUTED_VALUE"""),"Lao động phổ thông")</f>
        <v>Lao động phổ thông</v>
      </c>
      <c r="R58" s="24">
        <f>IFERROR(__xludf.DUMMYFUNCTION("""COMPUTED_VALUE"""),44191.0)</f>
        <v>44191</v>
      </c>
      <c r="S58" s="26">
        <f>IFERROR(__xludf.DUMMYFUNCTION("""COMPUTED_VALUE"""),44348.0)</f>
        <v>44348</v>
      </c>
      <c r="T58" s="22" t="str">
        <f>IFERROR(__xludf.DUMMYFUNCTION("""COMPUTED_VALUE"""),"Chính thức")</f>
        <v>Chính thức</v>
      </c>
      <c r="U58" s="22"/>
      <c r="V58" s="22" t="str">
        <f>IFERROR(__xludf.DUMMYFUNCTION("""COMPUTED_VALUE"""),"Chính thức")</f>
        <v>Chính thức</v>
      </c>
      <c r="W58" s="22" t="str">
        <f>IFERROR(__xludf.DUMMYFUNCTION("""COMPUTED_VALUE"""),"5 năm 0 tháng")</f>
        <v>5 năm 0 tháng</v>
      </c>
      <c r="X58" s="22"/>
      <c r="Y58" s="22"/>
      <c r="Z58" s="22"/>
    </row>
    <row r="59">
      <c r="A59" s="22">
        <f>IFERROR(__xludf.DUMMYFUNCTION("""COMPUTED_VALUE"""),8.0)</f>
        <v>8</v>
      </c>
      <c r="B59" s="22" t="str">
        <f>IFERROR(__xludf.DUMMYFUNCTION("""COMPUTED_VALUE"""),"Văn phòng")</f>
        <v>Văn phòng</v>
      </c>
      <c r="C59" s="22" t="str">
        <f>IFERROR(__xludf.DUMMYFUNCTION("""COMPUTED_VALUE"""),"Phòng Tổ chức - Hành chính")</f>
        <v>Phòng Tổ chức - Hành chính</v>
      </c>
      <c r="D59" s="22" t="str">
        <f>IFERROR(__xludf.DUMMYFUNCTION("""COMPUTED_VALUE"""),"Tổ Bảo vệ")</f>
        <v>Tổ Bảo vệ</v>
      </c>
      <c r="E59" s="22" t="str">
        <f>IFERROR(__xludf.DUMMYFUNCTION("""COMPUTED_VALUE"""),"Tổ trưởng bảo vệ")</f>
        <v>Tổ trưởng bảo vệ</v>
      </c>
      <c r="F59" s="22" t="str">
        <f>IFERROR(__xludf.DUMMYFUNCTION("""COMPUTED_VALUE"""),"NV0690")</f>
        <v>NV0690</v>
      </c>
      <c r="G59" s="22">
        <f>IFERROR(__xludf.DUMMYFUNCTION("""COMPUTED_VALUE"""),58.0)</f>
        <v>58</v>
      </c>
      <c r="H59" s="22" t="str">
        <f>IFERROR(__xludf.DUMMYFUNCTION("""COMPUTED_VALUE"""),"Đỗ Văn Thạnh")</f>
        <v>Đỗ Văn Thạnh</v>
      </c>
      <c r="I59" s="22" t="str">
        <f>IFERROR(__xludf.DUMMYFUNCTION("""COMPUTED_VALUE"""),"Nam")</f>
        <v>Nam</v>
      </c>
      <c r="J59" s="24">
        <f>IFERROR(__xludf.DUMMYFUNCTION("""COMPUTED_VALUE"""),28413.0)</f>
        <v>28413</v>
      </c>
      <c r="K59" s="22" t="str">
        <f>IFERROR(__xludf.DUMMYFUNCTION("""COMPUTED_VALUE"""),"Đội 8 - Hoằng Trạch - Hoằng Hóa - Thanh Hóa")</f>
        <v>Đội 8 - Hoằng Trạch - Hoằng Hóa - Thanh Hóa</v>
      </c>
      <c r="L59" s="27" t="str">
        <f>IFERROR(__xludf.DUMMYFUNCTION("""COMPUTED_VALUE"""),"0916631858")</f>
        <v>0916631858</v>
      </c>
      <c r="M59" s="22" t="str">
        <f>IFERROR(__xludf.DUMMYFUNCTION("""COMPUTED_VALUE"""),"038077015580")</f>
        <v>038077015580</v>
      </c>
      <c r="N59" s="25">
        <f>IFERROR(__xludf.DUMMYFUNCTION("""COMPUTED_VALUE"""),45131.0)</f>
        <v>45131</v>
      </c>
      <c r="O59" s="22" t="str">
        <f>IFERROR(__xludf.DUMMYFUNCTION("""COMPUTED_VALUE"""),"Cục Cảnh sát QLHC về TTXH")</f>
        <v>Cục Cảnh sát QLHC về TTXH</v>
      </c>
      <c r="P59" s="22" t="str">
        <f>IFERROR(__xludf.DUMMYFUNCTION("""COMPUTED_VALUE"""),"LĐPT")</f>
        <v>LĐPT</v>
      </c>
      <c r="Q59" s="22" t="str">
        <f>IFERROR(__xludf.DUMMYFUNCTION("""COMPUTED_VALUE"""),"Lao động phổ thông")</f>
        <v>Lao động phổ thông</v>
      </c>
      <c r="R59" s="24">
        <f>IFERROR(__xludf.DUMMYFUNCTION("""COMPUTED_VALUE"""),37347.0)</f>
        <v>37347</v>
      </c>
      <c r="S59" s="26">
        <f>IFERROR(__xludf.DUMMYFUNCTION("""COMPUTED_VALUE"""),37347.0)</f>
        <v>37347</v>
      </c>
      <c r="T59" s="22" t="str">
        <f>IFERROR(__xludf.DUMMYFUNCTION("""COMPUTED_VALUE"""),"Chính thức")</f>
        <v>Chính thức</v>
      </c>
      <c r="U59" s="22"/>
      <c r="V59" s="22" t="str">
        <f>IFERROR(__xludf.DUMMYFUNCTION("""COMPUTED_VALUE"""),"Chính thức")</f>
        <v>Chính thức</v>
      </c>
      <c r="W59" s="22" t="str">
        <f>IFERROR(__xludf.DUMMYFUNCTION("""COMPUTED_VALUE"""),"23 năm 8 tháng")</f>
        <v>23 năm 8 tháng</v>
      </c>
      <c r="X59" s="22"/>
      <c r="Y59" s="22"/>
      <c r="Z59" s="22"/>
    </row>
    <row r="60">
      <c r="A60" s="22">
        <f>IFERROR(__xludf.DUMMYFUNCTION("""COMPUTED_VALUE"""),9.0)</f>
        <v>9</v>
      </c>
      <c r="B60" s="22" t="str">
        <f>IFERROR(__xludf.DUMMYFUNCTION("""COMPUTED_VALUE"""),"Văn phòng")</f>
        <v>Văn phòng</v>
      </c>
      <c r="C60" s="22" t="str">
        <f>IFERROR(__xludf.DUMMYFUNCTION("""COMPUTED_VALUE"""),"Phòng Tổ chức - Hành chính")</f>
        <v>Phòng Tổ chức - Hành chính</v>
      </c>
      <c r="D60" s="22" t="str">
        <f>IFERROR(__xludf.DUMMYFUNCTION("""COMPUTED_VALUE"""),"Tổ Bảo vệ")</f>
        <v>Tổ Bảo vệ</v>
      </c>
      <c r="E60" s="22" t="str">
        <f>IFERROR(__xludf.DUMMYFUNCTION("""COMPUTED_VALUE"""),"Bảo vệ kiêm xuất hàng")</f>
        <v>Bảo vệ kiêm xuất hàng</v>
      </c>
      <c r="F60" s="22" t="str">
        <f>IFERROR(__xludf.DUMMYFUNCTION("""COMPUTED_VALUE"""),"NV0361")</f>
        <v>NV0361</v>
      </c>
      <c r="G60" s="22">
        <f>IFERROR(__xludf.DUMMYFUNCTION("""COMPUTED_VALUE"""),801.0)</f>
        <v>801</v>
      </c>
      <c r="H60" s="22" t="str">
        <f>IFERROR(__xludf.DUMMYFUNCTION("""COMPUTED_VALUE"""),"Đỗ Văn Hán")</f>
        <v>Đỗ Văn Hán</v>
      </c>
      <c r="I60" s="22" t="str">
        <f>IFERROR(__xludf.DUMMYFUNCTION("""COMPUTED_VALUE"""),"Nam")</f>
        <v>Nam</v>
      </c>
      <c r="J60" s="24">
        <f>IFERROR(__xludf.DUMMYFUNCTION("""COMPUTED_VALUE"""),26094.0)</f>
        <v>26094</v>
      </c>
      <c r="K60" s="22" t="str">
        <f>IFERROR(__xludf.DUMMYFUNCTION("""COMPUTED_VALUE"""),"Xã Hoằng Trạch - Hoằng Hóa - Thanh Hóa")</f>
        <v>Xã Hoằng Trạch - Hoằng Hóa - Thanh Hóa</v>
      </c>
      <c r="L60" s="27" t="str">
        <f>IFERROR(__xludf.DUMMYFUNCTION("""COMPUTED_VALUE"""),"0943414478")</f>
        <v>0943414478</v>
      </c>
      <c r="M60" s="22" t="str">
        <f>IFERROR(__xludf.DUMMYFUNCTION("""COMPUTED_VALUE"""),"038071037155")</f>
        <v>038071037155</v>
      </c>
      <c r="N60" s="25">
        <f>IFERROR(__xludf.DUMMYFUNCTION("""COMPUTED_VALUE"""),44428.0)</f>
        <v>44428</v>
      </c>
      <c r="O60" s="22" t="str">
        <f>IFERROR(__xludf.DUMMYFUNCTION("""COMPUTED_VALUE"""),"Cục Cảnh sát QLHC về TTXH")</f>
        <v>Cục Cảnh sát QLHC về TTXH</v>
      </c>
      <c r="P60" s="22" t="str">
        <f>IFERROR(__xludf.DUMMYFUNCTION("""COMPUTED_VALUE"""),"LĐPT")</f>
        <v>LĐPT</v>
      </c>
      <c r="Q60" s="22" t="str">
        <f>IFERROR(__xludf.DUMMYFUNCTION("""COMPUTED_VALUE"""),"Lao động phổ thông")</f>
        <v>Lao động phổ thông</v>
      </c>
      <c r="R60" s="24">
        <f>IFERROR(__xludf.DUMMYFUNCTION("""COMPUTED_VALUE"""),39083.0)</f>
        <v>39083</v>
      </c>
      <c r="S60" s="26">
        <f>IFERROR(__xludf.DUMMYFUNCTION("""COMPUTED_VALUE"""),39083.0)</f>
        <v>39083</v>
      </c>
      <c r="T60" s="22" t="str">
        <f>IFERROR(__xludf.DUMMYFUNCTION("""COMPUTED_VALUE"""),"Chính thức")</f>
        <v>Chính thức</v>
      </c>
      <c r="U60" s="22"/>
      <c r="V60" s="22" t="str">
        <f>IFERROR(__xludf.DUMMYFUNCTION("""COMPUTED_VALUE"""),"Chính thức")</f>
        <v>Chính thức</v>
      </c>
      <c r="W60" s="22" t="str">
        <f>IFERROR(__xludf.DUMMYFUNCTION("""COMPUTED_VALUE"""),"18 năm 11 tháng")</f>
        <v>18 năm 11 tháng</v>
      </c>
      <c r="X60" s="22"/>
      <c r="Y60" s="22"/>
      <c r="Z60" s="22"/>
    </row>
    <row r="61">
      <c r="A61" s="22">
        <f>IFERROR(__xludf.DUMMYFUNCTION("""COMPUTED_VALUE"""),10.0)</f>
        <v>10</v>
      </c>
      <c r="B61" s="22" t="str">
        <f>IFERROR(__xludf.DUMMYFUNCTION("""COMPUTED_VALUE"""),"Văn phòng")</f>
        <v>Văn phòng</v>
      </c>
      <c r="C61" s="22" t="str">
        <f>IFERROR(__xludf.DUMMYFUNCTION("""COMPUTED_VALUE"""),"Phòng Tổ chức - Hành chính")</f>
        <v>Phòng Tổ chức - Hành chính</v>
      </c>
      <c r="D61" s="22" t="str">
        <f>IFERROR(__xludf.DUMMYFUNCTION("""COMPUTED_VALUE"""),"Tổ Bảo vệ")</f>
        <v>Tổ Bảo vệ</v>
      </c>
      <c r="E61" s="22" t="str">
        <f>IFERROR(__xludf.DUMMYFUNCTION("""COMPUTED_VALUE"""),"Bảo vệ kiêm xuất hàng")</f>
        <v>Bảo vệ kiêm xuất hàng</v>
      </c>
      <c r="F61" s="22" t="str">
        <f>IFERROR(__xludf.DUMMYFUNCTION("""COMPUTED_VALUE"""),"NV0366")</f>
        <v>NV0366</v>
      </c>
      <c r="G61" s="22">
        <f>IFERROR(__xludf.DUMMYFUNCTION("""COMPUTED_VALUE"""),184.0)</f>
        <v>184</v>
      </c>
      <c r="H61" s="22" t="str">
        <f>IFERROR(__xludf.DUMMYFUNCTION("""COMPUTED_VALUE"""),"Nguyễn Trọng Hội")</f>
        <v>Nguyễn Trọng Hội</v>
      </c>
      <c r="I61" s="22" t="str">
        <f>IFERROR(__xludf.DUMMYFUNCTION("""COMPUTED_VALUE"""),"Nam")</f>
        <v>Nam</v>
      </c>
      <c r="J61" s="24">
        <f>IFERROR(__xludf.DUMMYFUNCTION("""COMPUTED_VALUE"""),25096.0)</f>
        <v>25096</v>
      </c>
      <c r="K61" s="22" t="str">
        <f>IFERROR(__xludf.DUMMYFUNCTION("""COMPUTED_VALUE"""),"Phố 7, Xã Quảng Phú, TP Thanh Hóa")</f>
        <v>Phố 7, Xã Quảng Phú, TP Thanh Hóa</v>
      </c>
      <c r="L61" s="27" t="str">
        <f>IFERROR(__xludf.DUMMYFUNCTION("""COMPUTED_VALUE"""),"0919267860")</f>
        <v>0919267860</v>
      </c>
      <c r="M61" s="22" t="str">
        <f>IFERROR(__xludf.DUMMYFUNCTION("""COMPUTED_VALUE"""),"038068002942")</f>
        <v>038068002942</v>
      </c>
      <c r="N61" s="25">
        <f>IFERROR(__xludf.DUMMYFUNCTION("""COMPUTED_VALUE"""),44419.0)</f>
        <v>44419</v>
      </c>
      <c r="O61" s="22" t="str">
        <f>IFERROR(__xludf.DUMMYFUNCTION("""COMPUTED_VALUE"""),"Cục Cảnh sát QLHC về TTXH")</f>
        <v>Cục Cảnh sát QLHC về TTXH</v>
      </c>
      <c r="P61" s="22" t="str">
        <f>IFERROR(__xludf.DUMMYFUNCTION("""COMPUTED_VALUE"""),"LĐPT")</f>
        <v>LĐPT</v>
      </c>
      <c r="Q61" s="22" t="str">
        <f>IFERROR(__xludf.DUMMYFUNCTION("""COMPUTED_VALUE"""),"Lao động phổ thông")</f>
        <v>Lao động phổ thông</v>
      </c>
      <c r="R61" s="24">
        <f>IFERROR(__xludf.DUMMYFUNCTION("""COMPUTED_VALUE"""),42265.0)</f>
        <v>42265</v>
      </c>
      <c r="S61" s="26">
        <f>IFERROR(__xludf.DUMMYFUNCTION("""COMPUTED_VALUE"""),42265.0)</f>
        <v>42265</v>
      </c>
      <c r="T61" s="22" t="str">
        <f>IFERROR(__xludf.DUMMYFUNCTION("""COMPUTED_VALUE"""),"Chính thức")</f>
        <v>Chính thức</v>
      </c>
      <c r="U61" s="22"/>
      <c r="V61" s="22" t="str">
        <f>IFERROR(__xludf.DUMMYFUNCTION("""COMPUTED_VALUE"""),"Chính thức")</f>
        <v>Chính thức</v>
      </c>
      <c r="W61" s="22" t="str">
        <f>IFERROR(__xludf.DUMMYFUNCTION("""COMPUTED_VALUE"""),"10 năm 3 tháng")</f>
        <v>10 năm 3 tháng</v>
      </c>
      <c r="X61" s="22"/>
      <c r="Y61" s="22"/>
      <c r="Z61" s="22"/>
    </row>
    <row r="62">
      <c r="A62" s="22">
        <f>IFERROR(__xludf.DUMMYFUNCTION("""COMPUTED_VALUE"""),11.0)</f>
        <v>11</v>
      </c>
      <c r="B62" s="22" t="str">
        <f>IFERROR(__xludf.DUMMYFUNCTION("""COMPUTED_VALUE"""),"Văn phòng")</f>
        <v>Văn phòng</v>
      </c>
      <c r="C62" s="22" t="str">
        <f>IFERROR(__xludf.DUMMYFUNCTION("""COMPUTED_VALUE"""),"Phòng Tổ chức - Hành chính")</f>
        <v>Phòng Tổ chức - Hành chính</v>
      </c>
      <c r="D62" s="22" t="str">
        <f>IFERROR(__xludf.DUMMYFUNCTION("""COMPUTED_VALUE"""),"Tổ Bảo vệ")</f>
        <v>Tổ Bảo vệ</v>
      </c>
      <c r="E62" s="22" t="str">
        <f>IFERROR(__xludf.DUMMYFUNCTION("""COMPUTED_VALUE"""),"Nhân viên bảo vệ")</f>
        <v>Nhân viên bảo vệ</v>
      </c>
      <c r="F62" s="22" t="str">
        <f>IFERROR(__xludf.DUMMYFUNCTION("""COMPUTED_VALUE"""),"NV0362")</f>
        <v>NV0362</v>
      </c>
      <c r="G62" s="22">
        <f>IFERROR(__xludf.DUMMYFUNCTION("""COMPUTED_VALUE"""),689.0)</f>
        <v>689</v>
      </c>
      <c r="H62" s="22" t="str">
        <f>IFERROR(__xludf.DUMMYFUNCTION("""COMPUTED_VALUE"""),"Nguyễn Xuân Nam")</f>
        <v>Nguyễn Xuân Nam</v>
      </c>
      <c r="I62" s="22" t="str">
        <f>IFERROR(__xludf.DUMMYFUNCTION("""COMPUTED_VALUE"""),"Nam")</f>
        <v>Nam</v>
      </c>
      <c r="J62" s="24">
        <f>IFERROR(__xludf.DUMMYFUNCTION("""COMPUTED_VALUE"""),26482.0)</f>
        <v>26482</v>
      </c>
      <c r="K62" s="22" t="str">
        <f>IFERROR(__xludf.DUMMYFUNCTION("""COMPUTED_VALUE"""),"Nguyệt Viên 2 - Hoằng Quang - TP.Thanh Hóa")</f>
        <v>Nguyệt Viên 2 - Hoằng Quang - TP.Thanh Hóa</v>
      </c>
      <c r="L62" s="27" t="str">
        <f>IFERROR(__xludf.DUMMYFUNCTION("""COMPUTED_VALUE"""),"0393574089")</f>
        <v>0393574089</v>
      </c>
      <c r="M62" s="22" t="str">
        <f>IFERROR(__xludf.DUMMYFUNCTION("""COMPUTED_VALUE"""),"038072001775")</f>
        <v>038072001775</v>
      </c>
      <c r="N62" s="25">
        <f>IFERROR(__xludf.DUMMYFUNCTION("""COMPUTED_VALUE"""),44508.0)</f>
        <v>44508</v>
      </c>
      <c r="O62" s="22" t="str">
        <f>IFERROR(__xludf.DUMMYFUNCTION("""COMPUTED_VALUE"""),"Cục Cảnh sát QLHC về TTXH")</f>
        <v>Cục Cảnh sát QLHC về TTXH</v>
      </c>
      <c r="P62" s="22" t="str">
        <f>IFERROR(__xludf.DUMMYFUNCTION("""COMPUTED_VALUE"""),"LĐPT")</f>
        <v>LĐPT</v>
      </c>
      <c r="Q62" s="22" t="str">
        <f>IFERROR(__xludf.DUMMYFUNCTION("""COMPUTED_VALUE"""),"Lao động phổ thông")</f>
        <v>Lao động phổ thông</v>
      </c>
      <c r="R62" s="24">
        <f>IFERROR(__xludf.DUMMYFUNCTION("""COMPUTED_VALUE"""),40360.0)</f>
        <v>40360</v>
      </c>
      <c r="S62" s="26">
        <f>IFERROR(__xludf.DUMMYFUNCTION("""COMPUTED_VALUE"""),40360.0)</f>
        <v>40360</v>
      </c>
      <c r="T62" s="22" t="str">
        <f>IFERROR(__xludf.DUMMYFUNCTION("""COMPUTED_VALUE"""),"Chính thức")</f>
        <v>Chính thức</v>
      </c>
      <c r="U62" s="22"/>
      <c r="V62" s="22" t="str">
        <f>IFERROR(__xludf.DUMMYFUNCTION("""COMPUTED_VALUE"""),"Chính thức")</f>
        <v>Chính thức</v>
      </c>
      <c r="W62" s="22" t="str">
        <f>IFERROR(__xludf.DUMMYFUNCTION("""COMPUTED_VALUE"""),"15 năm 5 tháng")</f>
        <v>15 năm 5 tháng</v>
      </c>
      <c r="X62" s="22"/>
      <c r="Y62" s="22"/>
      <c r="Z62" s="22"/>
    </row>
    <row r="63">
      <c r="A63" s="22">
        <f>IFERROR(__xludf.DUMMYFUNCTION("""COMPUTED_VALUE"""),12.0)</f>
        <v>12</v>
      </c>
      <c r="B63" s="22" t="str">
        <f>IFERROR(__xludf.DUMMYFUNCTION("""COMPUTED_VALUE"""),"Văn phòng")</f>
        <v>Văn phòng</v>
      </c>
      <c r="C63" s="22" t="str">
        <f>IFERROR(__xludf.DUMMYFUNCTION("""COMPUTED_VALUE"""),"Phòng Tổ chức - Hành chính")</f>
        <v>Phòng Tổ chức - Hành chính</v>
      </c>
      <c r="D63" s="22" t="str">
        <f>IFERROR(__xludf.DUMMYFUNCTION("""COMPUTED_VALUE"""),"Tổ Bảo vệ")</f>
        <v>Tổ Bảo vệ</v>
      </c>
      <c r="E63" s="22" t="str">
        <f>IFERROR(__xludf.DUMMYFUNCTION("""COMPUTED_VALUE"""),"Nhân viên bảo vệ")</f>
        <v>Nhân viên bảo vệ</v>
      </c>
      <c r="F63" s="22" t="str">
        <f>IFERROR(__xludf.DUMMYFUNCTION("""COMPUTED_VALUE"""),"NV0357")</f>
        <v>NV0357</v>
      </c>
      <c r="G63" s="22">
        <f>IFERROR(__xludf.DUMMYFUNCTION("""COMPUTED_VALUE"""),641.0)</f>
        <v>641</v>
      </c>
      <c r="H63" s="22" t="str">
        <f>IFERROR(__xludf.DUMMYFUNCTION("""COMPUTED_VALUE"""),"Nguyễn Quốc Nghĩa")</f>
        <v>Nguyễn Quốc Nghĩa</v>
      </c>
      <c r="I63" s="22" t="str">
        <f>IFERROR(__xludf.DUMMYFUNCTION("""COMPUTED_VALUE"""),"Nam")</f>
        <v>Nam</v>
      </c>
      <c r="J63" s="24">
        <f>IFERROR(__xludf.DUMMYFUNCTION("""COMPUTED_VALUE"""),26063.0)</f>
        <v>26063</v>
      </c>
      <c r="K63" s="22" t="str">
        <f>IFERROR(__xludf.DUMMYFUNCTION("""COMPUTED_VALUE"""),"Nguyệt Viên 2, Xã Hoằng Quang, Thành phố Thanh Hóa,")</f>
        <v>Nguyệt Viên 2, Xã Hoằng Quang, Thành phố Thanh Hóa,</v>
      </c>
      <c r="L63" s="27" t="str">
        <f>IFERROR(__xludf.DUMMYFUNCTION("""COMPUTED_VALUE"""),"0989213769")</f>
        <v>0989213769</v>
      </c>
      <c r="M63" s="22" t="str">
        <f>IFERROR(__xludf.DUMMYFUNCTION("""COMPUTED_VALUE"""),"038071034608")</f>
        <v>038071034608</v>
      </c>
      <c r="N63" s="25">
        <f>IFERROR(__xludf.DUMMYFUNCTION("""COMPUTED_VALUE"""),44348.0)</f>
        <v>44348</v>
      </c>
      <c r="O63" s="22" t="str">
        <f>IFERROR(__xludf.DUMMYFUNCTION("""COMPUTED_VALUE"""),"Cục Cảnh sát QLHC về TTXH")</f>
        <v>Cục Cảnh sát QLHC về TTXH</v>
      </c>
      <c r="P63" s="22" t="str">
        <f>IFERROR(__xludf.DUMMYFUNCTION("""COMPUTED_VALUE"""),"LĐPT")</f>
        <v>LĐPT</v>
      </c>
      <c r="Q63" s="22" t="str">
        <f>IFERROR(__xludf.DUMMYFUNCTION("""COMPUTED_VALUE"""),"Lao động phổ thông")</f>
        <v>Lao động phổ thông</v>
      </c>
      <c r="R63" s="24">
        <f>IFERROR(__xludf.DUMMYFUNCTION("""COMPUTED_VALUE"""),39114.0)</f>
        <v>39114</v>
      </c>
      <c r="S63" s="26">
        <f>IFERROR(__xludf.DUMMYFUNCTION("""COMPUTED_VALUE"""),39114.0)</f>
        <v>39114</v>
      </c>
      <c r="T63" s="22" t="str">
        <f>IFERROR(__xludf.DUMMYFUNCTION("""COMPUTED_VALUE"""),"Chính thức")</f>
        <v>Chính thức</v>
      </c>
      <c r="U63" s="22"/>
      <c r="V63" s="22" t="str">
        <f>IFERROR(__xludf.DUMMYFUNCTION("""COMPUTED_VALUE"""),"Chính thức")</f>
        <v>Chính thức</v>
      </c>
      <c r="W63" s="22" t="str">
        <f>IFERROR(__xludf.DUMMYFUNCTION("""COMPUTED_VALUE"""),"18 năm 10 tháng")</f>
        <v>18 năm 10 tháng</v>
      </c>
      <c r="X63" s="22"/>
      <c r="Y63" s="22"/>
      <c r="Z63" s="22"/>
    </row>
    <row r="64">
      <c r="A64" s="22">
        <f>IFERROR(__xludf.DUMMYFUNCTION("""COMPUTED_VALUE"""),13.0)</f>
        <v>13</v>
      </c>
      <c r="B64" s="22" t="str">
        <f>IFERROR(__xludf.DUMMYFUNCTION("""COMPUTED_VALUE"""),"Văn phòng")</f>
        <v>Văn phòng</v>
      </c>
      <c r="C64" s="22" t="str">
        <f>IFERROR(__xludf.DUMMYFUNCTION("""COMPUTED_VALUE"""),"Phòng Tổ chức - Hành chính")</f>
        <v>Phòng Tổ chức - Hành chính</v>
      </c>
      <c r="D64" s="22" t="str">
        <f>IFERROR(__xludf.DUMMYFUNCTION("""COMPUTED_VALUE"""),"Tổ Bảo vệ")</f>
        <v>Tổ Bảo vệ</v>
      </c>
      <c r="E64" s="22" t="str">
        <f>IFERROR(__xludf.DUMMYFUNCTION("""COMPUTED_VALUE"""),"Bảo vệ kiêm xuất hàng")</f>
        <v>Bảo vệ kiêm xuất hàng</v>
      </c>
      <c r="F64" s="22" t="str">
        <f>IFERROR(__xludf.DUMMYFUNCTION("""COMPUTED_VALUE"""),"NV2579")</f>
        <v>NV2579</v>
      </c>
      <c r="G64" s="22">
        <f>IFERROR(__xludf.DUMMYFUNCTION("""COMPUTED_VALUE"""),198.0)</f>
        <v>198</v>
      </c>
      <c r="H64" s="22" t="str">
        <f>IFERROR(__xludf.DUMMYFUNCTION("""COMPUTED_VALUE"""),"Lê Văn Chính")</f>
        <v>Lê Văn Chính</v>
      </c>
      <c r="I64" s="22" t="str">
        <f>IFERROR(__xludf.DUMMYFUNCTION("""COMPUTED_VALUE"""),"Nam")</f>
        <v>Nam</v>
      </c>
      <c r="J64" s="24">
        <f>IFERROR(__xludf.DUMMYFUNCTION("""COMPUTED_VALUE"""),26334.0)</f>
        <v>26334</v>
      </c>
      <c r="K64" s="22" t="str">
        <f>IFERROR(__xludf.DUMMYFUNCTION("""COMPUTED_VALUE"""),"Thôn Định Thanh - Quảng Định - Quảng Xương - Thanh Hoá")</f>
        <v>Thôn Định Thanh - Quảng Định - Quảng Xương - Thanh Hoá</v>
      </c>
      <c r="L64" s="27" t="str">
        <f>IFERROR(__xludf.DUMMYFUNCTION("""COMPUTED_VALUE"""),"0987249346")</f>
        <v>0987249346</v>
      </c>
      <c r="M64" s="22" t="str">
        <f>IFERROR(__xludf.DUMMYFUNCTION("""COMPUTED_VALUE"""),"038072030650")</f>
        <v>038072030650</v>
      </c>
      <c r="N64" s="25">
        <f>IFERROR(__xludf.DUMMYFUNCTION("""COMPUTED_VALUE"""),44423.0)</f>
        <v>44423</v>
      </c>
      <c r="O64" s="22" t="str">
        <f>IFERROR(__xludf.DUMMYFUNCTION("""COMPUTED_VALUE"""),"Cục Cảnh sát QLHC về TTXH")</f>
        <v>Cục Cảnh sát QLHC về TTXH</v>
      </c>
      <c r="P64" s="22" t="str">
        <f>IFERROR(__xludf.DUMMYFUNCTION("""COMPUTED_VALUE"""),"LĐPT")</f>
        <v>LĐPT</v>
      </c>
      <c r="Q64" s="22" t="str">
        <f>IFERROR(__xludf.DUMMYFUNCTION("""COMPUTED_VALUE"""),"Lao động phổ thông")</f>
        <v>Lao động phổ thông</v>
      </c>
      <c r="R64" s="24">
        <f>IFERROR(__xludf.DUMMYFUNCTION("""COMPUTED_VALUE"""),43735.0)</f>
        <v>43735</v>
      </c>
      <c r="S64" s="26">
        <f>IFERROR(__xludf.DUMMYFUNCTION("""COMPUTED_VALUE"""),44044.0)</f>
        <v>44044</v>
      </c>
      <c r="T64" s="22" t="str">
        <f>IFERROR(__xludf.DUMMYFUNCTION("""COMPUTED_VALUE"""),"Chính thức")</f>
        <v>Chính thức</v>
      </c>
      <c r="U64" s="22"/>
      <c r="V64" s="22" t="str">
        <f>IFERROR(__xludf.DUMMYFUNCTION("""COMPUTED_VALUE"""),"Chính thức")</f>
        <v>Chính thức</v>
      </c>
      <c r="W64" s="22" t="str">
        <f>IFERROR(__xludf.DUMMYFUNCTION("""COMPUTED_VALUE"""),"6 năm 3 tháng")</f>
        <v>6 năm 3 tháng</v>
      </c>
      <c r="X64" s="22"/>
      <c r="Y64" s="22"/>
      <c r="Z64" s="22"/>
    </row>
    <row r="65">
      <c r="A65" s="22">
        <f>IFERROR(__xludf.DUMMYFUNCTION("""COMPUTED_VALUE"""),14.0)</f>
        <v>14</v>
      </c>
      <c r="B65" s="22" t="str">
        <f>IFERROR(__xludf.DUMMYFUNCTION("""COMPUTED_VALUE"""),"Văn phòng")</f>
        <v>Văn phòng</v>
      </c>
      <c r="C65" s="22" t="str">
        <f>IFERROR(__xludf.DUMMYFUNCTION("""COMPUTED_VALUE"""),"Phòng Tổ chức - Hành chính")</f>
        <v>Phòng Tổ chức - Hành chính</v>
      </c>
      <c r="D65" s="22" t="str">
        <f>IFERROR(__xludf.DUMMYFUNCTION("""COMPUTED_VALUE"""),"Tổ Bảo vệ")</f>
        <v>Tổ Bảo vệ</v>
      </c>
      <c r="E65" s="22" t="str">
        <f>IFERROR(__xludf.DUMMYFUNCTION("""COMPUTED_VALUE"""),"Bảo vệ kiêm xuất hàng")</f>
        <v>Bảo vệ kiêm xuất hàng</v>
      </c>
      <c r="F65" s="22" t="str">
        <f>IFERROR(__xludf.DUMMYFUNCTION("""COMPUTED_VALUE"""),"NV2800")</f>
        <v>NV2800</v>
      </c>
      <c r="G65" s="22">
        <f>IFERROR(__xludf.DUMMYFUNCTION("""COMPUTED_VALUE"""),219.0)</f>
        <v>219</v>
      </c>
      <c r="H65" s="22" t="str">
        <f>IFERROR(__xludf.DUMMYFUNCTION("""COMPUTED_VALUE"""),"Đoàn Thế Nhân")</f>
        <v>Đoàn Thế Nhân</v>
      </c>
      <c r="I65" s="22" t="str">
        <f>IFERROR(__xludf.DUMMYFUNCTION("""COMPUTED_VALUE"""),"Nam")</f>
        <v>Nam</v>
      </c>
      <c r="J65" s="24">
        <f>IFERROR(__xludf.DUMMYFUNCTION("""COMPUTED_VALUE"""),26946.0)</f>
        <v>26946</v>
      </c>
      <c r="K65" s="22" t="str">
        <f>IFERROR(__xludf.DUMMYFUNCTION("""COMPUTED_VALUE"""),"Quảng Định - Quảng Xương - Thanh Hóa")</f>
        <v>Quảng Định - Quảng Xương - Thanh Hóa</v>
      </c>
      <c r="L65" s="27" t="str">
        <f>IFERROR(__xludf.DUMMYFUNCTION("""COMPUTED_VALUE"""),"0944840399")</f>
        <v>0944840399</v>
      </c>
      <c r="M65" s="22" t="str">
        <f>IFERROR(__xludf.DUMMYFUNCTION("""COMPUTED_VALUE"""),"038073020361")</f>
        <v>038073020361</v>
      </c>
      <c r="N65" s="25">
        <f>IFERROR(__xludf.DUMMYFUNCTION("""COMPUTED_VALUE"""),44419.0)</f>
        <v>44419</v>
      </c>
      <c r="O65" s="22" t="str">
        <f>IFERROR(__xludf.DUMMYFUNCTION("""COMPUTED_VALUE"""),"Cục Cảnh sát QLHC về TTXH")</f>
        <v>Cục Cảnh sát QLHC về TTXH</v>
      </c>
      <c r="P65" s="22" t="str">
        <f>IFERROR(__xludf.DUMMYFUNCTION("""COMPUTED_VALUE"""),"LĐPT")</f>
        <v>LĐPT</v>
      </c>
      <c r="Q65" s="22" t="str">
        <f>IFERROR(__xludf.DUMMYFUNCTION("""COMPUTED_VALUE"""),"Lao động phổ thông")</f>
        <v>Lao động phổ thông</v>
      </c>
      <c r="R65" s="24">
        <f>IFERROR(__xludf.DUMMYFUNCTION("""COMPUTED_VALUE"""),43880.0)</f>
        <v>43880</v>
      </c>
      <c r="S65" s="26">
        <f>IFERROR(__xludf.DUMMYFUNCTION("""COMPUTED_VALUE"""),44166.0)</f>
        <v>44166</v>
      </c>
      <c r="T65" s="22" t="str">
        <f>IFERROR(__xludf.DUMMYFUNCTION("""COMPUTED_VALUE"""),"Chính thức")</f>
        <v>Chính thức</v>
      </c>
      <c r="U65" s="22"/>
      <c r="V65" s="22" t="str">
        <f>IFERROR(__xludf.DUMMYFUNCTION("""COMPUTED_VALUE"""),"Chính thức")</f>
        <v>Chính thức</v>
      </c>
      <c r="W65" s="22" t="str">
        <f>IFERROR(__xludf.DUMMYFUNCTION("""COMPUTED_VALUE"""),"5 năm 10 tháng")</f>
        <v>5 năm 10 tháng</v>
      </c>
      <c r="X65" s="22"/>
      <c r="Y65" s="22"/>
      <c r="Z65" s="22"/>
    </row>
    <row r="66">
      <c r="A66" s="22">
        <f>IFERROR(__xludf.DUMMYFUNCTION("""COMPUTED_VALUE"""),15.0)</f>
        <v>15</v>
      </c>
      <c r="B66" s="22" t="str">
        <f>IFERROR(__xludf.DUMMYFUNCTION("""COMPUTED_VALUE"""),"Văn phòng")</f>
        <v>Văn phòng</v>
      </c>
      <c r="C66" s="22" t="str">
        <f>IFERROR(__xludf.DUMMYFUNCTION("""COMPUTED_VALUE"""),"Phòng Tổ chức - Hành chính")</f>
        <v>Phòng Tổ chức - Hành chính</v>
      </c>
      <c r="D66" s="22" t="str">
        <f>IFERROR(__xludf.DUMMYFUNCTION("""COMPUTED_VALUE"""),"Tổ Bảo vệ")</f>
        <v>Tổ Bảo vệ</v>
      </c>
      <c r="E66" s="22" t="str">
        <f>IFERROR(__xludf.DUMMYFUNCTION("""COMPUTED_VALUE"""),"Bảo vệ kiêm xuất hàng")</f>
        <v>Bảo vệ kiêm xuất hàng</v>
      </c>
      <c r="F66" s="22" t="str">
        <f>IFERROR(__xludf.DUMMYFUNCTION("""COMPUTED_VALUE"""),"NV0412")</f>
        <v>NV0412</v>
      </c>
      <c r="G66" s="22">
        <f>IFERROR(__xludf.DUMMYFUNCTION("""COMPUTED_VALUE"""),805.0)</f>
        <v>805</v>
      </c>
      <c r="H66" s="22" t="str">
        <f>IFERROR(__xludf.DUMMYFUNCTION("""COMPUTED_VALUE"""),"Trần Đức Đảm")</f>
        <v>Trần Đức Đảm</v>
      </c>
      <c r="I66" s="22" t="str">
        <f>IFERROR(__xludf.DUMMYFUNCTION("""COMPUTED_VALUE"""),"Nam")</f>
        <v>Nam</v>
      </c>
      <c r="J66" s="24">
        <f>IFERROR(__xludf.DUMMYFUNCTION("""COMPUTED_VALUE"""),22841.0)</f>
        <v>22841</v>
      </c>
      <c r="K66" s="22" t="str">
        <f>IFERROR(__xludf.DUMMYFUNCTION("""COMPUTED_VALUE"""),"Thôn Tiến Đức, Xã Hoằng Châu, Huyện Hoằng Hóa, Thanh Hóa")</f>
        <v>Thôn Tiến Đức, Xã Hoằng Châu, Huyện Hoằng Hóa, Thanh Hóa</v>
      </c>
      <c r="L66" s="27" t="str">
        <f>IFERROR(__xludf.DUMMYFUNCTION("""COMPUTED_VALUE"""),"0359919069")</f>
        <v>0359919069</v>
      </c>
      <c r="M66" s="22" t="str">
        <f>IFERROR(__xludf.DUMMYFUNCTION("""COMPUTED_VALUE"""),"038062000974")</f>
        <v>038062000974</v>
      </c>
      <c r="N66" s="25">
        <f>IFERROR(__xludf.DUMMYFUNCTION("""COMPUTED_VALUE"""),45125.0)</f>
        <v>45125</v>
      </c>
      <c r="O66" s="22" t="str">
        <f>IFERROR(__xludf.DUMMYFUNCTION("""COMPUTED_VALUE"""),"Cục Cảnh sát QLHC về TTXH")</f>
        <v>Cục Cảnh sát QLHC về TTXH</v>
      </c>
      <c r="P66" s="22" t="str">
        <f>IFERROR(__xludf.DUMMYFUNCTION("""COMPUTED_VALUE"""),"LĐPT")</f>
        <v>LĐPT</v>
      </c>
      <c r="Q66" s="22" t="str">
        <f>IFERROR(__xludf.DUMMYFUNCTION("""COMPUTED_VALUE"""),"Lao động phổ thông")</f>
        <v>Lao động phổ thông</v>
      </c>
      <c r="R66" s="24">
        <f>IFERROR(__xludf.DUMMYFUNCTION("""COMPUTED_VALUE"""),39173.0)</f>
        <v>39173</v>
      </c>
      <c r="S66" s="26">
        <f>IFERROR(__xludf.DUMMYFUNCTION("""COMPUTED_VALUE"""),39173.0)</f>
        <v>39173</v>
      </c>
      <c r="T66" s="22" t="str">
        <f>IFERROR(__xludf.DUMMYFUNCTION("""COMPUTED_VALUE"""),"Chính thức")</f>
        <v>Chính thức</v>
      </c>
      <c r="U66" s="22"/>
      <c r="V66" s="22" t="str">
        <f>IFERROR(__xludf.DUMMYFUNCTION("""COMPUTED_VALUE"""),"Chính thức")</f>
        <v>Chính thức</v>
      </c>
      <c r="W66" s="22" t="str">
        <f>IFERROR(__xludf.DUMMYFUNCTION("""COMPUTED_VALUE"""),"18 năm 8 tháng")</f>
        <v>18 năm 8 tháng</v>
      </c>
      <c r="X66" s="22"/>
      <c r="Y66" s="22"/>
      <c r="Z66" s="22"/>
    </row>
    <row r="67">
      <c r="A67" s="22">
        <f>IFERROR(__xludf.DUMMYFUNCTION("""COMPUTED_VALUE"""),16.0)</f>
        <v>16</v>
      </c>
      <c r="B67" s="22" t="str">
        <f>IFERROR(__xludf.DUMMYFUNCTION("""COMPUTED_VALUE"""),"Văn phòng")</f>
        <v>Văn phòng</v>
      </c>
      <c r="C67" s="22" t="str">
        <f>IFERROR(__xludf.DUMMYFUNCTION("""COMPUTED_VALUE"""),"Phòng Tổ chức - Hành chính")</f>
        <v>Phòng Tổ chức - Hành chính</v>
      </c>
      <c r="D67" s="22" t="str">
        <f>IFERROR(__xludf.DUMMYFUNCTION("""COMPUTED_VALUE"""),"Tổ Bảo vệ")</f>
        <v>Tổ Bảo vệ</v>
      </c>
      <c r="E67" s="22" t="str">
        <f>IFERROR(__xludf.DUMMYFUNCTION("""COMPUTED_VALUE"""),"Bảo vệ kiêm xuất hàng")</f>
        <v>Bảo vệ kiêm xuất hàng</v>
      </c>
      <c r="F67" s="22" t="str">
        <f>IFERROR(__xludf.DUMMYFUNCTION("""COMPUTED_VALUE"""),"NV2756")</f>
        <v>NV2756</v>
      </c>
      <c r="G67" s="22">
        <f>IFERROR(__xludf.DUMMYFUNCTION("""COMPUTED_VALUE"""),193.0)</f>
        <v>193</v>
      </c>
      <c r="H67" s="22" t="str">
        <f>IFERROR(__xludf.DUMMYFUNCTION("""COMPUTED_VALUE"""),"Lê Ngọc Hải")</f>
        <v>Lê Ngọc Hải</v>
      </c>
      <c r="I67" s="22" t="str">
        <f>IFERROR(__xludf.DUMMYFUNCTION("""COMPUTED_VALUE"""),"Nam")</f>
        <v>Nam</v>
      </c>
      <c r="J67" s="24">
        <f>IFERROR(__xludf.DUMMYFUNCTION("""COMPUTED_VALUE"""),27443.0)</f>
        <v>27443</v>
      </c>
      <c r="K67" s="22" t="str">
        <f>IFERROR(__xludf.DUMMYFUNCTION("""COMPUTED_VALUE"""),"Sn31 Yết Kiêu Phương - Đông Sơn - Thành Phố Thanh Hóa")</f>
        <v>Sn31 Yết Kiêu Phương - Đông Sơn - Thành Phố Thanh Hóa</v>
      </c>
      <c r="L67" s="27" t="str">
        <f>IFERROR(__xludf.DUMMYFUNCTION("""COMPUTED_VALUE"""),"0974175405")</f>
        <v>0974175405</v>
      </c>
      <c r="M67" s="22" t="str">
        <f>IFERROR(__xludf.DUMMYFUNCTION("""COMPUTED_VALUE"""),"038075035498")</f>
        <v>038075035498</v>
      </c>
      <c r="N67" s="25">
        <f>IFERROR(__xludf.DUMMYFUNCTION("""COMPUTED_VALUE"""),44440.0)</f>
        <v>44440</v>
      </c>
      <c r="O67" s="22" t="str">
        <f>IFERROR(__xludf.DUMMYFUNCTION("""COMPUTED_VALUE"""),"Cục Cảnh sát QLHC về TTXH")</f>
        <v>Cục Cảnh sát QLHC về TTXH</v>
      </c>
      <c r="P67" s="22" t="str">
        <f>IFERROR(__xludf.DUMMYFUNCTION("""COMPUTED_VALUE"""),"LĐPT")</f>
        <v>LĐPT</v>
      </c>
      <c r="Q67" s="22" t="str">
        <f>IFERROR(__xludf.DUMMYFUNCTION("""COMPUTED_VALUE"""),"Lao động phổ thông")</f>
        <v>Lao động phổ thông</v>
      </c>
      <c r="R67" s="24">
        <f>IFERROR(__xludf.DUMMYFUNCTION("""COMPUTED_VALUE"""),43875.0)</f>
        <v>43875</v>
      </c>
      <c r="S67" s="26">
        <f>IFERROR(__xludf.DUMMYFUNCTION("""COMPUTED_VALUE"""),44166.0)</f>
        <v>44166</v>
      </c>
      <c r="T67" s="22" t="str">
        <f>IFERROR(__xludf.DUMMYFUNCTION("""COMPUTED_VALUE"""),"Chính thức")</f>
        <v>Chính thức</v>
      </c>
      <c r="U67" s="22"/>
      <c r="V67" s="22" t="str">
        <f>IFERROR(__xludf.DUMMYFUNCTION("""COMPUTED_VALUE"""),"Chính thức")</f>
        <v>Chính thức</v>
      </c>
      <c r="W67" s="22" t="str">
        <f>IFERROR(__xludf.DUMMYFUNCTION("""COMPUTED_VALUE"""),"5 năm 10 tháng")</f>
        <v>5 năm 10 tháng</v>
      </c>
      <c r="X67" s="22"/>
      <c r="Y67" s="22"/>
      <c r="Z67" s="22"/>
    </row>
    <row r="68">
      <c r="A68" s="22">
        <f>IFERROR(__xludf.DUMMYFUNCTION("""COMPUTED_VALUE"""),17.0)</f>
        <v>17</v>
      </c>
      <c r="B68" s="22" t="str">
        <f>IFERROR(__xludf.DUMMYFUNCTION("""COMPUTED_VALUE"""),"Văn phòng")</f>
        <v>Văn phòng</v>
      </c>
      <c r="C68" s="22" t="str">
        <f>IFERROR(__xludf.DUMMYFUNCTION("""COMPUTED_VALUE"""),"Phòng Tổ chức - Hành chính")</f>
        <v>Phòng Tổ chức - Hành chính</v>
      </c>
      <c r="D68" s="22" t="str">
        <f>IFERROR(__xludf.DUMMYFUNCTION("""COMPUTED_VALUE"""),"Tổ Bảo vệ")</f>
        <v>Tổ Bảo vệ</v>
      </c>
      <c r="E68" s="22" t="str">
        <f>IFERROR(__xludf.DUMMYFUNCTION("""COMPUTED_VALUE"""),"Bảo vệ kiêm xuất hàng")</f>
        <v>Bảo vệ kiêm xuất hàng</v>
      </c>
      <c r="F68" s="22" t="str">
        <f>IFERROR(__xludf.DUMMYFUNCTION("""COMPUTED_VALUE"""),"NV4129")</f>
        <v>NV4129</v>
      </c>
      <c r="G68" s="22">
        <f>IFERROR(__xludf.DUMMYFUNCTION("""COMPUTED_VALUE"""),258.0)</f>
        <v>258</v>
      </c>
      <c r="H68" s="22" t="str">
        <f>IFERROR(__xludf.DUMMYFUNCTION("""COMPUTED_VALUE"""),"Nguyễn Xuân Lợi")</f>
        <v>Nguyễn Xuân Lợi</v>
      </c>
      <c r="I68" s="22" t="str">
        <f>IFERROR(__xludf.DUMMYFUNCTION("""COMPUTED_VALUE"""),"Nam")</f>
        <v>Nam</v>
      </c>
      <c r="J68" s="24">
        <f>IFERROR(__xludf.DUMMYFUNCTION("""COMPUTED_VALUE"""),28043.0)</f>
        <v>28043</v>
      </c>
      <c r="K68" s="22" t="str">
        <f>IFERROR(__xludf.DUMMYFUNCTION("""COMPUTED_VALUE"""),"Thành Yên - Quảng Thành - Thành Phố Thanh Hóa")</f>
        <v>Thành Yên - Quảng Thành - Thành Phố Thanh Hóa</v>
      </c>
      <c r="L68" s="27" t="str">
        <f>IFERROR(__xludf.DUMMYFUNCTION("""COMPUTED_VALUE"""),"0948714948")</f>
        <v>0948714948</v>
      </c>
      <c r="M68" s="22" t="str">
        <f>IFERROR(__xludf.DUMMYFUNCTION("""COMPUTED_VALUE"""),"038076033489")</f>
        <v>038076033489</v>
      </c>
      <c r="N68" s="25">
        <f>IFERROR(__xludf.DUMMYFUNCTION("""COMPUTED_VALUE"""),44422.0)</f>
        <v>44422</v>
      </c>
      <c r="O68" s="22" t="str">
        <f>IFERROR(__xludf.DUMMYFUNCTION("""COMPUTED_VALUE"""),"Cục Cảnh sát QLHC về TTXH")</f>
        <v>Cục Cảnh sát QLHC về TTXH</v>
      </c>
      <c r="P68" s="22" t="str">
        <f>IFERROR(__xludf.DUMMYFUNCTION("""COMPUTED_VALUE"""),"LĐPT")</f>
        <v>LĐPT</v>
      </c>
      <c r="Q68" s="22" t="str">
        <f>IFERROR(__xludf.DUMMYFUNCTION("""COMPUTED_VALUE"""),"Lao động phổ thông")</f>
        <v>Lao động phổ thông</v>
      </c>
      <c r="R68" s="24">
        <f>IFERROR(__xludf.DUMMYFUNCTION("""COMPUTED_VALUE"""),44666.0)</f>
        <v>44666</v>
      </c>
      <c r="S68" s="26">
        <f>IFERROR(__xludf.DUMMYFUNCTION("""COMPUTED_VALUE"""),45383.0)</f>
        <v>45383</v>
      </c>
      <c r="T68" s="22" t="str">
        <f>IFERROR(__xludf.DUMMYFUNCTION("""COMPUTED_VALUE"""),"Chính thức")</f>
        <v>Chính thức</v>
      </c>
      <c r="U68" s="22"/>
      <c r="V68" s="22" t="str">
        <f>IFERROR(__xludf.DUMMYFUNCTION("""COMPUTED_VALUE"""),"Chính thức")</f>
        <v>Chính thức</v>
      </c>
      <c r="W68" s="22" t="str">
        <f>IFERROR(__xludf.DUMMYFUNCTION("""COMPUTED_VALUE"""),"3 năm 8 tháng")</f>
        <v>3 năm 8 tháng</v>
      </c>
      <c r="X68" s="22"/>
      <c r="Y68" s="22"/>
      <c r="Z68" s="22"/>
    </row>
    <row r="69">
      <c r="A69" s="22">
        <f>IFERROR(__xludf.DUMMYFUNCTION("""COMPUTED_VALUE"""),18.0)</f>
        <v>18</v>
      </c>
      <c r="B69" s="22" t="str">
        <f>IFERROR(__xludf.DUMMYFUNCTION("""COMPUTED_VALUE"""),"Văn phòng")</f>
        <v>Văn phòng</v>
      </c>
      <c r="C69" s="22" t="str">
        <f>IFERROR(__xludf.DUMMYFUNCTION("""COMPUTED_VALUE"""),"Phòng Tổ chức - Hành chính")</f>
        <v>Phòng Tổ chức - Hành chính</v>
      </c>
      <c r="D69" s="22" t="str">
        <f>IFERROR(__xludf.DUMMYFUNCTION("""COMPUTED_VALUE"""),"Tổ Bảo vệ")</f>
        <v>Tổ Bảo vệ</v>
      </c>
      <c r="E69" s="22" t="str">
        <f>IFERROR(__xludf.DUMMYFUNCTION("""COMPUTED_VALUE"""),"Nhân viên bảo vệ")</f>
        <v>Nhân viên bảo vệ</v>
      </c>
      <c r="F69" s="22" t="str">
        <f>IFERROR(__xludf.DUMMYFUNCTION("""COMPUTED_VALUE"""),"NV3683")</f>
        <v>NV3683</v>
      </c>
      <c r="G69" s="22">
        <f>IFERROR(__xludf.DUMMYFUNCTION("""COMPUTED_VALUE"""),52.0)</f>
        <v>52</v>
      </c>
      <c r="H69" s="22" t="str">
        <f>IFERROR(__xludf.DUMMYFUNCTION("""COMPUTED_VALUE"""),"Trịnh Thanh Hà")</f>
        <v>Trịnh Thanh Hà</v>
      </c>
      <c r="I69" s="22" t="str">
        <f>IFERROR(__xludf.DUMMYFUNCTION("""COMPUTED_VALUE"""),"Nam")</f>
        <v>Nam</v>
      </c>
      <c r="J69" s="24">
        <f>IFERROR(__xludf.DUMMYFUNCTION("""COMPUTED_VALUE"""),27898.0)</f>
        <v>27898</v>
      </c>
      <c r="K69" s="22" t="str">
        <f>IFERROR(__xludf.DUMMYFUNCTION("""COMPUTED_VALUE"""),"Phổ 6, Xã Quảng Phú, Thành phố Thanh Hóa, Thanh Hóa")</f>
        <v>Phổ 6, Xã Quảng Phú, Thành phố Thanh Hóa, Thanh Hóa</v>
      </c>
      <c r="L69" s="27" t="str">
        <f>IFERROR(__xludf.DUMMYFUNCTION("""COMPUTED_VALUE"""),"0948011403")</f>
        <v>0948011403</v>
      </c>
      <c r="M69" s="22" t="str">
        <f>IFERROR(__xludf.DUMMYFUNCTION("""COMPUTED_VALUE"""),"038076008786")</f>
        <v>038076008786</v>
      </c>
      <c r="N69" s="25">
        <f>IFERROR(__xludf.DUMMYFUNCTION("""COMPUTED_VALUE"""),44445.0)</f>
        <v>44445</v>
      </c>
      <c r="O69" s="22" t="str">
        <f>IFERROR(__xludf.DUMMYFUNCTION("""COMPUTED_VALUE"""),"Cục Cảnh sát QLHC về TTXH")</f>
        <v>Cục Cảnh sát QLHC về TTXH</v>
      </c>
      <c r="P69" s="22" t="str">
        <f>IFERROR(__xludf.DUMMYFUNCTION("""COMPUTED_VALUE"""),"LĐPT")</f>
        <v>LĐPT</v>
      </c>
      <c r="Q69" s="22" t="str">
        <f>IFERROR(__xludf.DUMMYFUNCTION("""COMPUTED_VALUE"""),"Lao động phổ thông")</f>
        <v>Lao động phổ thông</v>
      </c>
      <c r="R69" s="24">
        <f>IFERROR(__xludf.DUMMYFUNCTION("""COMPUTED_VALUE"""),44344.0)</f>
        <v>44344</v>
      </c>
      <c r="S69" s="26">
        <f>IFERROR(__xludf.DUMMYFUNCTION("""COMPUTED_VALUE"""),44621.0)</f>
        <v>44621</v>
      </c>
      <c r="T69" s="22" t="str">
        <f>IFERROR(__xludf.DUMMYFUNCTION("""COMPUTED_VALUE"""),"Chính thức")</f>
        <v>Chính thức</v>
      </c>
      <c r="U69" s="22"/>
      <c r="V69" s="22" t="str">
        <f>IFERROR(__xludf.DUMMYFUNCTION("""COMPUTED_VALUE"""),"Chính thức")</f>
        <v>Chính thức</v>
      </c>
      <c r="W69" s="22" t="str">
        <f>IFERROR(__xludf.DUMMYFUNCTION("""COMPUTED_VALUE"""),"4 năm 7 tháng")</f>
        <v>4 năm 7 tháng</v>
      </c>
      <c r="X69" s="22"/>
      <c r="Y69" s="22"/>
      <c r="Z69" s="22"/>
    </row>
    <row r="70">
      <c r="A70" s="22">
        <f>IFERROR(__xludf.DUMMYFUNCTION("""COMPUTED_VALUE"""),19.0)</f>
        <v>19</v>
      </c>
      <c r="B70" s="22" t="str">
        <f>IFERROR(__xludf.DUMMYFUNCTION("""COMPUTED_VALUE"""),"Văn phòng")</f>
        <v>Văn phòng</v>
      </c>
      <c r="C70" s="22" t="str">
        <f>IFERROR(__xludf.DUMMYFUNCTION("""COMPUTED_VALUE"""),"Phòng Tổ chức - Hành chính")</f>
        <v>Phòng Tổ chức - Hành chính</v>
      </c>
      <c r="D70" s="22" t="str">
        <f>IFERROR(__xludf.DUMMYFUNCTION("""COMPUTED_VALUE"""),"Tổ Bảo vệ")</f>
        <v>Tổ Bảo vệ</v>
      </c>
      <c r="E70" s="22" t="str">
        <f>IFERROR(__xludf.DUMMYFUNCTION("""COMPUTED_VALUE"""),"Nhân viên bảo vệ")</f>
        <v>Nhân viên bảo vệ</v>
      </c>
      <c r="F70" s="22" t="str">
        <f>IFERROR(__xludf.DUMMYFUNCTION("""COMPUTED_VALUE"""),"NV0918")</f>
        <v>NV0918</v>
      </c>
      <c r="G70" s="22">
        <f>IFERROR(__xludf.DUMMYFUNCTION("""COMPUTED_VALUE"""),633.0)</f>
        <v>633</v>
      </c>
      <c r="H70" s="22" t="str">
        <f>IFERROR(__xludf.DUMMYFUNCTION("""COMPUTED_VALUE"""),"Trần Công Đua")</f>
        <v>Trần Công Đua</v>
      </c>
      <c r="I70" s="22" t="str">
        <f>IFERROR(__xludf.DUMMYFUNCTION("""COMPUTED_VALUE"""),"Nam")</f>
        <v>Nam</v>
      </c>
      <c r="J70" s="24">
        <f>IFERROR(__xludf.DUMMYFUNCTION("""COMPUTED_VALUE"""),24929.0)</f>
        <v>24929</v>
      </c>
      <c r="K70" s="22" t="str">
        <f>IFERROR(__xludf.DUMMYFUNCTION("""COMPUTED_VALUE"""),"Thôn 2 -  Phường Quảng Phú - Tỉnh Thanh Hóa")</f>
        <v>Thôn 2 -  Phường Quảng Phú - Tỉnh Thanh Hóa</v>
      </c>
      <c r="L70" s="27" t="str">
        <f>IFERROR(__xludf.DUMMYFUNCTION("""COMPUTED_VALUE"""),"0359900396")</f>
        <v>0359900396</v>
      </c>
      <c r="M70" s="22" t="str">
        <f>IFERROR(__xludf.DUMMYFUNCTION("""COMPUTED_VALUE"""),"038068033068")</f>
        <v>038068033068</v>
      </c>
      <c r="N70" s="25">
        <f>IFERROR(__xludf.DUMMYFUNCTION("""COMPUTED_VALUE"""),44422.0)</f>
        <v>44422</v>
      </c>
      <c r="O70" s="22" t="str">
        <f>IFERROR(__xludf.DUMMYFUNCTION("""COMPUTED_VALUE"""),"Cục Cảnh sát QLHC về TTXH")</f>
        <v>Cục Cảnh sát QLHC về TTXH</v>
      </c>
      <c r="P70" s="22" t="str">
        <f>IFERROR(__xludf.DUMMYFUNCTION("""COMPUTED_VALUE"""),"LĐPT")</f>
        <v>LĐPT</v>
      </c>
      <c r="Q70" s="22" t="str">
        <f>IFERROR(__xludf.DUMMYFUNCTION("""COMPUTED_VALUE"""),"Lao động phổ thông")</f>
        <v>Lao động phổ thông</v>
      </c>
      <c r="R70" s="24">
        <f>IFERROR(__xludf.DUMMYFUNCTION("""COMPUTED_VALUE"""),45397.0)</f>
        <v>45397</v>
      </c>
      <c r="S70" s="26">
        <f>IFERROR(__xludf.DUMMYFUNCTION("""COMPUTED_VALUE"""),45427.0)</f>
        <v>45427</v>
      </c>
      <c r="T70" s="22" t="str">
        <f>IFERROR(__xludf.DUMMYFUNCTION("""COMPUTED_VALUE"""),"Chính thức")</f>
        <v>Chính thức</v>
      </c>
      <c r="U70" s="22"/>
      <c r="V70" s="22" t="str">
        <f>IFERROR(__xludf.DUMMYFUNCTION("""COMPUTED_VALUE"""),"Chính thức")</f>
        <v>Chính thức</v>
      </c>
      <c r="W70" s="22" t="str">
        <f>IFERROR(__xludf.DUMMYFUNCTION("""COMPUTED_VALUE"""),"1 năm 8 tháng")</f>
        <v>1 năm 8 tháng</v>
      </c>
      <c r="X70" s="22"/>
      <c r="Y70" s="22"/>
      <c r="Z70" s="22"/>
    </row>
    <row r="71">
      <c r="A71" s="22">
        <f>IFERROR(__xludf.DUMMYFUNCTION("""COMPUTED_VALUE"""),20.0)</f>
        <v>20</v>
      </c>
      <c r="B71" s="22" t="str">
        <f>IFERROR(__xludf.DUMMYFUNCTION("""COMPUTED_VALUE"""),"Văn phòng")</f>
        <v>Văn phòng</v>
      </c>
      <c r="C71" s="22" t="str">
        <f>IFERROR(__xludf.DUMMYFUNCTION("""COMPUTED_VALUE"""),"Phòng Tổ chức - Hành chính")</f>
        <v>Phòng Tổ chức - Hành chính</v>
      </c>
      <c r="D71" s="22" t="str">
        <f>IFERROR(__xludf.DUMMYFUNCTION("""COMPUTED_VALUE"""),"Tổ Bảo vệ")</f>
        <v>Tổ Bảo vệ</v>
      </c>
      <c r="E71" s="22" t="str">
        <f>IFERROR(__xludf.DUMMYFUNCTION("""COMPUTED_VALUE"""),"Bảo vệ kiêm xuất hàng")</f>
        <v>Bảo vệ kiêm xuất hàng</v>
      </c>
      <c r="F71" s="22" t="str">
        <f>IFERROR(__xludf.DUMMYFUNCTION("""COMPUTED_VALUE"""),"NV2486")</f>
        <v>NV2486</v>
      </c>
      <c r="G71" s="22">
        <f>IFERROR(__xludf.DUMMYFUNCTION("""COMPUTED_VALUE"""),201.0)</f>
        <v>201</v>
      </c>
      <c r="H71" s="22" t="str">
        <f>IFERROR(__xludf.DUMMYFUNCTION("""COMPUTED_VALUE"""),"Lê Đình Tuấn")</f>
        <v>Lê Đình Tuấn</v>
      </c>
      <c r="I71" s="22" t="str">
        <f>IFERROR(__xludf.DUMMYFUNCTION("""COMPUTED_VALUE"""),"Nam")</f>
        <v>Nam</v>
      </c>
      <c r="J71" s="24">
        <f>IFERROR(__xludf.DUMMYFUNCTION("""COMPUTED_VALUE"""),23135.0)</f>
        <v>23135</v>
      </c>
      <c r="K71" s="22" t="str">
        <f>IFERROR(__xludf.DUMMYFUNCTION("""COMPUTED_VALUE"""),"Thôn 5 - Phường Quảng Phú - Tỉnh Thanh Hóa")</f>
        <v>Thôn 5 - Phường Quảng Phú - Tỉnh Thanh Hóa</v>
      </c>
      <c r="L71" s="27" t="str">
        <f>IFERROR(__xludf.DUMMYFUNCTION("""COMPUTED_VALUE"""),"0978879626")</f>
        <v>0978879626</v>
      </c>
      <c r="M71" s="22" t="str">
        <f>IFERROR(__xludf.DUMMYFUNCTION("""COMPUTED_VALUE"""),"038063028970")</f>
        <v>038063028970</v>
      </c>
      <c r="N71" s="25">
        <f>IFERROR(__xludf.DUMMYFUNCTION("""COMPUTED_VALUE"""),44412.0)</f>
        <v>44412</v>
      </c>
      <c r="O71" s="22" t="str">
        <f>IFERROR(__xludf.DUMMYFUNCTION("""COMPUTED_VALUE"""),"Cục Cảnh sát QLHC về TTXH")</f>
        <v>Cục Cảnh sát QLHC về TTXH</v>
      </c>
      <c r="P71" s="22" t="str">
        <f>IFERROR(__xludf.DUMMYFUNCTION("""COMPUTED_VALUE"""),"LĐPT")</f>
        <v>LĐPT</v>
      </c>
      <c r="Q71" s="22" t="str">
        <f>IFERROR(__xludf.DUMMYFUNCTION("""COMPUTED_VALUE"""),"Lao động phổ thông")</f>
        <v>Lao động phổ thông</v>
      </c>
      <c r="R71" s="24">
        <f>IFERROR(__xludf.DUMMYFUNCTION("""COMPUTED_VALUE"""),43643.0)</f>
        <v>43643</v>
      </c>
      <c r="S71" s="26">
        <f>IFERROR(__xludf.DUMMYFUNCTION("""COMPUTED_VALUE"""),44013.0)</f>
        <v>44013</v>
      </c>
      <c r="T71" s="22" t="str">
        <f>IFERROR(__xludf.DUMMYFUNCTION("""COMPUTED_VALUE"""),"Chính thức")</f>
        <v>Chính thức</v>
      </c>
      <c r="U71" s="22"/>
      <c r="V71" s="22" t="str">
        <f>IFERROR(__xludf.DUMMYFUNCTION("""COMPUTED_VALUE"""),"Chính thức")</f>
        <v>Chính thức</v>
      </c>
      <c r="W71" s="22" t="str">
        <f>IFERROR(__xludf.DUMMYFUNCTION("""COMPUTED_VALUE"""),"6 năm 6 tháng")</f>
        <v>6 năm 6 tháng</v>
      </c>
      <c r="X71" s="22"/>
      <c r="Y71" s="22"/>
      <c r="Z71" s="22"/>
    </row>
    <row r="72">
      <c r="A72" s="22">
        <f>IFERROR(__xludf.DUMMYFUNCTION("""COMPUTED_VALUE"""),21.0)</f>
        <v>21</v>
      </c>
      <c r="B72" s="22" t="str">
        <f>IFERROR(__xludf.DUMMYFUNCTION("""COMPUTED_VALUE"""),"Văn phòng")</f>
        <v>Văn phòng</v>
      </c>
      <c r="C72" s="22" t="str">
        <f>IFERROR(__xludf.DUMMYFUNCTION("""COMPUTED_VALUE"""),"Phòng Tổ chức - Hành chính")</f>
        <v>Phòng Tổ chức - Hành chính</v>
      </c>
      <c r="D72" s="22" t="str">
        <f>IFERROR(__xludf.DUMMYFUNCTION("""COMPUTED_VALUE"""),"Tổ Bảo vệ")</f>
        <v>Tổ Bảo vệ</v>
      </c>
      <c r="E72" s="22" t="str">
        <f>IFERROR(__xludf.DUMMYFUNCTION("""COMPUTED_VALUE"""),"Bảo vệ kiêm xuất hàng")</f>
        <v>Bảo vệ kiêm xuất hàng</v>
      </c>
      <c r="F72" s="22" t="str">
        <f>IFERROR(__xludf.DUMMYFUNCTION("""COMPUTED_VALUE"""),"NV0369")</f>
        <v>NV0369</v>
      </c>
      <c r="G72" s="22">
        <f>IFERROR(__xludf.DUMMYFUNCTION("""COMPUTED_VALUE"""),1043.0)</f>
        <v>1043</v>
      </c>
      <c r="H72" s="22" t="str">
        <f>IFERROR(__xludf.DUMMYFUNCTION("""COMPUTED_VALUE"""),"Nguyễn Xuân Biền")</f>
        <v>Nguyễn Xuân Biền</v>
      </c>
      <c r="I72" s="22" t="str">
        <f>IFERROR(__xludf.DUMMYFUNCTION("""COMPUTED_VALUE"""),"Nam")</f>
        <v>Nam</v>
      </c>
      <c r="J72" s="24">
        <f>IFERROR(__xludf.DUMMYFUNCTION("""COMPUTED_VALUE"""),22929.0)</f>
        <v>22929</v>
      </c>
      <c r="K72" s="22" t="str">
        <f>IFERROR(__xludf.DUMMYFUNCTION("""COMPUTED_VALUE"""),"Phường Hạc Thành – Tỉnh Thanh Hóa")</f>
        <v>Phường Hạc Thành – Tỉnh Thanh Hóa</v>
      </c>
      <c r="L72" s="27" t="str">
        <f>IFERROR(__xludf.DUMMYFUNCTION("""COMPUTED_VALUE"""),"0369005469")</f>
        <v>0369005469</v>
      </c>
      <c r="M72" s="22" t="str">
        <f>IFERROR(__xludf.DUMMYFUNCTION("""COMPUTED_VALUE"""),"038062024783")</f>
        <v>038062024783</v>
      </c>
      <c r="N72" s="25">
        <f>IFERROR(__xludf.DUMMYFUNCTION("""COMPUTED_VALUE"""),44326.0)</f>
        <v>44326</v>
      </c>
      <c r="O72" s="22" t="str">
        <f>IFERROR(__xludf.DUMMYFUNCTION("""COMPUTED_VALUE"""),"Cục Cảnh sát QLHC về TTXH")</f>
        <v>Cục Cảnh sát QLHC về TTXH</v>
      </c>
      <c r="P72" s="22" t="str">
        <f>IFERROR(__xludf.DUMMYFUNCTION("""COMPUTED_VALUE"""),"LĐPT")</f>
        <v>LĐPT</v>
      </c>
      <c r="Q72" s="22" t="str">
        <f>IFERROR(__xludf.DUMMYFUNCTION("""COMPUTED_VALUE"""),"Lao động phổ thông")</f>
        <v>Lao động phổ thông</v>
      </c>
      <c r="R72" s="24">
        <f>IFERROR(__xludf.DUMMYFUNCTION("""COMPUTED_VALUE"""),45831.0)</f>
        <v>45831</v>
      </c>
      <c r="S72" s="26">
        <f>IFERROR(__xludf.DUMMYFUNCTION("""COMPUTED_VALUE"""),45831.0)</f>
        <v>45831</v>
      </c>
      <c r="T72" s="22" t="str">
        <f>IFERROR(__xludf.DUMMYFUNCTION("""COMPUTED_VALUE"""),"Chính thức")</f>
        <v>Chính thức</v>
      </c>
      <c r="U72" s="22"/>
      <c r="V72" s="22" t="str">
        <f>IFERROR(__xludf.DUMMYFUNCTION("""COMPUTED_VALUE"""),"Chính thức")</f>
        <v>Chính thức</v>
      </c>
      <c r="W72" s="22" t="str">
        <f>IFERROR(__xludf.DUMMYFUNCTION("""COMPUTED_VALUE"""),"0 năm 6 tháng")</f>
        <v>0 năm 6 tháng</v>
      </c>
      <c r="X72" s="22"/>
      <c r="Y72" s="22"/>
      <c r="Z72" s="22"/>
    </row>
    <row r="73">
      <c r="A73" s="22">
        <f>IFERROR(__xludf.DUMMYFUNCTION("""COMPUTED_VALUE"""),22.0)</f>
        <v>22</v>
      </c>
      <c r="B73" s="22" t="str">
        <f>IFERROR(__xludf.DUMMYFUNCTION("""COMPUTED_VALUE"""),"Văn phòng")</f>
        <v>Văn phòng</v>
      </c>
      <c r="C73" s="22" t="str">
        <f>IFERROR(__xludf.DUMMYFUNCTION("""COMPUTED_VALUE"""),"Phòng Tổ chức - Hành chính")</f>
        <v>Phòng Tổ chức - Hành chính</v>
      </c>
      <c r="D73" s="22" t="str">
        <f>IFERROR(__xludf.DUMMYFUNCTION("""COMPUTED_VALUE"""),"Tổ Bảo vệ")</f>
        <v>Tổ Bảo vệ</v>
      </c>
      <c r="E73" s="22" t="str">
        <f>IFERROR(__xludf.DUMMYFUNCTION("""COMPUTED_VALUE"""),"Nhân viên bảo vệ")</f>
        <v>Nhân viên bảo vệ</v>
      </c>
      <c r="F73" s="22" t="str">
        <f>IFERROR(__xludf.DUMMYFUNCTION("""COMPUTED_VALUE"""),"NV2480")</f>
        <v>NV2480</v>
      </c>
      <c r="G73" s="22">
        <f>IFERROR(__xludf.DUMMYFUNCTION("""COMPUTED_VALUE"""),802.0)</f>
        <v>802</v>
      </c>
      <c r="H73" s="22" t="str">
        <f>IFERROR(__xludf.DUMMYFUNCTION("""COMPUTED_VALUE"""),"Nguyễn Xuân Thượng")</f>
        <v>Nguyễn Xuân Thượng</v>
      </c>
      <c r="I73" s="22" t="str">
        <f>IFERROR(__xludf.DUMMYFUNCTION("""COMPUTED_VALUE"""),"Nam")</f>
        <v>Nam</v>
      </c>
      <c r="J73" s="24">
        <f>IFERROR(__xludf.DUMMYFUNCTION("""COMPUTED_VALUE"""),22209.0)</f>
        <v>22209</v>
      </c>
      <c r="K73" s="22" t="str">
        <f>IFERROR(__xludf.DUMMYFUNCTION("""COMPUTED_VALUE"""),"Phố 6 - Phường Quảng Phú - Tỉnh Thanh Hóa")</f>
        <v>Phố 6 - Phường Quảng Phú - Tỉnh Thanh Hóa</v>
      </c>
      <c r="L73" s="27" t="str">
        <f>IFERROR(__xludf.DUMMYFUNCTION("""COMPUTED_VALUE"""),"0366931060")</f>
        <v>0366931060</v>
      </c>
      <c r="M73" s="22" t="str">
        <f>IFERROR(__xludf.DUMMYFUNCTION("""COMPUTED_VALUE"""),"038060005433")</f>
        <v>038060005433</v>
      </c>
      <c r="N73" s="25">
        <f>IFERROR(__xludf.DUMMYFUNCTION("""COMPUTED_VALUE"""),44435.0)</f>
        <v>44435</v>
      </c>
      <c r="O73" s="22" t="str">
        <f>IFERROR(__xludf.DUMMYFUNCTION("""COMPUTED_VALUE"""),"Cục Cảnh sát QLHC về TTXH")</f>
        <v>Cục Cảnh sát QLHC về TTXH</v>
      </c>
      <c r="P73" s="22" t="str">
        <f>IFERROR(__xludf.DUMMYFUNCTION("""COMPUTED_VALUE"""),"LĐPT")</f>
        <v>LĐPT</v>
      </c>
      <c r="Q73" s="22" t="str">
        <f>IFERROR(__xludf.DUMMYFUNCTION("""COMPUTED_VALUE"""),"Lao động phổ thông")</f>
        <v>Lao động phổ thông</v>
      </c>
      <c r="R73" s="24">
        <f>IFERROR(__xludf.DUMMYFUNCTION("""COMPUTED_VALUE"""),45836.0)</f>
        <v>45836</v>
      </c>
      <c r="S73" s="26">
        <f>IFERROR(__xludf.DUMMYFUNCTION("""COMPUTED_VALUE"""),45866.0)</f>
        <v>45866</v>
      </c>
      <c r="T73" s="22" t="str">
        <f>IFERROR(__xludf.DUMMYFUNCTION("""COMPUTED_VALUE"""),"Chính thức")</f>
        <v>Chính thức</v>
      </c>
      <c r="U73" s="22"/>
      <c r="V73" s="22" t="str">
        <f>IFERROR(__xludf.DUMMYFUNCTION("""COMPUTED_VALUE"""),"Chính thức")</f>
        <v>Chính thức</v>
      </c>
      <c r="W73" s="22" t="str">
        <f>IFERROR(__xludf.DUMMYFUNCTION("""COMPUTED_VALUE"""),"0 năm 6 tháng")</f>
        <v>0 năm 6 tháng</v>
      </c>
      <c r="X73" s="22"/>
      <c r="Y73" s="22"/>
      <c r="Z73" s="22"/>
    </row>
    <row r="74">
      <c r="A74" s="22">
        <f>IFERROR(__xludf.DUMMYFUNCTION("""COMPUTED_VALUE"""),23.0)</f>
        <v>23</v>
      </c>
      <c r="B74" s="22" t="str">
        <f>IFERROR(__xludf.DUMMYFUNCTION("""COMPUTED_VALUE"""),"Văn phòng")</f>
        <v>Văn phòng</v>
      </c>
      <c r="C74" s="22" t="str">
        <f>IFERROR(__xludf.DUMMYFUNCTION("""COMPUTED_VALUE"""),"Phòng Tổ chức - Hành chính")</f>
        <v>Phòng Tổ chức - Hành chính</v>
      </c>
      <c r="D74" s="22" t="str">
        <f>IFERROR(__xludf.DUMMYFUNCTION("""COMPUTED_VALUE"""),"Tổ Bảo vệ")</f>
        <v>Tổ Bảo vệ</v>
      </c>
      <c r="E74" s="22" t="str">
        <f>IFERROR(__xludf.DUMMYFUNCTION("""COMPUTED_VALUE"""),"Bảo vệ kiêm xuất hàng")</f>
        <v>Bảo vệ kiêm xuất hàng</v>
      </c>
      <c r="F74" s="22" t="str">
        <f>IFERROR(__xludf.DUMMYFUNCTION("""COMPUTED_VALUE"""),"NV5691")</f>
        <v>NV5691</v>
      </c>
      <c r="G74" s="22">
        <f>IFERROR(__xludf.DUMMYFUNCTION("""COMPUTED_VALUE"""),1178.0)</f>
        <v>1178</v>
      </c>
      <c r="H74" s="22" t="str">
        <f>IFERROR(__xludf.DUMMYFUNCTION("""COMPUTED_VALUE"""),"Lê Bá Thắng")</f>
        <v>Lê Bá Thắng</v>
      </c>
      <c r="I74" s="22" t="str">
        <f>IFERROR(__xludf.DUMMYFUNCTION("""COMPUTED_VALUE"""),"Nam")</f>
        <v>Nam</v>
      </c>
      <c r="J74" s="24">
        <f>IFERROR(__xludf.DUMMYFUNCTION("""COMPUTED_VALUE"""),27718.0)</f>
        <v>27718</v>
      </c>
      <c r="K74" s="22" t="str">
        <f>IFERROR(__xludf.DUMMYFUNCTION("""COMPUTED_VALUE"""),"Viên Khê 1 - Phường Đông Sơn - Tỉnh Thanh Hóa")</f>
        <v>Viên Khê 1 - Phường Đông Sơn - Tỉnh Thanh Hóa</v>
      </c>
      <c r="L74" s="27" t="str">
        <f>IFERROR(__xludf.DUMMYFUNCTION("""COMPUTED_VALUE"""),"0975343658")</f>
        <v>0975343658</v>
      </c>
      <c r="M74" s="22" t="str">
        <f>IFERROR(__xludf.DUMMYFUNCTION("""COMPUTED_VALUE"""),"038075004616")</f>
        <v>038075004616</v>
      </c>
      <c r="N74" s="25">
        <f>IFERROR(__xludf.DUMMYFUNCTION("""COMPUTED_VALUE"""),44326.0)</f>
        <v>44326</v>
      </c>
      <c r="O74" s="22" t="str">
        <f>IFERROR(__xludf.DUMMYFUNCTION("""COMPUTED_VALUE"""),"Cục Cảnh sát QLHC về TTXH")</f>
        <v>Cục Cảnh sát QLHC về TTXH</v>
      </c>
      <c r="P74" s="22" t="str">
        <f>IFERROR(__xludf.DUMMYFUNCTION("""COMPUTED_VALUE"""),"Trung cấp")</f>
        <v>Trung cấp</v>
      </c>
      <c r="Q74" s="22" t="str">
        <f>IFERROR(__xludf.DUMMYFUNCTION("""COMPUTED_VALUE"""),"Trung cấp sư phạm 
GD Thể chất")</f>
        <v>Trung cấp sư phạm 
GD Thể chất</v>
      </c>
      <c r="R74" s="24">
        <f>IFERROR(__xludf.DUMMYFUNCTION("""COMPUTED_VALUE"""),45906.0)</f>
        <v>45906</v>
      </c>
      <c r="S74" s="26">
        <f>IFERROR(__xludf.DUMMYFUNCTION("""COMPUTED_VALUE"""),45936.0)</f>
        <v>45936</v>
      </c>
      <c r="T74" s="22" t="str">
        <f>IFERROR(__xludf.DUMMYFUNCTION("""COMPUTED_VALUE"""),"Chính thức")</f>
        <v>Chính thức</v>
      </c>
      <c r="U74" s="22"/>
      <c r="V74" s="22" t="str">
        <f>IFERROR(__xludf.DUMMYFUNCTION("""COMPUTED_VALUE"""),"Chính thức")</f>
        <v>Chính thức</v>
      </c>
      <c r="W74" s="22" t="str">
        <f>IFERROR(__xludf.DUMMYFUNCTION("""COMPUTED_VALUE"""),"0 năm 3 tháng")</f>
        <v>0 năm 3 tháng</v>
      </c>
      <c r="X74" s="22"/>
      <c r="Y74" s="22"/>
      <c r="Z74" s="22"/>
    </row>
    <row r="75">
      <c r="A75" s="22">
        <f>IFERROR(__xludf.DUMMYFUNCTION("""COMPUTED_VALUE"""),24.0)</f>
        <v>24</v>
      </c>
      <c r="B75" s="22" t="str">
        <f>IFERROR(__xludf.DUMMYFUNCTION("""COMPUTED_VALUE"""),"Văn phòng")</f>
        <v>Văn phòng</v>
      </c>
      <c r="C75" s="22" t="str">
        <f>IFERROR(__xludf.DUMMYFUNCTION("""COMPUTED_VALUE"""),"Phòng Tổ chức - Hành chính")</f>
        <v>Phòng Tổ chức - Hành chính</v>
      </c>
      <c r="D75" s="22" t="str">
        <f>IFERROR(__xludf.DUMMYFUNCTION("""COMPUTED_VALUE"""),"Tổ Bảo vệ")</f>
        <v>Tổ Bảo vệ</v>
      </c>
      <c r="E75" s="22" t="str">
        <f>IFERROR(__xludf.DUMMYFUNCTION("""COMPUTED_VALUE"""),"Nhân viên bảo vệ")</f>
        <v>Nhân viên bảo vệ</v>
      </c>
      <c r="F75" s="22" t="str">
        <f>IFERROR(__xludf.DUMMYFUNCTION("""COMPUTED_VALUE"""),"NV5773")</f>
        <v>NV5773</v>
      </c>
      <c r="G75" s="22">
        <f>IFERROR(__xludf.DUMMYFUNCTION("""COMPUTED_VALUE"""),1254.0)</f>
        <v>1254</v>
      </c>
      <c r="H75" s="22" t="str">
        <f>IFERROR(__xludf.DUMMYFUNCTION("""COMPUTED_VALUE"""),"Phạm Văn Tiến")</f>
        <v>Phạm Văn Tiến</v>
      </c>
      <c r="I75" s="22" t="str">
        <f>IFERROR(__xludf.DUMMYFUNCTION("""COMPUTED_VALUE"""),"Nam")</f>
        <v>Nam</v>
      </c>
      <c r="J75" s="24">
        <f>IFERROR(__xludf.DUMMYFUNCTION("""COMPUTED_VALUE"""),22929.0)</f>
        <v>22929</v>
      </c>
      <c r="K75" s="22" t="str">
        <f>IFERROR(__xludf.DUMMYFUNCTION("""COMPUTED_VALUE"""),"Phố Đức Sơn - xã Hoằng Hóa - tỉnh Thanh Hoá")</f>
        <v>Phố Đức Sơn - xã Hoằng Hóa - tỉnh Thanh Hoá</v>
      </c>
      <c r="L75" s="27" t="str">
        <f>IFERROR(__xludf.DUMMYFUNCTION("""COMPUTED_VALUE"""),"0385564805")</f>
        <v>0385564805</v>
      </c>
      <c r="M75" s="22" t="str">
        <f>IFERROR(__xludf.DUMMYFUNCTION("""COMPUTED_VALUE"""),"038062025035")</f>
        <v>038062025035</v>
      </c>
      <c r="N75" s="25">
        <f>IFERROR(__xludf.DUMMYFUNCTION("""COMPUTED_VALUE"""),44914.0)</f>
        <v>44914</v>
      </c>
      <c r="O75" s="22" t="str">
        <f>IFERROR(__xludf.DUMMYFUNCTION("""COMPUTED_VALUE"""),"Cục Cảnh sát QLHC về TTXH")</f>
        <v>Cục Cảnh sát QLHC về TTXH</v>
      </c>
      <c r="P75" s="22" t="str">
        <f>IFERROR(__xludf.DUMMYFUNCTION("""COMPUTED_VALUE"""),"LĐPT")</f>
        <v>LĐPT</v>
      </c>
      <c r="Q75" s="22" t="str">
        <f>IFERROR(__xludf.DUMMYFUNCTION("""COMPUTED_VALUE"""),"Lao động phổ thông")</f>
        <v>Lao động phổ thông</v>
      </c>
      <c r="R75" s="24">
        <f>IFERROR(__xludf.DUMMYFUNCTION("""COMPUTED_VALUE"""),45951.0)</f>
        <v>45951</v>
      </c>
      <c r="S75" s="26">
        <f>IFERROR(__xludf.DUMMYFUNCTION("""COMPUTED_VALUE"""),45982.0)</f>
        <v>45982</v>
      </c>
      <c r="T75" s="22" t="str">
        <f>IFERROR(__xludf.DUMMYFUNCTION("""COMPUTED_VALUE"""),"Thử việc")</f>
        <v>Thử việc</v>
      </c>
      <c r="U75" s="22"/>
      <c r="V75" s="22" t="str">
        <f>IFERROR(__xludf.DUMMYFUNCTION("""COMPUTED_VALUE"""),"Thử việc")</f>
        <v>Thử việc</v>
      </c>
      <c r="W75" s="22" t="str">
        <f>IFERROR(__xludf.DUMMYFUNCTION("""COMPUTED_VALUE"""),"0 năm 2 tháng")</f>
        <v>0 năm 2 tháng</v>
      </c>
      <c r="X75" s="22"/>
      <c r="Y75" s="22"/>
      <c r="Z75" s="22"/>
    </row>
    <row r="76">
      <c r="A76" s="22">
        <f>IFERROR(__xludf.DUMMYFUNCTION("""COMPUTED_VALUE"""),25.0)</f>
        <v>25</v>
      </c>
      <c r="B76" s="22" t="str">
        <f>IFERROR(__xludf.DUMMYFUNCTION("""COMPUTED_VALUE"""),"Văn phòng")</f>
        <v>Văn phòng</v>
      </c>
      <c r="C76" s="22" t="str">
        <f>IFERROR(__xludf.DUMMYFUNCTION("""COMPUTED_VALUE"""),"Phòng Tổ chức - Hành chính")</f>
        <v>Phòng Tổ chức - Hành chính</v>
      </c>
      <c r="D76" s="22" t="str">
        <f>IFERROR(__xludf.DUMMYFUNCTION("""COMPUTED_VALUE"""),"Tổ Bảo vệ")</f>
        <v>Tổ Bảo vệ</v>
      </c>
      <c r="E76" s="22" t="str">
        <f>IFERROR(__xludf.DUMMYFUNCTION("""COMPUTED_VALUE"""),"Nhân viên bảo vệ")</f>
        <v>Nhân viên bảo vệ</v>
      </c>
      <c r="F76" s="22" t="str">
        <f>IFERROR(__xludf.DUMMYFUNCTION("""COMPUTED_VALUE"""),"NV5797")</f>
        <v>NV5797</v>
      </c>
      <c r="G76" s="22">
        <f>IFERROR(__xludf.DUMMYFUNCTION("""COMPUTED_VALUE"""),1279.0)</f>
        <v>1279</v>
      </c>
      <c r="H76" s="22" t="str">
        <f>IFERROR(__xludf.DUMMYFUNCTION("""COMPUTED_VALUE"""),"Lê Văn Thọ")</f>
        <v>Lê Văn Thọ</v>
      </c>
      <c r="I76" s="22" t="str">
        <f>IFERROR(__xludf.DUMMYFUNCTION("""COMPUTED_VALUE"""),"Nam")</f>
        <v>Nam</v>
      </c>
      <c r="J76" s="24">
        <f>IFERROR(__xludf.DUMMYFUNCTION("""COMPUTED_VALUE"""),23795.0)</f>
        <v>23795</v>
      </c>
      <c r="K76" s="22" t="str">
        <f>IFERROR(__xludf.DUMMYFUNCTION("""COMPUTED_VALUE"""),"TDP Thạch khê Thượng - phường Đông Sơn - Tỉnh Thanh Hóa")</f>
        <v>TDP Thạch khê Thượng - phường Đông Sơn - Tỉnh Thanh Hóa</v>
      </c>
      <c r="L76" s="27" t="str">
        <f>IFERROR(__xludf.DUMMYFUNCTION("""COMPUTED_VALUE"""),"0337170122")</f>
        <v>0337170122</v>
      </c>
      <c r="M76" s="22" t="str">
        <f>IFERROR(__xludf.DUMMYFUNCTION("""COMPUTED_VALUE"""),"038065002890")</f>
        <v>038065002890</v>
      </c>
      <c r="N76" s="25">
        <f>IFERROR(__xludf.DUMMYFUNCTION("""COMPUTED_VALUE"""),45677.0)</f>
        <v>45677</v>
      </c>
      <c r="O76" s="22" t="str">
        <f>IFERROR(__xludf.DUMMYFUNCTION("""COMPUTED_VALUE"""),"Bộ công an")</f>
        <v>Bộ công an</v>
      </c>
      <c r="P76" s="22" t="str">
        <f>IFERROR(__xludf.DUMMYFUNCTION("""COMPUTED_VALUE"""),"LĐPT")</f>
        <v>LĐPT</v>
      </c>
      <c r="Q76" s="22" t="str">
        <f>IFERROR(__xludf.DUMMYFUNCTION("""COMPUTED_VALUE"""),"Lao động phổ thông")</f>
        <v>Lao động phổ thông</v>
      </c>
      <c r="R76" s="24">
        <f>IFERROR(__xludf.DUMMYFUNCTION("""COMPUTED_VALUE"""),45971.0)</f>
        <v>45971</v>
      </c>
      <c r="S76" s="26">
        <f>IFERROR(__xludf.DUMMYFUNCTION("""COMPUTED_VALUE"""),46001.0)</f>
        <v>46001</v>
      </c>
      <c r="T76" s="22" t="str">
        <f>IFERROR(__xludf.DUMMYFUNCTION("""COMPUTED_VALUE"""),"Chính thức")</f>
        <v>Chính thức</v>
      </c>
      <c r="U76" s="22"/>
      <c r="V76" s="22" t="str">
        <f>IFERROR(__xludf.DUMMYFUNCTION("""COMPUTED_VALUE"""),"Chính thức")</f>
        <v>Chính thức</v>
      </c>
      <c r="W76" s="22" t="str">
        <f>IFERROR(__xludf.DUMMYFUNCTION("""COMPUTED_VALUE"""),"0 năm 1 tháng")</f>
        <v>0 năm 1 tháng</v>
      </c>
      <c r="X76" s="22"/>
      <c r="Y76" s="22"/>
      <c r="Z76" s="22"/>
    </row>
    <row r="77">
      <c r="A77" s="22">
        <f>IFERROR(__xludf.DUMMYFUNCTION("""COMPUTED_VALUE"""),26.0)</f>
        <v>26</v>
      </c>
      <c r="B77" s="22" t="str">
        <f>IFERROR(__xludf.DUMMYFUNCTION("""COMPUTED_VALUE"""),"Văn phòng")</f>
        <v>Văn phòng</v>
      </c>
      <c r="C77" s="22" t="str">
        <f>IFERROR(__xludf.DUMMYFUNCTION("""COMPUTED_VALUE"""),"Phòng Tổ chức - Hành chính")</f>
        <v>Phòng Tổ chức - Hành chính</v>
      </c>
      <c r="D77" s="22" t="str">
        <f>IFERROR(__xludf.DUMMYFUNCTION("""COMPUTED_VALUE"""),"Tổ Bảo vệ")</f>
        <v>Tổ Bảo vệ</v>
      </c>
      <c r="E77" s="22" t="str">
        <f>IFERROR(__xludf.DUMMYFUNCTION("""COMPUTED_VALUE"""),"Nhân viên bảo vệ")</f>
        <v>Nhân viên bảo vệ</v>
      </c>
      <c r="F77" s="22" t="str">
        <f>IFERROR(__xludf.DUMMYFUNCTION("""COMPUTED_VALUE"""),"NV1675")</f>
        <v>NV1675</v>
      </c>
      <c r="G77" s="22"/>
      <c r="H77" s="22" t="str">
        <f>IFERROR(__xludf.DUMMYFUNCTION("""COMPUTED_VALUE"""),"Trịnh Văn Luyện")</f>
        <v>Trịnh Văn Luyện</v>
      </c>
      <c r="I77" s="22" t="str">
        <f>IFERROR(__xludf.DUMMYFUNCTION("""COMPUTED_VALUE"""),"Nam")</f>
        <v>Nam</v>
      </c>
      <c r="J77" s="24">
        <f>IFERROR(__xludf.DUMMYFUNCTION("""COMPUTED_VALUE"""),22924.0)</f>
        <v>22924</v>
      </c>
      <c r="K77" s="22" t="str">
        <f>IFERROR(__xludf.DUMMYFUNCTION("""COMPUTED_VALUE"""),"Thôn Hàm Ninh - Xã Hoằng Trạch - Tỉnh Thanh Hóa")</f>
        <v>Thôn Hàm Ninh - Xã Hoằng Trạch - Tỉnh Thanh Hóa</v>
      </c>
      <c r="L77" s="27" t="str">
        <f>IFERROR(__xludf.DUMMYFUNCTION("""COMPUTED_VALUE"""),"0944902138")</f>
        <v>0944902138</v>
      </c>
      <c r="M77" s="22" t="str">
        <f>IFERROR(__xludf.DUMMYFUNCTION("""COMPUTED_VALUE"""),"038062022352")</f>
        <v>038062022352</v>
      </c>
      <c r="N77" s="25">
        <f>IFERROR(__xludf.DUMMYFUNCTION("""COMPUTED_VALUE"""),44419.0)</f>
        <v>44419</v>
      </c>
      <c r="O77" s="22" t="str">
        <f>IFERROR(__xludf.DUMMYFUNCTION("""COMPUTED_VALUE"""),"Cục Cảnh sát QLHC về TTXH")</f>
        <v>Cục Cảnh sát QLHC về TTXH</v>
      </c>
      <c r="P77" s="22" t="str">
        <f>IFERROR(__xludf.DUMMYFUNCTION("""COMPUTED_VALUE"""),"LĐPT")</f>
        <v>LĐPT</v>
      </c>
      <c r="Q77" s="22" t="str">
        <f>IFERROR(__xludf.DUMMYFUNCTION("""COMPUTED_VALUE"""),"Lao động phổ thông")</f>
        <v>Lao động phổ thông</v>
      </c>
      <c r="R77" s="24">
        <f>IFERROR(__xludf.DUMMYFUNCTION("""COMPUTED_VALUE"""),45873.0)</f>
        <v>45873</v>
      </c>
      <c r="S77" s="26">
        <f>IFERROR(__xludf.DUMMYFUNCTION("""COMPUTED_VALUE"""),45873.0)</f>
        <v>45873</v>
      </c>
      <c r="T77" s="22" t="str">
        <f>IFERROR(__xludf.DUMMYFUNCTION("""COMPUTED_VALUE"""),"Chính thức")</f>
        <v>Chính thức</v>
      </c>
      <c r="U77" s="22"/>
      <c r="V77" s="22" t="str">
        <f>IFERROR(__xludf.DUMMYFUNCTION("""COMPUTED_VALUE"""),"Chính thức")</f>
        <v>Chính thức</v>
      </c>
      <c r="W77" s="22" t="str">
        <f>IFERROR(__xludf.DUMMYFUNCTION("""COMPUTED_VALUE"""),"0 năm 4 tháng")</f>
        <v>0 năm 4 tháng</v>
      </c>
      <c r="X77" s="22"/>
      <c r="Y77" s="22"/>
      <c r="Z77" s="22"/>
    </row>
    <row r="78">
      <c r="A78" s="22">
        <f>IFERROR(__xludf.DUMMYFUNCTION("""COMPUTED_VALUE"""),27.0)</f>
        <v>27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>
        <f>IFERROR(__xludf.DUMMYFUNCTION("""COMPUTED_VALUE"""),28.0)</f>
        <v>28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>
        <f>IFERROR(__xludf.DUMMYFUNCTION("""COMPUTED_VALUE"""),29.0)</f>
        <v>29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>
        <f>IFERROR(__xludf.DUMMYFUNCTION("""COMPUTED_VALUE"""),30.0)</f>
        <v>30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 t="str">
        <f>IFERROR(__xludf.DUMMYFUNCTION("""COMPUTED_VALUE"""),"e.")</f>
        <v>e.</v>
      </c>
      <c r="B82" s="22" t="str">
        <f>IFERROR(__xludf.DUMMYFUNCTION("""COMPUTED_VALUE"""),"Tổ giám sát")</f>
        <v>Tổ giám sát</v>
      </c>
      <c r="C82" s="22">
        <f>IFERROR(__xludf.DUMMYFUNCTION("""COMPUTED_VALUE"""),0.0)</f>
        <v>0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>
        <f>IFERROR(__xludf.DUMMYFUNCTION("""COMPUTED_VALUE"""),1.0)</f>
        <v>1</v>
      </c>
      <c r="B83" s="22" t="str">
        <f>IFERROR(__xludf.DUMMYFUNCTION("""COMPUTED_VALUE"""),"#N/A")</f>
        <v>#N/A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>
        <f>IFERROR(__xludf.DUMMYFUNCTION("""COMPUTED_VALUE"""),2.0)</f>
        <v>2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>
        <f>IFERROR(__xludf.DUMMYFUNCTION("""COMPUTED_VALUE"""),3.0)</f>
        <v>3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>
        <f>IFERROR(__xludf.DUMMYFUNCTION("""COMPUTED_VALUE"""),4.0)</f>
        <v>4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>
        <f>IFERROR(__xludf.DUMMYFUNCTION("""COMPUTED_VALUE"""),5.0)</f>
        <v>5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 t="str">
        <f>IFERROR(__xludf.DUMMYFUNCTION("""COMPUTED_VALUE"""),"V")</f>
        <v>V</v>
      </c>
      <c r="B88" s="22" t="str">
        <f>IFERROR(__xludf.DUMMYFUNCTION("""COMPUTED_VALUE"""),"Ban đầu tư")</f>
        <v>Ban đầu tư</v>
      </c>
      <c r="C88" s="22">
        <f>IFERROR(__xludf.DUMMYFUNCTION("""COMPUTED_VALUE"""),12.0)</f>
        <v>12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>
        <f>IFERROR(__xludf.DUMMYFUNCTION("""COMPUTED_VALUE"""),1.0)</f>
        <v>1</v>
      </c>
      <c r="B89" s="22" t="str">
        <f>IFERROR(__xludf.DUMMYFUNCTION("""COMPUTED_VALUE"""),"Văn phòng")</f>
        <v>Văn phòng</v>
      </c>
      <c r="C89" s="22" t="str">
        <f>IFERROR(__xludf.DUMMYFUNCTION("""COMPUTED_VALUE"""),"Ban đầu tư")</f>
        <v>Ban đầu tư</v>
      </c>
      <c r="D89" s="22" t="str">
        <f>IFERROR(__xludf.DUMMYFUNCTION("""COMPUTED_VALUE"""),"Bộ phận hành chính")</f>
        <v>Bộ phận hành chính</v>
      </c>
      <c r="E89" s="22" t="str">
        <f>IFERROR(__xludf.DUMMYFUNCTION("""COMPUTED_VALUE"""),"Cán bộ kỹ thuật")</f>
        <v>Cán bộ kỹ thuật</v>
      </c>
      <c r="F89" s="22" t="str">
        <f>IFERROR(__xludf.DUMMYFUNCTION("""COMPUTED_VALUE"""),"NV0092")</f>
        <v>NV0092</v>
      </c>
      <c r="G89" s="22">
        <f>IFERROR(__xludf.DUMMYFUNCTION("""COMPUTED_VALUE"""),49.0)</f>
        <v>49</v>
      </c>
      <c r="H89" s="22" t="str">
        <f>IFERROR(__xludf.DUMMYFUNCTION("""COMPUTED_VALUE"""),"Mai Văn Thanh")</f>
        <v>Mai Văn Thanh</v>
      </c>
      <c r="I89" s="22" t="str">
        <f>IFERROR(__xludf.DUMMYFUNCTION("""COMPUTED_VALUE"""),"Nam")</f>
        <v>Nam</v>
      </c>
      <c r="J89" s="24">
        <f>IFERROR(__xludf.DUMMYFUNCTION("""COMPUTED_VALUE"""),27329.0)</f>
        <v>27329</v>
      </c>
      <c r="K89" s="22" t="str">
        <f>IFERROR(__xludf.DUMMYFUNCTION("""COMPUTED_VALUE"""),"68 Trần Nguyên Hãn - Phường Hạc Thành - Tỉnh Thanh Hóa")</f>
        <v>68 Trần Nguyên Hãn - Phường Hạc Thành - Tỉnh Thanh Hóa</v>
      </c>
      <c r="L89" s="22" t="str">
        <f>IFERROR(__xludf.DUMMYFUNCTION("""COMPUTED_VALUE"""),"0989312933")</f>
        <v>0989312933</v>
      </c>
      <c r="M89" s="22" t="str">
        <f>IFERROR(__xludf.DUMMYFUNCTION("""COMPUTED_VALUE"""),"038074027851")</f>
        <v>038074027851</v>
      </c>
      <c r="N89" s="25">
        <f>IFERROR(__xludf.DUMMYFUNCTION("""COMPUTED_VALUE"""),44422.0)</f>
        <v>44422</v>
      </c>
      <c r="O89" s="22" t="str">
        <f>IFERROR(__xludf.DUMMYFUNCTION("""COMPUTED_VALUE"""),"Cục Cảnh sát QLHC về TTXH")</f>
        <v>Cục Cảnh sát QLHC về TTXH</v>
      </c>
      <c r="P89" s="22" t="str">
        <f>IFERROR(__xludf.DUMMYFUNCTION("""COMPUTED_VALUE"""),"Kỹ sư")</f>
        <v>Kỹ sư</v>
      </c>
      <c r="Q89" s="22" t="str">
        <f>IFERROR(__xludf.DUMMYFUNCTION("""COMPUTED_VALUE"""),"KS - Cầu đường")</f>
        <v>KS - Cầu đường</v>
      </c>
      <c r="R89" s="24">
        <f>IFERROR(__xludf.DUMMYFUNCTION("""COMPUTED_VALUE"""),38044.0)</f>
        <v>38044</v>
      </c>
      <c r="S89" s="24">
        <f>IFERROR(__xludf.DUMMYFUNCTION("""COMPUTED_VALUE"""),38044.0)</f>
        <v>38044</v>
      </c>
      <c r="T89" s="22" t="str">
        <f>IFERROR(__xludf.DUMMYFUNCTION("""COMPUTED_VALUE"""),"Chính thức")</f>
        <v>Chính thức</v>
      </c>
      <c r="U89" s="22"/>
      <c r="V89" s="22" t="str">
        <f>IFERROR(__xludf.DUMMYFUNCTION("""COMPUTED_VALUE"""),"Chính thức")</f>
        <v>Chính thức</v>
      </c>
      <c r="W89" s="22" t="str">
        <f>IFERROR(__xludf.DUMMYFUNCTION("""COMPUTED_VALUE"""),"21 năm 10 tháng")</f>
        <v>21 năm 10 tháng</v>
      </c>
      <c r="X89" s="22"/>
      <c r="Y89" s="22"/>
      <c r="Z89" s="22"/>
    </row>
    <row r="90">
      <c r="A90" s="22">
        <f>IFERROR(__xludf.DUMMYFUNCTION("""COMPUTED_VALUE"""),2.0)</f>
        <v>2</v>
      </c>
      <c r="B90" s="22" t="str">
        <f>IFERROR(__xludf.DUMMYFUNCTION("""COMPUTED_VALUE"""),"Văn phòng")</f>
        <v>Văn phòng</v>
      </c>
      <c r="C90" s="22" t="str">
        <f>IFERROR(__xludf.DUMMYFUNCTION("""COMPUTED_VALUE"""),"Ban đầu tư")</f>
        <v>Ban đầu tư</v>
      </c>
      <c r="D90" s="22" t="str">
        <f>IFERROR(__xludf.DUMMYFUNCTION("""COMPUTED_VALUE"""),"Bộ phận hành chính")</f>
        <v>Bộ phận hành chính</v>
      </c>
      <c r="E90" s="22" t="str">
        <f>IFERROR(__xludf.DUMMYFUNCTION("""COMPUTED_VALUE"""),"Giám đốc dự án")</f>
        <v>Giám đốc dự án</v>
      </c>
      <c r="F90" s="22" t="str">
        <f>IFERROR(__xludf.DUMMYFUNCTION("""COMPUTED_VALUE"""),"NV0802")</f>
        <v>NV0802</v>
      </c>
      <c r="G90" s="22"/>
      <c r="H90" s="22" t="str">
        <f>IFERROR(__xludf.DUMMYFUNCTION("""COMPUTED_VALUE"""),"Trần Đức Phương")</f>
        <v>Trần Đức Phương</v>
      </c>
      <c r="I90" s="22" t="str">
        <f>IFERROR(__xludf.DUMMYFUNCTION("""COMPUTED_VALUE"""),"Nam")</f>
        <v>Nam</v>
      </c>
      <c r="J90" s="24">
        <f>IFERROR(__xludf.DUMMYFUNCTION("""COMPUTED_VALUE"""),30045.0)</f>
        <v>30045</v>
      </c>
      <c r="K90" s="22" t="str">
        <f>IFERROR(__xludf.DUMMYFUNCTION("""COMPUTED_VALUE"""),"34/14 - Trần Bình Trọng - Phường Hạc Thành - Tỉnh Thanh Hóa")</f>
        <v>34/14 - Trần Bình Trọng - Phường Hạc Thành - Tỉnh Thanh Hóa</v>
      </c>
      <c r="L90" s="22" t="str">
        <f>IFERROR(__xludf.DUMMYFUNCTION("""COMPUTED_VALUE"""),"0906261535")</f>
        <v>0906261535</v>
      </c>
      <c r="M90" s="22" t="str">
        <f>IFERROR(__xludf.DUMMYFUNCTION("""COMPUTED_VALUE"""),"038082048940")</f>
        <v>038082048940</v>
      </c>
      <c r="N90" s="25">
        <f>IFERROR(__xludf.DUMMYFUNCTION("""COMPUTED_VALUE"""),44419.0)</f>
        <v>44419</v>
      </c>
      <c r="O90" s="22" t="str">
        <f>IFERROR(__xludf.DUMMYFUNCTION("""COMPUTED_VALUE"""),"Cục Cảnh sát QLHC về TTXH")</f>
        <v>Cục Cảnh sát QLHC về TTXH</v>
      </c>
      <c r="P90" s="22" t="str">
        <f>IFERROR(__xludf.DUMMYFUNCTION("""COMPUTED_VALUE"""),"Kỹ sư")</f>
        <v>Kỹ sư</v>
      </c>
      <c r="Q90" s="22" t="str">
        <f>IFERROR(__xludf.DUMMYFUNCTION("""COMPUTED_VALUE"""),"KS - Thủy Lợi")</f>
        <v>KS - Thủy Lợi</v>
      </c>
      <c r="R90" s="24">
        <f>IFERROR(__xludf.DUMMYFUNCTION("""COMPUTED_VALUE"""),40096.0)</f>
        <v>40096</v>
      </c>
      <c r="S90" s="24">
        <f>IFERROR(__xludf.DUMMYFUNCTION("""COMPUTED_VALUE"""),40096.0)</f>
        <v>40096</v>
      </c>
      <c r="T90" s="22" t="str">
        <f>IFERROR(__xludf.DUMMYFUNCTION("""COMPUTED_VALUE"""),"Chính thức")</f>
        <v>Chính thức</v>
      </c>
      <c r="U90" s="22"/>
      <c r="V90" s="22" t="str">
        <f>IFERROR(__xludf.DUMMYFUNCTION("""COMPUTED_VALUE"""),"Chính thức")</f>
        <v>Chính thức</v>
      </c>
      <c r="W90" s="22" t="str">
        <f>IFERROR(__xludf.DUMMYFUNCTION("""COMPUTED_VALUE"""),"16 năm 2 tháng")</f>
        <v>16 năm 2 tháng</v>
      </c>
      <c r="X90" s="22"/>
      <c r="Y90" s="22"/>
      <c r="Z90" s="22"/>
    </row>
    <row r="91">
      <c r="A91" s="22">
        <f>IFERROR(__xludf.DUMMYFUNCTION("""COMPUTED_VALUE"""),3.0)</f>
        <v>3</v>
      </c>
      <c r="B91" s="22" t="str">
        <f>IFERROR(__xludf.DUMMYFUNCTION("""COMPUTED_VALUE"""),"Văn phòng")</f>
        <v>Văn phòng</v>
      </c>
      <c r="C91" s="22" t="str">
        <f>IFERROR(__xludf.DUMMYFUNCTION("""COMPUTED_VALUE"""),"Ban đầu tư")</f>
        <v>Ban đầu tư</v>
      </c>
      <c r="D91" s="22" t="str">
        <f>IFERROR(__xludf.DUMMYFUNCTION("""COMPUTED_VALUE"""),"Bộ phận hành chính")</f>
        <v>Bộ phận hành chính</v>
      </c>
      <c r="E91" s="22" t="str">
        <f>IFERROR(__xludf.DUMMYFUNCTION("""COMPUTED_VALUE"""),"Phó giám đốc dự án")</f>
        <v>Phó giám đốc dự án</v>
      </c>
      <c r="F91" s="22" t="str">
        <f>IFERROR(__xludf.DUMMYFUNCTION("""COMPUTED_VALUE"""),"NV0987")</f>
        <v>NV0987</v>
      </c>
      <c r="G91" s="22">
        <f>IFERROR(__xludf.DUMMYFUNCTION("""COMPUTED_VALUE"""),668.0)</f>
        <v>668</v>
      </c>
      <c r="H91" s="22" t="str">
        <f>IFERROR(__xludf.DUMMYFUNCTION("""COMPUTED_VALUE"""),"Lê Bình Nguyên")</f>
        <v>Lê Bình Nguyên</v>
      </c>
      <c r="I91" s="22" t="str">
        <f>IFERROR(__xludf.DUMMYFUNCTION("""COMPUTED_VALUE"""),"Nam")</f>
        <v>Nam</v>
      </c>
      <c r="J91" s="24">
        <f>IFERROR(__xludf.DUMMYFUNCTION("""COMPUTED_VALUE"""),29888.0)</f>
        <v>29888</v>
      </c>
      <c r="K91" s="22" t="str">
        <f>IFERROR(__xludf.DUMMYFUNCTION("""COMPUTED_VALUE"""),"31 Lý Đạo Thành - Phường Hạc Thành - Tỉnh Thanh Hóa")</f>
        <v>31 Lý Đạo Thành - Phường Hạc Thành - Tỉnh Thanh Hóa</v>
      </c>
      <c r="L91" s="22" t="str">
        <f>IFERROR(__xludf.DUMMYFUNCTION("""COMPUTED_VALUE"""),"0943666382")</f>
        <v>0943666382</v>
      </c>
      <c r="M91" s="22" t="str">
        <f>IFERROR(__xludf.DUMMYFUNCTION("""COMPUTED_VALUE"""),"040081000489")</f>
        <v>040081000489</v>
      </c>
      <c r="N91" s="25">
        <f>IFERROR(__xludf.DUMMYFUNCTION("""COMPUTED_VALUE"""),44420.0)</f>
        <v>44420</v>
      </c>
      <c r="O91" s="22" t="str">
        <f>IFERROR(__xludf.DUMMYFUNCTION("""COMPUTED_VALUE"""),"Cục Cảnh sát QLHC về TTXH")</f>
        <v>Cục Cảnh sát QLHC về TTXH</v>
      </c>
      <c r="P91" s="22" t="str">
        <f>IFERROR(__xludf.DUMMYFUNCTION("""COMPUTED_VALUE"""),"Kỹ sư")</f>
        <v>Kỹ sư</v>
      </c>
      <c r="Q91" s="22" t="str">
        <f>IFERROR(__xludf.DUMMYFUNCTION("""COMPUTED_VALUE"""),"KS - Xây dựng")</f>
        <v>KS - Xây dựng</v>
      </c>
      <c r="R91" s="24">
        <f>IFERROR(__xludf.DUMMYFUNCTION("""COMPUTED_VALUE"""),42870.0)</f>
        <v>42870</v>
      </c>
      <c r="S91" s="24">
        <f>IFERROR(__xludf.DUMMYFUNCTION("""COMPUTED_VALUE"""),42870.0)</f>
        <v>42870</v>
      </c>
      <c r="T91" s="22" t="str">
        <f>IFERROR(__xludf.DUMMYFUNCTION("""COMPUTED_VALUE"""),"Chính thức")</f>
        <v>Chính thức</v>
      </c>
      <c r="U91" s="22"/>
      <c r="V91" s="22" t="str">
        <f>IFERROR(__xludf.DUMMYFUNCTION("""COMPUTED_VALUE"""),"Chính thức")</f>
        <v>Chính thức</v>
      </c>
      <c r="W91" s="22" t="str">
        <f>IFERROR(__xludf.DUMMYFUNCTION("""COMPUTED_VALUE"""),"8 năm 7 tháng")</f>
        <v>8 năm 7 tháng</v>
      </c>
      <c r="X91" s="22"/>
      <c r="Y91" s="22"/>
      <c r="Z91" s="22"/>
    </row>
    <row r="92">
      <c r="A92" s="22">
        <f>IFERROR(__xludf.DUMMYFUNCTION("""COMPUTED_VALUE"""),4.0)</f>
        <v>4</v>
      </c>
      <c r="B92" s="22" t="str">
        <f>IFERROR(__xludf.DUMMYFUNCTION("""COMPUTED_VALUE"""),"Văn phòng")</f>
        <v>Văn phòng</v>
      </c>
      <c r="C92" s="22" t="str">
        <f>IFERROR(__xludf.DUMMYFUNCTION("""COMPUTED_VALUE"""),"Ban đầu tư")</f>
        <v>Ban đầu tư</v>
      </c>
      <c r="D92" s="22" t="str">
        <f>IFERROR(__xludf.DUMMYFUNCTION("""COMPUTED_VALUE"""),"Bộ phận hành chính")</f>
        <v>Bộ phận hành chính</v>
      </c>
      <c r="E92" s="22" t="str">
        <f>IFERROR(__xludf.DUMMYFUNCTION("""COMPUTED_VALUE"""),"Cán bộ kỹ thuật")</f>
        <v>Cán bộ kỹ thuật</v>
      </c>
      <c r="F92" s="22" t="str">
        <f>IFERROR(__xludf.DUMMYFUNCTION("""COMPUTED_VALUE"""),"NV0096")</f>
        <v>NV0096</v>
      </c>
      <c r="G92" s="22">
        <f>IFERROR(__xludf.DUMMYFUNCTION("""COMPUTED_VALUE"""),678.0)</f>
        <v>678</v>
      </c>
      <c r="H92" s="22" t="str">
        <f>IFERROR(__xludf.DUMMYFUNCTION("""COMPUTED_VALUE"""),"Nguyễn Văn Tuấn")</f>
        <v>Nguyễn Văn Tuấn</v>
      </c>
      <c r="I92" s="22" t="str">
        <f>IFERROR(__xludf.DUMMYFUNCTION("""COMPUTED_VALUE"""),"Nam")</f>
        <v>Nam</v>
      </c>
      <c r="J92" s="24">
        <f>IFERROR(__xludf.DUMMYFUNCTION("""COMPUTED_VALUE"""),30445.0)</f>
        <v>30445</v>
      </c>
      <c r="K92" s="22" t="str">
        <f>IFERROR(__xludf.DUMMYFUNCTION("""COMPUTED_VALUE"""),"Căn 4.11 Chung cư 379 phố Bào Ngoại - Phường Hạc Thành - Tỉnh Thanh Hóa")</f>
        <v>Căn 4.11 Chung cư 379 phố Bào Ngoại - Phường Hạc Thành - Tỉnh Thanh Hóa</v>
      </c>
      <c r="L92" s="22" t="str">
        <f>IFERROR(__xludf.DUMMYFUNCTION("""COMPUTED_VALUE"""),"0904903829")</f>
        <v>0904903829</v>
      </c>
      <c r="M92" s="22" t="str">
        <f>IFERROR(__xludf.DUMMYFUNCTION("""COMPUTED_VALUE"""),"038083033571")</f>
        <v>038083033571</v>
      </c>
      <c r="N92" s="25">
        <f>IFERROR(__xludf.DUMMYFUNCTION("""COMPUTED_VALUE"""),44418.0)</f>
        <v>44418</v>
      </c>
      <c r="O92" s="22" t="str">
        <f>IFERROR(__xludf.DUMMYFUNCTION("""COMPUTED_VALUE"""),"Cục Cảnh sát QLHC về TTXH")</f>
        <v>Cục Cảnh sát QLHC về TTXH</v>
      </c>
      <c r="P92" s="22" t="str">
        <f>IFERROR(__xludf.DUMMYFUNCTION("""COMPUTED_VALUE"""),"Kỹ sư")</f>
        <v>Kỹ sư</v>
      </c>
      <c r="Q92" s="22" t="str">
        <f>IFERROR(__xludf.DUMMYFUNCTION("""COMPUTED_VALUE"""),"KS - Giao thông")</f>
        <v>KS - Giao thông</v>
      </c>
      <c r="R92" s="24">
        <f>IFERROR(__xludf.DUMMYFUNCTION("""COMPUTED_VALUE"""),39522.0)</f>
        <v>39522</v>
      </c>
      <c r="S92" s="24">
        <f>IFERROR(__xludf.DUMMYFUNCTION("""COMPUTED_VALUE"""),39522.0)</f>
        <v>39522</v>
      </c>
      <c r="T92" s="22" t="str">
        <f>IFERROR(__xludf.DUMMYFUNCTION("""COMPUTED_VALUE"""),"Chính thức")</f>
        <v>Chính thức</v>
      </c>
      <c r="U92" s="22"/>
      <c r="V92" s="22" t="str">
        <f>IFERROR(__xludf.DUMMYFUNCTION("""COMPUTED_VALUE"""),"Chính thức")</f>
        <v>Chính thức</v>
      </c>
      <c r="W92" s="22" t="str">
        <f>IFERROR(__xludf.DUMMYFUNCTION("""COMPUTED_VALUE"""),"17 năm 9 tháng")</f>
        <v>17 năm 9 tháng</v>
      </c>
      <c r="X92" s="22"/>
      <c r="Y92" s="22"/>
      <c r="Z92" s="22"/>
    </row>
    <row r="93">
      <c r="A93" s="22">
        <f>IFERROR(__xludf.DUMMYFUNCTION("""COMPUTED_VALUE"""),5.0)</f>
        <v>5</v>
      </c>
      <c r="B93" s="22" t="str">
        <f>IFERROR(__xludf.DUMMYFUNCTION("""COMPUTED_VALUE"""),"Văn phòng")</f>
        <v>Văn phòng</v>
      </c>
      <c r="C93" s="22" t="str">
        <f>IFERROR(__xludf.DUMMYFUNCTION("""COMPUTED_VALUE"""),"Ban đầu tư")</f>
        <v>Ban đầu tư</v>
      </c>
      <c r="D93" s="22" t="str">
        <f>IFERROR(__xludf.DUMMYFUNCTION("""COMPUTED_VALUE"""),"Bộ phận hành chính")</f>
        <v>Bộ phận hành chính</v>
      </c>
      <c r="E93" s="22" t="str">
        <f>IFERROR(__xludf.DUMMYFUNCTION("""COMPUTED_VALUE"""),"Nhân viên nội nghiệp")</f>
        <v>Nhân viên nội nghiệp</v>
      </c>
      <c r="F93" s="22" t="str">
        <f>IFERROR(__xludf.DUMMYFUNCTION("""COMPUTED_VALUE"""),"NV3426")</f>
        <v>NV3426</v>
      </c>
      <c r="G93" s="22">
        <f>IFERROR(__xludf.DUMMYFUNCTION("""COMPUTED_VALUE"""),50.0)</f>
        <v>50</v>
      </c>
      <c r="H93" s="22" t="str">
        <f>IFERROR(__xludf.DUMMYFUNCTION("""COMPUTED_VALUE"""),"Lê Thị Hương")</f>
        <v>Lê Thị Hương</v>
      </c>
      <c r="I93" s="22" t="str">
        <f>IFERROR(__xludf.DUMMYFUNCTION("""COMPUTED_VALUE"""),"Nữ")</f>
        <v>Nữ</v>
      </c>
      <c r="J93" s="24">
        <f>IFERROR(__xludf.DUMMYFUNCTION("""COMPUTED_VALUE"""),30377.0)</f>
        <v>30377</v>
      </c>
      <c r="K93" s="22" t="str">
        <f>IFERROR(__xludf.DUMMYFUNCTION("""COMPUTED_VALUE"""),"19A/39 Nguyễn Văn Trỗi - Phường Hạc Thành - Tỉnh Thanh Hóa")</f>
        <v>19A/39 Nguyễn Văn Trỗi - Phường Hạc Thành - Tỉnh Thanh Hóa</v>
      </c>
      <c r="L93" s="22" t="str">
        <f>IFERROR(__xludf.DUMMYFUNCTION("""COMPUTED_VALUE"""),"0972559329")</f>
        <v>0972559329</v>
      </c>
      <c r="M93" s="22" t="str">
        <f>IFERROR(__xludf.DUMMYFUNCTION("""COMPUTED_VALUE"""),"038183002370")</f>
        <v>038183002370</v>
      </c>
      <c r="N93" s="25">
        <f>IFERROR(__xludf.DUMMYFUNCTION("""COMPUTED_VALUE"""),44418.0)</f>
        <v>44418</v>
      </c>
      <c r="O93" s="22" t="str">
        <f>IFERROR(__xludf.DUMMYFUNCTION("""COMPUTED_VALUE"""),"Cục Cảnh sát QLHC về TTXH")</f>
        <v>Cục Cảnh sát QLHC về TTXH</v>
      </c>
      <c r="P93" s="22" t="str">
        <f>IFERROR(__xludf.DUMMYFUNCTION("""COMPUTED_VALUE"""),"Kỹ sư")</f>
        <v>Kỹ sư</v>
      </c>
      <c r="Q93" s="22" t="str">
        <f>IFERROR(__xludf.DUMMYFUNCTION("""COMPUTED_VALUE"""),"Thủy lợi")</f>
        <v>Thủy lợi</v>
      </c>
      <c r="R93" s="24">
        <f>IFERROR(__xludf.DUMMYFUNCTION("""COMPUTED_VALUE"""),44244.0)</f>
        <v>44244</v>
      </c>
      <c r="S93" s="24">
        <f>IFERROR(__xludf.DUMMYFUNCTION("""COMPUTED_VALUE"""),44287.0)</f>
        <v>44287</v>
      </c>
      <c r="T93" s="22" t="str">
        <f>IFERROR(__xludf.DUMMYFUNCTION("""COMPUTED_VALUE"""),"Chính thức")</f>
        <v>Chính thức</v>
      </c>
      <c r="U93" s="22"/>
      <c r="V93" s="22" t="str">
        <f>IFERROR(__xludf.DUMMYFUNCTION("""COMPUTED_VALUE"""),"Chính thức")</f>
        <v>Chính thức</v>
      </c>
      <c r="W93" s="22" t="str">
        <f>IFERROR(__xludf.DUMMYFUNCTION("""COMPUTED_VALUE"""),"4 năm 10 tháng")</f>
        <v>4 năm 10 tháng</v>
      </c>
      <c r="X93" s="22"/>
      <c r="Y93" s="22"/>
      <c r="Z93" s="22"/>
    </row>
    <row r="94">
      <c r="A94" s="22">
        <f>IFERROR(__xludf.DUMMYFUNCTION("""COMPUTED_VALUE"""),6.0)</f>
        <v>6</v>
      </c>
      <c r="B94" s="22" t="str">
        <f>IFERROR(__xludf.DUMMYFUNCTION("""COMPUTED_VALUE"""),"Văn phòng")</f>
        <v>Văn phòng</v>
      </c>
      <c r="C94" s="22" t="str">
        <f>IFERROR(__xludf.DUMMYFUNCTION("""COMPUTED_VALUE"""),"Ban đầu tư")</f>
        <v>Ban đầu tư</v>
      </c>
      <c r="D94" s="22" t="str">
        <f>IFERROR(__xludf.DUMMYFUNCTION("""COMPUTED_VALUE"""),"Bộ phận hành chính")</f>
        <v>Bộ phận hành chính</v>
      </c>
      <c r="E94" s="22" t="str">
        <f>IFERROR(__xludf.DUMMYFUNCTION("""COMPUTED_VALUE"""),"Nhân viên kỹ thuật")</f>
        <v>Nhân viên kỹ thuật</v>
      </c>
      <c r="F94" s="22" t="str">
        <f>IFERROR(__xludf.DUMMYFUNCTION("""COMPUTED_VALUE"""),"NV1179")</f>
        <v>NV1179</v>
      </c>
      <c r="G94" s="22"/>
      <c r="H94" s="22" t="str">
        <f>IFERROR(__xludf.DUMMYFUNCTION("""COMPUTED_VALUE"""),"Lê Văn Công")</f>
        <v>Lê Văn Công</v>
      </c>
      <c r="I94" s="22" t="str">
        <f>IFERROR(__xludf.DUMMYFUNCTION("""COMPUTED_VALUE"""),"Nam")</f>
        <v>Nam</v>
      </c>
      <c r="J94" s="24">
        <f>IFERROR(__xludf.DUMMYFUNCTION("""COMPUTED_VALUE"""),29133.0)</f>
        <v>29133</v>
      </c>
      <c r="K94" s="22" t="str">
        <f>IFERROR(__xludf.DUMMYFUNCTION("""COMPUTED_VALUE"""),"Phúc Tiên - Xã Hoằng Giang - Tỉnh Thanh hóa")</f>
        <v>Phúc Tiên - Xã Hoằng Giang - Tỉnh Thanh hóa</v>
      </c>
      <c r="L94" s="22" t="str">
        <f>IFERROR(__xludf.DUMMYFUNCTION("""COMPUTED_VALUE"""),"0914769178")</f>
        <v>0914769178</v>
      </c>
      <c r="M94" s="22" t="str">
        <f>IFERROR(__xludf.DUMMYFUNCTION("""COMPUTED_VALUE"""),"038079017805")</f>
        <v>038079017805</v>
      </c>
      <c r="N94" s="25">
        <f>IFERROR(__xludf.DUMMYFUNCTION("""COMPUTED_VALUE"""),44420.0)</f>
        <v>44420</v>
      </c>
      <c r="O94" s="22" t="str">
        <f>IFERROR(__xludf.DUMMYFUNCTION("""COMPUTED_VALUE"""),"Cục Cảnh sát QLHC về TTXH")</f>
        <v>Cục Cảnh sát QLHC về TTXH</v>
      </c>
      <c r="P94" s="22" t="str">
        <f>IFERROR(__xludf.DUMMYFUNCTION("""COMPUTED_VALUE"""),"Đại học")</f>
        <v>Đại học</v>
      </c>
      <c r="Q94" s="22" t="str">
        <f>IFERROR(__xludf.DUMMYFUNCTION("""COMPUTED_VALUE"""),"Kỹ sư giao thông")</f>
        <v>Kỹ sư giao thông</v>
      </c>
      <c r="R94" s="24">
        <f>IFERROR(__xludf.DUMMYFUNCTION("""COMPUTED_VALUE"""),37712.0)</f>
        <v>37712</v>
      </c>
      <c r="S94" s="24">
        <f>IFERROR(__xludf.DUMMYFUNCTION("""COMPUTED_VALUE"""),37712.0)</f>
        <v>37712</v>
      </c>
      <c r="T94" s="22" t="str">
        <f>IFERROR(__xludf.DUMMYFUNCTION("""COMPUTED_VALUE"""),"Chính thức")</f>
        <v>Chính thức</v>
      </c>
      <c r="U94" s="22"/>
      <c r="V94" s="22" t="str">
        <f>IFERROR(__xludf.DUMMYFUNCTION("""COMPUTED_VALUE"""),"Chính thức")</f>
        <v>Chính thức</v>
      </c>
      <c r="W94" s="22" t="str">
        <f>IFERROR(__xludf.DUMMYFUNCTION("""COMPUTED_VALUE"""),"22 năm 8 tháng")</f>
        <v>22 năm 8 tháng</v>
      </c>
      <c r="X94" s="22"/>
      <c r="Y94" s="22"/>
      <c r="Z94" s="22"/>
    </row>
    <row r="95">
      <c r="A95" s="22">
        <f>IFERROR(__xludf.DUMMYFUNCTION("""COMPUTED_VALUE"""),7.0)</f>
        <v>7</v>
      </c>
      <c r="B95" s="22" t="str">
        <f>IFERROR(__xludf.DUMMYFUNCTION("""COMPUTED_VALUE"""),"Văn phòng")</f>
        <v>Văn phòng</v>
      </c>
      <c r="C95" s="22" t="str">
        <f>IFERROR(__xludf.DUMMYFUNCTION("""COMPUTED_VALUE"""),"Ban đầu tư")</f>
        <v>Ban đầu tư</v>
      </c>
      <c r="D95" s="22" t="str">
        <f>IFERROR(__xludf.DUMMYFUNCTION("""COMPUTED_VALUE"""),"Bộ phận hành chính")</f>
        <v>Bộ phận hành chính</v>
      </c>
      <c r="E95" s="22" t="str">
        <f>IFERROR(__xludf.DUMMYFUNCTION("""COMPUTED_VALUE"""),"Phó giám đốc dự án")</f>
        <v>Phó giám đốc dự án</v>
      </c>
      <c r="F95" s="22" t="str">
        <f>IFERROR(__xludf.DUMMYFUNCTION("""COMPUTED_VALUE"""),"NV5198")</f>
        <v>NV5198</v>
      </c>
      <c r="G95" s="22">
        <f>IFERROR(__xludf.DUMMYFUNCTION("""COMPUTED_VALUE"""),73.0)</f>
        <v>73</v>
      </c>
      <c r="H95" s="22" t="str">
        <f>IFERROR(__xludf.DUMMYFUNCTION("""COMPUTED_VALUE"""),"Hoàng Văn Tỉnh")</f>
        <v>Hoàng Văn Tỉnh</v>
      </c>
      <c r="I95" s="22" t="str">
        <f>IFERROR(__xludf.DUMMYFUNCTION("""COMPUTED_VALUE"""),"Nam")</f>
        <v>Nam</v>
      </c>
      <c r="J95" s="24">
        <f>IFERROR(__xludf.DUMMYFUNCTION("""COMPUTED_VALUE"""),29016.0)</f>
        <v>29016</v>
      </c>
      <c r="K95" s="22" t="str">
        <f>IFERROR(__xludf.DUMMYFUNCTION("""COMPUTED_VALUE"""),"Nhà 17 CC Đông Phát - Phường Hạc Thành - Tỉnh Thanh Hóa")</f>
        <v>Nhà 17 CC Đông Phát - Phường Hạc Thành - Tỉnh Thanh Hóa</v>
      </c>
      <c r="L95" s="22" t="str">
        <f>IFERROR(__xludf.DUMMYFUNCTION("""COMPUTED_VALUE"""),"0904214602")</f>
        <v>0904214602</v>
      </c>
      <c r="M95" s="22" t="str">
        <f>IFERROR(__xludf.DUMMYFUNCTION("""COMPUTED_VALUE"""),"038079022407")</f>
        <v>038079022407</v>
      </c>
      <c r="N95" s="25">
        <f>IFERROR(__xludf.DUMMYFUNCTION("""COMPUTED_VALUE"""),44205.0)</f>
        <v>44205</v>
      </c>
      <c r="O95" s="22" t="str">
        <f>IFERROR(__xludf.DUMMYFUNCTION("""COMPUTED_VALUE"""),"Cục Cảnh sát QLHC về TTXH")</f>
        <v>Cục Cảnh sát QLHC về TTXH</v>
      </c>
      <c r="P95" s="22" t="str">
        <f>IFERROR(__xludf.DUMMYFUNCTION("""COMPUTED_VALUE"""),"Kỹ sư")</f>
        <v>Kỹ sư</v>
      </c>
      <c r="Q95" s="22" t="str">
        <f>IFERROR(__xludf.DUMMYFUNCTION("""COMPUTED_VALUE"""),"Xây dựng")</f>
        <v>Xây dựng</v>
      </c>
      <c r="R95" s="24">
        <f>IFERROR(__xludf.DUMMYFUNCTION("""COMPUTED_VALUE"""),45425.0)</f>
        <v>45425</v>
      </c>
      <c r="S95" s="24">
        <f>IFERROR(__xludf.DUMMYFUNCTION("""COMPUTED_VALUE"""),45536.0)</f>
        <v>45536</v>
      </c>
      <c r="T95" s="22" t="str">
        <f>IFERROR(__xludf.DUMMYFUNCTION("""COMPUTED_VALUE"""),"Chính thức")</f>
        <v>Chính thức</v>
      </c>
      <c r="U95" s="22"/>
      <c r="V95" s="22" t="str">
        <f>IFERROR(__xludf.DUMMYFUNCTION("""COMPUTED_VALUE"""),"Chính thức")</f>
        <v>Chính thức</v>
      </c>
      <c r="W95" s="22" t="str">
        <f>IFERROR(__xludf.DUMMYFUNCTION("""COMPUTED_VALUE"""),"1 năm 7 tháng")</f>
        <v>1 năm 7 tháng</v>
      </c>
      <c r="X95" s="22"/>
      <c r="Y95" s="22"/>
      <c r="Z95" s="22"/>
    </row>
    <row r="96">
      <c r="A96" s="22">
        <f>IFERROR(__xludf.DUMMYFUNCTION("""COMPUTED_VALUE"""),8.0)</f>
        <v>8</v>
      </c>
      <c r="B96" s="22" t="str">
        <f>IFERROR(__xludf.DUMMYFUNCTION("""COMPUTED_VALUE"""),"Văn phòng")</f>
        <v>Văn phòng</v>
      </c>
      <c r="C96" s="22" t="str">
        <f>IFERROR(__xludf.DUMMYFUNCTION("""COMPUTED_VALUE"""),"Ban đầu tư")</f>
        <v>Ban đầu tư</v>
      </c>
      <c r="D96" s="22" t="str">
        <f>IFERROR(__xludf.DUMMYFUNCTION("""COMPUTED_VALUE"""),"Bộ phận hành chính")</f>
        <v>Bộ phận hành chính</v>
      </c>
      <c r="E96" s="22" t="str">
        <f>IFERROR(__xludf.DUMMYFUNCTION("""COMPUTED_VALUE"""),"Cán bộ kỹ thuật")</f>
        <v>Cán bộ kỹ thuật</v>
      </c>
      <c r="F96" s="22" t="str">
        <f>IFERROR(__xludf.DUMMYFUNCTION("""COMPUTED_VALUE"""),"NV1159")</f>
        <v>NV1159</v>
      </c>
      <c r="G96" s="22">
        <f>IFERROR(__xludf.DUMMYFUNCTION("""COMPUTED_VALUE"""),28.0)</f>
        <v>28</v>
      </c>
      <c r="H96" s="22" t="str">
        <f>IFERROR(__xludf.DUMMYFUNCTION("""COMPUTED_VALUE"""),"Nguyễn Huy Dũng")</f>
        <v>Nguyễn Huy Dũng</v>
      </c>
      <c r="I96" s="22" t="str">
        <f>IFERROR(__xludf.DUMMYFUNCTION("""COMPUTED_VALUE"""),"Nam")</f>
        <v>Nam</v>
      </c>
      <c r="J96" s="24">
        <f>IFERROR(__xludf.DUMMYFUNCTION("""COMPUTED_VALUE"""),33152.0)</f>
        <v>33152</v>
      </c>
      <c r="K96" s="22" t="str">
        <f>IFERROR(__xludf.DUMMYFUNCTION("""COMPUTED_VALUE"""),"Thôn Hà Đồ - Xã Hoằng Lộc - Tỉnh Thanh Hóa")</f>
        <v>Thôn Hà Đồ - Xã Hoằng Lộc - Tỉnh Thanh Hóa</v>
      </c>
      <c r="L96" s="22" t="str">
        <f>IFERROR(__xludf.DUMMYFUNCTION("""COMPUTED_VALUE"""),"0988486246")</f>
        <v>0988486246</v>
      </c>
      <c r="M96" s="22" t="str">
        <f>IFERROR(__xludf.DUMMYFUNCTION("""COMPUTED_VALUE"""),"038090008337")</f>
        <v>038090008337</v>
      </c>
      <c r="N96" s="25">
        <f>IFERROR(__xludf.DUMMYFUNCTION("""COMPUTED_VALUE"""),45593.0)</f>
        <v>45593</v>
      </c>
      <c r="O96" s="22" t="str">
        <f>IFERROR(__xludf.DUMMYFUNCTION("""COMPUTED_VALUE"""),"Cục Cảnh sát QLHC về TTXH")</f>
        <v>Cục Cảnh sát QLHC về TTXH</v>
      </c>
      <c r="P96" s="22" t="str">
        <f>IFERROR(__xludf.DUMMYFUNCTION("""COMPUTED_VALUE"""),"Đại học")</f>
        <v>Đại học</v>
      </c>
      <c r="Q96" s="22" t="str">
        <f>IFERROR(__xludf.DUMMYFUNCTION("""COMPUTED_VALUE"""),"Xây dựng")</f>
        <v>Xây dựng</v>
      </c>
      <c r="R96" s="24">
        <f>IFERROR(__xludf.DUMMYFUNCTION("""COMPUTED_VALUE"""),43080.0)</f>
        <v>43080</v>
      </c>
      <c r="S96" s="24">
        <f>IFERROR(__xludf.DUMMYFUNCTION("""COMPUTED_VALUE"""),44743.0)</f>
        <v>44743</v>
      </c>
      <c r="T96" s="22" t="str">
        <f>IFERROR(__xludf.DUMMYFUNCTION("""COMPUTED_VALUE"""),"Chính thức")</f>
        <v>Chính thức</v>
      </c>
      <c r="U96" s="22"/>
      <c r="V96" s="22" t="str">
        <f>IFERROR(__xludf.DUMMYFUNCTION("""COMPUTED_VALUE"""),"Chính thức")</f>
        <v>Chính thức</v>
      </c>
      <c r="W96" s="22" t="str">
        <f>IFERROR(__xludf.DUMMYFUNCTION("""COMPUTED_VALUE"""),"8 năm 0 tháng")</f>
        <v>8 năm 0 tháng</v>
      </c>
      <c r="X96" s="22"/>
      <c r="Y96" s="22"/>
      <c r="Z96" s="22"/>
    </row>
    <row r="97">
      <c r="A97" s="22">
        <f>IFERROR(__xludf.DUMMYFUNCTION("""COMPUTED_VALUE"""),9.0)</f>
        <v>9</v>
      </c>
      <c r="B97" s="22" t="str">
        <f>IFERROR(__xludf.DUMMYFUNCTION("""COMPUTED_VALUE"""),"Văn phòng")</f>
        <v>Văn phòng</v>
      </c>
      <c r="C97" s="22" t="str">
        <f>IFERROR(__xludf.DUMMYFUNCTION("""COMPUTED_VALUE"""),"Ban đầu tư")</f>
        <v>Ban đầu tư</v>
      </c>
      <c r="D97" s="22" t="str">
        <f>IFERROR(__xludf.DUMMYFUNCTION("""COMPUTED_VALUE"""),"Bộ phận hành chính")</f>
        <v>Bộ phận hành chính</v>
      </c>
      <c r="E97" s="22" t="str">
        <f>IFERROR(__xludf.DUMMYFUNCTION("""COMPUTED_VALUE"""),"Nhân viên lái máy")</f>
        <v>Nhân viên lái máy</v>
      </c>
      <c r="F97" s="22" t="str">
        <f>IFERROR(__xludf.DUMMYFUNCTION("""COMPUTED_VALUE"""),"NV5143")</f>
        <v>NV5143</v>
      </c>
      <c r="G97" s="22"/>
      <c r="H97" s="22" t="str">
        <f>IFERROR(__xludf.DUMMYFUNCTION("""COMPUTED_VALUE"""),"Phạm Công Điện")</f>
        <v>Phạm Công Điện</v>
      </c>
      <c r="I97" s="22" t="str">
        <f>IFERROR(__xludf.DUMMYFUNCTION("""COMPUTED_VALUE"""),"Nam")</f>
        <v>Nam</v>
      </c>
      <c r="J97" s="24">
        <f>IFERROR(__xludf.DUMMYFUNCTION("""COMPUTED_VALUE"""),23940.0)</f>
        <v>23940</v>
      </c>
      <c r="K97" s="22" t="str">
        <f>IFERROR(__xludf.DUMMYFUNCTION("""COMPUTED_VALUE"""),"Thôn 13 - Phố Thiều - Xã Triệu Sơn - Tỉnh Thanh Hóa")</f>
        <v>Thôn 13 - Phố Thiều - Xã Triệu Sơn - Tỉnh Thanh Hóa</v>
      </c>
      <c r="L97" s="22"/>
      <c r="M97" s="22" t="str">
        <f>IFERROR(__xludf.DUMMYFUNCTION("""COMPUTED_VALUE"""),"038065028042")</f>
        <v>038065028042</v>
      </c>
      <c r="N97" s="25">
        <f>IFERROR(__xludf.DUMMYFUNCTION("""COMPUTED_VALUE"""),44435.0)</f>
        <v>44435</v>
      </c>
      <c r="O97" s="22" t="str">
        <f>IFERROR(__xludf.DUMMYFUNCTION("""COMPUTED_VALUE"""),"Cục Cảnh sát QLHC về TTXH")</f>
        <v>Cục Cảnh sát QLHC về TTXH</v>
      </c>
      <c r="P97" s="22" t="str">
        <f>IFERROR(__xludf.DUMMYFUNCTION("""COMPUTED_VALUE"""),"Chứng chỉ nghề")</f>
        <v>Chứng chỉ nghề</v>
      </c>
      <c r="Q97" s="22" t="str">
        <f>IFERROR(__xludf.DUMMYFUNCTION("""COMPUTED_VALUE"""),"Lái máy ủi")</f>
        <v>Lái máy ủi</v>
      </c>
      <c r="R97" s="24">
        <f>IFERROR(__xludf.DUMMYFUNCTION("""COMPUTED_VALUE"""),45908.0)</f>
        <v>45908</v>
      </c>
      <c r="S97" s="24">
        <f>IFERROR(__xludf.DUMMYFUNCTION("""COMPUTED_VALUE"""),45908.0)</f>
        <v>45908</v>
      </c>
      <c r="T97" s="22" t="str">
        <f>IFERROR(__xludf.DUMMYFUNCTION("""COMPUTED_VALUE"""),"Chính thức")</f>
        <v>Chính thức</v>
      </c>
      <c r="U97" s="22"/>
      <c r="V97" s="22" t="str">
        <f>IFERROR(__xludf.DUMMYFUNCTION("""COMPUTED_VALUE"""),"Chính thức")</f>
        <v>Chính thức</v>
      </c>
      <c r="W97" s="22" t="str">
        <f>IFERROR(__xludf.DUMMYFUNCTION("""COMPUTED_VALUE"""),"0 năm 3 tháng")</f>
        <v>0 năm 3 tháng</v>
      </c>
      <c r="X97" s="22"/>
      <c r="Y97" s="22"/>
      <c r="Z97" s="22"/>
    </row>
    <row r="98">
      <c r="A98" s="22">
        <f>IFERROR(__xludf.DUMMYFUNCTION("""COMPUTED_VALUE"""),10.0)</f>
        <v>10</v>
      </c>
      <c r="B98" s="22" t="str">
        <f>IFERROR(__xludf.DUMMYFUNCTION("""COMPUTED_VALUE"""),"Văn phòng")</f>
        <v>Văn phòng</v>
      </c>
      <c r="C98" s="22" t="str">
        <f>IFERROR(__xludf.DUMMYFUNCTION("""COMPUTED_VALUE"""),"Ban đầu tư")</f>
        <v>Ban đầu tư</v>
      </c>
      <c r="D98" s="22" t="str">
        <f>IFERROR(__xludf.DUMMYFUNCTION("""COMPUTED_VALUE"""),"Bộ phận hành chính")</f>
        <v>Bộ phận hành chính</v>
      </c>
      <c r="E98" s="22" t="str">
        <f>IFERROR(__xludf.DUMMYFUNCTION("""COMPUTED_VALUE"""),"Bảo vệ - kiêm thủ kho")</f>
        <v>Bảo vệ - kiêm thủ kho</v>
      </c>
      <c r="F98" s="22"/>
      <c r="G98" s="22"/>
      <c r="H98" s="22" t="str">
        <f>IFERROR(__xludf.DUMMYFUNCTION("""COMPUTED_VALUE"""),"Nguyễn Đình Cảnh")</f>
        <v>Nguyễn Đình Cảnh</v>
      </c>
      <c r="I98" s="22" t="str">
        <f>IFERROR(__xludf.DUMMYFUNCTION("""COMPUTED_VALUE"""),"Nam")</f>
        <v>Nam</v>
      </c>
      <c r="J98" s="24">
        <f>IFERROR(__xludf.DUMMYFUNCTION("""COMPUTED_VALUE"""),23608.0)</f>
        <v>23608</v>
      </c>
      <c r="K98" s="22" t="str">
        <f>IFERROR(__xludf.DUMMYFUNCTION("""COMPUTED_VALUE"""),"Hưng Hóa - Tam Nông - Phú Thọ")</f>
        <v>Hưng Hóa - Tam Nông - Phú Thọ</v>
      </c>
      <c r="L98" s="22"/>
      <c r="M98" s="22" t="str">
        <f>IFERROR(__xludf.DUMMYFUNCTION("""COMPUTED_VALUE"""),"025064011055")</f>
        <v>025064011055</v>
      </c>
      <c r="N98" s="25">
        <f>IFERROR(__xludf.DUMMYFUNCTION("""COMPUTED_VALUE"""),45617.0)</f>
        <v>45617</v>
      </c>
      <c r="O98" s="22" t="str">
        <f>IFERROR(__xludf.DUMMYFUNCTION("""COMPUTED_VALUE"""),"Bộ Công an")</f>
        <v>Bộ Công an</v>
      </c>
      <c r="P98" s="22" t="str">
        <f>IFERROR(__xludf.DUMMYFUNCTION("""COMPUTED_VALUE"""),"LĐPT")</f>
        <v>LĐPT</v>
      </c>
      <c r="Q98" s="22" t="str">
        <f>IFERROR(__xludf.DUMMYFUNCTION("""COMPUTED_VALUE"""),"Lao động phổ thông")</f>
        <v>Lao động phổ thông</v>
      </c>
      <c r="R98" s="24">
        <f>IFERROR(__xludf.DUMMYFUNCTION("""COMPUTED_VALUE"""),45916.0)</f>
        <v>45916</v>
      </c>
      <c r="S98" s="22"/>
      <c r="T98" s="22" t="str">
        <f>IFERROR(__xludf.DUMMYFUNCTION("""COMPUTED_VALUE"""),"Chính thức")</f>
        <v>Chính thức</v>
      </c>
      <c r="U98" s="22"/>
      <c r="V98" s="22" t="str">
        <f>IFERROR(__xludf.DUMMYFUNCTION("""COMPUTED_VALUE"""),"Chính thức")</f>
        <v>Chính thức</v>
      </c>
      <c r="W98" s="22" t="str">
        <f>IFERROR(__xludf.DUMMYFUNCTION("""COMPUTED_VALUE"""),"0 năm 3 tháng")</f>
        <v>0 năm 3 tháng</v>
      </c>
      <c r="X98" s="22"/>
      <c r="Y98" s="22"/>
      <c r="Z98" s="22"/>
    </row>
    <row r="99">
      <c r="A99" s="22">
        <f>IFERROR(__xludf.DUMMYFUNCTION("""COMPUTED_VALUE"""),11.0)</f>
        <v>11</v>
      </c>
      <c r="B99" s="22" t="str">
        <f>IFERROR(__xludf.DUMMYFUNCTION("""COMPUTED_VALUE"""),"Văn phòng")</f>
        <v>Văn phòng</v>
      </c>
      <c r="C99" s="22" t="str">
        <f>IFERROR(__xludf.DUMMYFUNCTION("""COMPUTED_VALUE"""),"Ban đầu tư")</f>
        <v>Ban đầu tư</v>
      </c>
      <c r="D99" s="22" t="str">
        <f>IFERROR(__xludf.DUMMYFUNCTION("""COMPUTED_VALUE"""),"Bộ phận hành chính")</f>
        <v>Bộ phận hành chính</v>
      </c>
      <c r="E99" s="22" t="str">
        <f>IFERROR(__xludf.DUMMYFUNCTION("""COMPUTED_VALUE"""),"Nhân viên lái máy")</f>
        <v>Nhân viên lái máy</v>
      </c>
      <c r="F99" s="22" t="str">
        <f>IFERROR(__xludf.DUMMYFUNCTION("""COMPUTED_VALUE"""),"NV0821")</f>
        <v>NV0821</v>
      </c>
      <c r="G99" s="22"/>
      <c r="H99" s="22" t="str">
        <f>IFERROR(__xludf.DUMMYFUNCTION("""COMPUTED_VALUE"""),"Nguyễn Văn Bình")</f>
        <v>Nguyễn Văn Bình</v>
      </c>
      <c r="I99" s="22" t="str">
        <f>IFERROR(__xludf.DUMMYFUNCTION("""COMPUTED_VALUE"""),"Nam")</f>
        <v>Nam</v>
      </c>
      <c r="J99" s="24">
        <f>IFERROR(__xludf.DUMMYFUNCTION("""COMPUTED_VALUE"""),26988.0)</f>
        <v>26988</v>
      </c>
      <c r="K99" s="22" t="str">
        <f>IFERROR(__xludf.DUMMYFUNCTION("""COMPUTED_VALUE"""),"Xã Hoằng Sơn - Tỉnh Thanh Hóa")</f>
        <v>Xã Hoằng Sơn - Tỉnh Thanh Hóa</v>
      </c>
      <c r="L99" s="22" t="str">
        <f>IFERROR(__xludf.DUMMYFUNCTION("""COMPUTED_VALUE"""),"0393802771")</f>
        <v>0393802771</v>
      </c>
      <c r="M99" s="22" t="str">
        <f>IFERROR(__xludf.DUMMYFUNCTION("""COMPUTED_VALUE"""),"038073028655")</f>
        <v>038073028655</v>
      </c>
      <c r="N99" s="25">
        <f>IFERROR(__xludf.DUMMYFUNCTION("""COMPUTED_VALUE"""),44420.0)</f>
        <v>44420</v>
      </c>
      <c r="O99" s="22" t="str">
        <f>IFERROR(__xludf.DUMMYFUNCTION("""COMPUTED_VALUE"""),"Cục Cảnh sát QLHC về TTXH")</f>
        <v>Cục Cảnh sát QLHC về TTXH</v>
      </c>
      <c r="P99" s="22" t="str">
        <f>IFERROR(__xludf.DUMMYFUNCTION("""COMPUTED_VALUE"""),"Bằng nghề")</f>
        <v>Bằng nghề</v>
      </c>
      <c r="Q99" s="22" t="str">
        <f>IFERROR(__xludf.DUMMYFUNCTION("""COMPUTED_VALUE"""),"Lái máy xúc")</f>
        <v>Lái máy xúc</v>
      </c>
      <c r="R99" s="24">
        <f>IFERROR(__xludf.DUMMYFUNCTION("""COMPUTED_VALUE"""),45917.0)</f>
        <v>45917</v>
      </c>
      <c r="S99" s="24">
        <f>IFERROR(__xludf.DUMMYFUNCTION("""COMPUTED_VALUE"""),45917.0)</f>
        <v>45917</v>
      </c>
      <c r="T99" s="22" t="str">
        <f>IFERROR(__xludf.DUMMYFUNCTION("""COMPUTED_VALUE"""),"Chính thức")</f>
        <v>Chính thức</v>
      </c>
      <c r="U99" s="22"/>
      <c r="V99" s="22" t="str">
        <f>IFERROR(__xludf.DUMMYFUNCTION("""COMPUTED_VALUE"""),"Chính thức")</f>
        <v>Chính thức</v>
      </c>
      <c r="W99" s="22" t="str">
        <f>IFERROR(__xludf.DUMMYFUNCTION("""COMPUTED_VALUE"""),"0 năm 3 tháng")</f>
        <v>0 năm 3 tháng</v>
      </c>
      <c r="X99" s="22"/>
      <c r="Y99" s="22"/>
      <c r="Z99" s="22"/>
    </row>
    <row r="100">
      <c r="A100" s="22">
        <f>IFERROR(__xludf.DUMMYFUNCTION("""COMPUTED_VALUE"""),12.0)</f>
        <v>12</v>
      </c>
      <c r="B100" s="22" t="str">
        <f>IFERROR(__xludf.DUMMYFUNCTION("""COMPUTED_VALUE"""),"Văn phòng")</f>
        <v>Văn phòng</v>
      </c>
      <c r="C100" s="22" t="str">
        <f>IFERROR(__xludf.DUMMYFUNCTION("""COMPUTED_VALUE"""),"Ban đầu tư")</f>
        <v>Ban đầu tư</v>
      </c>
      <c r="D100" s="22" t="str">
        <f>IFERROR(__xludf.DUMMYFUNCTION("""COMPUTED_VALUE"""),"Bộ phận hành chính")</f>
        <v>Bộ phận hành chính</v>
      </c>
      <c r="E100" s="22" t="str">
        <f>IFERROR(__xludf.DUMMYFUNCTION("""COMPUTED_VALUE"""),"Chỉ huy trưởng Dự án Cống Trúc")</f>
        <v>Chỉ huy trưởng Dự án Cống Trúc</v>
      </c>
      <c r="F100" s="22" t="str">
        <f>IFERROR(__xludf.DUMMYFUNCTION("""COMPUTED_VALUE"""),"NV5814")</f>
        <v>NV5814</v>
      </c>
      <c r="G100" s="22"/>
      <c r="H100" s="22" t="str">
        <f>IFERROR(__xludf.DUMMYFUNCTION("""COMPUTED_VALUE"""),"Nguyễn Trọng Kiều")</f>
        <v>Nguyễn Trọng Kiều</v>
      </c>
      <c r="I100" s="22" t="str">
        <f>IFERROR(__xludf.DUMMYFUNCTION("""COMPUTED_VALUE"""),"Nam")</f>
        <v>Nam</v>
      </c>
      <c r="J100" s="24">
        <f>IFERROR(__xludf.DUMMYFUNCTION("""COMPUTED_VALUE"""),23978.0)</f>
        <v>23978</v>
      </c>
      <c r="K100" s="22" t="str">
        <f>IFERROR(__xludf.DUMMYFUNCTION("""COMPUTED_VALUE"""),"SN 51/141 Lý Nhân Tông – phường Hạc Thành - tỉnh Thanh Hóa")</f>
        <v>SN 51/141 Lý Nhân Tông – phường Hạc Thành - tỉnh Thanh Hóa</v>
      </c>
      <c r="L100" s="22" t="str">
        <f>IFERROR(__xludf.DUMMYFUNCTION("""COMPUTED_VALUE"""),"0964117036")</f>
        <v>0964117036</v>
      </c>
      <c r="M100" s="22" t="str">
        <f>IFERROR(__xludf.DUMMYFUNCTION("""COMPUTED_VALUE"""),"038065003867")</f>
        <v>038065003867</v>
      </c>
      <c r="N100" s="25">
        <f>IFERROR(__xludf.DUMMYFUNCTION("""COMPUTED_VALUE"""),45859.0)</f>
        <v>45859</v>
      </c>
      <c r="O100" s="22" t="str">
        <f>IFERROR(__xludf.DUMMYFUNCTION("""COMPUTED_VALUE"""),"Bộ công an")</f>
        <v>Bộ công an</v>
      </c>
      <c r="P100" s="22" t="str">
        <f>IFERROR(__xludf.DUMMYFUNCTION("""COMPUTED_VALUE"""),"Đại học")</f>
        <v>Đại học</v>
      </c>
      <c r="Q100" s="22" t="str">
        <f>IFERROR(__xludf.DUMMYFUNCTION("""COMPUTED_VALUE"""),"Kỹ sư xây dựng cầu đường bộ")</f>
        <v>Kỹ sư xây dựng cầu đường bộ</v>
      </c>
      <c r="R100" s="24">
        <f>IFERROR(__xludf.DUMMYFUNCTION("""COMPUTED_VALUE"""),45997.0)</f>
        <v>45997</v>
      </c>
      <c r="S100" s="24">
        <f>IFERROR(__xludf.DUMMYFUNCTION("""COMPUTED_VALUE"""),45997.0)</f>
        <v>45997</v>
      </c>
      <c r="T100" s="22" t="str">
        <f>IFERROR(__xludf.DUMMYFUNCTION("""COMPUTED_VALUE"""),"Chính thức")</f>
        <v>Chính thức</v>
      </c>
      <c r="U100" s="22"/>
      <c r="V100" s="22" t="str">
        <f>IFERROR(__xludf.DUMMYFUNCTION("""COMPUTED_VALUE"""),"Chính thức")</f>
        <v>Chính thức</v>
      </c>
      <c r="W100" s="22" t="str">
        <f>IFERROR(__xludf.DUMMYFUNCTION("""COMPUTED_VALUE"""),"0 năm 0 tháng")</f>
        <v>0 năm 0 tháng</v>
      </c>
      <c r="X100" s="22"/>
      <c r="Y100" s="22"/>
      <c r="Z100" s="22"/>
    </row>
    <row r="101">
      <c r="A101" s="22">
        <f>IFERROR(__xludf.DUMMYFUNCTION("""COMPUTED_VALUE"""),13.0)</f>
        <v>13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>
        <f>IFERROR(__xludf.DUMMYFUNCTION("""COMPUTED_VALUE"""),14.0)</f>
        <v>14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>
        <f>IFERROR(__xludf.DUMMYFUNCTION("""COMPUTED_VALUE"""),15.0)</f>
        <v>15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 t="str">
        <f>IFERROR(__xludf.DUMMYFUNCTION("""COMPUTED_VALUE"""),"VI")</f>
        <v>VI</v>
      </c>
      <c r="B104" s="22" t="str">
        <f>IFERROR(__xludf.DUMMYFUNCTION("""COMPUTED_VALUE"""),"Phòng khai thác")</f>
        <v>Phòng khai thác</v>
      </c>
      <c r="C104" s="22">
        <f>IFERROR(__xludf.DUMMYFUNCTION("""COMPUTED_VALUE"""),75.0)</f>
        <v>75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 t="str">
        <f>IFERROR(__xludf.DUMMYFUNCTION("""COMPUTED_VALUE"""),"a")</f>
        <v>a</v>
      </c>
      <c r="B105" s="22" t="str">
        <f>IFERROR(__xludf.DUMMYFUNCTION("""COMPUTED_VALUE"""),"Tổ khai thác mỏ")</f>
        <v>Tổ khai thác mỏ</v>
      </c>
      <c r="C105" s="22">
        <f>IFERROR(__xludf.DUMMYFUNCTION("""COMPUTED_VALUE"""),5.0)</f>
        <v>5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>
        <f>IFERROR(__xludf.DUMMYFUNCTION("""COMPUTED_VALUE"""),1.0)</f>
        <v>1</v>
      </c>
      <c r="B106" s="22" t="str">
        <f>IFERROR(__xludf.DUMMYFUNCTION("""COMPUTED_VALUE"""),"Văn phòng")</f>
        <v>Văn phòng</v>
      </c>
      <c r="C106" s="22" t="str">
        <f>IFERROR(__xludf.DUMMYFUNCTION("""COMPUTED_VALUE"""),"Phòng khai thác")</f>
        <v>Phòng khai thác</v>
      </c>
      <c r="D106" s="22" t="str">
        <f>IFERROR(__xludf.DUMMYFUNCTION("""COMPUTED_VALUE"""),"Tổ khai thác mỏ")</f>
        <v>Tổ khai thác mỏ</v>
      </c>
      <c r="E106" s="22" t="str">
        <f>IFERROR(__xludf.DUMMYFUNCTION("""COMPUTED_VALUE"""),"Phó phòng ")</f>
        <v>Phó phòng </v>
      </c>
      <c r="F106" s="22" t="str">
        <f>IFERROR(__xludf.DUMMYFUNCTION("""COMPUTED_VALUE"""),"NV0410")</f>
        <v>NV0410</v>
      </c>
      <c r="G106" s="22">
        <f>IFERROR(__xludf.DUMMYFUNCTION("""COMPUTED_VALUE"""),7.0)</f>
        <v>7</v>
      </c>
      <c r="H106" s="22" t="str">
        <f>IFERROR(__xludf.DUMMYFUNCTION("""COMPUTED_VALUE"""),"Nguyễn Anh Hải")</f>
        <v>Nguyễn Anh Hải</v>
      </c>
      <c r="I106" s="22" t="str">
        <f>IFERROR(__xludf.DUMMYFUNCTION("""COMPUTED_VALUE"""),"Nam")</f>
        <v>Nam</v>
      </c>
      <c r="J106" s="24">
        <f>IFERROR(__xludf.DUMMYFUNCTION("""COMPUTED_VALUE"""),29078.0)</f>
        <v>29078</v>
      </c>
      <c r="K106" s="22" t="str">
        <f>IFERROR(__xludf.DUMMYFUNCTION("""COMPUTED_VALUE"""),"Thị Trấn Bút Sơn - Tỉnh Thanh Hóa")</f>
        <v>Thị Trấn Bút Sơn - Tỉnh Thanh Hóa</v>
      </c>
      <c r="L106" s="22" t="str">
        <f>IFERROR(__xludf.DUMMYFUNCTION("""COMPUTED_VALUE"""),"0904518569")</f>
        <v>0904518569</v>
      </c>
      <c r="M106" s="22" t="str">
        <f>IFERROR(__xludf.DUMMYFUNCTION("""COMPUTED_VALUE"""),"038079007775")</f>
        <v>038079007775</v>
      </c>
      <c r="N106" s="25">
        <f>IFERROR(__xludf.DUMMYFUNCTION("""COMPUTED_VALUE"""),45093.0)</f>
        <v>45093</v>
      </c>
      <c r="O106" s="22" t="str">
        <f>IFERROR(__xludf.DUMMYFUNCTION("""COMPUTED_VALUE"""),"Cục Cảnh sát QLHC về TTXH")</f>
        <v>Cục Cảnh sát QLHC về TTXH</v>
      </c>
      <c r="P106" s="22" t="str">
        <f>IFERROR(__xludf.DUMMYFUNCTION("""COMPUTED_VALUE"""),"Đại học")</f>
        <v>Đại học</v>
      </c>
      <c r="Q106" s="22" t="str">
        <f>IFERROR(__xludf.DUMMYFUNCTION("""COMPUTED_VALUE"""),"KS - Cơ khí")</f>
        <v>KS - Cơ khí</v>
      </c>
      <c r="R106" s="24">
        <f>IFERROR(__xludf.DUMMYFUNCTION("""COMPUTED_VALUE"""),38904.0)</f>
        <v>38904</v>
      </c>
      <c r="S106" s="24">
        <f>IFERROR(__xludf.DUMMYFUNCTION("""COMPUTED_VALUE"""),38904.0)</f>
        <v>38904</v>
      </c>
      <c r="T106" s="22" t="str">
        <f>IFERROR(__xludf.DUMMYFUNCTION("""COMPUTED_VALUE"""),"Chính thức")</f>
        <v>Chính thức</v>
      </c>
      <c r="U106" s="22"/>
      <c r="V106" s="22" t="str">
        <f>IFERROR(__xludf.DUMMYFUNCTION("""COMPUTED_VALUE"""),"Chính thức")</f>
        <v>Chính thức</v>
      </c>
      <c r="W106" s="22" t="str">
        <f>IFERROR(__xludf.DUMMYFUNCTION("""COMPUTED_VALUE"""),"19 năm 5 tháng")</f>
        <v>19 năm 5 tháng</v>
      </c>
      <c r="X106" s="22"/>
      <c r="Y106" s="22"/>
      <c r="Z106" s="22"/>
    </row>
    <row r="107">
      <c r="A107" s="22">
        <f>IFERROR(__xludf.DUMMYFUNCTION("""COMPUTED_VALUE"""),2.0)</f>
        <v>2</v>
      </c>
      <c r="B107" s="22" t="str">
        <f>IFERROR(__xludf.DUMMYFUNCTION("""COMPUTED_VALUE"""),"Văn phòng")</f>
        <v>Văn phòng</v>
      </c>
      <c r="C107" s="22" t="str">
        <f>IFERROR(__xludf.DUMMYFUNCTION("""COMPUTED_VALUE"""),"Phòng khai thác")</f>
        <v>Phòng khai thác</v>
      </c>
      <c r="D107" s="22" t="str">
        <f>IFERROR(__xludf.DUMMYFUNCTION("""COMPUTED_VALUE"""),"Tổ khai thác mỏ")</f>
        <v>Tổ khai thác mỏ</v>
      </c>
      <c r="E107" s="22" t="str">
        <f>IFERROR(__xludf.DUMMYFUNCTION("""COMPUTED_VALUE"""),"Chuyên viên khai thác mỏ")</f>
        <v>Chuyên viên khai thác mỏ</v>
      </c>
      <c r="F107" s="22" t="str">
        <f>IFERROR(__xludf.DUMMYFUNCTION("""COMPUTED_VALUE"""),"NV1069")</f>
        <v>NV1069</v>
      </c>
      <c r="G107" s="22">
        <f>IFERROR(__xludf.DUMMYFUNCTION("""COMPUTED_VALUE"""),34.0)</f>
        <v>34</v>
      </c>
      <c r="H107" s="22" t="str">
        <f>IFERROR(__xludf.DUMMYFUNCTION("""COMPUTED_VALUE"""),"Lê Xuân Lộc")</f>
        <v>Lê Xuân Lộc</v>
      </c>
      <c r="I107" s="22" t="str">
        <f>IFERROR(__xludf.DUMMYFUNCTION("""COMPUTED_VALUE"""),"Nam")</f>
        <v>Nam</v>
      </c>
      <c r="J107" s="24">
        <f>IFERROR(__xludf.DUMMYFUNCTION("""COMPUTED_VALUE"""),34618.0)</f>
        <v>34618</v>
      </c>
      <c r="K107" s="22" t="str">
        <f>IFERROR(__xludf.DUMMYFUNCTION("""COMPUTED_VALUE"""),"Thôn 2 - Trinh Hà - Hoằng Trung - Hoằng Hóa - Thanh Hóa")</f>
        <v>Thôn 2 - Trinh Hà - Hoằng Trung - Hoằng Hóa - Thanh Hóa</v>
      </c>
      <c r="L107" s="22" t="str">
        <f>IFERROR(__xludf.DUMMYFUNCTION("""COMPUTED_VALUE"""),"0848989236")</f>
        <v>0848989236</v>
      </c>
      <c r="M107" s="22" t="str">
        <f>IFERROR(__xludf.DUMMYFUNCTION("""COMPUTED_VALUE"""),"038094036279")</f>
        <v>038094036279</v>
      </c>
      <c r="N107" s="25">
        <f>IFERROR(__xludf.DUMMYFUNCTION("""COMPUTED_VALUE"""),44427.0)</f>
        <v>44427</v>
      </c>
      <c r="O107" s="22" t="str">
        <f>IFERROR(__xludf.DUMMYFUNCTION("""COMPUTED_VALUE"""),"Cục Cảnh sát QLHC về TTXH")</f>
        <v>Cục Cảnh sát QLHC về TTXH</v>
      </c>
      <c r="P107" s="22" t="str">
        <f>IFERROR(__xludf.DUMMYFUNCTION("""COMPUTED_VALUE"""),"Đại học")</f>
        <v>Đại học</v>
      </c>
      <c r="Q107" s="22" t="str">
        <f>IFERROR(__xludf.DUMMYFUNCTION("""COMPUTED_VALUE"""),"Kỹ thuật khai thác mỏ")</f>
        <v>Kỹ thuật khai thác mỏ</v>
      </c>
      <c r="R107" s="24">
        <f>IFERROR(__xludf.DUMMYFUNCTION("""COMPUTED_VALUE"""),43327.0)</f>
        <v>43327</v>
      </c>
      <c r="S107" s="24">
        <f>IFERROR(__xludf.DUMMYFUNCTION("""COMPUTED_VALUE"""),43466.0)</f>
        <v>43466</v>
      </c>
      <c r="T107" s="22" t="str">
        <f>IFERROR(__xludf.DUMMYFUNCTION("""COMPUTED_VALUE"""),"Chính thức")</f>
        <v>Chính thức</v>
      </c>
      <c r="U107" s="22"/>
      <c r="V107" s="22" t="str">
        <f>IFERROR(__xludf.DUMMYFUNCTION("""COMPUTED_VALUE"""),"Chính thức")</f>
        <v>Chính thức</v>
      </c>
      <c r="W107" s="22" t="str">
        <f>IFERROR(__xludf.DUMMYFUNCTION("""COMPUTED_VALUE"""),"7 năm 4 tháng")</f>
        <v>7 năm 4 tháng</v>
      </c>
      <c r="X107" s="22"/>
      <c r="Y107" s="22"/>
      <c r="Z107" s="22"/>
    </row>
    <row r="108">
      <c r="A108" s="22">
        <f>IFERROR(__xludf.DUMMYFUNCTION("""COMPUTED_VALUE"""),3.0)</f>
        <v>3</v>
      </c>
      <c r="B108" s="22" t="str">
        <f>IFERROR(__xludf.DUMMYFUNCTION("""COMPUTED_VALUE"""),"Văn phòng")</f>
        <v>Văn phòng</v>
      </c>
      <c r="C108" s="22" t="str">
        <f>IFERROR(__xludf.DUMMYFUNCTION("""COMPUTED_VALUE"""),"Phòng khai thác")</f>
        <v>Phòng khai thác</v>
      </c>
      <c r="D108" s="22" t="str">
        <f>IFERROR(__xludf.DUMMYFUNCTION("""COMPUTED_VALUE"""),"Tổ khai thác mỏ")</f>
        <v>Tổ khai thác mỏ</v>
      </c>
      <c r="E108" s="22" t="str">
        <f>IFERROR(__xludf.DUMMYFUNCTION("""COMPUTED_VALUE"""),"Nhân viên bảo vệ kho Đông Văn")</f>
        <v>Nhân viên bảo vệ kho Đông Văn</v>
      </c>
      <c r="F108" s="22" t="str">
        <f>IFERROR(__xludf.DUMMYFUNCTION("""COMPUTED_VALUE"""),"NV3301")</f>
        <v>NV3301</v>
      </c>
      <c r="G108" s="22"/>
      <c r="H108" s="22" t="str">
        <f>IFERROR(__xludf.DUMMYFUNCTION("""COMPUTED_VALUE"""),"Nguyễn Hữu Chung")</f>
        <v>Nguyễn Hữu Chung</v>
      </c>
      <c r="I108" s="22" t="str">
        <f>IFERROR(__xludf.DUMMYFUNCTION("""COMPUTED_VALUE"""),"Nam")</f>
        <v>Nam</v>
      </c>
      <c r="J108" s="24">
        <f>IFERROR(__xludf.DUMMYFUNCTION("""COMPUTED_VALUE"""),29953.0)</f>
        <v>29953</v>
      </c>
      <c r="K108" s="22" t="str">
        <f>IFERROR(__xludf.DUMMYFUNCTION("""COMPUTED_VALUE"""),"Thôn Văn Châu - Đông Văn - Đông Sơn - Thanh Hóa")</f>
        <v>Thôn Văn Châu - Đông Văn - Đông Sơn - Thanh Hóa</v>
      </c>
      <c r="L108" s="22" t="str">
        <f>IFERROR(__xludf.DUMMYFUNCTION("""COMPUTED_VALUE"""),"0395443821")</f>
        <v>0395443821</v>
      </c>
      <c r="M108" s="22" t="str">
        <f>IFERROR(__xludf.DUMMYFUNCTION("""COMPUTED_VALUE"""),"038082008226")</f>
        <v>038082008226</v>
      </c>
      <c r="N108" s="25">
        <f>IFERROR(__xludf.DUMMYFUNCTION("""COMPUTED_VALUE"""),44325.0)</f>
        <v>44325</v>
      </c>
      <c r="O108" s="22" t="str">
        <f>IFERROR(__xludf.DUMMYFUNCTION("""COMPUTED_VALUE"""),"Cục Cảnh sát QLHC về TTXH")</f>
        <v>Cục Cảnh sát QLHC về TTXH</v>
      </c>
      <c r="P108" s="22" t="str">
        <f>IFERROR(__xludf.DUMMYFUNCTION("""COMPUTED_VALUE"""),"LĐPT")</f>
        <v>LĐPT</v>
      </c>
      <c r="Q108" s="22" t="str">
        <f>IFERROR(__xludf.DUMMYFUNCTION("""COMPUTED_VALUE"""),"Lao động phổ thông")</f>
        <v>Lao động phổ thông</v>
      </c>
      <c r="R108" s="24">
        <f>IFERROR(__xludf.DUMMYFUNCTION("""COMPUTED_VALUE"""),44092.0)</f>
        <v>44092</v>
      </c>
      <c r="S108" s="24">
        <f>IFERROR(__xludf.DUMMYFUNCTION("""COMPUTED_VALUE"""),44092.0)</f>
        <v>44092</v>
      </c>
      <c r="T108" s="22" t="str">
        <f>IFERROR(__xludf.DUMMYFUNCTION("""COMPUTED_VALUE"""),"Chính thức")</f>
        <v>Chính thức</v>
      </c>
      <c r="U108" s="22"/>
      <c r="V108" s="22" t="str">
        <f>IFERROR(__xludf.DUMMYFUNCTION("""COMPUTED_VALUE"""),"Chính thức")</f>
        <v>Chính thức</v>
      </c>
      <c r="W108" s="22" t="str">
        <f>IFERROR(__xludf.DUMMYFUNCTION("""COMPUTED_VALUE"""),"5 năm 3 tháng")</f>
        <v>5 năm 3 tháng</v>
      </c>
      <c r="X108" s="22"/>
      <c r="Y108" s="22"/>
      <c r="Z108" s="22"/>
    </row>
    <row r="109">
      <c r="A109" s="22">
        <f>IFERROR(__xludf.DUMMYFUNCTION("""COMPUTED_VALUE"""),4.0)</f>
        <v>4</v>
      </c>
      <c r="B109" s="22" t="str">
        <f>IFERROR(__xludf.DUMMYFUNCTION("""COMPUTED_VALUE"""),"Văn phòng")</f>
        <v>Văn phòng</v>
      </c>
      <c r="C109" s="22" t="str">
        <f>IFERROR(__xludf.DUMMYFUNCTION("""COMPUTED_VALUE"""),"Phòng khai thác")</f>
        <v>Phòng khai thác</v>
      </c>
      <c r="D109" s="22" t="str">
        <f>IFERROR(__xludf.DUMMYFUNCTION("""COMPUTED_VALUE"""),"Tổ khai thác mỏ")</f>
        <v>Tổ khai thác mỏ</v>
      </c>
      <c r="E109" s="22" t="str">
        <f>IFERROR(__xludf.DUMMYFUNCTION("""COMPUTED_VALUE"""),"Nhân viên")</f>
        <v>Nhân viên</v>
      </c>
      <c r="F109" s="22" t="str">
        <f>IFERROR(__xludf.DUMMYFUNCTION("""COMPUTED_VALUE"""),"NV5532")</f>
        <v>NV5532</v>
      </c>
      <c r="G109" s="22">
        <f>IFERROR(__xludf.DUMMYFUNCTION("""COMPUTED_VALUE"""),926.0)</f>
        <v>926</v>
      </c>
      <c r="H109" s="22" t="str">
        <f>IFERROR(__xludf.DUMMYFUNCTION("""COMPUTED_VALUE"""),"Hà Trường Giang")</f>
        <v>Hà Trường Giang</v>
      </c>
      <c r="I109" s="22" t="str">
        <f>IFERROR(__xludf.DUMMYFUNCTION("""COMPUTED_VALUE"""),"Nam")</f>
        <v>Nam</v>
      </c>
      <c r="J109" s="24">
        <f>IFERROR(__xludf.DUMMYFUNCTION("""COMPUTED_VALUE"""),31350.0)</f>
        <v>31350</v>
      </c>
      <c r="K109" s="22" t="str">
        <f>IFERROR(__xludf.DUMMYFUNCTION("""COMPUTED_VALUE"""),"Xã Linh Sơn - Tỉnh Thanh Hóa")</f>
        <v>Xã Linh Sơn - Tỉnh Thanh Hóa</v>
      </c>
      <c r="L109" s="22" t="str">
        <f>IFERROR(__xludf.DUMMYFUNCTION("""COMPUTED_VALUE"""),"0979967764")</f>
        <v>0979967764</v>
      </c>
      <c r="M109" s="22" t="str">
        <f>IFERROR(__xludf.DUMMYFUNCTION("""COMPUTED_VALUE"""),"038085005220")</f>
        <v>038085005220</v>
      </c>
      <c r="N109" s="25">
        <f>IFERROR(__xludf.DUMMYFUNCTION("""COMPUTED_VALUE"""),45077.0)</f>
        <v>45077</v>
      </c>
      <c r="O109" s="22" t="str">
        <f>IFERROR(__xludf.DUMMYFUNCTION("""COMPUTED_VALUE"""),"Cục Cảnh sát QLHC về TTXH")</f>
        <v>Cục Cảnh sát QLHC về TTXH</v>
      </c>
      <c r="P109" s="22" t="str">
        <f>IFERROR(__xludf.DUMMYFUNCTION("""COMPUTED_VALUE"""),"LĐPT")</f>
        <v>LĐPT</v>
      </c>
      <c r="Q109" s="22" t="str">
        <f>IFERROR(__xludf.DUMMYFUNCTION("""COMPUTED_VALUE"""),"Lao động phổ thông")</f>
        <v>Lao động phổ thông</v>
      </c>
      <c r="R109" s="24">
        <f>IFERROR(__xludf.DUMMYFUNCTION("""COMPUTED_VALUE"""),45819.0)</f>
        <v>45819</v>
      </c>
      <c r="S109" s="24">
        <f>IFERROR(__xludf.DUMMYFUNCTION("""COMPUTED_VALUE"""),45849.0)</f>
        <v>45849</v>
      </c>
      <c r="T109" s="22" t="str">
        <f>IFERROR(__xludf.DUMMYFUNCTION("""COMPUTED_VALUE"""),"Chính thức")</f>
        <v>Chính thức</v>
      </c>
      <c r="U109" s="22"/>
      <c r="V109" s="22" t="str">
        <f>IFERROR(__xludf.DUMMYFUNCTION("""COMPUTED_VALUE"""),"Chính thức")</f>
        <v>Chính thức</v>
      </c>
      <c r="W109" s="22" t="str">
        <f>IFERROR(__xludf.DUMMYFUNCTION("""COMPUTED_VALUE"""),"0 năm 6 tháng")</f>
        <v>0 năm 6 tháng</v>
      </c>
      <c r="X109" s="22"/>
      <c r="Y109" s="22"/>
      <c r="Z109" s="22"/>
    </row>
    <row r="110">
      <c r="A110" s="22">
        <f>IFERROR(__xludf.DUMMYFUNCTION("""COMPUTED_VALUE"""),5.0)</f>
        <v>5</v>
      </c>
      <c r="B110" s="22" t="str">
        <f>IFERROR(__xludf.DUMMYFUNCTION("""COMPUTED_VALUE"""),"Văn phòng")</f>
        <v>Văn phòng</v>
      </c>
      <c r="C110" s="22" t="str">
        <f>IFERROR(__xludf.DUMMYFUNCTION("""COMPUTED_VALUE"""),"Phòng khai thác")</f>
        <v>Phòng khai thác</v>
      </c>
      <c r="D110" s="22" t="str">
        <f>IFERROR(__xludf.DUMMYFUNCTION("""COMPUTED_VALUE"""),"Tổ khai thác mỏ")</f>
        <v>Tổ khai thác mỏ</v>
      </c>
      <c r="E110" s="22" t="str">
        <f>IFERROR(__xludf.DUMMYFUNCTION("""COMPUTED_VALUE"""),"Kế toán thống kê")</f>
        <v>Kế toán thống kê</v>
      </c>
      <c r="F110" s="22" t="str">
        <f>IFERROR(__xludf.DUMMYFUNCTION("""COMPUTED_VALUE"""),"NV5608")</f>
        <v>NV5608</v>
      </c>
      <c r="G110" s="22">
        <f>IFERROR(__xludf.DUMMYFUNCTION("""COMPUTED_VALUE"""),1096.0)</f>
        <v>1096</v>
      </c>
      <c r="H110" s="22" t="str">
        <f>IFERROR(__xludf.DUMMYFUNCTION("""COMPUTED_VALUE"""),"Lê Thị Hoài")</f>
        <v>Lê Thị Hoài</v>
      </c>
      <c r="I110" s="22" t="str">
        <f>IFERROR(__xludf.DUMMYFUNCTION("""COMPUTED_VALUE"""),"Nữ")</f>
        <v>Nữ</v>
      </c>
      <c r="J110" s="24">
        <f>IFERROR(__xludf.DUMMYFUNCTION("""COMPUTED_VALUE"""),33120.0)</f>
        <v>33120</v>
      </c>
      <c r="K110" s="22" t="str">
        <f>IFERROR(__xludf.DUMMYFUNCTION("""COMPUTED_VALUE"""),"Khu phố Sơn Hải - Phường Sầm Sơn - Tỉnh Thanh Hóa")</f>
        <v>Khu phố Sơn Hải - Phường Sầm Sơn - Tỉnh Thanh Hóa</v>
      </c>
      <c r="L110" s="22" t="str">
        <f>IFERROR(__xludf.DUMMYFUNCTION("""COMPUTED_VALUE"""),"0977280167")</f>
        <v>0977280167</v>
      </c>
      <c r="M110" s="22" t="str">
        <f>IFERROR(__xludf.DUMMYFUNCTION("""COMPUTED_VALUE"""),"038190001738")</f>
        <v>038190001738</v>
      </c>
      <c r="N110" s="25">
        <f>IFERROR(__xludf.DUMMYFUNCTION("""COMPUTED_VALUE"""),44825.0)</f>
        <v>44825</v>
      </c>
      <c r="O110" s="22" t="str">
        <f>IFERROR(__xludf.DUMMYFUNCTION("""COMPUTED_VALUE"""),"Cục Cảnh sát QLHC về TTXH")</f>
        <v>Cục Cảnh sát QLHC về TTXH</v>
      </c>
      <c r="P110" s="22" t="str">
        <f>IFERROR(__xludf.DUMMYFUNCTION("""COMPUTED_VALUE"""),"Đại học")</f>
        <v>Đại học</v>
      </c>
      <c r="Q110" s="22" t="str">
        <f>IFERROR(__xludf.DUMMYFUNCTION("""COMPUTED_VALUE"""),"Cử nhân kế toán")</f>
        <v>Cử nhân kế toán</v>
      </c>
      <c r="R110" s="24">
        <f>IFERROR(__xludf.DUMMYFUNCTION("""COMPUTED_VALUE"""),45845.0)</f>
        <v>45845</v>
      </c>
      <c r="S110" s="24">
        <f>IFERROR(__xludf.DUMMYFUNCTION("""COMPUTED_VALUE"""),45876.0)</f>
        <v>45876</v>
      </c>
      <c r="T110" s="22" t="str">
        <f>IFERROR(__xludf.DUMMYFUNCTION("""COMPUTED_VALUE"""),"Chính thức")</f>
        <v>Chính thức</v>
      </c>
      <c r="U110" s="22"/>
      <c r="V110" s="22" t="str">
        <f>IFERROR(__xludf.DUMMYFUNCTION("""COMPUTED_VALUE"""),"Chính thức")</f>
        <v>Chính thức</v>
      </c>
      <c r="W110" s="22" t="str">
        <f>IFERROR(__xludf.DUMMYFUNCTION("""COMPUTED_VALUE"""),"0 năm 5 tháng")</f>
        <v>0 năm 5 tháng</v>
      </c>
      <c r="X110" s="22"/>
      <c r="Y110" s="22"/>
      <c r="Z110" s="22"/>
    </row>
    <row r="111">
      <c r="A111" s="22" t="str">
        <f>IFERROR(__xludf.DUMMYFUNCTION("""COMPUTED_VALUE"""),"b")</f>
        <v>b</v>
      </c>
      <c r="B111" s="22" t="str">
        <f>IFERROR(__xludf.DUMMYFUNCTION("""COMPUTED_VALUE"""),"Tổ Đội xe máy")</f>
        <v>Tổ Đội xe máy</v>
      </c>
      <c r="C111" s="22">
        <f>IFERROR(__xludf.DUMMYFUNCTION("""COMPUTED_VALUE"""),30.0)</f>
        <v>30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>
        <f>IFERROR(__xludf.DUMMYFUNCTION("""COMPUTED_VALUE"""),1.0)</f>
        <v>1</v>
      </c>
      <c r="B112" s="22" t="str">
        <f>IFERROR(__xludf.DUMMYFUNCTION("""COMPUTED_VALUE"""),"Văn phòng")</f>
        <v>Văn phòng</v>
      </c>
      <c r="C112" s="22" t="str">
        <f>IFERROR(__xludf.DUMMYFUNCTION("""COMPUTED_VALUE"""),"Phòng khai thác")</f>
        <v>Phòng khai thác</v>
      </c>
      <c r="D112" s="22" t="str">
        <f>IFERROR(__xludf.DUMMYFUNCTION("""COMPUTED_VALUE"""),"Tổ Đội xe máy")</f>
        <v>Tổ Đội xe máy</v>
      </c>
      <c r="E112" s="22" t="str">
        <f>IFERROR(__xludf.DUMMYFUNCTION("""COMPUTED_VALUE"""),"Nhân viên Lái máy xúc đào")</f>
        <v>Nhân viên Lái máy xúc đào</v>
      </c>
      <c r="F112" s="22" t="str">
        <f>IFERROR(__xludf.DUMMYFUNCTION("""COMPUTED_VALUE"""),"NV5237")</f>
        <v>NV5237</v>
      </c>
      <c r="G112" s="22"/>
      <c r="H112" s="22" t="str">
        <f>IFERROR(__xludf.DUMMYFUNCTION("""COMPUTED_VALUE"""),"Hoàng Văn Hải")</f>
        <v>Hoàng Văn Hải</v>
      </c>
      <c r="I112" s="22" t="str">
        <f>IFERROR(__xludf.DUMMYFUNCTION("""COMPUTED_VALUE"""),"Nam")</f>
        <v>Nam</v>
      </c>
      <c r="J112" s="24">
        <f>IFERROR(__xludf.DUMMYFUNCTION("""COMPUTED_VALUE"""),31185.0)</f>
        <v>31185</v>
      </c>
      <c r="K112" s="22" t="str">
        <f>IFERROR(__xludf.DUMMYFUNCTION("""COMPUTED_VALUE"""),"Xã Hoằng Châu - Tỉnh Thanh Hóa")</f>
        <v>Xã Hoằng Châu - Tỉnh Thanh Hóa</v>
      </c>
      <c r="L112" s="22" t="str">
        <f>IFERROR(__xludf.DUMMYFUNCTION("""COMPUTED_VALUE"""),"0978505568")</f>
        <v>0978505568</v>
      </c>
      <c r="M112" s="22" t="str">
        <f>IFERROR(__xludf.DUMMYFUNCTION("""COMPUTED_VALUE"""),"038085002274")</f>
        <v>038085002274</v>
      </c>
      <c r="N112" s="25">
        <f>IFERROR(__xludf.DUMMYFUNCTION("""COMPUTED_VALUE"""),45698.0)</f>
        <v>45698</v>
      </c>
      <c r="O112" s="22" t="str">
        <f>IFERROR(__xludf.DUMMYFUNCTION("""COMPUTED_VALUE"""),"Bộ Công an")</f>
        <v>Bộ Công an</v>
      </c>
      <c r="P112" s="22" t="str">
        <f>IFERROR(__xludf.DUMMYFUNCTION("""COMPUTED_VALUE"""),"Bằng nghề")</f>
        <v>Bằng nghề</v>
      </c>
      <c r="Q112" s="22" t="str">
        <f>IFERROR(__xludf.DUMMYFUNCTION("""COMPUTED_VALUE"""),"Vận hành máy xúc")</f>
        <v>Vận hành máy xúc</v>
      </c>
      <c r="R112" s="24">
        <f>IFERROR(__xludf.DUMMYFUNCTION("""COMPUTED_VALUE"""),45446.0)</f>
        <v>45446</v>
      </c>
      <c r="S112" s="24">
        <f>IFERROR(__xludf.DUMMYFUNCTION("""COMPUTED_VALUE"""),45536.0)</f>
        <v>45536</v>
      </c>
      <c r="T112" s="22" t="str">
        <f>IFERROR(__xludf.DUMMYFUNCTION("""COMPUTED_VALUE"""),"Chính thức")</f>
        <v>Chính thức</v>
      </c>
      <c r="U112" s="22"/>
      <c r="V112" s="22" t="str">
        <f>IFERROR(__xludf.DUMMYFUNCTION("""COMPUTED_VALUE"""),"Chính thức")</f>
        <v>Chính thức</v>
      </c>
      <c r="W112" s="22" t="str">
        <f>IFERROR(__xludf.DUMMYFUNCTION("""COMPUTED_VALUE"""),"1 năm 6 tháng")</f>
        <v>1 năm 6 tháng</v>
      </c>
      <c r="X112" s="22"/>
      <c r="Y112" s="22"/>
      <c r="Z112" s="22"/>
    </row>
    <row r="113">
      <c r="A113" s="22">
        <f>IFERROR(__xludf.DUMMYFUNCTION("""COMPUTED_VALUE"""),2.0)</f>
        <v>2</v>
      </c>
      <c r="B113" s="22" t="str">
        <f>IFERROR(__xludf.DUMMYFUNCTION("""COMPUTED_VALUE"""),"Văn phòng")</f>
        <v>Văn phòng</v>
      </c>
      <c r="C113" s="22" t="str">
        <f>IFERROR(__xludf.DUMMYFUNCTION("""COMPUTED_VALUE"""),"Phòng khai thác")</f>
        <v>Phòng khai thác</v>
      </c>
      <c r="D113" s="22" t="str">
        <f>IFERROR(__xludf.DUMMYFUNCTION("""COMPUTED_VALUE"""),"Tổ Đội xe máy")</f>
        <v>Tổ Đội xe máy</v>
      </c>
      <c r="E113" s="22" t="str">
        <f>IFERROR(__xludf.DUMMYFUNCTION("""COMPUTED_VALUE"""),"Trưởng bộ phận kho Đông Văn")</f>
        <v>Trưởng bộ phận kho Đông Văn</v>
      </c>
      <c r="F113" s="22" t="str">
        <f>IFERROR(__xludf.DUMMYFUNCTION("""COMPUTED_VALUE"""),"NV0340")</f>
        <v>NV0340</v>
      </c>
      <c r="G113" s="22"/>
      <c r="H113" s="22" t="str">
        <f>IFERROR(__xludf.DUMMYFUNCTION("""COMPUTED_VALUE"""),"Đỗ Đức Tùng")</f>
        <v>Đỗ Đức Tùng</v>
      </c>
      <c r="I113" s="22" t="str">
        <f>IFERROR(__xludf.DUMMYFUNCTION("""COMPUTED_VALUE"""),"Nam")</f>
        <v>Nam</v>
      </c>
      <c r="J113" s="24">
        <f>IFERROR(__xludf.DUMMYFUNCTION("""COMPUTED_VALUE"""),28254.0)</f>
        <v>28254</v>
      </c>
      <c r="K113" s="22" t="str">
        <f>IFERROR(__xludf.DUMMYFUNCTION("""COMPUTED_VALUE"""),"Hoằng Trạch- Hoằng Hóa- Thanh Hóa")</f>
        <v>Hoằng Trạch- Hoằng Hóa- Thanh Hóa</v>
      </c>
      <c r="L113" s="22" t="str">
        <f>IFERROR(__xludf.DUMMYFUNCTION("""COMPUTED_VALUE"""),"0823849222")</f>
        <v>0823849222</v>
      </c>
      <c r="M113" s="22" t="str">
        <f>IFERROR(__xludf.DUMMYFUNCTION("""COMPUTED_VALUE"""),"038077022254")</f>
        <v>038077022254</v>
      </c>
      <c r="N113" s="25">
        <f>IFERROR(__xludf.DUMMYFUNCTION("""COMPUTED_VALUE"""),44471.0)</f>
        <v>44471</v>
      </c>
      <c r="O113" s="22" t="str">
        <f>IFERROR(__xludf.DUMMYFUNCTION("""COMPUTED_VALUE"""),"Cục Cảnh sát QLHC về TTXH")</f>
        <v>Cục Cảnh sát QLHC về TTXH</v>
      </c>
      <c r="P113" s="22" t="str">
        <f>IFERROR(__xludf.DUMMYFUNCTION("""COMPUTED_VALUE"""),"Bằng Nghề")</f>
        <v>Bằng Nghề</v>
      </c>
      <c r="Q113" s="22" t="str">
        <f>IFERROR(__xludf.DUMMYFUNCTION("""COMPUTED_VALUE"""),"Lái máy")</f>
        <v>Lái máy</v>
      </c>
      <c r="R113" s="24">
        <f>IFERROR(__xludf.DUMMYFUNCTION("""COMPUTED_VALUE"""),36260.0)</f>
        <v>36260</v>
      </c>
      <c r="S113" s="24">
        <f>IFERROR(__xludf.DUMMYFUNCTION("""COMPUTED_VALUE"""),36260.0)</f>
        <v>36260</v>
      </c>
      <c r="T113" s="22" t="str">
        <f>IFERROR(__xludf.DUMMYFUNCTION("""COMPUTED_VALUE"""),"Chính thức")</f>
        <v>Chính thức</v>
      </c>
      <c r="U113" s="22"/>
      <c r="V113" s="22" t="str">
        <f>IFERROR(__xludf.DUMMYFUNCTION("""COMPUTED_VALUE"""),"Chính thức")</f>
        <v>Chính thức</v>
      </c>
      <c r="W113" s="22" t="str">
        <f>IFERROR(__xludf.DUMMYFUNCTION("""COMPUTED_VALUE"""),"26 năm 8 tháng")</f>
        <v>26 năm 8 tháng</v>
      </c>
      <c r="X113" s="22"/>
      <c r="Y113" s="22"/>
      <c r="Z113" s="22"/>
    </row>
    <row r="114">
      <c r="A114" s="22">
        <f>IFERROR(__xludf.DUMMYFUNCTION("""COMPUTED_VALUE"""),3.0)</f>
        <v>3</v>
      </c>
      <c r="B114" s="22" t="str">
        <f>IFERROR(__xludf.DUMMYFUNCTION("""COMPUTED_VALUE"""),"Văn phòng")</f>
        <v>Văn phòng</v>
      </c>
      <c r="C114" s="22" t="str">
        <f>IFERROR(__xludf.DUMMYFUNCTION("""COMPUTED_VALUE"""),"Phòng khai thác")</f>
        <v>Phòng khai thác</v>
      </c>
      <c r="D114" s="22" t="str">
        <f>IFERROR(__xludf.DUMMYFUNCTION("""COMPUTED_VALUE"""),"Tổ Đội xe máy")</f>
        <v>Tổ Đội xe máy</v>
      </c>
      <c r="E114" s="22" t="str">
        <f>IFERROR(__xludf.DUMMYFUNCTION("""COMPUTED_VALUE"""),"Nhân viên Lái máy xúc đào")</f>
        <v>Nhân viên Lái máy xúc đào</v>
      </c>
      <c r="F114" s="22" t="str">
        <f>IFERROR(__xludf.DUMMYFUNCTION("""COMPUTED_VALUE"""),"NV1229")</f>
        <v>NV1229</v>
      </c>
      <c r="G114" s="22">
        <f>IFERROR(__xludf.DUMMYFUNCTION("""COMPUTED_VALUE"""),106.0)</f>
        <v>106</v>
      </c>
      <c r="H114" s="22" t="str">
        <f>IFERROR(__xludf.DUMMYFUNCTION("""COMPUTED_VALUE"""),"Trương Quốc Hoàn")</f>
        <v>Trương Quốc Hoàn</v>
      </c>
      <c r="I114" s="22" t="str">
        <f>IFERROR(__xludf.DUMMYFUNCTION("""COMPUTED_VALUE"""),"Nam")</f>
        <v>Nam</v>
      </c>
      <c r="J114" s="24">
        <f>IFERROR(__xludf.DUMMYFUNCTION("""COMPUTED_VALUE"""),30853.0)</f>
        <v>30853</v>
      </c>
      <c r="K114" s="22" t="str">
        <f>IFERROR(__xludf.DUMMYFUNCTION("""COMPUTED_VALUE"""),"Phòng 407 Chung cư Tân Thành, Phường Đông Vệ, Thành phố Thanh Hóa")</f>
        <v>Phòng 407 Chung cư Tân Thành, Phường Đông Vệ, Thành phố Thanh Hóa</v>
      </c>
      <c r="L114" s="22" t="str">
        <f>IFERROR(__xludf.DUMMYFUNCTION("""COMPUTED_VALUE"""),"0988177363")</f>
        <v>0988177363</v>
      </c>
      <c r="M114" s="22" t="str">
        <f>IFERROR(__xludf.DUMMYFUNCTION("""COMPUTED_VALUE"""),"038084031311")</f>
        <v>038084031311</v>
      </c>
      <c r="N114" s="25">
        <f>IFERROR(__xludf.DUMMYFUNCTION("""COMPUTED_VALUE"""),45557.0)</f>
        <v>45557</v>
      </c>
      <c r="O114" s="22" t="str">
        <f>IFERROR(__xludf.DUMMYFUNCTION("""COMPUTED_VALUE"""),"Bộ Công An")</f>
        <v>Bộ Công An</v>
      </c>
      <c r="P114" s="22" t="str">
        <f>IFERROR(__xludf.DUMMYFUNCTION("""COMPUTED_VALUE"""),"Bằng Nghề")</f>
        <v>Bằng Nghề</v>
      </c>
      <c r="Q114" s="22" t="str">
        <f>IFERROR(__xludf.DUMMYFUNCTION("""COMPUTED_VALUE"""),"Lái máy xúc")</f>
        <v>Lái máy xúc</v>
      </c>
      <c r="R114" s="24">
        <f>IFERROR(__xludf.DUMMYFUNCTION("""COMPUTED_VALUE"""),43167.0)</f>
        <v>43167</v>
      </c>
      <c r="S114" s="24">
        <f>IFERROR(__xludf.DUMMYFUNCTION("""COMPUTED_VALUE"""),43167.0)</f>
        <v>43167</v>
      </c>
      <c r="T114" s="22" t="str">
        <f>IFERROR(__xludf.DUMMYFUNCTION("""COMPUTED_VALUE"""),"Chính thức")</f>
        <v>Chính thức</v>
      </c>
      <c r="U114" s="22"/>
      <c r="V114" s="22" t="str">
        <f>IFERROR(__xludf.DUMMYFUNCTION("""COMPUTED_VALUE"""),"Chính thức")</f>
        <v>Chính thức</v>
      </c>
      <c r="W114" s="22" t="str">
        <f>IFERROR(__xludf.DUMMYFUNCTION("""COMPUTED_VALUE"""),"7 năm 9 tháng")</f>
        <v>7 năm 9 tháng</v>
      </c>
      <c r="X114" s="22"/>
      <c r="Y114" s="22"/>
      <c r="Z114" s="22"/>
    </row>
    <row r="115">
      <c r="A115" s="22">
        <f>IFERROR(__xludf.DUMMYFUNCTION("""COMPUTED_VALUE"""),4.0)</f>
        <v>4</v>
      </c>
      <c r="B115" s="22" t="str">
        <f>IFERROR(__xludf.DUMMYFUNCTION("""COMPUTED_VALUE"""),"Văn phòng")</f>
        <v>Văn phòng</v>
      </c>
      <c r="C115" s="22" t="str">
        <f>IFERROR(__xludf.DUMMYFUNCTION("""COMPUTED_VALUE"""),"Phòng khai thác")</f>
        <v>Phòng khai thác</v>
      </c>
      <c r="D115" s="22" t="str">
        <f>IFERROR(__xludf.DUMMYFUNCTION("""COMPUTED_VALUE"""),"Tổ Đội xe máy")</f>
        <v>Tổ Đội xe máy</v>
      </c>
      <c r="E115" s="22" t="str">
        <f>IFERROR(__xludf.DUMMYFUNCTION("""COMPUTED_VALUE"""),"Nhân viên Lái máy xúc đào")</f>
        <v>Nhân viên Lái máy xúc đào</v>
      </c>
      <c r="F115" s="22" t="str">
        <f>IFERROR(__xludf.DUMMYFUNCTION("""COMPUTED_VALUE"""),"NV0375")</f>
        <v>NV0375</v>
      </c>
      <c r="G115" s="22">
        <f>IFERROR(__xludf.DUMMYFUNCTION("""COMPUTED_VALUE"""),61.0)</f>
        <v>61</v>
      </c>
      <c r="H115" s="22" t="str">
        <f>IFERROR(__xludf.DUMMYFUNCTION("""COMPUTED_VALUE"""),"Lê Xuân Toán")</f>
        <v>Lê Xuân Toán</v>
      </c>
      <c r="I115" s="22" t="str">
        <f>IFERROR(__xludf.DUMMYFUNCTION("""COMPUTED_VALUE"""),"Nam")</f>
        <v>Nam</v>
      </c>
      <c r="J115" s="24">
        <f>IFERROR(__xludf.DUMMYFUNCTION("""COMPUTED_VALUE"""),28903.0)</f>
        <v>28903</v>
      </c>
      <c r="K115" s="22" t="str">
        <f>IFERROR(__xludf.DUMMYFUNCTION("""COMPUTED_VALUE"""),"Quan Nội 2, Xã Hoằng Anh, Thành phố Thanh Hóa")</f>
        <v>Quan Nội 2, Xã Hoằng Anh, Thành phố Thanh Hóa</v>
      </c>
      <c r="L115" s="22" t="str">
        <f>IFERROR(__xludf.DUMMYFUNCTION("""COMPUTED_VALUE"""),"0987250542")</f>
        <v>0987250542</v>
      </c>
      <c r="M115" s="22" t="str">
        <f>IFERROR(__xludf.DUMMYFUNCTION("""COMPUTED_VALUE"""),"038079026144")</f>
        <v>038079026144</v>
      </c>
      <c r="N115" s="25">
        <f>IFERROR(__xludf.DUMMYFUNCTION("""COMPUTED_VALUE"""),44435.0)</f>
        <v>44435</v>
      </c>
      <c r="O115" s="22" t="str">
        <f>IFERROR(__xludf.DUMMYFUNCTION("""COMPUTED_VALUE"""),"Cục Cảnh sát QLHC về TTXH")</f>
        <v>Cục Cảnh sát QLHC về TTXH</v>
      </c>
      <c r="P115" s="22" t="str">
        <f>IFERROR(__xludf.DUMMYFUNCTION("""COMPUTED_VALUE"""),"Trung cấp, nghề")</f>
        <v>Trung cấp, nghề</v>
      </c>
      <c r="Q115" s="22" t="str">
        <f>IFERROR(__xludf.DUMMYFUNCTION("""COMPUTED_VALUE"""),"Lái máy")</f>
        <v>Lái máy</v>
      </c>
      <c r="R115" s="24">
        <f>IFERROR(__xludf.DUMMYFUNCTION("""COMPUTED_VALUE"""),41913.0)</f>
        <v>41913</v>
      </c>
      <c r="S115" s="24">
        <f>IFERROR(__xludf.DUMMYFUNCTION("""COMPUTED_VALUE"""),41913.0)</f>
        <v>41913</v>
      </c>
      <c r="T115" s="22" t="str">
        <f>IFERROR(__xludf.DUMMYFUNCTION("""COMPUTED_VALUE"""),"Chính thức")</f>
        <v>Chính thức</v>
      </c>
      <c r="U115" s="22"/>
      <c r="V115" s="22" t="str">
        <f>IFERROR(__xludf.DUMMYFUNCTION("""COMPUTED_VALUE"""),"Chính thức")</f>
        <v>Chính thức</v>
      </c>
      <c r="W115" s="22" t="str">
        <f>IFERROR(__xludf.DUMMYFUNCTION("""COMPUTED_VALUE"""),"11 năm 2 tháng")</f>
        <v>11 năm 2 tháng</v>
      </c>
      <c r="X115" s="22"/>
      <c r="Y115" s="22"/>
      <c r="Z115" s="22"/>
    </row>
    <row r="116">
      <c r="A116" s="22">
        <f>IFERROR(__xludf.DUMMYFUNCTION("""COMPUTED_VALUE"""),5.0)</f>
        <v>5</v>
      </c>
      <c r="B116" s="22" t="str">
        <f>IFERROR(__xludf.DUMMYFUNCTION("""COMPUTED_VALUE"""),"Văn phòng")</f>
        <v>Văn phòng</v>
      </c>
      <c r="C116" s="22" t="str">
        <f>IFERROR(__xludf.DUMMYFUNCTION("""COMPUTED_VALUE"""),"Phòng khai thác")</f>
        <v>Phòng khai thác</v>
      </c>
      <c r="D116" s="22" t="str">
        <f>IFERROR(__xludf.DUMMYFUNCTION("""COMPUTED_VALUE"""),"Tổ Đội xe máy")</f>
        <v>Tổ Đội xe máy</v>
      </c>
      <c r="E116" s="22" t="str">
        <f>IFERROR(__xludf.DUMMYFUNCTION("""COMPUTED_VALUE"""),"Nhân viên Lái máy xúc đào")</f>
        <v>Nhân viên Lái máy xúc đào</v>
      </c>
      <c r="F116" s="22" t="str">
        <f>IFERROR(__xludf.DUMMYFUNCTION("""COMPUTED_VALUE"""),"NV0378")</f>
        <v>NV0378</v>
      </c>
      <c r="G116" s="22"/>
      <c r="H116" s="22" t="str">
        <f>IFERROR(__xludf.DUMMYFUNCTION("""COMPUTED_VALUE"""),"Phạm Quang Hưng")</f>
        <v>Phạm Quang Hưng</v>
      </c>
      <c r="I116" s="22" t="str">
        <f>IFERROR(__xludf.DUMMYFUNCTION("""COMPUTED_VALUE"""),"Nam")</f>
        <v>Nam</v>
      </c>
      <c r="J116" s="24">
        <f>IFERROR(__xludf.DUMMYFUNCTION("""COMPUTED_VALUE"""),29241.0)</f>
        <v>29241</v>
      </c>
      <c r="K116" s="22" t="str">
        <f>IFERROR(__xludf.DUMMYFUNCTION("""COMPUTED_VALUE"""),"82 Duy Tân, Phường Nam Ngạn, Thành phố Thanh Hóa,")</f>
        <v>82 Duy Tân, Phường Nam Ngạn, Thành phố Thanh Hóa,</v>
      </c>
      <c r="L116" s="22" t="str">
        <f>IFERROR(__xludf.DUMMYFUNCTION("""COMPUTED_VALUE"""),"0976924343")</f>
        <v>0976924343</v>
      </c>
      <c r="M116" s="22" t="str">
        <f>IFERROR(__xludf.DUMMYFUNCTION("""COMPUTED_VALUE"""),"038080003232")</f>
        <v>038080003232</v>
      </c>
      <c r="N116" s="25">
        <f>IFERROR(__xludf.DUMMYFUNCTION("""COMPUTED_VALUE"""),44418.0)</f>
        <v>44418</v>
      </c>
      <c r="O116" s="22" t="str">
        <f>IFERROR(__xludf.DUMMYFUNCTION("""COMPUTED_VALUE"""),"Cục Cảnh sát QLHC về TTXH")</f>
        <v>Cục Cảnh sát QLHC về TTXH</v>
      </c>
      <c r="P116" s="22" t="str">
        <f>IFERROR(__xludf.DUMMYFUNCTION("""COMPUTED_VALUE"""),"Trung cấp")</f>
        <v>Trung cấp</v>
      </c>
      <c r="Q116" s="22" t="str">
        <f>IFERROR(__xludf.DUMMYFUNCTION("""COMPUTED_VALUE"""),"Lái máy xúc")</f>
        <v>Lái máy xúc</v>
      </c>
      <c r="R116" s="24">
        <f>IFERROR(__xludf.DUMMYFUNCTION("""COMPUTED_VALUE"""),42033.0)</f>
        <v>42033</v>
      </c>
      <c r="S116" s="24">
        <f>IFERROR(__xludf.DUMMYFUNCTION("""COMPUTED_VALUE"""),42033.0)</f>
        <v>42033</v>
      </c>
      <c r="T116" s="22" t="str">
        <f>IFERROR(__xludf.DUMMYFUNCTION("""COMPUTED_VALUE"""),"Chính thức")</f>
        <v>Chính thức</v>
      </c>
      <c r="U116" s="22"/>
      <c r="V116" s="22" t="str">
        <f>IFERROR(__xludf.DUMMYFUNCTION("""COMPUTED_VALUE"""),"Chính thức")</f>
        <v>Chính thức</v>
      </c>
      <c r="W116" s="22" t="str">
        <f>IFERROR(__xludf.DUMMYFUNCTION("""COMPUTED_VALUE"""),"10 năm 11 tháng")</f>
        <v>10 năm 11 tháng</v>
      </c>
      <c r="X116" s="22"/>
      <c r="Y116" s="22"/>
      <c r="Z116" s="22"/>
    </row>
    <row r="117">
      <c r="A117" s="22">
        <f>IFERROR(__xludf.DUMMYFUNCTION("""COMPUTED_VALUE"""),6.0)</f>
        <v>6</v>
      </c>
      <c r="B117" s="22" t="str">
        <f>IFERROR(__xludf.DUMMYFUNCTION("""COMPUTED_VALUE"""),"Văn phòng")</f>
        <v>Văn phòng</v>
      </c>
      <c r="C117" s="22" t="str">
        <f>IFERROR(__xludf.DUMMYFUNCTION("""COMPUTED_VALUE"""),"Phòng khai thác")</f>
        <v>Phòng khai thác</v>
      </c>
      <c r="D117" s="22" t="str">
        <f>IFERROR(__xludf.DUMMYFUNCTION("""COMPUTED_VALUE"""),"Tổ Đội xe máy")</f>
        <v>Tổ Đội xe máy</v>
      </c>
      <c r="E117" s="22" t="str">
        <f>IFERROR(__xludf.DUMMYFUNCTION("""COMPUTED_VALUE"""),"Nhân viên Lái máy xúc đào")</f>
        <v>Nhân viên Lái máy xúc đào</v>
      </c>
      <c r="F117" s="22" t="str">
        <f>IFERROR(__xludf.DUMMYFUNCTION("""COMPUTED_VALUE"""),"NV0716")</f>
        <v>NV0716</v>
      </c>
      <c r="G117" s="22">
        <f>IFERROR(__xludf.DUMMYFUNCTION("""COMPUTED_VALUE"""),727.0)</f>
        <v>727</v>
      </c>
      <c r="H117" s="22" t="str">
        <f>IFERROR(__xludf.DUMMYFUNCTION("""COMPUTED_VALUE"""),"Lê Đức Kiệm")</f>
        <v>Lê Đức Kiệm</v>
      </c>
      <c r="I117" s="22" t="str">
        <f>IFERROR(__xludf.DUMMYFUNCTION("""COMPUTED_VALUE"""),"Nam")</f>
        <v>Nam</v>
      </c>
      <c r="J117" s="24">
        <f>IFERROR(__xludf.DUMMYFUNCTION("""COMPUTED_VALUE"""),31584.0)</f>
        <v>31584</v>
      </c>
      <c r="K117" s="22" t="str">
        <f>IFERROR(__xludf.DUMMYFUNCTION("""COMPUTED_VALUE"""),"Phố Yên Thành, Xã Quảng Thành, Thành phố Thanh Hóa")</f>
        <v>Phố Yên Thành, Xã Quảng Thành, Thành phố Thanh Hóa</v>
      </c>
      <c r="L117" s="22" t="str">
        <f>IFERROR(__xludf.DUMMYFUNCTION("""COMPUTED_VALUE"""),"0987770486")</f>
        <v>0987770486</v>
      </c>
      <c r="M117" s="22" t="str">
        <f>IFERROR(__xludf.DUMMYFUNCTION("""COMPUTED_VALUE"""),"038086028012")</f>
        <v>038086028012</v>
      </c>
      <c r="N117" s="25">
        <f>IFERROR(__xludf.DUMMYFUNCTION("""COMPUTED_VALUE"""),44350.0)</f>
        <v>44350</v>
      </c>
      <c r="O117" s="22" t="str">
        <f>IFERROR(__xludf.DUMMYFUNCTION("""COMPUTED_VALUE"""),"Cục Cảnh sát QLHC về TTXH")</f>
        <v>Cục Cảnh sát QLHC về TTXH</v>
      </c>
      <c r="P117" s="22" t="str">
        <f>IFERROR(__xludf.DUMMYFUNCTION("""COMPUTED_VALUE"""),"Công nhân kỹ thuật")</f>
        <v>Công nhân kỹ thuật</v>
      </c>
      <c r="Q117" s="22" t="str">
        <f>IFERROR(__xludf.DUMMYFUNCTION("""COMPUTED_VALUE"""),"Lái máy Xúc")</f>
        <v>Lái máy Xúc</v>
      </c>
      <c r="R117" s="24">
        <f>IFERROR(__xludf.DUMMYFUNCTION("""COMPUTED_VALUE"""),42417.0)</f>
        <v>42417</v>
      </c>
      <c r="S117" s="24">
        <f>IFERROR(__xludf.DUMMYFUNCTION("""COMPUTED_VALUE"""),42417.0)</f>
        <v>42417</v>
      </c>
      <c r="T117" s="22" t="str">
        <f>IFERROR(__xludf.DUMMYFUNCTION("""COMPUTED_VALUE"""),"Chính thức")</f>
        <v>Chính thức</v>
      </c>
      <c r="U117" s="22"/>
      <c r="V117" s="22" t="str">
        <f>IFERROR(__xludf.DUMMYFUNCTION("""COMPUTED_VALUE"""),"Chính thức")</f>
        <v>Chính thức</v>
      </c>
      <c r="W117" s="22" t="str">
        <f>IFERROR(__xludf.DUMMYFUNCTION("""COMPUTED_VALUE"""),"9 năm 10 tháng")</f>
        <v>9 năm 10 tháng</v>
      </c>
      <c r="X117" s="22"/>
      <c r="Y117" s="22"/>
      <c r="Z117" s="22"/>
    </row>
    <row r="118">
      <c r="A118" s="22">
        <f>IFERROR(__xludf.DUMMYFUNCTION("""COMPUTED_VALUE"""),7.0)</f>
        <v>7</v>
      </c>
      <c r="B118" s="22" t="str">
        <f>IFERROR(__xludf.DUMMYFUNCTION("""COMPUTED_VALUE"""),"Văn phòng")</f>
        <v>Văn phòng</v>
      </c>
      <c r="C118" s="22" t="str">
        <f>IFERROR(__xludf.DUMMYFUNCTION("""COMPUTED_VALUE"""),"Phòng khai thác")</f>
        <v>Phòng khai thác</v>
      </c>
      <c r="D118" s="22" t="str">
        <f>IFERROR(__xludf.DUMMYFUNCTION("""COMPUTED_VALUE"""),"Tổ Đội xe máy")</f>
        <v>Tổ Đội xe máy</v>
      </c>
      <c r="E118" s="22" t="str">
        <f>IFERROR(__xludf.DUMMYFUNCTION("""COMPUTED_VALUE"""),"Nhân viên lái xe mỏ")</f>
        <v>Nhân viên lái xe mỏ</v>
      </c>
      <c r="F118" s="22" t="str">
        <f>IFERROR(__xludf.DUMMYFUNCTION("""COMPUTED_VALUE"""),"NV0145")</f>
        <v>NV0145</v>
      </c>
      <c r="G118" s="22"/>
      <c r="H118" s="22" t="str">
        <f>IFERROR(__xludf.DUMMYFUNCTION("""COMPUTED_VALUE"""),"Nguyễn Xuân Thanh")</f>
        <v>Nguyễn Xuân Thanh</v>
      </c>
      <c r="I118" s="22" t="str">
        <f>IFERROR(__xludf.DUMMYFUNCTION("""COMPUTED_VALUE"""),"Nam")</f>
        <v>Nam</v>
      </c>
      <c r="J118" s="24">
        <f>IFERROR(__xludf.DUMMYFUNCTION("""COMPUTED_VALUE"""),32242.0)</f>
        <v>32242</v>
      </c>
      <c r="K118" s="22" t="str">
        <f>IFERROR(__xludf.DUMMYFUNCTION("""COMPUTED_VALUE"""),"Thôn An Hảo, Xã Hoằng Trạch, Huyện Hoằng Hóa, Tỉnh Thanh Hóa,")</f>
        <v>Thôn An Hảo, Xã Hoằng Trạch, Huyện Hoằng Hóa, Tỉnh Thanh Hóa,</v>
      </c>
      <c r="L118" s="22" t="str">
        <f>IFERROR(__xludf.DUMMYFUNCTION("""COMPUTED_VALUE"""),"0326499389")</f>
        <v>0326499389</v>
      </c>
      <c r="M118" s="22" t="str">
        <f>IFERROR(__xludf.DUMMYFUNCTION("""COMPUTED_VALUE"""),"038088045244")</f>
        <v>038088045244</v>
      </c>
      <c r="N118" s="25">
        <f>IFERROR(__xludf.DUMMYFUNCTION("""COMPUTED_VALUE"""),44418.0)</f>
        <v>44418</v>
      </c>
      <c r="O118" s="22" t="str">
        <f>IFERROR(__xludf.DUMMYFUNCTION("""COMPUTED_VALUE"""),"Cục Cảnh sát QLHC về TTXH")</f>
        <v>Cục Cảnh sát QLHC về TTXH</v>
      </c>
      <c r="P118" s="22" t="str">
        <f>IFERROR(__xludf.DUMMYFUNCTION("""COMPUTED_VALUE"""),"Bằng Nghề")</f>
        <v>Bằng Nghề</v>
      </c>
      <c r="Q118" s="22" t="str">
        <f>IFERROR(__xludf.DUMMYFUNCTION("""COMPUTED_VALUE"""),"Lái máy")</f>
        <v>Lái máy</v>
      </c>
      <c r="R118" s="24">
        <f>IFERROR(__xludf.DUMMYFUNCTION("""COMPUTED_VALUE"""),42452.0)</f>
        <v>42452</v>
      </c>
      <c r="S118" s="24">
        <f>IFERROR(__xludf.DUMMYFUNCTION("""COMPUTED_VALUE"""),42452.0)</f>
        <v>42452</v>
      </c>
      <c r="T118" s="22" t="str">
        <f>IFERROR(__xludf.DUMMYFUNCTION("""COMPUTED_VALUE"""),"Chính thức")</f>
        <v>Chính thức</v>
      </c>
      <c r="U118" s="22"/>
      <c r="V118" s="22" t="str">
        <f>IFERROR(__xludf.DUMMYFUNCTION("""COMPUTED_VALUE"""),"Chính thức")</f>
        <v>Chính thức</v>
      </c>
      <c r="W118" s="22" t="str">
        <f>IFERROR(__xludf.DUMMYFUNCTION("""COMPUTED_VALUE"""),"9 năm 9 tháng")</f>
        <v>9 năm 9 tháng</v>
      </c>
      <c r="X118" s="22"/>
      <c r="Y118" s="22"/>
      <c r="Z118" s="22"/>
    </row>
    <row r="119">
      <c r="A119" s="22">
        <f>IFERROR(__xludf.DUMMYFUNCTION("""COMPUTED_VALUE"""),8.0)</f>
        <v>8</v>
      </c>
      <c r="B119" s="22" t="str">
        <f>IFERROR(__xludf.DUMMYFUNCTION("""COMPUTED_VALUE"""),"Văn phòng")</f>
        <v>Văn phòng</v>
      </c>
      <c r="C119" s="22" t="str">
        <f>IFERROR(__xludf.DUMMYFUNCTION("""COMPUTED_VALUE"""),"Phòng khai thác")</f>
        <v>Phòng khai thác</v>
      </c>
      <c r="D119" s="22" t="str">
        <f>IFERROR(__xludf.DUMMYFUNCTION("""COMPUTED_VALUE"""),"Tổ Đội xe máy")</f>
        <v>Tổ Đội xe máy</v>
      </c>
      <c r="E119" s="22" t="str">
        <f>IFERROR(__xludf.DUMMYFUNCTION("""COMPUTED_VALUE"""),"Nhân viên lái xe mỏ")</f>
        <v>Nhân viên lái xe mỏ</v>
      </c>
      <c r="F119" s="22" t="str">
        <f>IFERROR(__xludf.DUMMYFUNCTION("""COMPUTED_VALUE"""),"NV0379")</f>
        <v>NV0379</v>
      </c>
      <c r="G119" s="22"/>
      <c r="H119" s="22" t="str">
        <f>IFERROR(__xludf.DUMMYFUNCTION("""COMPUTED_VALUE"""),"Nguyễn Hữu Nhâm")</f>
        <v>Nguyễn Hữu Nhâm</v>
      </c>
      <c r="I119" s="22" t="str">
        <f>IFERROR(__xludf.DUMMYFUNCTION("""COMPUTED_VALUE"""),"Nam")</f>
        <v>Nam</v>
      </c>
      <c r="J119" s="24">
        <f>IFERROR(__xludf.DUMMYFUNCTION("""COMPUTED_VALUE"""),30498.0)</f>
        <v>30498</v>
      </c>
      <c r="K119" s="22" t="str">
        <f>IFERROR(__xludf.DUMMYFUNCTION("""COMPUTED_VALUE"""),"Đội 6 - Hoằng Trạch - Hoằng Hóa - Thanh Hóa")</f>
        <v>Đội 6 - Hoằng Trạch - Hoằng Hóa - Thanh Hóa</v>
      </c>
      <c r="L119" s="22" t="str">
        <f>IFERROR(__xludf.DUMMYFUNCTION("""COMPUTED_VALUE"""),"0981883756")</f>
        <v>0981883756</v>
      </c>
      <c r="M119" s="22" t="str">
        <f>IFERROR(__xludf.DUMMYFUNCTION("""COMPUTED_VALUE"""),"038083014182")</f>
        <v>038083014182</v>
      </c>
      <c r="N119" s="25">
        <f>IFERROR(__xludf.DUMMYFUNCTION("""COMPUTED_VALUE"""),44974.0)</f>
        <v>44974</v>
      </c>
      <c r="O119" s="22" t="str">
        <f>IFERROR(__xludf.DUMMYFUNCTION("""COMPUTED_VALUE"""),"Cục Cảnh sát QLHC về TTXH")</f>
        <v>Cục Cảnh sát QLHC về TTXH</v>
      </c>
      <c r="P119" s="22" t="str">
        <f>IFERROR(__xludf.DUMMYFUNCTION("""COMPUTED_VALUE"""),"Bằng Nghề")</f>
        <v>Bằng Nghề</v>
      </c>
      <c r="Q119" s="22" t="str">
        <f>IFERROR(__xludf.DUMMYFUNCTION("""COMPUTED_VALUE"""),"Lái xe hạng C")</f>
        <v>Lái xe hạng C</v>
      </c>
      <c r="R119" s="24">
        <f>IFERROR(__xludf.DUMMYFUNCTION("""COMPUTED_VALUE"""),44659.0)</f>
        <v>44659</v>
      </c>
      <c r="S119" s="24">
        <f>IFERROR(__xludf.DUMMYFUNCTION("""COMPUTED_VALUE"""),44743.0)</f>
        <v>44743</v>
      </c>
      <c r="T119" s="22" t="str">
        <f>IFERROR(__xludf.DUMMYFUNCTION("""COMPUTED_VALUE"""),"Chính thức")</f>
        <v>Chính thức</v>
      </c>
      <c r="U119" s="22"/>
      <c r="V119" s="22" t="str">
        <f>IFERROR(__xludf.DUMMYFUNCTION("""COMPUTED_VALUE"""),"Chính thức")</f>
        <v>Chính thức</v>
      </c>
      <c r="W119" s="22" t="str">
        <f>IFERROR(__xludf.DUMMYFUNCTION("""COMPUTED_VALUE"""),"3 năm 8 tháng")</f>
        <v>3 năm 8 tháng</v>
      </c>
      <c r="X119" s="22"/>
      <c r="Y119" s="22"/>
      <c r="Z119" s="22"/>
    </row>
    <row r="120">
      <c r="A120" s="22">
        <f>IFERROR(__xludf.DUMMYFUNCTION("""COMPUTED_VALUE"""),9.0)</f>
        <v>9</v>
      </c>
      <c r="B120" s="22" t="str">
        <f>IFERROR(__xludf.DUMMYFUNCTION("""COMPUTED_VALUE"""),"Văn phòng")</f>
        <v>Văn phòng</v>
      </c>
      <c r="C120" s="22" t="str">
        <f>IFERROR(__xludf.DUMMYFUNCTION("""COMPUTED_VALUE"""),"Phòng khai thác")</f>
        <v>Phòng khai thác</v>
      </c>
      <c r="D120" s="22" t="str">
        <f>IFERROR(__xludf.DUMMYFUNCTION("""COMPUTED_VALUE"""),"Tổ Đội xe máy")</f>
        <v>Tổ Đội xe máy</v>
      </c>
      <c r="E120" s="22" t="str">
        <f>IFERROR(__xludf.DUMMYFUNCTION("""COMPUTED_VALUE"""),"Nhân viên lái xe nội bộ")</f>
        <v>Nhân viên lái xe nội bộ</v>
      </c>
      <c r="F120" s="22" t="str">
        <f>IFERROR(__xludf.DUMMYFUNCTION("""COMPUTED_VALUE"""),"NV3373")</f>
        <v>NV3373</v>
      </c>
      <c r="G120" s="22">
        <f>IFERROR(__xludf.DUMMYFUNCTION("""COMPUTED_VALUE"""),736.0)</f>
        <v>736</v>
      </c>
      <c r="H120" s="22" t="str">
        <f>IFERROR(__xludf.DUMMYFUNCTION("""COMPUTED_VALUE"""),"Đào Duy Nam")</f>
        <v>Đào Duy Nam</v>
      </c>
      <c r="I120" s="22" t="str">
        <f>IFERROR(__xludf.DUMMYFUNCTION("""COMPUTED_VALUE"""),"Nam")</f>
        <v>Nam</v>
      </c>
      <c r="J120" s="24">
        <f>IFERROR(__xludf.DUMMYFUNCTION("""COMPUTED_VALUE"""),23422.0)</f>
        <v>23422</v>
      </c>
      <c r="K120" s="22" t="str">
        <f>IFERROR(__xludf.DUMMYFUNCTION("""COMPUTED_VALUE"""),"43/33 Đường thọ hạc - Phường đông thọ - tp thanh hoá")</f>
        <v>43/33 Đường thọ hạc - Phường đông thọ - tp thanh hoá</v>
      </c>
      <c r="L120" s="22" t="str">
        <f>IFERROR(__xludf.DUMMYFUNCTION("""COMPUTED_VALUE"""),"0989632611")</f>
        <v>0989632611</v>
      </c>
      <c r="M120" s="22" t="str">
        <f>IFERROR(__xludf.DUMMYFUNCTION("""COMPUTED_VALUE"""),"038064024112")</f>
        <v>038064024112</v>
      </c>
      <c r="N120" s="25">
        <f>IFERROR(__xludf.DUMMYFUNCTION("""COMPUTED_VALUE"""),45392.0)</f>
        <v>45392</v>
      </c>
      <c r="O120" s="22" t="str">
        <f>IFERROR(__xludf.DUMMYFUNCTION("""COMPUTED_VALUE"""),"Cục Cảnh sát QLHC về TTXH")</f>
        <v>Cục Cảnh sát QLHC về TTXH</v>
      </c>
      <c r="P120" s="22" t="str">
        <f>IFERROR(__xludf.DUMMYFUNCTION("""COMPUTED_VALUE"""),"Bằng nghề")</f>
        <v>Bằng nghề</v>
      </c>
      <c r="Q120" s="22" t="str">
        <f>IFERROR(__xludf.DUMMYFUNCTION("""COMPUTED_VALUE"""),"Lái xe hạng C")</f>
        <v>Lái xe hạng C</v>
      </c>
      <c r="R120" s="24">
        <f>IFERROR(__xludf.DUMMYFUNCTION("""COMPUTED_VALUE"""),44141.0)</f>
        <v>44141</v>
      </c>
      <c r="S120" s="24">
        <f>IFERROR(__xludf.DUMMYFUNCTION("""COMPUTED_VALUE"""),44409.0)</f>
        <v>44409</v>
      </c>
      <c r="T120" s="22" t="str">
        <f>IFERROR(__xludf.DUMMYFUNCTION("""COMPUTED_VALUE"""),"Chính thức")</f>
        <v>Chính thức</v>
      </c>
      <c r="U120" s="22"/>
      <c r="V120" s="22" t="str">
        <f>IFERROR(__xludf.DUMMYFUNCTION("""COMPUTED_VALUE"""),"Chính thức")</f>
        <v>Chính thức</v>
      </c>
      <c r="W120" s="22" t="str">
        <f>IFERROR(__xludf.DUMMYFUNCTION("""COMPUTED_VALUE"""),"5 năm 1 tháng")</f>
        <v>5 năm 1 tháng</v>
      </c>
      <c r="X120" s="22"/>
      <c r="Y120" s="22"/>
      <c r="Z120" s="22"/>
    </row>
    <row r="121">
      <c r="A121" s="22">
        <f>IFERROR(__xludf.DUMMYFUNCTION("""COMPUTED_VALUE"""),10.0)</f>
        <v>10</v>
      </c>
      <c r="B121" s="22" t="str">
        <f>IFERROR(__xludf.DUMMYFUNCTION("""COMPUTED_VALUE"""),"Văn phòng")</f>
        <v>Văn phòng</v>
      </c>
      <c r="C121" s="22" t="str">
        <f>IFERROR(__xludf.DUMMYFUNCTION("""COMPUTED_VALUE"""),"Phòng khai thác")</f>
        <v>Phòng khai thác</v>
      </c>
      <c r="D121" s="22" t="str">
        <f>IFERROR(__xludf.DUMMYFUNCTION("""COMPUTED_VALUE"""),"Tổ Đội xe máy")</f>
        <v>Tổ Đội xe máy</v>
      </c>
      <c r="E121" s="22" t="str">
        <f>IFERROR(__xludf.DUMMYFUNCTION("""COMPUTED_VALUE"""),"Nhân viên lái xe nội bộ")</f>
        <v>Nhân viên lái xe nội bộ</v>
      </c>
      <c r="F121" s="22" t="str">
        <f>IFERROR(__xludf.DUMMYFUNCTION("""COMPUTED_VALUE"""),"NV3183")</f>
        <v>NV3183</v>
      </c>
      <c r="G121" s="22">
        <f>IFERROR(__xludf.DUMMYFUNCTION("""COMPUTED_VALUE"""),740.0)</f>
        <v>740</v>
      </c>
      <c r="H121" s="22" t="str">
        <f>IFERROR(__xludf.DUMMYFUNCTION("""COMPUTED_VALUE"""),"Lê Xuân Thanh")</f>
        <v>Lê Xuân Thanh</v>
      </c>
      <c r="I121" s="22" t="str">
        <f>IFERROR(__xludf.DUMMYFUNCTION("""COMPUTED_VALUE"""),"Nam")</f>
        <v>Nam</v>
      </c>
      <c r="J121" s="24">
        <f>IFERROR(__xludf.DUMMYFUNCTION("""COMPUTED_VALUE"""),26021.0)</f>
        <v>26021</v>
      </c>
      <c r="K121" s="22" t="str">
        <f>IFERROR(__xludf.DUMMYFUNCTION("""COMPUTED_VALUE"""),"32/91 Nguyễn Thiếp - P. Ngọc Trạo - Thành Phố Thanh Hóa")</f>
        <v>32/91 Nguyễn Thiếp - P. Ngọc Trạo - Thành Phố Thanh Hóa</v>
      </c>
      <c r="L121" s="22" t="str">
        <f>IFERROR(__xludf.DUMMYFUNCTION("""COMPUTED_VALUE"""),"0978422778")</f>
        <v>0978422778</v>
      </c>
      <c r="M121" s="22" t="str">
        <f>IFERROR(__xludf.DUMMYFUNCTION("""COMPUTED_VALUE"""),"038071010873")</f>
        <v>038071010873</v>
      </c>
      <c r="N121" s="25">
        <f>IFERROR(__xludf.DUMMYFUNCTION("""COMPUTED_VALUE"""),44418.0)</f>
        <v>44418</v>
      </c>
      <c r="O121" s="22" t="str">
        <f>IFERROR(__xludf.DUMMYFUNCTION("""COMPUTED_VALUE"""),"Cục Cảnh sát QLHC về TTXH")</f>
        <v>Cục Cảnh sát QLHC về TTXH</v>
      </c>
      <c r="P121" s="22" t="str">
        <f>IFERROR(__xludf.DUMMYFUNCTION("""COMPUTED_VALUE"""),"Bằng nghề")</f>
        <v>Bằng nghề</v>
      </c>
      <c r="Q121" s="22" t="str">
        <f>IFERROR(__xludf.DUMMYFUNCTION("""COMPUTED_VALUE"""),"Lái xe hạng C")</f>
        <v>Lái xe hạng C</v>
      </c>
      <c r="R121" s="24">
        <f>IFERROR(__xludf.DUMMYFUNCTION("""COMPUTED_VALUE"""),44047.0)</f>
        <v>44047</v>
      </c>
      <c r="S121" s="24">
        <f>IFERROR(__xludf.DUMMYFUNCTION("""COMPUTED_VALUE"""),44348.0)</f>
        <v>44348</v>
      </c>
      <c r="T121" s="22" t="str">
        <f>IFERROR(__xludf.DUMMYFUNCTION("""COMPUTED_VALUE"""),"Chính thức")</f>
        <v>Chính thức</v>
      </c>
      <c r="U121" s="22"/>
      <c r="V121" s="22" t="str">
        <f>IFERROR(__xludf.DUMMYFUNCTION("""COMPUTED_VALUE"""),"Chính thức")</f>
        <v>Chính thức</v>
      </c>
      <c r="W121" s="22" t="str">
        <f>IFERROR(__xludf.DUMMYFUNCTION("""COMPUTED_VALUE"""),"5 năm 4 tháng")</f>
        <v>5 năm 4 tháng</v>
      </c>
      <c r="X121" s="22"/>
      <c r="Y121" s="22"/>
      <c r="Z121" s="22"/>
    </row>
    <row r="122">
      <c r="A122" s="22">
        <f>IFERROR(__xludf.DUMMYFUNCTION("""COMPUTED_VALUE"""),11.0)</f>
        <v>11</v>
      </c>
      <c r="B122" s="22" t="str">
        <f>IFERROR(__xludf.DUMMYFUNCTION("""COMPUTED_VALUE"""),"Văn phòng")</f>
        <v>Văn phòng</v>
      </c>
      <c r="C122" s="22" t="str">
        <f>IFERROR(__xludf.DUMMYFUNCTION("""COMPUTED_VALUE"""),"Phòng khai thác")</f>
        <v>Phòng khai thác</v>
      </c>
      <c r="D122" s="22" t="str">
        <f>IFERROR(__xludf.DUMMYFUNCTION("""COMPUTED_VALUE"""),"Tổ Đội xe máy")</f>
        <v>Tổ Đội xe máy</v>
      </c>
      <c r="E122" s="22" t="str">
        <f>IFERROR(__xludf.DUMMYFUNCTION("""COMPUTED_VALUE"""),"Nhân viên lái xe mỏ")</f>
        <v>Nhân viên lái xe mỏ</v>
      </c>
      <c r="F122" s="22" t="str">
        <f>IFERROR(__xludf.DUMMYFUNCTION("""COMPUTED_VALUE"""),"NV1158")</f>
        <v>NV1158</v>
      </c>
      <c r="G122" s="22">
        <f>IFERROR(__xludf.DUMMYFUNCTION("""COMPUTED_VALUE"""),735.0)</f>
        <v>735</v>
      </c>
      <c r="H122" s="22" t="str">
        <f>IFERROR(__xludf.DUMMYFUNCTION("""COMPUTED_VALUE"""),"Đỗ Văn Hòe")</f>
        <v>Đỗ Văn Hòe</v>
      </c>
      <c r="I122" s="22" t="str">
        <f>IFERROR(__xludf.DUMMYFUNCTION("""COMPUTED_VALUE"""),"Nam")</f>
        <v>Nam</v>
      </c>
      <c r="J122" s="24">
        <f>IFERROR(__xludf.DUMMYFUNCTION("""COMPUTED_VALUE"""),32396.0)</f>
        <v>32396</v>
      </c>
      <c r="K122" s="22" t="str">
        <f>IFERROR(__xludf.DUMMYFUNCTION("""COMPUTED_VALUE"""),"KP.Hải Ninh, Thị trấn Bến Sung, Huyện Như Thanh, Thanh Hóa")</f>
        <v>KP.Hải Ninh, Thị trấn Bến Sung, Huyện Như Thanh, Thanh Hóa</v>
      </c>
      <c r="L122" s="22" t="str">
        <f>IFERROR(__xludf.DUMMYFUNCTION("""COMPUTED_VALUE"""),"0988315099")</f>
        <v>0988315099</v>
      </c>
      <c r="M122" s="22" t="str">
        <f>IFERROR(__xludf.DUMMYFUNCTION("""COMPUTED_VALUE"""),"038088048409")</f>
        <v>038088048409</v>
      </c>
      <c r="N122" s="25">
        <f>IFERROR(__xludf.DUMMYFUNCTION("""COMPUTED_VALUE"""),44423.0)</f>
        <v>44423</v>
      </c>
      <c r="O122" s="22" t="str">
        <f>IFERROR(__xludf.DUMMYFUNCTION("""COMPUTED_VALUE"""),"Cục Cảnh sát QLHC về TTXH")</f>
        <v>Cục Cảnh sát QLHC về TTXH</v>
      </c>
      <c r="P122" s="22" t="str">
        <f>IFERROR(__xludf.DUMMYFUNCTION("""COMPUTED_VALUE"""),"Bằng nghề")</f>
        <v>Bằng nghề</v>
      </c>
      <c r="Q122" s="22" t="str">
        <f>IFERROR(__xludf.DUMMYFUNCTION("""COMPUTED_VALUE"""),"Lái xe hạng C")</f>
        <v>Lái xe hạng C</v>
      </c>
      <c r="R122" s="24">
        <f>IFERROR(__xludf.DUMMYFUNCTION("""COMPUTED_VALUE"""),45128.0)</f>
        <v>45128</v>
      </c>
      <c r="S122" s="24">
        <f>IFERROR(__xludf.DUMMYFUNCTION("""COMPUTED_VALUE"""),45292.0)</f>
        <v>45292</v>
      </c>
      <c r="T122" s="22" t="str">
        <f>IFERROR(__xludf.DUMMYFUNCTION("""COMPUTED_VALUE"""),"Chính thức")</f>
        <v>Chính thức</v>
      </c>
      <c r="U122" s="22"/>
      <c r="V122" s="22" t="str">
        <f>IFERROR(__xludf.DUMMYFUNCTION("""COMPUTED_VALUE"""),"Chính thức")</f>
        <v>Chính thức</v>
      </c>
      <c r="W122" s="22" t="str">
        <f>IFERROR(__xludf.DUMMYFUNCTION("""COMPUTED_VALUE"""),"2 năm 5 tháng")</f>
        <v>2 năm 5 tháng</v>
      </c>
      <c r="X122" s="22"/>
      <c r="Y122" s="22"/>
      <c r="Z122" s="22"/>
    </row>
    <row r="123">
      <c r="A123" s="22">
        <f>IFERROR(__xludf.DUMMYFUNCTION("""COMPUTED_VALUE"""),12.0)</f>
        <v>12</v>
      </c>
      <c r="B123" s="22" t="str">
        <f>IFERROR(__xludf.DUMMYFUNCTION("""COMPUTED_VALUE"""),"Văn phòng")</f>
        <v>Văn phòng</v>
      </c>
      <c r="C123" s="22" t="str">
        <f>IFERROR(__xludf.DUMMYFUNCTION("""COMPUTED_VALUE"""),"Phòng khai thác")</f>
        <v>Phòng khai thác</v>
      </c>
      <c r="D123" s="22" t="str">
        <f>IFERROR(__xludf.DUMMYFUNCTION("""COMPUTED_VALUE"""),"Tổ Đội xe máy")</f>
        <v>Tổ Đội xe máy</v>
      </c>
      <c r="E123" s="22" t="str">
        <f>IFERROR(__xludf.DUMMYFUNCTION("""COMPUTED_VALUE"""),"Nhân viên lái xe mỏ")</f>
        <v>Nhân viên lái xe mỏ</v>
      </c>
      <c r="F123" s="22" t="str">
        <f>IFERROR(__xludf.DUMMYFUNCTION("""COMPUTED_VALUE"""),"NV1032")</f>
        <v>NV1032</v>
      </c>
      <c r="G123" s="22"/>
      <c r="H123" s="22" t="str">
        <f>IFERROR(__xludf.DUMMYFUNCTION("""COMPUTED_VALUE"""),"Nguyễn Hữu Hiếu")</f>
        <v>Nguyễn Hữu Hiếu</v>
      </c>
      <c r="I123" s="22" t="str">
        <f>IFERROR(__xludf.DUMMYFUNCTION("""COMPUTED_VALUE"""),"Nam")</f>
        <v>Nam</v>
      </c>
      <c r="J123" s="24">
        <f>IFERROR(__xludf.DUMMYFUNCTION("""COMPUTED_VALUE"""),33066.0)</f>
        <v>33066</v>
      </c>
      <c r="K123" s="22" t="str">
        <f>IFERROR(__xludf.DUMMYFUNCTION("""COMPUTED_VALUE"""),"Vĩnh Trị 3, Xã Hoằng Quang, Thành phố Thanh Hóa")</f>
        <v>Vĩnh Trị 3, Xã Hoằng Quang, Thành phố Thanh Hóa</v>
      </c>
      <c r="L123" s="22" t="str">
        <f>IFERROR(__xludf.DUMMYFUNCTION("""COMPUTED_VALUE"""),"0981185486")</f>
        <v>0981185486</v>
      </c>
      <c r="M123" s="22" t="str">
        <f>IFERROR(__xludf.DUMMYFUNCTION("""COMPUTED_VALUE"""),"038090040250")</f>
        <v>038090040250</v>
      </c>
      <c r="N123" s="25">
        <f>IFERROR(__xludf.DUMMYFUNCTION("""COMPUTED_VALUE"""),44427.0)</f>
        <v>44427</v>
      </c>
      <c r="O123" s="22" t="str">
        <f>IFERROR(__xludf.DUMMYFUNCTION("""COMPUTED_VALUE"""),"Cục Cảnh sát QLHC về TTXH")</f>
        <v>Cục Cảnh sát QLHC về TTXH</v>
      </c>
      <c r="P123" s="22" t="str">
        <f>IFERROR(__xludf.DUMMYFUNCTION("""COMPUTED_VALUE"""),"Bằng Nghề")</f>
        <v>Bằng Nghề</v>
      </c>
      <c r="Q123" s="22" t="str">
        <f>IFERROR(__xludf.DUMMYFUNCTION("""COMPUTED_VALUE"""),"Lái xe hạng C")</f>
        <v>Lái xe hạng C</v>
      </c>
      <c r="R123" s="24">
        <f>IFERROR(__xludf.DUMMYFUNCTION("""COMPUTED_VALUE"""),42921.0)</f>
        <v>42921</v>
      </c>
      <c r="S123" s="24">
        <f>IFERROR(__xludf.DUMMYFUNCTION("""COMPUTED_VALUE"""),43466.0)</f>
        <v>43466</v>
      </c>
      <c r="T123" s="22" t="str">
        <f>IFERROR(__xludf.DUMMYFUNCTION("""COMPUTED_VALUE"""),"Chính thức")</f>
        <v>Chính thức</v>
      </c>
      <c r="U123" s="22"/>
      <c r="V123" s="22" t="str">
        <f>IFERROR(__xludf.DUMMYFUNCTION("""COMPUTED_VALUE"""),"Chính thức")</f>
        <v>Chính thức</v>
      </c>
      <c r="W123" s="22" t="str">
        <f>IFERROR(__xludf.DUMMYFUNCTION("""COMPUTED_VALUE"""),"8 năm 5 tháng")</f>
        <v>8 năm 5 tháng</v>
      </c>
      <c r="X123" s="22"/>
      <c r="Y123" s="22"/>
      <c r="Z123" s="22"/>
    </row>
    <row r="124">
      <c r="A124" s="22">
        <f>IFERROR(__xludf.DUMMYFUNCTION("""COMPUTED_VALUE"""),13.0)</f>
        <v>13</v>
      </c>
      <c r="B124" s="22" t="str">
        <f>IFERROR(__xludf.DUMMYFUNCTION("""COMPUTED_VALUE"""),"Văn phòng")</f>
        <v>Văn phòng</v>
      </c>
      <c r="C124" s="22" t="str">
        <f>IFERROR(__xludf.DUMMYFUNCTION("""COMPUTED_VALUE"""),"Phòng khai thác")</f>
        <v>Phòng khai thác</v>
      </c>
      <c r="D124" s="22" t="str">
        <f>IFERROR(__xludf.DUMMYFUNCTION("""COMPUTED_VALUE"""),"Tổ Đội xe máy")</f>
        <v>Tổ Đội xe máy</v>
      </c>
      <c r="E124" s="22" t="str">
        <f>IFERROR(__xludf.DUMMYFUNCTION("""COMPUTED_VALUE"""),"Nhân viên lái xe mỏ")</f>
        <v>Nhân viên lái xe mỏ</v>
      </c>
      <c r="F124" s="22" t="str">
        <f>IFERROR(__xludf.DUMMYFUNCTION("""COMPUTED_VALUE"""),"NV0330")</f>
        <v>NV0330</v>
      </c>
      <c r="G124" s="22"/>
      <c r="H124" s="22" t="str">
        <f>IFERROR(__xludf.DUMMYFUNCTION("""COMPUTED_VALUE"""),"Lê Thế Dương")</f>
        <v>Lê Thế Dương</v>
      </c>
      <c r="I124" s="22" t="str">
        <f>IFERROR(__xludf.DUMMYFUNCTION("""COMPUTED_VALUE"""),"Nam")</f>
        <v>Nam</v>
      </c>
      <c r="J124" s="24">
        <f>IFERROR(__xludf.DUMMYFUNCTION("""COMPUTED_VALUE"""),28374.0)</f>
        <v>28374</v>
      </c>
      <c r="K124" s="22" t="str">
        <f>IFERROR(__xludf.DUMMYFUNCTION("""COMPUTED_VALUE"""),"Thôn Trung Tây, Xã Hoằng Quỳ, Huyện Hoằng Hóa, Tỉnh Thanh Hó")</f>
        <v>Thôn Trung Tây, Xã Hoằng Quỳ, Huyện Hoằng Hóa, Tỉnh Thanh Hó</v>
      </c>
      <c r="L124" s="22" t="str">
        <f>IFERROR(__xludf.DUMMYFUNCTION("""COMPUTED_VALUE"""),"0912987018")</f>
        <v>0912987018</v>
      </c>
      <c r="M124" s="22" t="str">
        <f>IFERROR(__xludf.DUMMYFUNCTION("""COMPUTED_VALUE"""),"038077004545")</f>
        <v>038077004545</v>
      </c>
      <c r="N124" s="25">
        <f>IFERROR(__xludf.DUMMYFUNCTION("""COMPUTED_VALUE"""),44427.0)</f>
        <v>44427</v>
      </c>
      <c r="O124" s="22" t="str">
        <f>IFERROR(__xludf.DUMMYFUNCTION("""COMPUTED_VALUE"""),"Cục Cảnh sát QLHC về TTXH")</f>
        <v>Cục Cảnh sát QLHC về TTXH</v>
      </c>
      <c r="P124" s="22" t="str">
        <f>IFERROR(__xludf.DUMMYFUNCTION("""COMPUTED_VALUE"""),"Bằng Nghề")</f>
        <v>Bằng Nghề</v>
      </c>
      <c r="Q124" s="22" t="str">
        <f>IFERROR(__xludf.DUMMYFUNCTION("""COMPUTED_VALUE"""),"Lái xe hạng C")</f>
        <v>Lái xe hạng C</v>
      </c>
      <c r="R124" s="24">
        <f>IFERROR(__xludf.DUMMYFUNCTION("""COMPUTED_VALUE"""),42135.0)</f>
        <v>42135</v>
      </c>
      <c r="S124" s="24">
        <f>IFERROR(__xludf.DUMMYFUNCTION("""COMPUTED_VALUE"""),42135.0)</f>
        <v>42135</v>
      </c>
      <c r="T124" s="22" t="str">
        <f>IFERROR(__xludf.DUMMYFUNCTION("""COMPUTED_VALUE"""),"Chính thức")</f>
        <v>Chính thức</v>
      </c>
      <c r="U124" s="22"/>
      <c r="V124" s="22" t="str">
        <f>IFERROR(__xludf.DUMMYFUNCTION("""COMPUTED_VALUE"""),"Chính thức")</f>
        <v>Chính thức</v>
      </c>
      <c r="W124" s="22" t="str">
        <f>IFERROR(__xludf.DUMMYFUNCTION("""COMPUTED_VALUE"""),"10 năm 7 tháng")</f>
        <v>10 năm 7 tháng</v>
      </c>
      <c r="X124" s="22"/>
      <c r="Y124" s="22"/>
      <c r="Z124" s="22"/>
    </row>
    <row r="125">
      <c r="A125" s="22">
        <f>IFERROR(__xludf.DUMMYFUNCTION("""COMPUTED_VALUE"""),14.0)</f>
        <v>14</v>
      </c>
      <c r="B125" s="22" t="str">
        <f>IFERROR(__xludf.DUMMYFUNCTION("""COMPUTED_VALUE"""),"Văn phòng")</f>
        <v>Văn phòng</v>
      </c>
      <c r="C125" s="22" t="str">
        <f>IFERROR(__xludf.DUMMYFUNCTION("""COMPUTED_VALUE"""),"Phòng khai thác")</f>
        <v>Phòng khai thác</v>
      </c>
      <c r="D125" s="22" t="str">
        <f>IFERROR(__xludf.DUMMYFUNCTION("""COMPUTED_VALUE"""),"Tổ Đội xe máy")</f>
        <v>Tổ Đội xe máy</v>
      </c>
      <c r="E125" s="22" t="str">
        <f>IFERROR(__xludf.DUMMYFUNCTION("""COMPUTED_VALUE"""),"Nhân viên lái xe mỏ")</f>
        <v>Nhân viên lái xe mỏ</v>
      </c>
      <c r="F125" s="22" t="str">
        <f>IFERROR(__xludf.DUMMYFUNCTION("""COMPUTED_VALUE"""),"NV0325")</f>
        <v>NV0325</v>
      </c>
      <c r="G125" s="22"/>
      <c r="H125" s="22" t="str">
        <f>IFERROR(__xludf.DUMMYFUNCTION("""COMPUTED_VALUE"""),"Nguyễn Văn Thành")</f>
        <v>Nguyễn Văn Thành</v>
      </c>
      <c r="I125" s="22" t="str">
        <f>IFERROR(__xludf.DUMMYFUNCTION("""COMPUTED_VALUE"""),"Nam")</f>
        <v>Nam</v>
      </c>
      <c r="J125" s="24">
        <f>IFERROR(__xludf.DUMMYFUNCTION("""COMPUTED_VALUE"""),30722.0)</f>
        <v>30722</v>
      </c>
      <c r="K125" s="22" t="str">
        <f>IFERROR(__xludf.DUMMYFUNCTION("""COMPUTED_VALUE"""),"Thôn An Hảo, Xã Hoằng Trạch, Huyện Hoằng Hóa, Tỉnh Thanh Hóa")</f>
        <v>Thôn An Hảo, Xã Hoằng Trạch, Huyện Hoằng Hóa, Tỉnh Thanh Hóa</v>
      </c>
      <c r="L125" s="22" t="str">
        <f>IFERROR(__xludf.DUMMYFUNCTION("""COMPUTED_VALUE"""),"0984686129")</f>
        <v>0984686129</v>
      </c>
      <c r="M125" s="22" t="str">
        <f>IFERROR(__xludf.DUMMYFUNCTION("""COMPUTED_VALUE"""),"038084041404")</f>
        <v>038084041404</v>
      </c>
      <c r="N125" s="25">
        <f>IFERROR(__xludf.DUMMYFUNCTION("""COMPUTED_VALUE"""),44419.0)</f>
        <v>44419</v>
      </c>
      <c r="O125" s="22" t="str">
        <f>IFERROR(__xludf.DUMMYFUNCTION("""COMPUTED_VALUE"""),"Cục Cảnh sát QLHC về TTXH")</f>
        <v>Cục Cảnh sát QLHC về TTXH</v>
      </c>
      <c r="P125" s="22" t="str">
        <f>IFERROR(__xludf.DUMMYFUNCTION("""COMPUTED_VALUE"""),"Bằng Nghề")</f>
        <v>Bằng Nghề</v>
      </c>
      <c r="Q125" s="22" t="str">
        <f>IFERROR(__xludf.DUMMYFUNCTION("""COMPUTED_VALUE"""),"Lái xe hạng C")</f>
        <v>Lái xe hạng C</v>
      </c>
      <c r="R125" s="24">
        <f>IFERROR(__xludf.DUMMYFUNCTION("""COMPUTED_VALUE"""),39052.0)</f>
        <v>39052</v>
      </c>
      <c r="S125" s="24">
        <f>IFERROR(__xludf.DUMMYFUNCTION("""COMPUTED_VALUE"""),39052.0)</f>
        <v>39052</v>
      </c>
      <c r="T125" s="22" t="str">
        <f>IFERROR(__xludf.DUMMYFUNCTION("""COMPUTED_VALUE"""),"Chính thức")</f>
        <v>Chính thức</v>
      </c>
      <c r="U125" s="22"/>
      <c r="V125" s="22" t="str">
        <f>IFERROR(__xludf.DUMMYFUNCTION("""COMPUTED_VALUE"""),"Chính thức")</f>
        <v>Chính thức</v>
      </c>
      <c r="W125" s="22" t="str">
        <f>IFERROR(__xludf.DUMMYFUNCTION("""COMPUTED_VALUE"""),"19 năm 0 tháng")</f>
        <v>19 năm 0 tháng</v>
      </c>
      <c r="X125" s="22"/>
      <c r="Y125" s="22"/>
      <c r="Z125" s="22"/>
    </row>
    <row r="126">
      <c r="A126" s="22">
        <f>IFERROR(__xludf.DUMMYFUNCTION("""COMPUTED_VALUE"""),15.0)</f>
        <v>15</v>
      </c>
      <c r="B126" s="22" t="str">
        <f>IFERROR(__xludf.DUMMYFUNCTION("""COMPUTED_VALUE"""),"Văn phòng")</f>
        <v>Văn phòng</v>
      </c>
      <c r="C126" s="22" t="str">
        <f>IFERROR(__xludf.DUMMYFUNCTION("""COMPUTED_VALUE"""),"Phòng khai thác")</f>
        <v>Phòng khai thác</v>
      </c>
      <c r="D126" s="22" t="str">
        <f>IFERROR(__xludf.DUMMYFUNCTION("""COMPUTED_VALUE"""),"Tổ Đội xe máy")</f>
        <v>Tổ Đội xe máy</v>
      </c>
      <c r="E126" s="22" t="str">
        <f>IFERROR(__xludf.DUMMYFUNCTION("""COMPUTED_VALUE"""),"Nhân viên lái xe mỏ")</f>
        <v>Nhân viên lái xe mỏ</v>
      </c>
      <c r="F126" s="22" t="str">
        <f>IFERROR(__xludf.DUMMYFUNCTION("""COMPUTED_VALUE"""),"NV0335")</f>
        <v>NV0335</v>
      </c>
      <c r="G126" s="22"/>
      <c r="H126" s="22" t="str">
        <f>IFERROR(__xludf.DUMMYFUNCTION("""COMPUTED_VALUE"""),"Lương Xuân Thăng")</f>
        <v>Lương Xuân Thăng</v>
      </c>
      <c r="I126" s="22" t="str">
        <f>IFERROR(__xludf.DUMMYFUNCTION("""COMPUTED_VALUE"""),"Nam")</f>
        <v>Nam</v>
      </c>
      <c r="J126" s="24">
        <f>IFERROR(__xludf.DUMMYFUNCTION("""COMPUTED_VALUE"""),26733.0)</f>
        <v>26733</v>
      </c>
      <c r="K126" s="22" t="str">
        <f>IFERROR(__xludf.DUMMYFUNCTION("""COMPUTED_VALUE"""),"Hoằng Thành - Hoằng Hóa - Thanh Hóa")</f>
        <v>Hoằng Thành - Hoằng Hóa - Thanh Hóa</v>
      </c>
      <c r="L126" s="22" t="str">
        <f>IFERROR(__xludf.DUMMYFUNCTION("""COMPUTED_VALUE"""),"0375693781")</f>
        <v>0375693781</v>
      </c>
      <c r="M126" s="22" t="str">
        <f>IFERROR(__xludf.DUMMYFUNCTION("""COMPUTED_VALUE"""),"038073003561")</f>
        <v>038073003561</v>
      </c>
      <c r="N126" s="25">
        <f>IFERROR(__xludf.DUMMYFUNCTION("""COMPUTED_VALUE"""),45020.0)</f>
        <v>45020</v>
      </c>
      <c r="O126" s="22" t="str">
        <f>IFERROR(__xludf.DUMMYFUNCTION("""COMPUTED_VALUE"""),"Cục Cảnh sát QLHC về TTXH")</f>
        <v>Cục Cảnh sát QLHC về TTXH</v>
      </c>
      <c r="P126" s="22" t="str">
        <f>IFERROR(__xludf.DUMMYFUNCTION("""COMPUTED_VALUE"""),"Bằng Nghề")</f>
        <v>Bằng Nghề</v>
      </c>
      <c r="Q126" s="22" t="str">
        <f>IFERROR(__xludf.DUMMYFUNCTION("""COMPUTED_VALUE"""),"Lái xe hạng C")</f>
        <v>Lái xe hạng C</v>
      </c>
      <c r="R126" s="24">
        <f>IFERROR(__xludf.DUMMYFUNCTION("""COMPUTED_VALUE"""),42520.0)</f>
        <v>42520</v>
      </c>
      <c r="S126" s="24">
        <f>IFERROR(__xludf.DUMMYFUNCTION("""COMPUTED_VALUE"""),42520.0)</f>
        <v>42520</v>
      </c>
      <c r="T126" s="22" t="str">
        <f>IFERROR(__xludf.DUMMYFUNCTION("""COMPUTED_VALUE"""),"Chính thức")</f>
        <v>Chính thức</v>
      </c>
      <c r="U126" s="22"/>
      <c r="V126" s="22" t="str">
        <f>IFERROR(__xludf.DUMMYFUNCTION("""COMPUTED_VALUE"""),"Chính thức")</f>
        <v>Chính thức</v>
      </c>
      <c r="W126" s="22" t="str">
        <f>IFERROR(__xludf.DUMMYFUNCTION("""COMPUTED_VALUE"""),"9 năm 7 tháng")</f>
        <v>9 năm 7 tháng</v>
      </c>
      <c r="X126" s="22"/>
      <c r="Y126" s="22"/>
      <c r="Z126" s="22"/>
    </row>
    <row r="127">
      <c r="A127" s="22">
        <f>IFERROR(__xludf.DUMMYFUNCTION("""COMPUTED_VALUE"""),16.0)</f>
        <v>16</v>
      </c>
      <c r="B127" s="22" t="str">
        <f>IFERROR(__xludf.DUMMYFUNCTION("""COMPUTED_VALUE"""),"Văn phòng")</f>
        <v>Văn phòng</v>
      </c>
      <c r="C127" s="22" t="str">
        <f>IFERROR(__xludf.DUMMYFUNCTION("""COMPUTED_VALUE"""),"Phòng khai thác")</f>
        <v>Phòng khai thác</v>
      </c>
      <c r="D127" s="22" t="str">
        <f>IFERROR(__xludf.DUMMYFUNCTION("""COMPUTED_VALUE"""),"Tổ Đội xe máy")</f>
        <v>Tổ Đội xe máy</v>
      </c>
      <c r="E127" s="22" t="str">
        <f>IFERROR(__xludf.DUMMYFUNCTION("""COMPUTED_VALUE"""),"Nhân viên lái xe mỏ")</f>
        <v>Nhân viên lái xe mỏ</v>
      </c>
      <c r="F127" s="22" t="str">
        <f>IFERROR(__xludf.DUMMYFUNCTION("""COMPUTED_VALUE"""),"NV2509")</f>
        <v>NV2509</v>
      </c>
      <c r="G127" s="22"/>
      <c r="H127" s="22" t="str">
        <f>IFERROR(__xludf.DUMMYFUNCTION("""COMPUTED_VALUE"""),"Nguyễn Văn Hải")</f>
        <v>Nguyễn Văn Hải</v>
      </c>
      <c r="I127" s="22" t="str">
        <f>IFERROR(__xludf.DUMMYFUNCTION("""COMPUTED_VALUE"""),"Nam")</f>
        <v>Nam</v>
      </c>
      <c r="J127" s="24">
        <f>IFERROR(__xludf.DUMMYFUNCTION("""COMPUTED_VALUE"""),29952.0)</f>
        <v>29952</v>
      </c>
      <c r="K127" s="22" t="str">
        <f>IFERROR(__xludf.DUMMYFUNCTION("""COMPUTED_VALUE"""),"Thành Công - Quảng Thành - Thành Phố Thanh Hóa")</f>
        <v>Thành Công - Quảng Thành - Thành Phố Thanh Hóa</v>
      </c>
      <c r="L127" s="22" t="str">
        <f>IFERROR(__xludf.DUMMYFUNCTION("""COMPUTED_VALUE"""),"0908518823")</f>
        <v>0908518823</v>
      </c>
      <c r="M127" s="22" t="str">
        <f>IFERROR(__xludf.DUMMYFUNCTION("""COMPUTED_VALUE"""),"038082031379")</f>
        <v>038082031379</v>
      </c>
      <c r="N127" s="25">
        <f>IFERROR(__xludf.DUMMYFUNCTION("""COMPUTED_VALUE"""),44453.0)</f>
        <v>44453</v>
      </c>
      <c r="O127" s="22" t="str">
        <f>IFERROR(__xludf.DUMMYFUNCTION("""COMPUTED_VALUE"""),"Cục Cảnh sát QLHC về TTXH")</f>
        <v>Cục Cảnh sát QLHC về TTXH</v>
      </c>
      <c r="P127" s="22" t="str">
        <f>IFERROR(__xludf.DUMMYFUNCTION("""COMPUTED_VALUE"""),"LĐPT")</f>
        <v>LĐPT</v>
      </c>
      <c r="Q127" s="22" t="str">
        <f>IFERROR(__xludf.DUMMYFUNCTION("""COMPUTED_VALUE"""),"Lao động phổ thông")</f>
        <v>Lao động phổ thông</v>
      </c>
      <c r="R127" s="22"/>
      <c r="S127" s="24">
        <f>IFERROR(__xludf.DUMMYFUNCTION("""COMPUTED_VALUE"""),43983.0)</f>
        <v>43983</v>
      </c>
      <c r="T127" s="22" t="str">
        <f>IFERROR(__xludf.DUMMYFUNCTION("""COMPUTED_VALUE"""),"Chính thức")</f>
        <v>Chính thức</v>
      </c>
      <c r="U127" s="22"/>
      <c r="V127" s="22" t="str">
        <f>IFERROR(__xludf.DUMMYFUNCTION("""COMPUTED_VALUE"""),"Chính thức")</f>
        <v>Chính thức</v>
      </c>
      <c r="W127" s="22" t="str">
        <f>IFERROR(__xludf.DUMMYFUNCTION("""COMPUTED_VALUE"""),"5 năm 6 tháng")</f>
        <v>5 năm 6 tháng</v>
      </c>
      <c r="X127" s="22"/>
      <c r="Y127" s="22"/>
      <c r="Z127" s="22"/>
    </row>
    <row r="128">
      <c r="A128" s="22">
        <f>IFERROR(__xludf.DUMMYFUNCTION("""COMPUTED_VALUE"""),17.0)</f>
        <v>17</v>
      </c>
      <c r="B128" s="22" t="str">
        <f>IFERROR(__xludf.DUMMYFUNCTION("""COMPUTED_VALUE"""),"Văn phòng")</f>
        <v>Văn phòng</v>
      </c>
      <c r="C128" s="22" t="str">
        <f>IFERROR(__xludf.DUMMYFUNCTION("""COMPUTED_VALUE"""),"Phòng khai thác")</f>
        <v>Phòng khai thác</v>
      </c>
      <c r="D128" s="22" t="str">
        <f>IFERROR(__xludf.DUMMYFUNCTION("""COMPUTED_VALUE"""),"Tổ Đội xe máy")</f>
        <v>Tổ Đội xe máy</v>
      </c>
      <c r="E128" s="22" t="str">
        <f>IFERROR(__xludf.DUMMYFUNCTION("""COMPUTED_VALUE"""),"Nhân viên lái xe mỏ")</f>
        <v>Nhân viên lái xe mỏ</v>
      </c>
      <c r="F128" s="22" t="str">
        <f>IFERROR(__xludf.DUMMYFUNCTION("""COMPUTED_VALUE"""),"NV1896")</f>
        <v>NV1896</v>
      </c>
      <c r="G128" s="22"/>
      <c r="H128" s="22" t="str">
        <f>IFERROR(__xludf.DUMMYFUNCTION("""COMPUTED_VALUE"""),"Nguyễn Xuân Chương")</f>
        <v>Nguyễn Xuân Chương</v>
      </c>
      <c r="I128" s="22" t="str">
        <f>IFERROR(__xludf.DUMMYFUNCTION("""COMPUTED_VALUE"""),"Nam")</f>
        <v>Nam</v>
      </c>
      <c r="J128" s="24">
        <f>IFERROR(__xludf.DUMMYFUNCTION("""COMPUTED_VALUE"""),31150.0)</f>
        <v>31150</v>
      </c>
      <c r="K128" s="22" t="str">
        <f>IFERROR(__xludf.DUMMYFUNCTION("""COMPUTED_VALUE"""),"Đội 4 - Hà Lâm - Hà Trung - Thanh Hóa")</f>
        <v>Đội 4 - Hà Lâm - Hà Trung - Thanh Hóa</v>
      </c>
      <c r="L128" s="22" t="str">
        <f>IFERROR(__xludf.DUMMYFUNCTION("""COMPUTED_VALUE"""),"0383575789")</f>
        <v>0383575789</v>
      </c>
      <c r="M128" s="22" t="str">
        <f>IFERROR(__xludf.DUMMYFUNCTION("""COMPUTED_VALUE"""),"038085029703")</f>
        <v>038085029703</v>
      </c>
      <c r="N128" s="25">
        <f>IFERROR(__xludf.DUMMYFUNCTION("""COMPUTED_VALUE"""),45733.0)</f>
        <v>45733</v>
      </c>
      <c r="O128" s="22" t="str">
        <f>IFERROR(__xludf.DUMMYFUNCTION("""COMPUTED_VALUE"""),"Bộ Công An")</f>
        <v>Bộ Công An</v>
      </c>
      <c r="P128" s="22" t="str">
        <f>IFERROR(__xludf.DUMMYFUNCTION("""COMPUTED_VALUE"""),"Bằng Nghề")</f>
        <v>Bằng Nghề</v>
      </c>
      <c r="Q128" s="22" t="str">
        <f>IFERROR(__xludf.DUMMYFUNCTION("""COMPUTED_VALUE"""),"Lái xe hạng C")</f>
        <v>Lái xe hạng C</v>
      </c>
      <c r="R128" s="24">
        <f>IFERROR(__xludf.DUMMYFUNCTION("""COMPUTED_VALUE"""),43358.0)</f>
        <v>43358</v>
      </c>
      <c r="S128" s="24">
        <f>IFERROR(__xludf.DUMMYFUNCTION("""COMPUTED_VALUE"""),43358.0)</f>
        <v>43358</v>
      </c>
      <c r="T128" s="22" t="str">
        <f>IFERROR(__xludf.DUMMYFUNCTION("""COMPUTED_VALUE"""),"Chính thức")</f>
        <v>Chính thức</v>
      </c>
      <c r="U128" s="22"/>
      <c r="V128" s="22" t="str">
        <f>IFERROR(__xludf.DUMMYFUNCTION("""COMPUTED_VALUE"""),"Chính thức")</f>
        <v>Chính thức</v>
      </c>
      <c r="W128" s="22" t="str">
        <f>IFERROR(__xludf.DUMMYFUNCTION("""COMPUTED_VALUE"""),"7 năm 3 tháng")</f>
        <v>7 năm 3 tháng</v>
      </c>
      <c r="X128" s="22"/>
      <c r="Y128" s="22"/>
      <c r="Z128" s="22"/>
    </row>
    <row r="129">
      <c r="A129" s="22">
        <f>IFERROR(__xludf.DUMMYFUNCTION("""COMPUTED_VALUE"""),18.0)</f>
        <v>18</v>
      </c>
      <c r="B129" s="22" t="str">
        <f>IFERROR(__xludf.DUMMYFUNCTION("""COMPUTED_VALUE"""),"Văn phòng")</f>
        <v>Văn phòng</v>
      </c>
      <c r="C129" s="22" t="str">
        <f>IFERROR(__xludf.DUMMYFUNCTION("""COMPUTED_VALUE"""),"Phòng khai thác")</f>
        <v>Phòng khai thác</v>
      </c>
      <c r="D129" s="22" t="str">
        <f>IFERROR(__xludf.DUMMYFUNCTION("""COMPUTED_VALUE"""),"Tổ Đội xe máy")</f>
        <v>Tổ Đội xe máy</v>
      </c>
      <c r="E129" s="22" t="str">
        <f>IFERROR(__xludf.DUMMYFUNCTION("""COMPUTED_VALUE"""),"Nhân viên lái xe đầu kéo")</f>
        <v>Nhân viên lái xe đầu kéo</v>
      </c>
      <c r="F129" s="22" t="str">
        <f>IFERROR(__xludf.DUMMYFUNCTION("""COMPUTED_VALUE"""),"NV4509")</f>
        <v>NV4509</v>
      </c>
      <c r="G129" s="22">
        <f>IFERROR(__xludf.DUMMYFUNCTION("""COMPUTED_VALUE"""),692.0)</f>
        <v>692</v>
      </c>
      <c r="H129" s="22" t="str">
        <f>IFERROR(__xludf.DUMMYFUNCTION("""COMPUTED_VALUE"""),"Nguyễn Đình Dũng")</f>
        <v>Nguyễn Đình Dũng</v>
      </c>
      <c r="I129" s="22" t="str">
        <f>IFERROR(__xludf.DUMMYFUNCTION("""COMPUTED_VALUE"""),"Nam")</f>
        <v>Nam</v>
      </c>
      <c r="J129" s="24">
        <f>IFERROR(__xludf.DUMMYFUNCTION("""COMPUTED_VALUE"""),30072.0)</f>
        <v>30072</v>
      </c>
      <c r="K129" s="22" t="str">
        <f>IFERROR(__xludf.DUMMYFUNCTION("""COMPUTED_VALUE"""),"Thôn 1 xã Hoằng Thái, huyện Hoằng Hóa, tỉnh Thanh Hóa")</f>
        <v>Thôn 1 xã Hoằng Thái, huyện Hoằng Hóa, tỉnh Thanh Hóa</v>
      </c>
      <c r="L129" s="22" t="str">
        <f>IFERROR(__xludf.DUMMYFUNCTION("""COMPUTED_VALUE"""),"0918401507")</f>
        <v>0918401507</v>
      </c>
      <c r="M129" s="22" t="str">
        <f>IFERROR(__xludf.DUMMYFUNCTION("""COMPUTED_VALUE"""),"038082019478")</f>
        <v>038082019478</v>
      </c>
      <c r="N129" s="25">
        <f>IFERROR(__xludf.DUMMYFUNCTION("""COMPUTED_VALUE"""),44783.0)</f>
        <v>44783</v>
      </c>
      <c r="O129" s="22" t="str">
        <f>IFERROR(__xludf.DUMMYFUNCTION("""COMPUTED_VALUE"""),"Cục Cảnh sát QLHC về TTXH")</f>
        <v>Cục Cảnh sát QLHC về TTXH</v>
      </c>
      <c r="P129" s="22" t="str">
        <f>IFERROR(__xludf.DUMMYFUNCTION("""COMPUTED_VALUE"""),"Bằng nghề")</f>
        <v>Bằng nghề</v>
      </c>
      <c r="Q129" s="22" t="str">
        <f>IFERROR(__xludf.DUMMYFUNCTION("""COMPUTED_VALUE"""),"Lái xe hạng FC")</f>
        <v>Lái xe hạng FC</v>
      </c>
      <c r="R129" s="24">
        <f>IFERROR(__xludf.DUMMYFUNCTION("""COMPUTED_VALUE"""),44867.0)</f>
        <v>44867</v>
      </c>
      <c r="S129" s="24">
        <f>IFERROR(__xludf.DUMMYFUNCTION("""COMPUTED_VALUE"""),45078.0)</f>
        <v>45078</v>
      </c>
      <c r="T129" s="22" t="str">
        <f>IFERROR(__xludf.DUMMYFUNCTION("""COMPUTED_VALUE"""),"Chính thức")</f>
        <v>Chính thức</v>
      </c>
      <c r="U129" s="22"/>
      <c r="V129" s="22" t="str">
        <f>IFERROR(__xludf.DUMMYFUNCTION("""COMPUTED_VALUE"""),"Chính thức")</f>
        <v>Chính thức</v>
      </c>
      <c r="W129" s="22" t="str">
        <f>IFERROR(__xludf.DUMMYFUNCTION("""COMPUTED_VALUE"""),"3 năm 1 tháng")</f>
        <v>3 năm 1 tháng</v>
      </c>
      <c r="X129" s="22"/>
      <c r="Y129" s="22"/>
      <c r="Z129" s="22"/>
    </row>
    <row r="130">
      <c r="A130" s="22">
        <f>IFERROR(__xludf.DUMMYFUNCTION("""COMPUTED_VALUE"""),19.0)</f>
        <v>19</v>
      </c>
      <c r="B130" s="22" t="str">
        <f>IFERROR(__xludf.DUMMYFUNCTION("""COMPUTED_VALUE"""),"Văn phòng")</f>
        <v>Văn phòng</v>
      </c>
      <c r="C130" s="22" t="str">
        <f>IFERROR(__xludf.DUMMYFUNCTION("""COMPUTED_VALUE"""),"Phòng khai thác")</f>
        <v>Phòng khai thác</v>
      </c>
      <c r="D130" s="22" t="str">
        <f>IFERROR(__xludf.DUMMYFUNCTION("""COMPUTED_VALUE"""),"Tổ Đội xe máy")</f>
        <v>Tổ Đội xe máy</v>
      </c>
      <c r="E130" s="22" t="str">
        <f>IFERROR(__xludf.DUMMYFUNCTION("""COMPUTED_VALUE"""),"Nhân viên lái xe đầu kéo")</f>
        <v>Nhân viên lái xe đầu kéo</v>
      </c>
      <c r="F130" s="22" t="str">
        <f>IFERROR(__xludf.DUMMYFUNCTION("""COMPUTED_VALUE"""),"NV4890")</f>
        <v>NV4890</v>
      </c>
      <c r="G130" s="22">
        <f>IFERROR(__xludf.DUMMYFUNCTION("""COMPUTED_VALUE"""),827.0)</f>
        <v>827</v>
      </c>
      <c r="H130" s="22" t="str">
        <f>IFERROR(__xludf.DUMMYFUNCTION("""COMPUTED_VALUE"""),"Đỗ Xuân Chinh")</f>
        <v>Đỗ Xuân Chinh</v>
      </c>
      <c r="I130" s="22" t="str">
        <f>IFERROR(__xludf.DUMMYFUNCTION("""COMPUTED_VALUE"""),"Nam")</f>
        <v>Nam</v>
      </c>
      <c r="J130" s="24">
        <f>IFERROR(__xludf.DUMMYFUNCTION("""COMPUTED_VALUE"""),31522.0)</f>
        <v>31522</v>
      </c>
      <c r="K130" s="22" t="str">
        <f>IFERROR(__xludf.DUMMYFUNCTION("""COMPUTED_VALUE"""),"Quảng Đức - Quảng Xương - Thanh Hóa")</f>
        <v>Quảng Đức - Quảng Xương - Thanh Hóa</v>
      </c>
      <c r="L130" s="22" t="str">
        <f>IFERROR(__xludf.DUMMYFUNCTION("""COMPUTED_VALUE"""),"0975807608")</f>
        <v>0975807608</v>
      </c>
      <c r="M130" s="22" t="str">
        <f>IFERROR(__xludf.DUMMYFUNCTION("""COMPUTED_VALUE"""),"038086002066")</f>
        <v>038086002066</v>
      </c>
      <c r="N130" s="25">
        <f>IFERROR(__xludf.DUMMYFUNCTION("""COMPUTED_VALUE"""),44515.0)</f>
        <v>44515</v>
      </c>
      <c r="O130" s="22" t="str">
        <f>IFERROR(__xludf.DUMMYFUNCTION("""COMPUTED_VALUE"""),"Cục Cảnh sát QLHC về TTXH")</f>
        <v>Cục Cảnh sát QLHC về TTXH</v>
      </c>
      <c r="P130" s="22" t="str">
        <f>IFERROR(__xludf.DUMMYFUNCTION("""COMPUTED_VALUE"""),"Bằng nghề")</f>
        <v>Bằng nghề</v>
      </c>
      <c r="Q130" s="22" t="str">
        <f>IFERROR(__xludf.DUMMYFUNCTION("""COMPUTED_VALUE"""),"Lái xe Bằng FC")</f>
        <v>Lái xe Bằng FC</v>
      </c>
      <c r="R130" s="24">
        <f>IFERROR(__xludf.DUMMYFUNCTION("""COMPUTED_VALUE"""),45079.0)</f>
        <v>45079</v>
      </c>
      <c r="S130" s="24">
        <f>IFERROR(__xludf.DUMMYFUNCTION("""COMPUTED_VALUE"""),45292.0)</f>
        <v>45292</v>
      </c>
      <c r="T130" s="22" t="str">
        <f>IFERROR(__xludf.DUMMYFUNCTION("""COMPUTED_VALUE"""),"Chính thức")</f>
        <v>Chính thức</v>
      </c>
      <c r="U130" s="22"/>
      <c r="V130" s="22" t="str">
        <f>IFERROR(__xludf.DUMMYFUNCTION("""COMPUTED_VALUE"""),"Chính thức")</f>
        <v>Chính thức</v>
      </c>
      <c r="W130" s="22" t="str">
        <f>IFERROR(__xludf.DUMMYFUNCTION("""COMPUTED_VALUE"""),"2 năm 6 tháng")</f>
        <v>2 năm 6 tháng</v>
      </c>
      <c r="X130" s="22"/>
      <c r="Y130" s="22"/>
      <c r="Z130" s="22"/>
    </row>
    <row r="131">
      <c r="A131" s="22">
        <f>IFERROR(__xludf.DUMMYFUNCTION("""COMPUTED_VALUE"""),20.0)</f>
        <v>20</v>
      </c>
      <c r="B131" s="22" t="str">
        <f>IFERROR(__xludf.DUMMYFUNCTION("""COMPUTED_VALUE"""),"Văn phòng")</f>
        <v>Văn phòng</v>
      </c>
      <c r="C131" s="22" t="str">
        <f>IFERROR(__xludf.DUMMYFUNCTION("""COMPUTED_VALUE"""),"Phòng khai thác")</f>
        <v>Phòng khai thác</v>
      </c>
      <c r="D131" s="22" t="str">
        <f>IFERROR(__xludf.DUMMYFUNCTION("""COMPUTED_VALUE"""),"Tổ Đội xe máy")</f>
        <v>Tổ Đội xe máy</v>
      </c>
      <c r="E131" s="22" t="str">
        <f>IFERROR(__xludf.DUMMYFUNCTION("""COMPUTED_VALUE"""),"Nhân viên lái xe mỏ")</f>
        <v>Nhân viên lái xe mỏ</v>
      </c>
      <c r="F131" s="22" t="str">
        <f>IFERROR(__xludf.DUMMYFUNCTION("""COMPUTED_VALUE"""),"NV5014")</f>
        <v>NV5014</v>
      </c>
      <c r="G131" s="22"/>
      <c r="H131" s="22" t="str">
        <f>IFERROR(__xludf.DUMMYFUNCTION("""COMPUTED_VALUE"""),"Nguyễn Đình Vũ")</f>
        <v>Nguyễn Đình Vũ</v>
      </c>
      <c r="I131" s="22" t="str">
        <f>IFERROR(__xludf.DUMMYFUNCTION("""COMPUTED_VALUE"""),"Nam")</f>
        <v>Nam</v>
      </c>
      <c r="J131" s="24">
        <f>IFERROR(__xludf.DUMMYFUNCTION("""COMPUTED_VALUE"""),34982.0)</f>
        <v>34982</v>
      </c>
      <c r="K131" s="22" t="str">
        <f>IFERROR(__xludf.DUMMYFUNCTION("""COMPUTED_VALUE"""),"Xã Tân Bình, Huyện Như Xuân, Thanh Hóa")</f>
        <v>Xã Tân Bình, Huyện Như Xuân, Thanh Hóa</v>
      </c>
      <c r="L131" s="22" t="str">
        <f>IFERROR(__xludf.DUMMYFUNCTION("""COMPUTED_VALUE"""),"0978483657")</f>
        <v>0978483657</v>
      </c>
      <c r="M131" s="22" t="str">
        <f>IFERROR(__xludf.DUMMYFUNCTION("""COMPUTED_VALUE"""),"038095022165")</f>
        <v>038095022165</v>
      </c>
      <c r="N131" s="25">
        <f>IFERROR(__xludf.DUMMYFUNCTION("""COMPUTED_VALUE"""),44536.0)</f>
        <v>44536</v>
      </c>
      <c r="O131" s="22" t="str">
        <f>IFERROR(__xludf.DUMMYFUNCTION("""COMPUTED_VALUE"""),"Cục Cảnh sát QLHC về TTXH")</f>
        <v>Cục Cảnh sát QLHC về TTXH</v>
      </c>
      <c r="P131" s="22" t="str">
        <f>IFERROR(__xludf.DUMMYFUNCTION("""COMPUTED_VALUE"""),"Bằng nghề")</f>
        <v>Bằng nghề</v>
      </c>
      <c r="Q131" s="22" t="str">
        <f>IFERROR(__xludf.DUMMYFUNCTION("""COMPUTED_VALUE"""),"Lái xe hạng C")</f>
        <v>Lái xe hạng C</v>
      </c>
      <c r="R131" s="24">
        <f>IFERROR(__xludf.DUMMYFUNCTION("""COMPUTED_VALUE"""),45349.0)</f>
        <v>45349</v>
      </c>
      <c r="S131" s="24">
        <f>IFERROR(__xludf.DUMMYFUNCTION("""COMPUTED_VALUE"""),45444.0)</f>
        <v>45444</v>
      </c>
      <c r="T131" s="22" t="str">
        <f>IFERROR(__xludf.DUMMYFUNCTION("""COMPUTED_VALUE"""),"Chính thức")</f>
        <v>Chính thức</v>
      </c>
      <c r="U131" s="22"/>
      <c r="V131" s="22" t="str">
        <f>IFERROR(__xludf.DUMMYFUNCTION("""COMPUTED_VALUE"""),"Chính thức")</f>
        <v>Chính thức</v>
      </c>
      <c r="W131" s="22" t="str">
        <f>IFERROR(__xludf.DUMMYFUNCTION("""COMPUTED_VALUE"""),"1 năm 10 tháng")</f>
        <v>1 năm 10 tháng</v>
      </c>
      <c r="X131" s="22"/>
      <c r="Y131" s="22"/>
      <c r="Z131" s="22"/>
    </row>
    <row r="132">
      <c r="A132" s="22">
        <f>IFERROR(__xludf.DUMMYFUNCTION("""COMPUTED_VALUE"""),21.0)</f>
        <v>21</v>
      </c>
      <c r="B132" s="22" t="str">
        <f>IFERROR(__xludf.DUMMYFUNCTION("""COMPUTED_VALUE"""),"Văn phòng")</f>
        <v>Văn phòng</v>
      </c>
      <c r="C132" s="22" t="str">
        <f>IFERROR(__xludf.DUMMYFUNCTION("""COMPUTED_VALUE"""),"Phòng khai thác")</f>
        <v>Phòng khai thác</v>
      </c>
      <c r="D132" s="22" t="str">
        <f>IFERROR(__xludf.DUMMYFUNCTION("""COMPUTED_VALUE"""),"Tổ Đội xe máy")</f>
        <v>Tổ Đội xe máy</v>
      </c>
      <c r="E132" s="22" t="str">
        <f>IFERROR(__xludf.DUMMYFUNCTION("""COMPUTED_VALUE"""),"Nhân viên lái xe mỏ")</f>
        <v>Nhân viên lái xe mỏ</v>
      </c>
      <c r="F132" s="22" t="str">
        <f>IFERROR(__xludf.DUMMYFUNCTION("""COMPUTED_VALUE"""),"NV5019")</f>
        <v>NV5019</v>
      </c>
      <c r="G132" s="22"/>
      <c r="H132" s="22" t="str">
        <f>IFERROR(__xludf.DUMMYFUNCTION("""COMPUTED_VALUE"""),"Nguyễn Xuân Thủy")</f>
        <v>Nguyễn Xuân Thủy</v>
      </c>
      <c r="I132" s="22" t="str">
        <f>IFERROR(__xludf.DUMMYFUNCTION("""COMPUTED_VALUE"""),"Nam")</f>
        <v>Nam</v>
      </c>
      <c r="J132" s="24">
        <f>IFERROR(__xludf.DUMMYFUNCTION("""COMPUTED_VALUE"""),31695.0)</f>
        <v>31695</v>
      </c>
      <c r="K132" s="22" t="str">
        <f>IFERROR(__xludf.DUMMYFUNCTION("""COMPUTED_VALUE"""),"Xã Tân Bình, Huyện Như Xuân, Thanh Hóa")</f>
        <v>Xã Tân Bình, Huyện Như Xuân, Thanh Hóa</v>
      </c>
      <c r="L132" s="22" t="str">
        <f>IFERROR(__xludf.DUMMYFUNCTION("""COMPUTED_VALUE"""),"0398439385")</f>
        <v>0398439385</v>
      </c>
      <c r="M132" s="22" t="str">
        <f>IFERROR(__xludf.DUMMYFUNCTION("""COMPUTED_VALUE"""),"038086015413")</f>
        <v>038086015413</v>
      </c>
      <c r="N132" s="25">
        <f>IFERROR(__xludf.DUMMYFUNCTION("""COMPUTED_VALUE"""),44389.0)</f>
        <v>44389</v>
      </c>
      <c r="O132" s="22" t="str">
        <f>IFERROR(__xludf.DUMMYFUNCTION("""COMPUTED_VALUE"""),"Cục Cảnh sát QLHC về TTXH")</f>
        <v>Cục Cảnh sát QLHC về TTXH</v>
      </c>
      <c r="P132" s="22" t="str">
        <f>IFERROR(__xludf.DUMMYFUNCTION("""COMPUTED_VALUE"""),"Bằng nghề")</f>
        <v>Bằng nghề</v>
      </c>
      <c r="Q132" s="22" t="str">
        <f>IFERROR(__xludf.DUMMYFUNCTION("""COMPUTED_VALUE"""),"Lái xe hạng C")</f>
        <v>Lái xe hạng C</v>
      </c>
      <c r="R132" s="24">
        <f>IFERROR(__xludf.DUMMYFUNCTION("""COMPUTED_VALUE"""),45350.0)</f>
        <v>45350</v>
      </c>
      <c r="S132" s="24">
        <f>IFERROR(__xludf.DUMMYFUNCTION("""COMPUTED_VALUE"""),45444.0)</f>
        <v>45444</v>
      </c>
      <c r="T132" s="22" t="str">
        <f>IFERROR(__xludf.DUMMYFUNCTION("""COMPUTED_VALUE"""),"Chính thức")</f>
        <v>Chính thức</v>
      </c>
      <c r="U132" s="22"/>
      <c r="V132" s="22" t="str">
        <f>IFERROR(__xludf.DUMMYFUNCTION("""COMPUTED_VALUE"""),"Chính thức")</f>
        <v>Chính thức</v>
      </c>
      <c r="W132" s="22" t="str">
        <f>IFERROR(__xludf.DUMMYFUNCTION("""COMPUTED_VALUE"""),"1 năm 10 tháng")</f>
        <v>1 năm 10 tháng</v>
      </c>
      <c r="X132" s="22"/>
      <c r="Y132" s="22"/>
      <c r="Z132" s="22"/>
    </row>
    <row r="133">
      <c r="A133" s="22">
        <f>IFERROR(__xludf.DUMMYFUNCTION("""COMPUTED_VALUE"""),22.0)</f>
        <v>22</v>
      </c>
      <c r="B133" s="22" t="str">
        <f>IFERROR(__xludf.DUMMYFUNCTION("""COMPUTED_VALUE"""),"Văn phòng")</f>
        <v>Văn phòng</v>
      </c>
      <c r="C133" s="22" t="str">
        <f>IFERROR(__xludf.DUMMYFUNCTION("""COMPUTED_VALUE"""),"Phòng khai thác")</f>
        <v>Phòng khai thác</v>
      </c>
      <c r="D133" s="22" t="str">
        <f>IFERROR(__xludf.DUMMYFUNCTION("""COMPUTED_VALUE"""),"Tổ Đội xe máy")</f>
        <v>Tổ Đội xe máy</v>
      </c>
      <c r="E133" s="22" t="str">
        <f>IFERROR(__xludf.DUMMYFUNCTION("""COMPUTED_VALUE"""),"Nhân viên lái xe đầu kéo")</f>
        <v>Nhân viên lái xe đầu kéo</v>
      </c>
      <c r="F133" s="22" t="str">
        <f>IFERROR(__xludf.DUMMYFUNCTION("""COMPUTED_VALUE"""),"NV5273")</f>
        <v>NV5273</v>
      </c>
      <c r="G133" s="22">
        <f>IFERROR(__xludf.DUMMYFUNCTION("""COMPUTED_VALUE"""),734.0)</f>
        <v>734</v>
      </c>
      <c r="H133" s="22" t="str">
        <f>IFERROR(__xludf.DUMMYFUNCTION("""COMPUTED_VALUE"""),"Lê Bá Cần")</f>
        <v>Lê Bá Cần</v>
      </c>
      <c r="I133" s="22" t="str">
        <f>IFERROR(__xludf.DUMMYFUNCTION("""COMPUTED_VALUE"""),"Nam")</f>
        <v>Nam</v>
      </c>
      <c r="J133" s="24">
        <f>IFERROR(__xludf.DUMMYFUNCTION("""COMPUTED_VALUE"""),29495.0)</f>
        <v>29495</v>
      </c>
      <c r="K133" s="22" t="str">
        <f>IFERROR(__xludf.DUMMYFUNCTION("""COMPUTED_VALUE"""),"Đông Hoàng, Đông Sơn, Thanh Hóa")</f>
        <v>Đông Hoàng, Đông Sơn, Thanh Hóa</v>
      </c>
      <c r="L133" s="22" t="str">
        <f>IFERROR(__xludf.DUMMYFUNCTION("""COMPUTED_VALUE"""),"0902231170")</f>
        <v>0902231170</v>
      </c>
      <c r="M133" s="22" t="str">
        <f>IFERROR(__xludf.DUMMYFUNCTION("""COMPUTED_VALUE"""),"038080028456")</f>
        <v>038080028456</v>
      </c>
      <c r="N133" s="25">
        <f>IFERROR(__xludf.DUMMYFUNCTION("""COMPUTED_VALUE"""),44675.0)</f>
        <v>44675</v>
      </c>
      <c r="O133" s="22" t="str">
        <f>IFERROR(__xludf.DUMMYFUNCTION("""COMPUTED_VALUE"""),"Cục Cảnh sát QLHC về TTXH")</f>
        <v>Cục Cảnh sát QLHC về TTXH</v>
      </c>
      <c r="P133" s="22" t="str">
        <f>IFERROR(__xludf.DUMMYFUNCTION("""COMPUTED_VALUE"""),"Bằng nghề")</f>
        <v>Bằng nghề</v>
      </c>
      <c r="Q133" s="22" t="str">
        <f>IFERROR(__xludf.DUMMYFUNCTION("""COMPUTED_VALUE"""),"Lái xe Hạng FC")</f>
        <v>Lái xe Hạng FC</v>
      </c>
      <c r="R133" s="24">
        <f>IFERROR(__xludf.DUMMYFUNCTION("""COMPUTED_VALUE"""),45456.0)</f>
        <v>45456</v>
      </c>
      <c r="S133" s="24">
        <f>IFERROR(__xludf.DUMMYFUNCTION("""COMPUTED_VALUE"""),45536.0)</f>
        <v>45536</v>
      </c>
      <c r="T133" s="22" t="str">
        <f>IFERROR(__xludf.DUMMYFUNCTION("""COMPUTED_VALUE"""),"Chính thức")</f>
        <v>Chính thức</v>
      </c>
      <c r="U133" s="22"/>
      <c r="V133" s="22" t="str">
        <f>IFERROR(__xludf.DUMMYFUNCTION("""COMPUTED_VALUE"""),"Chính thức")</f>
        <v>Chính thức</v>
      </c>
      <c r="W133" s="22" t="str">
        <f>IFERROR(__xludf.DUMMYFUNCTION("""COMPUTED_VALUE"""),"1 năm 6 tháng")</f>
        <v>1 năm 6 tháng</v>
      </c>
      <c r="X133" s="22"/>
      <c r="Y133" s="22"/>
      <c r="Z133" s="22"/>
    </row>
    <row r="134">
      <c r="A134" s="22">
        <f>IFERROR(__xludf.DUMMYFUNCTION("""COMPUTED_VALUE"""),23.0)</f>
        <v>23</v>
      </c>
      <c r="B134" s="22" t="str">
        <f>IFERROR(__xludf.DUMMYFUNCTION("""COMPUTED_VALUE"""),"Văn phòng")</f>
        <v>Văn phòng</v>
      </c>
      <c r="C134" s="22" t="str">
        <f>IFERROR(__xludf.DUMMYFUNCTION("""COMPUTED_VALUE"""),"Phòng khai thác")</f>
        <v>Phòng khai thác</v>
      </c>
      <c r="D134" s="22" t="str">
        <f>IFERROR(__xludf.DUMMYFUNCTION("""COMPUTED_VALUE"""),"Tổ Đội xe máy")</f>
        <v>Tổ Đội xe máy</v>
      </c>
      <c r="E134" s="22" t="str">
        <f>IFERROR(__xludf.DUMMYFUNCTION("""COMPUTED_VALUE"""),"Nhân viên lái xe mỏ")</f>
        <v>Nhân viên lái xe mỏ</v>
      </c>
      <c r="F134" s="22" t="str">
        <f>IFERROR(__xludf.DUMMYFUNCTION("""COMPUTED_VALUE"""),"NV3953")</f>
        <v>NV3953</v>
      </c>
      <c r="G134" s="22">
        <f>IFERROR(__xludf.DUMMYFUNCTION("""COMPUTED_VALUE"""),854.0)</f>
        <v>854</v>
      </c>
      <c r="H134" s="22" t="str">
        <f>IFERROR(__xludf.DUMMYFUNCTION("""COMPUTED_VALUE"""),"Trịnh Văn Viên")</f>
        <v>Trịnh Văn Viên</v>
      </c>
      <c r="I134" s="22" t="str">
        <f>IFERROR(__xludf.DUMMYFUNCTION("""COMPUTED_VALUE"""),"Nam")</f>
        <v>Nam</v>
      </c>
      <c r="J134" s="24">
        <f>IFERROR(__xludf.DUMMYFUNCTION("""COMPUTED_VALUE"""),30112.0)</f>
        <v>30112</v>
      </c>
      <c r="K134" s="22" t="str">
        <f>IFERROR(__xludf.DUMMYFUNCTION("""COMPUTED_VALUE"""),"Thôn Hàm Ninh - Xã Hoằng Lộc - Tỉnh Thanh Hóa")</f>
        <v>Thôn Hàm Ninh - Xã Hoằng Lộc - Tỉnh Thanh Hóa</v>
      </c>
      <c r="L134" s="22" t="str">
        <f>IFERROR(__xludf.DUMMYFUNCTION("""COMPUTED_VALUE"""),"0979637345")</f>
        <v>0979637345</v>
      </c>
      <c r="M134" s="22" t="str">
        <f>IFERROR(__xludf.DUMMYFUNCTION("""COMPUTED_VALUE"""),"038082025150")</f>
        <v>038082025150</v>
      </c>
      <c r="N134" s="25">
        <f>IFERROR(__xludf.DUMMYFUNCTION("""COMPUTED_VALUE"""),44410.0)</f>
        <v>44410</v>
      </c>
      <c r="O134" s="22" t="str">
        <f>IFERROR(__xludf.DUMMYFUNCTION("""COMPUTED_VALUE"""),"Cục Cảnh sát QLHC về TTXH")</f>
        <v>Cục Cảnh sát QLHC về TTXH</v>
      </c>
      <c r="P134" s="22" t="str">
        <f>IFERROR(__xludf.DUMMYFUNCTION("""COMPUTED_VALUE"""),"Bằng nghề")</f>
        <v>Bằng nghề</v>
      </c>
      <c r="Q134" s="22" t="str">
        <f>IFERROR(__xludf.DUMMYFUNCTION("""COMPUTED_VALUE"""),"Lái xe hạng FC")</f>
        <v>Lái xe hạng FC</v>
      </c>
      <c r="R134" s="24">
        <f>IFERROR(__xludf.DUMMYFUNCTION("""COMPUTED_VALUE"""),45708.0)</f>
        <v>45708</v>
      </c>
      <c r="S134" s="24">
        <f>IFERROR(__xludf.DUMMYFUNCTION("""COMPUTED_VALUE"""),45708.0)</f>
        <v>45708</v>
      </c>
      <c r="T134" s="22" t="str">
        <f>IFERROR(__xludf.DUMMYFUNCTION("""COMPUTED_VALUE"""),"Chính thức")</f>
        <v>Chính thức</v>
      </c>
      <c r="U134" s="22"/>
      <c r="V134" s="22" t="str">
        <f>IFERROR(__xludf.DUMMYFUNCTION("""COMPUTED_VALUE"""),"Chính thức")</f>
        <v>Chính thức</v>
      </c>
      <c r="W134" s="22" t="str">
        <f>IFERROR(__xludf.DUMMYFUNCTION("""COMPUTED_VALUE"""),"0 năm 10 tháng")</f>
        <v>0 năm 10 tháng</v>
      </c>
      <c r="X134" s="22"/>
      <c r="Y134" s="22"/>
      <c r="Z134" s="22"/>
    </row>
    <row r="135">
      <c r="A135" s="22">
        <f>IFERROR(__xludf.DUMMYFUNCTION("""COMPUTED_VALUE"""),24.0)</f>
        <v>24</v>
      </c>
      <c r="B135" s="22" t="str">
        <f>IFERROR(__xludf.DUMMYFUNCTION("""COMPUTED_VALUE"""),"Văn phòng")</f>
        <v>Văn phòng</v>
      </c>
      <c r="C135" s="22" t="str">
        <f>IFERROR(__xludf.DUMMYFUNCTION("""COMPUTED_VALUE"""),"Phòng khai thác")</f>
        <v>Phòng khai thác</v>
      </c>
      <c r="D135" s="22" t="str">
        <f>IFERROR(__xludf.DUMMYFUNCTION("""COMPUTED_VALUE"""),"Tổ Đội xe máy")</f>
        <v>Tổ Đội xe máy</v>
      </c>
      <c r="E135" s="22" t="str">
        <f>IFERROR(__xludf.DUMMYFUNCTION("""COMPUTED_VALUE"""),"Nhân viên lái xe mỏ")</f>
        <v>Nhân viên lái xe mỏ</v>
      </c>
      <c r="F135" s="22" t="str">
        <f>IFERROR(__xludf.DUMMYFUNCTION("""COMPUTED_VALUE"""),"NV3530")</f>
        <v>NV3530</v>
      </c>
      <c r="G135" s="22">
        <f>IFERROR(__xludf.DUMMYFUNCTION("""COMPUTED_VALUE"""),864.0)</f>
        <v>864</v>
      </c>
      <c r="H135" s="22" t="str">
        <f>IFERROR(__xludf.DUMMYFUNCTION("""COMPUTED_VALUE"""),"Lê Trọng Tấn")</f>
        <v>Lê Trọng Tấn</v>
      </c>
      <c r="I135" s="22" t="str">
        <f>IFERROR(__xludf.DUMMYFUNCTION("""COMPUTED_VALUE"""),"Nam")</f>
        <v>Nam</v>
      </c>
      <c r="J135" s="24">
        <f>IFERROR(__xludf.DUMMYFUNCTION("""COMPUTED_VALUE"""),32164.0)</f>
        <v>32164</v>
      </c>
      <c r="K135" s="22" t="str">
        <f>IFERROR(__xludf.DUMMYFUNCTION("""COMPUTED_VALUE"""),"Thôn Thái Tây - Xã Lĩnh Toại - Tỉnh Thanh Hóa")</f>
        <v>Thôn Thái Tây - Xã Lĩnh Toại - Tỉnh Thanh Hóa</v>
      </c>
      <c r="L135" s="22" t="str">
        <f>IFERROR(__xludf.DUMMYFUNCTION("""COMPUTED_VALUE"""),"0964439890")</f>
        <v>0964439890</v>
      </c>
      <c r="M135" s="22" t="str">
        <f>IFERROR(__xludf.DUMMYFUNCTION("""COMPUTED_VALUE"""),"038088043166")</f>
        <v>038088043166</v>
      </c>
      <c r="N135" s="25">
        <f>IFERROR(__xludf.DUMMYFUNCTION("""COMPUTED_VALUE"""),45623.0)</f>
        <v>45623</v>
      </c>
      <c r="O135" s="22" t="str">
        <f>IFERROR(__xludf.DUMMYFUNCTION("""COMPUTED_VALUE"""),"Bộ Công An")</f>
        <v>Bộ Công An</v>
      </c>
      <c r="P135" s="22" t="str">
        <f>IFERROR(__xludf.DUMMYFUNCTION("""COMPUTED_VALUE"""),"Bằng nghề")</f>
        <v>Bằng nghề</v>
      </c>
      <c r="Q135" s="22" t="str">
        <f>IFERROR(__xludf.DUMMYFUNCTION("""COMPUTED_VALUE"""),"Lái máy xúc đào")</f>
        <v>Lái máy xúc đào</v>
      </c>
      <c r="R135" s="24">
        <f>IFERROR(__xludf.DUMMYFUNCTION("""COMPUTED_VALUE"""),45717.0)</f>
        <v>45717</v>
      </c>
      <c r="S135" s="24">
        <f>IFERROR(__xludf.DUMMYFUNCTION("""COMPUTED_VALUE"""),45717.0)</f>
        <v>45717</v>
      </c>
      <c r="T135" s="22" t="str">
        <f>IFERROR(__xludf.DUMMYFUNCTION("""COMPUTED_VALUE"""),"Chính thức")</f>
        <v>Chính thức</v>
      </c>
      <c r="U135" s="22"/>
      <c r="V135" s="22" t="str">
        <f>IFERROR(__xludf.DUMMYFUNCTION("""COMPUTED_VALUE"""),"Chính thức")</f>
        <v>Chính thức</v>
      </c>
      <c r="W135" s="22" t="str">
        <f>IFERROR(__xludf.DUMMYFUNCTION("""COMPUTED_VALUE"""),"0 năm 9 tháng")</f>
        <v>0 năm 9 tháng</v>
      </c>
      <c r="X135" s="22"/>
      <c r="Y135" s="22"/>
      <c r="Z135" s="22"/>
    </row>
    <row r="136">
      <c r="A136" s="22">
        <f>IFERROR(__xludf.DUMMYFUNCTION("""COMPUTED_VALUE"""),25.0)</f>
        <v>25</v>
      </c>
      <c r="B136" s="22" t="str">
        <f>IFERROR(__xludf.DUMMYFUNCTION("""COMPUTED_VALUE"""),"Văn phòng")</f>
        <v>Văn phòng</v>
      </c>
      <c r="C136" s="22" t="str">
        <f>IFERROR(__xludf.DUMMYFUNCTION("""COMPUTED_VALUE"""),"Phòng khai thác")</f>
        <v>Phòng khai thác</v>
      </c>
      <c r="D136" s="22" t="str">
        <f>IFERROR(__xludf.DUMMYFUNCTION("""COMPUTED_VALUE"""),"Tổ Đội xe máy")</f>
        <v>Tổ Đội xe máy</v>
      </c>
      <c r="E136" s="22" t="str">
        <f>IFERROR(__xludf.DUMMYFUNCTION("""COMPUTED_VALUE"""),"Nhân viên")</f>
        <v>Nhân viên</v>
      </c>
      <c r="F136" s="22" t="str">
        <f>IFERROR(__xludf.DUMMYFUNCTION("""COMPUTED_VALUE"""),"NV4515")</f>
        <v>NV4515</v>
      </c>
      <c r="G136" s="22">
        <f>IFERROR(__xludf.DUMMYFUNCTION("""COMPUTED_VALUE"""),737.0)</f>
        <v>737</v>
      </c>
      <c r="H136" s="22" t="str">
        <f>IFERROR(__xludf.DUMMYFUNCTION("""COMPUTED_VALUE"""),"Lê Hữu Phước")</f>
        <v>Lê Hữu Phước</v>
      </c>
      <c r="I136" s="22" t="str">
        <f>IFERROR(__xludf.DUMMYFUNCTION("""COMPUTED_VALUE"""),"Nam")</f>
        <v>Nam</v>
      </c>
      <c r="J136" s="24">
        <f>IFERROR(__xludf.DUMMYFUNCTION("""COMPUTED_VALUE"""),30619.0)</f>
        <v>30619</v>
      </c>
      <c r="K136" s="22" t="str">
        <f>IFERROR(__xludf.DUMMYFUNCTION("""COMPUTED_VALUE"""),"Tân lập, Xã Chiềng Khương, Huyện Sông Mã, Sơn La")</f>
        <v>Tân lập, Xã Chiềng Khương, Huyện Sông Mã, Sơn La</v>
      </c>
      <c r="L136" s="22" t="str">
        <f>IFERROR(__xludf.DUMMYFUNCTION("""COMPUTED_VALUE"""),"0373552962")</f>
        <v>0373552962</v>
      </c>
      <c r="M136" s="22" t="str">
        <f>IFERROR(__xludf.DUMMYFUNCTION("""COMPUTED_VALUE"""),"014083014795")</f>
        <v>014083014795</v>
      </c>
      <c r="N136" s="25">
        <f>IFERROR(__xludf.DUMMYFUNCTION("""COMPUTED_VALUE"""),44545.0)</f>
        <v>44545</v>
      </c>
      <c r="O136" s="22" t="str">
        <f>IFERROR(__xludf.DUMMYFUNCTION("""COMPUTED_VALUE"""),"Cục Cảnh sát QLHC về TTXH")</f>
        <v>Cục Cảnh sát QLHC về TTXH</v>
      </c>
      <c r="P136" s="22" t="str">
        <f>IFERROR(__xludf.DUMMYFUNCTION("""COMPUTED_VALUE"""),"THPT")</f>
        <v>THPT</v>
      </c>
      <c r="Q136" s="22" t="str">
        <f>IFERROR(__xludf.DUMMYFUNCTION("""COMPUTED_VALUE"""),"Lái xe hạng C")</f>
        <v>Lái xe hạng C</v>
      </c>
      <c r="R136" s="24">
        <f>IFERROR(__xludf.DUMMYFUNCTION("""COMPUTED_VALUE"""),44882.0)</f>
        <v>44882</v>
      </c>
      <c r="S136" s="24">
        <f>IFERROR(__xludf.DUMMYFUNCTION("""COMPUTED_VALUE"""),45078.0)</f>
        <v>45078</v>
      </c>
      <c r="T136" s="22" t="str">
        <f>IFERROR(__xludf.DUMMYFUNCTION("""COMPUTED_VALUE"""),"Chính thức")</f>
        <v>Chính thức</v>
      </c>
      <c r="U136" s="22"/>
      <c r="V136" s="22" t="str">
        <f>IFERROR(__xludf.DUMMYFUNCTION("""COMPUTED_VALUE"""),"Chính thức")</f>
        <v>Chính thức</v>
      </c>
      <c r="W136" s="22" t="str">
        <f>IFERROR(__xludf.DUMMYFUNCTION("""COMPUTED_VALUE"""),"3 năm 1 tháng")</f>
        <v>3 năm 1 tháng</v>
      </c>
      <c r="X136" s="22"/>
      <c r="Y136" s="22"/>
      <c r="Z136" s="22"/>
    </row>
    <row r="137">
      <c r="A137" s="22">
        <f>IFERROR(__xludf.DUMMYFUNCTION("""COMPUTED_VALUE"""),26.0)</f>
        <v>26</v>
      </c>
      <c r="B137" s="22" t="str">
        <f>IFERROR(__xludf.DUMMYFUNCTION("""COMPUTED_VALUE"""),"Văn phòng")</f>
        <v>Văn phòng</v>
      </c>
      <c r="C137" s="22" t="str">
        <f>IFERROR(__xludf.DUMMYFUNCTION("""COMPUTED_VALUE"""),"Phòng khai thác")</f>
        <v>Phòng khai thác</v>
      </c>
      <c r="D137" s="22" t="str">
        <f>IFERROR(__xludf.DUMMYFUNCTION("""COMPUTED_VALUE"""),"Tổ Đội xe máy")</f>
        <v>Tổ Đội xe máy</v>
      </c>
      <c r="E137" s="22" t="str">
        <f>IFERROR(__xludf.DUMMYFUNCTION("""COMPUTED_VALUE"""),"Nhân viên lái xe mỏ")</f>
        <v>Nhân viên lái xe mỏ</v>
      </c>
      <c r="F137" s="22" t="str">
        <f>IFERROR(__xludf.DUMMYFUNCTION("""COMPUTED_VALUE"""),"NV4586")</f>
        <v>NV4586</v>
      </c>
      <c r="G137" s="22">
        <f>IFERROR(__xludf.DUMMYFUNCTION("""COMPUTED_VALUE"""),825.0)</f>
        <v>825</v>
      </c>
      <c r="H137" s="22" t="str">
        <f>IFERROR(__xludf.DUMMYFUNCTION("""COMPUTED_VALUE"""),"Lê Quang Dũng")</f>
        <v>Lê Quang Dũng</v>
      </c>
      <c r="I137" s="22" t="str">
        <f>IFERROR(__xludf.DUMMYFUNCTION("""COMPUTED_VALUE"""),"Nam")</f>
        <v>Nam</v>
      </c>
      <c r="J137" s="24">
        <f>IFERROR(__xludf.DUMMYFUNCTION("""COMPUTED_VALUE"""),34439.0)</f>
        <v>34439</v>
      </c>
      <c r="K137" s="22" t="str">
        <f>IFERROR(__xludf.DUMMYFUNCTION("""COMPUTED_VALUE"""),"Xã Xuân Du - Huyện Như Thanh - Tỉnh Thanh Hóa")</f>
        <v>Xã Xuân Du - Huyện Như Thanh - Tỉnh Thanh Hóa</v>
      </c>
      <c r="L137" s="22" t="str">
        <f>IFERROR(__xludf.DUMMYFUNCTION("""COMPUTED_VALUE"""),"0966581235")</f>
        <v>0966581235</v>
      </c>
      <c r="M137" s="22" t="str">
        <f>IFERROR(__xludf.DUMMYFUNCTION("""COMPUTED_VALUE"""),"038094002015")</f>
        <v>038094002015</v>
      </c>
      <c r="N137" s="25">
        <f>IFERROR(__xludf.DUMMYFUNCTION("""COMPUTED_VALUE"""),44801.0)</f>
        <v>44801</v>
      </c>
      <c r="O137" s="22" t="str">
        <f>IFERROR(__xludf.DUMMYFUNCTION("""COMPUTED_VALUE"""),"Cục Cảnh sát QLHC về TTXH")</f>
        <v>Cục Cảnh sát QLHC về TTXH</v>
      </c>
      <c r="P137" s="22" t="str">
        <f>IFERROR(__xludf.DUMMYFUNCTION("""COMPUTED_VALUE"""),"Bằng nghề")</f>
        <v>Bằng nghề</v>
      </c>
      <c r="Q137" s="22" t="str">
        <f>IFERROR(__xludf.DUMMYFUNCTION("""COMPUTED_VALUE"""),"Lái xe hạng C")</f>
        <v>Lái xe hạng C</v>
      </c>
      <c r="R137" s="24">
        <f>IFERROR(__xludf.DUMMYFUNCTION("""COMPUTED_VALUE"""),45804.0)</f>
        <v>45804</v>
      </c>
      <c r="S137" s="24">
        <f>IFERROR(__xludf.DUMMYFUNCTION("""COMPUTED_VALUE"""),45804.0)</f>
        <v>45804</v>
      </c>
      <c r="T137" s="22" t="str">
        <f>IFERROR(__xludf.DUMMYFUNCTION("""COMPUTED_VALUE"""),"Chính thức")</f>
        <v>Chính thức</v>
      </c>
      <c r="U137" s="22"/>
      <c r="V137" s="22" t="str">
        <f>IFERROR(__xludf.DUMMYFUNCTION("""COMPUTED_VALUE"""),"Chính thức")</f>
        <v>Chính thức</v>
      </c>
      <c r="W137" s="22" t="str">
        <f>IFERROR(__xludf.DUMMYFUNCTION("""COMPUTED_VALUE"""),"0 năm 7 tháng")</f>
        <v>0 năm 7 tháng</v>
      </c>
      <c r="X137" s="22"/>
      <c r="Y137" s="22"/>
      <c r="Z137" s="22"/>
    </row>
    <row r="138">
      <c r="A138" s="22">
        <f>IFERROR(__xludf.DUMMYFUNCTION("""COMPUTED_VALUE"""),27.0)</f>
        <v>27</v>
      </c>
      <c r="B138" s="22" t="str">
        <f>IFERROR(__xludf.DUMMYFUNCTION("""COMPUTED_VALUE"""),"Văn phòng")</f>
        <v>Văn phòng</v>
      </c>
      <c r="C138" s="22" t="str">
        <f>IFERROR(__xludf.DUMMYFUNCTION("""COMPUTED_VALUE"""),"Phòng khai thác")</f>
        <v>Phòng khai thác</v>
      </c>
      <c r="D138" s="22" t="str">
        <f>IFERROR(__xludf.DUMMYFUNCTION("""COMPUTED_VALUE"""),"Tổ Đội xe máy")</f>
        <v>Tổ Đội xe máy</v>
      </c>
      <c r="E138" s="22" t="str">
        <f>IFERROR(__xludf.DUMMYFUNCTION("""COMPUTED_VALUE"""),"Nhân viên Lái máy xúc đào")</f>
        <v>Nhân viên Lái máy xúc đào</v>
      </c>
      <c r="F138" s="22" t="str">
        <f>IFERROR(__xludf.DUMMYFUNCTION("""COMPUTED_VALUE"""),"NV5549")</f>
        <v>NV5549</v>
      </c>
      <c r="G138" s="22">
        <f>IFERROR(__xludf.DUMMYFUNCTION("""COMPUTED_VALUE"""),1032.0)</f>
        <v>1032</v>
      </c>
      <c r="H138" s="22" t="str">
        <f>IFERROR(__xludf.DUMMYFUNCTION("""COMPUTED_VALUE"""),"Lê Duy Dũng")</f>
        <v>Lê Duy Dũng</v>
      </c>
      <c r="I138" s="22" t="str">
        <f>IFERROR(__xludf.DUMMYFUNCTION("""COMPUTED_VALUE"""),"Nam")</f>
        <v>Nam</v>
      </c>
      <c r="J138" s="24">
        <f>IFERROR(__xludf.DUMMYFUNCTION("""COMPUTED_VALUE"""),30472.0)</f>
        <v>30472</v>
      </c>
      <c r="K138" s="22" t="str">
        <f>IFERROR(__xludf.DUMMYFUNCTION("""COMPUTED_VALUE"""),"Phường Sầm Sơn - Tỉnh Thanh Hóa")</f>
        <v>Phường Sầm Sơn - Tỉnh Thanh Hóa</v>
      </c>
      <c r="L138" s="22" t="str">
        <f>IFERROR(__xludf.DUMMYFUNCTION("""COMPUTED_VALUE"""),"0949082622")</f>
        <v>0949082622</v>
      </c>
      <c r="M138" s="22" t="str">
        <f>IFERROR(__xludf.DUMMYFUNCTION("""COMPUTED_VALUE"""),"038083030393")</f>
        <v>038083030393</v>
      </c>
      <c r="N138" s="25">
        <f>IFERROR(__xludf.DUMMYFUNCTION("""COMPUTED_VALUE"""),44419.0)</f>
        <v>44419</v>
      </c>
      <c r="O138" s="22" t="str">
        <f>IFERROR(__xludf.DUMMYFUNCTION("""COMPUTED_VALUE"""),"Cục Cảnh sát QLHC về TTXH")</f>
        <v>Cục Cảnh sát QLHC về TTXH</v>
      </c>
      <c r="P138" s="22" t="str">
        <f>IFERROR(__xludf.DUMMYFUNCTION("""COMPUTED_VALUE"""),"Bằng nghề")</f>
        <v>Bằng nghề</v>
      </c>
      <c r="Q138" s="22" t="str">
        <f>IFERROR(__xludf.DUMMYFUNCTION("""COMPUTED_VALUE"""),"Lái máy xúc đào")</f>
        <v>Lái máy xúc đào</v>
      </c>
      <c r="R138" s="24">
        <f>IFERROR(__xludf.DUMMYFUNCTION("""COMPUTED_VALUE"""),45892.0)</f>
        <v>45892</v>
      </c>
      <c r="S138" s="24">
        <f>IFERROR(__xludf.DUMMYFUNCTION("""COMPUTED_VALUE"""),45892.0)</f>
        <v>45892</v>
      </c>
      <c r="T138" s="22" t="str">
        <f>IFERROR(__xludf.DUMMYFUNCTION("""COMPUTED_VALUE"""),"Chính thức")</f>
        <v>Chính thức</v>
      </c>
      <c r="U138" s="22"/>
      <c r="V138" s="22" t="str">
        <f>IFERROR(__xludf.DUMMYFUNCTION("""COMPUTED_VALUE"""),"Chính thức")</f>
        <v>Chính thức</v>
      </c>
      <c r="W138" s="22" t="str">
        <f>IFERROR(__xludf.DUMMYFUNCTION("""COMPUTED_VALUE"""),"0 năm 4 tháng")</f>
        <v>0 năm 4 tháng</v>
      </c>
      <c r="X138" s="22"/>
      <c r="Y138" s="22"/>
      <c r="Z138" s="22"/>
    </row>
    <row r="139">
      <c r="A139" s="22">
        <f>IFERROR(__xludf.DUMMYFUNCTION("""COMPUTED_VALUE"""),28.0)</f>
        <v>28</v>
      </c>
      <c r="B139" s="22" t="str">
        <f>IFERROR(__xludf.DUMMYFUNCTION("""COMPUTED_VALUE"""),"Văn phòng")</f>
        <v>Văn phòng</v>
      </c>
      <c r="C139" s="22" t="str">
        <f>IFERROR(__xludf.DUMMYFUNCTION("""COMPUTED_VALUE"""),"Phòng khai thác")</f>
        <v>Phòng khai thác</v>
      </c>
      <c r="D139" s="22" t="str">
        <f>IFERROR(__xludf.DUMMYFUNCTION("""COMPUTED_VALUE"""),"Tổ Đội xe máy")</f>
        <v>Tổ Đội xe máy</v>
      </c>
      <c r="E139" s="22" t="str">
        <f>IFERROR(__xludf.DUMMYFUNCTION("""COMPUTED_VALUE"""),"Nhân viên Lái máy xúc đào")</f>
        <v>Nhân viên Lái máy xúc đào</v>
      </c>
      <c r="F139" s="22" t="str">
        <f>IFERROR(__xludf.DUMMYFUNCTION("""COMPUTED_VALUE"""),"NV5667")</f>
        <v>NV5667</v>
      </c>
      <c r="G139" s="22">
        <f>IFERROR(__xludf.DUMMYFUNCTION("""COMPUTED_VALUE"""),1161.0)</f>
        <v>1161</v>
      </c>
      <c r="H139" s="22" t="str">
        <f>IFERROR(__xludf.DUMMYFUNCTION("""COMPUTED_VALUE"""),"Lê Văn Nam")</f>
        <v>Lê Văn Nam</v>
      </c>
      <c r="I139" s="22" t="str">
        <f>IFERROR(__xludf.DUMMYFUNCTION("""COMPUTED_VALUE"""),"Nam")</f>
        <v>Nam</v>
      </c>
      <c r="J139" s="24">
        <f>IFERROR(__xludf.DUMMYFUNCTION("""COMPUTED_VALUE"""),35585.0)</f>
        <v>35585</v>
      </c>
      <c r="K139" s="22" t="str">
        <f>IFERROR(__xludf.DUMMYFUNCTION("""COMPUTED_VALUE"""),"Thôn Phúc Thượng - Xã Thọ Long -
  Tỉnh Thanh Hóa")</f>
        <v>Thôn Phúc Thượng - Xã Thọ Long -
  Tỉnh Thanh Hóa</v>
      </c>
      <c r="L139" s="22" t="str">
        <f>IFERROR(__xludf.DUMMYFUNCTION("""COMPUTED_VALUE"""),"0338560695")</f>
        <v>0338560695</v>
      </c>
      <c r="M139" s="22" t="str">
        <f>IFERROR(__xludf.DUMMYFUNCTION("""COMPUTED_VALUE"""),"038097023444")</f>
        <v>038097023444</v>
      </c>
      <c r="N139" s="25">
        <f>IFERROR(__xludf.DUMMYFUNCTION("""COMPUTED_VALUE"""),44461.0)</f>
        <v>44461</v>
      </c>
      <c r="O139" s="22" t="str">
        <f>IFERROR(__xludf.DUMMYFUNCTION("""COMPUTED_VALUE"""),"Cục Cảnh sát QLHC về TTXH")</f>
        <v>Cục Cảnh sát QLHC về TTXH</v>
      </c>
      <c r="P139" s="22" t="str">
        <f>IFERROR(__xludf.DUMMYFUNCTION("""COMPUTED_VALUE"""),"Chứng chỉ nghề")</f>
        <v>Chứng chỉ nghề</v>
      </c>
      <c r="Q139" s="22" t="str">
        <f>IFERROR(__xludf.DUMMYFUNCTION("""COMPUTED_VALUE"""),"Lái xúc đào")</f>
        <v>Lái xúc đào</v>
      </c>
      <c r="R139" s="24">
        <f>IFERROR(__xludf.DUMMYFUNCTION("""COMPUTED_VALUE"""),45897.0)</f>
        <v>45897</v>
      </c>
      <c r="S139" s="24">
        <f>IFERROR(__xludf.DUMMYFUNCTION("""COMPUTED_VALUE"""),45928.0)</f>
        <v>45928</v>
      </c>
      <c r="T139" s="22" t="str">
        <f>IFERROR(__xludf.DUMMYFUNCTION("""COMPUTED_VALUE"""),"Chính thức")</f>
        <v>Chính thức</v>
      </c>
      <c r="U139" s="22"/>
      <c r="V139" s="22" t="str">
        <f>IFERROR(__xludf.DUMMYFUNCTION("""COMPUTED_VALUE"""),"Chính thức")</f>
        <v>Chính thức</v>
      </c>
      <c r="W139" s="22" t="str">
        <f>IFERROR(__xludf.DUMMYFUNCTION("""COMPUTED_VALUE"""),"0 năm 4 tháng")</f>
        <v>0 năm 4 tháng</v>
      </c>
      <c r="X139" s="22"/>
      <c r="Y139" s="22"/>
      <c r="Z139" s="22"/>
    </row>
    <row r="140">
      <c r="A140" s="22">
        <f>IFERROR(__xludf.DUMMYFUNCTION("""COMPUTED_VALUE"""),29.0)</f>
        <v>29</v>
      </c>
      <c r="B140" s="22" t="str">
        <f>IFERROR(__xludf.DUMMYFUNCTION("""COMPUTED_VALUE"""),"Văn phòng")</f>
        <v>Văn phòng</v>
      </c>
      <c r="C140" s="22" t="str">
        <f>IFERROR(__xludf.DUMMYFUNCTION("""COMPUTED_VALUE"""),"Phòng khai thác")</f>
        <v>Phòng khai thác</v>
      </c>
      <c r="D140" s="22" t="str">
        <f>IFERROR(__xludf.DUMMYFUNCTION("""COMPUTED_VALUE"""),"Tổ Đội xe máy")</f>
        <v>Tổ Đội xe máy</v>
      </c>
      <c r="E140" s="22" t="str">
        <f>IFERROR(__xludf.DUMMYFUNCTION("""COMPUTED_VALUE"""),"Lái xe")</f>
        <v>Lái xe</v>
      </c>
      <c r="F140" s="22" t="str">
        <f>IFERROR(__xludf.DUMMYFUNCTION("""COMPUTED_VALUE"""),"NV5675")</f>
        <v>NV5675</v>
      </c>
      <c r="G140" s="22">
        <f>IFERROR(__xludf.DUMMYFUNCTION("""COMPUTED_VALUE"""),1169.0)</f>
        <v>1169</v>
      </c>
      <c r="H140" s="22" t="str">
        <f>IFERROR(__xludf.DUMMYFUNCTION("""COMPUTED_VALUE"""),"Lê Văn Dương")</f>
        <v>Lê Văn Dương</v>
      </c>
      <c r="I140" s="22" t="str">
        <f>IFERROR(__xludf.DUMMYFUNCTION("""COMPUTED_VALUE"""),"Nam")</f>
        <v>Nam</v>
      </c>
      <c r="J140" s="24">
        <f>IFERROR(__xludf.DUMMYFUNCTION("""COMPUTED_VALUE"""),36432.0)</f>
        <v>36432</v>
      </c>
      <c r="K140" s="22" t="str">
        <f>IFERROR(__xludf.DUMMYFUNCTION("""COMPUTED_VALUE"""),"Thôn Hà Đồ - Xã Hoằng Lộc - Tỉnh Thanh Hóa")</f>
        <v>Thôn Hà Đồ - Xã Hoằng Lộc - Tỉnh Thanh Hóa</v>
      </c>
      <c r="L140" s="22" t="str">
        <f>IFERROR(__xludf.DUMMYFUNCTION("""COMPUTED_VALUE"""),"0375021789")</f>
        <v>0375021789</v>
      </c>
      <c r="M140" s="22" t="str">
        <f>IFERROR(__xludf.DUMMYFUNCTION("""COMPUTED_VALUE"""),"038099015107")</f>
        <v>038099015107</v>
      </c>
      <c r="N140" s="25">
        <f>IFERROR(__xludf.DUMMYFUNCTION("""COMPUTED_VALUE"""),45575.0)</f>
        <v>45575</v>
      </c>
      <c r="O140" s="22" t="str">
        <f>IFERROR(__xludf.DUMMYFUNCTION("""COMPUTED_VALUE"""),"Cục Cảnh sát QLHC về TTXH")</f>
        <v>Cục Cảnh sát QLHC về TTXH</v>
      </c>
      <c r="P140" s="22" t="str">
        <f>IFERROR(__xludf.DUMMYFUNCTION("""COMPUTED_VALUE"""),"Chứng chỉ nghề")</f>
        <v>Chứng chỉ nghề</v>
      </c>
      <c r="Q140" s="22" t="str">
        <f>IFERROR(__xludf.DUMMYFUNCTION("""COMPUTED_VALUE"""),"Lái xe ô tô tải hạng C")</f>
        <v>Lái xe ô tô tải hạng C</v>
      </c>
      <c r="R140" s="24">
        <f>IFERROR(__xludf.DUMMYFUNCTION("""COMPUTED_VALUE"""),45904.0)</f>
        <v>45904</v>
      </c>
      <c r="S140" s="24">
        <f>IFERROR(__xludf.DUMMYFUNCTION("""COMPUTED_VALUE"""),45934.0)</f>
        <v>45934</v>
      </c>
      <c r="T140" s="22" t="str">
        <f>IFERROR(__xludf.DUMMYFUNCTION("""COMPUTED_VALUE"""),"Chính thức")</f>
        <v>Chính thức</v>
      </c>
      <c r="U140" s="22"/>
      <c r="V140" s="22" t="str">
        <f>IFERROR(__xludf.DUMMYFUNCTION("""COMPUTED_VALUE"""),"Chính thức")</f>
        <v>Chính thức</v>
      </c>
      <c r="W140" s="22" t="str">
        <f>IFERROR(__xludf.DUMMYFUNCTION("""COMPUTED_VALUE"""),"0 năm 3 tháng")</f>
        <v>0 năm 3 tháng</v>
      </c>
      <c r="X140" s="22"/>
      <c r="Y140" s="22"/>
      <c r="Z140" s="22"/>
    </row>
    <row r="141">
      <c r="A141" s="22">
        <f>IFERROR(__xludf.DUMMYFUNCTION("""COMPUTED_VALUE"""),30.0)</f>
        <v>30</v>
      </c>
      <c r="B141" s="22" t="str">
        <f>IFERROR(__xludf.DUMMYFUNCTION("""COMPUTED_VALUE"""),"Văn phòng")</f>
        <v>Văn phòng</v>
      </c>
      <c r="C141" s="22" t="str">
        <f>IFERROR(__xludf.DUMMYFUNCTION("""COMPUTED_VALUE"""),"Phòng khai thác")</f>
        <v>Phòng khai thác</v>
      </c>
      <c r="D141" s="22" t="str">
        <f>IFERROR(__xludf.DUMMYFUNCTION("""COMPUTED_VALUE"""),"Tổ Đội xe máy")</f>
        <v>Tổ Đội xe máy</v>
      </c>
      <c r="E141" s="22" t="str">
        <f>IFERROR(__xludf.DUMMYFUNCTION("""COMPUTED_VALUE"""),"Nhân viên lái máy")</f>
        <v>Nhân viên lái máy</v>
      </c>
      <c r="F141" s="22" t="str">
        <f>IFERROR(__xludf.DUMMYFUNCTION("""COMPUTED_VALUE"""),"NV5779")</f>
        <v>NV5779</v>
      </c>
      <c r="G141" s="22">
        <f>IFERROR(__xludf.DUMMYFUNCTION("""COMPUTED_VALUE"""),1260.0)</f>
        <v>1260</v>
      </c>
      <c r="H141" s="22" t="str">
        <f>IFERROR(__xludf.DUMMYFUNCTION("""COMPUTED_VALUE"""),"Nguyễn Đình Tứ")</f>
        <v>Nguyễn Đình Tứ</v>
      </c>
      <c r="I141" s="22" t="str">
        <f>IFERROR(__xludf.DUMMYFUNCTION("""COMPUTED_VALUE"""),"Nam")</f>
        <v>Nam</v>
      </c>
      <c r="J141" s="24">
        <f>IFERROR(__xludf.DUMMYFUNCTION("""COMPUTED_VALUE"""),35984.0)</f>
        <v>35984</v>
      </c>
      <c r="K141" s="22" t="str">
        <f>IFERROR(__xludf.DUMMYFUNCTION("""COMPUTED_VALUE"""),"Thôn Kim Lâm Đồng - xã Quảng Ngọc - Tỉnh Thanh Hóa")</f>
        <v>Thôn Kim Lâm Đồng - xã Quảng Ngọc - Tỉnh Thanh Hóa</v>
      </c>
      <c r="L141" s="22" t="str">
        <f>IFERROR(__xludf.DUMMYFUNCTION("""COMPUTED_VALUE"""),"0358065494")</f>
        <v>0358065494</v>
      </c>
      <c r="M141" s="22" t="str">
        <f>IFERROR(__xludf.DUMMYFUNCTION("""COMPUTED_VALUE"""),"038098008926")</f>
        <v>038098008926</v>
      </c>
      <c r="N141" s="25">
        <f>IFERROR(__xludf.DUMMYFUNCTION("""COMPUTED_VALUE"""),45782.0)</f>
        <v>45782</v>
      </c>
      <c r="O141" s="22" t="str">
        <f>IFERROR(__xludf.DUMMYFUNCTION("""COMPUTED_VALUE"""),"Bộ công an")</f>
        <v>Bộ công an</v>
      </c>
      <c r="P141" s="22" t="str">
        <f>IFERROR(__xludf.DUMMYFUNCTION("""COMPUTED_VALUE"""),"Chứng chỉ nghề")</f>
        <v>Chứng chỉ nghề</v>
      </c>
      <c r="Q141" s="22" t="str">
        <f>IFERROR(__xludf.DUMMYFUNCTION("""COMPUTED_VALUE"""),"Vận hành máy CT ( xúc đào)")</f>
        <v>Vận hành máy CT ( xúc đào)</v>
      </c>
      <c r="R141" s="24">
        <f>IFERROR(__xludf.DUMMYFUNCTION("""COMPUTED_VALUE"""),45959.0)</f>
        <v>45959</v>
      </c>
      <c r="S141" s="24">
        <f>IFERROR(__xludf.DUMMYFUNCTION("""COMPUTED_VALUE"""),45990.0)</f>
        <v>45990</v>
      </c>
      <c r="T141" s="22" t="str">
        <f>IFERROR(__xludf.DUMMYFUNCTION("""COMPUTED_VALUE"""),"Chính thức")</f>
        <v>Chính thức</v>
      </c>
      <c r="U141" s="22"/>
      <c r="V141" s="22" t="str">
        <f>IFERROR(__xludf.DUMMYFUNCTION("""COMPUTED_VALUE"""),"Chính thức")</f>
        <v>Chính thức</v>
      </c>
      <c r="W141" s="22" t="str">
        <f>IFERROR(__xludf.DUMMYFUNCTION("""COMPUTED_VALUE"""),"0 năm 2 tháng")</f>
        <v>0 năm 2 tháng</v>
      </c>
      <c r="X141" s="22"/>
      <c r="Y141" s="22"/>
      <c r="Z141" s="22"/>
    </row>
    <row r="142">
      <c r="A142" s="22">
        <f>IFERROR(__xludf.DUMMYFUNCTION("""COMPUTED_VALUE"""),31.0)</f>
        <v>31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>
        <f>IFERROR(__xludf.DUMMYFUNCTION("""COMPUTED_VALUE"""),32.0)</f>
        <v>32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>
        <f>IFERROR(__xludf.DUMMYFUNCTION("""COMPUTED_VALUE"""),33.0)</f>
        <v>33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>
        <f>IFERROR(__xludf.DUMMYFUNCTION("""COMPUTED_VALUE"""),34.0)</f>
        <v>34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 t="str">
        <f>IFERROR(__xludf.DUMMYFUNCTION("""COMPUTED_VALUE"""),"c")</f>
        <v>c</v>
      </c>
      <c r="B146" s="22" t="str">
        <f>IFERROR(__xludf.DUMMYFUNCTION("""COMPUTED_VALUE"""),"Đội sửa chữa")</f>
        <v>Đội sửa chữa</v>
      </c>
      <c r="C146" s="22">
        <f>IFERROR(__xludf.DUMMYFUNCTION("""COMPUTED_VALUE"""),9.0)</f>
        <v>9</v>
      </c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>
        <f>IFERROR(__xludf.DUMMYFUNCTION("""COMPUTED_VALUE"""),1.0)</f>
        <v>1</v>
      </c>
      <c r="B147" s="22" t="str">
        <f>IFERROR(__xludf.DUMMYFUNCTION("""COMPUTED_VALUE"""),"Văn phòng")</f>
        <v>Văn phòng</v>
      </c>
      <c r="C147" s="22" t="str">
        <f>IFERROR(__xludf.DUMMYFUNCTION("""COMPUTED_VALUE"""),"Phòng khai thác")</f>
        <v>Phòng khai thác</v>
      </c>
      <c r="D147" s="22" t="str">
        <f>IFERROR(__xludf.DUMMYFUNCTION("""COMPUTED_VALUE"""),"Đội sửa chữa")</f>
        <v>Đội sửa chữa</v>
      </c>
      <c r="E147" s="22" t="str">
        <f>IFERROR(__xludf.DUMMYFUNCTION("""COMPUTED_VALUE"""),"Nhân viên")</f>
        <v>Nhân viên</v>
      </c>
      <c r="F147" s="22" t="str">
        <f>IFERROR(__xludf.DUMMYFUNCTION("""COMPUTED_VALUE"""),"NV0750")</f>
        <v>NV0750</v>
      </c>
      <c r="G147" s="22">
        <f>IFERROR(__xludf.DUMMYFUNCTION("""COMPUTED_VALUE"""),72.0)</f>
        <v>72</v>
      </c>
      <c r="H147" s="22" t="str">
        <f>IFERROR(__xludf.DUMMYFUNCTION("""COMPUTED_VALUE"""),"Phạm Văn Hậu")</f>
        <v>Phạm Văn Hậu</v>
      </c>
      <c r="I147" s="22" t="str">
        <f>IFERROR(__xludf.DUMMYFUNCTION("""COMPUTED_VALUE"""),"Nam")</f>
        <v>Nam</v>
      </c>
      <c r="J147" s="24">
        <f>IFERROR(__xludf.DUMMYFUNCTION("""COMPUTED_VALUE"""),32616.0)</f>
        <v>32616</v>
      </c>
      <c r="K147" s="22" t="str">
        <f>IFERROR(__xludf.DUMMYFUNCTION("""COMPUTED_VALUE"""),"Phố 3, Xã Quảng Hưng, Thành phố Thanh Hóa, Thanh Hóa, Việt Nam")</f>
        <v>Phố 3, Xã Quảng Hưng, Thành phố Thanh Hóa, Thanh Hóa, Việt Nam</v>
      </c>
      <c r="L147" s="22" t="str">
        <f>IFERROR(__xludf.DUMMYFUNCTION("""COMPUTED_VALUE"""),"0366684955")</f>
        <v>0366684955</v>
      </c>
      <c r="M147" s="22" t="str">
        <f>IFERROR(__xludf.DUMMYFUNCTION("""COMPUTED_VALUE"""),"038089011558")</f>
        <v>038089011558</v>
      </c>
      <c r="N147" s="25">
        <f>IFERROR(__xludf.DUMMYFUNCTION("""COMPUTED_VALUE"""),44320.0)</f>
        <v>44320</v>
      </c>
      <c r="O147" s="22" t="str">
        <f>IFERROR(__xludf.DUMMYFUNCTION("""COMPUTED_VALUE"""),"Cục Cảnh sát QLHC về TTXH")</f>
        <v>Cục Cảnh sát QLHC về TTXH</v>
      </c>
      <c r="P147" s="22" t="str">
        <f>IFERROR(__xludf.DUMMYFUNCTION("""COMPUTED_VALUE"""),"Cao đẳng")</f>
        <v>Cao đẳng</v>
      </c>
      <c r="Q147" s="22" t="str">
        <f>IFERROR(__xludf.DUMMYFUNCTION("""COMPUTED_VALUE"""),"Công nghệ kỹ thuật Ô tô")</f>
        <v>Công nghệ kỹ thuật Ô tô</v>
      </c>
      <c r="R147" s="24">
        <f>IFERROR(__xludf.DUMMYFUNCTION("""COMPUTED_VALUE"""),42475.0)</f>
        <v>42475</v>
      </c>
      <c r="S147" s="26">
        <f>IFERROR(__xludf.DUMMYFUNCTION("""COMPUTED_VALUE"""),42475.0)</f>
        <v>42475</v>
      </c>
      <c r="T147" s="22" t="str">
        <f>IFERROR(__xludf.DUMMYFUNCTION("""COMPUTED_VALUE"""),"Chính thức")</f>
        <v>Chính thức</v>
      </c>
      <c r="U147" s="22"/>
      <c r="V147" s="22" t="str">
        <f>IFERROR(__xludf.DUMMYFUNCTION("""COMPUTED_VALUE"""),"Chính thức")</f>
        <v>Chính thức</v>
      </c>
      <c r="W147" s="22" t="str">
        <f>IFERROR(__xludf.DUMMYFUNCTION("""COMPUTED_VALUE"""),"9 năm 8 tháng")</f>
        <v>9 năm 8 tháng</v>
      </c>
      <c r="X147" s="22"/>
      <c r="Y147" s="22"/>
      <c r="Z147" s="22"/>
    </row>
    <row r="148">
      <c r="A148" s="22">
        <f>IFERROR(__xludf.DUMMYFUNCTION("""COMPUTED_VALUE"""),2.0)</f>
        <v>2</v>
      </c>
      <c r="B148" s="22" t="str">
        <f>IFERROR(__xludf.DUMMYFUNCTION("""COMPUTED_VALUE"""),"Văn phòng")</f>
        <v>Văn phòng</v>
      </c>
      <c r="C148" s="22" t="str">
        <f>IFERROR(__xludf.DUMMYFUNCTION("""COMPUTED_VALUE"""),"Phòng khai thác")</f>
        <v>Phòng khai thác</v>
      </c>
      <c r="D148" s="22" t="str">
        <f>IFERROR(__xludf.DUMMYFUNCTION("""COMPUTED_VALUE"""),"Đội sửa chữa")</f>
        <v>Đội sửa chữa</v>
      </c>
      <c r="E148" s="22" t="str">
        <f>IFERROR(__xludf.DUMMYFUNCTION("""COMPUTED_VALUE"""),"Nhân viên")</f>
        <v>Nhân viên</v>
      </c>
      <c r="F148" s="22" t="str">
        <f>IFERROR(__xludf.DUMMYFUNCTION("""COMPUTED_VALUE"""),"NV0746")</f>
        <v>NV0746</v>
      </c>
      <c r="G148" s="22">
        <f>IFERROR(__xludf.DUMMYFUNCTION("""COMPUTED_VALUE"""),35.0)</f>
        <v>35</v>
      </c>
      <c r="H148" s="22" t="str">
        <f>IFERROR(__xludf.DUMMYFUNCTION("""COMPUTED_VALUE"""),"Nguyễn Như Toàn")</f>
        <v>Nguyễn Như Toàn</v>
      </c>
      <c r="I148" s="22" t="str">
        <f>IFERROR(__xludf.DUMMYFUNCTION("""COMPUTED_VALUE"""),"Nam")</f>
        <v>Nam</v>
      </c>
      <c r="J148" s="24">
        <f>IFERROR(__xludf.DUMMYFUNCTION("""COMPUTED_VALUE"""),29224.0)</f>
        <v>29224</v>
      </c>
      <c r="K148" s="22" t="str">
        <f>IFERROR(__xludf.DUMMYFUNCTION("""COMPUTED_VALUE"""),"SN12 Cột Cờ, Phường Tân Sơn, Thành phố Thanh Hóa, Thanh Hóa, Việt Nam")</f>
        <v>SN12 Cột Cờ, Phường Tân Sơn, Thành phố Thanh Hóa, Thanh Hóa, Việt Nam</v>
      </c>
      <c r="L148" s="22" t="str">
        <f>IFERROR(__xludf.DUMMYFUNCTION("""COMPUTED_VALUE"""),"0971316338")</f>
        <v>0971316338</v>
      </c>
      <c r="M148" s="22" t="str">
        <f>IFERROR(__xludf.DUMMYFUNCTION("""COMPUTED_VALUE"""),"038080021597")</f>
        <v>038080021597</v>
      </c>
      <c r="N148" s="25">
        <f>IFERROR(__xludf.DUMMYFUNCTION("""COMPUTED_VALUE"""),44418.0)</f>
        <v>44418</v>
      </c>
      <c r="O148" s="22" t="str">
        <f>IFERROR(__xludf.DUMMYFUNCTION("""COMPUTED_VALUE"""),"Cục Cảnh sát QLHC về TTXH")</f>
        <v>Cục Cảnh sát QLHC về TTXH</v>
      </c>
      <c r="P148" s="22" t="str">
        <f>IFERROR(__xludf.DUMMYFUNCTION("""COMPUTED_VALUE"""),"Cao đẳng")</f>
        <v>Cao đẳng</v>
      </c>
      <c r="Q148" s="22" t="str">
        <f>IFERROR(__xludf.DUMMYFUNCTION("""COMPUTED_VALUE"""),"Công nghệ kỹ thuật Ô tô")</f>
        <v>Công nghệ kỹ thuật Ô tô</v>
      </c>
      <c r="R148" s="24">
        <f>IFERROR(__xludf.DUMMYFUNCTION("""COMPUTED_VALUE"""),42063.0)</f>
        <v>42063</v>
      </c>
      <c r="S148" s="26">
        <f>IFERROR(__xludf.DUMMYFUNCTION("""COMPUTED_VALUE"""),42063.0)</f>
        <v>42063</v>
      </c>
      <c r="T148" s="22" t="str">
        <f>IFERROR(__xludf.DUMMYFUNCTION("""COMPUTED_VALUE"""),"Chính thức")</f>
        <v>Chính thức</v>
      </c>
      <c r="U148" s="22"/>
      <c r="V148" s="22" t="str">
        <f>IFERROR(__xludf.DUMMYFUNCTION("""COMPUTED_VALUE"""),"Chính thức")</f>
        <v>Chính thức</v>
      </c>
      <c r="W148" s="22" t="str">
        <f>IFERROR(__xludf.DUMMYFUNCTION("""COMPUTED_VALUE"""),"10 năm 10 tháng")</f>
        <v>10 năm 10 tháng</v>
      </c>
      <c r="X148" s="22"/>
      <c r="Y148" s="22"/>
      <c r="Z148" s="22"/>
    </row>
    <row r="149">
      <c r="A149" s="22">
        <f>IFERROR(__xludf.DUMMYFUNCTION("""COMPUTED_VALUE"""),3.0)</f>
        <v>3</v>
      </c>
      <c r="B149" s="22" t="str">
        <f>IFERROR(__xludf.DUMMYFUNCTION("""COMPUTED_VALUE"""),"Văn phòng")</f>
        <v>Văn phòng</v>
      </c>
      <c r="C149" s="22" t="str">
        <f>IFERROR(__xludf.DUMMYFUNCTION("""COMPUTED_VALUE"""),"Phòng khai thác")</f>
        <v>Phòng khai thác</v>
      </c>
      <c r="D149" s="22" t="str">
        <f>IFERROR(__xludf.DUMMYFUNCTION("""COMPUTED_VALUE"""),"Đội sửa chữa")</f>
        <v>Đội sửa chữa</v>
      </c>
      <c r="E149" s="22" t="str">
        <f>IFERROR(__xludf.DUMMYFUNCTION("""COMPUTED_VALUE"""),"Đội phó")</f>
        <v>Đội phó</v>
      </c>
      <c r="F149" s="22" t="str">
        <f>IFERROR(__xludf.DUMMYFUNCTION("""COMPUTED_VALUE"""),"NV0744")</f>
        <v>NV0744</v>
      </c>
      <c r="G149" s="22">
        <f>IFERROR(__xludf.DUMMYFUNCTION("""COMPUTED_VALUE"""),71.0)</f>
        <v>71</v>
      </c>
      <c r="H149" s="22" t="str">
        <f>IFERROR(__xludf.DUMMYFUNCTION("""COMPUTED_VALUE"""),"Nguyễn Đình Lĩnh")</f>
        <v>Nguyễn Đình Lĩnh</v>
      </c>
      <c r="I149" s="22" t="str">
        <f>IFERROR(__xludf.DUMMYFUNCTION("""COMPUTED_VALUE"""),"Nam")</f>
        <v>Nam</v>
      </c>
      <c r="J149" s="24">
        <f>IFERROR(__xludf.DUMMYFUNCTION("""COMPUTED_VALUE"""),30112.0)</f>
        <v>30112</v>
      </c>
      <c r="K149" s="22" t="str">
        <f>IFERROR(__xludf.DUMMYFUNCTION("""COMPUTED_VALUE"""),"Xã Hoằng Trạch, Huyện Hoằng Hóa, Thanh Hóa, Việt Nam")</f>
        <v>Xã Hoằng Trạch, Huyện Hoằng Hóa, Thanh Hóa, Việt Nam</v>
      </c>
      <c r="L149" s="22" t="str">
        <f>IFERROR(__xludf.DUMMYFUNCTION("""COMPUTED_VALUE"""),"0974346675")</f>
        <v>0974346675</v>
      </c>
      <c r="M149" s="22" t="str">
        <f>IFERROR(__xludf.DUMMYFUNCTION("""COMPUTED_VALUE"""),"038082034152")</f>
        <v>038082034152</v>
      </c>
      <c r="N149" s="25">
        <f>IFERROR(__xludf.DUMMYFUNCTION("""COMPUTED_VALUE"""),44357.0)</f>
        <v>44357</v>
      </c>
      <c r="O149" s="22" t="str">
        <f>IFERROR(__xludf.DUMMYFUNCTION("""COMPUTED_VALUE"""),"Cục Cảnh sát QLHC về TTXH")</f>
        <v>Cục Cảnh sát QLHC về TTXH</v>
      </c>
      <c r="P149" s="22" t="str">
        <f>IFERROR(__xludf.DUMMYFUNCTION("""COMPUTED_VALUE"""),"Trung cấp")</f>
        <v>Trung cấp</v>
      </c>
      <c r="Q149" s="22" t="str">
        <f>IFERROR(__xludf.DUMMYFUNCTION("""COMPUTED_VALUE"""),"Sửa chữa xe máy")</f>
        <v>Sửa chữa xe máy</v>
      </c>
      <c r="R149" s="24">
        <f>IFERROR(__xludf.DUMMYFUNCTION("""COMPUTED_VALUE"""),41699.0)</f>
        <v>41699</v>
      </c>
      <c r="S149" s="26">
        <f>IFERROR(__xludf.DUMMYFUNCTION("""COMPUTED_VALUE"""),41699.0)</f>
        <v>41699</v>
      </c>
      <c r="T149" s="22" t="str">
        <f>IFERROR(__xludf.DUMMYFUNCTION("""COMPUTED_VALUE"""),"Chính thức")</f>
        <v>Chính thức</v>
      </c>
      <c r="U149" s="22"/>
      <c r="V149" s="22" t="str">
        <f>IFERROR(__xludf.DUMMYFUNCTION("""COMPUTED_VALUE"""),"Chính thức")</f>
        <v>Chính thức</v>
      </c>
      <c r="W149" s="22" t="str">
        <f>IFERROR(__xludf.DUMMYFUNCTION("""COMPUTED_VALUE"""),"11 năm 9 tháng")</f>
        <v>11 năm 9 tháng</v>
      </c>
      <c r="X149" s="22"/>
      <c r="Y149" s="22"/>
      <c r="Z149" s="22"/>
    </row>
    <row r="150">
      <c r="A150" s="22">
        <f>IFERROR(__xludf.DUMMYFUNCTION("""COMPUTED_VALUE"""),4.0)</f>
        <v>4</v>
      </c>
      <c r="B150" s="22" t="str">
        <f>IFERROR(__xludf.DUMMYFUNCTION("""COMPUTED_VALUE"""),"Văn phòng")</f>
        <v>Văn phòng</v>
      </c>
      <c r="C150" s="22" t="str">
        <f>IFERROR(__xludf.DUMMYFUNCTION("""COMPUTED_VALUE"""),"Phòng khai thác")</f>
        <v>Phòng khai thác</v>
      </c>
      <c r="D150" s="22" t="str">
        <f>IFERROR(__xludf.DUMMYFUNCTION("""COMPUTED_VALUE"""),"Đội sửa chữa")</f>
        <v>Đội sửa chữa</v>
      </c>
      <c r="E150" s="22" t="str">
        <f>IFERROR(__xludf.DUMMYFUNCTION("""COMPUTED_VALUE"""),"Đội trưởng")</f>
        <v>Đội trưởng</v>
      </c>
      <c r="F150" s="22" t="str">
        <f>IFERROR(__xludf.DUMMYFUNCTION("""COMPUTED_VALUE"""),"NV0741")</f>
        <v>NV0741</v>
      </c>
      <c r="G150" s="22">
        <f>IFERROR(__xludf.DUMMYFUNCTION("""COMPUTED_VALUE"""),77.0)</f>
        <v>77</v>
      </c>
      <c r="H150" s="22" t="str">
        <f>IFERROR(__xludf.DUMMYFUNCTION("""COMPUTED_VALUE"""),"Phạm Văn Thiện")</f>
        <v>Phạm Văn Thiện</v>
      </c>
      <c r="I150" s="22" t="str">
        <f>IFERROR(__xludf.DUMMYFUNCTION("""COMPUTED_VALUE"""),"Nam")</f>
        <v>Nam</v>
      </c>
      <c r="J150" s="24">
        <f>IFERROR(__xludf.DUMMYFUNCTION("""COMPUTED_VALUE"""),30104.0)</f>
        <v>30104</v>
      </c>
      <c r="K150" s="22" t="str">
        <f>IFERROR(__xludf.DUMMYFUNCTION("""COMPUTED_VALUE"""),"Thôn 4, Xã Quảng Hưng, Thành phố Thanh Hóa, Thanh Hóa, Việt Nam")</f>
        <v>Thôn 4, Xã Quảng Hưng, Thành phố Thanh Hóa, Thanh Hóa, Việt Nam</v>
      </c>
      <c r="L150" s="22" t="str">
        <f>IFERROR(__xludf.DUMMYFUNCTION("""COMPUTED_VALUE"""),"0898618066")</f>
        <v>0898618066</v>
      </c>
      <c r="M150" s="22" t="str">
        <f>IFERROR(__xludf.DUMMYFUNCTION("""COMPUTED_VALUE"""),"038082023606")</f>
        <v>038082023606</v>
      </c>
      <c r="N150" s="25">
        <f>IFERROR(__xludf.DUMMYFUNCTION("""COMPUTED_VALUE"""),44317.0)</f>
        <v>44317</v>
      </c>
      <c r="O150" s="22" t="str">
        <f>IFERROR(__xludf.DUMMYFUNCTION("""COMPUTED_VALUE"""),"Cục Cảnh sát QLHC về TTXH")</f>
        <v>Cục Cảnh sát QLHC về TTXH</v>
      </c>
      <c r="P150" s="22" t="str">
        <f>IFERROR(__xludf.DUMMYFUNCTION("""COMPUTED_VALUE"""),"Cao đẳng")</f>
        <v>Cao đẳng</v>
      </c>
      <c r="Q150" s="22" t="str">
        <f>IFERROR(__xludf.DUMMYFUNCTION("""COMPUTED_VALUE"""),"Ngành động lực")</f>
        <v>Ngành động lực</v>
      </c>
      <c r="R150" s="24">
        <f>IFERROR(__xludf.DUMMYFUNCTION("""COMPUTED_VALUE"""),41051.0)</f>
        <v>41051</v>
      </c>
      <c r="S150" s="26">
        <f>IFERROR(__xludf.DUMMYFUNCTION("""COMPUTED_VALUE"""),41051.0)</f>
        <v>41051</v>
      </c>
      <c r="T150" s="22" t="str">
        <f>IFERROR(__xludf.DUMMYFUNCTION("""COMPUTED_VALUE"""),"Chính thức")</f>
        <v>Chính thức</v>
      </c>
      <c r="U150" s="22"/>
      <c r="V150" s="22" t="str">
        <f>IFERROR(__xludf.DUMMYFUNCTION("""COMPUTED_VALUE"""),"Chính thức")</f>
        <v>Chính thức</v>
      </c>
      <c r="W150" s="22" t="str">
        <f>IFERROR(__xludf.DUMMYFUNCTION("""COMPUTED_VALUE"""),"13 năm 7 tháng")</f>
        <v>13 năm 7 tháng</v>
      </c>
      <c r="X150" s="22"/>
      <c r="Y150" s="22"/>
      <c r="Z150" s="22"/>
    </row>
    <row r="151">
      <c r="A151" s="22">
        <f>IFERROR(__xludf.DUMMYFUNCTION("""COMPUTED_VALUE"""),5.0)</f>
        <v>5</v>
      </c>
      <c r="B151" s="22" t="str">
        <f>IFERROR(__xludf.DUMMYFUNCTION("""COMPUTED_VALUE"""),"Văn phòng")</f>
        <v>Văn phòng</v>
      </c>
      <c r="C151" s="22" t="str">
        <f>IFERROR(__xludf.DUMMYFUNCTION("""COMPUTED_VALUE"""),"Phòng khai thác")</f>
        <v>Phòng khai thác</v>
      </c>
      <c r="D151" s="22" t="str">
        <f>IFERROR(__xludf.DUMMYFUNCTION("""COMPUTED_VALUE"""),"Đội sửa chữa")</f>
        <v>Đội sửa chữa</v>
      </c>
      <c r="E151" s="22" t="str">
        <f>IFERROR(__xludf.DUMMYFUNCTION("""COMPUTED_VALUE"""),"Nhân viên")</f>
        <v>Nhân viên</v>
      </c>
      <c r="F151" s="22" t="str">
        <f>IFERROR(__xludf.DUMMYFUNCTION("""COMPUTED_VALUE"""),"NV0740")</f>
        <v>NV0740</v>
      </c>
      <c r="G151" s="22">
        <f>IFERROR(__xludf.DUMMYFUNCTION("""COMPUTED_VALUE"""),69.0)</f>
        <v>69</v>
      </c>
      <c r="H151" s="22" t="str">
        <f>IFERROR(__xludf.DUMMYFUNCTION("""COMPUTED_VALUE"""),"Trần Văn Hùng")</f>
        <v>Trần Văn Hùng</v>
      </c>
      <c r="I151" s="22" t="str">
        <f>IFERROR(__xludf.DUMMYFUNCTION("""COMPUTED_VALUE"""),"Nam")</f>
        <v>Nam</v>
      </c>
      <c r="J151" s="24">
        <f>IFERROR(__xludf.DUMMYFUNCTION("""COMPUTED_VALUE"""),30960.0)</f>
        <v>30960</v>
      </c>
      <c r="K151" s="22" t="str">
        <f>IFERROR(__xludf.DUMMYFUNCTION("""COMPUTED_VALUE"""),"Quang Trung, Xã Hoằng Châu, Huyện Hoằng Hóa, Thanh Hóa, Việt Nam")</f>
        <v>Quang Trung, Xã Hoằng Châu, Huyện Hoằng Hóa, Thanh Hóa, Việt Nam</v>
      </c>
      <c r="L151" s="22" t="str">
        <f>IFERROR(__xludf.DUMMYFUNCTION("""COMPUTED_VALUE"""),"0977401615")</f>
        <v>0977401615</v>
      </c>
      <c r="M151" s="22" t="str">
        <f>IFERROR(__xludf.DUMMYFUNCTION("""COMPUTED_VALUE"""),"038084021850")</f>
        <v>038084021850</v>
      </c>
      <c r="N151" s="25">
        <f>IFERROR(__xludf.DUMMYFUNCTION("""COMPUTED_VALUE"""),45670.0)</f>
        <v>45670</v>
      </c>
      <c r="O151" s="22" t="str">
        <f>IFERROR(__xludf.DUMMYFUNCTION("""COMPUTED_VALUE"""),"Bộ Công An")</f>
        <v>Bộ Công An</v>
      </c>
      <c r="P151" s="22" t="str">
        <f>IFERROR(__xludf.DUMMYFUNCTION("""COMPUTED_VALUE"""),"Sơ cấp nghề")</f>
        <v>Sơ cấp nghề</v>
      </c>
      <c r="Q151" s="22" t="str">
        <f>IFERROR(__xludf.DUMMYFUNCTION("""COMPUTED_VALUE"""),"Thợ sửa chữa Ô tô")</f>
        <v>Thợ sửa chữa Ô tô</v>
      </c>
      <c r="R151" s="24">
        <f>IFERROR(__xludf.DUMMYFUNCTION("""COMPUTED_VALUE"""),40575.0)</f>
        <v>40575</v>
      </c>
      <c r="S151" s="26">
        <f>IFERROR(__xludf.DUMMYFUNCTION("""COMPUTED_VALUE"""),40575.0)</f>
        <v>40575</v>
      </c>
      <c r="T151" s="22" t="str">
        <f>IFERROR(__xludf.DUMMYFUNCTION("""COMPUTED_VALUE"""),"Chính thức")</f>
        <v>Chính thức</v>
      </c>
      <c r="U151" s="22"/>
      <c r="V151" s="22" t="str">
        <f>IFERROR(__xludf.DUMMYFUNCTION("""COMPUTED_VALUE"""),"Chính thức")</f>
        <v>Chính thức</v>
      </c>
      <c r="W151" s="22" t="str">
        <f>IFERROR(__xludf.DUMMYFUNCTION("""COMPUTED_VALUE"""),"14 năm 10 tháng")</f>
        <v>14 năm 10 tháng</v>
      </c>
      <c r="X151" s="22"/>
      <c r="Y151" s="22"/>
      <c r="Z151" s="22"/>
    </row>
    <row r="152">
      <c r="A152" s="22">
        <f>IFERROR(__xludf.DUMMYFUNCTION("""COMPUTED_VALUE"""),6.0)</f>
        <v>6</v>
      </c>
      <c r="B152" s="22" t="str">
        <f>IFERROR(__xludf.DUMMYFUNCTION("""COMPUTED_VALUE"""),"Văn phòng")</f>
        <v>Văn phòng</v>
      </c>
      <c r="C152" s="22" t="str">
        <f>IFERROR(__xludf.DUMMYFUNCTION("""COMPUTED_VALUE"""),"Phòng khai thác")</f>
        <v>Phòng khai thác</v>
      </c>
      <c r="D152" s="22" t="str">
        <f>IFERROR(__xludf.DUMMYFUNCTION("""COMPUTED_VALUE"""),"Đội sửa chữa")</f>
        <v>Đội sửa chữa</v>
      </c>
      <c r="E152" s="22" t="str">
        <f>IFERROR(__xludf.DUMMYFUNCTION("""COMPUTED_VALUE"""),"Nhân viên")</f>
        <v>Nhân viên</v>
      </c>
      <c r="F152" s="22" t="str">
        <f>IFERROR(__xludf.DUMMYFUNCTION("""COMPUTED_VALUE"""),"NV4028")</f>
        <v>NV4028</v>
      </c>
      <c r="G152" s="22">
        <f>IFERROR(__xludf.DUMMYFUNCTION("""COMPUTED_VALUE"""),68.0)</f>
        <v>68</v>
      </c>
      <c r="H152" s="22" t="str">
        <f>IFERROR(__xludf.DUMMYFUNCTION("""COMPUTED_VALUE"""),"Vũ Bá Minh")</f>
        <v>Vũ Bá Minh</v>
      </c>
      <c r="I152" s="22" t="str">
        <f>IFERROR(__xludf.DUMMYFUNCTION("""COMPUTED_VALUE"""),"Nam")</f>
        <v>Nam</v>
      </c>
      <c r="J152" s="24">
        <f>IFERROR(__xludf.DUMMYFUNCTION("""COMPUTED_VALUE"""),36512.0)</f>
        <v>36512</v>
      </c>
      <c r="K152" s="22" t="str">
        <f>IFERROR(__xludf.DUMMYFUNCTION("""COMPUTED_VALUE"""),"Hoằng châu- Hoằng Hóa - Thanh Hóa")</f>
        <v>Hoằng châu- Hoằng Hóa - Thanh Hóa</v>
      </c>
      <c r="L152" s="22" t="str">
        <f>IFERROR(__xludf.DUMMYFUNCTION("""COMPUTED_VALUE"""),"0877147526")</f>
        <v>0877147526</v>
      </c>
      <c r="M152" s="22" t="str">
        <f>IFERROR(__xludf.DUMMYFUNCTION("""COMPUTED_VALUE"""),"038099010639")</f>
        <v>038099010639</v>
      </c>
      <c r="N152" s="25">
        <f>IFERROR(__xludf.DUMMYFUNCTION("""COMPUTED_VALUE"""),45670.0)</f>
        <v>45670</v>
      </c>
      <c r="O152" s="22" t="str">
        <f>IFERROR(__xludf.DUMMYFUNCTION("""COMPUTED_VALUE"""),"Bộ Công An")</f>
        <v>Bộ Công An</v>
      </c>
      <c r="P152" s="22" t="str">
        <f>IFERROR(__xludf.DUMMYFUNCTION("""COMPUTED_VALUE"""),"Cao đẳng")</f>
        <v>Cao đẳng</v>
      </c>
      <c r="Q152" s="22" t="str">
        <f>IFERROR(__xludf.DUMMYFUNCTION("""COMPUTED_VALUE"""),"Công nghệ kỹ thuật Ô tô")</f>
        <v>Công nghệ kỹ thuật Ô tô</v>
      </c>
      <c r="R152" s="24">
        <f>IFERROR(__xludf.DUMMYFUNCTION("""COMPUTED_VALUE"""),44615.0)</f>
        <v>44615</v>
      </c>
      <c r="S152" s="26">
        <f>IFERROR(__xludf.DUMMYFUNCTION("""COMPUTED_VALUE"""),44986.0)</f>
        <v>44986</v>
      </c>
      <c r="T152" s="22" t="str">
        <f>IFERROR(__xludf.DUMMYFUNCTION("""COMPUTED_VALUE"""),"Chính thức")</f>
        <v>Chính thức</v>
      </c>
      <c r="U152" s="22"/>
      <c r="V152" s="22" t="str">
        <f>IFERROR(__xludf.DUMMYFUNCTION("""COMPUTED_VALUE"""),"Chính thức")</f>
        <v>Chính thức</v>
      </c>
      <c r="W152" s="22" t="str">
        <f>IFERROR(__xludf.DUMMYFUNCTION("""COMPUTED_VALUE"""),"3 năm 10 tháng")</f>
        <v>3 năm 10 tháng</v>
      </c>
      <c r="X152" s="22"/>
      <c r="Y152" s="22"/>
      <c r="Z152" s="22"/>
    </row>
    <row r="153">
      <c r="A153" s="22">
        <f>IFERROR(__xludf.DUMMYFUNCTION("""COMPUTED_VALUE"""),7.0)</f>
        <v>7</v>
      </c>
      <c r="B153" s="22" t="str">
        <f>IFERROR(__xludf.DUMMYFUNCTION("""COMPUTED_VALUE"""),"Văn phòng")</f>
        <v>Văn phòng</v>
      </c>
      <c r="C153" s="22" t="str">
        <f>IFERROR(__xludf.DUMMYFUNCTION("""COMPUTED_VALUE"""),"Phòng khai thác")</f>
        <v>Phòng khai thác</v>
      </c>
      <c r="D153" s="22" t="str">
        <f>IFERROR(__xludf.DUMMYFUNCTION("""COMPUTED_VALUE"""),"Đội sửa chữa")</f>
        <v>Đội sửa chữa</v>
      </c>
      <c r="E153" s="22" t="str">
        <f>IFERROR(__xludf.DUMMYFUNCTION("""COMPUTED_VALUE"""),"Nhân viên")</f>
        <v>Nhân viên</v>
      </c>
      <c r="F153" s="22" t="str">
        <f>IFERROR(__xludf.DUMMYFUNCTION("""COMPUTED_VALUE"""),"NV0142")</f>
        <v>NV0142</v>
      </c>
      <c r="G153" s="22">
        <f>IFERROR(__xludf.DUMMYFUNCTION("""COMPUTED_VALUE"""),40.0)</f>
        <v>40</v>
      </c>
      <c r="H153" s="22" t="str">
        <f>IFERROR(__xludf.DUMMYFUNCTION("""COMPUTED_VALUE"""),"Nguyễn Viết Minh")</f>
        <v>Nguyễn Viết Minh</v>
      </c>
      <c r="I153" s="22" t="str">
        <f>IFERROR(__xludf.DUMMYFUNCTION("""COMPUTED_VALUE"""),"Nam")</f>
        <v>Nam</v>
      </c>
      <c r="J153" s="24">
        <f>IFERROR(__xludf.DUMMYFUNCTION("""COMPUTED_VALUE"""),30355.0)</f>
        <v>30355</v>
      </c>
      <c r="K153" s="22" t="str">
        <f>IFERROR(__xludf.DUMMYFUNCTION("""COMPUTED_VALUE"""),"Phố 5, Xã Quảng Phú, Thành phố Thanh Hóa, Tỉnh Thanh Hóa")</f>
        <v>Phố 5, Xã Quảng Phú, Thành phố Thanh Hóa, Tỉnh Thanh Hóa</v>
      </c>
      <c r="L153" s="22" t="str">
        <f>IFERROR(__xludf.DUMMYFUNCTION("""COMPUTED_VALUE"""),"0352559961")</f>
        <v>0352559961</v>
      </c>
      <c r="M153" s="22" t="str">
        <f>IFERROR(__xludf.DUMMYFUNCTION("""COMPUTED_VALUE"""),"038083039320")</f>
        <v>038083039320</v>
      </c>
      <c r="N153" s="25">
        <f>IFERROR(__xludf.DUMMYFUNCTION("""COMPUTED_VALUE"""),44422.0)</f>
        <v>44422</v>
      </c>
      <c r="O153" s="22" t="str">
        <f>IFERROR(__xludf.DUMMYFUNCTION("""COMPUTED_VALUE"""),"Cục Cảnh sát QLHC về TTXH")</f>
        <v>Cục Cảnh sát QLHC về TTXH</v>
      </c>
      <c r="P153" s="22" t="str">
        <f>IFERROR(__xludf.DUMMYFUNCTION("""COMPUTED_VALUE"""),"LĐPT")</f>
        <v>LĐPT</v>
      </c>
      <c r="Q153" s="22" t="str">
        <f>IFERROR(__xludf.DUMMYFUNCTION("""COMPUTED_VALUE"""),"Lao động phổ thông")</f>
        <v>Lao động phổ thông</v>
      </c>
      <c r="R153" s="24">
        <f>IFERROR(__xludf.DUMMYFUNCTION("""COMPUTED_VALUE"""),42545.0)</f>
        <v>42545</v>
      </c>
      <c r="S153" s="26">
        <f>IFERROR(__xludf.DUMMYFUNCTION("""COMPUTED_VALUE"""),42948.0)</f>
        <v>42948</v>
      </c>
      <c r="T153" s="22" t="str">
        <f>IFERROR(__xludf.DUMMYFUNCTION("""COMPUTED_VALUE"""),"Chính thức")</f>
        <v>Chính thức</v>
      </c>
      <c r="U153" s="22"/>
      <c r="V153" s="22" t="str">
        <f>IFERROR(__xludf.DUMMYFUNCTION("""COMPUTED_VALUE"""),"Chính thức")</f>
        <v>Chính thức</v>
      </c>
      <c r="W153" s="22" t="str">
        <f>IFERROR(__xludf.DUMMYFUNCTION("""COMPUTED_VALUE"""),"9 năm 6 tháng")</f>
        <v>9 năm 6 tháng</v>
      </c>
      <c r="X153" s="22"/>
      <c r="Y153" s="22"/>
      <c r="Z153" s="22"/>
    </row>
    <row r="154">
      <c r="A154" s="22">
        <f>IFERROR(__xludf.DUMMYFUNCTION("""COMPUTED_VALUE"""),8.0)</f>
        <v>8</v>
      </c>
      <c r="B154" s="22" t="str">
        <f>IFERROR(__xludf.DUMMYFUNCTION("""COMPUTED_VALUE"""),"Văn phòng")</f>
        <v>Văn phòng</v>
      </c>
      <c r="C154" s="22" t="str">
        <f>IFERROR(__xludf.DUMMYFUNCTION("""COMPUTED_VALUE"""),"Phòng khai thác")</f>
        <v>Phòng khai thác</v>
      </c>
      <c r="D154" s="22" t="str">
        <f>IFERROR(__xludf.DUMMYFUNCTION("""COMPUTED_VALUE"""),"Đội sửa chữa")</f>
        <v>Đội sửa chữa</v>
      </c>
      <c r="E154" s="22" t="str">
        <f>IFERROR(__xludf.DUMMYFUNCTION("""COMPUTED_VALUE"""),"Nhân viên")</f>
        <v>Nhân viên</v>
      </c>
      <c r="F154" s="22" t="str">
        <f>IFERROR(__xludf.DUMMYFUNCTION("""COMPUTED_VALUE"""),"NV5127")</f>
        <v>NV5127</v>
      </c>
      <c r="G154" s="22">
        <f>IFERROR(__xludf.DUMMYFUNCTION("""COMPUTED_VALUE"""),41.0)</f>
        <v>41</v>
      </c>
      <c r="H154" s="22" t="str">
        <f>IFERROR(__xludf.DUMMYFUNCTION("""COMPUTED_VALUE"""),"Lê Trọng Lâm")</f>
        <v>Lê Trọng Lâm</v>
      </c>
      <c r="I154" s="22" t="str">
        <f>IFERROR(__xludf.DUMMYFUNCTION("""COMPUTED_VALUE"""),"Nam")</f>
        <v>Nam</v>
      </c>
      <c r="J154" s="24">
        <f>IFERROR(__xludf.DUMMYFUNCTION("""COMPUTED_VALUE"""),26494.0)</f>
        <v>26494</v>
      </c>
      <c r="K154" s="22" t="str">
        <f>IFERROR(__xludf.DUMMYFUNCTION("""COMPUTED_VALUE"""),"Đông Hoàng, Đông Sơn, Thanh Hóa")</f>
        <v>Đông Hoàng, Đông Sơn, Thanh Hóa</v>
      </c>
      <c r="L154" s="22" t="str">
        <f>IFERROR(__xludf.DUMMYFUNCTION("""COMPUTED_VALUE"""),"0705366318")</f>
        <v>0705366318</v>
      </c>
      <c r="M154" s="22" t="str">
        <f>IFERROR(__xludf.DUMMYFUNCTION("""COMPUTED_VALUE"""),"038072038850")</f>
        <v>038072038850</v>
      </c>
      <c r="N154" s="25">
        <f>IFERROR(__xludf.DUMMYFUNCTION("""COMPUTED_VALUE"""),45076.0)</f>
        <v>45076</v>
      </c>
      <c r="O154" s="22" t="str">
        <f>IFERROR(__xludf.DUMMYFUNCTION("""COMPUTED_VALUE"""),"Cục Cảnh sát QLHC về TTXH")</f>
        <v>Cục Cảnh sát QLHC về TTXH</v>
      </c>
      <c r="P154" s="22" t="str">
        <f>IFERROR(__xludf.DUMMYFUNCTION("""COMPUTED_VALUE"""),"Chứng chỉ nghề")</f>
        <v>Chứng chỉ nghề</v>
      </c>
      <c r="Q154" s="22" t="str">
        <f>IFERROR(__xludf.DUMMYFUNCTION("""COMPUTED_VALUE"""),"Điện tử ")</f>
        <v>Điện tử </v>
      </c>
      <c r="R154" s="24">
        <f>IFERROR(__xludf.DUMMYFUNCTION("""COMPUTED_VALUE"""),45391.0)</f>
        <v>45391</v>
      </c>
      <c r="S154" s="26">
        <f>IFERROR(__xludf.DUMMYFUNCTION("""COMPUTED_VALUE"""),45444.0)</f>
        <v>45444</v>
      </c>
      <c r="T154" s="22" t="str">
        <f>IFERROR(__xludf.DUMMYFUNCTION("""COMPUTED_VALUE"""),"Chính thức")</f>
        <v>Chính thức</v>
      </c>
      <c r="U154" s="22"/>
      <c r="V154" s="22" t="str">
        <f>IFERROR(__xludf.DUMMYFUNCTION("""COMPUTED_VALUE"""),"Chính thức")</f>
        <v>Chính thức</v>
      </c>
      <c r="W154" s="22" t="str">
        <f>IFERROR(__xludf.DUMMYFUNCTION("""COMPUTED_VALUE"""),"1 năm 8 tháng")</f>
        <v>1 năm 8 tháng</v>
      </c>
      <c r="X154" s="22"/>
      <c r="Y154" s="22"/>
      <c r="Z154" s="22"/>
    </row>
    <row r="155">
      <c r="A155" s="22">
        <f>IFERROR(__xludf.DUMMYFUNCTION("""COMPUTED_VALUE"""),9.0)</f>
        <v>9</v>
      </c>
      <c r="B155" s="22" t="str">
        <f>IFERROR(__xludf.DUMMYFUNCTION("""COMPUTED_VALUE"""),"Văn phòng")</f>
        <v>Văn phòng</v>
      </c>
      <c r="C155" s="22" t="str">
        <f>IFERROR(__xludf.DUMMYFUNCTION("""COMPUTED_VALUE"""),"Phòng khai thác")</f>
        <v>Phòng khai thác</v>
      </c>
      <c r="D155" s="22" t="str">
        <f>IFERROR(__xludf.DUMMYFUNCTION("""COMPUTED_VALUE"""),"Đội sửa chữa")</f>
        <v>Đội sửa chữa</v>
      </c>
      <c r="E155" s="22" t="str">
        <f>IFERROR(__xludf.DUMMYFUNCTION("""COMPUTED_VALUE"""),"Nhân viên")</f>
        <v>Nhân viên</v>
      </c>
      <c r="F155" s="22" t="str">
        <f>IFERROR(__xludf.DUMMYFUNCTION("""COMPUTED_VALUE"""),"NV5122")</f>
        <v>NV5122</v>
      </c>
      <c r="G155" s="22">
        <f>IFERROR(__xludf.DUMMYFUNCTION("""COMPUTED_VALUE"""),42.0)</f>
        <v>42</v>
      </c>
      <c r="H155" s="22" t="str">
        <f>IFERROR(__xludf.DUMMYFUNCTION("""COMPUTED_VALUE"""),"Lê Phú Tuấn")</f>
        <v>Lê Phú Tuấn</v>
      </c>
      <c r="I155" s="22" t="str">
        <f>IFERROR(__xludf.DUMMYFUNCTION("""COMPUTED_VALUE"""),"Nam")</f>
        <v>Nam</v>
      </c>
      <c r="J155" s="24">
        <f>IFERROR(__xludf.DUMMYFUNCTION("""COMPUTED_VALUE"""),30069.0)</f>
        <v>30069</v>
      </c>
      <c r="K155" s="22" t="str">
        <f>IFERROR(__xludf.DUMMYFUNCTION("""COMPUTED_VALUE"""),"Quảng Phú, Thành Phố Thanh Hóa")</f>
        <v>Quảng Phú, Thành Phố Thanh Hóa</v>
      </c>
      <c r="L155" s="22" t="str">
        <f>IFERROR(__xludf.DUMMYFUNCTION("""COMPUTED_VALUE"""),"0972678946")</f>
        <v>0972678946</v>
      </c>
      <c r="M155" s="22" t="str">
        <f>IFERROR(__xludf.DUMMYFUNCTION("""COMPUTED_VALUE"""),"038082026313")</f>
        <v>038082026313</v>
      </c>
      <c r="N155" s="25">
        <f>IFERROR(__xludf.DUMMYFUNCTION("""COMPUTED_VALUE"""),44422.0)</f>
        <v>44422</v>
      </c>
      <c r="O155" s="22" t="str">
        <f>IFERROR(__xludf.DUMMYFUNCTION("""COMPUTED_VALUE"""),"Cục Cảnh sát QLHC về TTXH")</f>
        <v>Cục Cảnh sát QLHC về TTXH</v>
      </c>
      <c r="P155" s="22" t="str">
        <f>IFERROR(__xludf.DUMMYFUNCTION("""COMPUTED_VALUE"""),"LĐPT")</f>
        <v>LĐPT</v>
      </c>
      <c r="Q155" s="22" t="str">
        <f>IFERROR(__xludf.DUMMYFUNCTION("""COMPUTED_VALUE"""),"Lao động phổ thông")</f>
        <v>Lao động phổ thông</v>
      </c>
      <c r="R155" s="24">
        <f>IFERROR(__xludf.DUMMYFUNCTION("""COMPUTED_VALUE"""),45387.0)</f>
        <v>45387</v>
      </c>
      <c r="S155" s="26">
        <f>IFERROR(__xludf.DUMMYFUNCTION("""COMPUTED_VALUE"""),45444.0)</f>
        <v>45444</v>
      </c>
      <c r="T155" s="22" t="str">
        <f>IFERROR(__xludf.DUMMYFUNCTION("""COMPUTED_VALUE"""),"Chính thức")</f>
        <v>Chính thức</v>
      </c>
      <c r="U155" s="22"/>
      <c r="V155" s="22" t="str">
        <f>IFERROR(__xludf.DUMMYFUNCTION("""COMPUTED_VALUE"""),"Chính thức")</f>
        <v>Chính thức</v>
      </c>
      <c r="W155" s="22" t="str">
        <f>IFERROR(__xludf.DUMMYFUNCTION("""COMPUTED_VALUE"""),"1 năm 8 tháng")</f>
        <v>1 năm 8 tháng</v>
      </c>
      <c r="X155" s="22"/>
      <c r="Y155" s="22"/>
      <c r="Z155" s="22"/>
    </row>
    <row r="156">
      <c r="A156" s="22">
        <f>IFERROR(__xludf.DUMMYFUNCTION("""COMPUTED_VALUE"""),10.0)</f>
        <v>10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>
        <f>IFERROR(__xludf.DUMMYFUNCTION("""COMPUTED_VALUE"""),11.0)</f>
        <v>11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 t="str">
        <f>IFERROR(__xludf.DUMMYFUNCTION("""COMPUTED_VALUE"""),"f.")</f>
        <v>f.</v>
      </c>
      <c r="B158" s="22" t="str">
        <f>IFERROR(__xludf.DUMMYFUNCTION("""COMPUTED_VALUE"""),"Phân xưởng CBNL")</f>
        <v>Phân xưởng CBNL</v>
      </c>
      <c r="C158" s="22">
        <f>IFERROR(__xludf.DUMMYFUNCTION("""COMPUTED_VALUE"""),31.0)</f>
        <v>31</v>
      </c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>
        <f>IFERROR(__xludf.DUMMYFUNCTION("""COMPUTED_VALUE"""),1.0)</f>
        <v>1</v>
      </c>
      <c r="B159" s="22" t="str">
        <f>IFERROR(__xludf.DUMMYFUNCTION("""COMPUTED_VALUE"""),"Văn phòng")</f>
        <v>Văn phòng</v>
      </c>
      <c r="C159" s="22" t="str">
        <f>IFERROR(__xludf.DUMMYFUNCTION("""COMPUTED_VALUE"""),"Phòng khai thác")</f>
        <v>Phòng khai thác</v>
      </c>
      <c r="D159" s="22" t="str">
        <f>IFERROR(__xludf.DUMMYFUNCTION("""COMPUTED_VALUE"""),"Phân xưởng CBNL")</f>
        <v>Phân xưởng CBNL</v>
      </c>
      <c r="E159" s="22" t="str">
        <f>IFERROR(__xludf.DUMMYFUNCTION("""COMPUTED_VALUE"""),"Vận hành")</f>
        <v>Vận hành</v>
      </c>
      <c r="F159" s="22" t="str">
        <f>IFERROR(__xludf.DUMMYFUNCTION("""COMPUTED_VALUE"""),"NV0733")</f>
        <v>NV0733</v>
      </c>
      <c r="G159" s="22">
        <f>IFERROR(__xludf.DUMMYFUNCTION("""COMPUTED_VALUE"""),665.0)</f>
        <v>665</v>
      </c>
      <c r="H159" s="22" t="str">
        <f>IFERROR(__xludf.DUMMYFUNCTION("""COMPUTED_VALUE"""),"Phạm Thị Loan")</f>
        <v>Phạm Thị Loan</v>
      </c>
      <c r="I159" s="22" t="str">
        <f>IFERROR(__xludf.DUMMYFUNCTION("""COMPUTED_VALUE"""),"Nữ")</f>
        <v>Nữ</v>
      </c>
      <c r="J159" s="24">
        <f>IFERROR(__xludf.DUMMYFUNCTION("""COMPUTED_VALUE"""),28023.0)</f>
        <v>28023</v>
      </c>
      <c r="K159" s="22" t="str">
        <f>IFERROR(__xludf.DUMMYFUNCTION("""COMPUTED_VALUE"""),"25/62 Chi Lăng - Phường Quảng Phú - Tỉnh Thanh Hóa")</f>
        <v>25/62 Chi Lăng - Phường Quảng Phú - Tỉnh Thanh Hóa</v>
      </c>
      <c r="L159" s="22" t="str">
        <f>IFERROR(__xludf.DUMMYFUNCTION("""COMPUTED_VALUE"""),"0989935813")</f>
        <v>0989935813</v>
      </c>
      <c r="M159" s="22" t="str">
        <f>IFERROR(__xludf.DUMMYFUNCTION("""COMPUTED_VALUE"""),"038176030473")</f>
        <v>038176030473</v>
      </c>
      <c r="N159" s="25">
        <f>IFERROR(__xludf.DUMMYFUNCTION("""COMPUTED_VALUE"""),44459.0)</f>
        <v>44459</v>
      </c>
      <c r="O159" s="22" t="str">
        <f>IFERROR(__xludf.DUMMYFUNCTION("""COMPUTED_VALUE"""),"Cục Cảnh sát QLHC về TTXH")</f>
        <v>Cục Cảnh sát QLHC về TTXH</v>
      </c>
      <c r="P159" s="22" t="str">
        <f>IFERROR(__xludf.DUMMYFUNCTION("""COMPUTED_VALUE"""),"THPT")</f>
        <v>THPT</v>
      </c>
      <c r="Q159" s="22" t="str">
        <f>IFERROR(__xludf.DUMMYFUNCTION("""COMPUTED_VALUE"""),"Lao động phổ thông")</f>
        <v>Lao động phổ thông</v>
      </c>
      <c r="R159" s="24">
        <f>IFERROR(__xludf.DUMMYFUNCTION("""COMPUTED_VALUE"""),40965.0)</f>
        <v>40965</v>
      </c>
      <c r="S159" s="26">
        <f>IFERROR(__xludf.DUMMYFUNCTION("""COMPUTED_VALUE"""),40965.0)</f>
        <v>40965</v>
      </c>
      <c r="T159" s="22" t="str">
        <f>IFERROR(__xludf.DUMMYFUNCTION("""COMPUTED_VALUE"""),"Chính thức")</f>
        <v>Chính thức</v>
      </c>
      <c r="U159" s="22"/>
      <c r="V159" s="22" t="str">
        <f>IFERROR(__xludf.DUMMYFUNCTION("""COMPUTED_VALUE"""),"Chính thức")</f>
        <v>Chính thức</v>
      </c>
      <c r="W159" s="22" t="str">
        <f>IFERROR(__xludf.DUMMYFUNCTION("""COMPUTED_VALUE"""),"13 năm 10 tháng")</f>
        <v>13 năm 10 tháng</v>
      </c>
      <c r="X159" s="22"/>
      <c r="Y159" s="22"/>
      <c r="Z159" s="22"/>
    </row>
    <row r="160">
      <c r="A160" s="22">
        <f>IFERROR(__xludf.DUMMYFUNCTION("""COMPUTED_VALUE"""),2.0)</f>
        <v>2</v>
      </c>
      <c r="B160" s="22" t="str">
        <f>IFERROR(__xludf.DUMMYFUNCTION("""COMPUTED_VALUE"""),"Văn phòng")</f>
        <v>Văn phòng</v>
      </c>
      <c r="C160" s="22" t="str">
        <f>IFERROR(__xludf.DUMMYFUNCTION("""COMPUTED_VALUE"""),"Phòng khai thác")</f>
        <v>Phòng khai thác</v>
      </c>
      <c r="D160" s="22" t="str">
        <f>IFERROR(__xludf.DUMMYFUNCTION("""COMPUTED_VALUE"""),"Phân xưởng CBNL")</f>
        <v>Phân xưởng CBNL</v>
      </c>
      <c r="E160" s="22" t="str">
        <f>IFERROR(__xludf.DUMMYFUNCTION("""COMPUTED_VALUE"""),"Cơ điện")</f>
        <v>Cơ điện</v>
      </c>
      <c r="F160" s="22" t="str">
        <f>IFERROR(__xludf.DUMMYFUNCTION("""COMPUTED_VALUE"""),"NV0667")</f>
        <v>NV0667</v>
      </c>
      <c r="G160" s="22">
        <f>IFERROR(__xludf.DUMMYFUNCTION("""COMPUTED_VALUE"""),647.0)</f>
        <v>647</v>
      </c>
      <c r="H160" s="22" t="str">
        <f>IFERROR(__xludf.DUMMYFUNCTION("""COMPUTED_VALUE"""),"Nguyễn Văn Chánh")</f>
        <v>Nguyễn Văn Chánh</v>
      </c>
      <c r="I160" s="22" t="str">
        <f>IFERROR(__xludf.DUMMYFUNCTION("""COMPUTED_VALUE"""),"Nam")</f>
        <v>Nam</v>
      </c>
      <c r="J160" s="24">
        <f>IFERROR(__xludf.DUMMYFUNCTION("""COMPUTED_VALUE"""),24757.0)</f>
        <v>24757</v>
      </c>
      <c r="K160" s="22" t="str">
        <f>IFERROR(__xludf.DUMMYFUNCTION("""COMPUTED_VALUE"""),"Thôn Đoài Đông - Xã Quảng Yên - Tỉnh Thanh Hóa")</f>
        <v>Thôn Đoài Đông - Xã Quảng Yên - Tỉnh Thanh Hóa</v>
      </c>
      <c r="L160" s="22" t="str">
        <f>IFERROR(__xludf.DUMMYFUNCTION("""COMPUTED_VALUE"""),"0355692033")</f>
        <v>0355692033</v>
      </c>
      <c r="M160" s="22" t="str">
        <f>IFERROR(__xludf.DUMMYFUNCTION("""COMPUTED_VALUE"""),"038067001811")</f>
        <v>038067001811</v>
      </c>
      <c r="N160" s="25">
        <f>IFERROR(__xludf.DUMMYFUNCTION("""COMPUTED_VALUE"""),44375.0)</f>
        <v>44375</v>
      </c>
      <c r="O160" s="22" t="str">
        <f>IFERROR(__xludf.DUMMYFUNCTION("""COMPUTED_VALUE"""),"Cục Cảnh sát QLHC về TTXH")</f>
        <v>Cục Cảnh sát QLHC về TTXH</v>
      </c>
      <c r="P160" s="22" t="str">
        <f>IFERROR(__xludf.DUMMYFUNCTION("""COMPUTED_VALUE"""),"Công nhân kỹ thuật")</f>
        <v>Công nhân kỹ thuật</v>
      </c>
      <c r="Q160" s="22" t="str">
        <f>IFERROR(__xludf.DUMMYFUNCTION("""COMPUTED_VALUE"""),"Thợ lắp đặt máy")</f>
        <v>Thợ lắp đặt máy</v>
      </c>
      <c r="R160" s="24">
        <f>IFERROR(__xludf.DUMMYFUNCTION("""COMPUTED_VALUE"""),39356.0)</f>
        <v>39356</v>
      </c>
      <c r="S160" s="26">
        <f>IFERROR(__xludf.DUMMYFUNCTION("""COMPUTED_VALUE"""),39356.0)</f>
        <v>39356</v>
      </c>
      <c r="T160" s="22" t="str">
        <f>IFERROR(__xludf.DUMMYFUNCTION("""COMPUTED_VALUE"""),"Chính thức")</f>
        <v>Chính thức</v>
      </c>
      <c r="U160" s="22"/>
      <c r="V160" s="22" t="str">
        <f>IFERROR(__xludf.DUMMYFUNCTION("""COMPUTED_VALUE"""),"Chính thức")</f>
        <v>Chính thức</v>
      </c>
      <c r="W160" s="22" t="str">
        <f>IFERROR(__xludf.DUMMYFUNCTION("""COMPUTED_VALUE"""),"18 năm 2 tháng")</f>
        <v>18 năm 2 tháng</v>
      </c>
      <c r="X160" s="22"/>
      <c r="Y160" s="22"/>
      <c r="Z160" s="22"/>
    </row>
    <row r="161">
      <c r="A161" s="22">
        <f>IFERROR(__xludf.DUMMYFUNCTION("""COMPUTED_VALUE"""),3.0)</f>
        <v>3</v>
      </c>
      <c r="B161" s="22" t="str">
        <f>IFERROR(__xludf.DUMMYFUNCTION("""COMPUTED_VALUE"""),"Văn phòng")</f>
        <v>Văn phòng</v>
      </c>
      <c r="C161" s="22" t="str">
        <f>IFERROR(__xludf.DUMMYFUNCTION("""COMPUTED_VALUE"""),"Phòng khai thác")</f>
        <v>Phòng khai thác</v>
      </c>
      <c r="D161" s="22" t="str">
        <f>IFERROR(__xludf.DUMMYFUNCTION("""COMPUTED_VALUE"""),"Phân xưởng CBNL")</f>
        <v>Phân xưởng CBNL</v>
      </c>
      <c r="E161" s="22" t="str">
        <f>IFERROR(__xludf.DUMMYFUNCTION("""COMPUTED_VALUE"""),"Tổ trưởng")</f>
        <v>Tổ trưởng</v>
      </c>
      <c r="F161" s="22" t="str">
        <f>IFERROR(__xludf.DUMMYFUNCTION("""COMPUTED_VALUE"""),"NV2587")</f>
        <v>NV2587</v>
      </c>
      <c r="G161" s="22">
        <f>IFERROR(__xludf.DUMMYFUNCTION("""COMPUTED_VALUE"""),667.0)</f>
        <v>667</v>
      </c>
      <c r="H161" s="22" t="str">
        <f>IFERROR(__xludf.DUMMYFUNCTION("""COMPUTED_VALUE"""),"Nguyễn Anh Dũng")</f>
        <v>Nguyễn Anh Dũng</v>
      </c>
      <c r="I161" s="22" t="str">
        <f>IFERROR(__xludf.DUMMYFUNCTION("""COMPUTED_VALUE"""),"Nam")</f>
        <v>Nam</v>
      </c>
      <c r="J161" s="24">
        <f>IFERROR(__xludf.DUMMYFUNCTION("""COMPUTED_VALUE"""),29259.0)</f>
        <v>29259</v>
      </c>
      <c r="K161" s="22" t="str">
        <f>IFERROR(__xludf.DUMMYFUNCTION("""COMPUTED_VALUE"""),"Thôn Minh Thiện - Phường Nam Sầm Sơn - Tỉnh Thanh Hóa")</f>
        <v>Thôn Minh Thiện - Phường Nam Sầm Sơn - Tỉnh Thanh Hóa</v>
      </c>
      <c r="L161" s="22" t="str">
        <f>IFERROR(__xludf.DUMMYFUNCTION("""COMPUTED_VALUE"""),"0909906454")</f>
        <v>0909906454</v>
      </c>
      <c r="M161" s="22" t="str">
        <f>IFERROR(__xludf.DUMMYFUNCTION("""COMPUTED_VALUE"""),"038080000644")</f>
        <v>038080000644</v>
      </c>
      <c r="N161" s="25">
        <f>IFERROR(__xludf.DUMMYFUNCTION("""COMPUTED_VALUE"""),44425.0)</f>
        <v>44425</v>
      </c>
      <c r="O161" s="22" t="str">
        <f>IFERROR(__xludf.DUMMYFUNCTION("""COMPUTED_VALUE"""),"Cục Cảnh sát QLHC về TTXH")</f>
        <v>Cục Cảnh sát QLHC về TTXH</v>
      </c>
      <c r="P161" s="22" t="str">
        <f>IFERROR(__xludf.DUMMYFUNCTION("""COMPUTED_VALUE"""),"THPT")</f>
        <v>THPT</v>
      </c>
      <c r="Q161" s="22" t="str">
        <f>IFERROR(__xludf.DUMMYFUNCTION("""COMPUTED_VALUE"""),"Lao động phổ thông")</f>
        <v>Lao động phổ thông</v>
      </c>
      <c r="R161" s="24">
        <f>IFERROR(__xludf.DUMMYFUNCTION("""COMPUTED_VALUE"""),43741.0)</f>
        <v>43741</v>
      </c>
      <c r="S161" s="26">
        <f>IFERROR(__xludf.DUMMYFUNCTION("""COMPUTED_VALUE"""),44044.0)</f>
        <v>44044</v>
      </c>
      <c r="T161" s="22" t="str">
        <f>IFERROR(__xludf.DUMMYFUNCTION("""COMPUTED_VALUE"""),"Chính thức")</f>
        <v>Chính thức</v>
      </c>
      <c r="U161" s="22"/>
      <c r="V161" s="22" t="str">
        <f>IFERROR(__xludf.DUMMYFUNCTION("""COMPUTED_VALUE"""),"Chính thức")</f>
        <v>Chính thức</v>
      </c>
      <c r="W161" s="22" t="str">
        <f>IFERROR(__xludf.DUMMYFUNCTION("""COMPUTED_VALUE"""),"6 năm 2 tháng")</f>
        <v>6 năm 2 tháng</v>
      </c>
      <c r="X161" s="22"/>
      <c r="Y161" s="22"/>
      <c r="Z161" s="22"/>
    </row>
    <row r="162">
      <c r="A162" s="22">
        <f>IFERROR(__xludf.DUMMYFUNCTION("""COMPUTED_VALUE"""),4.0)</f>
        <v>4</v>
      </c>
      <c r="B162" s="22" t="str">
        <f>IFERROR(__xludf.DUMMYFUNCTION("""COMPUTED_VALUE"""),"Văn phòng")</f>
        <v>Văn phòng</v>
      </c>
      <c r="C162" s="22" t="str">
        <f>IFERROR(__xludf.DUMMYFUNCTION("""COMPUTED_VALUE"""),"Phòng khai thác")</f>
        <v>Phòng khai thác</v>
      </c>
      <c r="D162" s="22" t="str">
        <f>IFERROR(__xludf.DUMMYFUNCTION("""COMPUTED_VALUE"""),"Phân xưởng CBNL")</f>
        <v>Phân xưởng CBNL</v>
      </c>
      <c r="E162" s="22" t="str">
        <f>IFERROR(__xludf.DUMMYFUNCTION("""COMPUTED_VALUE"""),"Cơ điện")</f>
        <v>Cơ điện</v>
      </c>
      <c r="F162" s="22" t="str">
        <f>IFERROR(__xludf.DUMMYFUNCTION("""COMPUTED_VALUE"""),"NV1370")</f>
        <v>NV1370</v>
      </c>
      <c r="G162" s="22">
        <f>IFERROR(__xludf.DUMMYFUNCTION("""COMPUTED_VALUE"""),669.0)</f>
        <v>669</v>
      </c>
      <c r="H162" s="22" t="str">
        <f>IFERROR(__xludf.DUMMYFUNCTION("""COMPUTED_VALUE"""),"Nguyễn Văn Định")</f>
        <v>Nguyễn Văn Định</v>
      </c>
      <c r="I162" s="22" t="str">
        <f>IFERROR(__xludf.DUMMYFUNCTION("""COMPUTED_VALUE"""),"Nam")</f>
        <v>Nam</v>
      </c>
      <c r="J162" s="24">
        <f>IFERROR(__xludf.DUMMYFUNCTION("""COMPUTED_VALUE"""),32617.0)</f>
        <v>32617</v>
      </c>
      <c r="K162" s="22" t="str">
        <f>IFERROR(__xludf.DUMMYFUNCTION("""COMPUTED_VALUE"""),"Đội 3 - Phú Thượng 1 - Xã Hoằng Phú - Tỉnh Thanh Hóa")</f>
        <v>Đội 3 - Phú Thượng 1 - Xã Hoằng Phú - Tỉnh Thanh Hóa</v>
      </c>
      <c r="L162" s="22" t="str">
        <f>IFERROR(__xludf.DUMMYFUNCTION("""COMPUTED_VALUE"""),"0964651045")</f>
        <v>0964651045</v>
      </c>
      <c r="M162" s="22" t="str">
        <f>IFERROR(__xludf.DUMMYFUNCTION("""COMPUTED_VALUE"""),"038089053483")</f>
        <v>038089053483</v>
      </c>
      <c r="N162" s="25">
        <f>IFERROR(__xludf.DUMMYFUNCTION("""COMPUTED_VALUE"""),44428.0)</f>
        <v>44428</v>
      </c>
      <c r="O162" s="22" t="str">
        <f>IFERROR(__xludf.DUMMYFUNCTION("""COMPUTED_VALUE"""),"Cục Cảnh sát QLHC về TTXH")</f>
        <v>Cục Cảnh sát QLHC về TTXH</v>
      </c>
      <c r="P162" s="22" t="str">
        <f>IFERROR(__xludf.DUMMYFUNCTION("""COMPUTED_VALUE"""),"Trung cấp nghề")</f>
        <v>Trung cấp nghề</v>
      </c>
      <c r="Q162" s="22" t="str">
        <f>IFERROR(__xludf.DUMMYFUNCTION("""COMPUTED_VALUE"""),"Kỹ thuật máy lạnh và điều hòa không khí")</f>
        <v>Kỹ thuật máy lạnh và điều hòa không khí</v>
      </c>
      <c r="R162" s="24">
        <f>IFERROR(__xludf.DUMMYFUNCTION("""COMPUTED_VALUE"""),43229.0)</f>
        <v>43229</v>
      </c>
      <c r="S162" s="26">
        <f>IFERROR(__xludf.DUMMYFUNCTION("""COMPUTED_VALUE"""),43586.0)</f>
        <v>43586</v>
      </c>
      <c r="T162" s="22" t="str">
        <f>IFERROR(__xludf.DUMMYFUNCTION("""COMPUTED_VALUE"""),"Chính thức")</f>
        <v>Chính thức</v>
      </c>
      <c r="U162" s="22"/>
      <c r="V162" s="22" t="str">
        <f>IFERROR(__xludf.DUMMYFUNCTION("""COMPUTED_VALUE"""),"Chính thức")</f>
        <v>Chính thức</v>
      </c>
      <c r="W162" s="22" t="str">
        <f>IFERROR(__xludf.DUMMYFUNCTION("""COMPUTED_VALUE"""),"7 năm 7 tháng")</f>
        <v>7 năm 7 tháng</v>
      </c>
      <c r="X162" s="22"/>
      <c r="Y162" s="22"/>
      <c r="Z162" s="22"/>
    </row>
    <row r="163">
      <c r="A163" s="22">
        <f>IFERROR(__xludf.DUMMYFUNCTION("""COMPUTED_VALUE"""),5.0)</f>
        <v>5</v>
      </c>
      <c r="B163" s="22" t="str">
        <f>IFERROR(__xludf.DUMMYFUNCTION("""COMPUTED_VALUE"""),"Văn phòng")</f>
        <v>Văn phòng</v>
      </c>
      <c r="C163" s="22" t="str">
        <f>IFERROR(__xludf.DUMMYFUNCTION("""COMPUTED_VALUE"""),"Phòng khai thác")</f>
        <v>Phòng khai thác</v>
      </c>
      <c r="D163" s="22" t="str">
        <f>IFERROR(__xludf.DUMMYFUNCTION("""COMPUTED_VALUE"""),"Phân xưởng CBNL")</f>
        <v>Phân xưởng CBNL</v>
      </c>
      <c r="E163" s="22" t="str">
        <f>IFERROR(__xludf.DUMMYFUNCTION("""COMPUTED_VALUE"""),"Lái xúc lật")</f>
        <v>Lái xúc lật</v>
      </c>
      <c r="F163" s="22" t="str">
        <f>IFERROR(__xludf.DUMMYFUNCTION("""COMPUTED_VALUE"""),"NV4966")</f>
        <v>NV4966</v>
      </c>
      <c r="G163" s="22">
        <f>IFERROR(__xludf.DUMMYFUNCTION("""COMPUTED_VALUE"""),658.0)</f>
        <v>658</v>
      </c>
      <c r="H163" s="22" t="str">
        <f>IFERROR(__xludf.DUMMYFUNCTION("""COMPUTED_VALUE"""),"Lê Văn Giáp")</f>
        <v>Lê Văn Giáp</v>
      </c>
      <c r="I163" s="22" t="str">
        <f>IFERROR(__xludf.DUMMYFUNCTION("""COMPUTED_VALUE"""),"Nam")</f>
        <v>Nam</v>
      </c>
      <c r="J163" s="24">
        <f>IFERROR(__xludf.DUMMYFUNCTION("""COMPUTED_VALUE"""),34501.0)</f>
        <v>34501</v>
      </c>
      <c r="K163" s="22" t="str">
        <f>IFERROR(__xludf.DUMMYFUNCTION("""COMPUTED_VALUE"""),"KP Đông Đức - Phường Nam Sầm Sơn - Tỉnh Thanh Hóa")</f>
        <v>KP Đông Đức - Phường Nam Sầm Sơn - Tỉnh Thanh Hóa</v>
      </c>
      <c r="L163" s="22" t="str">
        <f>IFERROR(__xludf.DUMMYFUNCTION("""COMPUTED_VALUE"""),"0869769622")</f>
        <v>0869769622</v>
      </c>
      <c r="M163" s="22" t="str">
        <f>IFERROR(__xludf.DUMMYFUNCTION("""COMPUTED_VALUE"""),"038094012212")</f>
        <v>038094012212</v>
      </c>
      <c r="N163" s="25">
        <f>IFERROR(__xludf.DUMMYFUNCTION("""COMPUTED_VALUE"""),44428.0)</f>
        <v>44428</v>
      </c>
      <c r="O163" s="22" t="str">
        <f>IFERROR(__xludf.DUMMYFUNCTION("""COMPUTED_VALUE"""),"Cục Cảnh sát QLHC về TTXH")</f>
        <v>Cục Cảnh sát QLHC về TTXH</v>
      </c>
      <c r="P163" s="22" t="str">
        <f>IFERROR(__xludf.DUMMYFUNCTION("""COMPUTED_VALUE"""),"Chứng chỉ nghề")</f>
        <v>Chứng chỉ nghề</v>
      </c>
      <c r="Q163" s="22" t="str">
        <f>IFERROR(__xludf.DUMMYFUNCTION("""COMPUTED_VALUE"""),"Vận hành xúc lật")</f>
        <v>Vận hành xúc lật</v>
      </c>
      <c r="R163" s="24">
        <f>IFERROR(__xludf.DUMMYFUNCTION("""COMPUTED_VALUE"""),45348.0)</f>
        <v>45348</v>
      </c>
      <c r="S163" s="26">
        <f>IFERROR(__xludf.DUMMYFUNCTION("""COMPUTED_VALUE"""),45444.0)</f>
        <v>45444</v>
      </c>
      <c r="T163" s="22" t="str">
        <f>IFERROR(__xludf.DUMMYFUNCTION("""COMPUTED_VALUE"""),"Chính thức")</f>
        <v>Chính thức</v>
      </c>
      <c r="U163" s="22"/>
      <c r="V163" s="22" t="str">
        <f>IFERROR(__xludf.DUMMYFUNCTION("""COMPUTED_VALUE"""),"Chính thức")</f>
        <v>Chính thức</v>
      </c>
      <c r="W163" s="22" t="str">
        <f>IFERROR(__xludf.DUMMYFUNCTION("""COMPUTED_VALUE"""),"1 năm 10 tháng")</f>
        <v>1 năm 10 tháng</v>
      </c>
      <c r="X163" s="22"/>
      <c r="Y163" s="22"/>
      <c r="Z163" s="22"/>
    </row>
    <row r="164">
      <c r="A164" s="22">
        <f>IFERROR(__xludf.DUMMYFUNCTION("""COMPUTED_VALUE"""),6.0)</f>
        <v>6</v>
      </c>
      <c r="B164" s="22" t="str">
        <f>IFERROR(__xludf.DUMMYFUNCTION("""COMPUTED_VALUE"""),"Văn phòng")</f>
        <v>Văn phòng</v>
      </c>
      <c r="C164" s="22" t="str">
        <f>IFERROR(__xludf.DUMMYFUNCTION("""COMPUTED_VALUE"""),"Phòng khai thác")</f>
        <v>Phòng khai thác</v>
      </c>
      <c r="D164" s="22" t="str">
        <f>IFERROR(__xludf.DUMMYFUNCTION("""COMPUTED_VALUE"""),"Phân xưởng CBNL")</f>
        <v>Phân xưởng CBNL</v>
      </c>
      <c r="E164" s="22" t="str">
        <f>IFERROR(__xludf.DUMMYFUNCTION("""COMPUTED_VALUE"""),"Lái xúc lật")</f>
        <v>Lái xúc lật</v>
      </c>
      <c r="F164" s="22" t="str">
        <f>IFERROR(__xludf.DUMMYFUNCTION("""COMPUTED_VALUE"""),"NV1554")</f>
        <v>NV1554</v>
      </c>
      <c r="G164" s="22">
        <f>IFERROR(__xludf.DUMMYFUNCTION("""COMPUTED_VALUE"""),739.0)</f>
        <v>739</v>
      </c>
      <c r="H164" s="22" t="str">
        <f>IFERROR(__xludf.DUMMYFUNCTION("""COMPUTED_VALUE"""),"Trần Thế Anh")</f>
        <v>Trần Thế Anh</v>
      </c>
      <c r="I164" s="22" t="str">
        <f>IFERROR(__xludf.DUMMYFUNCTION("""COMPUTED_VALUE"""),"Nam")</f>
        <v>Nam</v>
      </c>
      <c r="J164" s="24">
        <f>IFERROR(__xludf.DUMMYFUNCTION("""COMPUTED_VALUE"""),27946.0)</f>
        <v>27946</v>
      </c>
      <c r="K164" s="22" t="str">
        <f>IFERROR(__xludf.DUMMYFUNCTION("""COMPUTED_VALUE"""),"Phố 4 - Phường Quảng Phú - Tỉnh Thanh Hóa")</f>
        <v>Phố 4 - Phường Quảng Phú - Tỉnh Thanh Hóa</v>
      </c>
      <c r="L164" s="22" t="str">
        <f>IFERROR(__xludf.DUMMYFUNCTION("""COMPUTED_VALUE"""),"0914936453")</f>
        <v>0914936453</v>
      </c>
      <c r="M164" s="22" t="str">
        <f>IFERROR(__xludf.DUMMYFUNCTION("""COMPUTED_VALUE"""),"038076007877")</f>
        <v>038076007877</v>
      </c>
      <c r="N164" s="25">
        <f>IFERROR(__xludf.DUMMYFUNCTION("""COMPUTED_VALUE"""),44375.0)</f>
        <v>44375</v>
      </c>
      <c r="O164" s="22" t="str">
        <f>IFERROR(__xludf.DUMMYFUNCTION("""COMPUTED_VALUE"""),"Cục Cảnh sát QLHC về TTXH")</f>
        <v>Cục Cảnh sát QLHC về TTXH</v>
      </c>
      <c r="P164" s="22" t="str">
        <f>IFERROR(__xludf.DUMMYFUNCTION("""COMPUTED_VALUE"""),"Bằng nghề")</f>
        <v>Bằng nghề</v>
      </c>
      <c r="Q164" s="22" t="str">
        <f>IFERROR(__xludf.DUMMYFUNCTION("""COMPUTED_VALUE"""),"Lái máy xúc")</f>
        <v>Lái máy xúc</v>
      </c>
      <c r="R164" s="24">
        <f>IFERROR(__xludf.DUMMYFUNCTION("""COMPUTED_VALUE"""),43284.0)</f>
        <v>43284</v>
      </c>
      <c r="S164" s="26">
        <f>IFERROR(__xludf.DUMMYFUNCTION("""COMPUTED_VALUE"""),43647.0)</f>
        <v>43647</v>
      </c>
      <c r="T164" s="22" t="str">
        <f>IFERROR(__xludf.DUMMYFUNCTION("""COMPUTED_VALUE"""),"Chính thức")</f>
        <v>Chính thức</v>
      </c>
      <c r="U164" s="22"/>
      <c r="V164" s="22" t="str">
        <f>IFERROR(__xludf.DUMMYFUNCTION("""COMPUTED_VALUE"""),"Chính thức")</f>
        <v>Chính thức</v>
      </c>
      <c r="W164" s="22" t="str">
        <f>IFERROR(__xludf.DUMMYFUNCTION("""COMPUTED_VALUE"""),"7 năm 5 tháng")</f>
        <v>7 năm 5 tháng</v>
      </c>
      <c r="X164" s="22"/>
      <c r="Y164" s="22"/>
      <c r="Z164" s="22"/>
    </row>
    <row r="165">
      <c r="A165" s="22">
        <f>IFERROR(__xludf.DUMMYFUNCTION("""COMPUTED_VALUE"""),7.0)</f>
        <v>7</v>
      </c>
      <c r="B165" s="22" t="str">
        <f>IFERROR(__xludf.DUMMYFUNCTION("""COMPUTED_VALUE"""),"Văn phòng")</f>
        <v>Văn phòng</v>
      </c>
      <c r="C165" s="22" t="str">
        <f>IFERROR(__xludf.DUMMYFUNCTION("""COMPUTED_VALUE"""),"Phòng khai thác")</f>
        <v>Phòng khai thác</v>
      </c>
      <c r="D165" s="22" t="str">
        <f>IFERROR(__xludf.DUMMYFUNCTION("""COMPUTED_VALUE"""),"Phân xưởng CBNL")</f>
        <v>Phân xưởng CBNL</v>
      </c>
      <c r="E165" s="22" t="str">
        <f>IFERROR(__xludf.DUMMYFUNCTION("""COMPUTED_VALUE"""),"Tổ trưởng")</f>
        <v>Tổ trưởng</v>
      </c>
      <c r="F165" s="22" t="str">
        <f>IFERROR(__xludf.DUMMYFUNCTION("""COMPUTED_VALUE"""),"NV2286")</f>
        <v>NV2286</v>
      </c>
      <c r="G165" s="22">
        <f>IFERROR(__xludf.DUMMYFUNCTION("""COMPUTED_VALUE"""),743.0)</f>
        <v>743</v>
      </c>
      <c r="H165" s="22" t="str">
        <f>IFERROR(__xludf.DUMMYFUNCTION("""COMPUTED_VALUE"""),"Lê Văn Hưng")</f>
        <v>Lê Văn Hưng</v>
      </c>
      <c r="I165" s="22" t="str">
        <f>IFERROR(__xludf.DUMMYFUNCTION("""COMPUTED_VALUE"""),"Nam")</f>
        <v>Nam</v>
      </c>
      <c r="J165" s="24">
        <f>IFERROR(__xludf.DUMMYFUNCTION("""COMPUTED_VALUE"""),33274.0)</f>
        <v>33274</v>
      </c>
      <c r="K165" s="22" t="str">
        <f>IFERROR(__xludf.DUMMYFUNCTION("""COMPUTED_VALUE"""),"Thôn 2 - Xã Quảng Ninh - Tỉnh Thanh Hóa")</f>
        <v>Thôn 2 - Xã Quảng Ninh - Tỉnh Thanh Hóa</v>
      </c>
      <c r="L165" s="22" t="str">
        <f>IFERROR(__xludf.DUMMYFUNCTION("""COMPUTED_VALUE"""),"0979783992")</f>
        <v>0979783992</v>
      </c>
      <c r="M165" s="22" t="str">
        <f>IFERROR(__xludf.DUMMYFUNCTION("""COMPUTED_VALUE"""),"038091044894")</f>
        <v>038091044894</v>
      </c>
      <c r="N165" s="25">
        <f>IFERROR(__xludf.DUMMYFUNCTION("""COMPUTED_VALUE"""),45519.0)</f>
        <v>45519</v>
      </c>
      <c r="O165" s="22" t="str">
        <f>IFERROR(__xludf.DUMMYFUNCTION("""COMPUTED_VALUE"""),"Cục Cảnh sát QLHC về TTXH")</f>
        <v>Cục Cảnh sát QLHC về TTXH</v>
      </c>
      <c r="P165" s="22" t="str">
        <f>IFERROR(__xludf.DUMMYFUNCTION("""COMPUTED_VALUE"""),"THPT")</f>
        <v>THPT</v>
      </c>
      <c r="Q165" s="22" t="str">
        <f>IFERROR(__xludf.DUMMYFUNCTION("""COMPUTED_VALUE"""),"Lao động phổ thông")</f>
        <v>Lao động phổ thông</v>
      </c>
      <c r="R165" s="24">
        <f>IFERROR(__xludf.DUMMYFUNCTION("""COMPUTED_VALUE"""),43559.0)</f>
        <v>43559</v>
      </c>
      <c r="S165" s="26">
        <f>IFERROR(__xludf.DUMMYFUNCTION("""COMPUTED_VALUE"""),43983.0)</f>
        <v>43983</v>
      </c>
      <c r="T165" s="22" t="str">
        <f>IFERROR(__xludf.DUMMYFUNCTION("""COMPUTED_VALUE"""),"Chính thức")</f>
        <v>Chính thức</v>
      </c>
      <c r="U165" s="22"/>
      <c r="V165" s="22" t="str">
        <f>IFERROR(__xludf.DUMMYFUNCTION("""COMPUTED_VALUE"""),"Chính thức")</f>
        <v>Chính thức</v>
      </c>
      <c r="W165" s="22" t="str">
        <f>IFERROR(__xludf.DUMMYFUNCTION("""COMPUTED_VALUE"""),"6 năm 8 tháng")</f>
        <v>6 năm 8 tháng</v>
      </c>
      <c r="X165" s="22"/>
      <c r="Y165" s="22"/>
      <c r="Z165" s="22"/>
    </row>
    <row r="166">
      <c r="A166" s="22">
        <f>IFERROR(__xludf.DUMMYFUNCTION("""COMPUTED_VALUE"""),8.0)</f>
        <v>8</v>
      </c>
      <c r="B166" s="22" t="str">
        <f>IFERROR(__xludf.DUMMYFUNCTION("""COMPUTED_VALUE"""),"Văn phòng")</f>
        <v>Văn phòng</v>
      </c>
      <c r="C166" s="22" t="str">
        <f>IFERROR(__xludf.DUMMYFUNCTION("""COMPUTED_VALUE"""),"Phòng khai thác")</f>
        <v>Phòng khai thác</v>
      </c>
      <c r="D166" s="22" t="str">
        <f>IFERROR(__xludf.DUMMYFUNCTION("""COMPUTED_VALUE"""),"Phân xưởng CBNL")</f>
        <v>Phân xưởng CBNL</v>
      </c>
      <c r="E166" s="22" t="str">
        <f>IFERROR(__xludf.DUMMYFUNCTION("""COMPUTED_VALUE"""),"Cơ điện")</f>
        <v>Cơ điện</v>
      </c>
      <c r="F166" s="22" t="str">
        <f>IFERROR(__xludf.DUMMYFUNCTION("""COMPUTED_VALUE"""),"NV4526")</f>
        <v>NV4526</v>
      </c>
      <c r="G166" s="22">
        <f>IFERROR(__xludf.DUMMYFUNCTION("""COMPUTED_VALUE"""),766.0)</f>
        <v>766</v>
      </c>
      <c r="H166" s="22" t="str">
        <f>IFERROR(__xludf.DUMMYFUNCTION("""COMPUTED_VALUE"""),"Hoàng Đình Cương")</f>
        <v>Hoàng Đình Cương</v>
      </c>
      <c r="I166" s="22" t="str">
        <f>IFERROR(__xludf.DUMMYFUNCTION("""COMPUTED_VALUE"""),"Nam")</f>
        <v>Nam</v>
      </c>
      <c r="J166" s="24">
        <f>IFERROR(__xludf.DUMMYFUNCTION("""COMPUTED_VALUE"""),33007.0)</f>
        <v>33007</v>
      </c>
      <c r="K166" s="22" t="str">
        <f>IFERROR(__xludf.DUMMYFUNCTION("""COMPUTED_VALUE"""),"An Chính - Phường Nam Sầm Sơn - Tỉnh Thanh Hóa")</f>
        <v>An Chính - Phường Nam Sầm Sơn - Tỉnh Thanh Hóa</v>
      </c>
      <c r="L166" s="22" t="str">
        <f>IFERROR(__xludf.DUMMYFUNCTION("""COMPUTED_VALUE"""),"0968678690")</f>
        <v>0968678690</v>
      </c>
      <c r="M166" s="22" t="str">
        <f>IFERROR(__xludf.DUMMYFUNCTION("""COMPUTED_VALUE"""),"038090054674")</f>
        <v>038090054674</v>
      </c>
      <c r="N166" s="25">
        <f>IFERROR(__xludf.DUMMYFUNCTION("""COMPUTED_VALUE"""),44944.0)</f>
        <v>44944</v>
      </c>
      <c r="O166" s="22" t="str">
        <f>IFERROR(__xludf.DUMMYFUNCTION("""COMPUTED_VALUE"""),"Cục Cảnh sát QLHC về TTXH")</f>
        <v>Cục Cảnh sát QLHC về TTXH</v>
      </c>
      <c r="P166" s="22" t="str">
        <f>IFERROR(__xludf.DUMMYFUNCTION("""COMPUTED_VALUE"""),"Cao đẳng")</f>
        <v>Cao đẳng</v>
      </c>
      <c r="Q166" s="22" t="str">
        <f>IFERROR(__xludf.DUMMYFUNCTION("""COMPUTED_VALUE"""),"Điện tử công nghiệp")</f>
        <v>Điện tử công nghiệp</v>
      </c>
      <c r="R166" s="24">
        <f>IFERROR(__xludf.DUMMYFUNCTION("""COMPUTED_VALUE"""),44959.0)</f>
        <v>44959</v>
      </c>
      <c r="S166" s="26">
        <f>IFERROR(__xludf.DUMMYFUNCTION("""COMPUTED_VALUE"""),45292.0)</f>
        <v>45292</v>
      </c>
      <c r="T166" s="22" t="str">
        <f>IFERROR(__xludf.DUMMYFUNCTION("""COMPUTED_VALUE"""),"Chính thức")</f>
        <v>Chính thức</v>
      </c>
      <c r="U166" s="22"/>
      <c r="V166" s="22" t="str">
        <f>IFERROR(__xludf.DUMMYFUNCTION("""COMPUTED_VALUE"""),"Chính thức")</f>
        <v>Chính thức</v>
      </c>
      <c r="W166" s="22" t="str">
        <f>IFERROR(__xludf.DUMMYFUNCTION("""COMPUTED_VALUE"""),"2 năm 10 tháng")</f>
        <v>2 năm 10 tháng</v>
      </c>
      <c r="X166" s="22"/>
      <c r="Y166" s="22"/>
      <c r="Z166" s="22"/>
    </row>
    <row r="167">
      <c r="A167" s="22">
        <f>IFERROR(__xludf.DUMMYFUNCTION("""COMPUTED_VALUE"""),9.0)</f>
        <v>9</v>
      </c>
      <c r="B167" s="22" t="str">
        <f>IFERROR(__xludf.DUMMYFUNCTION("""COMPUTED_VALUE"""),"Văn phòng")</f>
        <v>Văn phòng</v>
      </c>
      <c r="C167" s="22" t="str">
        <f>IFERROR(__xludf.DUMMYFUNCTION("""COMPUTED_VALUE"""),"Phòng khai thác")</f>
        <v>Phòng khai thác</v>
      </c>
      <c r="D167" s="22" t="str">
        <f>IFERROR(__xludf.DUMMYFUNCTION("""COMPUTED_VALUE"""),"Phân xưởng CBNL")</f>
        <v>Phân xưởng CBNL</v>
      </c>
      <c r="E167" s="22" t="str">
        <f>IFERROR(__xludf.DUMMYFUNCTION("""COMPUTED_VALUE"""),"Vận hành chính")</f>
        <v>Vận hành chính</v>
      </c>
      <c r="F167" s="22" t="str">
        <f>IFERROR(__xludf.DUMMYFUNCTION("""COMPUTED_VALUE"""),"NV0865")</f>
        <v>NV0865</v>
      </c>
      <c r="G167" s="22">
        <f>IFERROR(__xludf.DUMMYFUNCTION("""COMPUTED_VALUE"""),760.0)</f>
        <v>760</v>
      </c>
      <c r="H167" s="22" t="str">
        <f>IFERROR(__xludf.DUMMYFUNCTION("""COMPUTED_VALUE"""),"Phạm Anh Thọ")</f>
        <v>Phạm Anh Thọ</v>
      </c>
      <c r="I167" s="22" t="str">
        <f>IFERROR(__xludf.DUMMYFUNCTION("""COMPUTED_VALUE"""),"Nam")</f>
        <v>Nam</v>
      </c>
      <c r="J167" s="24">
        <f>IFERROR(__xludf.DUMMYFUNCTION("""COMPUTED_VALUE"""),27852.0)</f>
        <v>27852</v>
      </c>
      <c r="K167" s="22" t="str">
        <f>IFERROR(__xludf.DUMMYFUNCTION("""COMPUTED_VALUE"""),"Phường Đông Quang - Tỉnh Thanh Hóa")</f>
        <v>Phường Đông Quang - Tỉnh Thanh Hóa</v>
      </c>
      <c r="L167" s="22" t="str">
        <f>IFERROR(__xludf.DUMMYFUNCTION("""COMPUTED_VALUE"""),"0904708507")</f>
        <v>0904708507</v>
      </c>
      <c r="M167" s="22" t="str">
        <f>IFERROR(__xludf.DUMMYFUNCTION("""COMPUTED_VALUE"""),"038076001595")</f>
        <v>038076001595</v>
      </c>
      <c r="N167" s="25">
        <f>IFERROR(__xludf.DUMMYFUNCTION("""COMPUTED_VALUE"""),42613.0)</f>
        <v>42613</v>
      </c>
      <c r="O167" s="22" t="str">
        <f>IFERROR(__xludf.DUMMYFUNCTION("""COMPUTED_VALUE"""),"Cục Cảnh sát QLHC về TTXH")</f>
        <v>Cục Cảnh sát QLHC về TTXH</v>
      </c>
      <c r="P167" s="22" t="str">
        <f>IFERROR(__xludf.DUMMYFUNCTION("""COMPUTED_VALUE"""),"THPT")</f>
        <v>THPT</v>
      </c>
      <c r="Q167" s="22" t="str">
        <f>IFERROR(__xludf.DUMMYFUNCTION("""COMPUTED_VALUE"""),"Trung học phổ thông")</f>
        <v>Trung học phổ thông</v>
      </c>
      <c r="R167" s="24">
        <f>IFERROR(__xludf.DUMMYFUNCTION("""COMPUTED_VALUE"""),42827.0)</f>
        <v>42827</v>
      </c>
      <c r="S167" s="26">
        <f>IFERROR(__xludf.DUMMYFUNCTION("""COMPUTED_VALUE"""),42827.0)</f>
        <v>42827</v>
      </c>
      <c r="T167" s="22" t="str">
        <f>IFERROR(__xludf.DUMMYFUNCTION("""COMPUTED_VALUE"""),"Chính thức")</f>
        <v>Chính thức</v>
      </c>
      <c r="U167" s="22"/>
      <c r="V167" s="22" t="str">
        <f>IFERROR(__xludf.DUMMYFUNCTION("""COMPUTED_VALUE"""),"Chính thức")</f>
        <v>Chính thức</v>
      </c>
      <c r="W167" s="22" t="str">
        <f>IFERROR(__xludf.DUMMYFUNCTION("""COMPUTED_VALUE"""),"8 năm 8 tháng")</f>
        <v>8 năm 8 tháng</v>
      </c>
      <c r="X167" s="22"/>
      <c r="Y167" s="22"/>
      <c r="Z167" s="22"/>
    </row>
    <row r="168">
      <c r="A168" s="22">
        <f>IFERROR(__xludf.DUMMYFUNCTION("""COMPUTED_VALUE"""),10.0)</f>
        <v>10</v>
      </c>
      <c r="B168" s="22" t="str">
        <f>IFERROR(__xludf.DUMMYFUNCTION("""COMPUTED_VALUE"""),"Văn phòng")</f>
        <v>Văn phòng</v>
      </c>
      <c r="C168" s="22" t="str">
        <f>IFERROR(__xludf.DUMMYFUNCTION("""COMPUTED_VALUE"""),"Phòng khai thác")</f>
        <v>Phòng khai thác</v>
      </c>
      <c r="D168" s="22" t="str">
        <f>IFERROR(__xludf.DUMMYFUNCTION("""COMPUTED_VALUE"""),"Phân xưởng CBNL")</f>
        <v>Phân xưởng CBNL</v>
      </c>
      <c r="E168" s="22" t="str">
        <f>IFERROR(__xludf.DUMMYFUNCTION("""COMPUTED_VALUE"""),"Tổ trưởng")</f>
        <v>Tổ trưởng</v>
      </c>
      <c r="F168" s="22" t="str">
        <f>IFERROR(__xludf.DUMMYFUNCTION("""COMPUTED_VALUE"""),"NV0126")</f>
        <v>NV0126</v>
      </c>
      <c r="G168" s="22">
        <f>IFERROR(__xludf.DUMMYFUNCTION("""COMPUTED_VALUE"""),761.0)</f>
        <v>761</v>
      </c>
      <c r="H168" s="22" t="str">
        <f>IFERROR(__xludf.DUMMYFUNCTION("""COMPUTED_VALUE"""),"Lê Văn Hùng")</f>
        <v>Lê Văn Hùng</v>
      </c>
      <c r="I168" s="22" t="str">
        <f>IFERROR(__xludf.DUMMYFUNCTION("""COMPUTED_VALUE"""),"Nam")</f>
        <v>Nam</v>
      </c>
      <c r="J168" s="24">
        <f>IFERROR(__xludf.DUMMYFUNCTION("""COMPUTED_VALUE"""),31715.0)</f>
        <v>31715</v>
      </c>
      <c r="K168" s="22" t="str">
        <f>IFERROR(__xludf.DUMMYFUNCTION("""COMPUTED_VALUE"""),"Thôn 6 - Xã Quảng Yên - Tỉnh Thanh Hóa")</f>
        <v>Thôn 6 - Xã Quảng Yên - Tỉnh Thanh Hóa</v>
      </c>
      <c r="L168" s="22" t="str">
        <f>IFERROR(__xludf.DUMMYFUNCTION("""COMPUTED_VALUE"""),"0357487537")</f>
        <v>0357487537</v>
      </c>
      <c r="M168" s="22" t="str">
        <f>IFERROR(__xludf.DUMMYFUNCTION("""COMPUTED_VALUE"""),"038086002441")</f>
        <v>038086002441</v>
      </c>
      <c r="N168" s="25">
        <f>IFERROR(__xludf.DUMMYFUNCTION("""COMPUTED_VALUE"""),44375.0)</f>
        <v>44375</v>
      </c>
      <c r="O168" s="22" t="str">
        <f>IFERROR(__xludf.DUMMYFUNCTION("""COMPUTED_VALUE"""),"Cục Cảnh sát QLHC về TTXH")</f>
        <v>Cục Cảnh sát QLHC về TTXH</v>
      </c>
      <c r="P168" s="22" t="str">
        <f>IFERROR(__xludf.DUMMYFUNCTION("""COMPUTED_VALUE"""),"Cao đẳng")</f>
        <v>Cao đẳng</v>
      </c>
      <c r="Q168" s="22" t="str">
        <f>IFERROR(__xludf.DUMMYFUNCTION("""COMPUTED_VALUE"""),"Thủy sản")</f>
        <v>Thủy sản</v>
      </c>
      <c r="R168" s="24">
        <f>IFERROR(__xludf.DUMMYFUNCTION("""COMPUTED_VALUE"""),41753.0)</f>
        <v>41753</v>
      </c>
      <c r="S168" s="26">
        <f>IFERROR(__xludf.DUMMYFUNCTION("""COMPUTED_VALUE"""),41753.0)</f>
        <v>41753</v>
      </c>
      <c r="T168" s="22" t="str">
        <f>IFERROR(__xludf.DUMMYFUNCTION("""COMPUTED_VALUE"""),"Chính thức")</f>
        <v>Chính thức</v>
      </c>
      <c r="U168" s="22"/>
      <c r="V168" s="22" t="str">
        <f>IFERROR(__xludf.DUMMYFUNCTION("""COMPUTED_VALUE"""),"Chính thức")</f>
        <v>Chính thức</v>
      </c>
      <c r="W168" s="22" t="str">
        <f>IFERROR(__xludf.DUMMYFUNCTION("""COMPUTED_VALUE"""),"11 năm 8 tháng")</f>
        <v>11 năm 8 tháng</v>
      </c>
      <c r="X168" s="22"/>
      <c r="Y168" s="22"/>
      <c r="Z168" s="22"/>
    </row>
    <row r="169">
      <c r="A169" s="22">
        <f>IFERROR(__xludf.DUMMYFUNCTION("""COMPUTED_VALUE"""),11.0)</f>
        <v>11</v>
      </c>
      <c r="B169" s="22" t="str">
        <f>IFERROR(__xludf.DUMMYFUNCTION("""COMPUTED_VALUE"""),"Văn phòng")</f>
        <v>Văn phòng</v>
      </c>
      <c r="C169" s="22" t="str">
        <f>IFERROR(__xludf.DUMMYFUNCTION("""COMPUTED_VALUE"""),"Phòng khai thác")</f>
        <v>Phòng khai thác</v>
      </c>
      <c r="D169" s="22" t="str">
        <f>IFERROR(__xludf.DUMMYFUNCTION("""COMPUTED_VALUE"""),"Phân xưởng CBNL")</f>
        <v>Phân xưởng CBNL</v>
      </c>
      <c r="E169" s="22" t="str">
        <f>IFERROR(__xludf.DUMMYFUNCTION("""COMPUTED_VALUE"""),"Vận hành lò đốt")</f>
        <v>Vận hành lò đốt</v>
      </c>
      <c r="F169" s="22" t="str">
        <f>IFERROR(__xludf.DUMMYFUNCTION("""COMPUTED_VALUE"""),"NV5167")</f>
        <v>NV5167</v>
      </c>
      <c r="G169" s="22">
        <f>IFERROR(__xludf.DUMMYFUNCTION("""COMPUTED_VALUE"""),596.0)</f>
        <v>596</v>
      </c>
      <c r="H169" s="22" t="str">
        <f>IFERROR(__xludf.DUMMYFUNCTION("""COMPUTED_VALUE"""),"Lê Văn Huy")</f>
        <v>Lê Văn Huy</v>
      </c>
      <c r="I169" s="22" t="str">
        <f>IFERROR(__xludf.DUMMYFUNCTION("""COMPUTED_VALUE"""),"Nam")</f>
        <v>Nam</v>
      </c>
      <c r="J169" s="24">
        <f>IFERROR(__xludf.DUMMYFUNCTION("""COMPUTED_VALUE"""),25851.0)</f>
        <v>25851</v>
      </c>
      <c r="K169" s="22" t="str">
        <f>IFERROR(__xludf.DUMMYFUNCTION("""COMPUTED_VALUE"""),"Thôn Ngọc Bình - Xã Quảng Ngọc - Tỉnh Thanh Hóa")</f>
        <v>Thôn Ngọc Bình - Xã Quảng Ngọc - Tỉnh Thanh Hóa</v>
      </c>
      <c r="L169" s="22" t="str">
        <f>IFERROR(__xludf.DUMMYFUNCTION("""COMPUTED_VALUE"""),"0399976337")</f>
        <v>0399976337</v>
      </c>
      <c r="M169" s="22" t="str">
        <f>IFERROR(__xludf.DUMMYFUNCTION("""COMPUTED_VALUE"""),"038070007611")</f>
        <v>038070007611</v>
      </c>
      <c r="N169" s="25">
        <f>IFERROR(__xludf.DUMMYFUNCTION("""COMPUTED_VALUE"""),44678.0)</f>
        <v>44678</v>
      </c>
      <c r="O169" s="22" t="str">
        <f>IFERROR(__xludf.DUMMYFUNCTION("""COMPUTED_VALUE"""),"Cục Cảnh sát QLHC về TTXH")</f>
        <v>Cục Cảnh sát QLHC về TTXH</v>
      </c>
      <c r="P169" s="22" t="str">
        <f>IFERROR(__xludf.DUMMYFUNCTION("""COMPUTED_VALUE"""),"THPT")</f>
        <v>THPT</v>
      </c>
      <c r="Q169" s="22" t="str">
        <f>IFERROR(__xludf.DUMMYFUNCTION("""COMPUTED_VALUE"""),"Lao động phổ thông")</f>
        <v>Lao động phổ thông</v>
      </c>
      <c r="R169" s="24">
        <f>IFERROR(__xludf.DUMMYFUNCTION("""COMPUTED_VALUE"""),45418.0)</f>
        <v>45418</v>
      </c>
      <c r="S169" s="26">
        <f>IFERROR(__xludf.DUMMYFUNCTION("""COMPUTED_VALUE"""),45505.0)</f>
        <v>45505</v>
      </c>
      <c r="T169" s="22" t="str">
        <f>IFERROR(__xludf.DUMMYFUNCTION("""COMPUTED_VALUE"""),"Chính thức")</f>
        <v>Chính thức</v>
      </c>
      <c r="U169" s="22"/>
      <c r="V169" s="22" t="str">
        <f>IFERROR(__xludf.DUMMYFUNCTION("""COMPUTED_VALUE"""),"Chính thức")</f>
        <v>Chính thức</v>
      </c>
      <c r="W169" s="22" t="str">
        <f>IFERROR(__xludf.DUMMYFUNCTION("""COMPUTED_VALUE"""),"1 năm 7 tháng")</f>
        <v>1 năm 7 tháng</v>
      </c>
      <c r="X169" s="22"/>
      <c r="Y169" s="22"/>
      <c r="Z169" s="22"/>
    </row>
    <row r="170">
      <c r="A170" s="22">
        <f>IFERROR(__xludf.DUMMYFUNCTION("""COMPUTED_VALUE"""),12.0)</f>
        <v>12</v>
      </c>
      <c r="B170" s="22" t="str">
        <f>IFERROR(__xludf.DUMMYFUNCTION("""COMPUTED_VALUE"""),"Văn phòng")</f>
        <v>Văn phòng</v>
      </c>
      <c r="C170" s="22" t="str">
        <f>IFERROR(__xludf.DUMMYFUNCTION("""COMPUTED_VALUE"""),"Phòng khai thác")</f>
        <v>Phòng khai thác</v>
      </c>
      <c r="D170" s="22" t="str">
        <f>IFERROR(__xludf.DUMMYFUNCTION("""COMPUTED_VALUE"""),"Phân xưởng CBNL")</f>
        <v>Phân xưởng CBNL</v>
      </c>
      <c r="E170" s="22" t="str">
        <f>IFERROR(__xludf.DUMMYFUNCTION("""COMPUTED_VALUE"""),"Lái xúc lật")</f>
        <v>Lái xúc lật</v>
      </c>
      <c r="F170" s="22" t="str">
        <f>IFERROR(__xludf.DUMMYFUNCTION("""COMPUTED_VALUE"""),"NV4037")</f>
        <v>NV4037</v>
      </c>
      <c r="G170" s="22">
        <f>IFERROR(__xludf.DUMMYFUNCTION("""COMPUTED_VALUE"""),853.0)</f>
        <v>853</v>
      </c>
      <c r="H170" s="22" t="str">
        <f>IFERROR(__xludf.DUMMYFUNCTION("""COMPUTED_VALUE"""),"Dương Văn Thanh")</f>
        <v>Dương Văn Thanh</v>
      </c>
      <c r="I170" s="22" t="str">
        <f>IFERROR(__xludf.DUMMYFUNCTION("""COMPUTED_VALUE"""),"Nam")</f>
        <v>Nam</v>
      </c>
      <c r="J170" s="24">
        <f>IFERROR(__xludf.DUMMYFUNCTION("""COMPUTED_VALUE"""),28251.0)</f>
        <v>28251</v>
      </c>
      <c r="K170" s="22" t="str">
        <f>IFERROR(__xludf.DUMMYFUNCTION("""COMPUTED_VALUE"""),"Phố 4 - Phường Hàm Rồng - Tỉnh Thanh Hóa")</f>
        <v>Phố 4 - Phường Hàm Rồng - Tỉnh Thanh Hóa</v>
      </c>
      <c r="L170" s="22" t="str">
        <f>IFERROR(__xludf.DUMMYFUNCTION("""COMPUTED_VALUE"""),"0985932874")</f>
        <v>0985932874</v>
      </c>
      <c r="M170" s="22" t="str">
        <f>IFERROR(__xludf.DUMMYFUNCTION("""COMPUTED_VALUE"""),"038077008929")</f>
        <v>038077008929</v>
      </c>
      <c r="N170" s="25">
        <f>IFERROR(__xludf.DUMMYFUNCTION("""COMPUTED_VALUE"""),44375.0)</f>
        <v>44375</v>
      </c>
      <c r="O170" s="22" t="str">
        <f>IFERROR(__xludf.DUMMYFUNCTION("""COMPUTED_VALUE"""),"Cục Cảnh sát QLHC về TTXH")</f>
        <v>Cục Cảnh sát QLHC về TTXH</v>
      </c>
      <c r="P170" s="22" t="str">
        <f>IFERROR(__xludf.DUMMYFUNCTION("""COMPUTED_VALUE"""),"Bằng nghề")</f>
        <v>Bằng nghề</v>
      </c>
      <c r="Q170" s="22" t="str">
        <f>IFERROR(__xludf.DUMMYFUNCTION("""COMPUTED_VALUE"""),"Vận hành máy xúc thủy lực")</f>
        <v>Vận hành máy xúc thủy lực</v>
      </c>
      <c r="R170" s="24">
        <f>IFERROR(__xludf.DUMMYFUNCTION("""COMPUTED_VALUE"""),45707.0)</f>
        <v>45707</v>
      </c>
      <c r="S170" s="26">
        <f>IFERROR(__xludf.DUMMYFUNCTION("""COMPUTED_VALUE"""),45707.0)</f>
        <v>45707</v>
      </c>
      <c r="T170" s="22" t="str">
        <f>IFERROR(__xludf.DUMMYFUNCTION("""COMPUTED_VALUE"""),"Chính thức")</f>
        <v>Chính thức</v>
      </c>
      <c r="U170" s="22"/>
      <c r="V170" s="22" t="str">
        <f>IFERROR(__xludf.DUMMYFUNCTION("""COMPUTED_VALUE"""),"Chính thức")</f>
        <v>Chính thức</v>
      </c>
      <c r="W170" s="22" t="str">
        <f>IFERROR(__xludf.DUMMYFUNCTION("""COMPUTED_VALUE"""),"0 năm 10 tháng")</f>
        <v>0 năm 10 tháng</v>
      </c>
      <c r="X170" s="22"/>
      <c r="Y170" s="22"/>
      <c r="Z170" s="22"/>
    </row>
    <row r="171">
      <c r="A171" s="22">
        <f>IFERROR(__xludf.DUMMYFUNCTION("""COMPUTED_VALUE"""),13.0)</f>
        <v>13</v>
      </c>
      <c r="B171" s="22" t="str">
        <f>IFERROR(__xludf.DUMMYFUNCTION("""COMPUTED_VALUE"""),"Văn phòng")</f>
        <v>Văn phòng</v>
      </c>
      <c r="C171" s="22" t="str">
        <f>IFERROR(__xludf.DUMMYFUNCTION("""COMPUTED_VALUE"""),"Phòng khai thác")</f>
        <v>Phòng khai thác</v>
      </c>
      <c r="D171" s="22" t="str">
        <f>IFERROR(__xludf.DUMMYFUNCTION("""COMPUTED_VALUE"""),"Phân xưởng CBNL")</f>
        <v>Phân xưởng CBNL</v>
      </c>
      <c r="E171" s="22" t="str">
        <f>IFERROR(__xludf.DUMMYFUNCTION("""COMPUTED_VALUE"""),"VHC Lò đốt")</f>
        <v>VHC Lò đốt</v>
      </c>
      <c r="F171" s="22" t="str">
        <f>IFERROR(__xludf.DUMMYFUNCTION("""COMPUTED_VALUE"""),"NV0638")</f>
        <v>NV0638</v>
      </c>
      <c r="G171" s="22">
        <f>IFERROR(__xludf.DUMMYFUNCTION("""COMPUTED_VALUE"""),429.0)</f>
        <v>429</v>
      </c>
      <c r="H171" s="22" t="str">
        <f>IFERROR(__xludf.DUMMYFUNCTION("""COMPUTED_VALUE"""),"Nguyễn Văn Thìn")</f>
        <v>Nguyễn Văn Thìn</v>
      </c>
      <c r="I171" s="22" t="str">
        <f>IFERROR(__xludf.DUMMYFUNCTION("""COMPUTED_VALUE"""),"Nam")</f>
        <v>Nam</v>
      </c>
      <c r="J171" s="24">
        <f>IFERROR(__xludf.DUMMYFUNCTION("""COMPUTED_VALUE"""),32446.0)</f>
        <v>32446</v>
      </c>
      <c r="K171" s="22" t="str">
        <f>IFERROR(__xludf.DUMMYFUNCTION("""COMPUTED_VALUE"""),"Xã Lưu Vệ - Tỉnh Thanh Hóa")</f>
        <v>Xã Lưu Vệ - Tỉnh Thanh Hóa</v>
      </c>
      <c r="L171" s="22" t="str">
        <f>IFERROR(__xludf.DUMMYFUNCTION("""COMPUTED_VALUE"""),"0832950176; 0971376522")</f>
        <v>0832950176; 0971376522</v>
      </c>
      <c r="M171" s="22" t="str">
        <f>IFERROR(__xludf.DUMMYFUNCTION("""COMPUTED_VALUE"""),"038088018629")</f>
        <v>038088018629</v>
      </c>
      <c r="N171" s="25">
        <f>IFERROR(__xludf.DUMMYFUNCTION("""COMPUTED_VALUE"""),44308.0)</f>
        <v>44308</v>
      </c>
      <c r="O171" s="22" t="str">
        <f>IFERROR(__xludf.DUMMYFUNCTION("""COMPUTED_VALUE"""),"Cục Cảnh sát QLHC về TTXH")</f>
        <v>Cục Cảnh sát QLHC về TTXH</v>
      </c>
      <c r="P171" s="22" t="str">
        <f>IFERROR(__xludf.DUMMYFUNCTION("""COMPUTED_VALUE"""),"Sơ cấp nghề")</f>
        <v>Sơ cấp nghề</v>
      </c>
      <c r="Q171" s="22" t="str">
        <f>IFERROR(__xludf.DUMMYFUNCTION("""COMPUTED_VALUE"""),"Sửa chữa xe máy")</f>
        <v>Sửa chữa xe máy</v>
      </c>
      <c r="R171" s="24">
        <f>IFERROR(__xludf.DUMMYFUNCTION("""COMPUTED_VALUE"""),42019.0)</f>
        <v>42019</v>
      </c>
      <c r="S171" s="26">
        <f>IFERROR(__xludf.DUMMYFUNCTION("""COMPUTED_VALUE"""),42019.0)</f>
        <v>42019</v>
      </c>
      <c r="T171" s="22" t="str">
        <f>IFERROR(__xludf.DUMMYFUNCTION("""COMPUTED_VALUE"""),"Chính thức")</f>
        <v>Chính thức</v>
      </c>
      <c r="U171" s="22"/>
      <c r="V171" s="22" t="str">
        <f>IFERROR(__xludf.DUMMYFUNCTION("""COMPUTED_VALUE"""),"Chính thức")</f>
        <v>Chính thức</v>
      </c>
      <c r="W171" s="22" t="str">
        <f>IFERROR(__xludf.DUMMYFUNCTION("""COMPUTED_VALUE"""),"10 năm 11 tháng")</f>
        <v>10 năm 11 tháng</v>
      </c>
      <c r="X171" s="22"/>
      <c r="Y171" s="22"/>
      <c r="Z171" s="22"/>
    </row>
    <row r="172">
      <c r="A172" s="22">
        <f>IFERROR(__xludf.DUMMYFUNCTION("""COMPUTED_VALUE"""),14.0)</f>
        <v>14</v>
      </c>
      <c r="B172" s="22" t="str">
        <f>IFERROR(__xludf.DUMMYFUNCTION("""COMPUTED_VALUE"""),"Văn phòng")</f>
        <v>Văn phòng</v>
      </c>
      <c r="C172" s="22" t="str">
        <f>IFERROR(__xludf.DUMMYFUNCTION("""COMPUTED_VALUE"""),"Phòng khai thác")</f>
        <v>Phòng khai thác</v>
      </c>
      <c r="D172" s="22" t="str">
        <f>IFERROR(__xludf.DUMMYFUNCTION("""COMPUTED_VALUE"""),"Phân xưởng CBNL")</f>
        <v>Phân xưởng CBNL</v>
      </c>
      <c r="E172" s="22" t="str">
        <f>IFERROR(__xludf.DUMMYFUNCTION("""COMPUTED_VALUE"""),"Vận hành")</f>
        <v>Vận hành</v>
      </c>
      <c r="F172" s="22" t="str">
        <f>IFERROR(__xludf.DUMMYFUNCTION("""COMPUTED_VALUE"""),"NV0728")</f>
        <v>NV0728</v>
      </c>
      <c r="G172" s="22">
        <f>IFERROR(__xludf.DUMMYFUNCTION("""COMPUTED_VALUE"""),240.0)</f>
        <v>240</v>
      </c>
      <c r="H172" s="22" t="str">
        <f>IFERROR(__xludf.DUMMYFUNCTION("""COMPUTED_VALUE"""),"Nguyễn Mạnh Hùng")</f>
        <v>Nguyễn Mạnh Hùng</v>
      </c>
      <c r="I172" s="22" t="str">
        <f>IFERROR(__xludf.DUMMYFUNCTION("""COMPUTED_VALUE"""),"Nam")</f>
        <v>Nam</v>
      </c>
      <c r="J172" s="24">
        <f>IFERROR(__xludf.DUMMYFUNCTION("""COMPUTED_VALUE"""),26921.0)</f>
        <v>26921</v>
      </c>
      <c r="K172" s="22" t="str">
        <f>IFERROR(__xludf.DUMMYFUNCTION("""COMPUTED_VALUE"""),"01/214 Nguyễn Tĩnh - Phường Hạc Thành - Tỉnh Thanh Hóa")</f>
        <v>01/214 Nguyễn Tĩnh - Phường Hạc Thành - Tỉnh Thanh Hóa</v>
      </c>
      <c r="L172" s="22" t="str">
        <f>IFERROR(__xludf.DUMMYFUNCTION("""COMPUTED_VALUE"""),"0394284266")</f>
        <v>0394284266</v>
      </c>
      <c r="M172" s="22" t="str">
        <f>IFERROR(__xludf.DUMMYFUNCTION("""COMPUTED_VALUE"""),"038073006536")</f>
        <v>038073006536</v>
      </c>
      <c r="N172" s="25">
        <f>IFERROR(__xludf.DUMMYFUNCTION("""COMPUTED_VALUE"""),44422.0)</f>
        <v>44422</v>
      </c>
      <c r="O172" s="22" t="str">
        <f>IFERROR(__xludf.DUMMYFUNCTION("""COMPUTED_VALUE"""),"Cục Cảnh sát QLHC về TTXH")</f>
        <v>Cục Cảnh sát QLHC về TTXH</v>
      </c>
      <c r="P172" s="22" t="str">
        <f>IFERROR(__xludf.DUMMYFUNCTION("""COMPUTED_VALUE"""),"THPT")</f>
        <v>THPT</v>
      </c>
      <c r="Q172" s="22" t="str">
        <f>IFERROR(__xludf.DUMMYFUNCTION("""COMPUTED_VALUE"""),"Lao động phổ thông")</f>
        <v>Lao động phổ thông</v>
      </c>
      <c r="R172" s="24">
        <f>IFERROR(__xludf.DUMMYFUNCTION("""COMPUTED_VALUE"""),41687.0)</f>
        <v>41687</v>
      </c>
      <c r="S172" s="26">
        <f>IFERROR(__xludf.DUMMYFUNCTION("""COMPUTED_VALUE"""),41687.0)</f>
        <v>41687</v>
      </c>
      <c r="T172" s="22" t="str">
        <f>IFERROR(__xludf.DUMMYFUNCTION("""COMPUTED_VALUE"""),"Chính thức")</f>
        <v>Chính thức</v>
      </c>
      <c r="U172" s="22"/>
      <c r="V172" s="22" t="str">
        <f>IFERROR(__xludf.DUMMYFUNCTION("""COMPUTED_VALUE"""),"Chính thức")</f>
        <v>Chính thức</v>
      </c>
      <c r="W172" s="22" t="str">
        <f>IFERROR(__xludf.DUMMYFUNCTION("""COMPUTED_VALUE"""),"11 năm 10 tháng")</f>
        <v>11 năm 10 tháng</v>
      </c>
      <c r="X172" s="22"/>
      <c r="Y172" s="22"/>
      <c r="Z172" s="22"/>
    </row>
    <row r="173">
      <c r="A173" s="22">
        <f>IFERROR(__xludf.DUMMYFUNCTION("""COMPUTED_VALUE"""),15.0)</f>
        <v>15</v>
      </c>
      <c r="B173" s="22" t="str">
        <f>IFERROR(__xludf.DUMMYFUNCTION("""COMPUTED_VALUE"""),"Văn phòng")</f>
        <v>Văn phòng</v>
      </c>
      <c r="C173" s="22" t="str">
        <f>IFERROR(__xludf.DUMMYFUNCTION("""COMPUTED_VALUE"""),"Phòng khai thác")</f>
        <v>Phòng khai thác</v>
      </c>
      <c r="D173" s="22" t="str">
        <f>IFERROR(__xludf.DUMMYFUNCTION("""COMPUTED_VALUE"""),"Phân xưởng CBNL")</f>
        <v>Phân xưởng CBNL</v>
      </c>
      <c r="E173" s="22" t="str">
        <f>IFERROR(__xludf.DUMMYFUNCTION("""COMPUTED_VALUE"""),"Cơ điện")</f>
        <v>Cơ điện</v>
      </c>
      <c r="F173" s="22" t="str">
        <f>IFERROR(__xludf.DUMMYFUNCTION("""COMPUTED_VALUE"""),"NV1145")</f>
        <v>NV1145</v>
      </c>
      <c r="G173" s="22">
        <f>IFERROR(__xludf.DUMMYFUNCTION("""COMPUTED_VALUE"""),747.0)</f>
        <v>747</v>
      </c>
      <c r="H173" s="22" t="str">
        <f>IFERROR(__xludf.DUMMYFUNCTION("""COMPUTED_VALUE"""),"Lê Xuân Lợi")</f>
        <v>Lê Xuân Lợi</v>
      </c>
      <c r="I173" s="22" t="str">
        <f>IFERROR(__xludf.DUMMYFUNCTION("""COMPUTED_VALUE"""),"Nam")</f>
        <v>Nam</v>
      </c>
      <c r="J173" s="24">
        <f>IFERROR(__xludf.DUMMYFUNCTION("""COMPUTED_VALUE"""),30738.0)</f>
        <v>30738</v>
      </c>
      <c r="K173" s="22" t="str">
        <f>IFERROR(__xludf.DUMMYFUNCTION("""COMPUTED_VALUE"""),"Phố 2 -  Phường Hàm Rồng - Tỉnh Thanh Hóa")</f>
        <v>Phố 2 -  Phường Hàm Rồng - Tỉnh Thanh Hóa</v>
      </c>
      <c r="L173" s="22" t="str">
        <f>IFERROR(__xludf.DUMMYFUNCTION("""COMPUTED_VALUE"""),"0919011148")</f>
        <v>0919011148</v>
      </c>
      <c r="M173" s="22" t="str">
        <f>IFERROR(__xludf.DUMMYFUNCTION("""COMPUTED_VALUE"""),"038084010590")</f>
        <v>038084010590</v>
      </c>
      <c r="N173" s="25">
        <f>IFERROR(__xludf.DUMMYFUNCTION("""COMPUTED_VALUE"""),45442.0)</f>
        <v>45442</v>
      </c>
      <c r="O173" s="22" t="str">
        <f>IFERROR(__xludf.DUMMYFUNCTION("""COMPUTED_VALUE"""),"Cục Cảnh sát QLHC về TTXH")</f>
        <v>Cục Cảnh sát QLHC về TTXH</v>
      </c>
      <c r="P173" s="22" t="str">
        <f>IFERROR(__xludf.DUMMYFUNCTION("""COMPUTED_VALUE"""),"Trung học chuyên nghiệp")</f>
        <v>Trung học chuyên nghiệp</v>
      </c>
      <c r="Q173" s="22" t="str">
        <f>IFERROR(__xludf.DUMMYFUNCTION("""COMPUTED_VALUE"""),"Hệ thống điện")</f>
        <v>Hệ thống điện</v>
      </c>
      <c r="R173" s="24">
        <f>IFERROR(__xludf.DUMMYFUNCTION("""COMPUTED_VALUE"""),43061.0)</f>
        <v>43061</v>
      </c>
      <c r="S173" s="26">
        <f>IFERROR(__xludf.DUMMYFUNCTION("""COMPUTED_VALUE"""),43586.0)</f>
        <v>43586</v>
      </c>
      <c r="T173" s="22" t="str">
        <f>IFERROR(__xludf.DUMMYFUNCTION("""COMPUTED_VALUE"""),"Chính thức")</f>
        <v>Chính thức</v>
      </c>
      <c r="U173" s="22"/>
      <c r="V173" s="22" t="str">
        <f>IFERROR(__xludf.DUMMYFUNCTION("""COMPUTED_VALUE"""),"Chính thức")</f>
        <v>Chính thức</v>
      </c>
      <c r="W173" s="22" t="str">
        <f>IFERROR(__xludf.DUMMYFUNCTION("""COMPUTED_VALUE"""),"8 năm 1 tháng")</f>
        <v>8 năm 1 tháng</v>
      </c>
      <c r="X173" s="22"/>
      <c r="Y173" s="22"/>
      <c r="Z173" s="22"/>
    </row>
    <row r="174">
      <c r="A174" s="22">
        <f>IFERROR(__xludf.DUMMYFUNCTION("""COMPUTED_VALUE"""),16.0)</f>
        <v>16</v>
      </c>
      <c r="B174" s="22" t="str">
        <f>IFERROR(__xludf.DUMMYFUNCTION("""COMPUTED_VALUE"""),"Văn phòng")</f>
        <v>Văn phòng</v>
      </c>
      <c r="C174" s="22" t="str">
        <f>IFERROR(__xludf.DUMMYFUNCTION("""COMPUTED_VALUE"""),"Phòng khai thác")</f>
        <v>Phòng khai thác</v>
      </c>
      <c r="D174" s="22" t="str">
        <f>IFERROR(__xludf.DUMMYFUNCTION("""COMPUTED_VALUE"""),"Phân xưởng CBNL")</f>
        <v>Phân xưởng CBNL</v>
      </c>
      <c r="E174" s="22" t="str">
        <f>IFERROR(__xludf.DUMMYFUNCTION("""COMPUTED_VALUE"""),"Nhân viên")</f>
        <v>Nhân viên</v>
      </c>
      <c r="F174" s="22" t="str">
        <f>IFERROR(__xludf.DUMMYFUNCTION("""COMPUTED_VALUE"""),"NV5125")</f>
        <v>NV5125</v>
      </c>
      <c r="G174" s="22">
        <f>IFERROR(__xludf.DUMMYFUNCTION("""COMPUTED_VALUE"""),758.0)</f>
        <v>758</v>
      </c>
      <c r="H174" s="22" t="str">
        <f>IFERROR(__xludf.DUMMYFUNCTION("""COMPUTED_VALUE"""),"Phạm Văn Đức")</f>
        <v>Phạm Văn Đức</v>
      </c>
      <c r="I174" s="22" t="str">
        <f>IFERROR(__xludf.DUMMYFUNCTION("""COMPUTED_VALUE"""),"Nam")</f>
        <v>Nam</v>
      </c>
      <c r="J174" s="24">
        <f>IFERROR(__xludf.DUMMYFUNCTION("""COMPUTED_VALUE"""),31470.0)</f>
        <v>31470</v>
      </c>
      <c r="K174" s="22" t="str">
        <f>IFERROR(__xludf.DUMMYFUNCTION("""COMPUTED_VALUE"""),"Thạch Minh - Xã Cẩm Thạch - Tỉnh Thanh Hóa")</f>
        <v>Thạch Minh - Xã Cẩm Thạch - Tỉnh Thanh Hóa</v>
      </c>
      <c r="L174" s="22" t="str">
        <f>IFERROR(__xludf.DUMMYFUNCTION("""COMPUTED_VALUE"""),"0977143026")</f>
        <v>0977143026</v>
      </c>
      <c r="M174" s="22" t="str">
        <f>IFERROR(__xludf.DUMMYFUNCTION("""COMPUTED_VALUE"""),"038086032382")</f>
        <v>038086032382</v>
      </c>
      <c r="N174" s="25">
        <f>IFERROR(__xludf.DUMMYFUNCTION("""COMPUTED_VALUE"""),45042.0)</f>
        <v>45042</v>
      </c>
      <c r="O174" s="22" t="str">
        <f>IFERROR(__xludf.DUMMYFUNCTION("""COMPUTED_VALUE"""),"Cục Cảnh sát QLHC về TTXH")</f>
        <v>Cục Cảnh sát QLHC về TTXH</v>
      </c>
      <c r="P174" s="22" t="str">
        <f>IFERROR(__xludf.DUMMYFUNCTION("""COMPUTED_VALUE"""),"Trung học chuyên nghiệp")</f>
        <v>Trung học chuyên nghiệp</v>
      </c>
      <c r="Q174" s="22"/>
      <c r="R174" s="24">
        <f>IFERROR(__xludf.DUMMYFUNCTION("""COMPUTED_VALUE"""),45391.0)</f>
        <v>45391</v>
      </c>
      <c r="S174" s="26">
        <f>IFERROR(__xludf.DUMMYFUNCTION("""COMPUTED_VALUE"""),45474.0)</f>
        <v>45474</v>
      </c>
      <c r="T174" s="22" t="str">
        <f>IFERROR(__xludf.DUMMYFUNCTION("""COMPUTED_VALUE"""),"Chính thức")</f>
        <v>Chính thức</v>
      </c>
      <c r="U174" s="22"/>
      <c r="V174" s="22" t="str">
        <f>IFERROR(__xludf.DUMMYFUNCTION("""COMPUTED_VALUE"""),"Chính thức")</f>
        <v>Chính thức</v>
      </c>
      <c r="W174" s="22" t="str">
        <f>IFERROR(__xludf.DUMMYFUNCTION("""COMPUTED_VALUE"""),"1 năm 8 tháng")</f>
        <v>1 năm 8 tháng</v>
      </c>
      <c r="X174" s="22"/>
      <c r="Y174" s="22"/>
      <c r="Z174" s="22"/>
    </row>
    <row r="175">
      <c r="A175" s="22">
        <f>IFERROR(__xludf.DUMMYFUNCTION("""COMPUTED_VALUE"""),17.0)</f>
        <v>17</v>
      </c>
      <c r="B175" s="22" t="str">
        <f>IFERROR(__xludf.DUMMYFUNCTION("""COMPUTED_VALUE"""),"Văn phòng")</f>
        <v>Văn phòng</v>
      </c>
      <c r="C175" s="22" t="str">
        <f>IFERROR(__xludf.DUMMYFUNCTION("""COMPUTED_VALUE"""),"Phòng khai thác")</f>
        <v>Phòng khai thác</v>
      </c>
      <c r="D175" s="22" t="str">
        <f>IFERROR(__xludf.DUMMYFUNCTION("""COMPUTED_VALUE"""),"Phân xưởng CBNL")</f>
        <v>Phân xưởng CBNL</v>
      </c>
      <c r="E175" s="22" t="str">
        <f>IFERROR(__xludf.DUMMYFUNCTION("""COMPUTED_VALUE"""),"Nhân viên")</f>
        <v>Nhân viên</v>
      </c>
      <c r="F175" s="22" t="str">
        <f>IFERROR(__xludf.DUMMYFUNCTION("""COMPUTED_VALUE"""),"NV1215")</f>
        <v>NV1215</v>
      </c>
      <c r="G175" s="22">
        <f>IFERROR(__xludf.DUMMYFUNCTION("""COMPUTED_VALUE"""),745.0)</f>
        <v>745</v>
      </c>
      <c r="H175" s="22" t="str">
        <f>IFERROR(__xludf.DUMMYFUNCTION("""COMPUTED_VALUE"""),"Lê Đình Hưng")</f>
        <v>Lê Đình Hưng</v>
      </c>
      <c r="I175" s="22" t="str">
        <f>IFERROR(__xludf.DUMMYFUNCTION("""COMPUTED_VALUE"""),"Nam")</f>
        <v>Nam</v>
      </c>
      <c r="J175" s="24">
        <f>IFERROR(__xludf.DUMMYFUNCTION("""COMPUTED_VALUE"""),32334.0)</f>
        <v>32334</v>
      </c>
      <c r="K175" s="22" t="str">
        <f>IFERROR(__xludf.DUMMYFUNCTION("""COMPUTED_VALUE"""),"Thái Bình - Xã Trung Chính - Tỉnh Thanh Hóa")</f>
        <v>Thái Bình - Xã Trung Chính - Tỉnh Thanh Hóa</v>
      </c>
      <c r="L175" s="22" t="str">
        <f>IFERROR(__xludf.DUMMYFUNCTION("""COMPUTED_VALUE"""),"0838344886")</f>
        <v>0838344886</v>
      </c>
      <c r="M175" s="22" t="str">
        <f>IFERROR(__xludf.DUMMYFUNCTION("""COMPUTED_VALUE"""),"038088019198")</f>
        <v>038088019198</v>
      </c>
      <c r="N175" s="25">
        <f>IFERROR(__xludf.DUMMYFUNCTION("""COMPUTED_VALUE"""),44568.0)</f>
        <v>44568</v>
      </c>
      <c r="O175" s="22" t="str">
        <f>IFERROR(__xludf.DUMMYFUNCTION("""COMPUTED_VALUE"""),"Cục Cảnh sát QLHC về TTXH")</f>
        <v>Cục Cảnh sát QLHC về TTXH</v>
      </c>
      <c r="P175" s="22" t="str">
        <f>IFERROR(__xludf.DUMMYFUNCTION("""COMPUTED_VALUE"""),"Trung học chuyên nghiệp")</f>
        <v>Trung học chuyên nghiệp</v>
      </c>
      <c r="Q175" s="22"/>
      <c r="R175" s="24">
        <f>IFERROR(__xludf.DUMMYFUNCTION("""COMPUTED_VALUE"""),45348.0)</f>
        <v>45348</v>
      </c>
      <c r="S175" s="26">
        <f>IFERROR(__xludf.DUMMYFUNCTION("""COMPUTED_VALUE"""),45444.0)</f>
        <v>45444</v>
      </c>
      <c r="T175" s="22" t="str">
        <f>IFERROR(__xludf.DUMMYFUNCTION("""COMPUTED_VALUE"""),"Chính thức")</f>
        <v>Chính thức</v>
      </c>
      <c r="U175" s="22"/>
      <c r="V175" s="22" t="str">
        <f>IFERROR(__xludf.DUMMYFUNCTION("""COMPUTED_VALUE"""),"Chính thức")</f>
        <v>Chính thức</v>
      </c>
      <c r="W175" s="22" t="str">
        <f>IFERROR(__xludf.DUMMYFUNCTION("""COMPUTED_VALUE"""),"1 năm 10 tháng")</f>
        <v>1 năm 10 tháng</v>
      </c>
      <c r="X175" s="22"/>
      <c r="Y175" s="22"/>
      <c r="Z175" s="22"/>
    </row>
    <row r="176">
      <c r="A176" s="22">
        <f>IFERROR(__xludf.DUMMYFUNCTION("""COMPUTED_VALUE"""),18.0)</f>
        <v>18</v>
      </c>
      <c r="B176" s="22" t="str">
        <f>IFERROR(__xludf.DUMMYFUNCTION("""COMPUTED_VALUE"""),"Văn phòng")</f>
        <v>Văn phòng</v>
      </c>
      <c r="C176" s="22" t="str">
        <f>IFERROR(__xludf.DUMMYFUNCTION("""COMPUTED_VALUE"""),"Phòng khai thác")</f>
        <v>Phòng khai thác</v>
      </c>
      <c r="D176" s="22" t="str">
        <f>IFERROR(__xludf.DUMMYFUNCTION("""COMPUTED_VALUE"""),"Phân xưởng CBNL")</f>
        <v>Phân xưởng CBNL</v>
      </c>
      <c r="E176" s="22" t="str">
        <f>IFERROR(__xludf.DUMMYFUNCTION("""COMPUTED_VALUE"""),"Nhân viên")</f>
        <v>Nhân viên</v>
      </c>
      <c r="F176" s="22" t="str">
        <f>IFERROR(__xludf.DUMMYFUNCTION("""COMPUTED_VALUE"""),"NV5403")</f>
        <v>NV5403</v>
      </c>
      <c r="G176" s="22">
        <f>IFERROR(__xludf.DUMMYFUNCTION("""COMPUTED_VALUE"""),842.0)</f>
        <v>842</v>
      </c>
      <c r="H176" s="22" t="str">
        <f>IFERROR(__xludf.DUMMYFUNCTION("""COMPUTED_VALUE"""),"Nguyễn Viết Sâm")</f>
        <v>Nguyễn Viết Sâm</v>
      </c>
      <c r="I176" s="22" t="str">
        <f>IFERROR(__xludf.DUMMYFUNCTION("""COMPUTED_VALUE"""),"Nam")</f>
        <v>Nam</v>
      </c>
      <c r="J176" s="24">
        <f>IFERROR(__xludf.DUMMYFUNCTION("""COMPUTED_VALUE"""),30395.0)</f>
        <v>30395</v>
      </c>
      <c r="K176" s="22" t="str">
        <f>IFERROR(__xludf.DUMMYFUNCTION("""COMPUTED_VALUE"""),"KP Hòa Sơn - Phường Sầm Sơn - Tỉnh Thanh Hóa")</f>
        <v>KP Hòa Sơn - Phường Sầm Sơn - Tỉnh Thanh Hóa</v>
      </c>
      <c r="L176" s="22" t="str">
        <f>IFERROR(__xludf.DUMMYFUNCTION("""COMPUTED_VALUE"""),"0961629856")</f>
        <v>0961629856</v>
      </c>
      <c r="M176" s="22" t="str">
        <f>IFERROR(__xludf.DUMMYFUNCTION("""COMPUTED_VALUE"""),"038083011868")</f>
        <v>038083011868</v>
      </c>
      <c r="N176" s="25">
        <f>IFERROR(__xludf.DUMMYFUNCTION("""COMPUTED_VALUE"""),44375.0)</f>
        <v>44375</v>
      </c>
      <c r="O176" s="22" t="str">
        <f>IFERROR(__xludf.DUMMYFUNCTION("""COMPUTED_VALUE"""),"Cục Cảnh sát QLHC về TTXH")</f>
        <v>Cục Cảnh sát QLHC về TTXH</v>
      </c>
      <c r="P176" s="22" t="str">
        <f>IFERROR(__xludf.DUMMYFUNCTION("""COMPUTED_VALUE"""),"THPT")</f>
        <v>THPT</v>
      </c>
      <c r="Q176" s="22" t="str">
        <f>IFERROR(__xludf.DUMMYFUNCTION("""COMPUTED_VALUE"""),"Lao động phổ thông")</f>
        <v>Lao động phổ thông</v>
      </c>
      <c r="R176" s="24">
        <f>IFERROR(__xludf.DUMMYFUNCTION("""COMPUTED_VALUE"""),45700.0)</f>
        <v>45700</v>
      </c>
      <c r="S176" s="26">
        <f>IFERROR(__xludf.DUMMYFUNCTION("""COMPUTED_VALUE"""),45726.0)</f>
        <v>45726</v>
      </c>
      <c r="T176" s="22" t="str">
        <f>IFERROR(__xludf.DUMMYFUNCTION("""COMPUTED_VALUE"""),"Chính thức")</f>
        <v>Chính thức</v>
      </c>
      <c r="U176" s="22"/>
      <c r="V176" s="22" t="str">
        <f>IFERROR(__xludf.DUMMYFUNCTION("""COMPUTED_VALUE"""),"Chính thức")</f>
        <v>Chính thức</v>
      </c>
      <c r="W176" s="22" t="str">
        <f>IFERROR(__xludf.DUMMYFUNCTION("""COMPUTED_VALUE"""),"0 năm 10 tháng")</f>
        <v>0 năm 10 tháng</v>
      </c>
      <c r="X176" s="22"/>
      <c r="Y176" s="22"/>
      <c r="Z176" s="22"/>
    </row>
    <row r="177">
      <c r="A177" s="22">
        <f>IFERROR(__xludf.DUMMYFUNCTION("""COMPUTED_VALUE"""),19.0)</f>
        <v>19</v>
      </c>
      <c r="B177" s="22" t="str">
        <f>IFERROR(__xludf.DUMMYFUNCTION("""COMPUTED_VALUE"""),"Văn phòng")</f>
        <v>Văn phòng</v>
      </c>
      <c r="C177" s="22" t="str">
        <f>IFERROR(__xludf.DUMMYFUNCTION("""COMPUTED_VALUE"""),"Phòng khai thác")</f>
        <v>Phòng khai thác</v>
      </c>
      <c r="D177" s="22" t="str">
        <f>IFERROR(__xludf.DUMMYFUNCTION("""COMPUTED_VALUE"""),"Phân xưởng CBNL")</f>
        <v>Phân xưởng CBNL</v>
      </c>
      <c r="E177" s="22"/>
      <c r="F177" s="22" t="str">
        <f>IFERROR(__xludf.DUMMYFUNCTION("""COMPUTED_VALUE"""),"NV0726")</f>
        <v>NV0726</v>
      </c>
      <c r="G177" s="22">
        <f>IFERROR(__xludf.DUMMYFUNCTION("""COMPUTED_VALUE"""),765.0)</f>
        <v>765</v>
      </c>
      <c r="H177" s="22" t="str">
        <f>IFERROR(__xludf.DUMMYFUNCTION("""COMPUTED_VALUE"""),"Lương Văn Mạnh")</f>
        <v>Lương Văn Mạnh</v>
      </c>
      <c r="I177" s="22" t="str">
        <f>IFERROR(__xludf.DUMMYFUNCTION("""COMPUTED_VALUE"""),"Nam")</f>
        <v>Nam</v>
      </c>
      <c r="J177" s="24">
        <f>IFERROR(__xludf.DUMMYFUNCTION("""COMPUTED_VALUE"""),24871.0)</f>
        <v>24871</v>
      </c>
      <c r="K177" s="22" t="str">
        <f>IFERROR(__xludf.DUMMYFUNCTION("""COMPUTED_VALUE"""),"Thôn Trù Ninh - Xã Hoằng Hóa - Tỉnh Thanh Hóa")</f>
        <v>Thôn Trù Ninh - Xã Hoằng Hóa - Tỉnh Thanh Hóa</v>
      </c>
      <c r="L177" s="22" t="str">
        <f>IFERROR(__xludf.DUMMYFUNCTION("""COMPUTED_VALUE"""),"0917942051")</f>
        <v>0917942051</v>
      </c>
      <c r="M177" s="22" t="str">
        <f>IFERROR(__xludf.DUMMYFUNCTION("""COMPUTED_VALUE"""),"038068002411")</f>
        <v>038068002411</v>
      </c>
      <c r="N177" s="25">
        <f>IFERROR(__xludf.DUMMYFUNCTION("""COMPUTED_VALUE"""),24871.0)</f>
        <v>24871</v>
      </c>
      <c r="O177" s="22" t="str">
        <f>IFERROR(__xludf.DUMMYFUNCTION("""COMPUTED_VALUE"""),"Cục Cảnh sát QLHC về TTXH")</f>
        <v>Cục Cảnh sát QLHC về TTXH</v>
      </c>
      <c r="P177" s="22" t="str">
        <f>IFERROR(__xludf.DUMMYFUNCTION("""COMPUTED_VALUE"""),"THPT")</f>
        <v>THPT</v>
      </c>
      <c r="Q177" s="22" t="str">
        <f>IFERROR(__xludf.DUMMYFUNCTION("""COMPUTED_VALUE"""),"Lao động phổ thông")</f>
        <v>Lao động phổ thông</v>
      </c>
      <c r="R177" s="24">
        <f>IFERROR(__xludf.DUMMYFUNCTION("""COMPUTED_VALUE"""),41178.0)</f>
        <v>41178</v>
      </c>
      <c r="S177" s="26">
        <f>IFERROR(__xludf.DUMMYFUNCTION("""COMPUTED_VALUE"""),41178.0)</f>
        <v>41178</v>
      </c>
      <c r="T177" s="22" t="str">
        <f>IFERROR(__xludf.DUMMYFUNCTION("""COMPUTED_VALUE"""),"Chính thức")</f>
        <v>Chính thức</v>
      </c>
      <c r="U177" s="22"/>
      <c r="V177" s="22" t="str">
        <f>IFERROR(__xludf.DUMMYFUNCTION("""COMPUTED_VALUE"""),"Chính thức")</f>
        <v>Chính thức</v>
      </c>
      <c r="W177" s="22" t="str">
        <f>IFERROR(__xludf.DUMMYFUNCTION("""COMPUTED_VALUE"""),"13 năm 3 tháng")</f>
        <v>13 năm 3 tháng</v>
      </c>
      <c r="X177" s="22"/>
      <c r="Y177" s="22"/>
      <c r="Z177" s="22"/>
    </row>
    <row r="178">
      <c r="A178" s="22">
        <f>IFERROR(__xludf.DUMMYFUNCTION("""COMPUTED_VALUE"""),20.0)</f>
        <v>20</v>
      </c>
      <c r="B178" s="22" t="str">
        <f>IFERROR(__xludf.DUMMYFUNCTION("""COMPUTED_VALUE"""),"Văn phòng")</f>
        <v>Văn phòng</v>
      </c>
      <c r="C178" s="22" t="str">
        <f>IFERROR(__xludf.DUMMYFUNCTION("""COMPUTED_VALUE"""),"Phòng khai thác")</f>
        <v>Phòng khai thác</v>
      </c>
      <c r="D178" s="22" t="str">
        <f>IFERROR(__xludf.DUMMYFUNCTION("""COMPUTED_VALUE"""),"Phân xưởng CBNL")</f>
        <v>Phân xưởng CBNL</v>
      </c>
      <c r="E178" s="22" t="str">
        <f>IFERROR(__xludf.DUMMYFUNCTION("""COMPUTED_VALUE"""),"VHC Lò đốt")</f>
        <v>VHC Lò đốt</v>
      </c>
      <c r="F178" s="22" t="str">
        <f>IFERROR(__xludf.DUMMYFUNCTION("""COMPUTED_VALUE"""),"NV3490")</f>
        <v>NV3490</v>
      </c>
      <c r="G178" s="22">
        <f>IFERROR(__xludf.DUMMYFUNCTION("""COMPUTED_VALUE"""),759.0)</f>
        <v>759</v>
      </c>
      <c r="H178" s="22" t="str">
        <f>IFERROR(__xludf.DUMMYFUNCTION("""COMPUTED_VALUE"""),"Bùi Đình Cẩn")</f>
        <v>Bùi Đình Cẩn</v>
      </c>
      <c r="I178" s="22" t="str">
        <f>IFERROR(__xludf.DUMMYFUNCTION("""COMPUTED_VALUE"""),"Nam")</f>
        <v>Nam</v>
      </c>
      <c r="J178" s="24">
        <f>IFERROR(__xludf.DUMMYFUNCTION("""COMPUTED_VALUE"""),28831.0)</f>
        <v>28831</v>
      </c>
      <c r="K178" s="22" t="str">
        <f>IFERROR(__xludf.DUMMYFUNCTION("""COMPUTED_VALUE"""),"Thôn 2 - Xã Quảng Bình - Tỉnh Thanh Hóa")</f>
        <v>Thôn 2 - Xã Quảng Bình - Tỉnh Thanh Hóa</v>
      </c>
      <c r="L178" s="22" t="str">
        <f>IFERROR(__xludf.DUMMYFUNCTION("""COMPUTED_VALUE"""),"0972467055")</f>
        <v>0972467055</v>
      </c>
      <c r="M178" s="22" t="str">
        <f>IFERROR(__xludf.DUMMYFUNCTION("""COMPUTED_VALUE"""),"038078005495")</f>
        <v>038078005495</v>
      </c>
      <c r="N178" s="25">
        <f>IFERROR(__xludf.DUMMYFUNCTION("""COMPUTED_VALUE"""),44326.0)</f>
        <v>44326</v>
      </c>
      <c r="O178" s="22" t="str">
        <f>IFERROR(__xludf.DUMMYFUNCTION("""COMPUTED_VALUE"""),"Cục Cảnh sát QLHC về TTXH")</f>
        <v>Cục Cảnh sát QLHC về TTXH</v>
      </c>
      <c r="P178" s="22" t="str">
        <f>IFERROR(__xludf.DUMMYFUNCTION("""COMPUTED_VALUE"""),"LĐPT")</f>
        <v>LĐPT</v>
      </c>
      <c r="Q178" s="22" t="str">
        <f>IFERROR(__xludf.DUMMYFUNCTION("""COMPUTED_VALUE"""),"Lao động phổ thông")</f>
        <v>Lao động phổ thông</v>
      </c>
      <c r="R178" s="24">
        <f>IFERROR(__xludf.DUMMYFUNCTION("""COMPUTED_VALUE"""),45484.0)</f>
        <v>45484</v>
      </c>
      <c r="S178" s="26">
        <f>IFERROR(__xludf.DUMMYFUNCTION("""COMPUTED_VALUE"""),45566.0)</f>
        <v>45566</v>
      </c>
      <c r="T178" s="22" t="str">
        <f>IFERROR(__xludf.DUMMYFUNCTION("""COMPUTED_VALUE"""),"Chính thức")</f>
        <v>Chính thức</v>
      </c>
      <c r="U178" s="22"/>
      <c r="V178" s="22" t="str">
        <f>IFERROR(__xludf.DUMMYFUNCTION("""COMPUTED_VALUE"""),"Chính thức")</f>
        <v>Chính thức</v>
      </c>
      <c r="W178" s="22" t="str">
        <f>IFERROR(__xludf.DUMMYFUNCTION("""COMPUTED_VALUE"""),"1 năm 5 tháng")</f>
        <v>1 năm 5 tháng</v>
      </c>
      <c r="X178" s="22"/>
      <c r="Y178" s="22"/>
      <c r="Z178" s="22"/>
    </row>
    <row r="179">
      <c r="A179" s="22">
        <f>IFERROR(__xludf.DUMMYFUNCTION("""COMPUTED_VALUE"""),21.0)</f>
        <v>21</v>
      </c>
      <c r="B179" s="22" t="str">
        <f>IFERROR(__xludf.DUMMYFUNCTION("""COMPUTED_VALUE"""),"Văn phòng")</f>
        <v>Văn phòng</v>
      </c>
      <c r="C179" s="22" t="str">
        <f>IFERROR(__xludf.DUMMYFUNCTION("""COMPUTED_VALUE"""),"Phòng khai thác")</f>
        <v>Phòng khai thác</v>
      </c>
      <c r="D179" s="22" t="str">
        <f>IFERROR(__xludf.DUMMYFUNCTION("""COMPUTED_VALUE"""),"Phân xưởng CBNL")</f>
        <v>Phân xưởng CBNL</v>
      </c>
      <c r="E179" s="22"/>
      <c r="F179" s="22" t="str">
        <f>IFERROR(__xludf.DUMMYFUNCTION("""COMPUTED_VALUE"""),"NV0644")</f>
        <v>NV0644</v>
      </c>
      <c r="G179" s="22">
        <f>IFERROR(__xludf.DUMMYFUNCTION("""COMPUTED_VALUE"""),657.0)</f>
        <v>657</v>
      </c>
      <c r="H179" s="22" t="str">
        <f>IFERROR(__xludf.DUMMYFUNCTION("""COMPUTED_VALUE"""),"Lê Văn Hiệu")</f>
        <v>Lê Văn Hiệu</v>
      </c>
      <c r="I179" s="22" t="str">
        <f>IFERROR(__xludf.DUMMYFUNCTION("""COMPUTED_VALUE"""),"Nam")</f>
        <v>Nam</v>
      </c>
      <c r="J179" s="24">
        <f>IFERROR(__xludf.DUMMYFUNCTION("""COMPUTED_VALUE"""),31076.0)</f>
        <v>31076</v>
      </c>
      <c r="K179" s="22" t="str">
        <f>IFERROR(__xludf.DUMMYFUNCTION("""COMPUTED_VALUE"""),"Xã Quảng Bình - Tỉnh Thanh Hóa")</f>
        <v>Xã Quảng Bình - Tỉnh Thanh Hóa</v>
      </c>
      <c r="L179" s="22" t="str">
        <f>IFERROR(__xludf.DUMMYFUNCTION("""COMPUTED_VALUE"""),"0834764714")</f>
        <v>0834764714</v>
      </c>
      <c r="M179" s="22" t="str">
        <f>IFERROR(__xludf.DUMMYFUNCTION("""COMPUTED_VALUE"""),"038085006942")</f>
        <v>038085006942</v>
      </c>
      <c r="N179" s="25">
        <f>IFERROR(__xludf.DUMMYFUNCTION("""COMPUTED_VALUE"""),45708.0)</f>
        <v>45708</v>
      </c>
      <c r="O179" s="22" t="str">
        <f>IFERROR(__xludf.DUMMYFUNCTION("""COMPUTED_VALUE"""),"Bộ công an")</f>
        <v>Bộ công an</v>
      </c>
      <c r="P179" s="22" t="str">
        <f>IFERROR(__xludf.DUMMYFUNCTION("""COMPUTED_VALUE"""),"THPT")</f>
        <v>THPT</v>
      </c>
      <c r="Q179" s="22" t="str">
        <f>IFERROR(__xludf.DUMMYFUNCTION("""COMPUTED_VALUE"""),"Lao động phổ thông")</f>
        <v>Lao động phổ thông</v>
      </c>
      <c r="R179" s="24">
        <f>IFERROR(__xludf.DUMMYFUNCTION("""COMPUTED_VALUE"""),45371.0)</f>
        <v>45371</v>
      </c>
      <c r="S179" s="26">
        <f>IFERROR(__xludf.DUMMYFUNCTION("""COMPUTED_VALUE"""),45444.0)</f>
        <v>45444</v>
      </c>
      <c r="T179" s="22" t="str">
        <f>IFERROR(__xludf.DUMMYFUNCTION("""COMPUTED_VALUE"""),"Chính thức")</f>
        <v>Chính thức</v>
      </c>
      <c r="U179" s="22"/>
      <c r="V179" s="22" t="str">
        <f>IFERROR(__xludf.DUMMYFUNCTION("""COMPUTED_VALUE"""),"Chính thức")</f>
        <v>Chính thức</v>
      </c>
      <c r="W179" s="22" t="str">
        <f>IFERROR(__xludf.DUMMYFUNCTION("""COMPUTED_VALUE"""),"1 năm 9 tháng")</f>
        <v>1 năm 9 tháng</v>
      </c>
      <c r="X179" s="22"/>
      <c r="Y179" s="22"/>
      <c r="Z179" s="22"/>
    </row>
    <row r="180">
      <c r="A180" s="22">
        <f>IFERROR(__xludf.DUMMYFUNCTION("""COMPUTED_VALUE"""),22.0)</f>
        <v>22</v>
      </c>
      <c r="B180" s="22" t="str">
        <f>IFERROR(__xludf.DUMMYFUNCTION("""COMPUTED_VALUE"""),"Văn phòng")</f>
        <v>Văn phòng</v>
      </c>
      <c r="C180" s="22" t="str">
        <f>IFERROR(__xludf.DUMMYFUNCTION("""COMPUTED_VALUE"""),"Phòng khai thác")</f>
        <v>Phòng khai thác</v>
      </c>
      <c r="D180" s="22" t="str">
        <f>IFERROR(__xludf.DUMMYFUNCTION("""COMPUTED_VALUE"""),"Phân xưởng CBNL")</f>
        <v>Phân xưởng CBNL</v>
      </c>
      <c r="E180" s="22" t="str">
        <f>IFERROR(__xludf.DUMMYFUNCTION("""COMPUTED_VALUE"""),"Lái xúc lật")</f>
        <v>Lái xúc lật</v>
      </c>
      <c r="F180" s="22" t="str">
        <f>IFERROR(__xludf.DUMMYFUNCTION("""COMPUTED_VALUE"""),"NV0384")</f>
        <v>NV0384</v>
      </c>
      <c r="G180" s="22">
        <f>IFERROR(__xludf.DUMMYFUNCTION("""COMPUTED_VALUE"""),1088.0)</f>
        <v>1088</v>
      </c>
      <c r="H180" s="22" t="str">
        <f>IFERROR(__xludf.DUMMYFUNCTION("""COMPUTED_VALUE"""),"Nguyễn Hữu Nhân ")</f>
        <v>Nguyễn Hữu Nhân </v>
      </c>
      <c r="I180" s="22" t="str">
        <f>IFERROR(__xludf.DUMMYFUNCTION("""COMPUTED_VALUE"""),"Nam")</f>
        <v>Nam</v>
      </c>
      <c r="J180" s="24">
        <f>IFERROR(__xludf.DUMMYFUNCTION("""COMPUTED_VALUE"""),32934.0)</f>
        <v>32934</v>
      </c>
      <c r="K180" s="22" t="str">
        <f>IFERROR(__xludf.DUMMYFUNCTION("""COMPUTED_VALUE"""),"Phố Chính Hảo - Phường Quảng Phú - Tỉnh Thanh Hóa")</f>
        <v>Phố Chính Hảo - Phường Quảng Phú - Tỉnh Thanh Hóa</v>
      </c>
      <c r="L180" s="22" t="str">
        <f>IFERROR(__xludf.DUMMYFUNCTION("""COMPUTED_VALUE"""),"0931029222")</f>
        <v>0931029222</v>
      </c>
      <c r="M180" s="22" t="str">
        <f>IFERROR(__xludf.DUMMYFUNCTION("""COMPUTED_VALUE"""),"038090000512")</f>
        <v>038090000512</v>
      </c>
      <c r="N180" s="25">
        <f>IFERROR(__xludf.DUMMYFUNCTION("""COMPUTED_VALUE"""),42481.0)</f>
        <v>42481</v>
      </c>
      <c r="O180" s="22" t="str">
        <f>IFERROR(__xludf.DUMMYFUNCTION("""COMPUTED_VALUE"""),"Cục Cảnh sát QLHC về TTXH")</f>
        <v>Cục Cảnh sát QLHC về TTXH</v>
      </c>
      <c r="P180" s="22" t="str">
        <f>IFERROR(__xludf.DUMMYFUNCTION("""COMPUTED_VALUE"""),"Bằng nghề")</f>
        <v>Bằng nghề</v>
      </c>
      <c r="Q180" s="22" t="str">
        <f>IFERROR(__xludf.DUMMYFUNCTION("""COMPUTED_VALUE"""),"Lái xúc lật")</f>
        <v>Lái xúc lật</v>
      </c>
      <c r="R180" s="24">
        <f>IFERROR(__xludf.DUMMYFUNCTION("""COMPUTED_VALUE"""),45840.0)</f>
        <v>45840</v>
      </c>
      <c r="S180" s="26">
        <f>IFERROR(__xludf.DUMMYFUNCTION("""COMPUTED_VALUE"""),45840.0)</f>
        <v>45840</v>
      </c>
      <c r="T180" s="22" t="str">
        <f>IFERROR(__xludf.DUMMYFUNCTION("""COMPUTED_VALUE"""),"Chính thức")</f>
        <v>Chính thức</v>
      </c>
      <c r="U180" s="22"/>
      <c r="V180" s="22" t="str">
        <f>IFERROR(__xludf.DUMMYFUNCTION("""COMPUTED_VALUE"""),"Chính thức")</f>
        <v>Chính thức</v>
      </c>
      <c r="W180" s="22" t="str">
        <f>IFERROR(__xludf.DUMMYFUNCTION("""COMPUTED_VALUE"""),"0 năm 5 tháng")</f>
        <v>0 năm 5 tháng</v>
      </c>
      <c r="X180" s="22"/>
      <c r="Y180" s="22"/>
      <c r="Z180" s="22"/>
    </row>
    <row r="181">
      <c r="A181" s="22">
        <f>IFERROR(__xludf.DUMMYFUNCTION("""COMPUTED_VALUE"""),23.0)</f>
        <v>23</v>
      </c>
      <c r="B181" s="22" t="str">
        <f>IFERROR(__xludf.DUMMYFUNCTION("""COMPUTED_VALUE"""),"Văn phòng")</f>
        <v>Văn phòng</v>
      </c>
      <c r="C181" s="22" t="str">
        <f>IFERROR(__xludf.DUMMYFUNCTION("""COMPUTED_VALUE"""),"Phòng khai thác")</f>
        <v>Phòng khai thác</v>
      </c>
      <c r="D181" s="22" t="str">
        <f>IFERROR(__xludf.DUMMYFUNCTION("""COMPUTED_VALUE"""),"Phân xưởng CBNL")</f>
        <v>Phân xưởng CBNL</v>
      </c>
      <c r="E181" s="22" t="str">
        <f>IFERROR(__xludf.DUMMYFUNCTION("""COMPUTED_VALUE"""),"Vận hành")</f>
        <v>Vận hành</v>
      </c>
      <c r="F181" s="22" t="str">
        <f>IFERROR(__xludf.DUMMYFUNCTION("""COMPUTED_VALUE"""),"NV5708")</f>
        <v>NV5708</v>
      </c>
      <c r="G181" s="22">
        <f>IFERROR(__xludf.DUMMYFUNCTION("""COMPUTED_VALUE"""),1199.0)</f>
        <v>1199</v>
      </c>
      <c r="H181" s="22" t="str">
        <f>IFERROR(__xludf.DUMMYFUNCTION("""COMPUTED_VALUE"""),"Đỗ Viết Minh")</f>
        <v>Đỗ Viết Minh</v>
      </c>
      <c r="I181" s="22" t="str">
        <f>IFERROR(__xludf.DUMMYFUNCTION("""COMPUTED_VALUE"""),"Nam")</f>
        <v>Nam</v>
      </c>
      <c r="J181" s="24">
        <f>IFERROR(__xludf.DUMMYFUNCTION("""COMPUTED_VALUE"""),37662.0)</f>
        <v>37662</v>
      </c>
      <c r="K181" s="22" t="str">
        <f>IFERROR(__xludf.DUMMYFUNCTION("""COMPUTED_VALUE"""),"TDP Phượng Cát - Phường Ngọc Sơn - Tỉnh Thanh Hóa")</f>
        <v>TDP Phượng Cát - Phường Ngọc Sơn - Tỉnh Thanh Hóa</v>
      </c>
      <c r="L181" s="22" t="str">
        <f>IFERROR(__xludf.DUMMYFUNCTION("""COMPUTED_VALUE"""),"0345184016")</f>
        <v>0345184016</v>
      </c>
      <c r="M181" s="22" t="str">
        <f>IFERROR(__xludf.DUMMYFUNCTION("""COMPUTED_VALUE"""),"038203016610")</f>
        <v>038203016610</v>
      </c>
      <c r="N181" s="25">
        <f>IFERROR(__xludf.DUMMYFUNCTION("""COMPUTED_VALUE"""),44379.0)</f>
        <v>44379</v>
      </c>
      <c r="O181" s="22" t="str">
        <f>IFERROR(__xludf.DUMMYFUNCTION("""COMPUTED_VALUE"""),"Cục Cảnh sát QLHC về TTXH")</f>
        <v>Cục Cảnh sát QLHC về TTXH</v>
      </c>
      <c r="P181" s="22" t="str">
        <f>IFERROR(__xludf.DUMMYFUNCTION("""COMPUTED_VALUE"""),"Cao đẳng")</f>
        <v>Cao đẳng</v>
      </c>
      <c r="Q181" s="22" t="str">
        <f>IFERROR(__xludf.DUMMYFUNCTION("""COMPUTED_VALUE"""),"Công nghệ kỹ thuật điện điện tử")</f>
        <v>Công nghệ kỹ thuật điện điện tử</v>
      </c>
      <c r="R181" s="24">
        <f>IFERROR(__xludf.DUMMYFUNCTION("""COMPUTED_VALUE"""),45916.0)</f>
        <v>45916</v>
      </c>
      <c r="S181" s="26">
        <f>IFERROR(__xludf.DUMMYFUNCTION("""COMPUTED_VALUE"""),45946.0)</f>
        <v>45946</v>
      </c>
      <c r="T181" s="22" t="str">
        <f>IFERROR(__xludf.DUMMYFUNCTION("""COMPUTED_VALUE"""),"Chính thức")</f>
        <v>Chính thức</v>
      </c>
      <c r="U181" s="22"/>
      <c r="V181" s="22" t="str">
        <f>IFERROR(__xludf.DUMMYFUNCTION("""COMPUTED_VALUE"""),"Thử việc")</f>
        <v>Thử việc</v>
      </c>
      <c r="W181" s="22" t="str">
        <f>IFERROR(__xludf.DUMMYFUNCTION("""COMPUTED_VALUE"""),"0 năm 3 tháng")</f>
        <v>0 năm 3 tháng</v>
      </c>
      <c r="X181" s="22"/>
      <c r="Y181" s="22"/>
      <c r="Z181" s="22"/>
    </row>
    <row r="182">
      <c r="A182" s="22">
        <f>IFERROR(__xludf.DUMMYFUNCTION("""COMPUTED_VALUE"""),24.0)</f>
        <v>24</v>
      </c>
      <c r="B182" s="22" t="str">
        <f>IFERROR(__xludf.DUMMYFUNCTION("""COMPUTED_VALUE"""),"Văn phòng")</f>
        <v>Văn phòng</v>
      </c>
      <c r="C182" s="22" t="str">
        <f>IFERROR(__xludf.DUMMYFUNCTION("""COMPUTED_VALUE"""),"Phòng khai thác")</f>
        <v>Phòng khai thác</v>
      </c>
      <c r="D182" s="22" t="str">
        <f>IFERROR(__xludf.DUMMYFUNCTION("""COMPUTED_VALUE"""),"Phân xưởng CBNL")</f>
        <v>Phân xưởng CBNL</v>
      </c>
      <c r="E182" s="22" t="str">
        <f>IFERROR(__xludf.DUMMYFUNCTION("""COMPUTED_VALUE"""),"Công nhân vận hành")</f>
        <v>Công nhân vận hành</v>
      </c>
      <c r="F182" s="22" t="str">
        <f>IFERROR(__xludf.DUMMYFUNCTION("""COMPUTED_VALUE"""),"NV0640")</f>
        <v>NV0640</v>
      </c>
      <c r="G182" s="22">
        <f>IFERROR(__xludf.DUMMYFUNCTION("""COMPUTED_VALUE"""),404.0)</f>
        <v>404</v>
      </c>
      <c r="H182" s="22" t="str">
        <f>IFERROR(__xludf.DUMMYFUNCTION("""COMPUTED_VALUE"""),"Bùi Đình Vịnh")</f>
        <v>Bùi Đình Vịnh</v>
      </c>
      <c r="I182" s="22" t="str">
        <f>IFERROR(__xludf.DUMMYFUNCTION("""COMPUTED_VALUE"""),"Nam")</f>
        <v>Nam</v>
      </c>
      <c r="J182" s="24">
        <f>IFERROR(__xludf.DUMMYFUNCTION("""COMPUTED_VALUE"""),29199.0)</f>
        <v>29199</v>
      </c>
      <c r="K182" s="22" t="str">
        <f>IFERROR(__xludf.DUMMYFUNCTION("""COMPUTED_VALUE"""),"Xã Quảng Bình - Tỉnh Thanh Hóa")</f>
        <v>Xã Quảng Bình - Tỉnh Thanh Hóa</v>
      </c>
      <c r="L182" s="22" t="str">
        <f>IFERROR(__xludf.DUMMYFUNCTION("""COMPUTED_VALUE"""),"0385153907")</f>
        <v>0385153907</v>
      </c>
      <c r="M182" s="22" t="str">
        <f>IFERROR(__xludf.DUMMYFUNCTION("""COMPUTED_VALUE"""),"038079000999")</f>
        <v>038079000999</v>
      </c>
      <c r="N182" s="25">
        <f>IFERROR(__xludf.DUMMYFUNCTION("""COMPUTED_VALUE"""),44326.0)</f>
        <v>44326</v>
      </c>
      <c r="O182" s="22" t="str">
        <f>IFERROR(__xludf.DUMMYFUNCTION("""COMPUTED_VALUE"""),"Cục Cảnh sát QLHC về TTXH")</f>
        <v>Cục Cảnh sát QLHC về TTXH</v>
      </c>
      <c r="P182" s="22" t="str">
        <f>IFERROR(__xludf.DUMMYFUNCTION("""COMPUTED_VALUE"""),"LĐPT")</f>
        <v>LĐPT</v>
      </c>
      <c r="Q182" s="22" t="str">
        <f>IFERROR(__xludf.DUMMYFUNCTION("""COMPUTED_VALUE"""),"Lao động phổ thông")</f>
        <v>Lao động phổ thông</v>
      </c>
      <c r="R182" s="24">
        <f>IFERROR(__xludf.DUMMYFUNCTION("""COMPUTED_VALUE"""),42534.0)</f>
        <v>42534</v>
      </c>
      <c r="S182" s="26">
        <f>IFERROR(__xludf.DUMMYFUNCTION("""COMPUTED_VALUE"""),42948.0)</f>
        <v>42948</v>
      </c>
      <c r="T182" s="22" t="str">
        <f>IFERROR(__xludf.DUMMYFUNCTION("""COMPUTED_VALUE"""),"Chính thức")</f>
        <v>Chính thức</v>
      </c>
      <c r="U182" s="22"/>
      <c r="V182" s="22" t="str">
        <f>IFERROR(__xludf.DUMMYFUNCTION("""COMPUTED_VALUE"""),"Chính thức")</f>
        <v>Chính thức</v>
      </c>
      <c r="W182" s="22" t="str">
        <f>IFERROR(__xludf.DUMMYFUNCTION("""COMPUTED_VALUE"""),"9 năm 6 tháng")</f>
        <v>9 năm 6 tháng</v>
      </c>
      <c r="X182" s="22"/>
      <c r="Y182" s="22"/>
      <c r="Z182" s="22"/>
    </row>
    <row r="183">
      <c r="A183" s="22">
        <f>IFERROR(__xludf.DUMMYFUNCTION("""COMPUTED_VALUE"""),25.0)</f>
        <v>25</v>
      </c>
      <c r="B183" s="22" t="str">
        <f>IFERROR(__xludf.DUMMYFUNCTION("""COMPUTED_VALUE"""),"Văn phòng")</f>
        <v>Văn phòng</v>
      </c>
      <c r="C183" s="22" t="str">
        <f>IFERROR(__xludf.DUMMYFUNCTION("""COMPUTED_VALUE"""),"Phòng khai thác")</f>
        <v>Phòng khai thác</v>
      </c>
      <c r="D183" s="22" t="str">
        <f>IFERROR(__xludf.DUMMYFUNCTION("""COMPUTED_VALUE"""),"Phân xưởng CBNL")</f>
        <v>Phân xưởng CBNL</v>
      </c>
      <c r="E183" s="22" t="str">
        <f>IFERROR(__xludf.DUMMYFUNCTION("""COMPUTED_VALUE"""),"Công nhân vận hành")</f>
        <v>Công nhân vận hành</v>
      </c>
      <c r="F183" s="22" t="str">
        <f>IFERROR(__xludf.DUMMYFUNCTION("""COMPUTED_VALUE"""),"NV5347")</f>
        <v>NV5347</v>
      </c>
      <c r="G183" s="22">
        <f>IFERROR(__xludf.DUMMYFUNCTION("""COMPUTED_VALUE"""),671.0)</f>
        <v>671</v>
      </c>
      <c r="H183" s="22" t="str">
        <f>IFERROR(__xludf.DUMMYFUNCTION("""COMPUTED_VALUE"""),"Nguyễn Đức Thanh")</f>
        <v>Nguyễn Đức Thanh</v>
      </c>
      <c r="I183" s="22" t="str">
        <f>IFERROR(__xludf.DUMMYFUNCTION("""COMPUTED_VALUE"""),"Nam")</f>
        <v>Nam</v>
      </c>
      <c r="J183" s="24">
        <f>IFERROR(__xludf.DUMMYFUNCTION("""COMPUTED_VALUE"""),28970.0)</f>
        <v>28970</v>
      </c>
      <c r="K183" s="22" t="str">
        <f>IFERROR(__xludf.DUMMYFUNCTION("""COMPUTED_VALUE"""),"Phố Phan Đình Phùng - Phường Hạc Thành - Tỉnh Thanh Hóa")</f>
        <v>Phố Phan Đình Phùng - Phường Hạc Thành - Tỉnh Thanh Hóa</v>
      </c>
      <c r="L183" s="22" t="str">
        <f>IFERROR(__xludf.DUMMYFUNCTION("""COMPUTED_VALUE"""),"0962385537")</f>
        <v>0962385537</v>
      </c>
      <c r="M183" s="22" t="str">
        <f>IFERROR(__xludf.DUMMYFUNCTION("""COMPUTED_VALUE"""),"038079011949")</f>
        <v>038079011949</v>
      </c>
      <c r="N183" s="25">
        <f>IFERROR(__xludf.DUMMYFUNCTION("""COMPUTED_VALUE"""),45366.0)</f>
        <v>45366</v>
      </c>
      <c r="O183" s="22" t="str">
        <f>IFERROR(__xludf.DUMMYFUNCTION("""COMPUTED_VALUE"""),"Cục Cảnh sát QLHC về TTXH")</f>
        <v>Cục Cảnh sát QLHC về TTXH</v>
      </c>
      <c r="P183" s="22" t="str">
        <f>IFERROR(__xludf.DUMMYFUNCTION("""COMPUTED_VALUE"""),"Lao động phổ thông")</f>
        <v>Lao động phổ thông</v>
      </c>
      <c r="Q183" s="22" t="str">
        <f>IFERROR(__xludf.DUMMYFUNCTION("""COMPUTED_VALUE"""),"Lao động phổ thông")</f>
        <v>Lao động phổ thông</v>
      </c>
      <c r="R183" s="24">
        <f>IFERROR(__xludf.DUMMYFUNCTION("""COMPUTED_VALUE"""),45809.0)</f>
        <v>45809</v>
      </c>
      <c r="S183" s="26">
        <f>IFERROR(__xludf.DUMMYFUNCTION("""COMPUTED_VALUE"""),45809.0)</f>
        <v>45809</v>
      </c>
      <c r="T183" s="22" t="str">
        <f>IFERROR(__xludf.DUMMYFUNCTION("""COMPUTED_VALUE"""),"Chính thức")</f>
        <v>Chính thức</v>
      </c>
      <c r="U183" s="22"/>
      <c r="V183" s="22" t="str">
        <f>IFERROR(__xludf.DUMMYFUNCTION("""COMPUTED_VALUE"""),"Chính thức")</f>
        <v>Chính thức</v>
      </c>
      <c r="W183" s="22" t="str">
        <f>IFERROR(__xludf.DUMMYFUNCTION("""COMPUTED_VALUE"""),"0 năm 6 tháng")</f>
        <v>0 năm 6 tháng</v>
      </c>
      <c r="X183" s="22"/>
      <c r="Y183" s="22"/>
      <c r="Z183" s="22"/>
    </row>
    <row r="184">
      <c r="A184" s="22">
        <f>IFERROR(__xludf.DUMMYFUNCTION("""COMPUTED_VALUE"""),26.0)</f>
        <v>26</v>
      </c>
      <c r="B184" s="22" t="str">
        <f>IFERROR(__xludf.DUMMYFUNCTION("""COMPUTED_VALUE"""),"Văn phòng")</f>
        <v>Văn phòng</v>
      </c>
      <c r="C184" s="22" t="str">
        <f>IFERROR(__xludf.DUMMYFUNCTION("""COMPUTED_VALUE"""),"Phòng khai thác")</f>
        <v>Phòng khai thác</v>
      </c>
      <c r="D184" s="22" t="str">
        <f>IFERROR(__xludf.DUMMYFUNCTION("""COMPUTED_VALUE"""),"Phân xưởng CBNL")</f>
        <v>Phân xưởng CBNL</v>
      </c>
      <c r="E184" s="22" t="str">
        <f>IFERROR(__xludf.DUMMYFUNCTION("""COMPUTED_VALUE"""),"Công nhân vận hành")</f>
        <v>Công nhân vận hành</v>
      </c>
      <c r="F184" s="22" t="str">
        <f>IFERROR(__xludf.DUMMYFUNCTION("""COMPUTED_VALUE"""),"NV5294")</f>
        <v>NV5294</v>
      </c>
      <c r="G184" s="22">
        <f>IFERROR(__xludf.DUMMYFUNCTION("""COMPUTED_VALUE"""),661.0)</f>
        <v>661</v>
      </c>
      <c r="H184" s="22" t="str">
        <f>IFERROR(__xludf.DUMMYFUNCTION("""COMPUTED_VALUE"""),"Đinh Sỹ Hải")</f>
        <v>Đinh Sỹ Hải</v>
      </c>
      <c r="I184" s="22" t="str">
        <f>IFERROR(__xludf.DUMMYFUNCTION("""COMPUTED_VALUE"""),"Nam")</f>
        <v>Nam</v>
      </c>
      <c r="J184" s="24">
        <f>IFERROR(__xludf.DUMMYFUNCTION("""COMPUTED_VALUE"""),33902.0)</f>
        <v>33902</v>
      </c>
      <c r="K184" s="22" t="str">
        <f>IFERROR(__xludf.DUMMYFUNCTION("""COMPUTED_VALUE"""),"Phường Nam Sầm Sơn - Tỉnh Thanh Hóa")</f>
        <v>Phường Nam Sầm Sơn - Tỉnh Thanh Hóa</v>
      </c>
      <c r="L184" s="22" t="str">
        <f>IFERROR(__xludf.DUMMYFUNCTION("""COMPUTED_VALUE"""),"0965626238")</f>
        <v>0965626238</v>
      </c>
      <c r="M184" s="22" t="str">
        <f>IFERROR(__xludf.DUMMYFUNCTION("""COMPUTED_VALUE"""),"038092034167")</f>
        <v>038092034167</v>
      </c>
      <c r="N184" s="25">
        <f>IFERROR(__xludf.DUMMYFUNCTION("""COMPUTED_VALUE"""),44427.0)</f>
        <v>44427</v>
      </c>
      <c r="O184" s="22" t="str">
        <f>IFERROR(__xludf.DUMMYFUNCTION("""COMPUTED_VALUE"""),"Cục Cảnh sát QLHC về TTXH")</f>
        <v>Cục Cảnh sát QLHC về TTXH</v>
      </c>
      <c r="P184" s="22" t="str">
        <f>IFERROR(__xludf.DUMMYFUNCTION("""COMPUTED_VALUE"""),"LĐPT")</f>
        <v>LĐPT</v>
      </c>
      <c r="Q184" s="22" t="str">
        <f>IFERROR(__xludf.DUMMYFUNCTION("""COMPUTED_VALUE"""),"Lao động phổ thông")</f>
        <v>Lao động phổ thông</v>
      </c>
      <c r="R184" s="24">
        <f>IFERROR(__xludf.DUMMYFUNCTION("""COMPUTED_VALUE"""),45806.0)</f>
        <v>45806</v>
      </c>
      <c r="S184" s="22"/>
      <c r="T184" s="22" t="str">
        <f>IFERROR(__xludf.DUMMYFUNCTION("""COMPUTED_VALUE"""),"Chính thức")</f>
        <v>Chính thức</v>
      </c>
      <c r="U184" s="22"/>
      <c r="V184" s="22" t="str">
        <f>IFERROR(__xludf.DUMMYFUNCTION("""COMPUTED_VALUE"""),"Chính thức")</f>
        <v>Chính thức</v>
      </c>
      <c r="W184" s="22" t="str">
        <f>IFERROR(__xludf.DUMMYFUNCTION("""COMPUTED_VALUE"""),"0 năm 7 tháng")</f>
        <v>0 năm 7 tháng</v>
      </c>
      <c r="X184" s="22"/>
      <c r="Y184" s="22"/>
      <c r="Z184" s="22"/>
    </row>
    <row r="185">
      <c r="A185" s="22">
        <f>IFERROR(__xludf.DUMMYFUNCTION("""COMPUTED_VALUE"""),27.0)</f>
        <v>27</v>
      </c>
      <c r="B185" s="22" t="str">
        <f>IFERROR(__xludf.DUMMYFUNCTION("""COMPUTED_VALUE"""),"Văn phòng")</f>
        <v>Văn phòng</v>
      </c>
      <c r="C185" s="22" t="str">
        <f>IFERROR(__xludf.DUMMYFUNCTION("""COMPUTED_VALUE"""),"Phòng khai thác")</f>
        <v>Phòng khai thác</v>
      </c>
      <c r="D185" s="22" t="str">
        <f>IFERROR(__xludf.DUMMYFUNCTION("""COMPUTED_VALUE"""),"Phân xưởng CBNL")</f>
        <v>Phân xưởng CBNL</v>
      </c>
      <c r="E185" s="22" t="str">
        <f>IFERROR(__xludf.DUMMYFUNCTION("""COMPUTED_VALUE"""),"Công nhân vận hành")</f>
        <v>Công nhân vận hành</v>
      </c>
      <c r="F185" s="22" t="str">
        <f>IFERROR(__xludf.DUMMYFUNCTION("""COMPUTED_VALUE"""),"NV2411")</f>
        <v>NV2411</v>
      </c>
      <c r="G185" s="22">
        <f>IFERROR(__xludf.DUMMYFUNCTION("""COMPUTED_VALUE"""),243.0)</f>
        <v>243</v>
      </c>
      <c r="H185" s="22" t="str">
        <f>IFERROR(__xludf.DUMMYFUNCTION("""COMPUTED_VALUE"""),"Phạm Hữu Huy")</f>
        <v>Phạm Hữu Huy</v>
      </c>
      <c r="I185" s="22" t="str">
        <f>IFERROR(__xludf.DUMMYFUNCTION("""COMPUTED_VALUE"""),"Nam")</f>
        <v>Nam</v>
      </c>
      <c r="J185" s="24">
        <f>IFERROR(__xludf.DUMMYFUNCTION("""COMPUTED_VALUE"""),28984.0)</f>
        <v>28984</v>
      </c>
      <c r="K185" s="22" t="str">
        <f>IFERROR(__xludf.DUMMYFUNCTION("""COMPUTED_VALUE"""),"Phố 2 - Xã Lưu Vệ - Tỉnh Thanh Hóa")</f>
        <v>Phố 2 - Xã Lưu Vệ - Tỉnh Thanh Hóa</v>
      </c>
      <c r="L185" s="22" t="str">
        <f>IFERROR(__xludf.DUMMYFUNCTION("""COMPUTED_VALUE"""),"0975804659")</f>
        <v>0975804659</v>
      </c>
      <c r="M185" s="22" t="str">
        <f>IFERROR(__xludf.DUMMYFUNCTION("""COMPUTED_VALUE"""),"038079010127")</f>
        <v>038079010127</v>
      </c>
      <c r="N185" s="25">
        <f>IFERROR(__xludf.DUMMYFUNCTION("""COMPUTED_VALUE"""),44419.0)</f>
        <v>44419</v>
      </c>
      <c r="O185" s="22" t="str">
        <f>IFERROR(__xludf.DUMMYFUNCTION("""COMPUTED_VALUE"""),"Cục Cảnh sát QLHC về TTXH")</f>
        <v>Cục Cảnh sát QLHC về TTXH</v>
      </c>
      <c r="P185" s="22" t="str">
        <f>IFERROR(__xludf.DUMMYFUNCTION("""COMPUTED_VALUE"""),"LĐPT")</f>
        <v>LĐPT</v>
      </c>
      <c r="Q185" s="22" t="str">
        <f>IFERROR(__xludf.DUMMYFUNCTION("""COMPUTED_VALUE"""),"Lao động phổ thông")</f>
        <v>Lao động phổ thông</v>
      </c>
      <c r="R185" s="24">
        <f>IFERROR(__xludf.DUMMYFUNCTION("""COMPUTED_VALUE"""),43617.0)</f>
        <v>43617</v>
      </c>
      <c r="S185" s="26">
        <f>IFERROR(__xludf.DUMMYFUNCTION("""COMPUTED_VALUE"""),44013.0)</f>
        <v>44013</v>
      </c>
      <c r="T185" s="22" t="str">
        <f>IFERROR(__xludf.DUMMYFUNCTION("""COMPUTED_VALUE"""),"Chính thức")</f>
        <v>Chính thức</v>
      </c>
      <c r="U185" s="22"/>
      <c r="V185" s="22" t="str">
        <f>IFERROR(__xludf.DUMMYFUNCTION("""COMPUTED_VALUE"""),"Chính thức")</f>
        <v>Chính thức</v>
      </c>
      <c r="W185" s="22" t="str">
        <f>IFERROR(__xludf.DUMMYFUNCTION("""COMPUTED_VALUE"""),"6 năm 6 tháng")</f>
        <v>6 năm 6 tháng</v>
      </c>
      <c r="X185" s="22"/>
      <c r="Y185" s="22"/>
      <c r="Z185" s="22"/>
    </row>
    <row r="186">
      <c r="A186" s="22">
        <f>IFERROR(__xludf.DUMMYFUNCTION("""COMPUTED_VALUE"""),28.0)</f>
        <v>28</v>
      </c>
      <c r="B186" s="22" t="str">
        <f>IFERROR(__xludf.DUMMYFUNCTION("""COMPUTED_VALUE"""),"Văn phòng")</f>
        <v>Văn phòng</v>
      </c>
      <c r="C186" s="22" t="str">
        <f>IFERROR(__xludf.DUMMYFUNCTION("""COMPUTED_VALUE"""),"Phòng khai thác")</f>
        <v>Phòng khai thác</v>
      </c>
      <c r="D186" s="22" t="str">
        <f>IFERROR(__xludf.DUMMYFUNCTION("""COMPUTED_VALUE"""),"Phân xưởng CBNL")</f>
        <v>Phân xưởng CBNL</v>
      </c>
      <c r="E186" s="22" t="str">
        <f>IFERROR(__xludf.DUMMYFUNCTION("""COMPUTED_VALUE"""),"Công nhân vận hành")</f>
        <v>Công nhân vận hành</v>
      </c>
      <c r="F186" s="22" t="str">
        <f>IFERROR(__xludf.DUMMYFUNCTION("""COMPUTED_VALUE"""),"NV4189")</f>
        <v>NV4189</v>
      </c>
      <c r="G186" s="22">
        <f>IFERROR(__xludf.DUMMYFUNCTION("""COMPUTED_VALUE"""),228.0)</f>
        <v>228</v>
      </c>
      <c r="H186" s="22" t="str">
        <f>IFERROR(__xludf.DUMMYFUNCTION("""COMPUTED_VALUE"""),"Khúc Xuân Ngọc")</f>
        <v>Khúc Xuân Ngọc</v>
      </c>
      <c r="I186" s="22" t="str">
        <f>IFERROR(__xludf.DUMMYFUNCTION("""COMPUTED_VALUE"""),"Nam")</f>
        <v>Nam</v>
      </c>
      <c r="J186" s="24">
        <f>IFERROR(__xludf.DUMMYFUNCTION("""COMPUTED_VALUE"""),34036.0)</f>
        <v>34036</v>
      </c>
      <c r="K186" s="22" t="str">
        <f>IFERROR(__xludf.DUMMYFUNCTION("""COMPUTED_VALUE"""),"Thôn Trạch Hồng - Xã Quảng Yên - Tỉnh Thanh Hóa")</f>
        <v>Thôn Trạch Hồng - Xã Quảng Yên - Tỉnh Thanh Hóa</v>
      </c>
      <c r="L186" s="22" t="str">
        <f>IFERROR(__xludf.DUMMYFUNCTION("""COMPUTED_VALUE"""),"0849527666")</f>
        <v>0849527666</v>
      </c>
      <c r="M186" s="22" t="str">
        <f>IFERROR(__xludf.DUMMYFUNCTION("""COMPUTED_VALUE"""),"038093014059")</f>
        <v>038093014059</v>
      </c>
      <c r="N186" s="25">
        <f>IFERROR(__xludf.DUMMYFUNCTION("""COMPUTED_VALUE"""),44461.0)</f>
        <v>44461</v>
      </c>
      <c r="O186" s="22" t="str">
        <f>IFERROR(__xludf.DUMMYFUNCTION("""COMPUTED_VALUE"""),"Cục Cảnh sát QLHC về TTXH")</f>
        <v>Cục Cảnh sát QLHC về TTXH</v>
      </c>
      <c r="P186" s="22" t="str">
        <f>IFERROR(__xludf.DUMMYFUNCTION("""COMPUTED_VALUE"""),"LĐPT")</f>
        <v>LĐPT</v>
      </c>
      <c r="Q186" s="22" t="str">
        <f>IFERROR(__xludf.DUMMYFUNCTION("""COMPUTED_VALUE"""),"Lao động phổ thông")</f>
        <v>Lao động phổ thông</v>
      </c>
      <c r="R186" s="24">
        <f>IFERROR(__xludf.DUMMYFUNCTION("""COMPUTED_VALUE"""),44695.0)</f>
        <v>44695</v>
      </c>
      <c r="S186" s="26">
        <f>IFERROR(__xludf.DUMMYFUNCTION("""COMPUTED_VALUE"""),44986.0)</f>
        <v>44986</v>
      </c>
      <c r="T186" s="22" t="str">
        <f>IFERROR(__xludf.DUMMYFUNCTION("""COMPUTED_VALUE"""),"Chính thức")</f>
        <v>Chính thức</v>
      </c>
      <c r="U186" s="22"/>
      <c r="V186" s="22" t="str">
        <f>IFERROR(__xludf.DUMMYFUNCTION("""COMPUTED_VALUE"""),"Chính thức")</f>
        <v>Chính thức</v>
      </c>
      <c r="W186" s="22" t="str">
        <f>IFERROR(__xludf.DUMMYFUNCTION("""COMPUTED_VALUE"""),"3 năm 7 tháng")</f>
        <v>3 năm 7 tháng</v>
      </c>
      <c r="X186" s="22"/>
      <c r="Y186" s="22"/>
      <c r="Z186" s="22"/>
    </row>
    <row r="187">
      <c r="A187" s="22">
        <f>IFERROR(__xludf.DUMMYFUNCTION("""COMPUTED_VALUE"""),29.0)</f>
        <v>29</v>
      </c>
      <c r="B187" s="22" t="str">
        <f>IFERROR(__xludf.DUMMYFUNCTION("""COMPUTED_VALUE"""),"Văn phòng")</f>
        <v>Văn phòng</v>
      </c>
      <c r="C187" s="22" t="str">
        <f>IFERROR(__xludf.DUMMYFUNCTION("""COMPUTED_VALUE"""),"Phòng khai thác")</f>
        <v>Phòng khai thác</v>
      </c>
      <c r="D187" s="22" t="str">
        <f>IFERROR(__xludf.DUMMYFUNCTION("""COMPUTED_VALUE"""),"Phân xưởng CBNL")</f>
        <v>Phân xưởng CBNL</v>
      </c>
      <c r="E187" s="22" t="str">
        <f>IFERROR(__xludf.DUMMYFUNCTION("""COMPUTED_VALUE"""),"Công nhân vận hành")</f>
        <v>Công nhân vận hành</v>
      </c>
      <c r="F187" s="22" t="str">
        <f>IFERROR(__xludf.DUMMYFUNCTION("""COMPUTED_VALUE"""),"NV5669")</f>
        <v>NV5669</v>
      </c>
      <c r="G187" s="22">
        <f>IFERROR(__xludf.DUMMYFUNCTION("""COMPUTED_VALUE"""),1163.0)</f>
        <v>1163</v>
      </c>
      <c r="H187" s="22" t="str">
        <f>IFERROR(__xludf.DUMMYFUNCTION("""COMPUTED_VALUE"""),"Nguyễn Thìn Long")</f>
        <v>Nguyễn Thìn Long</v>
      </c>
      <c r="I187" s="22" t="str">
        <f>IFERROR(__xludf.DUMMYFUNCTION("""COMPUTED_VALUE"""),"Nam")</f>
        <v>Nam</v>
      </c>
      <c r="J187" s="24">
        <f>IFERROR(__xludf.DUMMYFUNCTION("""COMPUTED_VALUE"""),25126.0)</f>
        <v>25126</v>
      </c>
      <c r="K187" s="22" t="str">
        <f>IFERROR(__xludf.DUMMYFUNCTION("""COMPUTED_VALUE"""),"Thôn Hiền Thư - Phường Đông Sơn - 
 Tỉnh Thanh Hóa")</f>
        <v>Thôn Hiền Thư - Phường Đông Sơn - 
 Tỉnh Thanh Hóa</v>
      </c>
      <c r="L187" s="22" t="str">
        <f>IFERROR(__xludf.DUMMYFUNCTION("""COMPUTED_VALUE"""),"0965882349")</f>
        <v>0965882349</v>
      </c>
      <c r="M187" s="22" t="str">
        <f>IFERROR(__xludf.DUMMYFUNCTION("""COMPUTED_VALUE"""),"038068005140")</f>
        <v>038068005140</v>
      </c>
      <c r="N187" s="25">
        <f>IFERROR(__xludf.DUMMYFUNCTION("""COMPUTED_VALUE"""),44427.0)</f>
        <v>44427</v>
      </c>
      <c r="O187" s="22" t="str">
        <f>IFERROR(__xludf.DUMMYFUNCTION("""COMPUTED_VALUE"""),"Cục Cảnh sát QLHC về TTXH")</f>
        <v>Cục Cảnh sát QLHC về TTXH</v>
      </c>
      <c r="P187" s="22" t="str">
        <f>IFERROR(__xludf.DUMMYFUNCTION("""COMPUTED_VALUE"""),"LĐPT")</f>
        <v>LĐPT</v>
      </c>
      <c r="Q187" s="22" t="str">
        <f>IFERROR(__xludf.DUMMYFUNCTION("""COMPUTED_VALUE"""),"Lao động phổ thông")</f>
        <v>Lao động phổ thông</v>
      </c>
      <c r="R187" s="24">
        <f>IFERROR(__xludf.DUMMYFUNCTION("""COMPUTED_VALUE"""),45897.0)</f>
        <v>45897</v>
      </c>
      <c r="S187" s="26">
        <f>IFERROR(__xludf.DUMMYFUNCTION("""COMPUTED_VALUE"""),45928.0)</f>
        <v>45928</v>
      </c>
      <c r="T187" s="22" t="str">
        <f>IFERROR(__xludf.DUMMYFUNCTION("""COMPUTED_VALUE"""),"Chính thức")</f>
        <v>Chính thức</v>
      </c>
      <c r="U187" s="22"/>
      <c r="V187" s="22" t="str">
        <f>IFERROR(__xludf.DUMMYFUNCTION("""COMPUTED_VALUE"""),"Chính thức")</f>
        <v>Chính thức</v>
      </c>
      <c r="W187" s="22" t="str">
        <f>IFERROR(__xludf.DUMMYFUNCTION("""COMPUTED_VALUE"""),"0 năm 4 tháng")</f>
        <v>0 năm 4 tháng</v>
      </c>
      <c r="X187" s="22"/>
      <c r="Y187" s="22"/>
      <c r="Z187" s="22"/>
    </row>
    <row r="188">
      <c r="A188" s="22">
        <f>IFERROR(__xludf.DUMMYFUNCTION("""COMPUTED_VALUE"""),30.0)</f>
        <v>30</v>
      </c>
      <c r="B188" s="22" t="str">
        <f>IFERROR(__xludf.DUMMYFUNCTION("""COMPUTED_VALUE"""),"Văn phòng")</f>
        <v>Văn phòng</v>
      </c>
      <c r="C188" s="22" t="str">
        <f>IFERROR(__xludf.DUMMYFUNCTION("""COMPUTED_VALUE"""),"Phòng khai thác")</f>
        <v>Phòng khai thác</v>
      </c>
      <c r="D188" s="22" t="str">
        <f>IFERROR(__xludf.DUMMYFUNCTION("""COMPUTED_VALUE"""),"Phân xưởng CBNL")</f>
        <v>Phân xưởng CBNL</v>
      </c>
      <c r="E188" s="22" t="str">
        <f>IFERROR(__xludf.DUMMYFUNCTION("""COMPUTED_VALUE"""),"Công nhân vận hành")</f>
        <v>Công nhân vận hành</v>
      </c>
      <c r="F188" s="22" t="str">
        <f>IFERROR(__xludf.DUMMYFUNCTION("""COMPUTED_VALUE"""),"NV5035")</f>
        <v>NV5035</v>
      </c>
      <c r="G188" s="22">
        <f>IFERROR(__xludf.DUMMYFUNCTION("""COMPUTED_VALUE"""),355.0)</f>
        <v>355</v>
      </c>
      <c r="H188" s="22" t="str">
        <f>IFERROR(__xludf.DUMMYFUNCTION("""COMPUTED_VALUE"""),"Nguyễn Văn Năm")</f>
        <v>Nguyễn Văn Năm</v>
      </c>
      <c r="I188" s="22" t="str">
        <f>IFERROR(__xludf.DUMMYFUNCTION("""COMPUTED_VALUE"""),"Nam")</f>
        <v>Nam</v>
      </c>
      <c r="J188" s="24">
        <f>IFERROR(__xludf.DUMMYFUNCTION("""COMPUTED_VALUE"""),29994.0)</f>
        <v>29994</v>
      </c>
      <c r="K188" s="22" t="str">
        <f>IFERROR(__xludf.DUMMYFUNCTION("""COMPUTED_VALUE"""),"Phường Quảng Phú - Tỉnh Thanh Hóa")</f>
        <v>Phường Quảng Phú - Tỉnh Thanh Hóa</v>
      </c>
      <c r="L188" s="22" t="str">
        <f>IFERROR(__xludf.DUMMYFUNCTION("""COMPUTED_VALUE"""),"0962068278")</f>
        <v>0962068278</v>
      </c>
      <c r="M188" s="22" t="str">
        <f>IFERROR(__xludf.DUMMYFUNCTION("""COMPUTED_VALUE"""),"038082013542")</f>
        <v>038082013542</v>
      </c>
      <c r="N188" s="25">
        <f>IFERROR(__xludf.DUMMYFUNCTION("""COMPUTED_VALUE"""),44418.0)</f>
        <v>44418</v>
      </c>
      <c r="O188" s="22" t="str">
        <f>IFERROR(__xludf.DUMMYFUNCTION("""COMPUTED_VALUE"""),"Cục Cảnh sát QLHC về TTXH")</f>
        <v>Cục Cảnh sát QLHC về TTXH</v>
      </c>
      <c r="P188" s="22" t="str">
        <f>IFERROR(__xludf.DUMMYFUNCTION("""COMPUTED_VALUE"""),"LĐPT")</f>
        <v>LĐPT</v>
      </c>
      <c r="Q188" s="22" t="str">
        <f>IFERROR(__xludf.DUMMYFUNCTION("""COMPUTED_VALUE"""),"Lao động phổ thông")</f>
        <v>Lao động phổ thông</v>
      </c>
      <c r="R188" s="24">
        <f>IFERROR(__xludf.DUMMYFUNCTION("""COMPUTED_VALUE"""),45356.0)</f>
        <v>45356</v>
      </c>
      <c r="S188" s="26">
        <f>IFERROR(__xludf.DUMMYFUNCTION("""COMPUTED_VALUE"""),45444.0)</f>
        <v>45444</v>
      </c>
      <c r="T188" s="22" t="str">
        <f>IFERROR(__xludf.DUMMYFUNCTION("""COMPUTED_VALUE"""),"Chính thức")</f>
        <v>Chính thức</v>
      </c>
      <c r="U188" s="22"/>
      <c r="V188" s="22" t="str">
        <f>IFERROR(__xludf.DUMMYFUNCTION("""COMPUTED_VALUE"""),"Chính thức")</f>
        <v>Chính thức</v>
      </c>
      <c r="W188" s="22" t="str">
        <f>IFERROR(__xludf.DUMMYFUNCTION("""COMPUTED_VALUE"""),"1 năm 9 tháng")</f>
        <v>1 năm 9 tháng</v>
      </c>
      <c r="X188" s="22"/>
      <c r="Y188" s="22"/>
      <c r="Z188" s="22"/>
    </row>
    <row r="189">
      <c r="A189" s="22">
        <f>IFERROR(__xludf.DUMMYFUNCTION("""COMPUTED_VALUE"""),31.0)</f>
        <v>31</v>
      </c>
      <c r="B189" s="22" t="str">
        <f>IFERROR(__xludf.DUMMYFUNCTION("""COMPUTED_VALUE"""),"Văn phòng")</f>
        <v>Văn phòng</v>
      </c>
      <c r="C189" s="22" t="str">
        <f>IFERROR(__xludf.DUMMYFUNCTION("""COMPUTED_VALUE"""),"Phòng khai thác")</f>
        <v>Phòng khai thác</v>
      </c>
      <c r="D189" s="22" t="str">
        <f>IFERROR(__xludf.DUMMYFUNCTION("""COMPUTED_VALUE"""),"Phân xưởng CBNL")</f>
        <v>Phân xưởng CBNL</v>
      </c>
      <c r="E189" s="22" t="str">
        <f>IFERROR(__xludf.DUMMYFUNCTION("""COMPUTED_VALUE"""),"Công nhân vận hành")</f>
        <v>Công nhân vận hành</v>
      </c>
      <c r="F189" s="22" t="str">
        <f>IFERROR(__xludf.DUMMYFUNCTION("""COMPUTED_VALUE"""),"NV5674")</f>
        <v>NV5674</v>
      </c>
      <c r="G189" s="22">
        <f>IFERROR(__xludf.DUMMYFUNCTION("""COMPUTED_VALUE"""),1168.0)</f>
        <v>1168</v>
      </c>
      <c r="H189" s="22" t="str">
        <f>IFERROR(__xludf.DUMMYFUNCTION("""COMPUTED_VALUE"""),"Vũ Đình Lương")</f>
        <v>Vũ Đình Lương</v>
      </c>
      <c r="I189" s="22" t="str">
        <f>IFERROR(__xludf.DUMMYFUNCTION("""COMPUTED_VALUE"""),"Nam")</f>
        <v>Nam</v>
      </c>
      <c r="J189" s="24">
        <f>IFERROR(__xludf.DUMMYFUNCTION("""COMPUTED_VALUE"""),37111.0)</f>
        <v>37111</v>
      </c>
      <c r="K189" s="22" t="str">
        <f>IFERROR(__xludf.DUMMYFUNCTION("""COMPUTED_VALUE"""),"Thôn Chi Cường- Xã Thiệu Quang- Tỉnh Thanh Hóa")</f>
        <v>Thôn Chi Cường- Xã Thiệu Quang- Tỉnh Thanh Hóa</v>
      </c>
      <c r="L189" s="22" t="str">
        <f>IFERROR(__xludf.DUMMYFUNCTION("""COMPUTED_VALUE"""),"0969297194")</f>
        <v>0969297194</v>
      </c>
      <c r="M189" s="22" t="str">
        <f>IFERROR(__xludf.DUMMYFUNCTION("""COMPUTED_VALUE"""),"038201013006")</f>
        <v>038201013006</v>
      </c>
      <c r="N189" s="25">
        <f>IFERROR(__xludf.DUMMYFUNCTION("""COMPUTED_VALUE"""),44313.0)</f>
        <v>44313</v>
      </c>
      <c r="O189" s="22" t="str">
        <f>IFERROR(__xludf.DUMMYFUNCTION("""COMPUTED_VALUE"""),"Cục Cảnh sát QLHC về TTXH")</f>
        <v>Cục Cảnh sát QLHC về TTXH</v>
      </c>
      <c r="P189" s="22" t="str">
        <f>IFERROR(__xludf.DUMMYFUNCTION("""COMPUTED_VALUE"""),"Chứng chỉ nghề")</f>
        <v>Chứng chỉ nghề</v>
      </c>
      <c r="Q189" s="22" t="str">
        <f>IFERROR(__xludf.DUMMYFUNCTION("""COMPUTED_VALUE"""),"Lái máy xúc lật")</f>
        <v>Lái máy xúc lật</v>
      </c>
      <c r="R189" s="24">
        <f>IFERROR(__xludf.DUMMYFUNCTION("""COMPUTED_VALUE"""),45904.0)</f>
        <v>45904</v>
      </c>
      <c r="S189" s="26">
        <f>IFERROR(__xludf.DUMMYFUNCTION("""COMPUTED_VALUE"""),45934.0)</f>
        <v>45934</v>
      </c>
      <c r="T189" s="22" t="str">
        <f>IFERROR(__xludf.DUMMYFUNCTION("""COMPUTED_VALUE"""),"Chính thức")</f>
        <v>Chính thức</v>
      </c>
      <c r="U189" s="22"/>
      <c r="V189" s="22" t="str">
        <f>IFERROR(__xludf.DUMMYFUNCTION("""COMPUTED_VALUE"""),"Chính thức")</f>
        <v>Chính thức</v>
      </c>
      <c r="W189" s="22" t="str">
        <f>IFERROR(__xludf.DUMMYFUNCTION("""COMPUTED_VALUE"""),"0 năm 3 tháng")</f>
        <v>0 năm 3 tháng</v>
      </c>
      <c r="X189" s="22"/>
      <c r="Y189" s="22"/>
      <c r="Z189" s="22"/>
    </row>
    <row r="190">
      <c r="A190" s="22">
        <f>IFERROR(__xludf.DUMMYFUNCTION("""COMPUTED_VALUE"""),32.0)</f>
        <v>32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>
        <f>IFERROR(__xludf.DUMMYFUNCTION("""COMPUTED_VALUE"""),33.0)</f>
        <v>33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 t="str">
        <f>IFERROR(__xludf.DUMMYFUNCTION("""COMPUTED_VALUE"""),"VII")</f>
        <v>VII</v>
      </c>
      <c r="B193" s="22" t="str">
        <f>IFERROR(__xludf.DUMMYFUNCTION("""COMPUTED_VALUE"""),"Ban kinh doanh")</f>
        <v>Ban kinh doanh</v>
      </c>
      <c r="C193" s="22">
        <f>IFERROR(__xludf.DUMMYFUNCTION("""COMPUTED_VALUE"""),28.0)</f>
        <v>28</v>
      </c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 t="str">
        <f>IFERROR(__xludf.DUMMYFUNCTION("""COMPUTED_VALUE"""),"a.")</f>
        <v>a.</v>
      </c>
      <c r="B194" s="22" t="str">
        <f>IFERROR(__xludf.DUMMYFUNCTION("""COMPUTED_VALUE"""),"Ban giám đốc")</f>
        <v>Ban giám đốc</v>
      </c>
      <c r="C194" s="22">
        <f>IFERROR(__xludf.DUMMYFUNCTION("""COMPUTED_VALUE"""),3.0)</f>
        <v>3</v>
      </c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>
        <f>IFERROR(__xludf.DUMMYFUNCTION("""COMPUTED_VALUE"""),1.0)</f>
        <v>1</v>
      </c>
      <c r="B195" s="22" t="str">
        <f>IFERROR(__xludf.DUMMYFUNCTION("""COMPUTED_VALUE"""),"Văn phòng")</f>
        <v>Văn phòng</v>
      </c>
      <c r="C195" s="22" t="str">
        <f>IFERROR(__xludf.DUMMYFUNCTION("""COMPUTED_VALUE"""),"Ban kinh doanh")</f>
        <v>Ban kinh doanh</v>
      </c>
      <c r="D195" s="22" t="str">
        <f>IFERROR(__xludf.DUMMYFUNCTION("""COMPUTED_VALUE"""),"Ban giám đốc")</f>
        <v>Ban giám đốc</v>
      </c>
      <c r="E195" s="22" t="str">
        <f>IFERROR(__xludf.DUMMYFUNCTION("""COMPUTED_VALUE"""),"Giám đốc Ban")</f>
        <v>Giám đốc Ban</v>
      </c>
      <c r="F195" s="22" t="str">
        <f>IFERROR(__xludf.DUMMYFUNCTION("""COMPUTED_VALUE"""),"NV0041")</f>
        <v>NV0041</v>
      </c>
      <c r="G195" s="22"/>
      <c r="H195" s="22" t="str">
        <f>IFERROR(__xludf.DUMMYFUNCTION("""COMPUTED_VALUE"""),"Nguyễn Thị Bích Hường")</f>
        <v>Nguyễn Thị Bích Hường</v>
      </c>
      <c r="I195" s="22" t="str">
        <f>IFERROR(__xludf.DUMMYFUNCTION("""COMPUTED_VALUE"""),"Nữ")</f>
        <v>Nữ</v>
      </c>
      <c r="J195" s="24">
        <f>IFERROR(__xludf.DUMMYFUNCTION("""COMPUTED_VALUE"""),26374.0)</f>
        <v>26374</v>
      </c>
      <c r="K195" s="22" t="str">
        <f>IFERROR(__xludf.DUMMYFUNCTION("""COMPUTED_VALUE"""),"Số nhà 634 Lê Lai - Phường Quảng Phú - TỈnh Thanh Hóa")</f>
        <v>Số nhà 634 Lê Lai - Phường Quảng Phú - TỈnh Thanh Hóa</v>
      </c>
      <c r="L195" s="22" t="str">
        <f>IFERROR(__xludf.DUMMYFUNCTION("""COMPUTED_VALUE"""),"0902016372")</f>
        <v>0902016372</v>
      </c>
      <c r="M195" s="22" t="str">
        <f>IFERROR(__xludf.DUMMYFUNCTION("""COMPUTED_VALUE"""),"038172036890")</f>
        <v>038172036890</v>
      </c>
      <c r="N195" s="25">
        <f>IFERROR(__xludf.DUMMYFUNCTION("""COMPUTED_VALUE"""),44440.0)</f>
        <v>44440</v>
      </c>
      <c r="O195" s="22" t="str">
        <f>IFERROR(__xludf.DUMMYFUNCTION("""COMPUTED_VALUE"""),"Cục Cảnh sát QLHC về TTXH")</f>
        <v>Cục Cảnh sát QLHC về TTXH</v>
      </c>
      <c r="P195" s="22" t="str">
        <f>IFERROR(__xludf.DUMMYFUNCTION("""COMPUTED_VALUE"""),"Đại học")</f>
        <v>Đại học</v>
      </c>
      <c r="Q195" s="22" t="str">
        <f>IFERROR(__xludf.DUMMYFUNCTION("""COMPUTED_VALUE"""),"Kế toán tổng hợp")</f>
        <v>Kế toán tổng hợp</v>
      </c>
      <c r="R195" s="24">
        <f>IFERROR(__xludf.DUMMYFUNCTION("""COMPUTED_VALUE"""),36493.0)</f>
        <v>36493</v>
      </c>
      <c r="S195" s="24">
        <f>IFERROR(__xludf.DUMMYFUNCTION("""COMPUTED_VALUE"""),36493.0)</f>
        <v>36493</v>
      </c>
      <c r="T195" s="22" t="str">
        <f>IFERROR(__xludf.DUMMYFUNCTION("""COMPUTED_VALUE"""),"Chính thức")</f>
        <v>Chính thức</v>
      </c>
      <c r="U195" s="22"/>
      <c r="V195" s="22" t="str">
        <f>IFERROR(__xludf.DUMMYFUNCTION("""COMPUTED_VALUE"""),"Chính thức")</f>
        <v>Chính thức</v>
      </c>
      <c r="W195" s="22" t="str">
        <f>IFERROR(__xludf.DUMMYFUNCTION("""COMPUTED_VALUE"""),"26 năm 1 tháng")</f>
        <v>26 năm 1 tháng</v>
      </c>
      <c r="X195" s="22"/>
      <c r="Y195" s="22"/>
      <c r="Z195" s="22"/>
    </row>
    <row r="196">
      <c r="A196" s="22">
        <f>IFERROR(__xludf.DUMMYFUNCTION("""COMPUTED_VALUE"""),2.0)</f>
        <v>2</v>
      </c>
      <c r="B196" s="22" t="str">
        <f>IFERROR(__xludf.DUMMYFUNCTION("""COMPUTED_VALUE"""),"Văn phòng")</f>
        <v>Văn phòng</v>
      </c>
      <c r="C196" s="22" t="str">
        <f>IFERROR(__xludf.DUMMYFUNCTION("""COMPUTED_VALUE"""),"Ban kinh doanh")</f>
        <v>Ban kinh doanh</v>
      </c>
      <c r="D196" s="22" t="str">
        <f>IFERROR(__xludf.DUMMYFUNCTION("""COMPUTED_VALUE"""),"Ban giám đốc")</f>
        <v>Ban giám đốc</v>
      </c>
      <c r="E196" s="22" t="str">
        <f>IFERROR(__xludf.DUMMYFUNCTION("""COMPUTED_VALUE"""),"Trưởng bộ phận Kế hoạch sản xuất")</f>
        <v>Trưởng bộ phận Kế hoạch sản xuất</v>
      </c>
      <c r="F196" s="22" t="str">
        <f>IFERROR(__xludf.DUMMYFUNCTION("""COMPUTED_VALUE"""),"NV3214")</f>
        <v>NV3214</v>
      </c>
      <c r="G196" s="22">
        <f>IFERROR(__xludf.DUMMYFUNCTION("""COMPUTED_VALUE"""),65.0)</f>
        <v>65</v>
      </c>
      <c r="H196" s="22" t="str">
        <f>IFERROR(__xludf.DUMMYFUNCTION("""COMPUTED_VALUE"""),"Nguyễn Mạnh Uyên")</f>
        <v>Nguyễn Mạnh Uyên</v>
      </c>
      <c r="I196" s="22" t="str">
        <f>IFERROR(__xludf.DUMMYFUNCTION("""COMPUTED_VALUE"""),"Nam")</f>
        <v>Nam</v>
      </c>
      <c r="J196" s="24">
        <f>IFERROR(__xludf.DUMMYFUNCTION("""COMPUTED_VALUE"""),30989.0)</f>
        <v>30989</v>
      </c>
      <c r="K196" s="22" t="str">
        <f>IFERROR(__xludf.DUMMYFUNCTION("""COMPUTED_VALUE"""),"4C/38 Trần Bình Trọng - Phường Hạc Thành - Tỉnh Thanh Hóa")</f>
        <v>4C/38 Trần Bình Trọng - Phường Hạc Thành - Tỉnh Thanh Hóa</v>
      </c>
      <c r="L196" s="22" t="str">
        <f>IFERROR(__xludf.DUMMYFUNCTION("""COMPUTED_VALUE"""),"0339649112")</f>
        <v>0339649112</v>
      </c>
      <c r="M196" s="22" t="str">
        <f>IFERROR(__xludf.DUMMYFUNCTION("""COMPUTED_VALUE"""),"038084021664")</f>
        <v>038084021664</v>
      </c>
      <c r="N196" s="25">
        <f>IFERROR(__xludf.DUMMYFUNCTION("""COMPUTED_VALUE"""),45646.0)</f>
        <v>45646</v>
      </c>
      <c r="O196" s="22" t="str">
        <f>IFERROR(__xludf.DUMMYFUNCTION("""COMPUTED_VALUE"""),"Bộ Công an")</f>
        <v>Bộ Công an</v>
      </c>
      <c r="P196" s="22" t="str">
        <f>IFERROR(__xludf.DUMMYFUNCTION("""COMPUTED_VALUE"""),"Cao đẳng")</f>
        <v>Cao đẳng</v>
      </c>
      <c r="Q196" s="22" t="str">
        <f>IFERROR(__xludf.DUMMYFUNCTION("""COMPUTED_VALUE"""),"Kỹ thuật máy lạnh và điều hòa không khí")</f>
        <v>Kỹ thuật máy lạnh và điều hòa không khí</v>
      </c>
      <c r="R196" s="24">
        <f>IFERROR(__xludf.DUMMYFUNCTION("""COMPUTED_VALUE"""),44060.0)</f>
        <v>44060</v>
      </c>
      <c r="S196" s="24">
        <f>IFERROR(__xludf.DUMMYFUNCTION("""COMPUTED_VALUE"""),44317.0)</f>
        <v>44317</v>
      </c>
      <c r="T196" s="22" t="str">
        <f>IFERROR(__xludf.DUMMYFUNCTION("""COMPUTED_VALUE"""),"Chính thức")</f>
        <v>Chính thức</v>
      </c>
      <c r="U196" s="22"/>
      <c r="V196" s="22" t="str">
        <f>IFERROR(__xludf.DUMMYFUNCTION("""COMPUTED_VALUE"""),"Chính thức")</f>
        <v>Chính thức</v>
      </c>
      <c r="W196" s="22" t="str">
        <f>IFERROR(__xludf.DUMMYFUNCTION("""COMPUTED_VALUE"""),"5 năm 4 tháng")</f>
        <v>5 năm 4 tháng</v>
      </c>
      <c r="X196" s="22"/>
      <c r="Y196" s="22"/>
      <c r="Z196" s="22"/>
    </row>
    <row r="197">
      <c r="A197" s="22">
        <f>IFERROR(__xludf.DUMMYFUNCTION("""COMPUTED_VALUE"""),3.0)</f>
        <v>3</v>
      </c>
      <c r="B197" s="22" t="str">
        <f>IFERROR(__xludf.DUMMYFUNCTION("""COMPUTED_VALUE"""),"Văn phòng")</f>
        <v>Văn phòng</v>
      </c>
      <c r="C197" s="22" t="str">
        <f>IFERROR(__xludf.DUMMYFUNCTION("""COMPUTED_VALUE"""),"Ban kinh doanh")</f>
        <v>Ban kinh doanh</v>
      </c>
      <c r="D197" s="22" t="str">
        <f>IFERROR(__xludf.DUMMYFUNCTION("""COMPUTED_VALUE"""),"Ban giám đốc")</f>
        <v>Ban giám đốc</v>
      </c>
      <c r="E197" s="22" t="str">
        <f>IFERROR(__xludf.DUMMYFUNCTION("""COMPUTED_VALUE"""),"Phó Giám đốc Ban")</f>
        <v>Phó Giám đốc Ban</v>
      </c>
      <c r="F197" s="22" t="str">
        <f>IFERROR(__xludf.DUMMYFUNCTION("""COMPUTED_VALUE"""),"NV0005")</f>
        <v>NV0005</v>
      </c>
      <c r="G197" s="22">
        <f>IFERROR(__xludf.DUMMYFUNCTION("""COMPUTED_VALUE"""),2.0)</f>
        <v>2</v>
      </c>
      <c r="H197" s="22" t="str">
        <f>IFERROR(__xludf.DUMMYFUNCTION("""COMPUTED_VALUE"""),"Nguyễn Văn Dương")</f>
        <v>Nguyễn Văn Dương</v>
      </c>
      <c r="I197" s="22" t="str">
        <f>IFERROR(__xludf.DUMMYFUNCTION("""COMPUTED_VALUE"""),"Nam")</f>
        <v>Nam</v>
      </c>
      <c r="J197" s="24">
        <f>IFERROR(__xludf.DUMMYFUNCTION("""COMPUTED_VALUE"""),33117.0)</f>
        <v>33117</v>
      </c>
      <c r="K197" s="22" t="str">
        <f>IFERROR(__xludf.DUMMYFUNCTION("""COMPUTED_VALUE"""),"Phố 8 - Phường Quảng Phú - Tỉnh Thanh Hóa")</f>
        <v>Phố 8 - Phường Quảng Phú - Tỉnh Thanh Hóa</v>
      </c>
      <c r="L197" s="22" t="str">
        <f>IFERROR(__xludf.DUMMYFUNCTION("""COMPUTED_VALUE"""),"0931361999")</f>
        <v>0931361999</v>
      </c>
      <c r="M197" s="22" t="str">
        <f>IFERROR(__xludf.DUMMYFUNCTION("""COMPUTED_VALUE"""),"038090017347")</f>
        <v>038090017347</v>
      </c>
      <c r="N197" s="25">
        <f>IFERROR(__xludf.DUMMYFUNCTION("""COMPUTED_VALUE"""),44543.0)</f>
        <v>44543</v>
      </c>
      <c r="O197" s="22" t="str">
        <f>IFERROR(__xludf.DUMMYFUNCTION("""COMPUTED_VALUE"""),"Cục Cảnh sát QLHC về TTXH")</f>
        <v>Cục Cảnh sát QLHC về TTXH</v>
      </c>
      <c r="P197" s="22" t="str">
        <f>IFERROR(__xludf.DUMMYFUNCTION("""COMPUTED_VALUE"""),"Đại học")</f>
        <v>Đại học</v>
      </c>
      <c r="Q197" s="22" t="str">
        <f>IFERROR(__xludf.DUMMYFUNCTION("""COMPUTED_VALUE"""),"Công nghệ thông tin")</f>
        <v>Công nghệ thông tin</v>
      </c>
      <c r="R197" s="24">
        <f>IFERROR(__xludf.DUMMYFUNCTION("""COMPUTED_VALUE"""),41901.0)</f>
        <v>41901</v>
      </c>
      <c r="S197" s="24">
        <f>IFERROR(__xludf.DUMMYFUNCTION("""COMPUTED_VALUE"""),41901.0)</f>
        <v>41901</v>
      </c>
      <c r="T197" s="22" t="str">
        <f>IFERROR(__xludf.DUMMYFUNCTION("""COMPUTED_VALUE"""),"Chính thức")</f>
        <v>Chính thức</v>
      </c>
      <c r="U197" s="22"/>
      <c r="V197" s="22" t="str">
        <f>IFERROR(__xludf.DUMMYFUNCTION("""COMPUTED_VALUE"""),"Chính thức")</f>
        <v>Chính thức</v>
      </c>
      <c r="W197" s="22" t="str">
        <f>IFERROR(__xludf.DUMMYFUNCTION("""COMPUTED_VALUE"""),"11 năm 3 tháng")</f>
        <v>11 năm 3 tháng</v>
      </c>
      <c r="X197" s="22"/>
      <c r="Y197" s="22"/>
      <c r="Z197" s="22"/>
    </row>
    <row r="198">
      <c r="A198" s="22" t="str">
        <f>IFERROR(__xludf.DUMMYFUNCTION("""COMPUTED_VALUE"""),"b.")</f>
        <v>b.</v>
      </c>
      <c r="B198" s="22" t="str">
        <f>IFERROR(__xludf.DUMMYFUNCTION("""COMPUTED_VALUE"""),"Văn phòng Miền Bắc")</f>
        <v>Văn phòng Miền Bắc</v>
      </c>
      <c r="C198" s="22">
        <f>IFERROR(__xludf.DUMMYFUNCTION("""COMPUTED_VALUE"""),2.0)</f>
        <v>2</v>
      </c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>
        <f>IFERROR(__xludf.DUMMYFUNCTION("""COMPUTED_VALUE"""),1.0)</f>
        <v>1</v>
      </c>
      <c r="B199" s="22" t="str">
        <f>IFERROR(__xludf.DUMMYFUNCTION("""COMPUTED_VALUE"""),"Văn phòng")</f>
        <v>Văn phòng</v>
      </c>
      <c r="C199" s="22" t="str">
        <f>IFERROR(__xludf.DUMMYFUNCTION("""COMPUTED_VALUE"""),"Ban kinh doanh")</f>
        <v>Ban kinh doanh</v>
      </c>
      <c r="D199" s="22" t="str">
        <f>IFERROR(__xludf.DUMMYFUNCTION("""COMPUTED_VALUE"""),"Văn phòng Miền Bắc")</f>
        <v>Văn phòng Miền Bắc</v>
      </c>
      <c r="E199" s="22" t="str">
        <f>IFERROR(__xludf.DUMMYFUNCTION("""COMPUTED_VALUE"""),"Giám đốc Văn phòng Miền Bắc")</f>
        <v>Giám đốc Văn phòng Miền Bắc</v>
      </c>
      <c r="F199" s="22" t="str">
        <f>IFERROR(__xludf.DUMMYFUNCTION("""COMPUTED_VALUE"""),"NV0075")</f>
        <v>NV0075</v>
      </c>
      <c r="G199" s="22">
        <f>IFERROR(__xludf.DUMMYFUNCTION("""COMPUTED_VALUE"""),45.0)</f>
        <v>45</v>
      </c>
      <c r="H199" s="22" t="str">
        <f>IFERROR(__xludf.DUMMYFUNCTION("""COMPUTED_VALUE"""),"Trịnh Minh Hải")</f>
        <v>Trịnh Minh Hải</v>
      </c>
      <c r="I199" s="22" t="str">
        <f>IFERROR(__xludf.DUMMYFUNCTION("""COMPUTED_VALUE"""),"Nam")</f>
        <v>Nam</v>
      </c>
      <c r="J199" s="24">
        <f>IFERROR(__xludf.DUMMYFUNCTION("""COMPUTED_VALUE"""),29284.0)</f>
        <v>29284</v>
      </c>
      <c r="K199" s="22" t="str">
        <f>IFERROR(__xludf.DUMMYFUNCTION("""COMPUTED_VALUE"""),"Lô 261 - Mặt Bằng Quy Hoạch 121- Phường Hạc Thành - Tỉnh Thanh Hóa")</f>
        <v>Lô 261 - Mặt Bằng Quy Hoạch 121- Phường Hạc Thành - Tỉnh Thanh Hóa</v>
      </c>
      <c r="L199" s="22" t="str">
        <f>IFERROR(__xludf.DUMMYFUNCTION("""COMPUTED_VALUE"""),"0983434347")</f>
        <v>0983434347</v>
      </c>
      <c r="M199" s="22" t="str">
        <f>IFERROR(__xludf.DUMMYFUNCTION("""COMPUTED_VALUE"""),"038080037712")</f>
        <v>038080037712</v>
      </c>
      <c r="N199" s="25">
        <f>IFERROR(__xludf.DUMMYFUNCTION("""COMPUTED_VALUE"""),44794.0)</f>
        <v>44794</v>
      </c>
      <c r="O199" s="22" t="str">
        <f>IFERROR(__xludf.DUMMYFUNCTION("""COMPUTED_VALUE"""),"Cục Cảnh sát QLHC về TTXH")</f>
        <v>Cục Cảnh sát QLHC về TTXH</v>
      </c>
      <c r="P199" s="22" t="str">
        <f>IFERROR(__xludf.DUMMYFUNCTION("""COMPUTED_VALUE"""),"Đại học")</f>
        <v>Đại học</v>
      </c>
      <c r="Q199" s="22" t="str">
        <f>IFERROR(__xludf.DUMMYFUNCTION("""COMPUTED_VALUE"""),"Quản trị kinh doanh")</f>
        <v>Quản trị kinh doanh</v>
      </c>
      <c r="R199" s="24">
        <f>IFERROR(__xludf.DUMMYFUNCTION("""COMPUTED_VALUE"""),37653.0)</f>
        <v>37653</v>
      </c>
      <c r="S199" s="26">
        <f>IFERROR(__xludf.DUMMYFUNCTION("""COMPUTED_VALUE"""),37653.0)</f>
        <v>37653</v>
      </c>
      <c r="T199" s="22" t="str">
        <f>IFERROR(__xludf.DUMMYFUNCTION("""COMPUTED_VALUE"""),"Chính thức")</f>
        <v>Chính thức</v>
      </c>
      <c r="U199" s="22"/>
      <c r="V199" s="22" t="str">
        <f>IFERROR(__xludf.DUMMYFUNCTION("""COMPUTED_VALUE"""),"Chính thức")</f>
        <v>Chính thức</v>
      </c>
      <c r="W199" s="22" t="str">
        <f>IFERROR(__xludf.DUMMYFUNCTION("""COMPUTED_VALUE"""),"22 năm 10 tháng")</f>
        <v>22 năm 10 tháng</v>
      </c>
      <c r="X199" s="22"/>
      <c r="Y199" s="22"/>
      <c r="Z199" s="22"/>
    </row>
    <row r="200">
      <c r="A200" s="22">
        <f>IFERROR(__xludf.DUMMYFUNCTION("""COMPUTED_VALUE"""),2.0)</f>
        <v>2</v>
      </c>
      <c r="B200" s="22" t="str">
        <f>IFERROR(__xludf.DUMMYFUNCTION("""COMPUTED_VALUE"""),"Văn phòng")</f>
        <v>Văn phòng</v>
      </c>
      <c r="C200" s="22" t="str">
        <f>IFERROR(__xludf.DUMMYFUNCTION("""COMPUTED_VALUE"""),"Ban kinh doanh")</f>
        <v>Ban kinh doanh</v>
      </c>
      <c r="D200" s="22" t="str">
        <f>IFERROR(__xludf.DUMMYFUNCTION("""COMPUTED_VALUE"""),"Văn phòng Miền Bắc")</f>
        <v>Văn phòng Miền Bắc</v>
      </c>
      <c r="E200" s="22" t="str">
        <f>IFERROR(__xludf.DUMMYFUNCTION("""COMPUTED_VALUE"""),"Trưởng tuyến 2")</f>
        <v>Trưởng tuyến 2</v>
      </c>
      <c r="F200" s="22" t="str">
        <f>IFERROR(__xludf.DUMMYFUNCTION("""COMPUTED_VALUE"""),"NV2715")</f>
        <v>NV2715</v>
      </c>
      <c r="G200" s="22">
        <f>IFERROR(__xludf.DUMMYFUNCTION("""COMPUTED_VALUE"""),742.0)</f>
        <v>742</v>
      </c>
      <c r="H200" s="22" t="str">
        <f>IFERROR(__xludf.DUMMYFUNCTION("""COMPUTED_VALUE"""),"Hoàng Anh Việt")</f>
        <v>Hoàng Anh Việt</v>
      </c>
      <c r="I200" s="22" t="str">
        <f>IFERROR(__xludf.DUMMYFUNCTION("""COMPUTED_VALUE"""),"Nam")</f>
        <v>Nam</v>
      </c>
      <c r="J200" s="24">
        <f>IFERROR(__xludf.DUMMYFUNCTION("""COMPUTED_VALUE"""),31876.0)</f>
        <v>31876</v>
      </c>
      <c r="K200" s="22" t="str">
        <f>IFERROR(__xludf.DUMMYFUNCTION("""COMPUTED_VALUE"""),"SN 58 Đường Nguyễn Tuệ - Phố Cấm - P. Gia Viễn - Q.Ngô Quyền - Hải Phòng")</f>
        <v>SN 58 Đường Nguyễn Tuệ - Phố Cấm - P. Gia Viễn - Q.Ngô Quyền - Hải Phòng</v>
      </c>
      <c r="L200" s="22" t="str">
        <f>IFERROR(__xludf.DUMMYFUNCTION("""COMPUTED_VALUE"""),"0946009009")</f>
        <v>0946009009</v>
      </c>
      <c r="M200" s="22" t="str">
        <f>IFERROR(__xludf.DUMMYFUNCTION("""COMPUTED_VALUE"""),"031087011528")</f>
        <v>031087011528</v>
      </c>
      <c r="N200" s="25">
        <f>IFERROR(__xludf.DUMMYFUNCTION("""COMPUTED_VALUE"""),43622.0)</f>
        <v>43622</v>
      </c>
      <c r="O200" s="22" t="str">
        <f>IFERROR(__xludf.DUMMYFUNCTION("""COMPUTED_VALUE"""),"Cục Cảnh sát QLHC về TTXH")</f>
        <v>Cục Cảnh sát QLHC về TTXH</v>
      </c>
      <c r="P200" s="22" t="str">
        <f>IFERROR(__xludf.DUMMYFUNCTION("""COMPUTED_VALUE"""),"LĐPT")</f>
        <v>LĐPT</v>
      </c>
      <c r="Q200" s="22" t="str">
        <f>IFERROR(__xludf.DUMMYFUNCTION("""COMPUTED_VALUE"""),"Lao động phổ thông")</f>
        <v>Lao động phổ thông</v>
      </c>
      <c r="R200" s="24">
        <f>IFERROR(__xludf.DUMMYFUNCTION("""COMPUTED_VALUE"""),45471.0)</f>
        <v>45471</v>
      </c>
      <c r="S200" s="26">
        <f>IFERROR(__xludf.DUMMYFUNCTION("""COMPUTED_VALUE"""),45566.0)</f>
        <v>45566</v>
      </c>
      <c r="T200" s="22" t="str">
        <f>IFERROR(__xludf.DUMMYFUNCTION("""COMPUTED_VALUE"""),"Chính thức")</f>
        <v>Chính thức</v>
      </c>
      <c r="U200" s="22"/>
      <c r="V200" s="22" t="str">
        <f>IFERROR(__xludf.DUMMYFUNCTION("""COMPUTED_VALUE"""),"Chính thức")</f>
        <v>Chính thức</v>
      </c>
      <c r="W200" s="22" t="str">
        <f>IFERROR(__xludf.DUMMYFUNCTION("""COMPUTED_VALUE"""),"1 năm 6 tháng")</f>
        <v>1 năm 6 tháng</v>
      </c>
      <c r="X200" s="22"/>
      <c r="Y200" s="22"/>
      <c r="Z200" s="22"/>
    </row>
    <row r="201">
      <c r="A201" s="22">
        <f>IFERROR(__xludf.DUMMYFUNCTION("""COMPUTED_VALUE"""),3.0)</f>
        <v>3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 t="str">
        <f>IFERROR(__xludf.DUMMYFUNCTION("""COMPUTED_VALUE"""),"c.")</f>
        <v>c.</v>
      </c>
      <c r="B202" s="22" t="str">
        <f>IFERROR(__xludf.DUMMYFUNCTION("""COMPUTED_VALUE"""),"Văn phòng Miền Trung")</f>
        <v>Văn phòng Miền Trung</v>
      </c>
      <c r="C202" s="22">
        <f>IFERROR(__xludf.DUMMYFUNCTION("""COMPUTED_VALUE"""),3.0)</f>
        <v>3</v>
      </c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>
        <f>IFERROR(__xludf.DUMMYFUNCTION("""COMPUTED_VALUE"""),1.0)</f>
        <v>1</v>
      </c>
      <c r="B203" s="22" t="str">
        <f>IFERROR(__xludf.DUMMYFUNCTION("""COMPUTED_VALUE"""),"Văn phòng")</f>
        <v>Văn phòng</v>
      </c>
      <c r="C203" s="22" t="str">
        <f>IFERROR(__xludf.DUMMYFUNCTION("""COMPUTED_VALUE"""),"Ban kinh doanh")</f>
        <v>Ban kinh doanh</v>
      </c>
      <c r="D203" s="22" t="str">
        <f>IFERROR(__xludf.DUMMYFUNCTION("""COMPUTED_VALUE"""),"Văn phòng Miền Trung")</f>
        <v>Văn phòng Miền Trung</v>
      </c>
      <c r="E203" s="22" t="str">
        <f>IFERROR(__xludf.DUMMYFUNCTION("""COMPUTED_VALUE"""),"Giám đốc vùng 3")</f>
        <v>Giám đốc vùng 3</v>
      </c>
      <c r="F203" s="22" t="str">
        <f>IFERROR(__xludf.DUMMYFUNCTION("""COMPUTED_VALUE"""),"NV0851")</f>
        <v>NV0851</v>
      </c>
      <c r="G203" s="22">
        <f>IFERROR(__xludf.DUMMYFUNCTION("""COMPUTED_VALUE"""),750.0)</f>
        <v>750</v>
      </c>
      <c r="H203" s="22" t="str">
        <f>IFERROR(__xludf.DUMMYFUNCTION("""COMPUTED_VALUE"""),"Nguyễn Đình Việt")</f>
        <v>Nguyễn Đình Việt</v>
      </c>
      <c r="I203" s="22" t="str">
        <f>IFERROR(__xludf.DUMMYFUNCTION("""COMPUTED_VALUE"""),"Nam")</f>
        <v>Nam</v>
      </c>
      <c r="J203" s="24">
        <f>IFERROR(__xludf.DUMMYFUNCTION("""COMPUTED_VALUE"""),29884.0)</f>
        <v>29884</v>
      </c>
      <c r="K203" s="22" t="str">
        <f>IFERROR(__xludf.DUMMYFUNCTION("""COMPUTED_VALUE"""),"SN01 LK03 Khu đô thị mới Đông Sơn, Phường An Hưng, Thành phố Thanh Hóa,")</f>
        <v>SN01 LK03 Khu đô thị mới Đông Sơn, Phường An Hưng, Thành phố Thanh Hóa,</v>
      </c>
      <c r="L203" s="22" t="str">
        <f>IFERROR(__xludf.DUMMYFUNCTION("""COMPUTED_VALUE"""),"0946009009")</f>
        <v>0946009009</v>
      </c>
      <c r="M203" s="22" t="str">
        <f>IFERROR(__xludf.DUMMYFUNCTION("""COMPUTED_VALUE"""),"038081005182")</f>
        <v>038081005182</v>
      </c>
      <c r="N203" s="25">
        <f>IFERROR(__xludf.DUMMYFUNCTION("""COMPUTED_VALUE"""),44810.0)</f>
        <v>44810</v>
      </c>
      <c r="O203" s="22" t="str">
        <f>IFERROR(__xludf.DUMMYFUNCTION("""COMPUTED_VALUE"""),"Cục Cảnh sát QLHC về TTXH")</f>
        <v>Cục Cảnh sát QLHC về TTXH</v>
      </c>
      <c r="P203" s="22" t="str">
        <f>IFERROR(__xludf.DUMMYFUNCTION("""COMPUTED_VALUE"""),"Đại học")</f>
        <v>Đại học</v>
      </c>
      <c r="Q203" s="22" t="str">
        <f>IFERROR(__xludf.DUMMYFUNCTION("""COMPUTED_VALUE"""),"Quản trị kinh doanh")</f>
        <v>Quản trị kinh doanh</v>
      </c>
      <c r="R203" s="24">
        <f>IFERROR(__xludf.DUMMYFUNCTION("""COMPUTED_VALUE"""),42515.0)</f>
        <v>42515</v>
      </c>
      <c r="S203" s="26">
        <f>IFERROR(__xludf.DUMMYFUNCTION("""COMPUTED_VALUE"""),42515.0)</f>
        <v>42515</v>
      </c>
      <c r="T203" s="22" t="str">
        <f>IFERROR(__xludf.DUMMYFUNCTION("""COMPUTED_VALUE"""),"Chính thức")</f>
        <v>Chính thức</v>
      </c>
      <c r="U203" s="22"/>
      <c r="V203" s="22" t="str">
        <f>IFERROR(__xludf.DUMMYFUNCTION("""COMPUTED_VALUE"""),"Chính thức")</f>
        <v>Chính thức</v>
      </c>
      <c r="W203" s="22" t="str">
        <f>IFERROR(__xludf.DUMMYFUNCTION("""COMPUTED_VALUE"""),"9 năm 7 tháng")</f>
        <v>9 năm 7 tháng</v>
      </c>
      <c r="X203" s="22"/>
      <c r="Y203" s="22"/>
      <c r="Z203" s="22"/>
    </row>
    <row r="204">
      <c r="A204" s="22">
        <f>IFERROR(__xludf.DUMMYFUNCTION("""COMPUTED_VALUE"""),2.0)</f>
        <v>2</v>
      </c>
      <c r="B204" s="22" t="str">
        <f>IFERROR(__xludf.DUMMYFUNCTION("""COMPUTED_VALUE"""),"Văn phòng")</f>
        <v>Văn phòng</v>
      </c>
      <c r="C204" s="22" t="str">
        <f>IFERROR(__xludf.DUMMYFUNCTION("""COMPUTED_VALUE"""),"Ban kinh doanh")</f>
        <v>Ban kinh doanh</v>
      </c>
      <c r="D204" s="22" t="str">
        <f>IFERROR(__xludf.DUMMYFUNCTION("""COMPUTED_VALUE"""),"Văn phòng Miền Trung")</f>
        <v>Văn phòng Miền Trung</v>
      </c>
      <c r="E204" s="22" t="str">
        <f>IFERROR(__xludf.DUMMYFUNCTION("""COMPUTED_VALUE"""),"Giám đốc vùng 5")</f>
        <v>Giám đốc vùng 5</v>
      </c>
      <c r="F204" s="22" t="str">
        <f>IFERROR(__xludf.DUMMYFUNCTION("""COMPUTED_VALUE"""),"NV2744")</f>
        <v>NV2744</v>
      </c>
      <c r="G204" s="22">
        <f>IFERROR(__xludf.DUMMYFUNCTION("""COMPUTED_VALUE"""),741.0)</f>
        <v>741</v>
      </c>
      <c r="H204" s="22" t="str">
        <f>IFERROR(__xludf.DUMMYFUNCTION("""COMPUTED_VALUE"""),"Nguyễn Văn Thiều")</f>
        <v>Nguyễn Văn Thiều</v>
      </c>
      <c r="I204" s="22" t="str">
        <f>IFERROR(__xludf.DUMMYFUNCTION("""COMPUTED_VALUE"""),"Nam")</f>
        <v>Nam</v>
      </c>
      <c r="J204" s="24">
        <f>IFERROR(__xludf.DUMMYFUNCTION("""COMPUTED_VALUE"""),33512.0)</f>
        <v>33512</v>
      </c>
      <c r="K204" s="22" t="str">
        <f>IFERROR(__xludf.DUMMYFUNCTION("""COMPUTED_VALUE"""),"Thôn 11 - Tế Nông - Nông Cống - Thanh Hóa")</f>
        <v>Thôn 11 - Tế Nông - Nông Cống - Thanh Hóa</v>
      </c>
      <c r="L204" s="22" t="str">
        <f>IFERROR(__xludf.DUMMYFUNCTION("""COMPUTED_VALUE"""),"0825126686")</f>
        <v>0825126686</v>
      </c>
      <c r="M204" s="22" t="str">
        <f>IFERROR(__xludf.DUMMYFUNCTION("""COMPUTED_VALUE"""),"038091017407")</f>
        <v>038091017407</v>
      </c>
      <c r="N204" s="25">
        <f>IFERROR(__xludf.DUMMYFUNCTION("""COMPUTED_VALUE"""),44812.0)</f>
        <v>44812</v>
      </c>
      <c r="O204" s="22" t="str">
        <f>IFERROR(__xludf.DUMMYFUNCTION("""COMPUTED_VALUE"""),"Cục Cảnh sát QLHC về TTXH")</f>
        <v>Cục Cảnh sát QLHC về TTXH</v>
      </c>
      <c r="P204" s="22" t="str">
        <f>IFERROR(__xludf.DUMMYFUNCTION("""COMPUTED_VALUE"""),"Đại học")</f>
        <v>Đại học</v>
      </c>
      <c r="Q204" s="22" t="str">
        <f>IFERROR(__xludf.DUMMYFUNCTION("""COMPUTED_VALUE"""),"Văn hóa dân tộc tiểu số")</f>
        <v>Văn hóa dân tộc tiểu số</v>
      </c>
      <c r="R204" s="24">
        <f>IFERROR(__xludf.DUMMYFUNCTION("""COMPUTED_VALUE"""),43873.0)</f>
        <v>43873</v>
      </c>
      <c r="S204" s="26">
        <f>IFERROR(__xludf.DUMMYFUNCTION("""COMPUTED_VALUE"""),44013.0)</f>
        <v>44013</v>
      </c>
      <c r="T204" s="22" t="str">
        <f>IFERROR(__xludf.DUMMYFUNCTION("""COMPUTED_VALUE"""),"Chính thức")</f>
        <v>Chính thức</v>
      </c>
      <c r="U204" s="22"/>
      <c r="V204" s="22" t="str">
        <f>IFERROR(__xludf.DUMMYFUNCTION("""COMPUTED_VALUE"""),"Chính thức")</f>
        <v>Chính thức</v>
      </c>
      <c r="W204" s="22" t="str">
        <f>IFERROR(__xludf.DUMMYFUNCTION("""COMPUTED_VALUE"""),"5 năm 10 tháng")</f>
        <v>5 năm 10 tháng</v>
      </c>
      <c r="X204" s="22"/>
      <c r="Y204" s="22"/>
      <c r="Z204" s="22"/>
    </row>
    <row r="205">
      <c r="A205" s="22">
        <f>IFERROR(__xludf.DUMMYFUNCTION("""COMPUTED_VALUE"""),3.0)</f>
        <v>3</v>
      </c>
      <c r="B205" s="22" t="str">
        <f>IFERROR(__xludf.DUMMYFUNCTION("""COMPUTED_VALUE"""),"Văn phòng")</f>
        <v>Văn phòng</v>
      </c>
      <c r="C205" s="22" t="str">
        <f>IFERROR(__xludf.DUMMYFUNCTION("""COMPUTED_VALUE"""),"Ban kinh doanh")</f>
        <v>Ban kinh doanh</v>
      </c>
      <c r="D205" s="22" t="str">
        <f>IFERROR(__xludf.DUMMYFUNCTION("""COMPUTED_VALUE"""),"Văn phòng Miền Trung")</f>
        <v>Văn phòng Miền Trung</v>
      </c>
      <c r="E205" s="22" t="str">
        <f>IFERROR(__xludf.DUMMYFUNCTION("""COMPUTED_VALUE"""),"Giám đốc vùng 6")</f>
        <v>Giám đốc vùng 6</v>
      </c>
      <c r="F205" s="22" t="str">
        <f>IFERROR(__xludf.DUMMYFUNCTION("""COMPUTED_VALUE"""),"NV0071")</f>
        <v>NV0071</v>
      </c>
      <c r="G205" s="22">
        <f>IFERROR(__xludf.DUMMYFUNCTION("""COMPUTED_VALUE"""),908.0)</f>
        <v>908</v>
      </c>
      <c r="H205" s="22" t="str">
        <f>IFERROR(__xludf.DUMMYFUNCTION("""COMPUTED_VALUE"""),"Nguyễn Đình Ngọ")</f>
        <v>Nguyễn Đình Ngọ</v>
      </c>
      <c r="I205" s="22" t="str">
        <f>IFERROR(__xludf.DUMMYFUNCTION("""COMPUTED_VALUE"""),"Nam")</f>
        <v>Nam</v>
      </c>
      <c r="J205" s="24">
        <f>IFERROR(__xludf.DUMMYFUNCTION("""COMPUTED_VALUE"""),33102.0)</f>
        <v>33102</v>
      </c>
      <c r="K205" s="22" t="str">
        <f>IFERROR(__xludf.DUMMYFUNCTION("""COMPUTED_VALUE"""),"KP. Quảng Đông - Quảng Phú - Tỉnh Thanh Hóa")</f>
        <v>KP. Quảng Đông - Quảng Phú - Tỉnh Thanh Hóa</v>
      </c>
      <c r="L205" s="22" t="str">
        <f>IFERROR(__xludf.DUMMYFUNCTION("""COMPUTED_VALUE"""),"0969989809")</f>
        <v>0969989809</v>
      </c>
      <c r="M205" s="22" t="str">
        <f>IFERROR(__xludf.DUMMYFUNCTION("""COMPUTED_VALUE"""),"038090039144")</f>
        <v>038090039144</v>
      </c>
      <c r="N205" s="25">
        <f>IFERROR(__xludf.DUMMYFUNCTION("""COMPUTED_VALUE"""),44564.0)</f>
        <v>44564</v>
      </c>
      <c r="O205" s="22" t="str">
        <f>IFERROR(__xludf.DUMMYFUNCTION("""COMPUTED_VALUE"""),"Cục Cảnh sát QLHC về TTXH")</f>
        <v>Cục Cảnh sát QLHC về TTXH</v>
      </c>
      <c r="P205" s="22" t="str">
        <f>IFERROR(__xludf.DUMMYFUNCTION("""COMPUTED_VALUE"""),"Cử nhân")</f>
        <v>Cử nhân</v>
      </c>
      <c r="Q205" s="22" t="str">
        <f>IFERROR(__xludf.DUMMYFUNCTION("""COMPUTED_VALUE"""),"Du lịch")</f>
        <v>Du lịch</v>
      </c>
      <c r="R205" s="24">
        <f>IFERROR(__xludf.DUMMYFUNCTION("""COMPUTED_VALUE"""),45749.0)</f>
        <v>45749</v>
      </c>
      <c r="S205" s="26">
        <f>IFERROR(__xludf.DUMMYFUNCTION("""COMPUTED_VALUE"""),45749.0)</f>
        <v>45749</v>
      </c>
      <c r="T205" s="22" t="str">
        <f>IFERROR(__xludf.DUMMYFUNCTION("""COMPUTED_VALUE"""),"Chính thức")</f>
        <v>Chính thức</v>
      </c>
      <c r="U205" s="22"/>
      <c r="V205" s="22" t="str">
        <f>IFERROR(__xludf.DUMMYFUNCTION("""COMPUTED_VALUE"""),"Chính thức")</f>
        <v>Chính thức</v>
      </c>
      <c r="W205" s="22" t="str">
        <f>IFERROR(__xludf.DUMMYFUNCTION("""COMPUTED_VALUE"""),"0 năm 8 tháng")</f>
        <v>0 năm 8 tháng</v>
      </c>
      <c r="X205" s="22"/>
      <c r="Y205" s="22"/>
      <c r="Z205" s="22"/>
    </row>
    <row r="206">
      <c r="A206" s="22" t="str">
        <f>IFERROR(__xludf.DUMMYFUNCTION("""COMPUTED_VALUE"""),"d.")</f>
        <v>d.</v>
      </c>
      <c r="B206" s="22" t="str">
        <f>IFERROR(__xludf.DUMMYFUNCTION("""COMPUTED_VALUE"""),"Văn phòng Miền Nam")</f>
        <v>Văn phòng Miền Nam</v>
      </c>
      <c r="C206" s="22">
        <f>IFERROR(__xludf.DUMMYFUNCTION("""COMPUTED_VALUE"""),7.0)</f>
        <v>7</v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>
        <f>IFERROR(__xludf.DUMMYFUNCTION("""COMPUTED_VALUE"""),1.0)</f>
        <v>1</v>
      </c>
      <c r="B207" s="22" t="str">
        <f>IFERROR(__xludf.DUMMYFUNCTION("""COMPUTED_VALUE"""),"Văn phòng")</f>
        <v>Văn phòng</v>
      </c>
      <c r="C207" s="22" t="str">
        <f>IFERROR(__xludf.DUMMYFUNCTION("""COMPUTED_VALUE"""),"Ban kinh doanh")</f>
        <v>Ban kinh doanh</v>
      </c>
      <c r="D207" s="22" t="str">
        <f>IFERROR(__xludf.DUMMYFUNCTION("""COMPUTED_VALUE"""),"Văn phòng Miền Nam")</f>
        <v>Văn phòng Miền Nam</v>
      </c>
      <c r="E207" s="22" t="str">
        <f>IFERROR(__xludf.DUMMYFUNCTION("""COMPUTED_VALUE"""),"Giám đốc Văn phòng Miền Nam")</f>
        <v>Giám đốc Văn phòng Miền Nam</v>
      </c>
      <c r="F207" s="22" t="str">
        <f>IFERROR(__xludf.DUMMYFUNCTION("""COMPUTED_VALUE"""),"NV5040")</f>
        <v>NV5040</v>
      </c>
      <c r="G207" s="22"/>
      <c r="H207" s="22" t="str">
        <f>IFERROR(__xludf.DUMMYFUNCTION("""COMPUTED_VALUE"""),"Nguyễn Tiến Dũng")</f>
        <v>Nguyễn Tiến Dũng</v>
      </c>
      <c r="I207" s="22" t="str">
        <f>IFERROR(__xludf.DUMMYFUNCTION("""COMPUTED_VALUE"""),"Nam")</f>
        <v>Nam</v>
      </c>
      <c r="J207" s="24">
        <f>IFERROR(__xludf.DUMMYFUNCTION("""COMPUTED_VALUE"""),32355.0)</f>
        <v>32355</v>
      </c>
      <c r="K207" s="22" t="str">
        <f>IFERROR(__xludf.DUMMYFUNCTION("""COMPUTED_VALUE"""),"257 Phan Chu Trinh - Phường Lộc Tiến - Tỉnh Lâm Đồng")</f>
        <v>257 Phan Chu Trinh - Phường Lộc Tiến - Tỉnh Lâm Đồng</v>
      </c>
      <c r="L207" s="22" t="str">
        <f>IFERROR(__xludf.DUMMYFUNCTION("""COMPUTED_VALUE"""),"0938079569")</f>
        <v>0938079569</v>
      </c>
      <c r="M207" s="22" t="str">
        <f>IFERROR(__xludf.DUMMYFUNCTION("""COMPUTED_VALUE"""),"068088003399")</f>
        <v>068088003399</v>
      </c>
      <c r="N207" s="25">
        <f>IFERROR(__xludf.DUMMYFUNCTION("""COMPUTED_VALUE"""),44790.0)</f>
        <v>44790</v>
      </c>
      <c r="O207" s="22" t="str">
        <f>IFERROR(__xludf.DUMMYFUNCTION("""COMPUTED_VALUE"""),"Cục Cảnh sát QLHC về TTXH")</f>
        <v>Cục Cảnh sát QLHC về TTXH</v>
      </c>
      <c r="P207" s="22" t="str">
        <f>IFERROR(__xludf.DUMMYFUNCTION("""COMPUTED_VALUE"""),"Kỹ sư")</f>
        <v>Kỹ sư</v>
      </c>
      <c r="Q207" s="22" t="str">
        <f>IFERROR(__xludf.DUMMYFUNCTION("""COMPUTED_VALUE"""),"Công nghệ kỹ thuật Ô tô")</f>
        <v>Công nghệ kỹ thuật Ô tô</v>
      </c>
      <c r="R207" s="24">
        <f>IFERROR(__xludf.DUMMYFUNCTION("""COMPUTED_VALUE"""),45352.0)</f>
        <v>45352</v>
      </c>
      <c r="S207" s="26">
        <f>IFERROR(__xludf.DUMMYFUNCTION("""COMPUTED_VALUE"""),45474.0)</f>
        <v>45474</v>
      </c>
      <c r="T207" s="22" t="str">
        <f>IFERROR(__xludf.DUMMYFUNCTION("""COMPUTED_VALUE"""),"Chính thức")</f>
        <v>Chính thức</v>
      </c>
      <c r="U207" s="22"/>
      <c r="V207" s="22" t="str">
        <f>IFERROR(__xludf.DUMMYFUNCTION("""COMPUTED_VALUE"""),"Chính thức")</f>
        <v>Chính thức</v>
      </c>
      <c r="W207" s="22" t="str">
        <f>IFERROR(__xludf.DUMMYFUNCTION("""COMPUTED_VALUE"""),"1 năm 9 tháng")</f>
        <v>1 năm 9 tháng</v>
      </c>
      <c r="X207" s="22"/>
      <c r="Y207" s="22"/>
      <c r="Z207" s="22"/>
    </row>
    <row r="208">
      <c r="A208" s="22">
        <f>IFERROR(__xludf.DUMMYFUNCTION("""COMPUTED_VALUE"""),2.0)</f>
        <v>2</v>
      </c>
      <c r="B208" s="22" t="str">
        <f>IFERROR(__xludf.DUMMYFUNCTION("""COMPUTED_VALUE"""),"Văn phòng")</f>
        <v>Văn phòng</v>
      </c>
      <c r="C208" s="22" t="str">
        <f>IFERROR(__xludf.DUMMYFUNCTION("""COMPUTED_VALUE"""),"Ban kinh doanh")</f>
        <v>Ban kinh doanh</v>
      </c>
      <c r="D208" s="22" t="str">
        <f>IFERROR(__xludf.DUMMYFUNCTION("""COMPUTED_VALUE"""),"Văn phòng Miền Nam")</f>
        <v>Văn phòng Miền Nam</v>
      </c>
      <c r="E208" s="22" t="str">
        <f>IFERROR(__xludf.DUMMYFUNCTION("""COMPUTED_VALUE"""),"Trợ lý giám đốc VPMN")</f>
        <v>Trợ lý giám đốc VPMN</v>
      </c>
      <c r="F208" s="22" t="str">
        <f>IFERROR(__xludf.DUMMYFUNCTION("""COMPUTED_VALUE"""),"NV5058")</f>
        <v>NV5058</v>
      </c>
      <c r="G208" s="22"/>
      <c r="H208" s="22" t="str">
        <f>IFERROR(__xludf.DUMMYFUNCTION("""COMPUTED_VALUE"""),"Trương Thị Mỹ Duyên")</f>
        <v>Trương Thị Mỹ Duyên</v>
      </c>
      <c r="I208" s="22" t="str">
        <f>IFERROR(__xludf.DUMMYFUNCTION("""COMPUTED_VALUE"""),"Nữ")</f>
        <v>Nữ</v>
      </c>
      <c r="J208" s="24">
        <f>IFERROR(__xludf.DUMMYFUNCTION("""COMPUTED_VALUE"""),34124.0)</f>
        <v>34124</v>
      </c>
      <c r="K208" s="22" t="str">
        <f>IFERROR(__xludf.DUMMYFUNCTION("""COMPUTED_VALUE"""),"99 Ấp Phú Thọ - Xã Châu Thành - Tỉnh Đồng Tháp")</f>
        <v>99 Ấp Phú Thọ - Xã Châu Thành - Tỉnh Đồng Tháp</v>
      </c>
      <c r="L208" s="22" t="str">
        <f>IFERROR(__xludf.DUMMYFUNCTION("""COMPUTED_VALUE"""),"0979042025")</f>
        <v>0979042025</v>
      </c>
      <c r="M208" s="22" t="str">
        <f>IFERROR(__xludf.DUMMYFUNCTION("""COMPUTED_VALUE"""),"087193005634")</f>
        <v>087193005634</v>
      </c>
      <c r="N208" s="25">
        <f>IFERROR(__xludf.DUMMYFUNCTION("""COMPUTED_VALUE"""),44417.0)</f>
        <v>44417</v>
      </c>
      <c r="O208" s="22" t="str">
        <f>IFERROR(__xludf.DUMMYFUNCTION("""COMPUTED_VALUE"""),"Cục Cảnh sát QLHC về TTXH")</f>
        <v>Cục Cảnh sát QLHC về TTXH</v>
      </c>
      <c r="P208" s="22" t="str">
        <f>IFERROR(__xludf.DUMMYFUNCTION("""COMPUTED_VALUE"""),"Cao đẳng")</f>
        <v>Cao đẳng</v>
      </c>
      <c r="Q208" s="22" t="str">
        <f>IFERROR(__xludf.DUMMYFUNCTION("""COMPUTED_VALUE"""),"Kỹ sư công nghệ thực phẩm")</f>
        <v>Kỹ sư công nghệ thực phẩm</v>
      </c>
      <c r="R208" s="24">
        <f>IFERROR(__xludf.DUMMYFUNCTION("""COMPUTED_VALUE"""),45356.0)</f>
        <v>45356</v>
      </c>
      <c r="S208" s="26">
        <f>IFERROR(__xludf.DUMMYFUNCTION("""COMPUTED_VALUE"""),45474.0)</f>
        <v>45474</v>
      </c>
      <c r="T208" s="22" t="str">
        <f>IFERROR(__xludf.DUMMYFUNCTION("""COMPUTED_VALUE"""),"Chính thức")</f>
        <v>Chính thức</v>
      </c>
      <c r="U208" s="22"/>
      <c r="V208" s="22" t="str">
        <f>IFERROR(__xludf.DUMMYFUNCTION("""COMPUTED_VALUE"""),"Chính thức")</f>
        <v>Chính thức</v>
      </c>
      <c r="W208" s="22" t="str">
        <f>IFERROR(__xludf.DUMMYFUNCTION("""COMPUTED_VALUE"""),"1 năm 9 tháng")</f>
        <v>1 năm 9 tháng</v>
      </c>
      <c r="X208" s="22"/>
      <c r="Y208" s="22"/>
      <c r="Z208" s="22"/>
    </row>
    <row r="209">
      <c r="A209" s="22">
        <f>IFERROR(__xludf.DUMMYFUNCTION("""COMPUTED_VALUE"""),3.0)</f>
        <v>3</v>
      </c>
      <c r="B209" s="22" t="str">
        <f>IFERROR(__xludf.DUMMYFUNCTION("""COMPUTED_VALUE"""),"Văn phòng")</f>
        <v>Văn phòng</v>
      </c>
      <c r="C209" s="22" t="str">
        <f>IFERROR(__xludf.DUMMYFUNCTION("""COMPUTED_VALUE"""),"Ban kinh doanh")</f>
        <v>Ban kinh doanh</v>
      </c>
      <c r="D209" s="22" t="str">
        <f>IFERROR(__xludf.DUMMYFUNCTION("""COMPUTED_VALUE"""),"Văn phòng Miền Nam")</f>
        <v>Văn phòng Miền Nam</v>
      </c>
      <c r="E209" s="22" t="str">
        <f>IFERROR(__xludf.DUMMYFUNCTION("""COMPUTED_VALUE"""),"Lái xe")</f>
        <v>Lái xe</v>
      </c>
      <c r="F209" s="22" t="str">
        <f>IFERROR(__xludf.DUMMYFUNCTION("""COMPUTED_VALUE"""),"NV5156")</f>
        <v>NV5156</v>
      </c>
      <c r="G209" s="22"/>
      <c r="H209" s="22" t="str">
        <f>IFERROR(__xludf.DUMMYFUNCTION("""COMPUTED_VALUE"""),"Lê Quốc Thắng")</f>
        <v>Lê Quốc Thắng</v>
      </c>
      <c r="I209" s="22" t="str">
        <f>IFERROR(__xludf.DUMMYFUNCTION("""COMPUTED_VALUE"""),"Nam")</f>
        <v>Nam</v>
      </c>
      <c r="J209" s="24">
        <f>IFERROR(__xludf.DUMMYFUNCTION("""COMPUTED_VALUE"""),35199.0)</f>
        <v>35199</v>
      </c>
      <c r="K209" s="22" t="str">
        <f>IFERROR(__xludf.DUMMYFUNCTION("""COMPUTED_VALUE"""),"104 Đường 3 - Khu phố 2 - Phường Phước Long - TP Hồ Chí Minh")</f>
        <v>104 Đường 3 - Khu phố 2 - Phường Phước Long - TP Hồ Chí Minh</v>
      </c>
      <c r="L209" s="22" t="str">
        <f>IFERROR(__xludf.DUMMYFUNCTION("""COMPUTED_VALUE"""),"0903771371")</f>
        <v>0903771371</v>
      </c>
      <c r="M209" s="22" t="str">
        <f>IFERROR(__xludf.DUMMYFUNCTION("""COMPUTED_VALUE"""),"079096038975")</f>
        <v>079096038975</v>
      </c>
      <c r="N209" s="25">
        <f>IFERROR(__xludf.DUMMYFUNCTION("""COMPUTED_VALUE"""),44423.0)</f>
        <v>44423</v>
      </c>
      <c r="O209" s="22" t="str">
        <f>IFERROR(__xludf.DUMMYFUNCTION("""COMPUTED_VALUE"""),"Cục Cảnh sát QLHC về TTXH")</f>
        <v>Cục Cảnh sát QLHC về TTXH</v>
      </c>
      <c r="P209" s="22" t="str">
        <f>IFERROR(__xludf.DUMMYFUNCTION("""COMPUTED_VALUE"""),"Bằng nghề")</f>
        <v>Bằng nghề</v>
      </c>
      <c r="Q209" s="22" t="str">
        <f>IFERROR(__xludf.DUMMYFUNCTION("""COMPUTED_VALUE"""),"Lái xe Hạng B2")</f>
        <v>Lái xe Hạng B2</v>
      </c>
      <c r="R209" s="24">
        <f>IFERROR(__xludf.DUMMYFUNCTION("""COMPUTED_VALUE"""),45383.0)</f>
        <v>45383</v>
      </c>
      <c r="S209" s="26">
        <f>IFERROR(__xludf.DUMMYFUNCTION("""COMPUTED_VALUE"""),45505.0)</f>
        <v>45505</v>
      </c>
      <c r="T209" s="22" t="str">
        <f>IFERROR(__xludf.DUMMYFUNCTION("""COMPUTED_VALUE"""),"Chính thức")</f>
        <v>Chính thức</v>
      </c>
      <c r="U209" s="22"/>
      <c r="V209" s="22" t="str">
        <f>IFERROR(__xludf.DUMMYFUNCTION("""COMPUTED_VALUE"""),"Chính thức")</f>
        <v>Chính thức</v>
      </c>
      <c r="W209" s="22" t="str">
        <f>IFERROR(__xludf.DUMMYFUNCTION("""COMPUTED_VALUE"""),"1 năm 8 tháng")</f>
        <v>1 năm 8 tháng</v>
      </c>
      <c r="X209" s="22"/>
      <c r="Y209" s="22"/>
      <c r="Z209" s="22"/>
    </row>
    <row r="210">
      <c r="A210" s="22">
        <f>IFERROR(__xludf.DUMMYFUNCTION("""COMPUTED_VALUE"""),4.0)</f>
        <v>4</v>
      </c>
      <c r="B210" s="22" t="str">
        <f>IFERROR(__xludf.DUMMYFUNCTION("""COMPUTED_VALUE"""),"Văn phòng")</f>
        <v>Văn phòng</v>
      </c>
      <c r="C210" s="22" t="str">
        <f>IFERROR(__xludf.DUMMYFUNCTION("""COMPUTED_VALUE"""),"Ban kinh doanh")</f>
        <v>Ban kinh doanh</v>
      </c>
      <c r="D210" s="22" t="str">
        <f>IFERROR(__xludf.DUMMYFUNCTION("""COMPUTED_VALUE"""),"Văn phòng Miền Nam")</f>
        <v>Văn phòng Miền Nam</v>
      </c>
      <c r="E210" s="22" t="str">
        <f>IFERROR(__xludf.DUMMYFUNCTION("""COMPUTED_VALUE"""),"Giám đốc vùng 9 tuyến 1")</f>
        <v>Giám đốc vùng 9 tuyến 1</v>
      </c>
      <c r="F210" s="22" t="str">
        <f>IFERROR(__xludf.DUMMYFUNCTION("""COMPUTED_VALUE"""),"NV5157")</f>
        <v>NV5157</v>
      </c>
      <c r="G210" s="22"/>
      <c r="H210" s="22" t="str">
        <f>IFERROR(__xludf.DUMMYFUNCTION("""COMPUTED_VALUE"""),"Hoàng Phú Đạt")</f>
        <v>Hoàng Phú Đạt</v>
      </c>
      <c r="I210" s="22" t="str">
        <f>IFERROR(__xludf.DUMMYFUNCTION("""COMPUTED_VALUE"""),"Nam")</f>
        <v>Nam</v>
      </c>
      <c r="J210" s="24">
        <f>IFERROR(__xludf.DUMMYFUNCTION("""COMPUTED_VALUE"""),34209.0)</f>
        <v>34209</v>
      </c>
      <c r="K210" s="22" t="str">
        <f>IFERROR(__xludf.DUMMYFUNCTION("""COMPUTED_VALUE"""),"B1 3b KP5. phường Tân Hiệp, Biên Hòa, Đồng Nai")</f>
        <v>B1 3b KP5. phường Tân Hiệp, Biên Hòa, Đồng Nai</v>
      </c>
      <c r="L210" s="22" t="str">
        <f>IFERROR(__xludf.DUMMYFUNCTION("""COMPUTED_VALUE"""),"0334189983")</f>
        <v>0334189983</v>
      </c>
      <c r="M210" s="22" t="str">
        <f>IFERROR(__xludf.DUMMYFUNCTION("""COMPUTED_VALUE"""),"068093008693")</f>
        <v>068093008693</v>
      </c>
      <c r="N210" s="25">
        <f>IFERROR(__xludf.DUMMYFUNCTION("""COMPUTED_VALUE"""),44782.0)</f>
        <v>44782</v>
      </c>
      <c r="O210" s="22" t="str">
        <f>IFERROR(__xludf.DUMMYFUNCTION("""COMPUTED_VALUE"""),"Cục Cảnh sát QLHC về TTXH")</f>
        <v>Cục Cảnh sát QLHC về TTXH</v>
      </c>
      <c r="P210" s="22" t="str">
        <f>IFERROR(__xludf.DUMMYFUNCTION("""COMPUTED_VALUE"""),"Cử nhân")</f>
        <v>Cử nhân</v>
      </c>
      <c r="Q210" s="22" t="str">
        <f>IFERROR(__xludf.DUMMYFUNCTION("""COMPUTED_VALUE"""),"Quản trị kinh doanh")</f>
        <v>Quản trị kinh doanh</v>
      </c>
      <c r="R210" s="24">
        <f>IFERROR(__xludf.DUMMYFUNCTION("""COMPUTED_VALUE"""),45383.0)</f>
        <v>45383</v>
      </c>
      <c r="S210" s="26">
        <f>IFERROR(__xludf.DUMMYFUNCTION("""COMPUTED_VALUE"""),45474.0)</f>
        <v>45474</v>
      </c>
      <c r="T210" s="22" t="str">
        <f>IFERROR(__xludf.DUMMYFUNCTION("""COMPUTED_VALUE"""),"Chính thức")</f>
        <v>Chính thức</v>
      </c>
      <c r="U210" s="22"/>
      <c r="V210" s="22" t="str">
        <f>IFERROR(__xludf.DUMMYFUNCTION("""COMPUTED_VALUE"""),"Chính thức")</f>
        <v>Chính thức</v>
      </c>
      <c r="W210" s="22" t="str">
        <f>IFERROR(__xludf.DUMMYFUNCTION("""COMPUTED_VALUE"""),"1 năm 8 tháng")</f>
        <v>1 năm 8 tháng</v>
      </c>
      <c r="X210" s="22"/>
      <c r="Y210" s="22"/>
      <c r="Z210" s="22"/>
    </row>
    <row r="211">
      <c r="A211" s="22">
        <f>IFERROR(__xludf.DUMMYFUNCTION("""COMPUTED_VALUE"""),5.0)</f>
        <v>5</v>
      </c>
      <c r="B211" s="22" t="str">
        <f>IFERROR(__xludf.DUMMYFUNCTION("""COMPUTED_VALUE"""),"Văn phòng")</f>
        <v>Văn phòng</v>
      </c>
      <c r="C211" s="22" t="str">
        <f>IFERROR(__xludf.DUMMYFUNCTION("""COMPUTED_VALUE"""),"Ban kinh doanh")</f>
        <v>Ban kinh doanh</v>
      </c>
      <c r="D211" s="22" t="str">
        <f>IFERROR(__xludf.DUMMYFUNCTION("""COMPUTED_VALUE"""),"Văn phòng Miền Nam")</f>
        <v>Văn phòng Miền Nam</v>
      </c>
      <c r="E211" s="22" t="str">
        <f>IFERROR(__xludf.DUMMYFUNCTION("""COMPUTED_VALUE"""),"Chăm sóc mẫu")</f>
        <v>Chăm sóc mẫu</v>
      </c>
      <c r="F211" s="22" t="str">
        <f>IFERROR(__xludf.DUMMYFUNCTION("""COMPUTED_VALUE"""),"NV5158")</f>
        <v>NV5158</v>
      </c>
      <c r="G211" s="22"/>
      <c r="H211" s="22" t="str">
        <f>IFERROR(__xludf.DUMMYFUNCTION("""COMPUTED_VALUE"""),"Nguyễn Văn Hà")</f>
        <v>Nguyễn Văn Hà</v>
      </c>
      <c r="I211" s="22" t="str">
        <f>IFERROR(__xludf.DUMMYFUNCTION("""COMPUTED_VALUE"""),"Nam")</f>
        <v>Nam</v>
      </c>
      <c r="J211" s="24">
        <f>IFERROR(__xludf.DUMMYFUNCTION("""COMPUTED_VALUE"""),35863.0)</f>
        <v>35863</v>
      </c>
      <c r="K211" s="22" t="str">
        <f>IFERROR(__xludf.DUMMYFUNCTION("""COMPUTED_VALUE"""),"B1 3b KP5. phường Tân Hiệp, Biên Hòa, Đồng Nai")</f>
        <v>B1 3b KP5. phường Tân Hiệp, Biên Hòa, Đồng Nai</v>
      </c>
      <c r="L211" s="22" t="str">
        <f>IFERROR(__xludf.DUMMYFUNCTION("""COMPUTED_VALUE"""),"0334189983")</f>
        <v>0334189983</v>
      </c>
      <c r="M211" s="22" t="str">
        <f>IFERROR(__xludf.DUMMYFUNCTION("""COMPUTED_VALUE"""),"052098001793")</f>
        <v>052098001793</v>
      </c>
      <c r="N211" s="25">
        <f>IFERROR(__xludf.DUMMYFUNCTION("""COMPUTED_VALUE"""),44887.0)</f>
        <v>44887</v>
      </c>
      <c r="O211" s="22" t="str">
        <f>IFERROR(__xludf.DUMMYFUNCTION("""COMPUTED_VALUE"""),"Cục Cảnh sát QLHC về TTXH")</f>
        <v>Cục Cảnh sát QLHC về TTXH</v>
      </c>
      <c r="P211" s="22" t="str">
        <f>IFERROR(__xludf.DUMMYFUNCTION("""COMPUTED_VALUE"""),"Cao đẳng")</f>
        <v>Cao đẳng</v>
      </c>
      <c r="Q211" s="22" t="str">
        <f>IFERROR(__xludf.DUMMYFUNCTION("""COMPUTED_VALUE"""),"Quản trị du lịch và lữ hành")</f>
        <v>Quản trị du lịch và lữ hành</v>
      </c>
      <c r="R211" s="24">
        <f>IFERROR(__xludf.DUMMYFUNCTION("""COMPUTED_VALUE"""),45383.0)</f>
        <v>45383</v>
      </c>
      <c r="S211" s="26">
        <f>IFERROR(__xludf.DUMMYFUNCTION("""COMPUTED_VALUE"""),45474.0)</f>
        <v>45474</v>
      </c>
      <c r="T211" s="22" t="str">
        <f>IFERROR(__xludf.DUMMYFUNCTION("""COMPUTED_VALUE"""),"Chính thức")</f>
        <v>Chính thức</v>
      </c>
      <c r="U211" s="22"/>
      <c r="V211" s="22" t="str">
        <f>IFERROR(__xludf.DUMMYFUNCTION("""COMPUTED_VALUE"""),"Chính thức")</f>
        <v>Chính thức</v>
      </c>
      <c r="W211" s="22" t="str">
        <f>IFERROR(__xludf.DUMMYFUNCTION("""COMPUTED_VALUE"""),"1 năm 8 tháng")</f>
        <v>1 năm 8 tháng</v>
      </c>
      <c r="X211" s="22"/>
      <c r="Y211" s="22"/>
      <c r="Z211" s="22"/>
    </row>
    <row r="212">
      <c r="A212" s="22">
        <f>IFERROR(__xludf.DUMMYFUNCTION("""COMPUTED_VALUE"""),6.0)</f>
        <v>6</v>
      </c>
      <c r="B212" s="22" t="str">
        <f>IFERROR(__xludf.DUMMYFUNCTION("""COMPUTED_VALUE"""),"Văn phòng")</f>
        <v>Văn phòng</v>
      </c>
      <c r="C212" s="22" t="str">
        <f>IFERROR(__xludf.DUMMYFUNCTION("""COMPUTED_VALUE"""),"Ban kinh doanh")</f>
        <v>Ban kinh doanh</v>
      </c>
      <c r="D212" s="22" t="str">
        <f>IFERROR(__xludf.DUMMYFUNCTION("""COMPUTED_VALUE"""),"Văn phòng Miền Nam")</f>
        <v>Văn phòng Miền Nam</v>
      </c>
      <c r="E212" s="22" t="str">
        <f>IFERROR(__xludf.DUMMYFUNCTION("""COMPUTED_VALUE"""),"Phó VPMN kiêm giám đốc vùng 9 tuyến 2")</f>
        <v>Phó VPMN kiêm giám đốc vùng 9 tuyến 2</v>
      </c>
      <c r="F212" s="22" t="str">
        <f>IFERROR(__xludf.DUMMYFUNCTION("""COMPUTED_VALUE"""),"NV5099")</f>
        <v>NV5099</v>
      </c>
      <c r="G212" s="22"/>
      <c r="H212" s="22" t="str">
        <f>IFERROR(__xludf.DUMMYFUNCTION("""COMPUTED_VALUE"""),"Ngô Duy Phương")</f>
        <v>Ngô Duy Phương</v>
      </c>
      <c r="I212" s="22" t="str">
        <f>IFERROR(__xludf.DUMMYFUNCTION("""COMPUTED_VALUE"""),"Nam")</f>
        <v>Nam</v>
      </c>
      <c r="J212" s="24">
        <f>IFERROR(__xludf.DUMMYFUNCTION("""COMPUTED_VALUE"""),32367.0)</f>
        <v>32367</v>
      </c>
      <c r="K212" s="22" t="str">
        <f>IFERROR(__xludf.DUMMYFUNCTION("""COMPUTED_VALUE"""),"B02-02-03 chung cư Gia Hòa - phường Phước Long - TP Hồ Chí Minh")</f>
        <v>B02-02-03 chung cư Gia Hòa - phường Phước Long - TP Hồ Chí Minh</v>
      </c>
      <c r="L212" s="22" t="str">
        <f>IFERROR(__xludf.DUMMYFUNCTION("""COMPUTED_VALUE"""),"0919388872")</f>
        <v>0919388872</v>
      </c>
      <c r="M212" s="22" t="str">
        <f>IFERROR(__xludf.DUMMYFUNCTION("""COMPUTED_VALUE"""),"074088000058")</f>
        <v>074088000058</v>
      </c>
      <c r="N212" s="25">
        <f>IFERROR(__xludf.DUMMYFUNCTION("""COMPUTED_VALUE"""),44573.0)</f>
        <v>44573</v>
      </c>
      <c r="O212" s="22" t="str">
        <f>IFERROR(__xludf.DUMMYFUNCTION("""COMPUTED_VALUE"""),"Cục Cảnh sát QLHC về TTXH")</f>
        <v>Cục Cảnh sát QLHC về TTXH</v>
      </c>
      <c r="P212" s="22" t="str">
        <f>IFERROR(__xludf.DUMMYFUNCTION("""COMPUTED_VALUE"""),"Cử nhân")</f>
        <v>Cử nhân</v>
      </c>
      <c r="Q212" s="22" t="str">
        <f>IFERROR(__xludf.DUMMYFUNCTION("""COMPUTED_VALUE"""),"Quản trị kinh doanh")</f>
        <v>Quản trị kinh doanh</v>
      </c>
      <c r="R212" s="24">
        <f>IFERROR(__xludf.DUMMYFUNCTION("""COMPUTED_VALUE"""),45370.0)</f>
        <v>45370</v>
      </c>
      <c r="S212" s="26">
        <f>IFERROR(__xludf.DUMMYFUNCTION("""COMPUTED_VALUE"""),45474.0)</f>
        <v>45474</v>
      </c>
      <c r="T212" s="22" t="str">
        <f>IFERROR(__xludf.DUMMYFUNCTION("""COMPUTED_VALUE"""),"Chính thức")</f>
        <v>Chính thức</v>
      </c>
      <c r="U212" s="22"/>
      <c r="V212" s="22" t="str">
        <f>IFERROR(__xludf.DUMMYFUNCTION("""COMPUTED_VALUE"""),"Chính thức")</f>
        <v>Chính thức</v>
      </c>
      <c r="W212" s="22" t="str">
        <f>IFERROR(__xludf.DUMMYFUNCTION("""COMPUTED_VALUE"""),"1 năm 9 tháng")</f>
        <v>1 năm 9 tháng</v>
      </c>
      <c r="X212" s="22"/>
      <c r="Y212" s="22"/>
      <c r="Z212" s="22"/>
    </row>
    <row r="213">
      <c r="A213" s="22">
        <f>IFERROR(__xludf.DUMMYFUNCTION("""COMPUTED_VALUE"""),7.0)</f>
        <v>7</v>
      </c>
      <c r="B213" s="22" t="str">
        <f>IFERROR(__xludf.DUMMYFUNCTION("""COMPUTED_VALUE"""),"Văn phòng")</f>
        <v>Văn phòng</v>
      </c>
      <c r="C213" s="22" t="str">
        <f>IFERROR(__xludf.DUMMYFUNCTION("""COMPUTED_VALUE"""),"Ban kinh doanh")</f>
        <v>Ban kinh doanh</v>
      </c>
      <c r="D213" s="22" t="str">
        <f>IFERROR(__xludf.DUMMYFUNCTION("""COMPUTED_VALUE"""),"Văn phòng Miền Nam")</f>
        <v>Văn phòng Miền Nam</v>
      </c>
      <c r="E213" s="22" t="str">
        <f>IFERROR(__xludf.DUMMYFUNCTION("""COMPUTED_VALUE"""),"Lái xe")</f>
        <v>Lái xe</v>
      </c>
      <c r="F213" s="22" t="str">
        <f>IFERROR(__xludf.DUMMYFUNCTION("""COMPUTED_VALUE"""),"NV5366")</f>
        <v>NV5366</v>
      </c>
      <c r="G213" s="22"/>
      <c r="H213" s="22" t="str">
        <f>IFERROR(__xludf.DUMMYFUNCTION("""COMPUTED_VALUE"""),"Lê Sỹ Toàn")</f>
        <v>Lê Sỹ Toàn</v>
      </c>
      <c r="I213" s="22" t="str">
        <f>IFERROR(__xludf.DUMMYFUNCTION("""COMPUTED_VALUE"""),"Nam")</f>
        <v>Nam</v>
      </c>
      <c r="J213" s="24">
        <f>IFERROR(__xludf.DUMMYFUNCTION("""COMPUTED_VALUE"""),29985.0)</f>
        <v>29985</v>
      </c>
      <c r="K213" s="22" t="str">
        <f>IFERROR(__xludf.DUMMYFUNCTION("""COMPUTED_VALUE"""),"Thôn Tịnh Tây, Tam Nghĩa, Núi Thành, Quảng Nam")</f>
        <v>Thôn Tịnh Tây, Tam Nghĩa, Núi Thành, Quảng Nam</v>
      </c>
      <c r="L213" s="22" t="str">
        <f>IFERROR(__xludf.DUMMYFUNCTION("""COMPUTED_VALUE"""),"0978882869")</f>
        <v>0978882869</v>
      </c>
      <c r="M213" s="22" t="str">
        <f>IFERROR(__xludf.DUMMYFUNCTION("""COMPUTED_VALUE"""),"038082018469")</f>
        <v>038082018469</v>
      </c>
      <c r="N213" s="25">
        <f>IFERROR(__xludf.DUMMYFUNCTION("""COMPUTED_VALUE"""),44768.0)</f>
        <v>44768</v>
      </c>
      <c r="O213" s="22" t="str">
        <f>IFERROR(__xludf.DUMMYFUNCTION("""COMPUTED_VALUE"""),"Cục Cảnh sát QLHC về TTXH")</f>
        <v>Cục Cảnh sát QLHC về TTXH</v>
      </c>
      <c r="P213" s="22" t="str">
        <f>IFERROR(__xludf.DUMMYFUNCTION("""COMPUTED_VALUE"""),"Bằng nghề")</f>
        <v>Bằng nghề</v>
      </c>
      <c r="Q213" s="22" t="str">
        <f>IFERROR(__xludf.DUMMYFUNCTION("""COMPUTED_VALUE"""),"Lái xe Hạng B2")</f>
        <v>Lái xe Hạng B2</v>
      </c>
      <c r="R213" s="24">
        <f>IFERROR(__xludf.DUMMYFUNCTION("""COMPUTED_VALUE"""),45489.0)</f>
        <v>45489</v>
      </c>
      <c r="S213" s="22"/>
      <c r="T213" s="22" t="str">
        <f>IFERROR(__xludf.DUMMYFUNCTION("""COMPUTED_VALUE"""),"Chính thức")</f>
        <v>Chính thức</v>
      </c>
      <c r="U213" s="22"/>
      <c r="V213" s="22" t="str">
        <f>IFERROR(__xludf.DUMMYFUNCTION("""COMPUTED_VALUE"""),"Chính thức")</f>
        <v>Chính thức</v>
      </c>
      <c r="W213" s="22" t="str">
        <f>IFERROR(__xludf.DUMMYFUNCTION("""COMPUTED_VALUE"""),"1 năm 5 tháng")</f>
        <v>1 năm 5 tháng</v>
      </c>
      <c r="X213" s="22"/>
      <c r="Y213" s="22"/>
      <c r="Z213" s="22"/>
    </row>
    <row r="214">
      <c r="A214" s="22">
        <f>IFERROR(__xludf.DUMMYFUNCTION("""COMPUTED_VALUE"""),8.0)</f>
        <v>8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 t="str">
        <f>IFERROR(__xludf.DUMMYFUNCTION("""COMPUTED_VALUE"""),"e.")</f>
        <v>e.</v>
      </c>
      <c r="B215" s="22" t="str">
        <f>IFERROR(__xludf.DUMMYFUNCTION("""COMPUTED_VALUE"""),"Hỗ trợ thị trường và điều phối")</f>
        <v>Hỗ trợ thị trường và điều phối</v>
      </c>
      <c r="C215" s="22">
        <f>IFERROR(__xludf.DUMMYFUNCTION("""COMPUTED_VALUE"""),9.0)</f>
        <v>9</v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>
        <f>IFERROR(__xludf.DUMMYFUNCTION("""COMPUTED_VALUE"""),1.0)</f>
        <v>1</v>
      </c>
      <c r="B216" s="22" t="str">
        <f>IFERROR(__xludf.DUMMYFUNCTION("""COMPUTED_VALUE"""),"Văn phòng")</f>
        <v>Văn phòng</v>
      </c>
      <c r="C216" s="22" t="str">
        <f>IFERROR(__xludf.DUMMYFUNCTION("""COMPUTED_VALUE"""),"Ban kinh doanh")</f>
        <v>Ban kinh doanh</v>
      </c>
      <c r="D216" s="22" t="str">
        <f>IFERROR(__xludf.DUMMYFUNCTION("""COMPUTED_VALUE"""),"Hỗ trợ thị trường và điều phối")</f>
        <v>Hỗ trợ thị trường và điều phối</v>
      </c>
      <c r="E216" s="22" t="str">
        <f>IFERROR(__xludf.DUMMYFUNCTION("""COMPUTED_VALUE"""),"Hỗ trợ thị trường vùng 3")</f>
        <v>Hỗ trợ thị trường vùng 3</v>
      </c>
      <c r="F216" s="22" t="str">
        <f>IFERROR(__xludf.DUMMYFUNCTION("""COMPUTED_VALUE"""),"NV2352")</f>
        <v>NV2352</v>
      </c>
      <c r="G216" s="22">
        <f>IFERROR(__xludf.DUMMYFUNCTION("""COMPUTED_VALUE"""),44.0)</f>
        <v>44</v>
      </c>
      <c r="H216" s="22" t="str">
        <f>IFERROR(__xludf.DUMMYFUNCTION("""COMPUTED_VALUE"""),"Nguyễn Thị Hà")</f>
        <v>Nguyễn Thị Hà</v>
      </c>
      <c r="I216" s="22" t="str">
        <f>IFERROR(__xludf.DUMMYFUNCTION("""COMPUTED_VALUE"""),"Nữ")</f>
        <v>Nữ</v>
      </c>
      <c r="J216" s="24">
        <f>IFERROR(__xludf.DUMMYFUNCTION("""COMPUTED_VALUE"""),33999.0)</f>
        <v>33999</v>
      </c>
      <c r="K216" s="22" t="str">
        <f>IFERROR(__xludf.DUMMYFUNCTION("""COMPUTED_VALUE"""),"SN64 Thôn Hà Đồ - Xã Hoằng Lộc - Tỉnh Thanh Hóa")</f>
        <v>SN64 Thôn Hà Đồ - Xã Hoằng Lộc - Tỉnh Thanh Hóa</v>
      </c>
      <c r="L216" s="27" t="str">
        <f>IFERROR(__xludf.DUMMYFUNCTION("""COMPUTED_VALUE"""),"0981185198")</f>
        <v>0981185198</v>
      </c>
      <c r="M216" s="22" t="str">
        <f>IFERROR(__xludf.DUMMYFUNCTION("""COMPUTED_VALUE"""),"038193001669")</f>
        <v>038193001669</v>
      </c>
      <c r="N216" s="25">
        <f>IFERROR(__xludf.DUMMYFUNCTION("""COMPUTED_VALUE"""),44534.0)</f>
        <v>44534</v>
      </c>
      <c r="O216" s="22" t="str">
        <f>IFERROR(__xludf.DUMMYFUNCTION("""COMPUTED_VALUE"""),"Cục Cảnh sát QLHC về TTXH")</f>
        <v>Cục Cảnh sát QLHC về TTXH</v>
      </c>
      <c r="P216" s="22" t="str">
        <f>IFERROR(__xludf.DUMMYFUNCTION("""COMPUTED_VALUE"""),"Cử nhân")</f>
        <v>Cử nhân</v>
      </c>
      <c r="Q216" s="22" t="str">
        <f>IFERROR(__xludf.DUMMYFUNCTION("""COMPUTED_VALUE"""),"Kế toán")</f>
        <v>Kế toán</v>
      </c>
      <c r="R216" s="24">
        <f>IFERROR(__xludf.DUMMYFUNCTION("""COMPUTED_VALUE"""),43587.0)</f>
        <v>43587</v>
      </c>
      <c r="S216" s="26">
        <f>IFERROR(__xludf.DUMMYFUNCTION("""COMPUTED_VALUE"""),43587.0)</f>
        <v>43587</v>
      </c>
      <c r="T216" s="22" t="str">
        <f>IFERROR(__xludf.DUMMYFUNCTION("""COMPUTED_VALUE"""),"Chính thức")</f>
        <v>Chính thức</v>
      </c>
      <c r="U216" s="22"/>
      <c r="V216" s="22" t="str">
        <f>IFERROR(__xludf.DUMMYFUNCTION("""COMPUTED_VALUE"""),"Chính thức")</f>
        <v>Chính thức</v>
      </c>
      <c r="W216" s="22" t="str">
        <f>IFERROR(__xludf.DUMMYFUNCTION("""COMPUTED_VALUE"""),"6 năm 7 tháng")</f>
        <v>6 năm 7 tháng</v>
      </c>
      <c r="X216" s="22"/>
      <c r="Y216" s="22"/>
      <c r="Z216" s="22"/>
    </row>
    <row r="217">
      <c r="A217" s="22">
        <f>IFERROR(__xludf.DUMMYFUNCTION("""COMPUTED_VALUE"""),2.0)</f>
        <v>2</v>
      </c>
      <c r="B217" s="22" t="str">
        <f>IFERROR(__xludf.DUMMYFUNCTION("""COMPUTED_VALUE"""),"Văn phòng")</f>
        <v>Văn phòng</v>
      </c>
      <c r="C217" s="22" t="str">
        <f>IFERROR(__xludf.DUMMYFUNCTION("""COMPUTED_VALUE"""),"Ban kinh doanh")</f>
        <v>Ban kinh doanh</v>
      </c>
      <c r="D217" s="22" t="str">
        <f>IFERROR(__xludf.DUMMYFUNCTION("""COMPUTED_VALUE"""),"Hỗ trợ thị trường và điều phối")</f>
        <v>Hỗ trợ thị trường và điều phối</v>
      </c>
      <c r="E217" s="22" t="str">
        <f>IFERROR(__xludf.DUMMYFUNCTION("""COMPUTED_VALUE"""),"Hỗ trợ thị trường vùng 68.1")</f>
        <v>Hỗ trợ thị trường vùng 68.1</v>
      </c>
      <c r="F217" s="22" t="str">
        <f>IFERROR(__xludf.DUMMYFUNCTION("""COMPUTED_VALUE"""),"NV0081")</f>
        <v>NV0081</v>
      </c>
      <c r="G217" s="22">
        <f>IFERROR(__xludf.DUMMYFUNCTION("""COMPUTED_VALUE"""),25.0)</f>
        <v>25</v>
      </c>
      <c r="H217" s="22" t="str">
        <f>IFERROR(__xludf.DUMMYFUNCTION("""COMPUTED_VALUE"""),"Lê Thị Nhung")</f>
        <v>Lê Thị Nhung</v>
      </c>
      <c r="I217" s="22" t="str">
        <f>IFERROR(__xludf.DUMMYFUNCTION("""COMPUTED_VALUE"""),"Nữ")</f>
        <v>Nữ</v>
      </c>
      <c r="J217" s="24">
        <f>IFERROR(__xludf.DUMMYFUNCTION("""COMPUTED_VALUE"""),29722.0)</f>
        <v>29722</v>
      </c>
      <c r="K217" s="22" t="str">
        <f>IFERROR(__xludf.DUMMYFUNCTION("""COMPUTED_VALUE"""),"Hoằng Trạch - Hoằng Hóa - Thanh Hóa")</f>
        <v>Hoằng Trạch - Hoằng Hóa - Thanh Hóa</v>
      </c>
      <c r="L217" s="27" t="str">
        <f>IFERROR(__xludf.DUMMYFUNCTION("""COMPUTED_VALUE"""),"0976926481")</f>
        <v>0976926481</v>
      </c>
      <c r="M217" s="22" t="str">
        <f>IFERROR(__xludf.DUMMYFUNCTION("""COMPUTED_VALUE"""),"038181009919")</f>
        <v>038181009919</v>
      </c>
      <c r="N217" s="25">
        <f>IFERROR(__xludf.DUMMYFUNCTION("""COMPUTED_VALUE"""),44427.0)</f>
        <v>44427</v>
      </c>
      <c r="O217" s="22" t="str">
        <f>IFERROR(__xludf.DUMMYFUNCTION("""COMPUTED_VALUE"""),"Cục Cảnh sát QLHC về TTXH")</f>
        <v>Cục Cảnh sát QLHC về TTXH</v>
      </c>
      <c r="P217" s="22" t="str">
        <f>IFERROR(__xludf.DUMMYFUNCTION("""COMPUTED_VALUE"""),"Cử nhân")</f>
        <v>Cử nhân</v>
      </c>
      <c r="Q217" s="22" t="str">
        <f>IFERROR(__xludf.DUMMYFUNCTION("""COMPUTED_VALUE"""),"Kế toán")</f>
        <v>Kế toán</v>
      </c>
      <c r="R217" s="24">
        <f>IFERROR(__xludf.DUMMYFUNCTION("""COMPUTED_VALUE"""),39219.0)</f>
        <v>39219</v>
      </c>
      <c r="S217" s="26">
        <f>IFERROR(__xludf.DUMMYFUNCTION("""COMPUTED_VALUE"""),39219.0)</f>
        <v>39219</v>
      </c>
      <c r="T217" s="22" t="str">
        <f>IFERROR(__xludf.DUMMYFUNCTION("""COMPUTED_VALUE"""),"Chính thức")</f>
        <v>Chính thức</v>
      </c>
      <c r="U217" s="22"/>
      <c r="V217" s="22" t="str">
        <f>IFERROR(__xludf.DUMMYFUNCTION("""COMPUTED_VALUE"""),"Chính thức")</f>
        <v>Chính thức</v>
      </c>
      <c r="W217" s="22" t="str">
        <f>IFERROR(__xludf.DUMMYFUNCTION("""COMPUTED_VALUE"""),"18 năm 7 tháng")</f>
        <v>18 năm 7 tháng</v>
      </c>
      <c r="X217" s="22"/>
      <c r="Y217" s="22"/>
      <c r="Z217" s="22"/>
    </row>
    <row r="218">
      <c r="A218" s="22">
        <f>IFERROR(__xludf.DUMMYFUNCTION("""COMPUTED_VALUE"""),3.0)</f>
        <v>3</v>
      </c>
      <c r="B218" s="22" t="str">
        <f>IFERROR(__xludf.DUMMYFUNCTION("""COMPUTED_VALUE"""),"Văn phòng")</f>
        <v>Văn phòng</v>
      </c>
      <c r="C218" s="22" t="str">
        <f>IFERROR(__xludf.DUMMYFUNCTION("""COMPUTED_VALUE"""),"Ban kinh doanh")</f>
        <v>Ban kinh doanh</v>
      </c>
      <c r="D218" s="22" t="str">
        <f>IFERROR(__xludf.DUMMYFUNCTION("""COMPUTED_VALUE"""),"Hỗ trợ thị trường và điều phối")</f>
        <v>Hỗ trợ thị trường và điều phối</v>
      </c>
      <c r="E218" s="22" t="str">
        <f>IFERROR(__xludf.DUMMYFUNCTION("""COMPUTED_VALUE"""),"Hỗ trợ thị trường vùng 68.2")</f>
        <v>Hỗ trợ thị trường vùng 68.2</v>
      </c>
      <c r="F218" s="22" t="str">
        <f>IFERROR(__xludf.DUMMYFUNCTION("""COMPUTED_VALUE"""),"NV0861")</f>
        <v>NV0861</v>
      </c>
      <c r="G218" s="22">
        <f>IFERROR(__xludf.DUMMYFUNCTION("""COMPUTED_VALUE"""),24.0)</f>
        <v>24</v>
      </c>
      <c r="H218" s="22" t="str">
        <f>IFERROR(__xludf.DUMMYFUNCTION("""COMPUTED_VALUE"""),"Lê Hữu Mạnh")</f>
        <v>Lê Hữu Mạnh</v>
      </c>
      <c r="I218" s="22" t="str">
        <f>IFERROR(__xludf.DUMMYFUNCTION("""COMPUTED_VALUE"""),"Nam")</f>
        <v>Nam</v>
      </c>
      <c r="J218" s="24">
        <f>IFERROR(__xludf.DUMMYFUNCTION("""COMPUTED_VALUE"""),33298.0)</f>
        <v>33298</v>
      </c>
      <c r="K218" s="22" t="str">
        <f>IFERROR(__xludf.DUMMYFUNCTION("""COMPUTED_VALUE"""),"145 Trần Hưng Đạo, Phường Nam Ngạn, Thành phố Thanh Hóa")</f>
        <v>145 Trần Hưng Đạo, Phường Nam Ngạn, Thành phố Thanh Hóa</v>
      </c>
      <c r="L218" s="27" t="str">
        <f>IFERROR(__xludf.DUMMYFUNCTION("""COMPUTED_VALUE"""),"0931351819")</f>
        <v>0931351819</v>
      </c>
      <c r="M218" s="22" t="str">
        <f>IFERROR(__xludf.DUMMYFUNCTION("""COMPUTED_VALUE"""),"038091027223")</f>
        <v>038091027223</v>
      </c>
      <c r="N218" s="25">
        <f>IFERROR(__xludf.DUMMYFUNCTION("""COMPUTED_VALUE"""),44435.0)</f>
        <v>44435</v>
      </c>
      <c r="O218" s="22" t="str">
        <f>IFERROR(__xludf.DUMMYFUNCTION("""COMPUTED_VALUE"""),"Cục Cảnh sát QLHC về TTXH")</f>
        <v>Cục Cảnh sát QLHC về TTXH</v>
      </c>
      <c r="P218" s="22" t="str">
        <f>IFERROR(__xludf.DUMMYFUNCTION("""COMPUTED_VALUE"""),"Đại học")</f>
        <v>Đại học</v>
      </c>
      <c r="Q218" s="22" t="str">
        <f>IFERROR(__xludf.DUMMYFUNCTION("""COMPUTED_VALUE"""),"Quản trị kinh doanh")</f>
        <v>Quản trị kinh doanh</v>
      </c>
      <c r="R218" s="24">
        <f>IFERROR(__xludf.DUMMYFUNCTION("""COMPUTED_VALUE"""),42279.0)</f>
        <v>42279</v>
      </c>
      <c r="S218" s="26">
        <f>IFERROR(__xludf.DUMMYFUNCTION("""COMPUTED_VALUE"""),42856.0)</f>
        <v>42856</v>
      </c>
      <c r="T218" s="22" t="str">
        <f>IFERROR(__xludf.DUMMYFUNCTION("""COMPUTED_VALUE"""),"Chính thức")</f>
        <v>Chính thức</v>
      </c>
      <c r="U218" s="22"/>
      <c r="V218" s="22" t="str">
        <f>IFERROR(__xludf.DUMMYFUNCTION("""COMPUTED_VALUE"""),"Chính thức")</f>
        <v>Chính thức</v>
      </c>
      <c r="W218" s="22" t="str">
        <f>IFERROR(__xludf.DUMMYFUNCTION("""COMPUTED_VALUE"""),"10 năm 2 tháng")</f>
        <v>10 năm 2 tháng</v>
      </c>
      <c r="X218" s="22"/>
      <c r="Y218" s="22"/>
      <c r="Z218" s="22"/>
    </row>
    <row r="219">
      <c r="A219" s="22">
        <f>IFERROR(__xludf.DUMMYFUNCTION("""COMPUTED_VALUE"""),4.0)</f>
        <v>4</v>
      </c>
      <c r="B219" s="22" t="str">
        <f>IFERROR(__xludf.DUMMYFUNCTION("""COMPUTED_VALUE"""),"Văn phòng")</f>
        <v>Văn phòng</v>
      </c>
      <c r="C219" s="22" t="str">
        <f>IFERROR(__xludf.DUMMYFUNCTION("""COMPUTED_VALUE"""),"Ban kinh doanh")</f>
        <v>Ban kinh doanh</v>
      </c>
      <c r="D219" s="22" t="str">
        <f>IFERROR(__xludf.DUMMYFUNCTION("""COMPUTED_VALUE"""),"Hỗ trợ thị trường và điều phối")</f>
        <v>Hỗ trợ thị trường và điều phối</v>
      </c>
      <c r="E219" s="22" t="str">
        <f>IFERROR(__xludf.DUMMYFUNCTION("""COMPUTED_VALUE"""),"Hỗ trợ thị trường vùng 1 + vùng 2")</f>
        <v>Hỗ trợ thị trường vùng 1 + vùng 2</v>
      </c>
      <c r="F219" s="22" t="str">
        <f>IFERROR(__xludf.DUMMYFUNCTION("""COMPUTED_VALUE"""),"NV0605")</f>
        <v>NV0605</v>
      </c>
      <c r="G219" s="22">
        <f>IFERROR(__xludf.DUMMYFUNCTION("""COMPUTED_VALUE"""),749.0)</f>
        <v>749</v>
      </c>
      <c r="H219" s="22" t="str">
        <f>IFERROR(__xludf.DUMMYFUNCTION("""COMPUTED_VALUE"""),"Trần Thị Hương")</f>
        <v>Trần Thị Hương</v>
      </c>
      <c r="I219" s="22" t="str">
        <f>IFERROR(__xludf.DUMMYFUNCTION("""COMPUTED_VALUE"""),"Nữ")</f>
        <v>Nữ</v>
      </c>
      <c r="J219" s="24">
        <f>IFERROR(__xludf.DUMMYFUNCTION("""COMPUTED_VALUE"""),33886.0)</f>
        <v>33886</v>
      </c>
      <c r="K219" s="22" t="str">
        <f>IFERROR(__xludf.DUMMYFUNCTION("""COMPUTED_VALUE"""),"Phố 8, Xã Quảng Hưng, Thành phố Thanh Hóa,")</f>
        <v>Phố 8, Xã Quảng Hưng, Thành phố Thanh Hóa,</v>
      </c>
      <c r="L219" s="27" t="str">
        <f>IFERROR(__xludf.DUMMYFUNCTION("""COMPUTED_VALUE"""),"0976753107")</f>
        <v>0976753107</v>
      </c>
      <c r="M219" s="22" t="str">
        <f>IFERROR(__xludf.DUMMYFUNCTION("""COMPUTED_VALUE"""),"038192046834")</f>
        <v>038192046834</v>
      </c>
      <c r="N219" s="25">
        <f>IFERROR(__xludf.DUMMYFUNCTION("""COMPUTED_VALUE"""),44326.0)</f>
        <v>44326</v>
      </c>
      <c r="O219" s="22" t="str">
        <f>IFERROR(__xludf.DUMMYFUNCTION("""COMPUTED_VALUE"""),"Cục Cảnh sát QLHC về TTXH")</f>
        <v>Cục Cảnh sát QLHC về TTXH</v>
      </c>
      <c r="P219" s="22" t="str">
        <f>IFERROR(__xludf.DUMMYFUNCTION("""COMPUTED_VALUE"""),"Đại học")</f>
        <v>Đại học</v>
      </c>
      <c r="Q219" s="22" t="str">
        <f>IFERROR(__xludf.DUMMYFUNCTION("""COMPUTED_VALUE"""),"Thiết kế đồ họa")</f>
        <v>Thiết kế đồ họa</v>
      </c>
      <c r="R219" s="24">
        <f>IFERROR(__xludf.DUMMYFUNCTION("""COMPUTED_VALUE"""),41939.0)</f>
        <v>41939</v>
      </c>
      <c r="S219" s="26">
        <f>IFERROR(__xludf.DUMMYFUNCTION("""COMPUTED_VALUE"""),41939.0)</f>
        <v>41939</v>
      </c>
      <c r="T219" s="22" t="str">
        <f>IFERROR(__xludf.DUMMYFUNCTION("""COMPUTED_VALUE"""),"Chính thức")</f>
        <v>Chính thức</v>
      </c>
      <c r="U219" s="22"/>
      <c r="V219" s="22" t="str">
        <f>IFERROR(__xludf.DUMMYFUNCTION("""COMPUTED_VALUE"""),"Chính thức")</f>
        <v>Chính thức</v>
      </c>
      <c r="W219" s="22" t="str">
        <f>IFERROR(__xludf.DUMMYFUNCTION("""COMPUTED_VALUE"""),"11 năm 2 tháng")</f>
        <v>11 năm 2 tháng</v>
      </c>
      <c r="X219" s="22"/>
      <c r="Y219" s="22"/>
      <c r="Z219" s="22"/>
    </row>
    <row r="220">
      <c r="A220" s="22">
        <f>IFERROR(__xludf.DUMMYFUNCTION("""COMPUTED_VALUE"""),5.0)</f>
        <v>5</v>
      </c>
      <c r="B220" s="22" t="str">
        <f>IFERROR(__xludf.DUMMYFUNCTION("""COMPUTED_VALUE"""),"Văn phòng")</f>
        <v>Văn phòng</v>
      </c>
      <c r="C220" s="22" t="str">
        <f>IFERROR(__xludf.DUMMYFUNCTION("""COMPUTED_VALUE"""),"Ban kinh doanh")</f>
        <v>Ban kinh doanh</v>
      </c>
      <c r="D220" s="22" t="str">
        <f>IFERROR(__xludf.DUMMYFUNCTION("""COMPUTED_VALUE"""),"Hỗ trợ thị trường và điều phối")</f>
        <v>Hỗ trợ thị trường và điều phối</v>
      </c>
      <c r="E220" s="22" t="str">
        <f>IFERROR(__xludf.DUMMYFUNCTION("""COMPUTED_VALUE"""),"Hỗ trợ thị trường vùng 5 + vùng 6 kiêm hỗ trợ thị trường vùng 8")</f>
        <v>Hỗ trợ thị trường vùng 5 + vùng 6 kiêm hỗ trợ thị trường vùng 8</v>
      </c>
      <c r="F220" s="22" t="str">
        <f>IFERROR(__xludf.DUMMYFUNCTION("""COMPUTED_VALUE"""),"NV1278")</f>
        <v>NV1278</v>
      </c>
      <c r="G220" s="22">
        <f>IFERROR(__xludf.DUMMYFUNCTION("""COMPUTED_VALUE"""),26.0)</f>
        <v>26</v>
      </c>
      <c r="H220" s="22" t="str">
        <f>IFERROR(__xludf.DUMMYFUNCTION("""COMPUTED_VALUE"""),"Đỗ Thị Hằng")</f>
        <v>Đỗ Thị Hằng</v>
      </c>
      <c r="I220" s="22" t="str">
        <f>IFERROR(__xludf.DUMMYFUNCTION("""COMPUTED_VALUE"""),"Nữ")</f>
        <v>Nữ</v>
      </c>
      <c r="J220" s="24">
        <f>IFERROR(__xludf.DUMMYFUNCTION("""COMPUTED_VALUE"""),35074.0)</f>
        <v>35074</v>
      </c>
      <c r="K220" s="22" t="str">
        <f>IFERROR(__xludf.DUMMYFUNCTION("""COMPUTED_VALUE"""),"Hoằng Trạch - Hoằng Hóa - Thanh Hóa")</f>
        <v>Hoằng Trạch - Hoằng Hóa - Thanh Hóa</v>
      </c>
      <c r="L220" s="27" t="str">
        <f>IFERROR(__xludf.DUMMYFUNCTION("""COMPUTED_VALUE"""),"0976843259")</f>
        <v>0976843259</v>
      </c>
      <c r="M220" s="22" t="str">
        <f>IFERROR(__xludf.DUMMYFUNCTION("""COMPUTED_VALUE"""),"038196024180")</f>
        <v>038196024180</v>
      </c>
      <c r="N220" s="25">
        <f>IFERROR(__xludf.DUMMYFUNCTION("""COMPUTED_VALUE"""),44453.0)</f>
        <v>44453</v>
      </c>
      <c r="O220" s="22" t="str">
        <f>IFERROR(__xludf.DUMMYFUNCTION("""COMPUTED_VALUE"""),"Cục Cảnh sát QLHC về TTXH")</f>
        <v>Cục Cảnh sát QLHC về TTXH</v>
      </c>
      <c r="P220" s="22" t="str">
        <f>IFERROR(__xludf.DUMMYFUNCTION("""COMPUTED_VALUE"""),"Đại học")</f>
        <v>Đại học</v>
      </c>
      <c r="Q220" s="22" t="str">
        <f>IFERROR(__xludf.DUMMYFUNCTION("""COMPUTED_VALUE"""),"Kế toán")</f>
        <v>Kế toán</v>
      </c>
      <c r="R220" s="24">
        <f>IFERROR(__xludf.DUMMYFUNCTION("""COMPUTED_VALUE"""),43180.0)</f>
        <v>43180</v>
      </c>
      <c r="S220" s="26">
        <f>IFERROR(__xludf.DUMMYFUNCTION("""COMPUTED_VALUE"""),43466.0)</f>
        <v>43466</v>
      </c>
      <c r="T220" s="22" t="str">
        <f>IFERROR(__xludf.DUMMYFUNCTION("""COMPUTED_VALUE"""),"Chính thức")</f>
        <v>Chính thức</v>
      </c>
      <c r="U220" s="22"/>
      <c r="V220" s="22" t="str">
        <f>IFERROR(__xludf.DUMMYFUNCTION("""COMPUTED_VALUE"""),"Chính thức")</f>
        <v>Chính thức</v>
      </c>
      <c r="W220" s="22" t="str">
        <f>IFERROR(__xludf.DUMMYFUNCTION("""COMPUTED_VALUE"""),"7 năm 9 tháng")</f>
        <v>7 năm 9 tháng</v>
      </c>
      <c r="X220" s="22"/>
      <c r="Y220" s="22"/>
      <c r="Z220" s="22"/>
    </row>
    <row r="221">
      <c r="A221" s="22">
        <f>IFERROR(__xludf.DUMMYFUNCTION("""COMPUTED_VALUE"""),6.0)</f>
        <v>6</v>
      </c>
      <c r="B221" s="22" t="str">
        <f>IFERROR(__xludf.DUMMYFUNCTION("""COMPUTED_VALUE"""),"Văn phòng")</f>
        <v>Văn phòng</v>
      </c>
      <c r="C221" s="22" t="str">
        <f>IFERROR(__xludf.DUMMYFUNCTION("""COMPUTED_VALUE"""),"Ban kinh doanh")</f>
        <v>Ban kinh doanh</v>
      </c>
      <c r="D221" s="22" t="str">
        <f>IFERROR(__xludf.DUMMYFUNCTION("""COMPUTED_VALUE"""),"Hỗ trợ thị trường và điều phối")</f>
        <v>Hỗ trợ thị trường và điều phối</v>
      </c>
      <c r="E221" s="22" t="str">
        <f>IFERROR(__xludf.DUMMYFUNCTION("""COMPUTED_VALUE"""),"Phụ trách cắt lô, bán lẻ, gạch loại, trực phiếu kiêm hỗ trợ thị trường vùng 9")</f>
        <v>Phụ trách cắt lô, bán lẻ, gạch loại, trực phiếu kiêm hỗ trợ thị trường vùng 9</v>
      </c>
      <c r="F221" s="22" t="str">
        <f>IFERROR(__xludf.DUMMYFUNCTION("""COMPUTED_VALUE"""),"NV0029")</f>
        <v>NV0029</v>
      </c>
      <c r="G221" s="22">
        <f>IFERROR(__xludf.DUMMYFUNCTION("""COMPUTED_VALUE"""),27.0)</f>
        <v>27</v>
      </c>
      <c r="H221" s="22" t="str">
        <f>IFERROR(__xludf.DUMMYFUNCTION("""COMPUTED_VALUE"""),"Trần Thị Thơm")</f>
        <v>Trần Thị Thơm</v>
      </c>
      <c r="I221" s="22" t="str">
        <f>IFERROR(__xludf.DUMMYFUNCTION("""COMPUTED_VALUE"""),"Nữ")</f>
        <v>Nữ</v>
      </c>
      <c r="J221" s="24">
        <f>IFERROR(__xludf.DUMMYFUNCTION("""COMPUTED_VALUE"""),33856.0)</f>
        <v>33856</v>
      </c>
      <c r="K221" s="22" t="str">
        <f>IFERROR(__xludf.DUMMYFUNCTION("""COMPUTED_VALUE"""),"Hoằng Châu - Hoằng Hóa - Thanh Hóa")</f>
        <v>Hoằng Châu - Hoằng Hóa - Thanh Hóa</v>
      </c>
      <c r="L221" s="27" t="str">
        <f>IFERROR(__xludf.DUMMYFUNCTION("""COMPUTED_VALUE"""),"0332410992")</f>
        <v>0332410992</v>
      </c>
      <c r="M221" s="22" t="str">
        <f>IFERROR(__xludf.DUMMYFUNCTION("""COMPUTED_VALUE"""),"038192039165")</f>
        <v>038192039165</v>
      </c>
      <c r="N221" s="25">
        <f>IFERROR(__xludf.DUMMYFUNCTION("""COMPUTED_VALUE"""),44325.0)</f>
        <v>44325</v>
      </c>
      <c r="O221" s="22" t="str">
        <f>IFERROR(__xludf.DUMMYFUNCTION("""COMPUTED_VALUE"""),"Cục Cảnh sát QLHC về TTXH")</f>
        <v>Cục Cảnh sát QLHC về TTXH</v>
      </c>
      <c r="P221" s="22" t="str">
        <f>IFERROR(__xludf.DUMMYFUNCTION("""COMPUTED_VALUE"""),"Trung cấp")</f>
        <v>Trung cấp</v>
      </c>
      <c r="Q221" s="22" t="str">
        <f>IFERROR(__xludf.DUMMYFUNCTION("""COMPUTED_VALUE"""),"Kiểm toán")</f>
        <v>Kiểm toán</v>
      </c>
      <c r="R221" s="24">
        <f>IFERROR(__xludf.DUMMYFUNCTION("""COMPUTED_VALUE"""),40739.0)</f>
        <v>40739</v>
      </c>
      <c r="S221" s="26">
        <f>IFERROR(__xludf.DUMMYFUNCTION("""COMPUTED_VALUE"""),40739.0)</f>
        <v>40739</v>
      </c>
      <c r="T221" s="22" t="str">
        <f>IFERROR(__xludf.DUMMYFUNCTION("""COMPUTED_VALUE"""),"Chính thức")</f>
        <v>Chính thức</v>
      </c>
      <c r="U221" s="22"/>
      <c r="V221" s="22" t="str">
        <f>IFERROR(__xludf.DUMMYFUNCTION("""COMPUTED_VALUE"""),"Chính thức")</f>
        <v>Chính thức</v>
      </c>
      <c r="W221" s="22" t="str">
        <f>IFERROR(__xludf.DUMMYFUNCTION("""COMPUTED_VALUE"""),"14 năm 5 tháng")</f>
        <v>14 năm 5 tháng</v>
      </c>
      <c r="X221" s="22"/>
      <c r="Y221" s="22"/>
      <c r="Z221" s="22"/>
    </row>
    <row r="222">
      <c r="A222" s="22">
        <f>IFERROR(__xludf.DUMMYFUNCTION("""COMPUTED_VALUE"""),7.0)</f>
        <v>7</v>
      </c>
      <c r="B222" s="22" t="str">
        <f>IFERROR(__xludf.DUMMYFUNCTION("""COMPUTED_VALUE"""),"Văn phòng")</f>
        <v>Văn phòng</v>
      </c>
      <c r="C222" s="22" t="str">
        <f>IFERROR(__xludf.DUMMYFUNCTION("""COMPUTED_VALUE"""),"Ban kinh doanh")</f>
        <v>Ban kinh doanh</v>
      </c>
      <c r="D222" s="22" t="str">
        <f>IFERROR(__xludf.DUMMYFUNCTION("""COMPUTED_VALUE"""),"Hỗ trợ thị trường và điều phối")</f>
        <v>Hỗ trợ thị trường và điều phối</v>
      </c>
      <c r="E222" s="22" t="str">
        <f>IFERROR(__xludf.DUMMYFUNCTION("""COMPUTED_VALUE"""),"Hỗ trợ thị trường vùng 5 + vùng 6 kiêm hỗ trợ thị trường vùng 8")</f>
        <v>Hỗ trợ thị trường vùng 5 + vùng 6 kiêm hỗ trợ thị trường vùng 8</v>
      </c>
      <c r="F222" s="22" t="str">
        <f>IFERROR(__xludf.DUMMYFUNCTION("""COMPUTED_VALUE"""),"NV1700")</f>
        <v>NV1700</v>
      </c>
      <c r="G222" s="22">
        <f>IFERROR(__xludf.DUMMYFUNCTION("""COMPUTED_VALUE"""),17.0)</f>
        <v>17</v>
      </c>
      <c r="H222" s="22" t="str">
        <f>IFERROR(__xludf.DUMMYFUNCTION("""COMPUTED_VALUE"""),"Vũ Đình Hà")</f>
        <v>Vũ Đình Hà</v>
      </c>
      <c r="I222" s="22" t="str">
        <f>IFERROR(__xludf.DUMMYFUNCTION("""COMPUTED_VALUE"""),"Nam")</f>
        <v>Nam</v>
      </c>
      <c r="J222" s="24">
        <f>IFERROR(__xludf.DUMMYFUNCTION("""COMPUTED_VALUE"""),34372.0)</f>
        <v>34372</v>
      </c>
      <c r="K222" s="22" t="str">
        <f>IFERROR(__xludf.DUMMYFUNCTION("""COMPUTED_VALUE"""),"22/15/601 Hàm Nghi, Xã Đông Hương, Thành phố Thanh Hóa, Thanh Hóa")</f>
        <v>22/15/601 Hàm Nghi, Xã Đông Hương, Thành phố Thanh Hóa, Thanh Hóa</v>
      </c>
      <c r="L222" s="27" t="str">
        <f>IFERROR(__xludf.DUMMYFUNCTION("""COMPUTED_VALUE"""),"0347817268")</f>
        <v>0347817268</v>
      </c>
      <c r="M222" s="22" t="str">
        <f>IFERROR(__xludf.DUMMYFUNCTION("""COMPUTED_VALUE"""),"038094014801")</f>
        <v>038094014801</v>
      </c>
      <c r="N222" s="25">
        <f>IFERROR(__xludf.DUMMYFUNCTION("""COMPUTED_VALUE"""),44418.0)</f>
        <v>44418</v>
      </c>
      <c r="O222" s="22" t="str">
        <f>IFERROR(__xludf.DUMMYFUNCTION("""COMPUTED_VALUE"""),"Cục Cảnh sát QLHC về TTXH")</f>
        <v>Cục Cảnh sát QLHC về TTXH</v>
      </c>
      <c r="P222" s="22" t="str">
        <f>IFERROR(__xludf.DUMMYFUNCTION("""COMPUTED_VALUE"""),"Cử nhân")</f>
        <v>Cử nhân</v>
      </c>
      <c r="Q222" s="22" t="str">
        <f>IFERROR(__xludf.DUMMYFUNCTION("""COMPUTED_VALUE"""),"Kế toán")</f>
        <v>Kế toán</v>
      </c>
      <c r="R222" s="24">
        <f>IFERROR(__xludf.DUMMYFUNCTION("""COMPUTED_VALUE"""),43340.0)</f>
        <v>43340</v>
      </c>
      <c r="S222" s="26">
        <f>IFERROR(__xludf.DUMMYFUNCTION("""COMPUTED_VALUE"""),43340.0)</f>
        <v>43340</v>
      </c>
      <c r="T222" s="22" t="str">
        <f>IFERROR(__xludf.DUMMYFUNCTION("""COMPUTED_VALUE"""),"Chính thức")</f>
        <v>Chính thức</v>
      </c>
      <c r="U222" s="22"/>
      <c r="V222" s="22" t="str">
        <f>IFERROR(__xludf.DUMMYFUNCTION("""COMPUTED_VALUE"""),"Chính thức")</f>
        <v>Chính thức</v>
      </c>
      <c r="W222" s="22" t="str">
        <f>IFERROR(__xludf.DUMMYFUNCTION("""COMPUTED_VALUE"""),"7 năm 4 tháng")</f>
        <v>7 năm 4 tháng</v>
      </c>
      <c r="X222" s="22"/>
      <c r="Y222" s="22"/>
      <c r="Z222" s="22"/>
    </row>
    <row r="223">
      <c r="A223" s="22">
        <f>IFERROR(__xludf.DUMMYFUNCTION("""COMPUTED_VALUE"""),8.0)</f>
        <v>8</v>
      </c>
      <c r="B223" s="22" t="str">
        <f>IFERROR(__xludf.DUMMYFUNCTION("""COMPUTED_VALUE"""),"Văn phòng")</f>
        <v>Văn phòng</v>
      </c>
      <c r="C223" s="22" t="str">
        <f>IFERROR(__xludf.DUMMYFUNCTION("""COMPUTED_VALUE"""),"Ban kinh doanh")</f>
        <v>Ban kinh doanh</v>
      </c>
      <c r="D223" s="22" t="str">
        <f>IFERROR(__xludf.DUMMYFUNCTION("""COMPUTED_VALUE"""),"Hỗ trợ thị trường và điều phối")</f>
        <v>Hỗ trợ thị trường và điều phối</v>
      </c>
      <c r="E223" s="22" t="str">
        <f>IFERROR(__xludf.DUMMYFUNCTION("""COMPUTED_VALUE"""),"Hỗ trợ thị trường vùng 3")</f>
        <v>Hỗ trợ thị trường vùng 3</v>
      </c>
      <c r="F223" s="22" t="str">
        <f>IFERROR(__xludf.DUMMYFUNCTION("""COMPUTED_VALUE"""),"NV0695")</f>
        <v>NV0695</v>
      </c>
      <c r="G223" s="22">
        <f>IFERROR(__xludf.DUMMYFUNCTION("""COMPUTED_VALUE"""),33.0)</f>
        <v>33</v>
      </c>
      <c r="H223" s="22" t="str">
        <f>IFERROR(__xludf.DUMMYFUNCTION("""COMPUTED_VALUE"""),"Nguyễn Huy Toàn")</f>
        <v>Nguyễn Huy Toàn</v>
      </c>
      <c r="I223" s="22" t="str">
        <f>IFERROR(__xludf.DUMMYFUNCTION("""COMPUTED_VALUE"""),"Nam")</f>
        <v>Nam</v>
      </c>
      <c r="J223" s="24">
        <f>IFERROR(__xludf.DUMMYFUNCTION("""COMPUTED_VALUE"""),31894.0)</f>
        <v>31894</v>
      </c>
      <c r="K223" s="22" t="str">
        <f>IFERROR(__xludf.DUMMYFUNCTION("""COMPUTED_VALUE"""),"SN22/233 Đường Bạch Đằng- Phố 5, Xã Quảng Hưng, Thành phố Thanh Hóa,")</f>
        <v>SN22/233 Đường Bạch Đằng- Phố 5, Xã Quảng Hưng, Thành phố Thanh Hóa,</v>
      </c>
      <c r="L223" s="27" t="str">
        <f>IFERROR(__xludf.DUMMYFUNCTION("""COMPUTED_VALUE"""),"0979426002")</f>
        <v>0979426002</v>
      </c>
      <c r="M223" s="22" t="str">
        <f>IFERROR(__xludf.DUMMYFUNCTION("""COMPUTED_VALUE"""),"038087015949")</f>
        <v>038087015949</v>
      </c>
      <c r="N223" s="25">
        <f>IFERROR(__xludf.DUMMYFUNCTION("""COMPUTED_VALUE"""),44317.0)</f>
        <v>44317</v>
      </c>
      <c r="O223" s="22" t="str">
        <f>IFERROR(__xludf.DUMMYFUNCTION("""COMPUTED_VALUE"""),"Cục Cảnh sát QLHC về TTXH")</f>
        <v>Cục Cảnh sát QLHC về TTXH</v>
      </c>
      <c r="P223" s="22" t="str">
        <f>IFERROR(__xludf.DUMMYFUNCTION("""COMPUTED_VALUE"""),"Cao đẳng")</f>
        <v>Cao đẳng</v>
      </c>
      <c r="Q223" s="22" t="str">
        <f>IFERROR(__xludf.DUMMYFUNCTION("""COMPUTED_VALUE"""),"Hóa chất")</f>
        <v>Hóa chất</v>
      </c>
      <c r="R223" s="24">
        <f>IFERROR(__xludf.DUMMYFUNCTION("""COMPUTED_VALUE"""),40780.0)</f>
        <v>40780</v>
      </c>
      <c r="S223" s="26">
        <f>IFERROR(__xludf.DUMMYFUNCTION("""COMPUTED_VALUE"""),40780.0)</f>
        <v>40780</v>
      </c>
      <c r="T223" s="22" t="str">
        <f>IFERROR(__xludf.DUMMYFUNCTION("""COMPUTED_VALUE"""),"Chính thức")</f>
        <v>Chính thức</v>
      </c>
      <c r="U223" s="22"/>
      <c r="V223" s="22" t="str">
        <f>IFERROR(__xludf.DUMMYFUNCTION("""COMPUTED_VALUE"""),"Chính thức")</f>
        <v>Chính thức</v>
      </c>
      <c r="W223" s="22" t="str">
        <f>IFERROR(__xludf.DUMMYFUNCTION("""COMPUTED_VALUE"""),"14 năm 4 tháng")</f>
        <v>14 năm 4 tháng</v>
      </c>
      <c r="X223" s="22"/>
      <c r="Y223" s="22"/>
      <c r="Z223" s="22"/>
    </row>
    <row r="224">
      <c r="A224" s="22">
        <f>IFERROR(__xludf.DUMMYFUNCTION("""COMPUTED_VALUE"""),9.0)</f>
        <v>9</v>
      </c>
      <c r="B224" s="22" t="str">
        <f>IFERROR(__xludf.DUMMYFUNCTION("""COMPUTED_VALUE"""),"Văn phòng")</f>
        <v>Văn phòng</v>
      </c>
      <c r="C224" s="22" t="str">
        <f>IFERROR(__xludf.DUMMYFUNCTION("""COMPUTED_VALUE"""),"Ban kinh doanh")</f>
        <v>Ban kinh doanh</v>
      </c>
      <c r="D224" s="22" t="str">
        <f>IFERROR(__xludf.DUMMYFUNCTION("""COMPUTED_VALUE"""),"Hỗ trợ thị trường và điều phối")</f>
        <v>Hỗ trợ thị trường và điều phối</v>
      </c>
      <c r="E224" s="22" t="str">
        <f>IFERROR(__xludf.DUMMYFUNCTION("""COMPUTED_VALUE"""),"Hỗ trợ thị trường vùng 5")</f>
        <v>Hỗ trợ thị trường vùng 5</v>
      </c>
      <c r="F224" s="22" t="str">
        <f>IFERROR(__xludf.DUMMYFUNCTION("""COMPUTED_VALUE"""),"NV5801")</f>
        <v>NV5801</v>
      </c>
      <c r="G224" s="22">
        <f>IFERROR(__xludf.DUMMYFUNCTION("""COMPUTED_VALUE"""),1283.0)</f>
        <v>1283</v>
      </c>
      <c r="H224" s="22" t="str">
        <f>IFERROR(__xludf.DUMMYFUNCTION("""COMPUTED_VALUE"""),"Nguyễn Minh Khôi")</f>
        <v>Nguyễn Minh Khôi</v>
      </c>
      <c r="I224" s="22" t="str">
        <f>IFERROR(__xludf.DUMMYFUNCTION("""COMPUTED_VALUE"""),"Nam")</f>
        <v>Nam</v>
      </c>
      <c r="J224" s="24">
        <f>IFERROR(__xludf.DUMMYFUNCTION("""COMPUTED_VALUE"""),32456.0)</f>
        <v>32456</v>
      </c>
      <c r="K224" s="22" t="str">
        <f>IFERROR(__xludf.DUMMYFUNCTION("""COMPUTED_VALUE"""),"Đường Hòa Mỹ 2 - tổ 121 - phường Hòa Khánh - TP Đà Nẵng")</f>
        <v>Đường Hòa Mỹ 2 - tổ 121 - phường Hòa Khánh - TP Đà Nẵng</v>
      </c>
      <c r="L224" s="27" t="str">
        <f>IFERROR(__xludf.DUMMYFUNCTION("""COMPUTED_VALUE"""),"0966595150")</f>
        <v>0966595150</v>
      </c>
      <c r="M224" s="22" t="str">
        <f>IFERROR(__xludf.DUMMYFUNCTION("""COMPUTED_VALUE"""),"030088007306")</f>
        <v>030088007306</v>
      </c>
      <c r="N224" s="25">
        <f>IFERROR(__xludf.DUMMYFUNCTION("""COMPUTED_VALUE"""),44959.0)</f>
        <v>44959</v>
      </c>
      <c r="O224" s="22" t="str">
        <f>IFERROR(__xludf.DUMMYFUNCTION("""COMPUTED_VALUE"""),"Cục Cảnh sát QLHC về TTXH")</f>
        <v>Cục Cảnh sát QLHC về TTXH</v>
      </c>
      <c r="P224" s="22" t="str">
        <f>IFERROR(__xludf.DUMMYFUNCTION("""COMPUTED_VALUE"""),"Kỹ sư")</f>
        <v>Kỹ sư</v>
      </c>
      <c r="Q224" s="22" t="str">
        <f>IFERROR(__xludf.DUMMYFUNCTION("""COMPUTED_VALUE"""),"Kỹ sư cơ khí chuyên dùng")</f>
        <v>Kỹ sư cơ khí chuyên dùng</v>
      </c>
      <c r="R224" s="24">
        <f>IFERROR(__xludf.DUMMYFUNCTION("""COMPUTED_VALUE"""),45972.0)</f>
        <v>45972</v>
      </c>
      <c r="S224" s="26">
        <f>IFERROR(__xludf.DUMMYFUNCTION("""COMPUTED_VALUE"""),46002.0)</f>
        <v>46002</v>
      </c>
      <c r="T224" s="22" t="str">
        <f>IFERROR(__xludf.DUMMYFUNCTION("""COMPUTED_VALUE"""),"Chính thức")</f>
        <v>Chính thức</v>
      </c>
      <c r="U224" s="22"/>
      <c r="V224" s="22" t="str">
        <f>IFERROR(__xludf.DUMMYFUNCTION("""COMPUTED_VALUE"""),"Chính thức")</f>
        <v>Chính thức</v>
      </c>
      <c r="W224" s="22" t="str">
        <f>IFERROR(__xludf.DUMMYFUNCTION("""COMPUTED_VALUE"""),"0 năm 1 tháng")</f>
        <v>0 năm 1 tháng</v>
      </c>
      <c r="X224" s="22"/>
      <c r="Y224" s="22"/>
      <c r="Z224" s="22"/>
    </row>
    <row r="225">
      <c r="A225" s="22" t="str">
        <f>IFERROR(__xludf.DUMMYFUNCTION("""COMPUTED_VALUE"""),"f.")</f>
        <v>f.</v>
      </c>
      <c r="B225" s="22" t="str">
        <f>IFERROR(__xludf.DUMMYFUNCTION("""COMPUTED_VALUE"""),"Bộ phận thiết kế")</f>
        <v>Bộ phận thiết kế</v>
      </c>
      <c r="C225" s="22">
        <f>IFERROR(__xludf.DUMMYFUNCTION("""COMPUTED_VALUE"""),4.0)</f>
        <v>4</v>
      </c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>
        <f>IFERROR(__xludf.DUMMYFUNCTION("""COMPUTED_VALUE"""),1.0)</f>
        <v>1</v>
      </c>
      <c r="B226" s="22" t="str">
        <f>IFERROR(__xludf.DUMMYFUNCTION("""COMPUTED_VALUE"""),"Văn phòng")</f>
        <v>Văn phòng</v>
      </c>
      <c r="C226" s="22" t="str">
        <f>IFERROR(__xludf.DUMMYFUNCTION("""COMPUTED_VALUE"""),"Ban kinh doanh")</f>
        <v>Ban kinh doanh</v>
      </c>
      <c r="D226" s="22" t="str">
        <f>IFERROR(__xludf.DUMMYFUNCTION("""COMPUTED_VALUE"""),"Bộ phận thiết kế")</f>
        <v>Bộ phận thiết kế</v>
      </c>
      <c r="E226" s="22" t="str">
        <f>IFERROR(__xludf.DUMMYFUNCTION("""COMPUTED_VALUE"""),"Trưởng bộ phận")</f>
        <v>Trưởng bộ phận</v>
      </c>
      <c r="F226" s="22" t="str">
        <f>IFERROR(__xludf.DUMMYFUNCTION("""COMPUTED_VALUE"""),"NV0066")</f>
        <v>NV0066</v>
      </c>
      <c r="G226" s="22">
        <f>IFERROR(__xludf.DUMMYFUNCTION("""COMPUTED_VALUE"""),18.0)</f>
        <v>18</v>
      </c>
      <c r="H226" s="22" t="str">
        <f>IFERROR(__xludf.DUMMYFUNCTION("""COMPUTED_VALUE"""),"Nguyễn Văn Tiến")</f>
        <v>Nguyễn Văn Tiến</v>
      </c>
      <c r="I226" s="22" t="str">
        <f>IFERROR(__xludf.DUMMYFUNCTION("""COMPUTED_VALUE"""),"Nam")</f>
        <v>Nam</v>
      </c>
      <c r="J226" s="24">
        <f>IFERROR(__xludf.DUMMYFUNCTION("""COMPUTED_VALUE"""),31229.0)</f>
        <v>31229</v>
      </c>
      <c r="K226" s="22" t="str">
        <f>IFERROR(__xludf.DUMMYFUNCTION("""COMPUTED_VALUE"""),"Phố 7, Xã Quảng Cát, Thành phố Thanh Hóa,")</f>
        <v>Phố 7, Xã Quảng Cát, Thành phố Thanh Hóa,</v>
      </c>
      <c r="L226" s="27" t="str">
        <f>IFERROR(__xludf.DUMMYFUNCTION("""COMPUTED_VALUE"""),"0976244254")</f>
        <v>0976244254</v>
      </c>
      <c r="M226" s="22" t="str">
        <f>IFERROR(__xludf.DUMMYFUNCTION("""COMPUTED_VALUE"""),"017085007152")</f>
        <v>017085007152</v>
      </c>
      <c r="N226" s="25">
        <f>IFERROR(__xludf.DUMMYFUNCTION("""COMPUTED_VALUE"""),44435.0)</f>
        <v>44435</v>
      </c>
      <c r="O226" s="22" t="str">
        <f>IFERROR(__xludf.DUMMYFUNCTION("""COMPUTED_VALUE"""),"Cục Cảnh sát QLHC về TTXH")</f>
        <v>Cục Cảnh sát QLHC về TTXH</v>
      </c>
      <c r="P226" s="22" t="str">
        <f>IFERROR(__xludf.DUMMYFUNCTION("""COMPUTED_VALUE"""),"Đại học")</f>
        <v>Đại học</v>
      </c>
      <c r="Q226" s="22" t="str">
        <f>IFERROR(__xludf.DUMMYFUNCTION("""COMPUTED_VALUE"""),"Công nghệ thông tin")</f>
        <v>Công nghệ thông tin</v>
      </c>
      <c r="R226" s="24">
        <f>IFERROR(__xludf.DUMMYFUNCTION("""COMPUTED_VALUE"""),42336.0)</f>
        <v>42336</v>
      </c>
      <c r="S226" s="26">
        <f>IFERROR(__xludf.DUMMYFUNCTION("""COMPUTED_VALUE"""),42336.0)</f>
        <v>42336</v>
      </c>
      <c r="T226" s="22" t="str">
        <f>IFERROR(__xludf.DUMMYFUNCTION("""COMPUTED_VALUE"""),"Chính thức")</f>
        <v>Chính thức</v>
      </c>
      <c r="U226" s="22"/>
      <c r="V226" s="22" t="str">
        <f>IFERROR(__xludf.DUMMYFUNCTION("""COMPUTED_VALUE"""),"Chính thức")</f>
        <v>Chính thức</v>
      </c>
      <c r="W226" s="22" t="str">
        <f>IFERROR(__xludf.DUMMYFUNCTION("""COMPUTED_VALUE"""),"10 năm 1 tháng")</f>
        <v>10 năm 1 tháng</v>
      </c>
      <c r="X226" s="22"/>
      <c r="Y226" s="22"/>
      <c r="Z226" s="22"/>
    </row>
    <row r="227">
      <c r="A227" s="22">
        <f>IFERROR(__xludf.DUMMYFUNCTION("""COMPUTED_VALUE"""),2.0)</f>
        <v>2</v>
      </c>
      <c r="B227" s="22" t="str">
        <f>IFERROR(__xludf.DUMMYFUNCTION("""COMPUTED_VALUE"""),"Văn phòng")</f>
        <v>Văn phòng</v>
      </c>
      <c r="C227" s="22" t="str">
        <f>IFERROR(__xludf.DUMMYFUNCTION("""COMPUTED_VALUE"""),"Ban kinh doanh")</f>
        <v>Ban kinh doanh</v>
      </c>
      <c r="D227" s="22" t="str">
        <f>IFERROR(__xludf.DUMMYFUNCTION("""COMPUTED_VALUE"""),"Bộ phận thiết kế")</f>
        <v>Bộ phận thiết kế</v>
      </c>
      <c r="E227" s="22" t="str">
        <f>IFERROR(__xludf.DUMMYFUNCTION("""COMPUTED_VALUE"""),"Phó bộ phận")</f>
        <v>Phó bộ phận</v>
      </c>
      <c r="F227" s="22" t="str">
        <f>IFERROR(__xludf.DUMMYFUNCTION("""COMPUTED_VALUE"""),"NV0054")</f>
        <v>NV0054</v>
      </c>
      <c r="G227" s="22">
        <f>IFERROR(__xludf.DUMMYFUNCTION("""COMPUTED_VALUE"""),20.0)</f>
        <v>20</v>
      </c>
      <c r="H227" s="22" t="str">
        <f>IFERROR(__xludf.DUMMYFUNCTION("""COMPUTED_VALUE"""),"Trịnh Kiều Giang")</f>
        <v>Trịnh Kiều Giang</v>
      </c>
      <c r="I227" s="22" t="str">
        <f>IFERROR(__xludf.DUMMYFUNCTION("""COMPUTED_VALUE"""),"Nữ")</f>
        <v>Nữ</v>
      </c>
      <c r="J227" s="24">
        <f>IFERROR(__xludf.DUMMYFUNCTION("""COMPUTED_VALUE"""),32170.0)</f>
        <v>32170</v>
      </c>
      <c r="K227" s="22" t="str">
        <f>IFERROR(__xludf.DUMMYFUNCTION("""COMPUTED_VALUE"""),"04/391, Đường Ngọc Mai, Phố Thành Mai, Xã Quảng Thành, Thành phố Thanh")</f>
        <v>04/391, Đường Ngọc Mai, Phố Thành Mai, Xã Quảng Thành, Thành phố Thanh</v>
      </c>
      <c r="L227" s="27" t="str">
        <f>IFERROR(__xludf.DUMMYFUNCTION("""COMPUTED_VALUE"""),"0975889321")</f>
        <v>0975889321</v>
      </c>
      <c r="M227" s="22" t="str">
        <f>IFERROR(__xludf.DUMMYFUNCTION("""COMPUTED_VALUE"""),"038188047547")</f>
        <v>038188047547</v>
      </c>
      <c r="N227" s="25">
        <f>IFERROR(__xludf.DUMMYFUNCTION("""COMPUTED_VALUE"""),44879.0)</f>
        <v>44879</v>
      </c>
      <c r="O227" s="22" t="str">
        <f>IFERROR(__xludf.DUMMYFUNCTION("""COMPUTED_VALUE"""),"Cục Cảnh sát QLHC về TTXH")</f>
        <v>Cục Cảnh sát QLHC về TTXH</v>
      </c>
      <c r="P227" s="22" t="str">
        <f>IFERROR(__xludf.DUMMYFUNCTION("""COMPUTED_VALUE"""),"Đại học")</f>
        <v>Đại học</v>
      </c>
      <c r="Q227" s="22" t="str">
        <f>IFERROR(__xludf.DUMMYFUNCTION("""COMPUTED_VALUE"""),"Thiết kế đồ họa")</f>
        <v>Thiết kế đồ họa</v>
      </c>
      <c r="R227" s="24">
        <f>IFERROR(__xludf.DUMMYFUNCTION("""COMPUTED_VALUE"""),41939.0)</f>
        <v>41939</v>
      </c>
      <c r="S227" s="26">
        <f>IFERROR(__xludf.DUMMYFUNCTION("""COMPUTED_VALUE"""),41939.0)</f>
        <v>41939</v>
      </c>
      <c r="T227" s="22" t="str">
        <f>IFERROR(__xludf.DUMMYFUNCTION("""COMPUTED_VALUE"""),"Chính thức")</f>
        <v>Chính thức</v>
      </c>
      <c r="U227" s="22"/>
      <c r="V227" s="22" t="str">
        <f>IFERROR(__xludf.DUMMYFUNCTION("""COMPUTED_VALUE"""),"Chính thức")</f>
        <v>Chính thức</v>
      </c>
      <c r="W227" s="22" t="str">
        <f>IFERROR(__xludf.DUMMYFUNCTION("""COMPUTED_VALUE"""),"11 năm 2 tháng")</f>
        <v>11 năm 2 tháng</v>
      </c>
      <c r="X227" s="22"/>
      <c r="Y227" s="22"/>
      <c r="Z227" s="22"/>
    </row>
    <row r="228">
      <c r="A228" s="22">
        <f>IFERROR(__xludf.DUMMYFUNCTION("""COMPUTED_VALUE"""),3.0)</f>
        <v>3</v>
      </c>
      <c r="B228" s="22" t="str">
        <f>IFERROR(__xludf.DUMMYFUNCTION("""COMPUTED_VALUE"""),"Văn phòng")</f>
        <v>Văn phòng</v>
      </c>
      <c r="C228" s="22" t="str">
        <f>IFERROR(__xludf.DUMMYFUNCTION("""COMPUTED_VALUE"""),"Ban kinh doanh")</f>
        <v>Ban kinh doanh</v>
      </c>
      <c r="D228" s="22" t="str">
        <f>IFERROR(__xludf.DUMMYFUNCTION("""COMPUTED_VALUE"""),"Bộ phận thiết kế")</f>
        <v>Bộ phận thiết kế</v>
      </c>
      <c r="E228" s="22" t="str">
        <f>IFERROR(__xludf.DUMMYFUNCTION("""COMPUTED_VALUE"""),"Nhân viên")</f>
        <v>Nhân viên</v>
      </c>
      <c r="F228" s="22" t="str">
        <f>IFERROR(__xludf.DUMMYFUNCTION("""COMPUTED_VALUE"""),"NV5452")</f>
        <v>NV5452</v>
      </c>
      <c r="G228" s="22">
        <f>IFERROR(__xludf.DUMMYFUNCTION("""COMPUTED_VALUE"""),914.0)</f>
        <v>914</v>
      </c>
      <c r="H228" s="22" t="str">
        <f>IFERROR(__xludf.DUMMYFUNCTION("""COMPUTED_VALUE"""),"Lê Tiến Trung")</f>
        <v>Lê Tiến Trung</v>
      </c>
      <c r="I228" s="22" t="str">
        <f>IFERROR(__xludf.DUMMYFUNCTION("""COMPUTED_VALUE"""),"Nam")</f>
        <v>Nam</v>
      </c>
      <c r="J228" s="24">
        <f>IFERROR(__xludf.DUMMYFUNCTION("""COMPUTED_VALUE"""),37453.0)</f>
        <v>37453</v>
      </c>
      <c r="K228" s="22" t="str">
        <f>IFERROR(__xludf.DUMMYFUNCTION("""COMPUTED_VALUE"""),"Xã Thiệu Trung - Huyện Thiệu Hóa- Tỉnh Thanh Hóa")</f>
        <v>Xã Thiệu Trung - Huyện Thiệu Hóa- Tỉnh Thanh Hóa</v>
      </c>
      <c r="L228" s="27" t="str">
        <f>IFERROR(__xludf.DUMMYFUNCTION("""COMPUTED_VALUE"""),"0899910012")</f>
        <v>0899910012</v>
      </c>
      <c r="M228" s="22" t="str">
        <f>IFERROR(__xludf.DUMMYFUNCTION("""COMPUTED_VALUE"""),"038202016157")</f>
        <v>038202016157</v>
      </c>
      <c r="N228" s="25">
        <f>IFERROR(__xludf.DUMMYFUNCTION("""COMPUTED_VALUE"""),44308.0)</f>
        <v>44308</v>
      </c>
      <c r="O228" s="22" t="str">
        <f>IFERROR(__xludf.DUMMYFUNCTION("""COMPUTED_VALUE"""),"Cục Cảnh sát QLHC về TTXH")</f>
        <v>Cục Cảnh sát QLHC về TTXH</v>
      </c>
      <c r="P228" s="22" t="str">
        <f>IFERROR(__xludf.DUMMYFUNCTION("""COMPUTED_VALUE"""),"Cử nhân")</f>
        <v>Cử nhân</v>
      </c>
      <c r="Q228" s="22" t="str">
        <f>IFERROR(__xludf.DUMMYFUNCTION("""COMPUTED_VALUE"""),"Thương mại điện tử")</f>
        <v>Thương mại điện tử</v>
      </c>
      <c r="R228" s="24">
        <f>IFERROR(__xludf.DUMMYFUNCTION("""COMPUTED_VALUE"""),45756.0)</f>
        <v>45756</v>
      </c>
      <c r="S228" s="26">
        <f>IFERROR(__xludf.DUMMYFUNCTION("""COMPUTED_VALUE"""),45839.0)</f>
        <v>45839</v>
      </c>
      <c r="T228" s="22" t="str">
        <f>IFERROR(__xludf.DUMMYFUNCTION("""COMPUTED_VALUE"""),"Chính thức")</f>
        <v>Chính thức</v>
      </c>
      <c r="U228" s="22"/>
      <c r="V228" s="22" t="str">
        <f>IFERROR(__xludf.DUMMYFUNCTION("""COMPUTED_VALUE"""),"Chính thức")</f>
        <v>Chính thức</v>
      </c>
      <c r="W228" s="22" t="str">
        <f>IFERROR(__xludf.DUMMYFUNCTION("""COMPUTED_VALUE"""),"0 năm 8 tháng")</f>
        <v>0 năm 8 tháng</v>
      </c>
      <c r="X228" s="22"/>
      <c r="Y228" s="22"/>
      <c r="Z228" s="22"/>
    </row>
    <row r="229">
      <c r="A229" s="22">
        <f>IFERROR(__xludf.DUMMYFUNCTION("""COMPUTED_VALUE"""),4.0)</f>
        <v>4</v>
      </c>
      <c r="B229" s="22" t="str">
        <f>IFERROR(__xludf.DUMMYFUNCTION("""COMPUTED_VALUE"""),"Văn phòng")</f>
        <v>Văn phòng</v>
      </c>
      <c r="C229" s="22" t="str">
        <f>IFERROR(__xludf.DUMMYFUNCTION("""COMPUTED_VALUE"""),"Ban kinh doanh")</f>
        <v>Ban kinh doanh</v>
      </c>
      <c r="D229" s="22" t="str">
        <f>IFERROR(__xludf.DUMMYFUNCTION("""COMPUTED_VALUE"""),"Bộ phận thiết kế")</f>
        <v>Bộ phận thiết kế</v>
      </c>
      <c r="E229" s="22" t="str">
        <f>IFERROR(__xludf.DUMMYFUNCTION("""COMPUTED_VALUE"""),"Nhân viên")</f>
        <v>Nhân viên</v>
      </c>
      <c r="F229" s="22" t="str">
        <f>IFERROR(__xludf.DUMMYFUNCTION("""COMPUTED_VALUE"""),"NV5696")</f>
        <v>NV5696</v>
      </c>
      <c r="G229" s="22">
        <f>IFERROR(__xludf.DUMMYFUNCTION("""COMPUTED_VALUE"""),1188.0)</f>
        <v>1188</v>
      </c>
      <c r="H229" s="22" t="str">
        <f>IFERROR(__xludf.DUMMYFUNCTION("""COMPUTED_VALUE"""),"Hoàng Thị Thu Thảo")</f>
        <v>Hoàng Thị Thu Thảo</v>
      </c>
      <c r="I229" s="22" t="str">
        <f>IFERROR(__xludf.DUMMYFUNCTION("""COMPUTED_VALUE"""),"Nữ")</f>
        <v>Nữ</v>
      </c>
      <c r="J229" s="24">
        <f>IFERROR(__xludf.DUMMYFUNCTION("""COMPUTED_VALUE"""),35116.0)</f>
        <v>35116</v>
      </c>
      <c r="K229" s="22" t="str">
        <f>IFERROR(__xludf.DUMMYFUNCTION("""COMPUTED_VALUE"""),"Phường Quảng Phú - Tỉnh Thanh Hóa")</f>
        <v>Phường Quảng Phú - Tỉnh Thanh Hóa</v>
      </c>
      <c r="L229" s="27" t="str">
        <f>IFERROR(__xludf.DUMMYFUNCTION("""COMPUTED_VALUE"""),"0326709997")</f>
        <v>0326709997</v>
      </c>
      <c r="M229" s="22" t="str">
        <f>IFERROR(__xludf.DUMMYFUNCTION("""COMPUTED_VALUE"""),"038196007663")</f>
        <v>038196007663</v>
      </c>
      <c r="N229" s="25">
        <f>IFERROR(__xludf.DUMMYFUNCTION("""COMPUTED_VALUE"""),44420.0)</f>
        <v>44420</v>
      </c>
      <c r="O229" s="22" t="str">
        <f>IFERROR(__xludf.DUMMYFUNCTION("""COMPUTED_VALUE"""),"Cục Cảnh sát QLHC về TTXH")</f>
        <v>Cục Cảnh sát QLHC về TTXH</v>
      </c>
      <c r="P229" s="22" t="str">
        <f>IFERROR(__xludf.DUMMYFUNCTION("""COMPUTED_VALUE"""),"Kỹ sư")</f>
        <v>Kỹ sư</v>
      </c>
      <c r="Q229" s="22" t="str">
        <f>IFERROR(__xludf.DUMMYFUNCTION("""COMPUTED_VALUE"""),"Kỹ sư khoa học cây trồng")</f>
        <v>Kỹ sư khoa học cây trồng</v>
      </c>
      <c r="R229" s="24">
        <f>IFERROR(__xludf.DUMMYFUNCTION("""COMPUTED_VALUE"""),45909.0)</f>
        <v>45909</v>
      </c>
      <c r="S229" s="26">
        <f>IFERROR(__xludf.DUMMYFUNCTION("""COMPUTED_VALUE"""),45939.0)</f>
        <v>45939</v>
      </c>
      <c r="T229" s="22" t="str">
        <f>IFERROR(__xludf.DUMMYFUNCTION("""COMPUTED_VALUE"""),"Chính thức")</f>
        <v>Chính thức</v>
      </c>
      <c r="U229" s="22"/>
      <c r="V229" s="22" t="str">
        <f>IFERROR(__xludf.DUMMYFUNCTION("""COMPUTED_VALUE"""),"Chính thức")</f>
        <v>Chính thức</v>
      </c>
      <c r="W229" s="22" t="str">
        <f>IFERROR(__xludf.DUMMYFUNCTION("""COMPUTED_VALUE"""),"0 năm 3 tháng")</f>
        <v>0 năm 3 tháng</v>
      </c>
      <c r="X229" s="22"/>
      <c r="Y229" s="22"/>
      <c r="Z229" s="22"/>
    </row>
    <row r="230">
      <c r="A230" s="22">
        <f>IFERROR(__xludf.DUMMYFUNCTION("""COMPUTED_VALUE"""),5.0)</f>
        <v>5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 t="str">
        <f>IFERROR(__xludf.DUMMYFUNCTION("""COMPUTED_VALUE"""),"VIII")</f>
        <v>VIII</v>
      </c>
      <c r="B231" s="22" t="str">
        <f>IFERROR(__xludf.DUMMYFUNCTION("""COMPUTED_VALUE"""),"Ban kiểm soát")</f>
        <v>Ban kiểm soát</v>
      </c>
      <c r="C231" s="22">
        <f>IFERROR(__xludf.DUMMYFUNCTION("""COMPUTED_VALUE"""),10.0)</f>
        <v>10</v>
      </c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 t="str">
        <f>IFERROR(__xludf.DUMMYFUNCTION("""COMPUTED_VALUE"""),"a.")</f>
        <v>a.</v>
      </c>
      <c r="B232" s="22" t="str">
        <f>IFERROR(__xludf.DUMMYFUNCTION("""COMPUTED_VALUE"""),"Bộ phận nghiệp vụ")</f>
        <v>Bộ phận nghiệp vụ</v>
      </c>
      <c r="C232" s="22">
        <f>IFERROR(__xludf.DUMMYFUNCTION("""COMPUTED_VALUE"""),4.0)</f>
        <v>4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>
        <f>IFERROR(__xludf.DUMMYFUNCTION("""COMPUTED_VALUE"""),1.0)</f>
        <v>1</v>
      </c>
      <c r="B233" s="22" t="str">
        <f>IFERROR(__xludf.DUMMYFUNCTION("""COMPUTED_VALUE"""),"Văn phòng")</f>
        <v>Văn phòng</v>
      </c>
      <c r="C233" s="22" t="str">
        <f>IFERROR(__xludf.DUMMYFUNCTION("""COMPUTED_VALUE"""),"Ban kiểm soát")</f>
        <v>Ban kiểm soát</v>
      </c>
      <c r="D233" s="22" t="str">
        <f>IFERROR(__xludf.DUMMYFUNCTION("""COMPUTED_VALUE"""),"Bộ phận nghiệp vụ")</f>
        <v>Bộ phận nghiệp vụ</v>
      </c>
      <c r="E233" s="22" t="str">
        <f>IFERROR(__xludf.DUMMYFUNCTION("""COMPUTED_VALUE"""),"Trưởng ban ")</f>
        <v>Trưởng ban </v>
      </c>
      <c r="F233" s="22" t="str">
        <f>IFERROR(__xludf.DUMMYFUNCTION("""COMPUTED_VALUE"""),"NV0094")</f>
        <v>NV0094</v>
      </c>
      <c r="G233" s="22">
        <f>IFERROR(__xludf.DUMMYFUNCTION("""COMPUTED_VALUE"""),53.0)</f>
        <v>53</v>
      </c>
      <c r="H233" s="22" t="str">
        <f>IFERROR(__xludf.DUMMYFUNCTION("""COMPUTED_VALUE"""),"Nguyễn Thị Lệ")</f>
        <v>Nguyễn Thị Lệ</v>
      </c>
      <c r="I233" s="22" t="str">
        <f>IFERROR(__xludf.DUMMYFUNCTION("""COMPUTED_VALUE"""),"Nữ")</f>
        <v>Nữ</v>
      </c>
      <c r="J233" s="24">
        <f>IFERROR(__xludf.DUMMYFUNCTION("""COMPUTED_VALUE"""),27987.0)</f>
        <v>27987</v>
      </c>
      <c r="K233" s="22" t="str">
        <f>IFERROR(__xludf.DUMMYFUNCTION("""COMPUTED_VALUE"""),"115/1 - Tây Ga - Phường Hạc Thành - Tỉnh Thanh Hóa")</f>
        <v>115/1 - Tây Ga - Phường Hạc Thành - Tỉnh Thanh Hóa</v>
      </c>
      <c r="L233" s="22" t="str">
        <f>IFERROR(__xludf.DUMMYFUNCTION("""COMPUTED_VALUE"""),"0919087347")</f>
        <v>0919087347</v>
      </c>
      <c r="M233" s="22" t="str">
        <f>IFERROR(__xludf.DUMMYFUNCTION("""COMPUTED_VALUE"""),"038176036579")</f>
        <v>038176036579</v>
      </c>
      <c r="N233" s="25">
        <f>IFERROR(__xludf.DUMMYFUNCTION("""COMPUTED_VALUE"""),44543.0)</f>
        <v>44543</v>
      </c>
      <c r="O233" s="22" t="str">
        <f>IFERROR(__xludf.DUMMYFUNCTION("""COMPUTED_VALUE"""),"Cục Cảnh sát QLHC về TTXH")</f>
        <v>Cục Cảnh sát QLHC về TTXH</v>
      </c>
      <c r="P233" s="22" t="str">
        <f>IFERROR(__xludf.DUMMYFUNCTION("""COMPUTED_VALUE"""),"Cử nhân")</f>
        <v>Cử nhân</v>
      </c>
      <c r="Q233" s="22" t="str">
        <f>IFERROR(__xludf.DUMMYFUNCTION("""COMPUTED_VALUE"""),"Kế toán")</f>
        <v>Kế toán</v>
      </c>
      <c r="R233" s="24">
        <f>IFERROR(__xludf.DUMMYFUNCTION("""COMPUTED_VALUE"""),36271.0)</f>
        <v>36271</v>
      </c>
      <c r="S233" s="26">
        <f>IFERROR(__xludf.DUMMYFUNCTION("""COMPUTED_VALUE"""),36271.0)</f>
        <v>36271</v>
      </c>
      <c r="T233" s="22" t="str">
        <f>IFERROR(__xludf.DUMMYFUNCTION("""COMPUTED_VALUE"""),"Chính thức")</f>
        <v>Chính thức</v>
      </c>
      <c r="U233" s="22"/>
      <c r="V233" s="22" t="str">
        <f>IFERROR(__xludf.DUMMYFUNCTION("""COMPUTED_VALUE"""),"Chính thức")</f>
        <v>Chính thức</v>
      </c>
      <c r="W233" s="22" t="str">
        <f>IFERROR(__xludf.DUMMYFUNCTION("""COMPUTED_VALUE"""),"26 năm 8 tháng")</f>
        <v>26 năm 8 tháng</v>
      </c>
      <c r="X233" s="22"/>
      <c r="Y233" s="22"/>
      <c r="Z233" s="22"/>
    </row>
    <row r="234">
      <c r="A234" s="22">
        <f>IFERROR(__xludf.DUMMYFUNCTION("""COMPUTED_VALUE"""),2.0)</f>
        <v>2</v>
      </c>
      <c r="B234" s="22" t="str">
        <f>IFERROR(__xludf.DUMMYFUNCTION("""COMPUTED_VALUE"""),"Văn phòng")</f>
        <v>Văn phòng</v>
      </c>
      <c r="C234" s="22" t="str">
        <f>IFERROR(__xludf.DUMMYFUNCTION("""COMPUTED_VALUE"""),"Ban kiểm soát")</f>
        <v>Ban kiểm soát</v>
      </c>
      <c r="D234" s="22" t="str">
        <f>IFERROR(__xludf.DUMMYFUNCTION("""COMPUTED_VALUE"""),"Bộ phận nghiệp vụ")</f>
        <v>Bộ phận nghiệp vụ</v>
      </c>
      <c r="E234" s="22" t="str">
        <f>IFERROR(__xludf.DUMMYFUNCTION("""COMPUTED_VALUE"""),"Nhân viên ban kiểm soát")</f>
        <v>Nhân viên ban kiểm soát</v>
      </c>
      <c r="F234" s="22" t="str">
        <f>IFERROR(__xludf.DUMMYFUNCTION("""COMPUTED_VALUE"""),"NV1792")</f>
        <v>NV1792</v>
      </c>
      <c r="G234" s="22">
        <f>IFERROR(__xludf.DUMMYFUNCTION("""COMPUTED_VALUE"""),12.0)</f>
        <v>12</v>
      </c>
      <c r="H234" s="22" t="str">
        <f>IFERROR(__xludf.DUMMYFUNCTION("""COMPUTED_VALUE"""),"Nguyễn Thị Huyền")</f>
        <v>Nguyễn Thị Huyền</v>
      </c>
      <c r="I234" s="22" t="str">
        <f>IFERROR(__xludf.DUMMYFUNCTION("""COMPUTED_VALUE"""),"Nữ")</f>
        <v>Nữ</v>
      </c>
      <c r="J234" s="24">
        <f>IFERROR(__xludf.DUMMYFUNCTION("""COMPUTED_VALUE"""),30142.0)</f>
        <v>30142</v>
      </c>
      <c r="K234" s="22" t="str">
        <f>IFERROR(__xludf.DUMMYFUNCTION("""COMPUTED_VALUE"""),"Lô 125 - MBQH 2122 - Phường Hạc Thành - Tỉnh Thanh Hóa")</f>
        <v>Lô 125 - MBQH 2122 - Phường Hạc Thành - Tỉnh Thanh Hóa</v>
      </c>
      <c r="L234" s="22" t="str">
        <f>IFERROR(__xludf.DUMMYFUNCTION("""COMPUTED_VALUE"""),"0916949776")</f>
        <v>0916949776</v>
      </c>
      <c r="M234" s="22" t="str">
        <f>IFERROR(__xludf.DUMMYFUNCTION("""COMPUTED_VALUE"""),"038182016402")</f>
        <v>038182016402</v>
      </c>
      <c r="N234" s="25">
        <f>IFERROR(__xludf.DUMMYFUNCTION("""COMPUTED_VALUE"""),44839.0)</f>
        <v>44839</v>
      </c>
      <c r="O234" s="22" t="str">
        <f>IFERROR(__xludf.DUMMYFUNCTION("""COMPUTED_VALUE"""),"Cục Cảnh sát QLHC về TTXH")</f>
        <v>Cục Cảnh sát QLHC về TTXH</v>
      </c>
      <c r="P234" s="22" t="str">
        <f>IFERROR(__xludf.DUMMYFUNCTION("""COMPUTED_VALUE"""),"Thạc sĩ")</f>
        <v>Thạc sĩ</v>
      </c>
      <c r="Q234" s="22" t="str">
        <f>IFERROR(__xludf.DUMMYFUNCTION("""COMPUTED_VALUE"""),"Quản trị kinh doanh")</f>
        <v>Quản trị kinh doanh</v>
      </c>
      <c r="R234" s="24">
        <f>IFERROR(__xludf.DUMMYFUNCTION("""COMPUTED_VALUE"""),43358.0)</f>
        <v>43358</v>
      </c>
      <c r="S234" s="26">
        <f>IFERROR(__xludf.DUMMYFUNCTION("""COMPUTED_VALUE"""),43358.0)</f>
        <v>43358</v>
      </c>
      <c r="T234" s="22" t="str">
        <f>IFERROR(__xludf.DUMMYFUNCTION("""COMPUTED_VALUE"""),"Chính thức")</f>
        <v>Chính thức</v>
      </c>
      <c r="U234" s="22"/>
      <c r="V234" s="22" t="str">
        <f>IFERROR(__xludf.DUMMYFUNCTION("""COMPUTED_VALUE"""),"Chính thức")</f>
        <v>Chính thức</v>
      </c>
      <c r="W234" s="22" t="str">
        <f>IFERROR(__xludf.DUMMYFUNCTION("""COMPUTED_VALUE"""),"7 năm 3 tháng")</f>
        <v>7 năm 3 tháng</v>
      </c>
      <c r="X234" s="22"/>
      <c r="Y234" s="22"/>
      <c r="Z234" s="22"/>
    </row>
    <row r="235">
      <c r="A235" s="22">
        <f>IFERROR(__xludf.DUMMYFUNCTION("""COMPUTED_VALUE"""),3.0)</f>
        <v>3</v>
      </c>
      <c r="B235" s="22" t="str">
        <f>IFERROR(__xludf.DUMMYFUNCTION("""COMPUTED_VALUE"""),"Văn phòng")</f>
        <v>Văn phòng</v>
      </c>
      <c r="C235" s="22" t="str">
        <f>IFERROR(__xludf.DUMMYFUNCTION("""COMPUTED_VALUE"""),"Ban kiểm soát")</f>
        <v>Ban kiểm soát</v>
      </c>
      <c r="D235" s="22" t="str">
        <f>IFERROR(__xludf.DUMMYFUNCTION("""COMPUTED_VALUE"""),"Bộ phận nghiệp vụ")</f>
        <v>Bộ phận nghiệp vụ</v>
      </c>
      <c r="E235" s="22" t="str">
        <f>IFERROR(__xludf.DUMMYFUNCTION("""COMPUTED_VALUE"""),"Nhân viên ban kiểm soát")</f>
        <v>Nhân viên ban kiểm soát</v>
      </c>
      <c r="F235" s="22" t="str">
        <f>IFERROR(__xludf.DUMMYFUNCTION("""COMPUTED_VALUE"""),"NV4013")</f>
        <v>NV4013</v>
      </c>
      <c r="G235" s="22">
        <f>IFERROR(__xludf.DUMMYFUNCTION("""COMPUTED_VALUE"""),14.0)</f>
        <v>14</v>
      </c>
      <c r="H235" s="22" t="str">
        <f>IFERROR(__xludf.DUMMYFUNCTION("""COMPUTED_VALUE"""),"Vi Thị Hoa")</f>
        <v>Vi Thị Hoa</v>
      </c>
      <c r="I235" s="22" t="str">
        <f>IFERROR(__xludf.DUMMYFUNCTION("""COMPUTED_VALUE"""),"Nữ")</f>
        <v>Nữ</v>
      </c>
      <c r="J235" s="24">
        <f>IFERROR(__xludf.DUMMYFUNCTION("""COMPUTED_VALUE"""),31453.0)</f>
        <v>31453</v>
      </c>
      <c r="K235" s="22" t="str">
        <f>IFERROR(__xludf.DUMMYFUNCTION("""COMPUTED_VALUE"""),"Xã Hoằng Châu - Tỉnh Thanh Hóa")</f>
        <v>Xã Hoằng Châu - Tỉnh Thanh Hóa</v>
      </c>
      <c r="L235" s="22" t="str">
        <f>IFERROR(__xludf.DUMMYFUNCTION("""COMPUTED_VALUE"""),"0982534062")</f>
        <v>0982534062</v>
      </c>
      <c r="M235" s="22" t="str">
        <f>IFERROR(__xludf.DUMMYFUNCTION("""COMPUTED_VALUE"""),"024186001556")</f>
        <v>024186001556</v>
      </c>
      <c r="N235" s="25">
        <f>IFERROR(__xludf.DUMMYFUNCTION("""COMPUTED_VALUE"""),44039.0)</f>
        <v>44039</v>
      </c>
      <c r="O235" s="22" t="str">
        <f>IFERROR(__xludf.DUMMYFUNCTION("""COMPUTED_VALUE"""),"Cục Cảnh sát QLHC về TTXH")</f>
        <v>Cục Cảnh sát QLHC về TTXH</v>
      </c>
      <c r="P235" s="22" t="str">
        <f>IFERROR(__xludf.DUMMYFUNCTION("""COMPUTED_VALUE"""),"Cử nhân")</f>
        <v>Cử nhân</v>
      </c>
      <c r="Q235" s="22" t="str">
        <f>IFERROR(__xludf.DUMMYFUNCTION("""COMPUTED_VALUE"""),"Kế toán")</f>
        <v>Kế toán</v>
      </c>
      <c r="R235" s="24">
        <f>IFERROR(__xludf.DUMMYFUNCTION("""COMPUTED_VALUE"""),44606.0)</f>
        <v>44606</v>
      </c>
      <c r="S235" s="26">
        <f>IFERROR(__xludf.DUMMYFUNCTION("""COMPUTED_VALUE"""),44743.0)</f>
        <v>44743</v>
      </c>
      <c r="T235" s="22" t="str">
        <f>IFERROR(__xludf.DUMMYFUNCTION("""COMPUTED_VALUE"""),"Chính thức")</f>
        <v>Chính thức</v>
      </c>
      <c r="U235" s="22"/>
      <c r="V235" s="22" t="str">
        <f>IFERROR(__xludf.DUMMYFUNCTION("""COMPUTED_VALUE"""),"Chính thức")</f>
        <v>Chính thức</v>
      </c>
      <c r="W235" s="22" t="str">
        <f>IFERROR(__xludf.DUMMYFUNCTION("""COMPUTED_VALUE"""),"3 năm 10 tháng")</f>
        <v>3 năm 10 tháng</v>
      </c>
      <c r="X235" s="22"/>
      <c r="Y235" s="22"/>
      <c r="Z235" s="22"/>
    </row>
    <row r="236">
      <c r="A236" s="22">
        <f>IFERROR(__xludf.DUMMYFUNCTION("""COMPUTED_VALUE"""),4.0)</f>
        <v>4</v>
      </c>
      <c r="B236" s="22" t="str">
        <f>IFERROR(__xludf.DUMMYFUNCTION("""COMPUTED_VALUE"""),"Văn phòng")</f>
        <v>Văn phòng</v>
      </c>
      <c r="C236" s="22" t="str">
        <f>IFERROR(__xludf.DUMMYFUNCTION("""COMPUTED_VALUE"""),"Ban kiểm soát")</f>
        <v>Ban kiểm soát</v>
      </c>
      <c r="D236" s="22" t="str">
        <f>IFERROR(__xludf.DUMMYFUNCTION("""COMPUTED_VALUE"""),"Bộ phận nghiệp vụ")</f>
        <v>Bộ phận nghiệp vụ</v>
      </c>
      <c r="E236" s="22" t="str">
        <f>IFERROR(__xludf.DUMMYFUNCTION("""COMPUTED_VALUE"""),"Nhân viên ban kiểm soát")</f>
        <v>Nhân viên ban kiểm soát</v>
      </c>
      <c r="F236" s="22" t="str">
        <f>IFERROR(__xludf.DUMMYFUNCTION("""COMPUTED_VALUE"""),"NV0017")</f>
        <v>NV0017</v>
      </c>
      <c r="G236" s="22">
        <f>IFERROR(__xludf.DUMMYFUNCTION("""COMPUTED_VALUE"""),15.0)</f>
        <v>15</v>
      </c>
      <c r="H236" s="22" t="str">
        <f>IFERROR(__xludf.DUMMYFUNCTION("""COMPUTED_VALUE"""),"Lê Thị Kim")</f>
        <v>Lê Thị Kim</v>
      </c>
      <c r="I236" s="22" t="str">
        <f>IFERROR(__xludf.DUMMYFUNCTION("""COMPUTED_VALUE"""),"Nữ")</f>
        <v>Nữ</v>
      </c>
      <c r="J236" s="24">
        <f>IFERROR(__xludf.DUMMYFUNCTION("""COMPUTED_VALUE"""),28142.0)</f>
        <v>28142</v>
      </c>
      <c r="K236" s="22" t="str">
        <f>IFERROR(__xludf.DUMMYFUNCTION("""COMPUTED_VALUE"""),"35 Nguyễn Hiệu - Phường Hạc Thành - Tỉnh Thanh Hóa")</f>
        <v>35 Nguyễn Hiệu - Phường Hạc Thành - Tỉnh Thanh Hóa</v>
      </c>
      <c r="L236" s="22" t="str">
        <f>IFERROR(__xludf.DUMMYFUNCTION("""COMPUTED_VALUE"""),"0904963999")</f>
        <v>0904963999</v>
      </c>
      <c r="M236" s="22" t="str">
        <f>IFERROR(__xludf.DUMMYFUNCTION("""COMPUTED_VALUE"""),"038177024157")</f>
        <v>038177024157</v>
      </c>
      <c r="N236" s="25">
        <f>IFERROR(__xludf.DUMMYFUNCTION("""COMPUTED_VALUE"""),44545.0)</f>
        <v>44545</v>
      </c>
      <c r="O236" s="22" t="str">
        <f>IFERROR(__xludf.DUMMYFUNCTION("""COMPUTED_VALUE"""),"Cục Cảnh sát QLHC về TTXH")</f>
        <v>Cục Cảnh sát QLHC về TTXH</v>
      </c>
      <c r="P236" s="22" t="str">
        <f>IFERROR(__xludf.DUMMYFUNCTION("""COMPUTED_VALUE"""),"Đại học")</f>
        <v>Đại học</v>
      </c>
      <c r="Q236" s="22" t="str">
        <f>IFERROR(__xludf.DUMMYFUNCTION("""COMPUTED_VALUE"""),"Quản trị kinh doanh")</f>
        <v>Quản trị kinh doanh</v>
      </c>
      <c r="R236" s="24">
        <f>IFERROR(__xludf.DUMMYFUNCTION("""COMPUTED_VALUE"""),37135.0)</f>
        <v>37135</v>
      </c>
      <c r="S236" s="26">
        <f>IFERROR(__xludf.DUMMYFUNCTION("""COMPUTED_VALUE"""),37135.0)</f>
        <v>37135</v>
      </c>
      <c r="T236" s="22" t="str">
        <f>IFERROR(__xludf.DUMMYFUNCTION("""COMPUTED_VALUE"""),"Chính thức")</f>
        <v>Chính thức</v>
      </c>
      <c r="U236" s="22"/>
      <c r="V236" s="22" t="str">
        <f>IFERROR(__xludf.DUMMYFUNCTION("""COMPUTED_VALUE"""),"Chính thức")</f>
        <v>Chính thức</v>
      </c>
      <c r="W236" s="22" t="str">
        <f>IFERROR(__xludf.DUMMYFUNCTION("""COMPUTED_VALUE"""),"24 năm 3 tháng")</f>
        <v>24 năm 3 tháng</v>
      </c>
      <c r="X236" s="22"/>
      <c r="Y236" s="22"/>
      <c r="Z236" s="22"/>
    </row>
    <row r="237">
      <c r="A237" s="22">
        <f>IFERROR(__xludf.DUMMYFUNCTION("""COMPUTED_VALUE"""),5.0)</f>
        <v>5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>
        <f>IFERROR(__xludf.DUMMYFUNCTION("""COMPUTED_VALUE"""),6.0)</f>
        <v>6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>
        <f>IFERROR(__xludf.DUMMYFUNCTION("""COMPUTED_VALUE"""),7.0)</f>
        <v>7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>
        <f>IFERROR(__xludf.DUMMYFUNCTION("""COMPUTED_VALUE"""),8.0)</f>
        <v>8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 t="str">
        <f>IFERROR(__xludf.DUMMYFUNCTION("""COMPUTED_VALUE"""),"b.")</f>
        <v>b.</v>
      </c>
      <c r="B241" s="22" t="str">
        <f>IFERROR(__xludf.DUMMYFUNCTION("""COMPUTED_VALUE"""),"Tổ QC ")</f>
        <v>Tổ QC </v>
      </c>
      <c r="C241" s="22">
        <f>IFERROR(__xludf.DUMMYFUNCTION("""COMPUTED_VALUE"""),6.0)</f>
        <v>6</v>
      </c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>
        <f>IFERROR(__xludf.DUMMYFUNCTION("""COMPUTED_VALUE"""),1.0)</f>
        <v>1</v>
      </c>
      <c r="B242" s="22" t="str">
        <f>IFERROR(__xludf.DUMMYFUNCTION("""COMPUTED_VALUE"""),"Văn phòng")</f>
        <v>Văn phòng</v>
      </c>
      <c r="C242" s="22" t="str">
        <f>IFERROR(__xludf.DUMMYFUNCTION("""COMPUTED_VALUE"""),"Ban kiểm soát")</f>
        <v>Ban kiểm soát</v>
      </c>
      <c r="D242" s="22" t="str">
        <f>IFERROR(__xludf.DUMMYFUNCTION("""COMPUTED_VALUE"""),"Tổ QC ")</f>
        <v>Tổ QC </v>
      </c>
      <c r="E242" s="22" t="str">
        <f>IFERROR(__xludf.DUMMYFUNCTION("""COMPUTED_VALUE"""),"Nhân viên QC")</f>
        <v>Nhân viên QC</v>
      </c>
      <c r="F242" s="22" t="str">
        <f>IFERROR(__xludf.DUMMYFUNCTION("""COMPUTED_VALUE"""),"NV0072")</f>
        <v>NV0072</v>
      </c>
      <c r="G242" s="22">
        <f>IFERROR(__xludf.DUMMYFUNCTION("""COMPUTED_VALUE"""),21.0)</f>
        <v>21</v>
      </c>
      <c r="H242" s="22" t="str">
        <f>IFERROR(__xludf.DUMMYFUNCTION("""COMPUTED_VALUE"""),"Lê Hữu Lâm")</f>
        <v>Lê Hữu Lâm</v>
      </c>
      <c r="I242" s="22" t="str">
        <f>IFERROR(__xludf.DUMMYFUNCTION("""COMPUTED_VALUE"""),"Nam")</f>
        <v>Nam</v>
      </c>
      <c r="J242" s="24">
        <f>IFERROR(__xludf.DUMMYFUNCTION("""COMPUTED_VALUE"""),29368.0)</f>
        <v>29368</v>
      </c>
      <c r="K242" s="22" t="str">
        <f>IFERROR(__xludf.DUMMYFUNCTION("""COMPUTED_VALUE"""),"Thôn Hàm Ninh - Xã Hoằng Lộc - Tỉnh Thanh Hóa")</f>
        <v>Thôn Hàm Ninh - Xã Hoằng Lộc - Tỉnh Thanh Hóa</v>
      </c>
      <c r="L242" s="22" t="str">
        <f>IFERROR(__xludf.DUMMYFUNCTION("""COMPUTED_VALUE"""),"0963854789")</f>
        <v>0963854789</v>
      </c>
      <c r="M242" s="22" t="str">
        <f>IFERROR(__xludf.DUMMYFUNCTION("""COMPUTED_VALUE"""),"038080019845")</f>
        <v>038080019845</v>
      </c>
      <c r="N242" s="25">
        <f>IFERROR(__xludf.DUMMYFUNCTION("""COMPUTED_VALUE"""),44750.0)</f>
        <v>44750</v>
      </c>
      <c r="O242" s="22" t="str">
        <f>IFERROR(__xludf.DUMMYFUNCTION("""COMPUTED_VALUE"""),"Cục Cảnh sát QLHC về TTXH")</f>
        <v>Cục Cảnh sát QLHC về TTXH</v>
      </c>
      <c r="P242" s="22" t="str">
        <f>IFERROR(__xludf.DUMMYFUNCTION("""COMPUTED_VALUE"""),"Trung cấp")</f>
        <v>Trung cấp</v>
      </c>
      <c r="Q242" s="22" t="str">
        <f>IFERROR(__xludf.DUMMYFUNCTION("""COMPUTED_VALUE"""),"Kế toán")</f>
        <v>Kế toán</v>
      </c>
      <c r="R242" s="24">
        <f>IFERROR(__xludf.DUMMYFUNCTION("""COMPUTED_VALUE"""),36753.0)</f>
        <v>36753</v>
      </c>
      <c r="S242" s="26">
        <f>IFERROR(__xludf.DUMMYFUNCTION("""COMPUTED_VALUE"""),36753.0)</f>
        <v>36753</v>
      </c>
      <c r="T242" s="22" t="str">
        <f>IFERROR(__xludf.DUMMYFUNCTION("""COMPUTED_VALUE"""),"Chính thức")</f>
        <v>Chính thức</v>
      </c>
      <c r="U242" s="22"/>
      <c r="V242" s="22" t="str">
        <f>IFERROR(__xludf.DUMMYFUNCTION("""COMPUTED_VALUE"""),"Chính thức")</f>
        <v>Chính thức</v>
      </c>
      <c r="W242" s="22" t="str">
        <f>IFERROR(__xludf.DUMMYFUNCTION("""COMPUTED_VALUE"""),"25 năm 4 tháng")</f>
        <v>25 năm 4 tháng</v>
      </c>
      <c r="X242" s="22"/>
      <c r="Y242" s="22"/>
      <c r="Z242" s="22"/>
    </row>
    <row r="243">
      <c r="A243" s="22">
        <f>IFERROR(__xludf.DUMMYFUNCTION("""COMPUTED_VALUE"""),2.0)</f>
        <v>2</v>
      </c>
      <c r="B243" s="22" t="str">
        <f>IFERROR(__xludf.DUMMYFUNCTION("""COMPUTED_VALUE"""),"Văn phòng")</f>
        <v>Văn phòng</v>
      </c>
      <c r="C243" s="22" t="str">
        <f>IFERROR(__xludf.DUMMYFUNCTION("""COMPUTED_VALUE"""),"Ban kiểm soát")</f>
        <v>Ban kiểm soát</v>
      </c>
      <c r="D243" s="22" t="str">
        <f>IFERROR(__xludf.DUMMYFUNCTION("""COMPUTED_VALUE"""),"Tổ QC ")</f>
        <v>Tổ QC </v>
      </c>
      <c r="E243" s="22" t="str">
        <f>IFERROR(__xludf.DUMMYFUNCTION("""COMPUTED_VALUE"""),"Nhân viên QC")</f>
        <v>Nhân viên QC</v>
      </c>
      <c r="F243" s="22" t="str">
        <f>IFERROR(__xludf.DUMMYFUNCTION("""COMPUTED_VALUE"""),"NV0414")</f>
        <v>NV0414</v>
      </c>
      <c r="G243" s="22">
        <f>IFERROR(__xludf.DUMMYFUNCTION("""COMPUTED_VALUE"""),636.0)</f>
        <v>636</v>
      </c>
      <c r="H243" s="22" t="str">
        <f>IFERROR(__xludf.DUMMYFUNCTION("""COMPUTED_VALUE"""),"Trịnh Văn Nhuận")</f>
        <v>Trịnh Văn Nhuận</v>
      </c>
      <c r="I243" s="22" t="str">
        <f>IFERROR(__xludf.DUMMYFUNCTION("""COMPUTED_VALUE"""),"Nam")</f>
        <v>Nam</v>
      </c>
      <c r="J243" s="24">
        <f>IFERROR(__xludf.DUMMYFUNCTION("""COMPUTED_VALUE"""),32204.0)</f>
        <v>32204</v>
      </c>
      <c r="K243" s="22" t="str">
        <f>IFERROR(__xludf.DUMMYFUNCTION("""COMPUTED_VALUE"""),"Thôn 8 - Phường Quảng Phú - Tỉnh Thanh Hóa")</f>
        <v>Thôn 8 - Phường Quảng Phú - Tỉnh Thanh Hóa</v>
      </c>
      <c r="L243" s="22" t="str">
        <f>IFERROR(__xludf.DUMMYFUNCTION("""COMPUTED_VALUE"""),"0979565632")</f>
        <v>0979565632</v>
      </c>
      <c r="M243" s="22" t="str">
        <f>IFERROR(__xludf.DUMMYFUNCTION("""COMPUTED_VALUE"""),"038088038986")</f>
        <v>038088038986</v>
      </c>
      <c r="N243" s="25">
        <f>IFERROR(__xludf.DUMMYFUNCTION("""COMPUTED_VALUE"""),45630.0)</f>
        <v>45630</v>
      </c>
      <c r="O243" s="22" t="str">
        <f>IFERROR(__xludf.DUMMYFUNCTION("""COMPUTED_VALUE"""),"Cục Cảnh sát QLHC về TTXH")</f>
        <v>Cục Cảnh sát QLHC về TTXH</v>
      </c>
      <c r="P243" s="22" t="str">
        <f>IFERROR(__xludf.DUMMYFUNCTION("""COMPUTED_VALUE"""),"Trung cấp")</f>
        <v>Trung cấp</v>
      </c>
      <c r="Q243" s="22" t="str">
        <f>IFERROR(__xludf.DUMMYFUNCTION("""COMPUTED_VALUE"""),"Quản trị kinh doanh")</f>
        <v>Quản trị kinh doanh</v>
      </c>
      <c r="R243" s="24">
        <f>IFERROR(__xludf.DUMMYFUNCTION("""COMPUTED_VALUE"""),40452.0)</f>
        <v>40452</v>
      </c>
      <c r="S243" s="26">
        <f>IFERROR(__xludf.DUMMYFUNCTION("""COMPUTED_VALUE"""),40452.0)</f>
        <v>40452</v>
      </c>
      <c r="T243" s="22" t="str">
        <f>IFERROR(__xludf.DUMMYFUNCTION("""COMPUTED_VALUE"""),"Chính thức")</f>
        <v>Chính thức</v>
      </c>
      <c r="U243" s="22"/>
      <c r="V243" s="22" t="str">
        <f>IFERROR(__xludf.DUMMYFUNCTION("""COMPUTED_VALUE"""),"Chính thức")</f>
        <v>Chính thức</v>
      </c>
      <c r="W243" s="22" t="str">
        <f>IFERROR(__xludf.DUMMYFUNCTION("""COMPUTED_VALUE"""),"15 năm 2 tháng")</f>
        <v>15 năm 2 tháng</v>
      </c>
      <c r="X243" s="22"/>
      <c r="Y243" s="22"/>
      <c r="Z243" s="22"/>
    </row>
    <row r="244">
      <c r="A244" s="22">
        <f>IFERROR(__xludf.DUMMYFUNCTION("""COMPUTED_VALUE"""),3.0)</f>
        <v>3</v>
      </c>
      <c r="B244" s="22" t="str">
        <f>IFERROR(__xludf.DUMMYFUNCTION("""COMPUTED_VALUE"""),"Văn phòng")</f>
        <v>Văn phòng</v>
      </c>
      <c r="C244" s="22" t="str">
        <f>IFERROR(__xludf.DUMMYFUNCTION("""COMPUTED_VALUE"""),"Ban kiểm soát")</f>
        <v>Ban kiểm soát</v>
      </c>
      <c r="D244" s="22" t="str">
        <f>IFERROR(__xludf.DUMMYFUNCTION("""COMPUTED_VALUE"""),"Tổ QC ")</f>
        <v>Tổ QC </v>
      </c>
      <c r="E244" s="22" t="str">
        <f>IFERROR(__xludf.DUMMYFUNCTION("""COMPUTED_VALUE"""),"Nhân viên QC")</f>
        <v>Nhân viên QC</v>
      </c>
      <c r="F244" s="22" t="str">
        <f>IFERROR(__xludf.DUMMYFUNCTION("""COMPUTED_VALUE"""),"NV3925")</f>
        <v>NV3925</v>
      </c>
      <c r="G244" s="22">
        <f>IFERROR(__xludf.DUMMYFUNCTION("""COMPUTED_VALUE"""),808.0)</f>
        <v>808</v>
      </c>
      <c r="H244" s="22" t="str">
        <f>IFERROR(__xludf.DUMMYFUNCTION("""COMPUTED_VALUE"""),"Nguyễn Hoàng Anh")</f>
        <v>Nguyễn Hoàng Anh</v>
      </c>
      <c r="I244" s="22" t="str">
        <f>IFERROR(__xludf.DUMMYFUNCTION("""COMPUTED_VALUE"""),"Nam")</f>
        <v>Nam</v>
      </c>
      <c r="J244" s="24">
        <f>IFERROR(__xludf.DUMMYFUNCTION("""COMPUTED_VALUE"""),35646.0)</f>
        <v>35646</v>
      </c>
      <c r="K244" s="22" t="str">
        <f>IFERROR(__xludf.DUMMYFUNCTION("""COMPUTED_VALUE"""),"SN 05 Nguyễn Văn Huệ, Phường An Hưng, Thành phố Thanh Hóa")</f>
        <v>SN 05 Nguyễn Văn Huệ, Phường An Hưng, Thành phố Thanh Hóa</v>
      </c>
      <c r="L244" s="22" t="str">
        <f>IFERROR(__xludf.DUMMYFUNCTION("""COMPUTED_VALUE"""),"0948671898")</f>
        <v>0948671898</v>
      </c>
      <c r="M244" s="22" t="str">
        <f>IFERROR(__xludf.DUMMYFUNCTION("""COMPUTED_VALUE"""),"038097015025")</f>
        <v>038097015025</v>
      </c>
      <c r="N244" s="25">
        <f>IFERROR(__xludf.DUMMYFUNCTION("""COMPUTED_VALUE"""),44427.0)</f>
        <v>44427</v>
      </c>
      <c r="O244" s="22" t="str">
        <f>IFERROR(__xludf.DUMMYFUNCTION("""COMPUTED_VALUE"""),"Cục Cảnh sát QLHC về TTXH")</f>
        <v>Cục Cảnh sát QLHC về TTXH</v>
      </c>
      <c r="P244" s="22" t="str">
        <f>IFERROR(__xludf.DUMMYFUNCTION("""COMPUTED_VALUE"""),"THPT")</f>
        <v>THPT</v>
      </c>
      <c r="Q244" s="22" t="str">
        <f>IFERROR(__xludf.DUMMYFUNCTION("""COMPUTED_VALUE"""),"Lao động phổ thông")</f>
        <v>Lao động phổ thông</v>
      </c>
      <c r="R244" s="24">
        <f>IFERROR(__xludf.DUMMYFUNCTION("""COMPUTED_VALUE"""),44516.0)</f>
        <v>44516</v>
      </c>
      <c r="S244" s="26">
        <f>IFERROR(__xludf.DUMMYFUNCTION("""COMPUTED_VALUE"""),44516.0)</f>
        <v>44516</v>
      </c>
      <c r="T244" s="22" t="str">
        <f>IFERROR(__xludf.DUMMYFUNCTION("""COMPUTED_VALUE"""),"Chính thức")</f>
        <v>Chính thức</v>
      </c>
      <c r="U244" s="22"/>
      <c r="V244" s="22" t="str">
        <f>IFERROR(__xludf.DUMMYFUNCTION("""COMPUTED_VALUE"""),"Chính thức")</f>
        <v>Chính thức</v>
      </c>
      <c r="W244" s="22" t="str">
        <f>IFERROR(__xludf.DUMMYFUNCTION("""COMPUTED_VALUE"""),"4 năm 1 tháng")</f>
        <v>4 năm 1 tháng</v>
      </c>
      <c r="X244" s="22"/>
      <c r="Y244" s="22"/>
      <c r="Z244" s="22"/>
    </row>
    <row r="245">
      <c r="A245" s="22">
        <f>IFERROR(__xludf.DUMMYFUNCTION("""COMPUTED_VALUE"""),4.0)</f>
        <v>4</v>
      </c>
      <c r="B245" s="22" t="str">
        <f>IFERROR(__xludf.DUMMYFUNCTION("""COMPUTED_VALUE"""),"Văn phòng")</f>
        <v>Văn phòng</v>
      </c>
      <c r="C245" s="22" t="str">
        <f>IFERROR(__xludf.DUMMYFUNCTION("""COMPUTED_VALUE"""),"Ban kiểm soát")</f>
        <v>Ban kiểm soát</v>
      </c>
      <c r="D245" s="22" t="str">
        <f>IFERROR(__xludf.DUMMYFUNCTION("""COMPUTED_VALUE"""),"Tổ QC ")</f>
        <v>Tổ QC </v>
      </c>
      <c r="E245" s="22" t="str">
        <f>IFERROR(__xludf.DUMMYFUNCTION("""COMPUTED_VALUE"""),"Nhân viên giám sát kiêm bàn cân")</f>
        <v>Nhân viên giám sát kiêm bàn cân</v>
      </c>
      <c r="F245" s="22" t="str">
        <f>IFERROR(__xludf.DUMMYFUNCTION("""COMPUTED_VALUE"""),"NV3323")</f>
        <v>NV3323</v>
      </c>
      <c r="G245" s="22">
        <f>IFERROR(__xludf.DUMMYFUNCTION("""COMPUTED_VALUE"""),55.0)</f>
        <v>55</v>
      </c>
      <c r="H245" s="22" t="str">
        <f>IFERROR(__xludf.DUMMYFUNCTION("""COMPUTED_VALUE"""),"Đỗ Đức Nam")</f>
        <v>Đỗ Đức Nam</v>
      </c>
      <c r="I245" s="22" t="str">
        <f>IFERROR(__xludf.DUMMYFUNCTION("""COMPUTED_VALUE"""),"Nam")</f>
        <v>Nam</v>
      </c>
      <c r="J245" s="24">
        <f>IFERROR(__xludf.DUMMYFUNCTION("""COMPUTED_VALUE"""),33945.0)</f>
        <v>33945</v>
      </c>
      <c r="K245" s="22" t="str">
        <f>IFERROR(__xludf.DUMMYFUNCTION("""COMPUTED_VALUE"""),"Hoằng Trạch - Hoằng Hóa - Thanh Hóa")</f>
        <v>Hoằng Trạch - Hoằng Hóa - Thanh Hóa</v>
      </c>
      <c r="L245" s="22" t="str">
        <f>IFERROR(__xludf.DUMMYFUNCTION("""COMPUTED_VALUE"""),"0818900336")</f>
        <v>0818900336</v>
      </c>
      <c r="M245" s="22" t="str">
        <f>IFERROR(__xludf.DUMMYFUNCTION("""COMPUTED_VALUE"""),"038092044016")</f>
        <v>038092044016</v>
      </c>
      <c r="N245" s="25">
        <f>IFERROR(__xludf.DUMMYFUNCTION("""COMPUTED_VALUE"""),44422.0)</f>
        <v>44422</v>
      </c>
      <c r="O245" s="22" t="str">
        <f>IFERROR(__xludf.DUMMYFUNCTION("""COMPUTED_VALUE"""),"Cục Cảnh sát QLHC về TTXH")</f>
        <v>Cục Cảnh sát QLHC về TTXH</v>
      </c>
      <c r="P245" s="22" t="str">
        <f>IFERROR(__xludf.DUMMYFUNCTION("""COMPUTED_VALUE"""),"Cử nhân")</f>
        <v>Cử nhân</v>
      </c>
      <c r="Q245" s="22" t="str">
        <f>IFERROR(__xludf.DUMMYFUNCTION("""COMPUTED_VALUE"""),"Công nghệ kỹ thuật XD")</f>
        <v>Công nghệ kỹ thuật XD</v>
      </c>
      <c r="R245" s="24">
        <f>IFERROR(__xludf.DUMMYFUNCTION("""COMPUTED_VALUE"""),41426.0)</f>
        <v>41426</v>
      </c>
      <c r="S245" s="26">
        <f>IFERROR(__xludf.DUMMYFUNCTION("""COMPUTED_VALUE"""),42826.0)</f>
        <v>42826</v>
      </c>
      <c r="T245" s="22" t="str">
        <f>IFERROR(__xludf.DUMMYFUNCTION("""COMPUTED_VALUE"""),"Chính thức")</f>
        <v>Chính thức</v>
      </c>
      <c r="U245" s="22"/>
      <c r="V245" s="22" t="str">
        <f>IFERROR(__xludf.DUMMYFUNCTION("""COMPUTED_VALUE"""),"Chính thức")</f>
        <v>Chính thức</v>
      </c>
      <c r="W245" s="22" t="str">
        <f>IFERROR(__xludf.DUMMYFUNCTION("""COMPUTED_VALUE"""),"12 năm 6 tháng")</f>
        <v>12 năm 6 tháng</v>
      </c>
      <c r="X245" s="22"/>
      <c r="Y245" s="22"/>
      <c r="Z245" s="22"/>
    </row>
    <row r="246">
      <c r="A246" s="22">
        <f>IFERROR(__xludf.DUMMYFUNCTION("""COMPUTED_VALUE"""),5.0)</f>
        <v>5</v>
      </c>
      <c r="B246" s="22" t="str">
        <f>IFERROR(__xludf.DUMMYFUNCTION("""COMPUTED_VALUE"""),"Văn phòng")</f>
        <v>Văn phòng</v>
      </c>
      <c r="C246" s="22" t="str">
        <f>IFERROR(__xludf.DUMMYFUNCTION("""COMPUTED_VALUE"""),"Ban kiểm soát")</f>
        <v>Ban kiểm soát</v>
      </c>
      <c r="D246" s="22" t="str">
        <f>IFERROR(__xludf.DUMMYFUNCTION("""COMPUTED_VALUE"""),"Tổ QC ")</f>
        <v>Tổ QC </v>
      </c>
      <c r="E246" s="22" t="str">
        <f>IFERROR(__xludf.DUMMYFUNCTION("""COMPUTED_VALUE"""),"Nhân viên QC")</f>
        <v>Nhân viên QC</v>
      </c>
      <c r="F246" s="22" t="str">
        <f>IFERROR(__xludf.DUMMYFUNCTION("""COMPUTED_VALUE"""),"NV0136")</f>
        <v>NV0136</v>
      </c>
      <c r="G246" s="22">
        <f>IFERROR(__xludf.DUMMYFUNCTION("""COMPUTED_VALUE"""),165.0)</f>
        <v>165</v>
      </c>
      <c r="H246" s="22" t="str">
        <f>IFERROR(__xludf.DUMMYFUNCTION("""COMPUTED_VALUE"""),"Đỗ Văn Duyên")</f>
        <v>Đỗ Văn Duyên</v>
      </c>
      <c r="I246" s="22" t="str">
        <f>IFERROR(__xludf.DUMMYFUNCTION("""COMPUTED_VALUE"""),"Nam")</f>
        <v>Nam</v>
      </c>
      <c r="J246" s="24">
        <f>IFERROR(__xludf.DUMMYFUNCTION("""COMPUTED_VALUE"""),25471.0)</f>
        <v>25471</v>
      </c>
      <c r="K246" s="22" t="str">
        <f>IFERROR(__xludf.DUMMYFUNCTION("""COMPUTED_VALUE"""),"SN52 Thôn Hà Đồ, Xã Hoằng Trạch, Huyện Hoằng Hóa, Tỉnh Thanh Hóa")</f>
        <v>SN52 Thôn Hà Đồ, Xã Hoằng Trạch, Huyện Hoằng Hóa, Tỉnh Thanh Hóa</v>
      </c>
      <c r="L246" s="22" t="str">
        <f>IFERROR(__xludf.DUMMYFUNCTION("""COMPUTED_VALUE"""),"0964582388")</f>
        <v>0964582388</v>
      </c>
      <c r="M246" s="22" t="str">
        <f>IFERROR(__xludf.DUMMYFUNCTION("""COMPUTED_VALUE"""),"038069033711")</f>
        <v>038069033711</v>
      </c>
      <c r="N246" s="25">
        <f>IFERROR(__xludf.DUMMYFUNCTION("""COMPUTED_VALUE"""),44428.0)</f>
        <v>44428</v>
      </c>
      <c r="O246" s="22" t="str">
        <f>IFERROR(__xludf.DUMMYFUNCTION("""COMPUTED_VALUE"""),"Cục Cảnh sát QLHC về TTXH")</f>
        <v>Cục Cảnh sát QLHC về TTXH</v>
      </c>
      <c r="P246" s="22" t="str">
        <f>IFERROR(__xludf.DUMMYFUNCTION("""COMPUTED_VALUE"""),"LĐPT")</f>
        <v>LĐPT</v>
      </c>
      <c r="Q246" s="22" t="str">
        <f>IFERROR(__xludf.DUMMYFUNCTION("""COMPUTED_VALUE"""),"Lao động phổ thông")</f>
        <v>Lao động phổ thông</v>
      </c>
      <c r="R246" s="24">
        <f>IFERROR(__xludf.DUMMYFUNCTION("""COMPUTED_VALUE"""),39214.0)</f>
        <v>39214</v>
      </c>
      <c r="S246" s="26">
        <f>IFERROR(__xludf.DUMMYFUNCTION("""COMPUTED_VALUE"""),39214.0)</f>
        <v>39214</v>
      </c>
      <c r="T246" s="22" t="str">
        <f>IFERROR(__xludf.DUMMYFUNCTION("""COMPUTED_VALUE"""),"Chính thức")</f>
        <v>Chính thức</v>
      </c>
      <c r="U246" s="22"/>
      <c r="V246" s="22" t="str">
        <f>IFERROR(__xludf.DUMMYFUNCTION("""COMPUTED_VALUE"""),"Chính thức")</f>
        <v>Chính thức</v>
      </c>
      <c r="W246" s="22" t="str">
        <f>IFERROR(__xludf.DUMMYFUNCTION("""COMPUTED_VALUE"""),"18 năm 7 tháng")</f>
        <v>18 năm 7 tháng</v>
      </c>
      <c r="X246" s="22"/>
      <c r="Y246" s="22"/>
      <c r="Z246" s="22"/>
    </row>
    <row r="247">
      <c r="A247" s="22">
        <f>IFERROR(__xludf.DUMMYFUNCTION("""COMPUTED_VALUE"""),6.0)</f>
        <v>6</v>
      </c>
      <c r="B247" s="22" t="str">
        <f>IFERROR(__xludf.DUMMYFUNCTION("""COMPUTED_VALUE"""),"Văn phòng")</f>
        <v>Văn phòng</v>
      </c>
      <c r="C247" s="22" t="str">
        <f>IFERROR(__xludf.DUMMYFUNCTION("""COMPUTED_VALUE"""),"Ban kiểm soát")</f>
        <v>Ban kiểm soát</v>
      </c>
      <c r="D247" s="22" t="str">
        <f>IFERROR(__xludf.DUMMYFUNCTION("""COMPUTED_VALUE"""),"Tổ QC ")</f>
        <v>Tổ QC </v>
      </c>
      <c r="E247" s="22" t="str">
        <f>IFERROR(__xludf.DUMMYFUNCTION("""COMPUTED_VALUE"""),"Nhân viên QC")</f>
        <v>Nhân viên QC</v>
      </c>
      <c r="F247" s="22" t="str">
        <f>IFERROR(__xludf.DUMMYFUNCTION("""COMPUTED_VALUE"""),"NV0413")</f>
        <v>NV0413</v>
      </c>
      <c r="G247" s="22">
        <f>IFERROR(__xludf.DUMMYFUNCTION("""COMPUTED_VALUE"""),81.0)</f>
        <v>81</v>
      </c>
      <c r="H247" s="22" t="str">
        <f>IFERROR(__xludf.DUMMYFUNCTION("""COMPUTED_VALUE"""),"Đỗ Thị Nga")</f>
        <v>Đỗ Thị Nga</v>
      </c>
      <c r="I247" s="22" t="str">
        <f>IFERROR(__xludf.DUMMYFUNCTION("""COMPUTED_VALUE"""),"Nữ")</f>
        <v>Nữ</v>
      </c>
      <c r="J247" s="24">
        <f>IFERROR(__xludf.DUMMYFUNCTION("""COMPUTED_VALUE"""),32527.0)</f>
        <v>32527</v>
      </c>
      <c r="K247" s="22" t="str">
        <f>IFERROR(__xludf.DUMMYFUNCTION("""COMPUTED_VALUE"""),"Thôn Hàm Ninh - Xã Hoằng Lộc - Tỉnh Thanh Hóa")</f>
        <v>Thôn Hàm Ninh - Xã Hoằng Lộc - Tỉnh Thanh Hóa</v>
      </c>
      <c r="L247" s="22" t="str">
        <f>IFERROR(__xludf.DUMMYFUNCTION("""COMPUTED_VALUE"""),"0378751517")</f>
        <v>0378751517</v>
      </c>
      <c r="M247" s="22" t="str">
        <f>IFERROR(__xludf.DUMMYFUNCTION("""COMPUTED_VALUE"""),"038189029578")</f>
        <v>038189029578</v>
      </c>
      <c r="N247" s="25">
        <f>IFERROR(__xludf.DUMMYFUNCTION("""COMPUTED_VALUE"""),44419.0)</f>
        <v>44419</v>
      </c>
      <c r="O247" s="22" t="str">
        <f>IFERROR(__xludf.DUMMYFUNCTION("""COMPUTED_VALUE"""),"Cục Cảnh sát QLHC về TTXH")</f>
        <v>Cục Cảnh sát QLHC về TTXH</v>
      </c>
      <c r="P247" s="22" t="str">
        <f>IFERROR(__xludf.DUMMYFUNCTION("""COMPUTED_VALUE"""),"LĐPT")</f>
        <v>LĐPT</v>
      </c>
      <c r="Q247" s="22" t="str">
        <f>IFERROR(__xludf.DUMMYFUNCTION("""COMPUTED_VALUE"""),"Lao động phổ thông")</f>
        <v>Lao động phổ thông</v>
      </c>
      <c r="R247" s="24">
        <f>IFERROR(__xludf.DUMMYFUNCTION("""COMPUTED_VALUE"""),39141.0)</f>
        <v>39141</v>
      </c>
      <c r="S247" s="26">
        <f>IFERROR(__xludf.DUMMYFUNCTION("""COMPUTED_VALUE"""),39141.0)</f>
        <v>39141</v>
      </c>
      <c r="T247" s="22" t="str">
        <f>IFERROR(__xludf.DUMMYFUNCTION("""COMPUTED_VALUE"""),"Chính thức")</f>
        <v>Chính thức</v>
      </c>
      <c r="U247" s="22"/>
      <c r="V247" s="22" t="str">
        <f>IFERROR(__xludf.DUMMYFUNCTION("""COMPUTED_VALUE"""),"Chính thức")</f>
        <v>Chính thức</v>
      </c>
      <c r="W247" s="22" t="str">
        <f>IFERROR(__xludf.DUMMYFUNCTION("""COMPUTED_VALUE"""),"18 năm 10 tháng")</f>
        <v>18 năm 10 tháng</v>
      </c>
      <c r="X247" s="22"/>
      <c r="Y247" s="22"/>
      <c r="Z247" s="22"/>
    </row>
    <row r="248">
      <c r="A248" s="22" t="str">
        <f>IFERROR(__xludf.DUMMYFUNCTION("""COMPUTED_VALUE"""),"IX")</f>
        <v>IX</v>
      </c>
      <c r="B248" s="22" t="str">
        <f>IFERROR(__xludf.DUMMYFUNCTION("""COMPUTED_VALUE"""),"Phòng Kế toán")</f>
        <v>Phòng Kế toán</v>
      </c>
      <c r="C248" s="22">
        <f>IFERROR(__xludf.DUMMYFUNCTION("""COMPUTED_VALUE"""),80.0)</f>
        <v>80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 t="str">
        <f>IFERROR(__xludf.DUMMYFUNCTION("""COMPUTED_VALUE"""),"a.")</f>
        <v>a.</v>
      </c>
      <c r="B249" s="22" t="str">
        <f>IFERROR(__xludf.DUMMYFUNCTION("""COMPUTED_VALUE"""),"Bộ phận quản lý nghiệp vụ")</f>
        <v>Bộ phận quản lý nghiệp vụ</v>
      </c>
      <c r="C249" s="22">
        <f>IFERROR(__xludf.DUMMYFUNCTION("""COMPUTED_VALUE"""),8.0)</f>
        <v>8</v>
      </c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>
        <f>IFERROR(__xludf.DUMMYFUNCTION("""COMPUTED_VALUE"""),1.0)</f>
        <v>1</v>
      </c>
      <c r="B250" s="22" t="str">
        <f>IFERROR(__xludf.DUMMYFUNCTION("""COMPUTED_VALUE"""),"Văn phòng")</f>
        <v>Văn phòng</v>
      </c>
      <c r="C250" s="22" t="str">
        <f>IFERROR(__xludf.DUMMYFUNCTION("""COMPUTED_VALUE"""),"Phòng Kế toán")</f>
        <v>Phòng Kế toán</v>
      </c>
      <c r="D250" s="22" t="str">
        <f>IFERROR(__xludf.DUMMYFUNCTION("""COMPUTED_VALUE"""),"Bộ phận quản lý nghiệp vụ")</f>
        <v>Bộ phận quản lý nghiệp vụ</v>
      </c>
      <c r="E250" s="22" t="str">
        <f>IFERROR(__xludf.DUMMYFUNCTION("""COMPUTED_VALUE"""),"Giám đốc tài chính kiêm Kế toán trưởng Công ty Vicenza")</f>
        <v>Giám đốc tài chính kiêm Kế toán trưởng Công ty Vicenza</v>
      </c>
      <c r="F250" s="22" t="str">
        <f>IFERROR(__xludf.DUMMYFUNCTION("""COMPUTED_VALUE"""),"NV0026")</f>
        <v>NV0026</v>
      </c>
      <c r="G250" s="22"/>
      <c r="H250" s="22" t="str">
        <f>IFERROR(__xludf.DUMMYFUNCTION("""COMPUTED_VALUE"""),"Lưu Minh Hải")</f>
        <v>Lưu Minh Hải</v>
      </c>
      <c r="I250" s="22" t="str">
        <f>IFERROR(__xludf.DUMMYFUNCTION("""COMPUTED_VALUE"""),"Nam")</f>
        <v>Nam</v>
      </c>
      <c r="J250" s="24">
        <f>IFERROR(__xludf.DUMMYFUNCTION("""COMPUTED_VALUE"""),28720.0)</f>
        <v>28720</v>
      </c>
      <c r="K250" s="22" t="str">
        <f>IFERROR(__xludf.DUMMYFUNCTION("""COMPUTED_VALUE"""),"248 - Thành Thái - Phường Đông Thọ -
  Thành phố Thanh Hóa")</f>
        <v>248 - Thành Thái - Phường Đông Thọ -
  Thành phố Thanh Hóa</v>
      </c>
      <c r="L250" s="22" t="str">
        <f>IFERROR(__xludf.DUMMYFUNCTION("""COMPUTED_VALUE"""),"0983365786")</f>
        <v>0983365786</v>
      </c>
      <c r="M250" s="22" t="str">
        <f>IFERROR(__xludf.DUMMYFUNCTION("""COMPUTED_VALUE"""),"038078027556")</f>
        <v>038078027556</v>
      </c>
      <c r="N250" s="25">
        <f>IFERROR(__xludf.DUMMYFUNCTION("""COMPUTED_VALUE"""),44422.0)</f>
        <v>44422</v>
      </c>
      <c r="O250" s="22" t="str">
        <f>IFERROR(__xludf.DUMMYFUNCTION("""COMPUTED_VALUE"""),"Cục Cảnh sát QLHC về TTXH")</f>
        <v>Cục Cảnh sát QLHC về TTXH</v>
      </c>
      <c r="P250" s="22" t="str">
        <f>IFERROR(__xludf.DUMMYFUNCTION("""COMPUTED_VALUE"""),"Đại học")</f>
        <v>Đại học</v>
      </c>
      <c r="Q250" s="22" t="str">
        <f>IFERROR(__xludf.DUMMYFUNCTION("""COMPUTED_VALUE"""),"Kế toán")</f>
        <v>Kế toán</v>
      </c>
      <c r="R250" s="24">
        <f>IFERROR(__xludf.DUMMYFUNCTION("""COMPUTED_VALUE"""),38718.0)</f>
        <v>38718</v>
      </c>
      <c r="S250" s="26">
        <f>IFERROR(__xludf.DUMMYFUNCTION("""COMPUTED_VALUE"""),38718.0)</f>
        <v>38718</v>
      </c>
      <c r="T250" s="22" t="str">
        <f>IFERROR(__xludf.DUMMYFUNCTION("""COMPUTED_VALUE"""),"Chính thức")</f>
        <v>Chính thức</v>
      </c>
      <c r="U250" s="22"/>
      <c r="V250" s="22" t="str">
        <f>IFERROR(__xludf.DUMMYFUNCTION("""COMPUTED_VALUE"""),"Chính thức")</f>
        <v>Chính thức</v>
      </c>
      <c r="W250" s="22" t="str">
        <f>IFERROR(__xludf.DUMMYFUNCTION("""COMPUTED_VALUE"""),"19 năm 11 tháng")</f>
        <v>19 năm 11 tháng</v>
      </c>
      <c r="X250" s="22"/>
      <c r="Y250" s="22"/>
      <c r="Z250" s="22"/>
    </row>
    <row r="251">
      <c r="A251" s="22">
        <f>IFERROR(__xludf.DUMMYFUNCTION("""COMPUTED_VALUE"""),2.0)</f>
        <v>2</v>
      </c>
      <c r="B251" s="22" t="str">
        <f>IFERROR(__xludf.DUMMYFUNCTION("""COMPUTED_VALUE"""),"Văn phòng")</f>
        <v>Văn phòng</v>
      </c>
      <c r="C251" s="22" t="str">
        <f>IFERROR(__xludf.DUMMYFUNCTION("""COMPUTED_VALUE"""),"Phòng Kế toán")</f>
        <v>Phòng Kế toán</v>
      </c>
      <c r="D251" s="22" t="str">
        <f>IFERROR(__xludf.DUMMYFUNCTION("""COMPUTED_VALUE"""),"Bộ phận quản lý nghiệp vụ")</f>
        <v>Bộ phận quản lý nghiệp vụ</v>
      </c>
      <c r="E251" s="22" t="str">
        <f>IFERROR(__xludf.DUMMYFUNCTION("""COMPUTED_VALUE"""),"Trưởng phòng kế toán kiêm kế toán trưởng Kesington, kế toán trưởng Việt Nhật")</f>
        <v>Trưởng phòng kế toán kiêm kế toán trưởng Kesington, kế toán trưởng Việt Nhật</v>
      </c>
      <c r="F251" s="22" t="str">
        <f>IFERROR(__xludf.DUMMYFUNCTION("""COMPUTED_VALUE"""),"NV1606")</f>
        <v>NV1606</v>
      </c>
      <c r="G251" s="22">
        <f>IFERROR(__xludf.DUMMYFUNCTION("""COMPUTED_VALUE"""),638.0)</f>
        <v>638</v>
      </c>
      <c r="H251" s="22" t="str">
        <f>IFERROR(__xludf.DUMMYFUNCTION("""COMPUTED_VALUE"""),"Nguyễn Thị Phương")</f>
        <v>Nguyễn Thị Phương</v>
      </c>
      <c r="I251" s="22" t="str">
        <f>IFERROR(__xludf.DUMMYFUNCTION("""COMPUTED_VALUE"""),"Nữ")</f>
        <v>Nữ</v>
      </c>
      <c r="J251" s="24">
        <f>IFERROR(__xludf.DUMMYFUNCTION("""COMPUTED_VALUE"""),29324.0)</f>
        <v>29324</v>
      </c>
      <c r="K251" s="22" t="str">
        <f>IFERROR(__xludf.DUMMYFUNCTION("""COMPUTED_VALUE"""),"Lô 3 A4, MB1568, Phố 8, P.Quảng Hưng, TP Thanh Hóa")</f>
        <v>Lô 3 A4, MB1568, Phố 8, P.Quảng Hưng, TP Thanh Hóa</v>
      </c>
      <c r="L251" s="22" t="str">
        <f>IFERROR(__xludf.DUMMYFUNCTION("""COMPUTED_VALUE"""),"0978068789")</f>
        <v>0978068789</v>
      </c>
      <c r="M251" s="22" t="str">
        <f>IFERROR(__xludf.DUMMYFUNCTION("""COMPUTED_VALUE"""),"038180023237")</f>
        <v>038180023237</v>
      </c>
      <c r="N251" s="25">
        <f>IFERROR(__xludf.DUMMYFUNCTION("""COMPUTED_VALUE"""),44422.0)</f>
        <v>44422</v>
      </c>
      <c r="O251" s="22" t="str">
        <f>IFERROR(__xludf.DUMMYFUNCTION("""COMPUTED_VALUE"""),"Cục Cảnh sát QLHC về TTXH")</f>
        <v>Cục Cảnh sát QLHC về TTXH</v>
      </c>
      <c r="P251" s="22" t="str">
        <f>IFERROR(__xludf.DUMMYFUNCTION("""COMPUTED_VALUE"""),"Đại học")</f>
        <v>Đại học</v>
      </c>
      <c r="Q251" s="22" t="str">
        <f>IFERROR(__xludf.DUMMYFUNCTION("""COMPUTED_VALUE"""),"Quản trị kinh doanh")</f>
        <v>Quản trị kinh doanh</v>
      </c>
      <c r="R251" s="24">
        <f>IFERROR(__xludf.DUMMYFUNCTION("""COMPUTED_VALUE"""),43313.0)</f>
        <v>43313</v>
      </c>
      <c r="S251" s="26">
        <f>IFERROR(__xludf.DUMMYFUNCTION("""COMPUTED_VALUE"""),43313.0)</f>
        <v>43313</v>
      </c>
      <c r="T251" s="22" t="str">
        <f>IFERROR(__xludf.DUMMYFUNCTION("""COMPUTED_VALUE"""),"Chính thức")</f>
        <v>Chính thức</v>
      </c>
      <c r="U251" s="22"/>
      <c r="V251" s="22" t="str">
        <f>IFERROR(__xludf.DUMMYFUNCTION("""COMPUTED_VALUE"""),"Chính thức")</f>
        <v>Chính thức</v>
      </c>
      <c r="W251" s="22" t="str">
        <f>IFERROR(__xludf.DUMMYFUNCTION("""COMPUTED_VALUE"""),"7 năm 4 tháng")</f>
        <v>7 năm 4 tháng</v>
      </c>
      <c r="X251" s="22"/>
      <c r="Y251" s="22"/>
      <c r="Z251" s="22"/>
    </row>
    <row r="252">
      <c r="A252" s="22">
        <f>IFERROR(__xludf.DUMMYFUNCTION("""COMPUTED_VALUE"""),3.0)</f>
        <v>3</v>
      </c>
      <c r="B252" s="22" t="str">
        <f>IFERROR(__xludf.DUMMYFUNCTION("""COMPUTED_VALUE"""),"Văn phòng")</f>
        <v>Văn phòng</v>
      </c>
      <c r="C252" s="22" t="str">
        <f>IFERROR(__xludf.DUMMYFUNCTION("""COMPUTED_VALUE"""),"Phòng Kế toán")</f>
        <v>Phòng Kế toán</v>
      </c>
      <c r="D252" s="22" t="str">
        <f>IFERROR(__xludf.DUMMYFUNCTION("""COMPUTED_VALUE"""),"Bộ phận quản lý nghiệp vụ")</f>
        <v>Bộ phận quản lý nghiệp vụ</v>
      </c>
      <c r="E252" s="22" t="str">
        <f>IFERROR(__xludf.DUMMYFUNCTION("""COMPUTED_VALUE"""),"Kế toán kho VCZ, TCT")</f>
        <v>Kế toán kho VCZ, TCT</v>
      </c>
      <c r="F252" s="22" t="str">
        <f>IFERROR(__xludf.DUMMYFUNCTION("""COMPUTED_VALUE"""),"NV0030")</f>
        <v>NV0030</v>
      </c>
      <c r="G252" s="22">
        <f>IFERROR(__xludf.DUMMYFUNCTION("""COMPUTED_VALUE"""),57.0)</f>
        <v>57</v>
      </c>
      <c r="H252" s="22" t="str">
        <f>IFERROR(__xludf.DUMMYFUNCTION("""COMPUTED_VALUE"""),"Lê Thị Cúc")</f>
        <v>Lê Thị Cúc</v>
      </c>
      <c r="I252" s="22" t="str">
        <f>IFERROR(__xludf.DUMMYFUNCTION("""COMPUTED_VALUE"""),"Nữ")</f>
        <v>Nữ</v>
      </c>
      <c r="J252" s="24">
        <f>IFERROR(__xludf.DUMMYFUNCTION("""COMPUTED_VALUE"""),30317.0)</f>
        <v>30317</v>
      </c>
      <c r="K252" s="22" t="str">
        <f>IFERROR(__xludf.DUMMYFUNCTION("""COMPUTED_VALUE"""),"20/66 Tô Hiền Thành - Phường Điện Biên - TP.Thanh Hóa")</f>
        <v>20/66 Tô Hiền Thành - Phường Điện Biên - TP.Thanh Hóa</v>
      </c>
      <c r="L252" s="22" t="str">
        <f>IFERROR(__xludf.DUMMYFUNCTION("""COMPUTED_VALUE"""),"0985521109")</f>
        <v>0985521109</v>
      </c>
      <c r="M252" s="22" t="str">
        <f>IFERROR(__xludf.DUMMYFUNCTION("""COMPUTED_VALUE"""),"038183010939")</f>
        <v>038183010939</v>
      </c>
      <c r="N252" s="25">
        <f>IFERROR(__xludf.DUMMYFUNCTION("""COMPUTED_VALUE"""),44418.0)</f>
        <v>44418</v>
      </c>
      <c r="O252" s="22" t="str">
        <f>IFERROR(__xludf.DUMMYFUNCTION("""COMPUTED_VALUE"""),"Cục Cảnh sát QLHC về TTXH")</f>
        <v>Cục Cảnh sát QLHC về TTXH</v>
      </c>
      <c r="P252" s="22" t="str">
        <f>IFERROR(__xludf.DUMMYFUNCTION("""COMPUTED_VALUE"""),"Đại học")</f>
        <v>Đại học</v>
      </c>
      <c r="Q252" s="22" t="str">
        <f>IFERROR(__xludf.DUMMYFUNCTION("""COMPUTED_VALUE"""),"Kế toán")</f>
        <v>Kế toán</v>
      </c>
      <c r="R252" s="24">
        <f>IFERROR(__xludf.DUMMYFUNCTION("""COMPUTED_VALUE"""),39214.0)</f>
        <v>39214</v>
      </c>
      <c r="S252" s="26">
        <f>IFERROR(__xludf.DUMMYFUNCTION("""COMPUTED_VALUE"""),39214.0)</f>
        <v>39214</v>
      </c>
      <c r="T252" s="22" t="str">
        <f>IFERROR(__xludf.DUMMYFUNCTION("""COMPUTED_VALUE"""),"Chính thức")</f>
        <v>Chính thức</v>
      </c>
      <c r="U252" s="22"/>
      <c r="V252" s="22" t="str">
        <f>IFERROR(__xludf.DUMMYFUNCTION("""COMPUTED_VALUE"""),"Chính thức")</f>
        <v>Chính thức</v>
      </c>
      <c r="W252" s="22" t="str">
        <f>IFERROR(__xludf.DUMMYFUNCTION("""COMPUTED_VALUE"""),"18 năm 7 tháng")</f>
        <v>18 năm 7 tháng</v>
      </c>
      <c r="X252" s="22"/>
      <c r="Y252" s="22"/>
      <c r="Z252" s="22"/>
    </row>
    <row r="253">
      <c r="A253" s="22">
        <f>IFERROR(__xludf.DUMMYFUNCTION("""COMPUTED_VALUE"""),4.0)</f>
        <v>4</v>
      </c>
      <c r="B253" s="22" t="str">
        <f>IFERROR(__xludf.DUMMYFUNCTION("""COMPUTED_VALUE"""),"Văn phòng")</f>
        <v>Văn phòng</v>
      </c>
      <c r="C253" s="22" t="str">
        <f>IFERROR(__xludf.DUMMYFUNCTION("""COMPUTED_VALUE"""),"Phòng Kế toán")</f>
        <v>Phòng Kế toán</v>
      </c>
      <c r="D253" s="22" t="str">
        <f>IFERROR(__xludf.DUMMYFUNCTION("""COMPUTED_VALUE"""),"Bộ phận quản lý nghiệp vụ")</f>
        <v>Bộ phận quản lý nghiệp vụ</v>
      </c>
      <c r="E253" s="22" t="str">
        <f>IFERROR(__xludf.DUMMYFUNCTION("""COMPUTED_VALUE"""),"Thủ quỹ VCZ, TCT")</f>
        <v>Thủ quỹ VCZ, TCT</v>
      </c>
      <c r="F253" s="22" t="str">
        <f>IFERROR(__xludf.DUMMYFUNCTION("""COMPUTED_VALUE"""),"NV0028")</f>
        <v>NV0028</v>
      </c>
      <c r="G253" s="22">
        <f>IFERROR(__xludf.DUMMYFUNCTION("""COMPUTED_VALUE"""),62.0)</f>
        <v>62</v>
      </c>
      <c r="H253" s="22" t="str">
        <f>IFERROR(__xludf.DUMMYFUNCTION("""COMPUTED_VALUE"""),"Lương Thị Dung")</f>
        <v>Lương Thị Dung</v>
      </c>
      <c r="I253" s="22" t="str">
        <f>IFERROR(__xludf.DUMMYFUNCTION("""COMPUTED_VALUE"""),"Nữ")</f>
        <v>Nữ</v>
      </c>
      <c r="J253" s="24">
        <f>IFERROR(__xludf.DUMMYFUNCTION("""COMPUTED_VALUE"""),33641.0)</f>
        <v>33641</v>
      </c>
      <c r="K253" s="22" t="str">
        <f>IFERROR(__xludf.DUMMYFUNCTION("""COMPUTED_VALUE"""),"Vĩnh Trị 3 - Hoằng Quang, Thành phố Thanh Hóa, Thanh Hóa,")</f>
        <v>Vĩnh Trị 3 - Hoằng Quang, Thành phố Thanh Hóa, Thanh Hóa,</v>
      </c>
      <c r="L253" s="22" t="str">
        <f>IFERROR(__xludf.DUMMYFUNCTION("""COMPUTED_VALUE"""),"0385308571")</f>
        <v>0385308571</v>
      </c>
      <c r="M253" s="22" t="str">
        <f>IFERROR(__xludf.DUMMYFUNCTION("""COMPUTED_VALUE"""),"038192036240")</f>
        <v>038192036240</v>
      </c>
      <c r="N253" s="25">
        <f>IFERROR(__xludf.DUMMYFUNCTION("""COMPUTED_VALUE"""),44961.0)</f>
        <v>44961</v>
      </c>
      <c r="O253" s="22" t="str">
        <f>IFERROR(__xludf.DUMMYFUNCTION("""COMPUTED_VALUE"""),"Cục Cảnh sát QLHC về TTXH")</f>
        <v>Cục Cảnh sát QLHC về TTXH</v>
      </c>
      <c r="P253" s="22" t="str">
        <f>IFERROR(__xludf.DUMMYFUNCTION("""COMPUTED_VALUE"""),"Đại học")</f>
        <v>Đại học</v>
      </c>
      <c r="Q253" s="22" t="str">
        <f>IFERROR(__xludf.DUMMYFUNCTION("""COMPUTED_VALUE"""),"Tài chính ngân hàng")</f>
        <v>Tài chính ngân hàng</v>
      </c>
      <c r="R253" s="24">
        <f>IFERROR(__xludf.DUMMYFUNCTION("""COMPUTED_VALUE"""),41936.0)</f>
        <v>41936</v>
      </c>
      <c r="S253" s="26">
        <f>IFERROR(__xludf.DUMMYFUNCTION("""COMPUTED_VALUE"""),41936.0)</f>
        <v>41936</v>
      </c>
      <c r="T253" s="22" t="str">
        <f>IFERROR(__xludf.DUMMYFUNCTION("""COMPUTED_VALUE"""),"Chính thức")</f>
        <v>Chính thức</v>
      </c>
      <c r="U253" s="22"/>
      <c r="V253" s="22" t="str">
        <f>IFERROR(__xludf.DUMMYFUNCTION("""COMPUTED_VALUE"""),"Chính thức")</f>
        <v>Chính thức</v>
      </c>
      <c r="W253" s="22" t="str">
        <f>IFERROR(__xludf.DUMMYFUNCTION("""COMPUTED_VALUE"""),"11 năm 2 tháng")</f>
        <v>11 năm 2 tháng</v>
      </c>
      <c r="X253" s="22"/>
      <c r="Y253" s="22"/>
      <c r="Z253" s="22"/>
    </row>
    <row r="254">
      <c r="A254" s="22">
        <f>IFERROR(__xludf.DUMMYFUNCTION("""COMPUTED_VALUE"""),5.0)</f>
        <v>5</v>
      </c>
      <c r="B254" s="22" t="str">
        <f>IFERROR(__xludf.DUMMYFUNCTION("""COMPUTED_VALUE"""),"Văn phòng")</f>
        <v>Văn phòng</v>
      </c>
      <c r="C254" s="22" t="str">
        <f>IFERROR(__xludf.DUMMYFUNCTION("""COMPUTED_VALUE"""),"Phòng Kế toán")</f>
        <v>Phòng Kế toán</v>
      </c>
      <c r="D254" s="22" t="str">
        <f>IFERROR(__xludf.DUMMYFUNCTION("""COMPUTED_VALUE"""),"Bộ phận quản lý nghiệp vụ")</f>
        <v>Bộ phận quản lý nghiệp vụ</v>
      </c>
      <c r="E254" s="22" t="str">
        <f>IFERROR(__xludf.DUMMYFUNCTION("""COMPUTED_VALUE"""),"Kế toán trưởng Đô thị")</f>
        <v>Kế toán trưởng Đô thị</v>
      </c>
      <c r="F254" s="22" t="str">
        <f>IFERROR(__xludf.DUMMYFUNCTION("""COMPUTED_VALUE"""),"NV0033")</f>
        <v>NV0033</v>
      </c>
      <c r="G254" s="22">
        <f>IFERROR(__xludf.DUMMYFUNCTION("""COMPUTED_VALUE"""),666.0)</f>
        <v>666</v>
      </c>
      <c r="H254" s="22" t="str">
        <f>IFERROR(__xludf.DUMMYFUNCTION("""COMPUTED_VALUE"""),"Nguyễn Văn Sang")</f>
        <v>Nguyễn Văn Sang</v>
      </c>
      <c r="I254" s="22" t="str">
        <f>IFERROR(__xludf.DUMMYFUNCTION("""COMPUTED_VALUE"""),"Nam")</f>
        <v>Nam</v>
      </c>
      <c r="J254" s="24">
        <f>IFERROR(__xludf.DUMMYFUNCTION("""COMPUTED_VALUE"""),31208.0)</f>
        <v>31208</v>
      </c>
      <c r="K254" s="22" t="str">
        <f>IFERROR(__xludf.DUMMYFUNCTION("""COMPUTED_VALUE"""),"Phố 4, Phường Quảng Hưng, Thành phố Thanh Hóa,")</f>
        <v>Phố 4, Phường Quảng Hưng, Thành phố Thanh Hóa,</v>
      </c>
      <c r="L254" s="22" t="str">
        <f>IFERROR(__xludf.DUMMYFUNCTION("""COMPUTED_VALUE"""),"0949352636")</f>
        <v>0949352636</v>
      </c>
      <c r="M254" s="22" t="str">
        <f>IFERROR(__xludf.DUMMYFUNCTION("""COMPUTED_VALUE"""),"038085036617")</f>
        <v>038085036617</v>
      </c>
      <c r="N254" s="25">
        <f>IFERROR(__xludf.DUMMYFUNCTION("""COMPUTED_VALUE"""),44325.0)</f>
        <v>44325</v>
      </c>
      <c r="O254" s="22" t="str">
        <f>IFERROR(__xludf.DUMMYFUNCTION("""COMPUTED_VALUE"""),"Cục Cảnh sát QLHC về TTXH")</f>
        <v>Cục Cảnh sát QLHC về TTXH</v>
      </c>
      <c r="P254" s="22" t="str">
        <f>IFERROR(__xludf.DUMMYFUNCTION("""COMPUTED_VALUE"""),"Đại học")</f>
        <v>Đại học</v>
      </c>
      <c r="Q254" s="22" t="str">
        <f>IFERROR(__xludf.DUMMYFUNCTION("""COMPUTED_VALUE"""),"Kế toán")</f>
        <v>Kế toán</v>
      </c>
      <c r="R254" s="24">
        <f>IFERROR(__xludf.DUMMYFUNCTION("""COMPUTED_VALUE"""),40302.0)</f>
        <v>40302</v>
      </c>
      <c r="S254" s="26">
        <f>IFERROR(__xludf.DUMMYFUNCTION("""COMPUTED_VALUE"""),40302.0)</f>
        <v>40302</v>
      </c>
      <c r="T254" s="22" t="str">
        <f>IFERROR(__xludf.DUMMYFUNCTION("""COMPUTED_VALUE"""),"Chính thức")</f>
        <v>Chính thức</v>
      </c>
      <c r="U254" s="22"/>
      <c r="V254" s="22" t="str">
        <f>IFERROR(__xludf.DUMMYFUNCTION("""COMPUTED_VALUE"""),"Chính thức")</f>
        <v>Chính thức</v>
      </c>
      <c r="W254" s="22" t="str">
        <f>IFERROR(__xludf.DUMMYFUNCTION("""COMPUTED_VALUE"""),"15 năm 7 tháng")</f>
        <v>15 năm 7 tháng</v>
      </c>
      <c r="X254" s="22"/>
      <c r="Y254" s="22"/>
      <c r="Z254" s="22"/>
    </row>
    <row r="255">
      <c r="A255" s="22">
        <f>IFERROR(__xludf.DUMMYFUNCTION("""COMPUTED_VALUE"""),6.0)</f>
        <v>6</v>
      </c>
      <c r="B255" s="22" t="str">
        <f>IFERROR(__xludf.DUMMYFUNCTION("""COMPUTED_VALUE"""),"Văn phòng")</f>
        <v>Văn phòng</v>
      </c>
      <c r="C255" s="22" t="str">
        <f>IFERROR(__xludf.DUMMYFUNCTION("""COMPUTED_VALUE"""),"Phòng Kế toán")</f>
        <v>Phòng Kế toán</v>
      </c>
      <c r="D255" s="22" t="str">
        <f>IFERROR(__xludf.DUMMYFUNCTION("""COMPUTED_VALUE"""),"Bộ phận quản lý nghiệp vụ")</f>
        <v>Bộ phận quản lý nghiệp vụ</v>
      </c>
      <c r="E255" s="22" t="str">
        <f>IFERROR(__xludf.DUMMYFUNCTION("""COMPUTED_VALUE"""),"Kế toán tổng hợp Cty Việt nhật")</f>
        <v>Kế toán tổng hợp Cty Việt nhật</v>
      </c>
      <c r="F255" s="22" t="str">
        <f>IFERROR(__xludf.DUMMYFUNCTION("""COMPUTED_VALUE"""),"NV1867")</f>
        <v>NV1867</v>
      </c>
      <c r="G255" s="22">
        <f>IFERROR(__xludf.DUMMYFUNCTION("""COMPUTED_VALUE"""),51.0)</f>
        <v>51</v>
      </c>
      <c r="H255" s="22" t="str">
        <f>IFERROR(__xludf.DUMMYFUNCTION("""COMPUTED_VALUE"""),"Trần Thị Yến")</f>
        <v>Trần Thị Yến</v>
      </c>
      <c r="I255" s="22" t="str">
        <f>IFERROR(__xludf.DUMMYFUNCTION("""COMPUTED_VALUE"""),"Nữ")</f>
        <v>Nữ</v>
      </c>
      <c r="J255" s="24">
        <f>IFERROR(__xludf.DUMMYFUNCTION("""COMPUTED_VALUE"""),32284.0)</f>
        <v>32284</v>
      </c>
      <c r="K255" s="22" t="str">
        <f>IFERROR(__xludf.DUMMYFUNCTION("""COMPUTED_VALUE"""),"KPTN4 - P.Quảng Vinh - Sầm Sơn - Thanh Hóa")</f>
        <v>KPTN4 - P.Quảng Vinh - Sầm Sơn - Thanh Hóa</v>
      </c>
      <c r="L255" s="22" t="str">
        <f>IFERROR(__xludf.DUMMYFUNCTION("""COMPUTED_VALUE"""),"0945640268")</f>
        <v>0945640268</v>
      </c>
      <c r="M255" s="22" t="str">
        <f>IFERROR(__xludf.DUMMYFUNCTION("""COMPUTED_VALUE"""),"038188043251")</f>
        <v>038188043251</v>
      </c>
      <c r="N255" s="25">
        <f>IFERROR(__xludf.DUMMYFUNCTION("""COMPUTED_VALUE"""),44320.0)</f>
        <v>44320</v>
      </c>
      <c r="O255" s="22" t="str">
        <f>IFERROR(__xludf.DUMMYFUNCTION("""COMPUTED_VALUE"""),"Cục Cảnh sát QLHC về TTXH")</f>
        <v>Cục Cảnh sát QLHC về TTXH</v>
      </c>
      <c r="P255" s="22" t="str">
        <f>IFERROR(__xludf.DUMMYFUNCTION("""COMPUTED_VALUE"""),"Thạc sĩ")</f>
        <v>Thạc sĩ</v>
      </c>
      <c r="Q255" s="22" t="str">
        <f>IFERROR(__xludf.DUMMYFUNCTION("""COMPUTED_VALUE"""),"Tài chính, ngân hàng")</f>
        <v>Tài chính, ngân hàng</v>
      </c>
      <c r="R255" s="24">
        <f>IFERROR(__xludf.DUMMYFUNCTION("""COMPUTED_VALUE"""),43364.0)</f>
        <v>43364</v>
      </c>
      <c r="S255" s="26">
        <f>IFERROR(__xludf.DUMMYFUNCTION("""COMPUTED_VALUE"""),43364.0)</f>
        <v>43364</v>
      </c>
      <c r="T255" s="22" t="str">
        <f>IFERROR(__xludf.DUMMYFUNCTION("""COMPUTED_VALUE"""),"Chính thức")</f>
        <v>Chính thức</v>
      </c>
      <c r="U255" s="22"/>
      <c r="V255" s="22" t="str">
        <f>IFERROR(__xludf.DUMMYFUNCTION("""COMPUTED_VALUE"""),"Chính thức")</f>
        <v>Chính thức</v>
      </c>
      <c r="W255" s="22" t="str">
        <f>IFERROR(__xludf.DUMMYFUNCTION("""COMPUTED_VALUE"""),"7 năm 3 tháng")</f>
        <v>7 năm 3 tháng</v>
      </c>
      <c r="X255" s="22"/>
      <c r="Y255" s="22"/>
      <c r="Z255" s="22"/>
    </row>
    <row r="256">
      <c r="A256" s="22">
        <f>IFERROR(__xludf.DUMMYFUNCTION("""COMPUTED_VALUE"""),7.0)</f>
        <v>7</v>
      </c>
      <c r="B256" s="22" t="str">
        <f>IFERROR(__xludf.DUMMYFUNCTION("""COMPUTED_VALUE"""),"Văn phòng")</f>
        <v>Văn phòng</v>
      </c>
      <c r="C256" s="22" t="str">
        <f>IFERROR(__xludf.DUMMYFUNCTION("""COMPUTED_VALUE"""),"Phòng Kế toán")</f>
        <v>Phòng Kế toán</v>
      </c>
      <c r="D256" s="22" t="str">
        <f>IFERROR(__xludf.DUMMYFUNCTION("""COMPUTED_VALUE"""),"Bộ phận quản lý nghiệp vụ")</f>
        <v>Bộ phận quản lý nghiệp vụ</v>
      </c>
      <c r="E256" s="22" t="str">
        <f>IFERROR(__xludf.DUMMYFUNCTION("""COMPUTED_VALUE"""),"Kế toán thanh toán VCZ, TCT")</f>
        <v>Kế toán thanh toán VCZ, TCT</v>
      </c>
      <c r="F256" s="22" t="str">
        <f>IFERROR(__xludf.DUMMYFUNCTION("""COMPUTED_VALUE"""),"NV3962")</f>
        <v>NV3962</v>
      </c>
      <c r="G256" s="22">
        <f>IFERROR(__xludf.DUMMYFUNCTION("""COMPUTED_VALUE"""),82.0)</f>
        <v>82</v>
      </c>
      <c r="H256" s="22" t="str">
        <f>IFERROR(__xludf.DUMMYFUNCTION("""COMPUTED_VALUE"""),"Lương Thị Thùy")</f>
        <v>Lương Thị Thùy</v>
      </c>
      <c r="I256" s="22" t="str">
        <f>IFERROR(__xludf.DUMMYFUNCTION("""COMPUTED_VALUE"""),"Nữ")</f>
        <v>Nữ</v>
      </c>
      <c r="J256" s="24">
        <f>IFERROR(__xludf.DUMMYFUNCTION("""COMPUTED_VALUE"""),36382.0)</f>
        <v>36382</v>
      </c>
      <c r="K256" s="22" t="str">
        <f>IFERROR(__xludf.DUMMYFUNCTION("""COMPUTED_VALUE"""),"Thôn 2, Xã Hoằng Thành, Huyện Hoằng Hóa, Thanh Hóa")</f>
        <v>Thôn 2, Xã Hoằng Thành, Huyện Hoằng Hóa, Thanh Hóa</v>
      </c>
      <c r="L256" s="22" t="str">
        <f>IFERROR(__xludf.DUMMYFUNCTION("""COMPUTED_VALUE"""),"0946281059")</f>
        <v>0946281059</v>
      </c>
      <c r="M256" s="22" t="str">
        <f>IFERROR(__xludf.DUMMYFUNCTION("""COMPUTED_VALUE"""),"038199023903")</f>
        <v>038199023903</v>
      </c>
      <c r="N256" s="25">
        <f>IFERROR(__xludf.DUMMYFUNCTION("""COMPUTED_VALUE"""),44636.0)</f>
        <v>44636</v>
      </c>
      <c r="O256" s="22" t="str">
        <f>IFERROR(__xludf.DUMMYFUNCTION("""COMPUTED_VALUE"""),"Cục Cảnh sát QLHC về TTXH")</f>
        <v>Cục Cảnh sát QLHC về TTXH</v>
      </c>
      <c r="P256" s="22" t="str">
        <f>IFERROR(__xludf.DUMMYFUNCTION("""COMPUTED_VALUE"""),"Cử nhân")</f>
        <v>Cử nhân</v>
      </c>
      <c r="Q256" s="22" t="str">
        <f>IFERROR(__xludf.DUMMYFUNCTION("""COMPUTED_VALUE"""),"Kinh doanh quốc tế")</f>
        <v>Kinh doanh quốc tế</v>
      </c>
      <c r="R256" s="24">
        <f>IFERROR(__xludf.DUMMYFUNCTION("""COMPUTED_VALUE"""),44531.0)</f>
        <v>44531</v>
      </c>
      <c r="S256" s="26">
        <f>IFERROR(__xludf.DUMMYFUNCTION("""COMPUTED_VALUE"""),44531.0)</f>
        <v>44531</v>
      </c>
      <c r="T256" s="22" t="str">
        <f>IFERROR(__xludf.DUMMYFUNCTION("""COMPUTED_VALUE"""),"Chính thức")</f>
        <v>Chính thức</v>
      </c>
      <c r="U256" s="22"/>
      <c r="V256" s="22" t="str">
        <f>IFERROR(__xludf.DUMMYFUNCTION("""COMPUTED_VALUE"""),"Chính thức")</f>
        <v>Chính thức</v>
      </c>
      <c r="W256" s="22" t="str">
        <f>IFERROR(__xludf.DUMMYFUNCTION("""COMPUTED_VALUE"""),"4 năm 0 tháng")</f>
        <v>4 năm 0 tháng</v>
      </c>
      <c r="X256" s="22"/>
      <c r="Y256" s="22"/>
      <c r="Z256" s="22"/>
    </row>
    <row r="257">
      <c r="A257" s="22">
        <f>IFERROR(__xludf.DUMMYFUNCTION("""COMPUTED_VALUE"""),8.0)</f>
        <v>8</v>
      </c>
      <c r="B257" s="22" t="str">
        <f>IFERROR(__xludf.DUMMYFUNCTION("""COMPUTED_VALUE"""),"Văn phòng")</f>
        <v>Văn phòng</v>
      </c>
      <c r="C257" s="22" t="str">
        <f>IFERROR(__xludf.DUMMYFUNCTION("""COMPUTED_VALUE"""),"Phòng Kế toán")</f>
        <v>Phòng Kế toán</v>
      </c>
      <c r="D257" s="22" t="str">
        <f>IFERROR(__xludf.DUMMYFUNCTION("""COMPUTED_VALUE"""),"Bộ phận quản lý nghiệp vụ")</f>
        <v>Bộ phận quản lý nghiệp vụ</v>
      </c>
      <c r="E257" s="22" t="str">
        <f>IFERROR(__xludf.DUMMYFUNCTION("""COMPUTED_VALUE"""),"Nhân viên")</f>
        <v>Nhân viên</v>
      </c>
      <c r="F257" s="22" t="str">
        <f>IFERROR(__xludf.DUMMYFUNCTION("""COMPUTED_VALUE"""),"NV0415")</f>
        <v>NV0415</v>
      </c>
      <c r="G257" s="22">
        <f>IFERROR(__xludf.DUMMYFUNCTION("""COMPUTED_VALUE"""),751.0)</f>
        <v>751</v>
      </c>
      <c r="H257" s="22" t="str">
        <f>IFERROR(__xludf.DUMMYFUNCTION("""COMPUTED_VALUE"""),"Nguyễn Thị Tuyết")</f>
        <v>Nguyễn Thị Tuyết</v>
      </c>
      <c r="I257" s="22" t="str">
        <f>IFERROR(__xludf.DUMMYFUNCTION("""COMPUTED_VALUE"""),"Nữ")</f>
        <v>Nữ</v>
      </c>
      <c r="J257" s="24">
        <f>IFERROR(__xludf.DUMMYFUNCTION("""COMPUTED_VALUE"""),31690.0)</f>
        <v>31690</v>
      </c>
      <c r="K257" s="22" t="str">
        <f>IFERROR(__xludf.DUMMYFUNCTION("""COMPUTED_VALUE"""),"Phố 2 - Phường Quảng Hưng - Thành Phố Thanh Hóa")</f>
        <v>Phố 2 - Phường Quảng Hưng - Thành Phố Thanh Hóa</v>
      </c>
      <c r="L257" s="22" t="str">
        <f>IFERROR(__xludf.DUMMYFUNCTION("""COMPUTED_VALUE"""),"0932353986")</f>
        <v>0932353986</v>
      </c>
      <c r="M257" s="22" t="str">
        <f>IFERROR(__xludf.DUMMYFUNCTION("""COMPUTED_VALUE"""),"038186048745")</f>
        <v>038186048745</v>
      </c>
      <c r="N257" s="25">
        <f>IFERROR(__xludf.DUMMYFUNCTION("""COMPUTED_VALUE"""),44375.0)</f>
        <v>44375</v>
      </c>
      <c r="O257" s="22" t="str">
        <f>IFERROR(__xludf.DUMMYFUNCTION("""COMPUTED_VALUE"""),"Cục Cảnh sát QLHC về TTXH")</f>
        <v>Cục Cảnh sát QLHC về TTXH</v>
      </c>
      <c r="P257" s="22" t="str">
        <f>IFERROR(__xludf.DUMMYFUNCTION("""COMPUTED_VALUE"""),"Trung cấp")</f>
        <v>Trung cấp</v>
      </c>
      <c r="Q257" s="22" t="str">
        <f>IFERROR(__xludf.DUMMYFUNCTION("""COMPUTED_VALUE"""),"Kế toán thương mại")</f>
        <v>Kế toán thương mại</v>
      </c>
      <c r="R257" s="24">
        <f>IFERROR(__xludf.DUMMYFUNCTION("""COMPUTED_VALUE"""),40194.0)</f>
        <v>40194</v>
      </c>
      <c r="S257" s="26">
        <f>IFERROR(__xludf.DUMMYFUNCTION("""COMPUTED_VALUE"""),40194.0)</f>
        <v>40194</v>
      </c>
      <c r="T257" s="22" t="str">
        <f>IFERROR(__xludf.DUMMYFUNCTION("""COMPUTED_VALUE"""),"Chính thức")</f>
        <v>Chính thức</v>
      </c>
      <c r="U257" s="22"/>
      <c r="V257" s="22" t="str">
        <f>IFERROR(__xludf.DUMMYFUNCTION("""COMPUTED_VALUE"""),"Chính thức")</f>
        <v>Chính thức</v>
      </c>
      <c r="W257" s="22" t="str">
        <f>IFERROR(__xludf.DUMMYFUNCTION("""COMPUTED_VALUE"""),"15 năm 11 tháng")</f>
        <v>15 năm 11 tháng</v>
      </c>
      <c r="X257" s="22"/>
      <c r="Y257" s="22"/>
      <c r="Z257" s="22"/>
    </row>
    <row r="258">
      <c r="A258" s="22">
        <f>IFERROR(__xludf.DUMMYFUNCTION("""COMPUTED_VALUE"""),9.0)</f>
        <v>9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>
        <f>IFERROR(__xludf.DUMMYFUNCTION("""COMPUTED_VALUE"""),10.0)</f>
        <v>10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 t="str">
        <f>IFERROR(__xludf.DUMMYFUNCTION("""COMPUTED_VALUE"""),"b.")</f>
        <v>b.</v>
      </c>
      <c r="B260" s="22" t="str">
        <f>IFERROR(__xludf.DUMMYFUNCTION("""COMPUTED_VALUE"""),"Bộ phận kho vật tư, nguyên nhiên liệu và thành phẩm")</f>
        <v>Bộ phận kho vật tư, nguyên nhiên liệu và thành phẩm</v>
      </c>
      <c r="C260" s="22">
        <f>IFERROR(__xludf.DUMMYFUNCTION("""COMPUTED_VALUE"""),15.0)</f>
        <v>15</v>
      </c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>
        <f>IFERROR(__xludf.DUMMYFUNCTION("""COMPUTED_VALUE"""),1.0)</f>
        <v>1</v>
      </c>
      <c r="B261" s="22" t="str">
        <f>IFERROR(__xludf.DUMMYFUNCTION("""COMPUTED_VALUE"""),"Văn phòng")</f>
        <v>Văn phòng</v>
      </c>
      <c r="C261" s="22" t="str">
        <f>IFERROR(__xludf.DUMMYFUNCTION("""COMPUTED_VALUE"""),"Phòng Kế toán")</f>
        <v>Phòng Kế toán</v>
      </c>
      <c r="D261" s="22" t="str">
        <f>IFERROR(__xludf.DUMMYFUNCTION("""COMPUTED_VALUE"""),"Bộ phận kho vật tư, nguyên nhiên liệu và thành phẩm")</f>
        <v>Bộ phận kho vật tư, nguyên nhiên liệu và thành phẩm</v>
      </c>
      <c r="E261" s="22" t="str">
        <f>IFERROR(__xludf.DUMMYFUNCTION("""COMPUTED_VALUE"""),"Trưởng bộ phận kho")</f>
        <v>Trưởng bộ phận kho</v>
      </c>
      <c r="F261" s="22" t="str">
        <f>IFERROR(__xludf.DUMMYFUNCTION("""COMPUTED_VALUE"""),"NV0099")</f>
        <v>NV0099</v>
      </c>
      <c r="G261" s="22">
        <f>IFERROR(__xludf.DUMMYFUNCTION("""COMPUTED_VALUE"""),833.0)</f>
        <v>833</v>
      </c>
      <c r="H261" s="22" t="str">
        <f>IFERROR(__xludf.DUMMYFUNCTION("""COMPUTED_VALUE"""),"Mai Văn Luận")</f>
        <v>Mai Văn Luận</v>
      </c>
      <c r="I261" s="22" t="str">
        <f>IFERROR(__xludf.DUMMYFUNCTION("""COMPUTED_VALUE"""),"Nam")</f>
        <v>Nam</v>
      </c>
      <c r="J261" s="24">
        <f>IFERROR(__xludf.DUMMYFUNCTION("""COMPUTED_VALUE"""),29264.0)</f>
        <v>29264</v>
      </c>
      <c r="K261" s="22" t="str">
        <f>IFERROR(__xludf.DUMMYFUNCTION("""COMPUTED_VALUE"""),"25/18 Cao Điển - Phường Hạc Thành - Tỉnh Thanh Hóa")</f>
        <v>25/18 Cao Điển - Phường Hạc Thành - Tỉnh Thanh Hóa</v>
      </c>
      <c r="L261" s="22" t="str">
        <f>IFERROR(__xludf.DUMMYFUNCTION("""COMPUTED_VALUE"""),"0982037366")</f>
        <v>0982037366</v>
      </c>
      <c r="M261" s="22" t="str">
        <f>IFERROR(__xludf.DUMMYFUNCTION("""COMPUTED_VALUE"""),"038080023182")</f>
        <v>038080023182</v>
      </c>
      <c r="N261" s="25">
        <f>IFERROR(__xludf.DUMMYFUNCTION("""COMPUTED_VALUE"""),44464.0)</f>
        <v>44464</v>
      </c>
      <c r="O261" s="22" t="str">
        <f>IFERROR(__xludf.DUMMYFUNCTION("""COMPUTED_VALUE"""),"Cục Cảnh sát QLHC về TTXH")</f>
        <v>Cục Cảnh sát QLHC về TTXH</v>
      </c>
      <c r="P261" s="22" t="str">
        <f>IFERROR(__xludf.DUMMYFUNCTION("""COMPUTED_VALUE"""),"Kỹ sư")</f>
        <v>Kỹ sư</v>
      </c>
      <c r="Q261" s="22" t="str">
        <f>IFERROR(__xludf.DUMMYFUNCTION("""COMPUTED_VALUE"""),"KS - Xây dựng dân dụng CN")</f>
        <v>KS - Xây dựng dân dụng CN</v>
      </c>
      <c r="R261" s="24">
        <f>IFERROR(__xludf.DUMMYFUNCTION("""COMPUTED_VALUE"""),40101.0)</f>
        <v>40101</v>
      </c>
      <c r="S261" s="26">
        <f>IFERROR(__xludf.DUMMYFUNCTION("""COMPUTED_VALUE"""),40101.0)</f>
        <v>40101</v>
      </c>
      <c r="T261" s="22" t="str">
        <f>IFERROR(__xludf.DUMMYFUNCTION("""COMPUTED_VALUE"""),"Chính thức")</f>
        <v>Chính thức</v>
      </c>
      <c r="U261" s="22"/>
      <c r="V261" s="22" t="str">
        <f>IFERROR(__xludf.DUMMYFUNCTION("""COMPUTED_VALUE"""),"Chính thức")</f>
        <v>Chính thức</v>
      </c>
      <c r="W261" s="22" t="str">
        <f>IFERROR(__xludf.DUMMYFUNCTION("""COMPUTED_VALUE"""),"16 năm 2 tháng")</f>
        <v>16 năm 2 tháng</v>
      </c>
      <c r="X261" s="22"/>
      <c r="Y261" s="22"/>
      <c r="Z261" s="22"/>
    </row>
    <row r="262">
      <c r="A262" s="22">
        <f>IFERROR(__xludf.DUMMYFUNCTION("""COMPUTED_VALUE"""),2.0)</f>
        <v>2</v>
      </c>
      <c r="B262" s="22" t="str">
        <f>IFERROR(__xludf.DUMMYFUNCTION("""COMPUTED_VALUE"""),"Văn phòng")</f>
        <v>Văn phòng</v>
      </c>
      <c r="C262" s="22" t="str">
        <f>IFERROR(__xludf.DUMMYFUNCTION("""COMPUTED_VALUE"""),"Phòng Kế toán")</f>
        <v>Phòng Kế toán</v>
      </c>
      <c r="D262" s="22" t="str">
        <f>IFERROR(__xludf.DUMMYFUNCTION("""COMPUTED_VALUE"""),"Bộ phận kho vật tư, nguyên nhiên liệu và thành phẩm")</f>
        <v>Bộ phận kho vật tư, nguyên nhiên liệu và thành phẩm</v>
      </c>
      <c r="E262" s="22" t="str">
        <f>IFERROR(__xludf.DUMMYFUNCTION("""COMPUTED_VALUE"""),"Thủ kho thành phẩm phụ trách kho Cổng 3 - PXSX1")</f>
        <v>Thủ kho thành phẩm phụ trách kho Cổng 3 - PXSX1</v>
      </c>
      <c r="F262" s="22" t="str">
        <f>IFERROR(__xludf.DUMMYFUNCTION("""COMPUTED_VALUE"""),"NV0086")</f>
        <v>NV0086</v>
      </c>
      <c r="G262" s="22">
        <f>IFERROR(__xludf.DUMMYFUNCTION("""COMPUTED_VALUE"""),3.0)</f>
        <v>3</v>
      </c>
      <c r="H262" s="22" t="str">
        <f>IFERROR(__xludf.DUMMYFUNCTION("""COMPUTED_VALUE"""),"Trần Văn Kỳ")</f>
        <v>Trần Văn Kỳ</v>
      </c>
      <c r="I262" s="22" t="str">
        <f>IFERROR(__xludf.DUMMYFUNCTION("""COMPUTED_VALUE"""),"Nam")</f>
        <v>Nam</v>
      </c>
      <c r="J262" s="24">
        <f>IFERROR(__xludf.DUMMYFUNCTION("""COMPUTED_VALUE"""),29849.0)</f>
        <v>29849</v>
      </c>
      <c r="K262" s="22" t="str">
        <f>IFERROR(__xludf.DUMMYFUNCTION("""COMPUTED_VALUE"""),"Số nhà 14 - Trần Mai Ninh - Phường Nam Sầm Sơn - Tỉnh Thanh Hóa")</f>
        <v>Số nhà 14 - Trần Mai Ninh - Phường Nam Sầm Sơn - Tỉnh Thanh Hóa</v>
      </c>
      <c r="L262" s="22" t="str">
        <f>IFERROR(__xludf.DUMMYFUNCTION("""COMPUTED_VALUE"""),"0898623988")</f>
        <v>0898623988</v>
      </c>
      <c r="M262" s="22" t="str">
        <f>IFERROR(__xludf.DUMMYFUNCTION("""COMPUTED_VALUE"""),"038081011738")</f>
        <v>038081011738</v>
      </c>
      <c r="N262" s="25">
        <f>IFERROR(__xludf.DUMMYFUNCTION("""COMPUTED_VALUE"""),44546.0)</f>
        <v>44546</v>
      </c>
      <c r="O262" s="22" t="str">
        <f>IFERROR(__xludf.DUMMYFUNCTION("""COMPUTED_VALUE"""),"Cục Cảnh sát QLHC về TTXH")</f>
        <v>Cục Cảnh sát QLHC về TTXH</v>
      </c>
      <c r="P262" s="22" t="str">
        <f>IFERROR(__xludf.DUMMYFUNCTION("""COMPUTED_VALUE"""),"Thạc sĩ")</f>
        <v>Thạc sĩ</v>
      </c>
      <c r="Q262" s="22" t="str">
        <f>IFERROR(__xludf.DUMMYFUNCTION("""COMPUTED_VALUE"""),"Sinh học")</f>
        <v>Sinh học</v>
      </c>
      <c r="R262" s="24">
        <f>IFERROR(__xludf.DUMMYFUNCTION("""COMPUTED_VALUE"""),42415.0)</f>
        <v>42415</v>
      </c>
      <c r="S262" s="26">
        <f>IFERROR(__xludf.DUMMYFUNCTION("""COMPUTED_VALUE"""),42415.0)</f>
        <v>42415</v>
      </c>
      <c r="T262" s="22" t="str">
        <f>IFERROR(__xludf.DUMMYFUNCTION("""COMPUTED_VALUE"""),"Chính thức")</f>
        <v>Chính thức</v>
      </c>
      <c r="U262" s="22"/>
      <c r="V262" s="22" t="str">
        <f>IFERROR(__xludf.DUMMYFUNCTION("""COMPUTED_VALUE"""),"Chính thức")</f>
        <v>Chính thức</v>
      </c>
      <c r="W262" s="22" t="str">
        <f>IFERROR(__xludf.DUMMYFUNCTION("""COMPUTED_VALUE"""),"9 năm 10 tháng")</f>
        <v>9 năm 10 tháng</v>
      </c>
      <c r="X262" s="22"/>
      <c r="Y262" s="22"/>
      <c r="Z262" s="22"/>
    </row>
    <row r="263">
      <c r="A263" s="22">
        <f>IFERROR(__xludf.DUMMYFUNCTION("""COMPUTED_VALUE"""),3.0)</f>
        <v>3</v>
      </c>
      <c r="B263" s="22" t="str">
        <f>IFERROR(__xludf.DUMMYFUNCTION("""COMPUTED_VALUE"""),"Văn phòng")</f>
        <v>Văn phòng</v>
      </c>
      <c r="C263" s="22" t="str">
        <f>IFERROR(__xludf.DUMMYFUNCTION("""COMPUTED_VALUE"""),"Phòng Kế toán")</f>
        <v>Phòng Kế toán</v>
      </c>
      <c r="D263" s="22" t="str">
        <f>IFERROR(__xludf.DUMMYFUNCTION("""COMPUTED_VALUE"""),"Bộ phận kho vật tư, nguyên nhiên liệu và thành phẩm")</f>
        <v>Bộ phận kho vật tư, nguyên nhiên liệu và thành phẩm</v>
      </c>
      <c r="E263" s="22" t="str">
        <f>IFERROR(__xludf.DUMMYFUNCTION("""COMPUTED_VALUE"""),"Thủ kho thành phẩm")</f>
        <v>Thủ kho thành phẩm</v>
      </c>
      <c r="F263" s="22" t="str">
        <f>IFERROR(__xludf.DUMMYFUNCTION("""COMPUTED_VALUE"""),"NV3534")</f>
        <v>NV3534</v>
      </c>
      <c r="G263" s="22">
        <f>IFERROR(__xludf.DUMMYFUNCTION("""COMPUTED_VALUE"""),80.0)</f>
        <v>80</v>
      </c>
      <c r="H263" s="22" t="str">
        <f>IFERROR(__xludf.DUMMYFUNCTION("""COMPUTED_VALUE"""),"Nguyễn Thị Hồng Nhung")</f>
        <v>Nguyễn Thị Hồng Nhung</v>
      </c>
      <c r="I263" s="22" t="str">
        <f>IFERROR(__xludf.DUMMYFUNCTION("""COMPUTED_VALUE"""),"Nữ")</f>
        <v>Nữ</v>
      </c>
      <c r="J263" s="24">
        <f>IFERROR(__xludf.DUMMYFUNCTION("""COMPUTED_VALUE"""),30809.0)</f>
        <v>30809</v>
      </c>
      <c r="K263" s="22" t="str">
        <f>IFERROR(__xludf.DUMMYFUNCTION("""COMPUTED_VALUE"""),"08 Nguyễn Quỳnh, Phường Điện Biên, Thành phố Thanh Hóa")</f>
        <v>08 Nguyễn Quỳnh, Phường Điện Biên, Thành phố Thanh Hóa</v>
      </c>
      <c r="L263" s="22" t="str">
        <f>IFERROR(__xludf.DUMMYFUNCTION("""COMPUTED_VALUE"""),"0906977989")</f>
        <v>0906977989</v>
      </c>
      <c r="M263" s="22" t="str">
        <f>IFERROR(__xludf.DUMMYFUNCTION("""COMPUTED_VALUE"""),"038184025803")</f>
        <v>038184025803</v>
      </c>
      <c r="N263" s="25">
        <f>IFERROR(__xludf.DUMMYFUNCTION("""COMPUTED_VALUE"""),44313.0)</f>
        <v>44313</v>
      </c>
      <c r="O263" s="22" t="str">
        <f>IFERROR(__xludf.DUMMYFUNCTION("""COMPUTED_VALUE"""),"Cục Cảnh sát QLHC về TTXH")</f>
        <v>Cục Cảnh sát QLHC về TTXH</v>
      </c>
      <c r="P263" s="22" t="str">
        <f>IFERROR(__xludf.DUMMYFUNCTION("""COMPUTED_VALUE"""),"Cử nhân")</f>
        <v>Cử nhân</v>
      </c>
      <c r="Q263" s="22" t="str">
        <f>IFERROR(__xludf.DUMMYFUNCTION("""COMPUTED_VALUE"""),"Công nghệ máy tính")</f>
        <v>Công nghệ máy tính</v>
      </c>
      <c r="R263" s="24">
        <f>IFERROR(__xludf.DUMMYFUNCTION("""COMPUTED_VALUE"""),44273.0)</f>
        <v>44273</v>
      </c>
      <c r="S263" s="26">
        <f>IFERROR(__xludf.DUMMYFUNCTION("""COMPUTED_VALUE"""),44273.0)</f>
        <v>44273</v>
      </c>
      <c r="T263" s="22" t="str">
        <f>IFERROR(__xludf.DUMMYFUNCTION("""COMPUTED_VALUE"""),"Chính thức")</f>
        <v>Chính thức</v>
      </c>
      <c r="U263" s="22"/>
      <c r="V263" s="22" t="str">
        <f>IFERROR(__xludf.DUMMYFUNCTION("""COMPUTED_VALUE"""),"Chính thức")</f>
        <v>Chính thức</v>
      </c>
      <c r="W263" s="22" t="str">
        <f>IFERROR(__xludf.DUMMYFUNCTION("""COMPUTED_VALUE"""),"4 năm 9 tháng")</f>
        <v>4 năm 9 tháng</v>
      </c>
      <c r="X263" s="22"/>
      <c r="Y263" s="22"/>
      <c r="Z263" s="22"/>
    </row>
    <row r="264">
      <c r="A264" s="22">
        <f>IFERROR(__xludf.DUMMYFUNCTION("""COMPUTED_VALUE"""),4.0)</f>
        <v>4</v>
      </c>
      <c r="B264" s="22" t="str">
        <f>IFERROR(__xludf.DUMMYFUNCTION("""COMPUTED_VALUE"""),"Văn phòng")</f>
        <v>Văn phòng</v>
      </c>
      <c r="C264" s="22" t="str">
        <f>IFERROR(__xludf.DUMMYFUNCTION("""COMPUTED_VALUE"""),"Phòng Kế toán")</f>
        <v>Phòng Kế toán</v>
      </c>
      <c r="D264" s="22" t="str">
        <f>IFERROR(__xludf.DUMMYFUNCTION("""COMPUTED_VALUE"""),"Bộ phận kho vật tư, nguyên nhiên liệu và thành phẩm")</f>
        <v>Bộ phận kho vật tư, nguyên nhiên liệu và thành phẩm</v>
      </c>
      <c r="E264" s="22" t="str">
        <f>IFERROR(__xludf.DUMMYFUNCTION("""COMPUTED_VALUE"""),"Thủ kho thành phẩm phụ trách kho Cổng 1 - PXSX2")</f>
        <v>Thủ kho thành phẩm phụ trách kho Cổng 1 - PXSX2</v>
      </c>
      <c r="F264" s="22" t="str">
        <f>IFERROR(__xludf.DUMMYFUNCTION("""COMPUTED_VALUE"""),"NV0043")</f>
        <v>NV0043</v>
      </c>
      <c r="G264" s="22">
        <f>IFERROR(__xludf.DUMMYFUNCTION("""COMPUTED_VALUE"""),755.0)</f>
        <v>755</v>
      </c>
      <c r="H264" s="22" t="str">
        <f>IFERROR(__xludf.DUMMYFUNCTION("""COMPUTED_VALUE"""),"Trịnh Văn Dũng")</f>
        <v>Trịnh Văn Dũng</v>
      </c>
      <c r="I264" s="22" t="str">
        <f>IFERROR(__xludf.DUMMYFUNCTION("""COMPUTED_VALUE"""),"Nam")</f>
        <v>Nam</v>
      </c>
      <c r="J264" s="24">
        <f>IFERROR(__xludf.DUMMYFUNCTION("""COMPUTED_VALUE"""),30722.0)</f>
        <v>30722</v>
      </c>
      <c r="K264" s="22" t="str">
        <f>IFERROR(__xludf.DUMMYFUNCTION("""COMPUTED_VALUE"""),"Phố 5, Phường Quảng Hưng, Thành phố Thanh Hóa, Tỉnh Thanh Hóa,")</f>
        <v>Phố 5, Phường Quảng Hưng, Thành phố Thanh Hóa, Tỉnh Thanh Hóa,</v>
      </c>
      <c r="L264" s="22" t="str">
        <f>IFERROR(__xludf.DUMMYFUNCTION("""COMPUTED_VALUE"""),"0974821567")</f>
        <v>0974821567</v>
      </c>
      <c r="M264" s="22" t="str">
        <f>IFERROR(__xludf.DUMMYFUNCTION("""COMPUTED_VALUE"""),"038084053129")</f>
        <v>038084053129</v>
      </c>
      <c r="N264" s="25">
        <f>IFERROR(__xludf.DUMMYFUNCTION("""COMPUTED_VALUE"""),44455.0)</f>
        <v>44455</v>
      </c>
      <c r="O264" s="22" t="str">
        <f>IFERROR(__xludf.DUMMYFUNCTION("""COMPUTED_VALUE"""),"Cục Cảnh sát QLHC về TTXH")</f>
        <v>Cục Cảnh sát QLHC về TTXH</v>
      </c>
      <c r="P264" s="22" t="str">
        <f>IFERROR(__xludf.DUMMYFUNCTION("""COMPUTED_VALUE"""),"Cao đẳng")</f>
        <v>Cao đẳng</v>
      </c>
      <c r="Q264" s="22" t="str">
        <f>IFERROR(__xludf.DUMMYFUNCTION("""COMPUTED_VALUE"""),"Xây dựng")</f>
        <v>Xây dựng</v>
      </c>
      <c r="R264" s="24">
        <f>IFERROR(__xludf.DUMMYFUNCTION("""COMPUTED_VALUE"""),37833.0)</f>
        <v>37833</v>
      </c>
      <c r="S264" s="26">
        <f>IFERROR(__xludf.DUMMYFUNCTION("""COMPUTED_VALUE"""),37833.0)</f>
        <v>37833</v>
      </c>
      <c r="T264" s="22" t="str">
        <f>IFERROR(__xludf.DUMMYFUNCTION("""COMPUTED_VALUE"""),"Chính thức")</f>
        <v>Chính thức</v>
      </c>
      <c r="U264" s="22"/>
      <c r="V264" s="22" t="str">
        <f>IFERROR(__xludf.DUMMYFUNCTION("""COMPUTED_VALUE"""),"Chính thức")</f>
        <v>Chính thức</v>
      </c>
      <c r="W264" s="22" t="str">
        <f>IFERROR(__xludf.DUMMYFUNCTION("""COMPUTED_VALUE"""),"22 năm 5 tháng")</f>
        <v>22 năm 5 tháng</v>
      </c>
      <c r="X264" s="22"/>
      <c r="Y264" s="22"/>
      <c r="Z264" s="22"/>
    </row>
    <row r="265">
      <c r="A265" s="22">
        <f>IFERROR(__xludf.DUMMYFUNCTION("""COMPUTED_VALUE"""),5.0)</f>
        <v>5</v>
      </c>
      <c r="B265" s="22" t="str">
        <f>IFERROR(__xludf.DUMMYFUNCTION("""COMPUTED_VALUE"""),"Văn phòng")</f>
        <v>Văn phòng</v>
      </c>
      <c r="C265" s="22" t="str">
        <f>IFERROR(__xludf.DUMMYFUNCTION("""COMPUTED_VALUE"""),"Phòng Kế toán")</f>
        <v>Phòng Kế toán</v>
      </c>
      <c r="D265" s="22" t="str">
        <f>IFERROR(__xludf.DUMMYFUNCTION("""COMPUTED_VALUE"""),"Bộ phận kho vật tư, nguyên nhiên liệu và thành phẩm")</f>
        <v>Bộ phận kho vật tư, nguyên nhiên liệu và thành phẩm</v>
      </c>
      <c r="E265" s="22" t="str">
        <f>IFERROR(__xludf.DUMMYFUNCTION("""COMPUTED_VALUE"""),"Thủ kho thành phẩm phụ trách kho Cổng 2 - PXSX2")</f>
        <v>Thủ kho thành phẩm phụ trách kho Cổng 2 - PXSX2</v>
      </c>
      <c r="F265" s="22" t="str">
        <f>IFERROR(__xludf.DUMMYFUNCTION("""COMPUTED_VALUE"""),"NV0417")</f>
        <v>NV0417</v>
      </c>
      <c r="G265" s="22">
        <f>IFERROR(__xludf.DUMMYFUNCTION("""COMPUTED_VALUE"""),87.0)</f>
        <v>87</v>
      </c>
      <c r="H265" s="22" t="str">
        <f>IFERROR(__xludf.DUMMYFUNCTION("""COMPUTED_VALUE"""),"Trịnh Văn Hòa")</f>
        <v>Trịnh Văn Hòa</v>
      </c>
      <c r="I265" s="22" t="str">
        <f>IFERROR(__xludf.DUMMYFUNCTION("""COMPUTED_VALUE"""),"Nam")</f>
        <v>Nam</v>
      </c>
      <c r="J265" s="24">
        <f>IFERROR(__xludf.DUMMYFUNCTION("""COMPUTED_VALUE"""),33333.0)</f>
        <v>33333</v>
      </c>
      <c r="K265" s="22" t="str">
        <f>IFERROR(__xludf.DUMMYFUNCTION("""COMPUTED_VALUE"""),"Xã Hoằng Trạch - Hoằng Hóa - Thanh Hóa")</f>
        <v>Xã Hoằng Trạch - Hoằng Hóa - Thanh Hóa</v>
      </c>
      <c r="L265" s="22" t="str">
        <f>IFERROR(__xludf.DUMMYFUNCTION("""COMPUTED_VALUE"""),"0963779829")</f>
        <v>0963779829</v>
      </c>
      <c r="M265" s="22" t="str">
        <f>IFERROR(__xludf.DUMMYFUNCTION("""COMPUTED_VALUE"""),"038091050153")</f>
        <v>038091050153</v>
      </c>
      <c r="N265" s="25">
        <f>IFERROR(__xludf.DUMMYFUNCTION("""COMPUTED_VALUE"""),44742.0)</f>
        <v>44742</v>
      </c>
      <c r="O265" s="22" t="str">
        <f>IFERROR(__xludf.DUMMYFUNCTION("""COMPUTED_VALUE"""),"Cục Cảnh sát QLHC về TTXH")</f>
        <v>Cục Cảnh sát QLHC về TTXH</v>
      </c>
      <c r="P265" s="22" t="str">
        <f>IFERROR(__xludf.DUMMYFUNCTION("""COMPUTED_VALUE"""),"Cao đẳng")</f>
        <v>Cao đẳng</v>
      </c>
      <c r="Q265" s="22" t="str">
        <f>IFERROR(__xludf.DUMMYFUNCTION("""COMPUTED_VALUE"""),"Quản lý xây dựng")</f>
        <v>Quản lý xây dựng</v>
      </c>
      <c r="R265" s="24">
        <f>IFERROR(__xludf.DUMMYFUNCTION("""COMPUTED_VALUE"""),41976.0)</f>
        <v>41976</v>
      </c>
      <c r="S265" s="26">
        <f>IFERROR(__xludf.DUMMYFUNCTION("""COMPUTED_VALUE"""),41976.0)</f>
        <v>41976</v>
      </c>
      <c r="T265" s="22" t="str">
        <f>IFERROR(__xludf.DUMMYFUNCTION("""COMPUTED_VALUE"""),"Chính thức")</f>
        <v>Chính thức</v>
      </c>
      <c r="U265" s="22"/>
      <c r="V265" s="22" t="str">
        <f>IFERROR(__xludf.DUMMYFUNCTION("""COMPUTED_VALUE"""),"Chính thức")</f>
        <v>Chính thức</v>
      </c>
      <c r="W265" s="22" t="str">
        <f>IFERROR(__xludf.DUMMYFUNCTION("""COMPUTED_VALUE"""),"11 năm 0 tháng")</f>
        <v>11 năm 0 tháng</v>
      </c>
      <c r="X265" s="22"/>
      <c r="Y265" s="22"/>
      <c r="Z265" s="22"/>
    </row>
    <row r="266">
      <c r="A266" s="22">
        <f>IFERROR(__xludf.DUMMYFUNCTION("""COMPUTED_VALUE"""),6.0)</f>
        <v>6</v>
      </c>
      <c r="B266" s="22" t="str">
        <f>IFERROR(__xludf.DUMMYFUNCTION("""COMPUTED_VALUE"""),"Văn phòng")</f>
        <v>Văn phòng</v>
      </c>
      <c r="C266" s="22" t="str">
        <f>IFERROR(__xludf.DUMMYFUNCTION("""COMPUTED_VALUE"""),"Phòng Kế toán")</f>
        <v>Phòng Kế toán</v>
      </c>
      <c r="D266" s="22" t="str">
        <f>IFERROR(__xludf.DUMMYFUNCTION("""COMPUTED_VALUE"""),"Bộ phận kho vật tư, nguyên nhiên liệu và thành phẩm")</f>
        <v>Bộ phận kho vật tư, nguyên nhiên liệu và thành phẩm</v>
      </c>
      <c r="E266" s="22" t="str">
        <f>IFERROR(__xludf.DUMMYFUNCTION("""COMPUTED_VALUE"""),"Thủ kho thành phẩm phụ trách kho Quảng Hưng - PXSX2")</f>
        <v>Thủ kho thành phẩm phụ trách kho Quảng Hưng - PXSX2</v>
      </c>
      <c r="F266" s="22" t="str">
        <f>IFERROR(__xludf.DUMMYFUNCTION("""COMPUTED_VALUE"""),"NV0007")</f>
        <v>NV0007</v>
      </c>
      <c r="G266" s="22">
        <f>IFERROR(__xludf.DUMMYFUNCTION("""COMPUTED_VALUE"""),75.0)</f>
        <v>75</v>
      </c>
      <c r="H266" s="22" t="str">
        <f>IFERROR(__xludf.DUMMYFUNCTION("""COMPUTED_VALUE"""),"Đỗ Thị Phương")</f>
        <v>Đỗ Thị Phương</v>
      </c>
      <c r="I266" s="22" t="str">
        <f>IFERROR(__xludf.DUMMYFUNCTION("""COMPUTED_VALUE"""),"Nữ")</f>
        <v>Nữ</v>
      </c>
      <c r="J266" s="24">
        <f>IFERROR(__xludf.DUMMYFUNCTION("""COMPUTED_VALUE"""),26623.0)</f>
        <v>26623</v>
      </c>
      <c r="K266" s="22" t="str">
        <f>IFERROR(__xludf.DUMMYFUNCTION("""COMPUTED_VALUE"""),"Hoằng Trạch - Hoằng Hóa - Thanh Hóa")</f>
        <v>Hoằng Trạch - Hoằng Hóa - Thanh Hóa</v>
      </c>
      <c r="L266" s="22" t="str">
        <f>IFERROR(__xludf.DUMMYFUNCTION("""COMPUTED_VALUE"""),"0973954943")</f>
        <v>0973954943</v>
      </c>
      <c r="M266" s="22" t="str">
        <f>IFERROR(__xludf.DUMMYFUNCTION("""COMPUTED_VALUE"""),"038172001972")</f>
        <v>038172001972</v>
      </c>
      <c r="N266" s="25">
        <f>IFERROR(__xludf.DUMMYFUNCTION("""COMPUTED_VALUE"""),42986.0)</f>
        <v>42986</v>
      </c>
      <c r="O266" s="22" t="str">
        <f>IFERROR(__xludf.DUMMYFUNCTION("""COMPUTED_VALUE"""),"Cục Cảnh sát QLHC về TTXH")</f>
        <v>Cục Cảnh sát QLHC về TTXH</v>
      </c>
      <c r="P266" s="22" t="str">
        <f>IFERROR(__xludf.DUMMYFUNCTION("""COMPUTED_VALUE"""),"LĐPT")</f>
        <v>LĐPT</v>
      </c>
      <c r="Q266" s="22" t="str">
        <f>IFERROR(__xludf.DUMMYFUNCTION("""COMPUTED_VALUE"""),"Lao động phổ thông")</f>
        <v>Lao động phổ thông</v>
      </c>
      <c r="R266" s="24">
        <f>IFERROR(__xludf.DUMMYFUNCTION("""COMPUTED_VALUE"""),37347.0)</f>
        <v>37347</v>
      </c>
      <c r="S266" s="26">
        <f>IFERROR(__xludf.DUMMYFUNCTION("""COMPUTED_VALUE"""),41913.0)</f>
        <v>41913</v>
      </c>
      <c r="T266" s="22" t="str">
        <f>IFERROR(__xludf.DUMMYFUNCTION("""COMPUTED_VALUE"""),"Chính thức")</f>
        <v>Chính thức</v>
      </c>
      <c r="U266" s="22"/>
      <c r="V266" s="22" t="str">
        <f>IFERROR(__xludf.DUMMYFUNCTION("""COMPUTED_VALUE"""),"Chính thức")</f>
        <v>Chính thức</v>
      </c>
      <c r="W266" s="22" t="str">
        <f>IFERROR(__xludf.DUMMYFUNCTION("""COMPUTED_VALUE"""),"23 năm 8 tháng")</f>
        <v>23 năm 8 tháng</v>
      </c>
      <c r="X266" s="22"/>
      <c r="Y266" s="22"/>
      <c r="Z266" s="22"/>
    </row>
    <row r="267">
      <c r="A267" s="22">
        <f>IFERROR(__xludf.DUMMYFUNCTION("""COMPUTED_VALUE"""),7.0)</f>
        <v>7</v>
      </c>
      <c r="B267" s="22" t="str">
        <f>IFERROR(__xludf.DUMMYFUNCTION("""COMPUTED_VALUE"""),"Văn phòng")</f>
        <v>Văn phòng</v>
      </c>
      <c r="C267" s="22" t="str">
        <f>IFERROR(__xludf.DUMMYFUNCTION("""COMPUTED_VALUE"""),"Phòng Kế toán")</f>
        <v>Phòng Kế toán</v>
      </c>
      <c r="D267" s="22" t="str">
        <f>IFERROR(__xludf.DUMMYFUNCTION("""COMPUTED_VALUE"""),"Bộ phận kho vật tư, nguyên nhiên liệu và thành phẩm")</f>
        <v>Bộ phận kho vật tư, nguyên nhiên liệu và thành phẩm</v>
      </c>
      <c r="E267" s="22" t="str">
        <f>IFERROR(__xludf.DUMMYFUNCTION("""COMPUTED_VALUE"""),"Thủ kho thành phẩm kho cảng mới")</f>
        <v>Thủ kho thành phẩm kho cảng mới</v>
      </c>
      <c r="F267" s="22" t="str">
        <f>IFERROR(__xludf.DUMMYFUNCTION("""COMPUTED_VALUE"""),"NV0047")</f>
        <v>NV0047</v>
      </c>
      <c r="G267" s="22">
        <f>IFERROR(__xludf.DUMMYFUNCTION("""COMPUTED_VALUE"""),47.0)</f>
        <v>47</v>
      </c>
      <c r="H267" s="22" t="str">
        <f>IFERROR(__xludf.DUMMYFUNCTION("""COMPUTED_VALUE"""),"Bùi Đức Tâm")</f>
        <v>Bùi Đức Tâm</v>
      </c>
      <c r="I267" s="22" t="str">
        <f>IFERROR(__xludf.DUMMYFUNCTION("""COMPUTED_VALUE"""),"Nam")</f>
        <v>Nam</v>
      </c>
      <c r="J267" s="24">
        <f>IFERROR(__xludf.DUMMYFUNCTION("""COMPUTED_VALUE"""),33527.0)</f>
        <v>33527</v>
      </c>
      <c r="K267" s="22" t="str">
        <f>IFERROR(__xludf.DUMMYFUNCTION("""COMPUTED_VALUE"""),"Đường Trần Xuân Soạn, Phường Đông Thọ, Thành phố Thanh Hóa,")</f>
        <v>Đường Trần Xuân Soạn, Phường Đông Thọ, Thành phố Thanh Hóa,</v>
      </c>
      <c r="L267" s="22" t="str">
        <f>IFERROR(__xludf.DUMMYFUNCTION("""COMPUTED_VALUE"""),"0968474024")</f>
        <v>0968474024</v>
      </c>
      <c r="M267" s="22" t="str">
        <f>IFERROR(__xludf.DUMMYFUNCTION("""COMPUTED_VALUE"""),"038091035420")</f>
        <v>038091035420</v>
      </c>
      <c r="N267" s="25">
        <f>IFERROR(__xludf.DUMMYFUNCTION("""COMPUTED_VALUE"""),44419.0)</f>
        <v>44419</v>
      </c>
      <c r="O267" s="22" t="str">
        <f>IFERROR(__xludf.DUMMYFUNCTION("""COMPUTED_VALUE"""),"Cục Cảnh sát QLHC về TTXH")</f>
        <v>Cục Cảnh sát QLHC về TTXH</v>
      </c>
      <c r="P267" s="22" t="str">
        <f>IFERROR(__xludf.DUMMYFUNCTION("""COMPUTED_VALUE"""),"Trung cấp")</f>
        <v>Trung cấp</v>
      </c>
      <c r="Q267" s="22" t="str">
        <f>IFERROR(__xludf.DUMMYFUNCTION("""COMPUTED_VALUE"""),"Điện")</f>
        <v>Điện</v>
      </c>
      <c r="R267" s="24">
        <f>IFERROR(__xludf.DUMMYFUNCTION("""COMPUTED_VALUE"""),41913.0)</f>
        <v>41913</v>
      </c>
      <c r="S267" s="26">
        <f>IFERROR(__xludf.DUMMYFUNCTION("""COMPUTED_VALUE"""),39146.0)</f>
        <v>39146</v>
      </c>
      <c r="T267" s="22" t="str">
        <f>IFERROR(__xludf.DUMMYFUNCTION("""COMPUTED_VALUE"""),"Chính thức")</f>
        <v>Chính thức</v>
      </c>
      <c r="U267" s="22"/>
      <c r="V267" s="22" t="str">
        <f>IFERROR(__xludf.DUMMYFUNCTION("""COMPUTED_VALUE"""),"Chính thức")</f>
        <v>Chính thức</v>
      </c>
      <c r="W267" s="22" t="str">
        <f>IFERROR(__xludf.DUMMYFUNCTION("""COMPUTED_VALUE"""),"11 năm 2 tháng")</f>
        <v>11 năm 2 tháng</v>
      </c>
      <c r="X267" s="22"/>
      <c r="Y267" s="22"/>
      <c r="Z267" s="22"/>
    </row>
    <row r="268">
      <c r="A268" s="22">
        <f>IFERROR(__xludf.DUMMYFUNCTION("""COMPUTED_VALUE"""),8.0)</f>
        <v>8</v>
      </c>
      <c r="B268" s="22" t="str">
        <f>IFERROR(__xludf.DUMMYFUNCTION("""COMPUTED_VALUE"""),"Văn phòng")</f>
        <v>Văn phòng</v>
      </c>
      <c r="C268" s="22" t="str">
        <f>IFERROR(__xludf.DUMMYFUNCTION("""COMPUTED_VALUE"""),"Phòng Kế toán")</f>
        <v>Phòng Kế toán</v>
      </c>
      <c r="D268" s="22" t="str">
        <f>IFERROR(__xludf.DUMMYFUNCTION("""COMPUTED_VALUE"""),"Bộ phận kho vật tư, nguyên nhiên liệu và thành phẩm")</f>
        <v>Bộ phận kho vật tư, nguyên nhiên liệu và thành phẩm</v>
      </c>
      <c r="E268" s="22" t="str">
        <f>IFERROR(__xludf.DUMMYFUNCTION("""COMPUTED_VALUE"""),"Thủ kho vật tư PXSX2")</f>
        <v>Thủ kho vật tư PXSX2</v>
      </c>
      <c r="F268" s="22" t="str">
        <f>IFERROR(__xludf.DUMMYFUNCTION("""COMPUTED_VALUE"""),"NV0139")</f>
        <v>NV0139</v>
      </c>
      <c r="G268" s="22">
        <f>IFERROR(__xludf.DUMMYFUNCTION("""COMPUTED_VALUE"""),103.0)</f>
        <v>103</v>
      </c>
      <c r="H268" s="22" t="str">
        <f>IFERROR(__xludf.DUMMYFUNCTION("""COMPUTED_VALUE"""),"Nguyễn Thị Loan")</f>
        <v>Nguyễn Thị Loan</v>
      </c>
      <c r="I268" s="22" t="str">
        <f>IFERROR(__xludf.DUMMYFUNCTION("""COMPUTED_VALUE"""),"Nữ")</f>
        <v>Nữ</v>
      </c>
      <c r="J268" s="24">
        <f>IFERROR(__xludf.DUMMYFUNCTION("""COMPUTED_VALUE"""),33362.0)</f>
        <v>33362</v>
      </c>
      <c r="K268" s="22" t="str">
        <f>IFERROR(__xludf.DUMMYFUNCTION("""COMPUTED_VALUE"""),"SN 18/16 Lý Nhân Tông - Đông Thọ - Thành Phố Thanh Hóa")</f>
        <v>SN 18/16 Lý Nhân Tông - Đông Thọ - Thành Phố Thanh Hóa</v>
      </c>
      <c r="L268" s="22" t="str">
        <f>IFERROR(__xludf.DUMMYFUNCTION("""COMPUTED_VALUE"""),"0963629840")</f>
        <v>0963629840</v>
      </c>
      <c r="M268" s="22" t="str">
        <f>IFERROR(__xludf.DUMMYFUNCTION("""COMPUTED_VALUE"""),"038191047590")</f>
        <v>038191047590</v>
      </c>
      <c r="N268" s="25">
        <f>IFERROR(__xludf.DUMMYFUNCTION("""COMPUTED_VALUE"""),44375.0)</f>
        <v>44375</v>
      </c>
      <c r="O268" s="22" t="str">
        <f>IFERROR(__xludf.DUMMYFUNCTION("""COMPUTED_VALUE"""),"Cục Cảnh sát QLHC về TTXH")</f>
        <v>Cục Cảnh sát QLHC về TTXH</v>
      </c>
      <c r="P268" s="22" t="str">
        <f>IFERROR(__xludf.DUMMYFUNCTION("""COMPUTED_VALUE"""),"Trung cấp")</f>
        <v>Trung cấp</v>
      </c>
      <c r="Q268" s="22" t="str">
        <f>IFERROR(__xludf.DUMMYFUNCTION("""COMPUTED_VALUE"""),"Kế toán")</f>
        <v>Kế toán</v>
      </c>
      <c r="R268" s="24">
        <f>IFERROR(__xludf.DUMMYFUNCTION("""COMPUTED_VALUE"""),41143.0)</f>
        <v>41143</v>
      </c>
      <c r="S268" s="26">
        <f>IFERROR(__xludf.DUMMYFUNCTION("""COMPUTED_VALUE"""),41143.0)</f>
        <v>41143</v>
      </c>
      <c r="T268" s="22" t="str">
        <f>IFERROR(__xludf.DUMMYFUNCTION("""COMPUTED_VALUE"""),"Chính thức")</f>
        <v>Chính thức</v>
      </c>
      <c r="U268" s="22"/>
      <c r="V268" s="22" t="str">
        <f>IFERROR(__xludf.DUMMYFUNCTION("""COMPUTED_VALUE"""),"Chính thức")</f>
        <v>Chính thức</v>
      </c>
      <c r="W268" s="22" t="str">
        <f>IFERROR(__xludf.DUMMYFUNCTION("""COMPUTED_VALUE"""),"13 năm 4 tháng")</f>
        <v>13 năm 4 tháng</v>
      </c>
      <c r="X268" s="22"/>
      <c r="Y268" s="22"/>
      <c r="Z268" s="22"/>
    </row>
    <row r="269">
      <c r="A269" s="22">
        <f>IFERROR(__xludf.DUMMYFUNCTION("""COMPUTED_VALUE"""),9.0)</f>
        <v>9</v>
      </c>
      <c r="B269" s="22" t="str">
        <f>IFERROR(__xludf.DUMMYFUNCTION("""COMPUTED_VALUE"""),"Văn phòng")</f>
        <v>Văn phòng</v>
      </c>
      <c r="C269" s="22" t="str">
        <f>IFERROR(__xludf.DUMMYFUNCTION("""COMPUTED_VALUE"""),"Phòng Kế toán")</f>
        <v>Phòng Kế toán</v>
      </c>
      <c r="D269" s="22" t="str">
        <f>IFERROR(__xludf.DUMMYFUNCTION("""COMPUTED_VALUE"""),"Bộ phận kho vật tư, nguyên nhiên liệu và thành phẩm")</f>
        <v>Bộ phận kho vật tư, nguyên nhiên liệu và thành phẩm</v>
      </c>
      <c r="E269" s="22" t="str">
        <f>IFERROR(__xludf.DUMMYFUNCTION("""COMPUTED_VALUE"""),"Thủ kho đội xe + Thống kê đội sửa chữa")</f>
        <v>Thủ kho đội xe + Thống kê đội sửa chữa</v>
      </c>
      <c r="F269" s="22" t="str">
        <f>IFERROR(__xludf.DUMMYFUNCTION("""COMPUTED_VALUE"""),"NV0021")</f>
        <v>NV0021</v>
      </c>
      <c r="G269" s="22">
        <f>IFERROR(__xludf.DUMMYFUNCTION("""COMPUTED_VALUE"""),725.0)</f>
        <v>725</v>
      </c>
      <c r="H269" s="22" t="str">
        <f>IFERROR(__xludf.DUMMYFUNCTION("""COMPUTED_VALUE"""),"Nguyễn Thị Hà")</f>
        <v>Nguyễn Thị Hà</v>
      </c>
      <c r="I269" s="22" t="str">
        <f>IFERROR(__xludf.DUMMYFUNCTION("""COMPUTED_VALUE"""),"Nữ")</f>
        <v>Nữ</v>
      </c>
      <c r="J269" s="24">
        <f>IFERROR(__xludf.DUMMYFUNCTION("""COMPUTED_VALUE"""),31904.0)</f>
        <v>31904</v>
      </c>
      <c r="K269" s="22" t="str">
        <f>IFERROR(__xludf.DUMMYFUNCTION("""COMPUTED_VALUE"""),"Thôn Tây Phúc, Xã Hoằng Quỳ, Huyện Hoằng Hóa, Thanh Hóa")</f>
        <v>Thôn Tây Phúc, Xã Hoằng Quỳ, Huyện Hoằng Hóa, Thanh Hóa</v>
      </c>
      <c r="L269" s="22" t="str">
        <f>IFERROR(__xludf.DUMMYFUNCTION("""COMPUTED_VALUE"""),"0943651338")</f>
        <v>0943651338</v>
      </c>
      <c r="M269" s="22" t="str">
        <f>IFERROR(__xludf.DUMMYFUNCTION("""COMPUTED_VALUE"""),"038187052067")</f>
        <v>038187052067</v>
      </c>
      <c r="N269" s="25">
        <f>IFERROR(__xludf.DUMMYFUNCTION("""COMPUTED_VALUE"""),44612.0)</f>
        <v>44612</v>
      </c>
      <c r="O269" s="22" t="str">
        <f>IFERROR(__xludf.DUMMYFUNCTION("""COMPUTED_VALUE"""),"Cục Cảnh sát QLHC về TTXH")</f>
        <v>Cục Cảnh sát QLHC về TTXH</v>
      </c>
      <c r="P269" s="22" t="str">
        <f>IFERROR(__xludf.DUMMYFUNCTION("""COMPUTED_VALUE"""),"Đại học")</f>
        <v>Đại học</v>
      </c>
      <c r="Q269" s="22" t="str">
        <f>IFERROR(__xludf.DUMMYFUNCTION("""COMPUTED_VALUE"""),"Kế toán")</f>
        <v>Kế toán</v>
      </c>
      <c r="R269" s="24">
        <f>IFERROR(__xludf.DUMMYFUNCTION("""COMPUTED_VALUE"""),39519.0)</f>
        <v>39519</v>
      </c>
      <c r="S269" s="26">
        <f>IFERROR(__xludf.DUMMYFUNCTION("""COMPUTED_VALUE"""),39519.0)</f>
        <v>39519</v>
      </c>
      <c r="T269" s="22" t="str">
        <f>IFERROR(__xludf.DUMMYFUNCTION("""COMPUTED_VALUE"""),"Chính thức")</f>
        <v>Chính thức</v>
      </c>
      <c r="U269" s="22"/>
      <c r="V269" s="22" t="str">
        <f>IFERROR(__xludf.DUMMYFUNCTION("""COMPUTED_VALUE"""),"Chính thức")</f>
        <v>Chính thức</v>
      </c>
      <c r="W269" s="22" t="str">
        <f>IFERROR(__xludf.DUMMYFUNCTION("""COMPUTED_VALUE"""),"17 năm 9 tháng")</f>
        <v>17 năm 9 tháng</v>
      </c>
      <c r="X269" s="22"/>
      <c r="Y269" s="22"/>
      <c r="Z269" s="22"/>
    </row>
    <row r="270">
      <c r="A270" s="22">
        <f>IFERROR(__xludf.DUMMYFUNCTION("""COMPUTED_VALUE"""),10.0)</f>
        <v>10</v>
      </c>
      <c r="B270" s="22" t="str">
        <f>IFERROR(__xludf.DUMMYFUNCTION("""COMPUTED_VALUE"""),"Văn phòng")</f>
        <v>Văn phòng</v>
      </c>
      <c r="C270" s="22" t="str">
        <f>IFERROR(__xludf.DUMMYFUNCTION("""COMPUTED_VALUE"""),"Phòng Kế toán")</f>
        <v>Phòng Kế toán</v>
      </c>
      <c r="D270" s="22" t="str">
        <f>IFERROR(__xludf.DUMMYFUNCTION("""COMPUTED_VALUE"""),"Bộ phận kho vật tư, nguyên nhiên liệu và thành phẩm")</f>
        <v>Bộ phận kho vật tư, nguyên nhiên liệu và thành phẩm</v>
      </c>
      <c r="E270" s="22" t="str">
        <f>IFERROR(__xludf.DUMMYFUNCTION("""COMPUTED_VALUE"""),"Thủ kho nguyên liệu")</f>
        <v>Thủ kho nguyên liệu</v>
      </c>
      <c r="F270" s="22" t="str">
        <f>IFERROR(__xludf.DUMMYFUNCTION("""COMPUTED_VALUE"""),"NV4119")</f>
        <v>NV4119</v>
      </c>
      <c r="G270" s="22">
        <f>IFERROR(__xludf.DUMMYFUNCTION("""COMPUTED_VALUE"""),104.0)</f>
        <v>104</v>
      </c>
      <c r="H270" s="22" t="str">
        <f>IFERROR(__xludf.DUMMYFUNCTION("""COMPUTED_VALUE"""),"Hoàng Ngọc Dương")</f>
        <v>Hoàng Ngọc Dương</v>
      </c>
      <c r="I270" s="22" t="str">
        <f>IFERROR(__xludf.DUMMYFUNCTION("""COMPUTED_VALUE"""),"Nam")</f>
        <v>Nam</v>
      </c>
      <c r="J270" s="24">
        <f>IFERROR(__xludf.DUMMYFUNCTION("""COMPUTED_VALUE"""),32319.0)</f>
        <v>32319</v>
      </c>
      <c r="K270" s="22" t="str">
        <f>IFERROR(__xludf.DUMMYFUNCTION("""COMPUTED_VALUE"""),"Xuân Lộc - Triệu Sơn - Thanh Hóa")</f>
        <v>Xuân Lộc - Triệu Sơn - Thanh Hóa</v>
      </c>
      <c r="L270" s="22" t="str">
        <f>IFERROR(__xludf.DUMMYFUNCTION("""COMPUTED_VALUE"""),"0988514413")</f>
        <v>0988514413</v>
      </c>
      <c r="M270" s="22" t="str">
        <f>IFERROR(__xludf.DUMMYFUNCTION("""COMPUTED_VALUE"""),"038088039347")</f>
        <v>038088039347</v>
      </c>
      <c r="N270" s="25">
        <f>IFERROR(__xludf.DUMMYFUNCTION("""COMPUTED_VALUE"""),44389.0)</f>
        <v>44389</v>
      </c>
      <c r="O270" s="22" t="str">
        <f>IFERROR(__xludf.DUMMYFUNCTION("""COMPUTED_VALUE"""),"Cục Cảnh sát QLHC về TTXH")</f>
        <v>Cục Cảnh sát QLHC về TTXH</v>
      </c>
      <c r="P270" s="22" t="str">
        <f>IFERROR(__xludf.DUMMYFUNCTION("""COMPUTED_VALUE"""),"Kỹ sư")</f>
        <v>Kỹ sư</v>
      </c>
      <c r="Q270" s="22" t="str">
        <f>IFERROR(__xludf.DUMMYFUNCTION("""COMPUTED_VALUE"""),"Công nghệ thông tin")</f>
        <v>Công nghệ thông tin</v>
      </c>
      <c r="R270" s="24">
        <f>IFERROR(__xludf.DUMMYFUNCTION("""COMPUTED_VALUE"""),44660.0)</f>
        <v>44660</v>
      </c>
      <c r="S270" s="26">
        <f>IFERROR(__xludf.DUMMYFUNCTION("""COMPUTED_VALUE"""),44660.0)</f>
        <v>44660</v>
      </c>
      <c r="T270" s="22" t="str">
        <f>IFERROR(__xludf.DUMMYFUNCTION("""COMPUTED_VALUE"""),"Chính thức")</f>
        <v>Chính thức</v>
      </c>
      <c r="U270" s="22"/>
      <c r="V270" s="22" t="str">
        <f>IFERROR(__xludf.DUMMYFUNCTION("""COMPUTED_VALUE"""),"Chính thức")</f>
        <v>Chính thức</v>
      </c>
      <c r="W270" s="22" t="str">
        <f>IFERROR(__xludf.DUMMYFUNCTION("""COMPUTED_VALUE"""),"3 năm 8 tháng")</f>
        <v>3 năm 8 tháng</v>
      </c>
      <c r="X270" s="22"/>
      <c r="Y270" s="22"/>
      <c r="Z270" s="22"/>
    </row>
    <row r="271">
      <c r="A271" s="22">
        <f>IFERROR(__xludf.DUMMYFUNCTION("""COMPUTED_VALUE"""),11.0)</f>
        <v>11</v>
      </c>
      <c r="B271" s="22" t="str">
        <f>IFERROR(__xludf.DUMMYFUNCTION("""COMPUTED_VALUE"""),"Văn phòng")</f>
        <v>Văn phòng</v>
      </c>
      <c r="C271" s="22" t="str">
        <f>IFERROR(__xludf.DUMMYFUNCTION("""COMPUTED_VALUE"""),"Phòng Kế toán")</f>
        <v>Phòng Kế toán</v>
      </c>
      <c r="D271" s="22" t="str">
        <f>IFERROR(__xludf.DUMMYFUNCTION("""COMPUTED_VALUE"""),"Bộ phận kho vật tư, nguyên nhiên liệu và thành phẩm")</f>
        <v>Bộ phận kho vật tư, nguyên nhiên liệu và thành phẩm</v>
      </c>
      <c r="E271" s="22" t="str">
        <f>IFERROR(__xludf.DUMMYFUNCTION("""COMPUTED_VALUE"""),"Nhân viên kho Đông Văn")</f>
        <v>Nhân viên kho Đông Văn</v>
      </c>
      <c r="F271" s="22" t="str">
        <f>IFERROR(__xludf.DUMMYFUNCTION("""COMPUTED_VALUE"""),"NV0824")</f>
        <v>NV0824</v>
      </c>
      <c r="G271" s="22"/>
      <c r="H271" s="22" t="str">
        <f>IFERROR(__xludf.DUMMYFUNCTION("""COMPUTED_VALUE"""),"Trần Thị Hiền")</f>
        <v>Trần Thị Hiền</v>
      </c>
      <c r="I271" s="22" t="str">
        <f>IFERROR(__xludf.DUMMYFUNCTION("""COMPUTED_VALUE"""),"Nữ")</f>
        <v>Nữ</v>
      </c>
      <c r="J271" s="24">
        <f>IFERROR(__xludf.DUMMYFUNCTION("""COMPUTED_VALUE"""),30915.0)</f>
        <v>30915</v>
      </c>
      <c r="K271" s="22" t="str">
        <f>IFERROR(__xludf.DUMMYFUNCTION("""COMPUTED_VALUE"""),"Xã Đông Thịnh, Huyện Đông Sơn, Thanh Hóa")</f>
        <v>Xã Đông Thịnh, Huyện Đông Sơn, Thanh Hóa</v>
      </c>
      <c r="L271" s="22" t="str">
        <f>IFERROR(__xludf.DUMMYFUNCTION("""COMPUTED_VALUE"""),"0914509489")</f>
        <v>0914509489</v>
      </c>
      <c r="M271" s="22" t="str">
        <f>IFERROR(__xludf.DUMMYFUNCTION("""COMPUTED_VALUE"""),"038184040553")</f>
        <v>038184040553</v>
      </c>
      <c r="N271" s="25">
        <f>IFERROR(__xludf.DUMMYFUNCTION("""COMPUTED_VALUE"""),44423.0)</f>
        <v>44423</v>
      </c>
      <c r="O271" s="22" t="str">
        <f>IFERROR(__xludf.DUMMYFUNCTION("""COMPUTED_VALUE"""),"Cục Cảnh sát QLHC về TTXH")</f>
        <v>Cục Cảnh sát QLHC về TTXH</v>
      </c>
      <c r="P271" s="22" t="str">
        <f>IFERROR(__xludf.DUMMYFUNCTION("""COMPUTED_VALUE"""),"LĐPT")</f>
        <v>LĐPT</v>
      </c>
      <c r="Q271" s="22" t="str">
        <f>IFERROR(__xludf.DUMMYFUNCTION("""COMPUTED_VALUE"""),"Lao động phổ thông")</f>
        <v>Lao động phổ thông</v>
      </c>
      <c r="R271" s="24">
        <f>IFERROR(__xludf.DUMMYFUNCTION("""COMPUTED_VALUE"""),44775.0)</f>
        <v>44775</v>
      </c>
      <c r="S271" s="26">
        <f>IFERROR(__xludf.DUMMYFUNCTION("""COMPUTED_VALUE"""),44835.0)</f>
        <v>44835</v>
      </c>
      <c r="T271" s="22" t="str">
        <f>IFERROR(__xludf.DUMMYFUNCTION("""COMPUTED_VALUE"""),"Chính thức")</f>
        <v>Chính thức</v>
      </c>
      <c r="U271" s="22"/>
      <c r="V271" s="22" t="str">
        <f>IFERROR(__xludf.DUMMYFUNCTION("""COMPUTED_VALUE"""),"Chính thức")</f>
        <v>Chính thức</v>
      </c>
      <c r="W271" s="22" t="str">
        <f>IFERROR(__xludf.DUMMYFUNCTION("""COMPUTED_VALUE"""),"3 năm 4 tháng")</f>
        <v>3 năm 4 tháng</v>
      </c>
      <c r="X271" s="22"/>
      <c r="Y271" s="22"/>
      <c r="Z271" s="22"/>
    </row>
    <row r="272">
      <c r="A272" s="22">
        <f>IFERROR(__xludf.DUMMYFUNCTION("""COMPUTED_VALUE"""),12.0)</f>
        <v>12</v>
      </c>
      <c r="B272" s="22" t="str">
        <f>IFERROR(__xludf.DUMMYFUNCTION("""COMPUTED_VALUE"""),"Văn phòng")</f>
        <v>Văn phòng</v>
      </c>
      <c r="C272" s="22" t="str">
        <f>IFERROR(__xludf.DUMMYFUNCTION("""COMPUTED_VALUE"""),"Phòng Kế toán")</f>
        <v>Phòng Kế toán</v>
      </c>
      <c r="D272" s="22" t="str">
        <f>IFERROR(__xludf.DUMMYFUNCTION("""COMPUTED_VALUE"""),"Bộ phận kho vật tư, nguyên nhiên liệu và thành phẩm")</f>
        <v>Bộ phận kho vật tư, nguyên nhiên liệu và thành phẩm</v>
      </c>
      <c r="E272" s="22" t="str">
        <f>IFERROR(__xludf.DUMMYFUNCTION("""COMPUTED_VALUE"""),"Thủ kho vật tư PXSX1")</f>
        <v>Thủ kho vật tư PXSX1</v>
      </c>
      <c r="F272" s="22" t="str">
        <f>IFERROR(__xludf.DUMMYFUNCTION("""COMPUTED_VALUE"""),"NV0421")</f>
        <v>NV0421</v>
      </c>
      <c r="G272" s="22">
        <f>IFERROR(__xludf.DUMMYFUNCTION("""COMPUTED_VALUE"""),60.0)</f>
        <v>60</v>
      </c>
      <c r="H272" s="22" t="str">
        <f>IFERROR(__xludf.DUMMYFUNCTION("""COMPUTED_VALUE"""),"Nguyễn Thị Hiền")</f>
        <v>Nguyễn Thị Hiền</v>
      </c>
      <c r="I272" s="22" t="str">
        <f>IFERROR(__xludf.DUMMYFUNCTION("""COMPUTED_VALUE"""),"Nữ")</f>
        <v>Nữ</v>
      </c>
      <c r="J272" s="24">
        <f>IFERROR(__xludf.DUMMYFUNCTION("""COMPUTED_VALUE"""),32472.0)</f>
        <v>32472</v>
      </c>
      <c r="K272" s="22" t="str">
        <f>IFERROR(__xludf.DUMMYFUNCTION("""COMPUTED_VALUE"""),"Thôn Trạch Nhân, Xã Quảng Trạch, Huyện Quảng Xương, Thanh Hóa")</f>
        <v>Thôn Trạch Nhân, Xã Quảng Trạch, Huyện Quảng Xương, Thanh Hóa</v>
      </c>
      <c r="L272" s="22" t="str">
        <f>IFERROR(__xludf.DUMMYFUNCTION("""COMPUTED_VALUE"""),"0976019190")</f>
        <v>0976019190</v>
      </c>
      <c r="M272" s="22" t="str">
        <f>IFERROR(__xludf.DUMMYFUNCTION("""COMPUTED_VALUE"""),"035188040298")</f>
        <v>035188040298</v>
      </c>
      <c r="N272" s="25">
        <f>IFERROR(__xludf.DUMMYFUNCTION("""COMPUTED_VALUE"""),44461.0)</f>
        <v>44461</v>
      </c>
      <c r="O272" s="22" t="str">
        <f>IFERROR(__xludf.DUMMYFUNCTION("""COMPUTED_VALUE"""),"Cục Cảnh sát QLHC về TTXH")</f>
        <v>Cục Cảnh sát QLHC về TTXH</v>
      </c>
      <c r="P272" s="22" t="str">
        <f>IFERROR(__xludf.DUMMYFUNCTION("""COMPUTED_VALUE"""),"Đại học")</f>
        <v>Đại học</v>
      </c>
      <c r="Q272" s="22" t="str">
        <f>IFERROR(__xludf.DUMMYFUNCTION("""COMPUTED_VALUE"""),"Kế toán")</f>
        <v>Kế toán</v>
      </c>
      <c r="R272" s="24">
        <f>IFERROR(__xludf.DUMMYFUNCTION("""COMPUTED_VALUE"""),42005.0)</f>
        <v>42005</v>
      </c>
      <c r="S272" s="26">
        <f>IFERROR(__xludf.DUMMYFUNCTION("""COMPUTED_VALUE"""),42005.0)</f>
        <v>42005</v>
      </c>
      <c r="T272" s="22" t="str">
        <f>IFERROR(__xludf.DUMMYFUNCTION("""COMPUTED_VALUE"""),"Chính thức")</f>
        <v>Chính thức</v>
      </c>
      <c r="U272" s="22"/>
      <c r="V272" s="22" t="str">
        <f>IFERROR(__xludf.DUMMYFUNCTION("""COMPUTED_VALUE"""),"Chính thức")</f>
        <v>Chính thức</v>
      </c>
      <c r="W272" s="22" t="str">
        <f>IFERROR(__xludf.DUMMYFUNCTION("""COMPUTED_VALUE"""),"10 năm 11 tháng")</f>
        <v>10 năm 11 tháng</v>
      </c>
      <c r="X272" s="22"/>
      <c r="Y272" s="22"/>
      <c r="Z272" s="22"/>
    </row>
    <row r="273">
      <c r="A273" s="22">
        <f>IFERROR(__xludf.DUMMYFUNCTION("""COMPUTED_VALUE"""),13.0)</f>
        <v>13</v>
      </c>
      <c r="B273" s="22" t="str">
        <f>IFERROR(__xludf.DUMMYFUNCTION("""COMPUTED_VALUE"""),"Văn phòng")</f>
        <v>Văn phòng</v>
      </c>
      <c r="C273" s="22" t="str">
        <f>IFERROR(__xludf.DUMMYFUNCTION("""COMPUTED_VALUE"""),"Phòng Kế toán")</f>
        <v>Phòng Kế toán</v>
      </c>
      <c r="D273" s="22" t="str">
        <f>IFERROR(__xludf.DUMMYFUNCTION("""COMPUTED_VALUE"""),"Bộ phận kho vật tư, nguyên nhiên liệu và thành phẩm")</f>
        <v>Bộ phận kho vật tư, nguyên nhiên liệu và thành phẩm</v>
      </c>
      <c r="E273" s="22" t="str">
        <f>IFERROR(__xludf.DUMMYFUNCTION("""COMPUTED_VALUE"""),"Thủ kho phụ trách số liệu")</f>
        <v>Thủ kho phụ trách số liệu</v>
      </c>
      <c r="F273" s="22" t="str">
        <f>IFERROR(__xludf.DUMMYFUNCTION("""COMPUTED_VALUE"""),"NV5464")</f>
        <v>NV5464</v>
      </c>
      <c r="G273" s="22">
        <f>IFERROR(__xludf.DUMMYFUNCTION("""COMPUTED_VALUE"""),942.0)</f>
        <v>942</v>
      </c>
      <c r="H273" s="22" t="str">
        <f>IFERROR(__xludf.DUMMYFUNCTION("""COMPUTED_VALUE"""),"Lê Thị Thủy")</f>
        <v>Lê Thị Thủy</v>
      </c>
      <c r="I273" s="22" t="str">
        <f>IFERROR(__xludf.DUMMYFUNCTION("""COMPUTED_VALUE"""),"Nữ")</f>
        <v>Nữ</v>
      </c>
      <c r="J273" s="24">
        <f>IFERROR(__xludf.DUMMYFUNCTION("""COMPUTED_VALUE"""),37359.0)</f>
        <v>37359</v>
      </c>
      <c r="K273" s="22" t="str">
        <f>IFERROR(__xludf.DUMMYFUNCTION("""COMPUTED_VALUE"""),"Xã Hoằng Phong - Huyện Hoằng Hóa - Tỉnh Thanh Hóa")</f>
        <v>Xã Hoằng Phong - Huyện Hoằng Hóa - Tỉnh Thanh Hóa</v>
      </c>
      <c r="L273" s="22" t="str">
        <f>IFERROR(__xludf.DUMMYFUNCTION("""COMPUTED_VALUE"""),"0987769897")</f>
        <v>0987769897</v>
      </c>
      <c r="M273" s="22" t="str">
        <f>IFERROR(__xludf.DUMMYFUNCTION("""COMPUTED_VALUE"""),"038302000079")</f>
        <v>038302000079</v>
      </c>
      <c r="N273" s="25">
        <f>IFERROR(__xludf.DUMMYFUNCTION("""COMPUTED_VALUE"""),44611.0)</f>
        <v>44611</v>
      </c>
      <c r="O273" s="22" t="str">
        <f>IFERROR(__xludf.DUMMYFUNCTION("""COMPUTED_VALUE"""),"Cục Cảnh sát QLHC về TTXH")</f>
        <v>Cục Cảnh sát QLHC về TTXH</v>
      </c>
      <c r="P273" s="22" t="str">
        <f>IFERROR(__xludf.DUMMYFUNCTION("""COMPUTED_VALUE"""),"Đại học")</f>
        <v>Đại học</v>
      </c>
      <c r="Q273" s="22" t="str">
        <f>IFERROR(__xludf.DUMMYFUNCTION("""COMPUTED_VALUE"""),"Quản trị kinh doanh")</f>
        <v>Quản trị kinh doanh</v>
      </c>
      <c r="R273" s="24">
        <f>IFERROR(__xludf.DUMMYFUNCTION("""COMPUTED_VALUE"""),45798.0)</f>
        <v>45798</v>
      </c>
      <c r="S273" s="26">
        <f>IFERROR(__xludf.DUMMYFUNCTION("""COMPUTED_VALUE"""),45829.0)</f>
        <v>45829</v>
      </c>
      <c r="T273" s="22" t="str">
        <f>IFERROR(__xludf.DUMMYFUNCTION("""COMPUTED_VALUE"""),"Chính thức")</f>
        <v>Chính thức</v>
      </c>
      <c r="U273" s="22"/>
      <c r="V273" s="22" t="str">
        <f>IFERROR(__xludf.DUMMYFUNCTION("""COMPUTED_VALUE"""),"Chính thức")</f>
        <v>Chính thức</v>
      </c>
      <c r="W273" s="22" t="str">
        <f>IFERROR(__xludf.DUMMYFUNCTION("""COMPUTED_VALUE"""),"0 năm 7 tháng")</f>
        <v>0 năm 7 tháng</v>
      </c>
      <c r="X273" s="22"/>
      <c r="Y273" s="22"/>
      <c r="Z273" s="22"/>
    </row>
    <row r="274">
      <c r="A274" s="22">
        <f>IFERROR(__xludf.DUMMYFUNCTION("""COMPUTED_VALUE"""),14.0)</f>
        <v>14</v>
      </c>
      <c r="B274" s="22" t="str">
        <f>IFERROR(__xludf.DUMMYFUNCTION("""COMPUTED_VALUE"""),"Văn phòng")</f>
        <v>Văn phòng</v>
      </c>
      <c r="C274" s="22" t="str">
        <f>IFERROR(__xludf.DUMMYFUNCTION("""COMPUTED_VALUE"""),"Phòng Kế toán")</f>
        <v>Phòng Kế toán</v>
      </c>
      <c r="D274" s="22" t="str">
        <f>IFERROR(__xludf.DUMMYFUNCTION("""COMPUTED_VALUE"""),"Bộ phận kho vật tư, nguyên nhiên liệu và thành phẩm")</f>
        <v>Bộ phận kho vật tư, nguyên nhiên liệu và thành phẩm</v>
      </c>
      <c r="E274" s="22" t="str">
        <f>IFERROR(__xludf.DUMMYFUNCTION("""COMPUTED_VALUE"""),"Thủ kho thành phẩm")</f>
        <v>Thủ kho thành phẩm</v>
      </c>
      <c r="F274" s="22" t="str">
        <f>IFERROR(__xludf.DUMMYFUNCTION("""COMPUTED_VALUE"""),"NV0411")</f>
        <v>NV0411</v>
      </c>
      <c r="G274" s="22">
        <f>IFERROR(__xludf.DUMMYFUNCTION("""COMPUTED_VALUE"""),96.0)</f>
        <v>96</v>
      </c>
      <c r="H274" s="22" t="str">
        <f>IFERROR(__xludf.DUMMYFUNCTION("""COMPUTED_VALUE"""),"Phạm Thị Huyền")</f>
        <v>Phạm Thị Huyền</v>
      </c>
      <c r="I274" s="22" t="str">
        <f>IFERROR(__xludf.DUMMYFUNCTION("""COMPUTED_VALUE"""),"Nữ")</f>
        <v>Nữ</v>
      </c>
      <c r="J274" s="24">
        <f>IFERROR(__xludf.DUMMYFUNCTION("""COMPUTED_VALUE"""),28477.0)</f>
        <v>28477</v>
      </c>
      <c r="K274" s="22" t="str">
        <f>IFERROR(__xludf.DUMMYFUNCTION("""COMPUTED_VALUE"""),"Chung cư Đông Bắc 81- Phường Hàm Rồng - Tỉnh Thanh Hóa")</f>
        <v>Chung cư Đông Bắc 81- Phường Hàm Rồng - Tỉnh Thanh Hóa</v>
      </c>
      <c r="L274" s="22" t="str">
        <f>IFERROR(__xludf.DUMMYFUNCTION("""COMPUTED_VALUE"""),"0912983516")</f>
        <v>0912983516</v>
      </c>
      <c r="M274" s="22" t="str">
        <f>IFERROR(__xludf.DUMMYFUNCTION("""COMPUTED_VALUE"""),"038177016974")</f>
        <v>038177016974</v>
      </c>
      <c r="N274" s="25">
        <f>IFERROR(__xludf.DUMMYFUNCTION("""COMPUTED_VALUE"""),44435.0)</f>
        <v>44435</v>
      </c>
      <c r="O274" s="22" t="str">
        <f>IFERROR(__xludf.DUMMYFUNCTION("""COMPUTED_VALUE"""),"Cục Cảnh sát QLHC về TTXH")</f>
        <v>Cục Cảnh sát QLHC về TTXH</v>
      </c>
      <c r="P274" s="22" t="str">
        <f>IFERROR(__xludf.DUMMYFUNCTION("""COMPUTED_VALUE"""),"Trung cấp")</f>
        <v>Trung cấp</v>
      </c>
      <c r="Q274" s="22" t="str">
        <f>IFERROR(__xludf.DUMMYFUNCTION("""COMPUTED_VALUE"""),"Kế toán")</f>
        <v>Kế toán</v>
      </c>
      <c r="R274" s="24">
        <f>IFERROR(__xludf.DUMMYFUNCTION("""COMPUTED_VALUE"""),37090.0)</f>
        <v>37090</v>
      </c>
      <c r="S274" s="26">
        <f>IFERROR(__xludf.DUMMYFUNCTION("""COMPUTED_VALUE"""),37090.0)</f>
        <v>37090</v>
      </c>
      <c r="T274" s="22" t="str">
        <f>IFERROR(__xludf.DUMMYFUNCTION("""COMPUTED_VALUE"""),"Chính thức")</f>
        <v>Chính thức</v>
      </c>
      <c r="U274" s="22"/>
      <c r="V274" s="22" t="str">
        <f>IFERROR(__xludf.DUMMYFUNCTION("""COMPUTED_VALUE"""),"Chính thức")</f>
        <v>Chính thức</v>
      </c>
      <c r="W274" s="22" t="str">
        <f>IFERROR(__xludf.DUMMYFUNCTION("""COMPUTED_VALUE"""),"24 năm 5 tháng")</f>
        <v>24 năm 5 tháng</v>
      </c>
      <c r="X274" s="22"/>
      <c r="Y274" s="22"/>
      <c r="Z274" s="22"/>
    </row>
    <row r="275">
      <c r="A275" s="22">
        <f>IFERROR(__xludf.DUMMYFUNCTION("""COMPUTED_VALUE"""),15.0)</f>
        <v>15</v>
      </c>
      <c r="B275" s="22" t="str">
        <f>IFERROR(__xludf.DUMMYFUNCTION("""COMPUTED_VALUE"""),"Văn phòng")</f>
        <v>Văn phòng</v>
      </c>
      <c r="C275" s="22" t="str">
        <f>IFERROR(__xludf.DUMMYFUNCTION("""COMPUTED_VALUE"""),"Phòng Kế toán")</f>
        <v>Phòng Kế toán</v>
      </c>
      <c r="D275" s="22" t="str">
        <f>IFERROR(__xludf.DUMMYFUNCTION("""COMPUTED_VALUE"""),"Bộ phận kho vật tư, nguyên nhiên liệu và thành phẩm")</f>
        <v>Bộ phận kho vật tư, nguyên nhiên liệu và thành phẩm</v>
      </c>
      <c r="E275" s="22" t="str">
        <f>IFERROR(__xludf.DUMMYFUNCTION("""COMPUTED_VALUE"""),"Thủ kho nguyên liệu")</f>
        <v>Thủ kho nguyên liệu</v>
      </c>
      <c r="F275" s="22" t="str">
        <f>IFERROR(__xludf.DUMMYFUNCTION("""COMPUTED_VALUE"""),"NV2787")</f>
        <v>NV2787</v>
      </c>
      <c r="G275" s="22">
        <f>IFERROR(__xludf.DUMMYFUNCTION("""COMPUTED_VALUE"""),464.0)</f>
        <v>464</v>
      </c>
      <c r="H275" s="22" t="str">
        <f>IFERROR(__xludf.DUMMYFUNCTION("""COMPUTED_VALUE"""),"Lê Văn Thành")</f>
        <v>Lê Văn Thành</v>
      </c>
      <c r="I275" s="22" t="str">
        <f>IFERROR(__xludf.DUMMYFUNCTION("""COMPUTED_VALUE"""),"Nam")</f>
        <v>Nam</v>
      </c>
      <c r="J275" s="24">
        <f>IFERROR(__xludf.DUMMYFUNCTION("""COMPUTED_VALUE"""),32669.0)</f>
        <v>32669</v>
      </c>
      <c r="K275" s="22" t="str">
        <f>IFERROR(__xludf.DUMMYFUNCTION("""COMPUTED_VALUE"""),"14/421/Nguyễn Tĩnh - Phường Hạc Thành - Tỉnh Thanh Hóa")</f>
        <v>14/421/Nguyễn Tĩnh - Phường Hạc Thành - Tỉnh Thanh Hóa</v>
      </c>
      <c r="L275" s="22" t="str">
        <f>IFERROR(__xludf.DUMMYFUNCTION("""COMPUTED_VALUE"""),"0987242300")</f>
        <v>0987242300</v>
      </c>
      <c r="M275" s="22" t="str">
        <f>IFERROR(__xludf.DUMMYFUNCTION("""COMPUTED_VALUE"""),"038089010691")</f>
        <v>038089010691</v>
      </c>
      <c r="N275" s="25">
        <f>IFERROR(__xludf.DUMMYFUNCTION("""COMPUTED_VALUE"""),44778.0)</f>
        <v>44778</v>
      </c>
      <c r="O275" s="22" t="str">
        <f>IFERROR(__xludf.DUMMYFUNCTION("""COMPUTED_VALUE"""),"Cục Cảnh sát QLHC về TTXH")</f>
        <v>Cục Cảnh sát QLHC về TTXH</v>
      </c>
      <c r="P275" s="22" t="str">
        <f>IFERROR(__xludf.DUMMYFUNCTION("""COMPUTED_VALUE"""),"Cao đẳng")</f>
        <v>Cao đẳng</v>
      </c>
      <c r="Q275" s="22" t="str">
        <f>IFERROR(__xludf.DUMMYFUNCTION("""COMPUTED_VALUE"""),"Cao đẳng Kỹ thuật 
hóa học")</f>
        <v>Cao đẳng Kỹ thuật 
hóa học</v>
      </c>
      <c r="R275" s="24">
        <f>IFERROR(__xludf.DUMMYFUNCTION("""COMPUTED_VALUE"""),45913.0)</f>
        <v>45913</v>
      </c>
      <c r="S275" s="26">
        <f>IFERROR(__xludf.DUMMYFUNCTION("""COMPUTED_VALUE"""),45943.0)</f>
        <v>45943</v>
      </c>
      <c r="T275" s="22" t="str">
        <f>IFERROR(__xludf.DUMMYFUNCTION("""COMPUTED_VALUE"""),"Chính thức")</f>
        <v>Chính thức</v>
      </c>
      <c r="U275" s="22"/>
      <c r="V275" s="22" t="str">
        <f>IFERROR(__xludf.DUMMYFUNCTION("""COMPUTED_VALUE"""),"Chính thức")</f>
        <v>Chính thức</v>
      </c>
      <c r="W275" s="22" t="str">
        <f>IFERROR(__xludf.DUMMYFUNCTION("""COMPUTED_VALUE"""),"0 năm 3 tháng")</f>
        <v>0 năm 3 tháng</v>
      </c>
      <c r="X275" s="22"/>
      <c r="Y275" s="22"/>
      <c r="Z275" s="22"/>
    </row>
    <row r="276">
      <c r="A276" s="22">
        <f>IFERROR(__xludf.DUMMYFUNCTION("""COMPUTED_VALUE"""),16.0)</f>
        <v>16</v>
      </c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 t="str">
        <f>IFERROR(__xludf.DUMMYFUNCTION("""COMPUTED_VALUE"""),"c.")</f>
        <v>c.</v>
      </c>
      <c r="B277" s="22" t="str">
        <f>IFERROR(__xludf.DUMMYFUNCTION("""COMPUTED_VALUE"""),"Tổ Kế toán thống kê")</f>
        <v>Tổ Kế toán thống kê</v>
      </c>
      <c r="C277" s="22">
        <f>IFERROR(__xludf.DUMMYFUNCTION("""COMPUTED_VALUE"""),5.0)</f>
        <v>5</v>
      </c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>
        <f>IFERROR(__xludf.DUMMYFUNCTION("""COMPUTED_VALUE"""),1.0)</f>
        <v>1</v>
      </c>
      <c r="B278" s="22" t="str">
        <f>IFERROR(__xludf.DUMMYFUNCTION("""COMPUTED_VALUE"""),"Văn phòng")</f>
        <v>Văn phòng</v>
      </c>
      <c r="C278" s="22" t="str">
        <f>IFERROR(__xludf.DUMMYFUNCTION("""COMPUTED_VALUE"""),"Phòng Kế toán")</f>
        <v>Phòng Kế toán</v>
      </c>
      <c r="D278" s="22" t="str">
        <f>IFERROR(__xludf.DUMMYFUNCTION("""COMPUTED_VALUE"""),"Tổ Kế toán thống kê")</f>
        <v>Tổ Kế toán thống kê</v>
      </c>
      <c r="E278" s="22" t="str">
        <f>IFERROR(__xludf.DUMMYFUNCTION("""COMPUTED_VALUE"""),"Kế toán thống kê PXSX2")</f>
        <v>Kế toán thống kê PXSX2</v>
      </c>
      <c r="F278" s="22" t="str">
        <f>IFERROR(__xludf.DUMMYFUNCTION("""COMPUTED_VALUE"""),"NV0031")</f>
        <v>NV0031</v>
      </c>
      <c r="G278" s="22">
        <f>IFERROR(__xludf.DUMMYFUNCTION("""COMPUTED_VALUE"""),202.0)</f>
        <v>202</v>
      </c>
      <c r="H278" s="22" t="str">
        <f>IFERROR(__xludf.DUMMYFUNCTION("""COMPUTED_VALUE"""),"Nguyễn Thị Luyến")</f>
        <v>Nguyễn Thị Luyến</v>
      </c>
      <c r="I278" s="22" t="str">
        <f>IFERROR(__xludf.DUMMYFUNCTION("""COMPUTED_VALUE"""),"Nữ")</f>
        <v>Nữ</v>
      </c>
      <c r="J278" s="24">
        <f>IFERROR(__xludf.DUMMYFUNCTION("""COMPUTED_VALUE"""),32695.0)</f>
        <v>32695</v>
      </c>
      <c r="K278" s="22" t="str">
        <f>IFERROR(__xludf.DUMMYFUNCTION("""COMPUTED_VALUE"""),"Trung Đình - Xã Lưu Vệ - tỉnh Thanh Hóa")</f>
        <v>Trung Đình - Xã Lưu Vệ - tỉnh Thanh Hóa</v>
      </c>
      <c r="L278" s="22" t="str">
        <f>IFERROR(__xludf.DUMMYFUNCTION("""COMPUTED_VALUE"""),"0961884089")</f>
        <v>0961884089</v>
      </c>
      <c r="M278" s="22" t="str">
        <f>IFERROR(__xludf.DUMMYFUNCTION("""COMPUTED_VALUE"""),"038189007469")</f>
        <v>038189007469</v>
      </c>
      <c r="N278" s="25">
        <f>IFERROR(__xludf.DUMMYFUNCTION("""COMPUTED_VALUE"""),45587.0)</f>
        <v>45587</v>
      </c>
      <c r="O278" s="22" t="str">
        <f>IFERROR(__xludf.DUMMYFUNCTION("""COMPUTED_VALUE"""),"Bộ Công An")</f>
        <v>Bộ Công An</v>
      </c>
      <c r="P278" s="22" t="str">
        <f>IFERROR(__xludf.DUMMYFUNCTION("""COMPUTED_VALUE"""),"Trung cấp")</f>
        <v>Trung cấp</v>
      </c>
      <c r="Q278" s="22" t="str">
        <f>IFERROR(__xludf.DUMMYFUNCTION("""COMPUTED_VALUE"""),"Kế toán thương mại")</f>
        <v>Kế toán thương mại</v>
      </c>
      <c r="R278" s="24">
        <f>IFERROR(__xludf.DUMMYFUNCTION("""COMPUTED_VALUE"""),40605.0)</f>
        <v>40605</v>
      </c>
      <c r="S278" s="26">
        <f>IFERROR(__xludf.DUMMYFUNCTION("""COMPUTED_VALUE"""),40605.0)</f>
        <v>40605</v>
      </c>
      <c r="T278" s="22" t="str">
        <f>IFERROR(__xludf.DUMMYFUNCTION("""COMPUTED_VALUE"""),"Chính thức")</f>
        <v>Chính thức</v>
      </c>
      <c r="U278" s="22"/>
      <c r="V278" s="22" t="str">
        <f>IFERROR(__xludf.DUMMYFUNCTION("""COMPUTED_VALUE"""),"Chính thức")</f>
        <v>Chính thức</v>
      </c>
      <c r="W278" s="22" t="str">
        <f>IFERROR(__xludf.DUMMYFUNCTION("""COMPUTED_VALUE"""),"14 năm 9 tháng")</f>
        <v>14 năm 9 tháng</v>
      </c>
      <c r="X278" s="22"/>
      <c r="Y278" s="22"/>
      <c r="Z278" s="22"/>
    </row>
    <row r="279">
      <c r="A279" s="22">
        <f>IFERROR(__xludf.DUMMYFUNCTION("""COMPUTED_VALUE"""),2.0)</f>
        <v>2</v>
      </c>
      <c r="B279" s="22" t="str">
        <f>IFERROR(__xludf.DUMMYFUNCTION("""COMPUTED_VALUE"""),"Văn phòng")</f>
        <v>Văn phòng</v>
      </c>
      <c r="C279" s="22" t="str">
        <f>IFERROR(__xludf.DUMMYFUNCTION("""COMPUTED_VALUE"""),"Phòng Kế toán")</f>
        <v>Phòng Kế toán</v>
      </c>
      <c r="D279" s="22" t="str">
        <f>IFERROR(__xludf.DUMMYFUNCTION("""COMPUTED_VALUE"""),"Tổ Kế toán thống kê")</f>
        <v>Tổ Kế toán thống kê</v>
      </c>
      <c r="E279" s="22" t="str">
        <f>IFERROR(__xludf.DUMMYFUNCTION("""COMPUTED_VALUE"""),"Kế toán tổng hợp - Thành viên BGĐ PX1")</f>
        <v>Kế toán tổng hợp - Thành viên BGĐ PX1</v>
      </c>
      <c r="F279" s="22" t="str">
        <f>IFERROR(__xludf.DUMMYFUNCTION("""COMPUTED_VALUE"""),"NV0034")</f>
        <v>NV0034</v>
      </c>
      <c r="G279" s="22">
        <f>IFERROR(__xludf.DUMMYFUNCTION("""COMPUTED_VALUE"""),646.0)</f>
        <v>646</v>
      </c>
      <c r="H279" s="22" t="str">
        <f>IFERROR(__xludf.DUMMYFUNCTION("""COMPUTED_VALUE"""),"Hoàng Thị Hằng")</f>
        <v>Hoàng Thị Hằng</v>
      </c>
      <c r="I279" s="22" t="str">
        <f>IFERROR(__xludf.DUMMYFUNCTION("""COMPUTED_VALUE"""),"Nữ")</f>
        <v>Nữ</v>
      </c>
      <c r="J279" s="24">
        <f>IFERROR(__xludf.DUMMYFUNCTION("""COMPUTED_VALUE"""),30822.0)</f>
        <v>30822</v>
      </c>
      <c r="K279" s="22" t="str">
        <f>IFERROR(__xludf.DUMMYFUNCTION("""COMPUTED_VALUE"""),"12/18 Cao Điển - Phường Tân Sơn - Thành Phố Thanh Hóa")</f>
        <v>12/18 Cao Điển - Phường Tân Sơn - Thành Phố Thanh Hóa</v>
      </c>
      <c r="L279" s="22" t="str">
        <f>IFERROR(__xludf.DUMMYFUNCTION("""COMPUTED_VALUE"""),"0969958996")</f>
        <v>0969958996</v>
      </c>
      <c r="M279" s="22" t="str">
        <f>IFERROR(__xludf.DUMMYFUNCTION("""COMPUTED_VALUE"""),"038184034042")</f>
        <v>038184034042</v>
      </c>
      <c r="N279" s="25">
        <f>IFERROR(__xludf.DUMMYFUNCTION("""COMPUTED_VALUE"""),44419.0)</f>
        <v>44419</v>
      </c>
      <c r="O279" s="22" t="str">
        <f>IFERROR(__xludf.DUMMYFUNCTION("""COMPUTED_VALUE"""),"Cục Cảnh sát QLHC về TTXH")</f>
        <v>Cục Cảnh sát QLHC về TTXH</v>
      </c>
      <c r="P279" s="22" t="str">
        <f>IFERROR(__xludf.DUMMYFUNCTION("""COMPUTED_VALUE"""),"Đại học")</f>
        <v>Đại học</v>
      </c>
      <c r="Q279" s="22" t="str">
        <f>IFERROR(__xludf.DUMMYFUNCTION("""COMPUTED_VALUE"""),"Cử nhân kinh tế")</f>
        <v>Cử nhân kinh tế</v>
      </c>
      <c r="R279" s="24">
        <f>IFERROR(__xludf.DUMMYFUNCTION("""COMPUTED_VALUE"""),42702.0)</f>
        <v>42702</v>
      </c>
      <c r="S279" s="26">
        <f>IFERROR(__xludf.DUMMYFUNCTION("""COMPUTED_VALUE"""),42702.0)</f>
        <v>42702</v>
      </c>
      <c r="T279" s="22" t="str">
        <f>IFERROR(__xludf.DUMMYFUNCTION("""COMPUTED_VALUE"""),"Chính thức")</f>
        <v>Chính thức</v>
      </c>
      <c r="U279" s="22"/>
      <c r="V279" s="22" t="str">
        <f>IFERROR(__xludf.DUMMYFUNCTION("""COMPUTED_VALUE"""),"Chính thức")</f>
        <v>Chính thức</v>
      </c>
      <c r="W279" s="22" t="str">
        <f>IFERROR(__xludf.DUMMYFUNCTION("""COMPUTED_VALUE"""),"9 năm 1 tháng")</f>
        <v>9 năm 1 tháng</v>
      </c>
      <c r="X279" s="22"/>
      <c r="Y279" s="22"/>
      <c r="Z279" s="22"/>
    </row>
    <row r="280">
      <c r="A280" s="22">
        <f>IFERROR(__xludf.DUMMYFUNCTION("""COMPUTED_VALUE"""),3.0)</f>
        <v>3</v>
      </c>
      <c r="B280" s="22" t="str">
        <f>IFERROR(__xludf.DUMMYFUNCTION("""COMPUTED_VALUE"""),"Văn phòng")</f>
        <v>Văn phòng</v>
      </c>
      <c r="C280" s="22" t="str">
        <f>IFERROR(__xludf.DUMMYFUNCTION("""COMPUTED_VALUE"""),"Phòng Kế toán")</f>
        <v>Phòng Kế toán</v>
      </c>
      <c r="D280" s="22" t="str">
        <f>IFERROR(__xludf.DUMMYFUNCTION("""COMPUTED_VALUE"""),"Tổ Kế toán thống kê")</f>
        <v>Tổ Kế toán thống kê</v>
      </c>
      <c r="E280" s="22" t="str">
        <f>IFERROR(__xludf.DUMMYFUNCTION("""COMPUTED_VALUE"""),"Kế toán thống kê PXSX1")</f>
        <v>Kế toán thống kê PXSX1</v>
      </c>
      <c r="F280" s="22" t="str">
        <f>IFERROR(__xludf.DUMMYFUNCTION("""COMPUTED_VALUE"""),"NV4200")</f>
        <v>NV4200</v>
      </c>
      <c r="G280" s="22">
        <f>IFERROR(__xludf.DUMMYFUNCTION("""COMPUTED_VALUE"""),268.0)</f>
        <v>268</v>
      </c>
      <c r="H280" s="22" t="str">
        <f>IFERROR(__xludf.DUMMYFUNCTION("""COMPUTED_VALUE"""),"Nguyễn Thị Quỳnh")</f>
        <v>Nguyễn Thị Quỳnh</v>
      </c>
      <c r="I280" s="22" t="str">
        <f>IFERROR(__xludf.DUMMYFUNCTION("""COMPUTED_VALUE"""),"Nữ")</f>
        <v>Nữ</v>
      </c>
      <c r="J280" s="24">
        <f>IFERROR(__xludf.DUMMYFUNCTION("""COMPUTED_VALUE"""),34980.0)</f>
        <v>34980</v>
      </c>
      <c r="K280" s="22" t="str">
        <f>IFERROR(__xludf.DUMMYFUNCTION("""COMPUTED_VALUE"""),"Quảng Chính - Quảng Xương - Thanh Hóa")</f>
        <v>Quảng Chính - Quảng Xương - Thanh Hóa</v>
      </c>
      <c r="L280" s="22" t="str">
        <f>IFERROR(__xludf.DUMMYFUNCTION("""COMPUTED_VALUE"""),"0338399054")</f>
        <v>0338399054</v>
      </c>
      <c r="M280" s="22" t="str">
        <f>IFERROR(__xludf.DUMMYFUNCTION("""COMPUTED_VALUE"""),"038195028077")</f>
        <v>038195028077</v>
      </c>
      <c r="N280" s="25">
        <f>IFERROR(__xludf.DUMMYFUNCTION("""COMPUTED_VALUE"""),44819.0)</f>
        <v>44819</v>
      </c>
      <c r="O280" s="22" t="str">
        <f>IFERROR(__xludf.DUMMYFUNCTION("""COMPUTED_VALUE"""),"Cục Cảnh sát QLHC về TTXH")</f>
        <v>Cục Cảnh sát QLHC về TTXH</v>
      </c>
      <c r="P280" s="22" t="str">
        <f>IFERROR(__xludf.DUMMYFUNCTION("""COMPUTED_VALUE"""),"Kỹ sư")</f>
        <v>Kỹ sư</v>
      </c>
      <c r="Q280" s="22" t="str">
        <f>IFERROR(__xludf.DUMMYFUNCTION("""COMPUTED_VALUE"""),"Kỹ thuật môi trường")</f>
        <v>Kỹ thuật môi trường</v>
      </c>
      <c r="R280" s="24">
        <f>IFERROR(__xludf.DUMMYFUNCTION("""COMPUTED_VALUE"""),44704.0)</f>
        <v>44704</v>
      </c>
      <c r="S280" s="26">
        <f>IFERROR(__xludf.DUMMYFUNCTION("""COMPUTED_VALUE"""),45170.0)</f>
        <v>45170</v>
      </c>
      <c r="T280" s="22" t="str">
        <f>IFERROR(__xludf.DUMMYFUNCTION("""COMPUTED_VALUE"""),"Chính thức")</f>
        <v>Chính thức</v>
      </c>
      <c r="U280" s="22"/>
      <c r="V280" s="22" t="str">
        <f>IFERROR(__xludf.DUMMYFUNCTION("""COMPUTED_VALUE"""),"Chính thức")</f>
        <v>Chính thức</v>
      </c>
      <c r="W280" s="22" t="str">
        <f>IFERROR(__xludf.DUMMYFUNCTION("""COMPUTED_VALUE"""),"3 năm 7 tháng")</f>
        <v>3 năm 7 tháng</v>
      </c>
      <c r="X280" s="22"/>
      <c r="Y280" s="22"/>
      <c r="Z280" s="22"/>
    </row>
    <row r="281">
      <c r="A281" s="22">
        <f>IFERROR(__xludf.DUMMYFUNCTION("""COMPUTED_VALUE"""),4.0)</f>
        <v>4</v>
      </c>
      <c r="B281" s="22" t="str">
        <f>IFERROR(__xludf.DUMMYFUNCTION("""COMPUTED_VALUE"""),"Văn phòng")</f>
        <v>Văn phòng</v>
      </c>
      <c r="C281" s="22" t="str">
        <f>IFERROR(__xludf.DUMMYFUNCTION("""COMPUTED_VALUE"""),"Phòng Kế toán")</f>
        <v>Phòng Kế toán</v>
      </c>
      <c r="D281" s="22" t="str">
        <f>IFERROR(__xludf.DUMMYFUNCTION("""COMPUTED_VALUE"""),"Tổ Kế toán thống kê")</f>
        <v>Tổ Kế toán thống kê</v>
      </c>
      <c r="E281" s="22" t="str">
        <f>IFERROR(__xludf.DUMMYFUNCTION("""COMPUTED_VALUE"""),"Kế toán thống kê PXSX2")</f>
        <v>Kế toán thống kê PXSX2</v>
      </c>
      <c r="F281" s="22" t="str">
        <f>IFERROR(__xludf.DUMMYFUNCTION("""COMPUTED_VALUE"""),"NV0027")</f>
        <v>NV0027</v>
      </c>
      <c r="G281" s="22">
        <f>IFERROR(__xludf.DUMMYFUNCTION("""COMPUTED_VALUE"""),29.0)</f>
        <v>29</v>
      </c>
      <c r="H281" s="22" t="str">
        <f>IFERROR(__xludf.DUMMYFUNCTION("""COMPUTED_VALUE"""),"Trần Thị Hương")</f>
        <v>Trần Thị Hương</v>
      </c>
      <c r="I281" s="22" t="str">
        <f>IFERROR(__xludf.DUMMYFUNCTION("""COMPUTED_VALUE"""),"Nữ")</f>
        <v>Nữ</v>
      </c>
      <c r="J281" s="24">
        <f>IFERROR(__xludf.DUMMYFUNCTION("""COMPUTED_VALUE"""),33056.0)</f>
        <v>33056</v>
      </c>
      <c r="K281" s="22" t="str">
        <f>IFERROR(__xludf.DUMMYFUNCTION("""COMPUTED_VALUE"""),"Thôn Tiến Thắng, Xã Hoằng Châu, Huyện Hoằng Hóa, Tỉnh Thanh Hóa")</f>
        <v>Thôn Tiến Thắng, Xã Hoằng Châu, Huyện Hoằng Hóa, Tỉnh Thanh Hóa</v>
      </c>
      <c r="L281" s="22" t="str">
        <f>IFERROR(__xludf.DUMMYFUNCTION("""COMPUTED_VALUE"""),"0973970132")</f>
        <v>0973970132</v>
      </c>
      <c r="M281" s="22" t="str">
        <f>IFERROR(__xludf.DUMMYFUNCTION("""COMPUTED_VALUE"""),"038190029951")</f>
        <v>038190029951</v>
      </c>
      <c r="N281" s="25">
        <f>IFERROR(__xludf.DUMMYFUNCTION("""COMPUTED_VALUE"""),44715.0)</f>
        <v>44715</v>
      </c>
      <c r="O281" s="22" t="str">
        <f>IFERROR(__xludf.DUMMYFUNCTION("""COMPUTED_VALUE"""),"Cục Cảnh sát QLHC về TTXH")</f>
        <v>Cục Cảnh sát QLHC về TTXH</v>
      </c>
      <c r="P281" s="22" t="str">
        <f>IFERROR(__xludf.DUMMYFUNCTION("""COMPUTED_VALUE"""),"Cao đẳng")</f>
        <v>Cao đẳng</v>
      </c>
      <c r="Q281" s="22" t="str">
        <f>IFERROR(__xludf.DUMMYFUNCTION("""COMPUTED_VALUE"""),"Quản trị kinh doanh")</f>
        <v>Quản trị kinh doanh</v>
      </c>
      <c r="R281" s="24">
        <f>IFERROR(__xludf.DUMMYFUNCTION("""COMPUTED_VALUE"""),44256.0)</f>
        <v>44256</v>
      </c>
      <c r="S281" s="26">
        <f>IFERROR(__xludf.DUMMYFUNCTION("""COMPUTED_VALUE"""),44256.0)</f>
        <v>44256</v>
      </c>
      <c r="T281" s="22" t="str">
        <f>IFERROR(__xludf.DUMMYFUNCTION("""COMPUTED_VALUE"""),"Chính thức")</f>
        <v>Chính thức</v>
      </c>
      <c r="U281" s="22"/>
      <c r="V281" s="22" t="str">
        <f>IFERROR(__xludf.DUMMYFUNCTION("""COMPUTED_VALUE"""),"Chính thức")</f>
        <v>Chính thức</v>
      </c>
      <c r="W281" s="22" t="str">
        <f>IFERROR(__xludf.DUMMYFUNCTION("""COMPUTED_VALUE"""),"4 năm 9 tháng")</f>
        <v>4 năm 9 tháng</v>
      </c>
      <c r="X281" s="22"/>
      <c r="Y281" s="22"/>
      <c r="Z281" s="22"/>
    </row>
    <row r="282">
      <c r="A282" s="22">
        <f>IFERROR(__xludf.DUMMYFUNCTION("""COMPUTED_VALUE"""),5.0)</f>
        <v>5</v>
      </c>
      <c r="B282" s="22" t="str">
        <f>IFERROR(__xludf.DUMMYFUNCTION("""COMPUTED_VALUE"""),"Văn phòng")</f>
        <v>Văn phòng</v>
      </c>
      <c r="C282" s="22" t="str">
        <f>IFERROR(__xludf.DUMMYFUNCTION("""COMPUTED_VALUE"""),"Phòng Kế toán")</f>
        <v>Phòng Kế toán</v>
      </c>
      <c r="D282" s="22" t="str">
        <f>IFERROR(__xludf.DUMMYFUNCTION("""COMPUTED_VALUE"""),"Tổ Kế toán thống kê")</f>
        <v>Tổ Kế toán thống kê</v>
      </c>
      <c r="E282" s="22" t="str">
        <f>IFERROR(__xludf.DUMMYFUNCTION("""COMPUTED_VALUE"""),"Kế toán thống kê PXSX1")</f>
        <v>Kế toán thống kê PXSX1</v>
      </c>
      <c r="F282" s="22" t="str">
        <f>IFERROR(__xludf.DUMMYFUNCTION("""COMPUTED_VALUE"""),"NV0924")</f>
        <v>NV0924</v>
      </c>
      <c r="G282" s="22">
        <f>IFERROR(__xludf.DUMMYFUNCTION("""COMPUTED_VALUE"""),634.0)</f>
        <v>634</v>
      </c>
      <c r="H282" s="22" t="str">
        <f>IFERROR(__xludf.DUMMYFUNCTION("""COMPUTED_VALUE"""),"Phạm Anh Tuấn")</f>
        <v>Phạm Anh Tuấn</v>
      </c>
      <c r="I282" s="22" t="str">
        <f>IFERROR(__xludf.DUMMYFUNCTION("""COMPUTED_VALUE"""),"Nam")</f>
        <v>Nam</v>
      </c>
      <c r="J282" s="24">
        <f>IFERROR(__xludf.DUMMYFUNCTION("""COMPUTED_VALUE"""),31564.0)</f>
        <v>31564</v>
      </c>
      <c r="K282" s="22" t="str">
        <f>IFERROR(__xludf.DUMMYFUNCTION("""COMPUTED_VALUE"""),"Tân Hưng - Xã Lưu Vệ - Tỉnh Thanh Hóa")</f>
        <v>Tân Hưng - Xã Lưu Vệ - Tỉnh Thanh Hóa</v>
      </c>
      <c r="L282" s="22" t="str">
        <f>IFERROR(__xludf.DUMMYFUNCTION("""COMPUTED_VALUE"""),"0912143434")</f>
        <v>0912143434</v>
      </c>
      <c r="M282" s="22" t="str">
        <f>IFERROR(__xludf.DUMMYFUNCTION("""COMPUTED_VALUE"""),"038086003872")</f>
        <v>038086003872</v>
      </c>
      <c r="N282" s="25">
        <f>IFERROR(__xludf.DUMMYFUNCTION("""COMPUTED_VALUE"""),44455.0)</f>
        <v>44455</v>
      </c>
      <c r="O282" s="22" t="str">
        <f>IFERROR(__xludf.DUMMYFUNCTION("""COMPUTED_VALUE"""),"Cục Cảnh sát QLHC về TTXH")</f>
        <v>Cục Cảnh sát QLHC về TTXH</v>
      </c>
      <c r="P282" s="22" t="str">
        <f>IFERROR(__xludf.DUMMYFUNCTION("""COMPUTED_VALUE"""),"Cao đẳng")</f>
        <v>Cao đẳng</v>
      </c>
      <c r="Q282" s="22" t="str">
        <f>IFERROR(__xludf.DUMMYFUNCTION("""COMPUTED_VALUE"""),"Kế toán")</f>
        <v>Kế toán</v>
      </c>
      <c r="R282" s="24">
        <f>IFERROR(__xludf.DUMMYFUNCTION("""COMPUTED_VALUE"""),42844.0)</f>
        <v>42844</v>
      </c>
      <c r="S282" s="26">
        <f>IFERROR(__xludf.DUMMYFUNCTION("""COMPUTED_VALUE"""),43252.0)</f>
        <v>43252</v>
      </c>
      <c r="T282" s="22" t="str">
        <f>IFERROR(__xludf.DUMMYFUNCTION("""COMPUTED_VALUE"""),"Chính thức")</f>
        <v>Chính thức</v>
      </c>
      <c r="U282" s="22"/>
      <c r="V282" s="22" t="str">
        <f>IFERROR(__xludf.DUMMYFUNCTION("""COMPUTED_VALUE"""),"Chính thức")</f>
        <v>Chính thức</v>
      </c>
      <c r="W282" s="22" t="str">
        <f>IFERROR(__xludf.DUMMYFUNCTION("""COMPUTED_VALUE"""),"8 năm 8 tháng")</f>
        <v>8 năm 8 tháng</v>
      </c>
      <c r="X282" s="22"/>
      <c r="Y282" s="22"/>
      <c r="Z282" s="22"/>
    </row>
    <row r="283">
      <c r="A283" s="22">
        <f>IFERROR(__xludf.DUMMYFUNCTION("""COMPUTED_VALUE"""),6.0)</f>
        <v>6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 t="str">
        <f>IFERROR(__xludf.DUMMYFUNCTION("""COMPUTED_VALUE"""),"d.")</f>
        <v>d.</v>
      </c>
      <c r="B284" s="22" t="str">
        <f>IFERROR(__xludf.DUMMYFUNCTION("""COMPUTED_VALUE"""),"Kế toán công nợ và bán hàng")</f>
        <v>Kế toán công nợ và bán hàng</v>
      </c>
      <c r="C284" s="22">
        <f>IFERROR(__xludf.DUMMYFUNCTION("""COMPUTED_VALUE"""),4.0)</f>
        <v>4</v>
      </c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>
        <f>IFERROR(__xludf.DUMMYFUNCTION("""COMPUTED_VALUE"""),1.0)</f>
        <v>1</v>
      </c>
      <c r="B285" s="22" t="str">
        <f>IFERROR(__xludf.DUMMYFUNCTION("""COMPUTED_VALUE"""),"Văn phòng")</f>
        <v>Văn phòng</v>
      </c>
      <c r="C285" s="22" t="str">
        <f>IFERROR(__xludf.DUMMYFUNCTION("""COMPUTED_VALUE"""),"Phòng Kế toán")</f>
        <v>Phòng Kế toán</v>
      </c>
      <c r="D285" s="22" t="str">
        <f>IFERROR(__xludf.DUMMYFUNCTION("""COMPUTED_VALUE"""),"Kế toán công nợ và bán hàng")</f>
        <v>Kế toán công nợ và bán hàng</v>
      </c>
      <c r="E285" s="22" t="str">
        <f>IFERROR(__xludf.DUMMYFUNCTION("""COMPUTED_VALUE"""),"Kế toán bán hàng + Phụ trách công nợ")</f>
        <v>Kế toán bán hàng + Phụ trách công nợ</v>
      </c>
      <c r="F285" s="22" t="str">
        <f>IFERROR(__xludf.DUMMYFUNCTION("""COMPUTED_VALUE"""),"NV0078")</f>
        <v>NV0078</v>
      </c>
      <c r="G285" s="22">
        <f>IFERROR(__xludf.DUMMYFUNCTION("""COMPUTED_VALUE"""),43.0)</f>
        <v>43</v>
      </c>
      <c r="H285" s="22" t="str">
        <f>IFERROR(__xludf.DUMMYFUNCTION("""COMPUTED_VALUE"""),"Phạm Thị Vân")</f>
        <v>Phạm Thị Vân</v>
      </c>
      <c r="I285" s="22" t="str">
        <f>IFERROR(__xludf.DUMMYFUNCTION("""COMPUTED_VALUE"""),"Nữ")</f>
        <v>Nữ</v>
      </c>
      <c r="J285" s="24">
        <f>IFERROR(__xludf.DUMMYFUNCTION("""COMPUTED_VALUE"""),32415.0)</f>
        <v>32415</v>
      </c>
      <c r="K285" s="22" t="str">
        <f>IFERROR(__xludf.DUMMYFUNCTION("""COMPUTED_VALUE"""),"Phòng 305 - Chung Cư Đông Phát - 16 D1 - Phường Đông Vệ - Thành Phố Thanh Hóa")</f>
        <v>Phòng 305 - Chung Cư Đông Phát - 16 D1 - Phường Đông Vệ - Thành Phố Thanh Hóa</v>
      </c>
      <c r="L285" s="22" t="str">
        <f>IFERROR(__xludf.DUMMYFUNCTION("""COMPUTED_VALUE"""),"0932371485")</f>
        <v>0932371485</v>
      </c>
      <c r="M285" s="22" t="str">
        <f>IFERROR(__xludf.DUMMYFUNCTION("""COMPUTED_VALUE"""),"031188011271")</f>
        <v>031188011271</v>
      </c>
      <c r="N285" s="25">
        <f>IFERROR(__xludf.DUMMYFUNCTION("""COMPUTED_VALUE"""),44105.0)</f>
        <v>44105</v>
      </c>
      <c r="O285" s="22" t="str">
        <f>IFERROR(__xludf.DUMMYFUNCTION("""COMPUTED_VALUE"""),"Cục Cảnh sát QLHC về TTXH")</f>
        <v>Cục Cảnh sát QLHC về TTXH</v>
      </c>
      <c r="P285" s="22" t="str">
        <f>IFERROR(__xludf.DUMMYFUNCTION("""COMPUTED_VALUE"""),"Đại học")</f>
        <v>Đại học</v>
      </c>
      <c r="Q285" s="22" t="str">
        <f>IFERROR(__xludf.DUMMYFUNCTION("""COMPUTED_VALUE"""),"Kế toán")</f>
        <v>Kế toán</v>
      </c>
      <c r="R285" s="24">
        <f>IFERROR(__xludf.DUMMYFUNCTION("""COMPUTED_VALUE"""),42151.0)</f>
        <v>42151</v>
      </c>
      <c r="S285" s="26">
        <f>IFERROR(__xludf.DUMMYFUNCTION("""COMPUTED_VALUE"""),42151.0)</f>
        <v>42151</v>
      </c>
      <c r="T285" s="22" t="str">
        <f>IFERROR(__xludf.DUMMYFUNCTION("""COMPUTED_VALUE"""),"Chính thức")</f>
        <v>Chính thức</v>
      </c>
      <c r="U285" s="22"/>
      <c r="V285" s="22" t="str">
        <f>IFERROR(__xludf.DUMMYFUNCTION("""COMPUTED_VALUE"""),"Chính thức")</f>
        <v>Chính thức</v>
      </c>
      <c r="W285" s="22" t="str">
        <f>IFERROR(__xludf.DUMMYFUNCTION("""COMPUTED_VALUE"""),"10 năm 7 tháng")</f>
        <v>10 năm 7 tháng</v>
      </c>
      <c r="X285" s="22"/>
      <c r="Y285" s="22"/>
      <c r="Z285" s="22"/>
    </row>
    <row r="286">
      <c r="A286" s="22">
        <f>IFERROR(__xludf.DUMMYFUNCTION("""COMPUTED_VALUE"""),2.0)</f>
        <v>2</v>
      </c>
      <c r="B286" s="22" t="str">
        <f>IFERROR(__xludf.DUMMYFUNCTION("""COMPUTED_VALUE"""),"Văn phòng")</f>
        <v>Văn phòng</v>
      </c>
      <c r="C286" s="22" t="str">
        <f>IFERROR(__xludf.DUMMYFUNCTION("""COMPUTED_VALUE"""),"Phòng Kế toán")</f>
        <v>Phòng Kế toán</v>
      </c>
      <c r="D286" s="22" t="str">
        <f>IFERROR(__xludf.DUMMYFUNCTION("""COMPUTED_VALUE"""),"Kế toán công nợ và bán hàng")</f>
        <v>Kế toán công nợ và bán hàng</v>
      </c>
      <c r="E286" s="22" t="str">
        <f>IFERROR(__xludf.DUMMYFUNCTION("""COMPUTED_VALUE"""),"Kế toán bán hàng + Phụ trách công nợ")</f>
        <v>Kế toán bán hàng + Phụ trách công nợ</v>
      </c>
      <c r="F286" s="22" t="str">
        <f>IFERROR(__xludf.DUMMYFUNCTION("""COMPUTED_VALUE"""),"NV0037")</f>
        <v>NV0037</v>
      </c>
      <c r="G286" s="22">
        <f>IFERROR(__xludf.DUMMYFUNCTION("""COMPUTED_VALUE"""),48.0)</f>
        <v>48</v>
      </c>
      <c r="H286" s="22" t="str">
        <f>IFERROR(__xludf.DUMMYFUNCTION("""COMPUTED_VALUE"""),"Lê Bật Truật")</f>
        <v>Lê Bật Truật</v>
      </c>
      <c r="I286" s="22" t="str">
        <f>IFERROR(__xludf.DUMMYFUNCTION("""COMPUTED_VALUE"""),"Nam")</f>
        <v>Nam</v>
      </c>
      <c r="J286" s="24">
        <f>IFERROR(__xludf.DUMMYFUNCTION("""COMPUTED_VALUE"""),33704.0)</f>
        <v>33704</v>
      </c>
      <c r="K286" s="22" t="str">
        <f>IFERROR(__xludf.DUMMYFUNCTION("""COMPUTED_VALUE"""),"Thôn Đình Sen, Xã Hoằng Phong, Huyện Hoằng Hóa, Tỉnh Thanh Hóa")</f>
        <v>Thôn Đình Sen, Xã Hoằng Phong, Huyện Hoằng Hóa, Tỉnh Thanh Hóa</v>
      </c>
      <c r="L286" s="22" t="str">
        <f>IFERROR(__xludf.DUMMYFUNCTION("""COMPUTED_VALUE"""),"0373552962")</f>
        <v>0373552962</v>
      </c>
      <c r="M286" s="22" t="str">
        <f>IFERROR(__xludf.DUMMYFUNCTION("""COMPUTED_VALUE"""),"038092019151")</f>
        <v>038092019151</v>
      </c>
      <c r="N286" s="25">
        <f>IFERROR(__xludf.DUMMYFUNCTION("""COMPUTED_VALUE"""),43978.0)</f>
        <v>43978</v>
      </c>
      <c r="O286" s="22" t="str">
        <f>IFERROR(__xludf.DUMMYFUNCTION("""COMPUTED_VALUE"""),"Cục Cảnh sát QLHC về TTXH")</f>
        <v>Cục Cảnh sát QLHC về TTXH</v>
      </c>
      <c r="P286" s="22" t="str">
        <f>IFERROR(__xludf.DUMMYFUNCTION("""COMPUTED_VALUE"""),"Đại học")</f>
        <v>Đại học</v>
      </c>
      <c r="Q286" s="22" t="str">
        <f>IFERROR(__xludf.DUMMYFUNCTION("""COMPUTED_VALUE"""),"Kế toán tổng hợp")</f>
        <v>Kế toán tổng hợp</v>
      </c>
      <c r="R286" s="24">
        <f>IFERROR(__xludf.DUMMYFUNCTION("""COMPUTED_VALUE"""),41915.0)</f>
        <v>41915</v>
      </c>
      <c r="S286" s="26">
        <f>IFERROR(__xludf.DUMMYFUNCTION("""COMPUTED_VALUE"""),41915.0)</f>
        <v>41915</v>
      </c>
      <c r="T286" s="22" t="str">
        <f>IFERROR(__xludf.DUMMYFUNCTION("""COMPUTED_VALUE"""),"Chính thức")</f>
        <v>Chính thức</v>
      </c>
      <c r="U286" s="22"/>
      <c r="V286" s="22" t="str">
        <f>IFERROR(__xludf.DUMMYFUNCTION("""COMPUTED_VALUE"""),"Chính thức")</f>
        <v>Chính thức</v>
      </c>
      <c r="W286" s="22" t="str">
        <f>IFERROR(__xludf.DUMMYFUNCTION("""COMPUTED_VALUE"""),"11 năm 2 tháng")</f>
        <v>11 năm 2 tháng</v>
      </c>
      <c r="X286" s="22"/>
      <c r="Y286" s="22"/>
      <c r="Z286" s="22"/>
    </row>
    <row r="287">
      <c r="A287" s="22">
        <f>IFERROR(__xludf.DUMMYFUNCTION("""COMPUTED_VALUE"""),3.0)</f>
        <v>3</v>
      </c>
      <c r="B287" s="22" t="str">
        <f>IFERROR(__xludf.DUMMYFUNCTION("""COMPUTED_VALUE"""),"Văn phòng")</f>
        <v>Văn phòng</v>
      </c>
      <c r="C287" s="22" t="str">
        <f>IFERROR(__xludf.DUMMYFUNCTION("""COMPUTED_VALUE"""),"Phòng Kế toán")</f>
        <v>Phòng Kế toán</v>
      </c>
      <c r="D287" s="22" t="str">
        <f>IFERROR(__xludf.DUMMYFUNCTION("""COMPUTED_VALUE"""),"Kế toán công nợ và bán hàng")</f>
        <v>Kế toán công nợ và bán hàng</v>
      </c>
      <c r="E287" s="22" t="str">
        <f>IFERROR(__xludf.DUMMYFUNCTION("""COMPUTED_VALUE"""),"Kế toán bán hàng + Phụ trách công nợ")</f>
        <v>Kế toán bán hàng + Phụ trách công nợ</v>
      </c>
      <c r="F287" s="22" t="str">
        <f>IFERROR(__xludf.DUMMYFUNCTION("""COMPUTED_VALUE"""),"NV4081")</f>
        <v>NV4081</v>
      </c>
      <c r="G287" s="22">
        <f>IFERROR(__xludf.DUMMYFUNCTION("""COMPUTED_VALUE"""),46.0)</f>
        <v>46</v>
      </c>
      <c r="H287" s="22" t="str">
        <f>IFERROR(__xludf.DUMMYFUNCTION("""COMPUTED_VALUE"""),"Lê Thị Thanh Thúy")</f>
        <v>Lê Thị Thanh Thúy</v>
      </c>
      <c r="I287" s="22" t="str">
        <f>IFERROR(__xludf.DUMMYFUNCTION("""COMPUTED_VALUE"""),"Nữ")</f>
        <v>Nữ</v>
      </c>
      <c r="J287" s="24">
        <f>IFERROR(__xludf.DUMMYFUNCTION("""COMPUTED_VALUE"""),32805.0)</f>
        <v>32805</v>
      </c>
      <c r="K287" s="22" t="str">
        <f>IFERROR(__xludf.DUMMYFUNCTION("""COMPUTED_VALUE"""),"Lô 129 MB90- Phường Đông Vệ - TP.Thanh Hóa")</f>
        <v>Lô 129 MB90- Phường Đông Vệ - TP.Thanh Hóa</v>
      </c>
      <c r="L287" s="22" t="str">
        <f>IFERROR(__xludf.DUMMYFUNCTION("""COMPUTED_VALUE"""),"0982434952")</f>
        <v>0982434952</v>
      </c>
      <c r="M287" s="22" t="str">
        <f>IFERROR(__xludf.DUMMYFUNCTION("""COMPUTED_VALUE"""),"038189005243")</f>
        <v>038189005243</v>
      </c>
      <c r="N287" s="25">
        <f>IFERROR(__xludf.DUMMYFUNCTION("""COMPUTED_VALUE"""),44375.0)</f>
        <v>44375</v>
      </c>
      <c r="O287" s="22" t="str">
        <f>IFERROR(__xludf.DUMMYFUNCTION("""COMPUTED_VALUE"""),"Cục Cảnh sát QLHC về TTXH")</f>
        <v>Cục Cảnh sát QLHC về TTXH</v>
      </c>
      <c r="P287" s="22" t="str">
        <f>IFERROR(__xludf.DUMMYFUNCTION("""COMPUTED_VALUE"""),"Cử nhân")</f>
        <v>Cử nhân</v>
      </c>
      <c r="Q287" s="22" t="str">
        <f>IFERROR(__xludf.DUMMYFUNCTION("""COMPUTED_VALUE"""),"Kế Toán")</f>
        <v>Kế Toán</v>
      </c>
      <c r="R287" s="24">
        <f>IFERROR(__xludf.DUMMYFUNCTION("""COMPUTED_VALUE"""),44634.0)</f>
        <v>44634</v>
      </c>
      <c r="S287" s="26">
        <f>IFERROR(__xludf.DUMMYFUNCTION("""COMPUTED_VALUE"""),44986.0)</f>
        <v>44986</v>
      </c>
      <c r="T287" s="22" t="str">
        <f>IFERROR(__xludf.DUMMYFUNCTION("""COMPUTED_VALUE"""),"Chính thức")</f>
        <v>Chính thức</v>
      </c>
      <c r="U287" s="22"/>
      <c r="V287" s="22" t="str">
        <f>IFERROR(__xludf.DUMMYFUNCTION("""COMPUTED_VALUE"""),"Chính thức")</f>
        <v>Chính thức</v>
      </c>
      <c r="W287" s="22" t="str">
        <f>IFERROR(__xludf.DUMMYFUNCTION("""COMPUTED_VALUE"""),"3 năm 9 tháng")</f>
        <v>3 năm 9 tháng</v>
      </c>
      <c r="X287" s="22"/>
      <c r="Y287" s="22"/>
      <c r="Z287" s="22"/>
    </row>
    <row r="288">
      <c r="A288" s="22">
        <f>IFERROR(__xludf.DUMMYFUNCTION("""COMPUTED_VALUE"""),4.0)</f>
        <v>4</v>
      </c>
      <c r="B288" s="22" t="str">
        <f>IFERROR(__xludf.DUMMYFUNCTION("""COMPUTED_VALUE"""),"Văn phòng")</f>
        <v>Văn phòng</v>
      </c>
      <c r="C288" s="22" t="str">
        <f>IFERROR(__xludf.DUMMYFUNCTION("""COMPUTED_VALUE"""),"Phòng Kế toán")</f>
        <v>Phòng Kế toán</v>
      </c>
      <c r="D288" s="22" t="str">
        <f>IFERROR(__xludf.DUMMYFUNCTION("""COMPUTED_VALUE"""),"Kế toán công nợ và bán hàng")</f>
        <v>Kế toán công nợ và bán hàng</v>
      </c>
      <c r="E288" s="22" t="str">
        <f>IFERROR(__xludf.DUMMYFUNCTION("""COMPUTED_VALUE"""),"Nhân viên")</f>
        <v>Nhân viên</v>
      </c>
      <c r="F288" s="22" t="str">
        <f>IFERROR(__xludf.DUMMYFUNCTION("""COMPUTED_VALUE"""),"NV1832")</f>
        <v>NV1832</v>
      </c>
      <c r="G288" s="22">
        <f>IFERROR(__xludf.DUMMYFUNCTION("""COMPUTED_VALUE"""),923.0)</f>
        <v>923</v>
      </c>
      <c r="H288" s="22" t="str">
        <f>IFERROR(__xludf.DUMMYFUNCTION("""COMPUTED_VALUE"""),"Lê Thị Lan Anh")</f>
        <v>Lê Thị Lan Anh</v>
      </c>
      <c r="I288" s="22" t="str">
        <f>IFERROR(__xludf.DUMMYFUNCTION("""COMPUTED_VALUE"""),"Nữ")</f>
        <v>Nữ</v>
      </c>
      <c r="J288" s="24">
        <f>IFERROR(__xludf.DUMMYFUNCTION("""COMPUTED_VALUE"""),34125.0)</f>
        <v>34125</v>
      </c>
      <c r="K288" s="22" t="str">
        <f>IFERROR(__xludf.DUMMYFUNCTION("""COMPUTED_VALUE"""),"Thôn Đình Sen -  Xã Hoằng Châu - Tỉnh Thanh Hóa")</f>
        <v>Thôn Đình Sen -  Xã Hoằng Châu - Tỉnh Thanh Hóa</v>
      </c>
      <c r="L288" s="22" t="str">
        <f>IFERROR(__xludf.DUMMYFUNCTION("""COMPUTED_VALUE"""),"0969890135")</f>
        <v>0969890135</v>
      </c>
      <c r="M288" s="22" t="str">
        <f>IFERROR(__xludf.DUMMYFUNCTION("""COMPUTED_VALUE"""),"038193005393")</f>
        <v>038193005393</v>
      </c>
      <c r="N288" s="25">
        <f>IFERROR(__xludf.DUMMYFUNCTION("""COMPUTED_VALUE"""),43055.0)</f>
        <v>43055</v>
      </c>
      <c r="O288" s="22" t="str">
        <f>IFERROR(__xludf.DUMMYFUNCTION("""COMPUTED_VALUE"""),"Cục Cảnh sát QLHC về TTXH")</f>
        <v>Cục Cảnh sát QLHC về TTXH</v>
      </c>
      <c r="P288" s="22" t="str">
        <f>IFERROR(__xludf.DUMMYFUNCTION("""COMPUTED_VALUE"""),"Đại học")</f>
        <v>Đại học</v>
      </c>
      <c r="Q288" s="22" t="str">
        <f>IFERROR(__xludf.DUMMYFUNCTION("""COMPUTED_VALUE"""),"Tài chính ngân hàng")</f>
        <v>Tài chính ngân hàng</v>
      </c>
      <c r="R288" s="24">
        <f>IFERROR(__xludf.DUMMYFUNCTION("""COMPUTED_VALUE"""),45790.0)</f>
        <v>45790</v>
      </c>
      <c r="S288" s="26">
        <f>IFERROR(__xludf.DUMMYFUNCTION("""COMPUTED_VALUE"""),45790.0)</f>
        <v>45790</v>
      </c>
      <c r="T288" s="22" t="str">
        <f>IFERROR(__xludf.DUMMYFUNCTION("""COMPUTED_VALUE"""),"Chính thức")</f>
        <v>Chính thức</v>
      </c>
      <c r="U288" s="22"/>
      <c r="V288" s="22" t="str">
        <f>IFERROR(__xludf.DUMMYFUNCTION("""COMPUTED_VALUE"""),"Chính thức")</f>
        <v>Chính thức</v>
      </c>
      <c r="W288" s="22" t="str">
        <f>IFERROR(__xludf.DUMMYFUNCTION("""COMPUTED_VALUE"""),"0 năm 7 tháng")</f>
        <v>0 năm 7 tháng</v>
      </c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 t="str">
        <f>IFERROR(__xludf.DUMMYFUNCTION("""COMPUTED_VALUE"""),"d.")</f>
        <v>d.</v>
      </c>
      <c r="B290" s="22" t="str">
        <f>IFERROR(__xludf.DUMMYFUNCTION("""COMPUTED_VALUE"""),"Tổ phục vụ xuất hàng")</f>
        <v>Tổ phục vụ xuất hàng</v>
      </c>
      <c r="C290" s="22">
        <f>IFERROR(__xludf.DUMMYFUNCTION("""COMPUTED_VALUE"""),48.0)</f>
        <v>48</v>
      </c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>
        <f>IFERROR(__xludf.DUMMYFUNCTION("""COMPUTED_VALUE"""),1.0)</f>
        <v>1</v>
      </c>
      <c r="B291" s="22" t="str">
        <f>IFERROR(__xludf.DUMMYFUNCTION("""COMPUTED_VALUE"""),"Văn phòng")</f>
        <v>Văn phòng</v>
      </c>
      <c r="C291" s="22" t="str">
        <f>IFERROR(__xludf.DUMMYFUNCTION("""COMPUTED_VALUE"""),"Phòng Kế toán")</f>
        <v>Phòng Kế toán</v>
      </c>
      <c r="D291" s="22" t="str">
        <f>IFERROR(__xludf.DUMMYFUNCTION("""COMPUTED_VALUE"""),"Tổ phục vụ xuất hàng")</f>
        <v>Tổ phục vụ xuất hàng</v>
      </c>
      <c r="E291" s="22" t="str">
        <f>IFERROR(__xludf.DUMMYFUNCTION("""COMPUTED_VALUE"""),"Nhân viên chỉ hàng")</f>
        <v>Nhân viên chỉ hàng</v>
      </c>
      <c r="F291" s="22" t="str">
        <f>IFERROR(__xludf.DUMMYFUNCTION("""COMPUTED_VALUE"""),"NV2312")</f>
        <v>NV2312</v>
      </c>
      <c r="G291" s="22">
        <f>IFERROR(__xludf.DUMMYFUNCTION("""COMPUTED_VALUE"""),59.0)</f>
        <v>59</v>
      </c>
      <c r="H291" s="22" t="str">
        <f>IFERROR(__xludf.DUMMYFUNCTION("""COMPUTED_VALUE"""),"Nguyễn Thị Hà")</f>
        <v>Nguyễn Thị Hà</v>
      </c>
      <c r="I291" s="22" t="str">
        <f>IFERROR(__xludf.DUMMYFUNCTION("""COMPUTED_VALUE"""),"Nữ")</f>
        <v>Nữ</v>
      </c>
      <c r="J291" s="24">
        <f>IFERROR(__xludf.DUMMYFUNCTION("""COMPUTED_VALUE"""),27718.0)</f>
        <v>27718</v>
      </c>
      <c r="K291" s="22" t="str">
        <f>IFERROR(__xludf.DUMMYFUNCTION("""COMPUTED_VALUE"""),"Thôn 8, Xã Hoằng Trạch, Huyện Hoằng Hóa, Thanh Hóa,")</f>
        <v>Thôn 8, Xã Hoằng Trạch, Huyện Hoằng Hóa, Thanh Hóa,</v>
      </c>
      <c r="L291" s="22" t="str">
        <f>IFERROR(__xludf.DUMMYFUNCTION("""COMPUTED_VALUE"""),"0394828895")</f>
        <v>0394828895</v>
      </c>
      <c r="M291" s="22" t="str">
        <f>IFERROR(__xludf.DUMMYFUNCTION("""COMPUTED_VALUE"""),"038175006476")</f>
        <v>038175006476</v>
      </c>
      <c r="N291" s="25">
        <f>IFERROR(__xludf.DUMMYFUNCTION("""COMPUTED_VALUE"""),44419.0)</f>
        <v>44419</v>
      </c>
      <c r="O291" s="22" t="str">
        <f>IFERROR(__xludf.DUMMYFUNCTION("""COMPUTED_VALUE"""),"Cục Cảnh sát QLHC về TTXH")</f>
        <v>Cục Cảnh sát QLHC về TTXH</v>
      </c>
      <c r="P291" s="22" t="str">
        <f>IFERROR(__xludf.DUMMYFUNCTION("""COMPUTED_VALUE"""),"LĐPT")</f>
        <v>LĐPT</v>
      </c>
      <c r="Q291" s="22" t="str">
        <f>IFERROR(__xludf.DUMMYFUNCTION("""COMPUTED_VALUE"""),"Lao động phổ thông")</f>
        <v>Lao động phổ thông</v>
      </c>
      <c r="R291" s="24">
        <f>IFERROR(__xludf.DUMMYFUNCTION("""COMPUTED_VALUE"""),43570.0)</f>
        <v>43570</v>
      </c>
      <c r="S291" s="26">
        <f>IFERROR(__xludf.DUMMYFUNCTION("""COMPUTED_VALUE"""),43570.0)</f>
        <v>43570</v>
      </c>
      <c r="T291" s="22" t="str">
        <f>IFERROR(__xludf.DUMMYFUNCTION("""COMPUTED_VALUE"""),"Chính thức")</f>
        <v>Chính thức</v>
      </c>
      <c r="U291" s="22"/>
      <c r="V291" s="22" t="str">
        <f>IFERROR(__xludf.DUMMYFUNCTION("""COMPUTED_VALUE"""),"Chính thức")</f>
        <v>Chính thức</v>
      </c>
      <c r="W291" s="22" t="str">
        <f>IFERROR(__xludf.DUMMYFUNCTION("""COMPUTED_VALUE"""),"6 năm 8 tháng")</f>
        <v>6 năm 8 tháng</v>
      </c>
      <c r="X291" s="22"/>
      <c r="Y291" s="22"/>
      <c r="Z291" s="22"/>
    </row>
    <row r="292">
      <c r="A292" s="22">
        <f>IFERROR(__xludf.DUMMYFUNCTION("""COMPUTED_VALUE"""),2.0)</f>
        <v>2</v>
      </c>
      <c r="B292" s="22" t="str">
        <f>IFERROR(__xludf.DUMMYFUNCTION("""COMPUTED_VALUE"""),"Văn phòng")</f>
        <v>Văn phòng</v>
      </c>
      <c r="C292" s="22" t="str">
        <f>IFERROR(__xludf.DUMMYFUNCTION("""COMPUTED_VALUE"""),"Phòng Kế toán")</f>
        <v>Phòng Kế toán</v>
      </c>
      <c r="D292" s="22" t="str">
        <f>IFERROR(__xludf.DUMMYFUNCTION("""COMPUTED_VALUE"""),"Tổ phục vụ xuất hàng")</f>
        <v>Tổ phục vụ xuất hàng</v>
      </c>
      <c r="E292" s="22" t="str">
        <f>IFERROR(__xludf.DUMMYFUNCTION("""COMPUTED_VALUE"""),"Nhân viên lái xe chuyển tải")</f>
        <v>Nhân viên lái xe chuyển tải</v>
      </c>
      <c r="F292" s="22" t="str">
        <f>IFERROR(__xludf.DUMMYFUNCTION("""COMPUTED_VALUE"""),"NV4483")</f>
        <v>NV4483</v>
      </c>
      <c r="G292" s="22">
        <f>IFERROR(__xludf.DUMMYFUNCTION("""COMPUTED_VALUE"""),93.0)</f>
        <v>93</v>
      </c>
      <c r="H292" s="22" t="str">
        <f>IFERROR(__xludf.DUMMYFUNCTION("""COMPUTED_VALUE"""),"Trần Trí Cảnh")</f>
        <v>Trần Trí Cảnh</v>
      </c>
      <c r="I292" s="22" t="str">
        <f>IFERROR(__xludf.DUMMYFUNCTION("""COMPUTED_VALUE"""),"Nam")</f>
        <v>Nam</v>
      </c>
      <c r="J292" s="24">
        <f>IFERROR(__xludf.DUMMYFUNCTION("""COMPUTED_VALUE"""),30053.0)</f>
        <v>30053</v>
      </c>
      <c r="K292" s="22" t="str">
        <f>IFERROR(__xludf.DUMMYFUNCTION("""COMPUTED_VALUE"""),"Phường Quảng Tiến, thành phố Sầm Sơn, tỉnh Thanh Hóa")</f>
        <v>Phường Quảng Tiến, thành phố Sầm Sơn, tỉnh Thanh Hóa</v>
      </c>
      <c r="L292" s="22" t="str">
        <f>IFERROR(__xludf.DUMMYFUNCTION("""COMPUTED_VALUE"""),"0987424475")</f>
        <v>0987424475</v>
      </c>
      <c r="M292" s="22" t="str">
        <f>IFERROR(__xludf.DUMMYFUNCTION("""COMPUTED_VALUE"""),"038082035501")</f>
        <v>038082035501</v>
      </c>
      <c r="N292" s="25">
        <f>IFERROR(__xludf.DUMMYFUNCTION("""COMPUTED_VALUE"""),44418.0)</f>
        <v>44418</v>
      </c>
      <c r="O292" s="22" t="str">
        <f>IFERROR(__xludf.DUMMYFUNCTION("""COMPUTED_VALUE"""),"Cục Cảnh sát QLHC về TTXH")</f>
        <v>Cục Cảnh sát QLHC về TTXH</v>
      </c>
      <c r="P292" s="22" t="str">
        <f>IFERROR(__xludf.DUMMYFUNCTION("""COMPUTED_VALUE"""),"Bằng nghề")</f>
        <v>Bằng nghề</v>
      </c>
      <c r="Q292" s="22" t="str">
        <f>IFERROR(__xludf.DUMMYFUNCTION("""COMPUTED_VALUE"""),"Lái xe hạng C")</f>
        <v>Lái xe hạng C</v>
      </c>
      <c r="R292" s="24">
        <f>IFERROR(__xludf.DUMMYFUNCTION("""COMPUTED_VALUE"""),44826.0)</f>
        <v>44826</v>
      </c>
      <c r="S292" s="26">
        <f>IFERROR(__xludf.DUMMYFUNCTION("""COMPUTED_VALUE"""),45292.0)</f>
        <v>45292</v>
      </c>
      <c r="T292" s="22" t="str">
        <f>IFERROR(__xludf.DUMMYFUNCTION("""COMPUTED_VALUE"""),"Chính thức")</f>
        <v>Chính thức</v>
      </c>
      <c r="U292" s="22"/>
      <c r="V292" s="22" t="str">
        <f>IFERROR(__xludf.DUMMYFUNCTION("""COMPUTED_VALUE"""),"Chính thức")</f>
        <v>Chính thức</v>
      </c>
      <c r="W292" s="22" t="str">
        <f>IFERROR(__xludf.DUMMYFUNCTION("""COMPUTED_VALUE"""),"3 năm 3 tháng")</f>
        <v>3 năm 3 tháng</v>
      </c>
      <c r="X292" s="22"/>
      <c r="Y292" s="22"/>
      <c r="Z292" s="22"/>
    </row>
    <row r="293">
      <c r="A293" s="22">
        <f>IFERROR(__xludf.DUMMYFUNCTION("""COMPUTED_VALUE"""),3.0)</f>
        <v>3</v>
      </c>
      <c r="B293" s="22" t="str">
        <f>IFERROR(__xludf.DUMMYFUNCTION("""COMPUTED_VALUE"""),"Văn phòng")</f>
        <v>Văn phòng</v>
      </c>
      <c r="C293" s="22" t="str">
        <f>IFERROR(__xludf.DUMMYFUNCTION("""COMPUTED_VALUE"""),"Phòng Kế toán")</f>
        <v>Phòng Kế toán</v>
      </c>
      <c r="D293" s="22" t="str">
        <f>IFERROR(__xludf.DUMMYFUNCTION("""COMPUTED_VALUE"""),"Tổ phục vụ xuất hàng")</f>
        <v>Tổ phục vụ xuất hàng</v>
      </c>
      <c r="E293" s="22" t="str">
        <f>IFERROR(__xludf.DUMMYFUNCTION("""COMPUTED_VALUE"""),"Nhân viên chỉ hàng")</f>
        <v>Nhân viên chỉ hàng</v>
      </c>
      <c r="F293" s="22" t="str">
        <f>IFERROR(__xludf.DUMMYFUNCTION("""COMPUTED_VALUE"""),"NV0080")</f>
        <v>NV0080</v>
      </c>
      <c r="G293" s="22">
        <f>IFERROR(__xludf.DUMMYFUNCTION("""COMPUTED_VALUE"""),78.0)</f>
        <v>78</v>
      </c>
      <c r="H293" s="22" t="str">
        <f>IFERROR(__xludf.DUMMYFUNCTION("""COMPUTED_VALUE"""),"Lê Thị Ái")</f>
        <v>Lê Thị Ái</v>
      </c>
      <c r="I293" s="22" t="str">
        <f>IFERROR(__xludf.DUMMYFUNCTION("""COMPUTED_VALUE"""),"Nữ")</f>
        <v>Nữ</v>
      </c>
      <c r="J293" s="24">
        <f>IFERROR(__xludf.DUMMYFUNCTION("""COMPUTED_VALUE"""),31050.0)</f>
        <v>31050</v>
      </c>
      <c r="K293" s="22" t="str">
        <f>IFERROR(__xludf.DUMMYFUNCTION("""COMPUTED_VALUE"""),"Xã Hoằng Trạch, Huyện Hoằng Hóa, Tỉnh Thanh Hóa,")</f>
        <v>Xã Hoằng Trạch, Huyện Hoằng Hóa, Tỉnh Thanh Hóa,</v>
      </c>
      <c r="L293" s="22" t="str">
        <f>IFERROR(__xludf.DUMMYFUNCTION("""COMPUTED_VALUE"""),"0965562916")</f>
        <v>0965562916</v>
      </c>
      <c r="M293" s="22" t="str">
        <f>IFERROR(__xludf.DUMMYFUNCTION("""COMPUTED_VALUE"""),"038185020526")</f>
        <v>038185020526</v>
      </c>
      <c r="N293" s="25">
        <f>IFERROR(__xludf.DUMMYFUNCTION("""COMPUTED_VALUE"""),44568.0)</f>
        <v>44568</v>
      </c>
      <c r="O293" s="22" t="str">
        <f>IFERROR(__xludf.DUMMYFUNCTION("""COMPUTED_VALUE"""),"Cục Cảnh sát QLHC về TTXH")</f>
        <v>Cục Cảnh sát QLHC về TTXH</v>
      </c>
      <c r="P293" s="22" t="str">
        <f>IFERROR(__xludf.DUMMYFUNCTION("""COMPUTED_VALUE"""),"LĐPT")</f>
        <v>LĐPT</v>
      </c>
      <c r="Q293" s="22" t="str">
        <f>IFERROR(__xludf.DUMMYFUNCTION("""COMPUTED_VALUE"""),"Lao động phổ thông")</f>
        <v>Lao động phổ thông</v>
      </c>
      <c r="R293" s="24">
        <f>IFERROR(__xludf.DUMMYFUNCTION("""COMPUTED_VALUE"""),37956.0)</f>
        <v>37956</v>
      </c>
      <c r="S293" s="26">
        <f>IFERROR(__xludf.DUMMYFUNCTION("""COMPUTED_VALUE"""),37956.0)</f>
        <v>37956</v>
      </c>
      <c r="T293" s="22" t="str">
        <f>IFERROR(__xludf.DUMMYFUNCTION("""COMPUTED_VALUE"""),"Chính thức")</f>
        <v>Chính thức</v>
      </c>
      <c r="U293" s="22"/>
      <c r="V293" s="22" t="str">
        <f>IFERROR(__xludf.DUMMYFUNCTION("""COMPUTED_VALUE"""),"Chính thức")</f>
        <v>Chính thức</v>
      </c>
      <c r="W293" s="22" t="str">
        <f>IFERROR(__xludf.DUMMYFUNCTION("""COMPUTED_VALUE"""),"22 năm 0 tháng")</f>
        <v>22 năm 0 tháng</v>
      </c>
      <c r="X293" s="22"/>
      <c r="Y293" s="22"/>
      <c r="Z293" s="22"/>
    </row>
    <row r="294">
      <c r="A294" s="22">
        <f>IFERROR(__xludf.DUMMYFUNCTION("""COMPUTED_VALUE"""),4.0)</f>
        <v>4</v>
      </c>
      <c r="B294" s="22" t="str">
        <f>IFERROR(__xludf.DUMMYFUNCTION("""COMPUTED_VALUE"""),"Văn phòng")</f>
        <v>Văn phòng</v>
      </c>
      <c r="C294" s="22" t="str">
        <f>IFERROR(__xludf.DUMMYFUNCTION("""COMPUTED_VALUE"""),"Phòng Kế toán")</f>
        <v>Phòng Kế toán</v>
      </c>
      <c r="D294" s="22" t="str">
        <f>IFERROR(__xludf.DUMMYFUNCTION("""COMPUTED_VALUE"""),"Tổ phục vụ xuất hàng")</f>
        <v>Tổ phục vụ xuất hàng</v>
      </c>
      <c r="E294" s="22" t="str">
        <f>IFERROR(__xludf.DUMMYFUNCTION("""COMPUTED_VALUE"""),"Nhân viên chỉ hàng")</f>
        <v>Nhân viên chỉ hàng</v>
      </c>
      <c r="F294" s="22" t="str">
        <f>IFERROR(__xludf.DUMMYFUNCTION("""COMPUTED_VALUE"""),"NV0082")</f>
        <v>NV0082</v>
      </c>
      <c r="G294" s="22">
        <f>IFERROR(__xludf.DUMMYFUNCTION("""COMPUTED_VALUE"""),754.0)</f>
        <v>754</v>
      </c>
      <c r="H294" s="22" t="str">
        <f>IFERROR(__xludf.DUMMYFUNCTION("""COMPUTED_VALUE"""),"Trần Thị Hà")</f>
        <v>Trần Thị Hà</v>
      </c>
      <c r="I294" s="22" t="str">
        <f>IFERROR(__xludf.DUMMYFUNCTION("""COMPUTED_VALUE"""),"Nữ")</f>
        <v>Nữ</v>
      </c>
      <c r="J294" s="24">
        <f>IFERROR(__xludf.DUMMYFUNCTION("""COMPUTED_VALUE"""),32059.0)</f>
        <v>32059</v>
      </c>
      <c r="K294" s="22" t="str">
        <f>IFERROR(__xludf.DUMMYFUNCTION("""COMPUTED_VALUE"""),"Xã Đông Hải, Thành phố Thanh Hóa")</f>
        <v>Xã Đông Hải, Thành phố Thanh Hóa</v>
      </c>
      <c r="L294" s="22" t="str">
        <f>IFERROR(__xludf.DUMMYFUNCTION("""COMPUTED_VALUE"""),"0362258098")</f>
        <v>0362258098</v>
      </c>
      <c r="M294" s="22" t="str">
        <f>IFERROR(__xludf.DUMMYFUNCTION("""COMPUTED_VALUE"""),"038187009833")</f>
        <v>038187009833</v>
      </c>
      <c r="N294" s="25">
        <f>IFERROR(__xludf.DUMMYFUNCTION("""COMPUTED_VALUE"""),44288.0)</f>
        <v>44288</v>
      </c>
      <c r="O294" s="22" t="str">
        <f>IFERROR(__xludf.DUMMYFUNCTION("""COMPUTED_VALUE"""),"Cục Cảnh sát QLHC về TTXH")</f>
        <v>Cục Cảnh sát QLHC về TTXH</v>
      </c>
      <c r="P294" s="22" t="str">
        <f>IFERROR(__xludf.DUMMYFUNCTION("""COMPUTED_VALUE"""),"LĐPT")</f>
        <v>LĐPT</v>
      </c>
      <c r="Q294" s="22" t="str">
        <f>IFERROR(__xludf.DUMMYFUNCTION("""COMPUTED_VALUE"""),"Lao động phổ thông")</f>
        <v>Lao động phổ thông</v>
      </c>
      <c r="R294" s="24">
        <f>IFERROR(__xludf.DUMMYFUNCTION("""COMPUTED_VALUE"""),38838.0)</f>
        <v>38838</v>
      </c>
      <c r="S294" s="26">
        <f>IFERROR(__xludf.DUMMYFUNCTION("""COMPUTED_VALUE"""),38838.0)</f>
        <v>38838</v>
      </c>
      <c r="T294" s="22" t="str">
        <f>IFERROR(__xludf.DUMMYFUNCTION("""COMPUTED_VALUE"""),"Chính thức")</f>
        <v>Chính thức</v>
      </c>
      <c r="U294" s="22"/>
      <c r="V294" s="22" t="str">
        <f>IFERROR(__xludf.DUMMYFUNCTION("""COMPUTED_VALUE"""),"Chính thức")</f>
        <v>Chính thức</v>
      </c>
      <c r="W294" s="22" t="str">
        <f>IFERROR(__xludf.DUMMYFUNCTION("""COMPUTED_VALUE"""),"19 năm 7 tháng")</f>
        <v>19 năm 7 tháng</v>
      </c>
      <c r="X294" s="22"/>
      <c r="Y294" s="22"/>
      <c r="Z294" s="22"/>
    </row>
    <row r="295">
      <c r="A295" s="22">
        <f>IFERROR(__xludf.DUMMYFUNCTION("""COMPUTED_VALUE"""),5.0)</f>
        <v>5</v>
      </c>
      <c r="B295" s="22" t="str">
        <f>IFERROR(__xludf.DUMMYFUNCTION("""COMPUTED_VALUE"""),"Văn phòng")</f>
        <v>Văn phòng</v>
      </c>
      <c r="C295" s="22" t="str">
        <f>IFERROR(__xludf.DUMMYFUNCTION("""COMPUTED_VALUE"""),"Phòng Kế toán")</f>
        <v>Phòng Kế toán</v>
      </c>
      <c r="D295" s="22" t="str">
        <f>IFERROR(__xludf.DUMMYFUNCTION("""COMPUTED_VALUE"""),"Tổ phục vụ xuất hàng")</f>
        <v>Tổ phục vụ xuất hàng</v>
      </c>
      <c r="E295" s="22" t="str">
        <f>IFERROR(__xludf.DUMMYFUNCTION("""COMPUTED_VALUE"""),"Nhân viên chỉ hàng")</f>
        <v>Nhân viên chỉ hàng</v>
      </c>
      <c r="F295" s="22" t="str">
        <f>IFERROR(__xludf.DUMMYFUNCTION("""COMPUTED_VALUE"""),"NV4191")</f>
        <v>NV4191</v>
      </c>
      <c r="G295" s="22">
        <f>IFERROR(__xludf.DUMMYFUNCTION("""COMPUTED_VALUE"""),139.0)</f>
        <v>139</v>
      </c>
      <c r="H295" s="22" t="str">
        <f>IFERROR(__xludf.DUMMYFUNCTION("""COMPUTED_VALUE"""),"Mai Đình Cường")</f>
        <v>Mai Đình Cường</v>
      </c>
      <c r="I295" s="22" t="str">
        <f>IFERROR(__xludf.DUMMYFUNCTION("""COMPUTED_VALUE"""),"Nam")</f>
        <v>Nam</v>
      </c>
      <c r="J295" s="24">
        <f>IFERROR(__xludf.DUMMYFUNCTION("""COMPUTED_VALUE"""),31542.0)</f>
        <v>31542</v>
      </c>
      <c r="K295" s="22" t="str">
        <f>IFERROR(__xludf.DUMMYFUNCTION("""COMPUTED_VALUE"""),"Thị Trấn Tân Phong - Quảng Xương - Thanh Hóa")</f>
        <v>Thị Trấn Tân Phong - Quảng Xương - Thanh Hóa</v>
      </c>
      <c r="L295" s="22" t="str">
        <f>IFERROR(__xludf.DUMMYFUNCTION("""COMPUTED_VALUE"""),"0394462920")</f>
        <v>0394462920</v>
      </c>
      <c r="M295" s="22" t="str">
        <f>IFERROR(__xludf.DUMMYFUNCTION("""COMPUTED_VALUE"""),"038086047661")</f>
        <v>038086047661</v>
      </c>
      <c r="N295" s="25">
        <f>IFERROR(__xludf.DUMMYFUNCTION("""COMPUTED_VALUE"""),44420.0)</f>
        <v>44420</v>
      </c>
      <c r="O295" s="22" t="str">
        <f>IFERROR(__xludf.DUMMYFUNCTION("""COMPUTED_VALUE"""),"Cục Cảnh sát QLHC về TTXH")</f>
        <v>Cục Cảnh sát QLHC về TTXH</v>
      </c>
      <c r="P295" s="22" t="str">
        <f>IFERROR(__xludf.DUMMYFUNCTION("""COMPUTED_VALUE"""),"LĐPT")</f>
        <v>LĐPT</v>
      </c>
      <c r="Q295" s="22" t="str">
        <f>IFERROR(__xludf.DUMMYFUNCTION("""COMPUTED_VALUE"""),"Lao động phổ thông")</f>
        <v>Lao động phổ thông</v>
      </c>
      <c r="R295" s="24">
        <f>IFERROR(__xludf.DUMMYFUNCTION("""COMPUTED_VALUE"""),44695.0)</f>
        <v>44695</v>
      </c>
      <c r="S295" s="26">
        <f>IFERROR(__xludf.DUMMYFUNCTION("""COMPUTED_VALUE"""),45078.0)</f>
        <v>45078</v>
      </c>
      <c r="T295" s="22" t="str">
        <f>IFERROR(__xludf.DUMMYFUNCTION("""COMPUTED_VALUE"""),"Chính thức")</f>
        <v>Chính thức</v>
      </c>
      <c r="U295" s="22"/>
      <c r="V295" s="22" t="str">
        <f>IFERROR(__xludf.DUMMYFUNCTION("""COMPUTED_VALUE"""),"Chính thức")</f>
        <v>Chính thức</v>
      </c>
      <c r="W295" s="22" t="str">
        <f>IFERROR(__xludf.DUMMYFUNCTION("""COMPUTED_VALUE"""),"3 năm 7 tháng")</f>
        <v>3 năm 7 tháng</v>
      </c>
      <c r="X295" s="22"/>
      <c r="Y295" s="22"/>
      <c r="Z295" s="22"/>
    </row>
    <row r="296">
      <c r="A296" s="22">
        <f>IFERROR(__xludf.DUMMYFUNCTION("""COMPUTED_VALUE"""),6.0)</f>
        <v>6</v>
      </c>
      <c r="B296" s="22" t="str">
        <f>IFERROR(__xludf.DUMMYFUNCTION("""COMPUTED_VALUE"""),"Văn phòng")</f>
        <v>Văn phòng</v>
      </c>
      <c r="C296" s="22" t="str">
        <f>IFERROR(__xludf.DUMMYFUNCTION("""COMPUTED_VALUE"""),"Phòng Kế toán")</f>
        <v>Phòng Kế toán</v>
      </c>
      <c r="D296" s="22" t="str">
        <f>IFERROR(__xludf.DUMMYFUNCTION("""COMPUTED_VALUE"""),"Tổ phục vụ xuất hàng")</f>
        <v>Tổ phục vụ xuất hàng</v>
      </c>
      <c r="E296" s="22" t="str">
        <f>IFERROR(__xludf.DUMMYFUNCTION("""COMPUTED_VALUE"""),"Nhân viên Sơ chế")</f>
        <v>Nhân viên Sơ chế</v>
      </c>
      <c r="F296" s="22" t="str">
        <f>IFERROR(__xludf.DUMMYFUNCTION("""COMPUTED_VALUE"""),"NV0736")</f>
        <v>NV0736</v>
      </c>
      <c r="G296" s="22">
        <f>IFERROR(__xludf.DUMMYFUNCTION("""COMPUTED_VALUE"""),99.0)</f>
        <v>99</v>
      </c>
      <c r="H296" s="22" t="str">
        <f>IFERROR(__xludf.DUMMYFUNCTION("""COMPUTED_VALUE"""),"Hoàng Đức Bình")</f>
        <v>Hoàng Đức Bình</v>
      </c>
      <c r="I296" s="22" t="str">
        <f>IFERROR(__xludf.DUMMYFUNCTION("""COMPUTED_VALUE"""),"Nam")</f>
        <v>Nam</v>
      </c>
      <c r="J296" s="24">
        <f>IFERROR(__xludf.DUMMYFUNCTION("""COMPUTED_VALUE"""),30607.0)</f>
        <v>30607</v>
      </c>
      <c r="K296" s="22" t="str">
        <f>IFERROR(__xludf.DUMMYFUNCTION("""COMPUTED_VALUE"""),"Thiệu Vân - Thiệu Hóa - Thanh Hóa")</f>
        <v>Thiệu Vân - Thiệu Hóa - Thanh Hóa</v>
      </c>
      <c r="L296" s="22" t="str">
        <f>IFERROR(__xludf.DUMMYFUNCTION("""COMPUTED_VALUE"""),"0969698330")</f>
        <v>0969698330</v>
      </c>
      <c r="M296" s="22" t="str">
        <f>IFERROR(__xludf.DUMMYFUNCTION("""COMPUTED_VALUE"""),"038083038153")</f>
        <v>038083038153</v>
      </c>
      <c r="N296" s="25">
        <f>IFERROR(__xludf.DUMMYFUNCTION("""COMPUTED_VALUE"""),44422.0)</f>
        <v>44422</v>
      </c>
      <c r="O296" s="22" t="str">
        <f>IFERROR(__xludf.DUMMYFUNCTION("""COMPUTED_VALUE"""),"Cục Cảnh sát QLHC về TTXH")</f>
        <v>Cục Cảnh sát QLHC về TTXH</v>
      </c>
      <c r="P296" s="22" t="str">
        <f>IFERROR(__xludf.DUMMYFUNCTION("""COMPUTED_VALUE"""),"LĐPT")</f>
        <v>LĐPT</v>
      </c>
      <c r="Q296" s="22" t="str">
        <f>IFERROR(__xludf.DUMMYFUNCTION("""COMPUTED_VALUE"""),"Lao động phổ thông")</f>
        <v>Lao động phổ thông</v>
      </c>
      <c r="R296" s="24">
        <f>IFERROR(__xludf.DUMMYFUNCTION("""COMPUTED_VALUE"""),41951.0)</f>
        <v>41951</v>
      </c>
      <c r="S296" s="26">
        <f>IFERROR(__xludf.DUMMYFUNCTION("""COMPUTED_VALUE"""),41951.0)</f>
        <v>41951</v>
      </c>
      <c r="T296" s="22" t="str">
        <f>IFERROR(__xludf.DUMMYFUNCTION("""COMPUTED_VALUE"""),"Chính thức")</f>
        <v>Chính thức</v>
      </c>
      <c r="U296" s="22"/>
      <c r="V296" s="22" t="str">
        <f>IFERROR(__xludf.DUMMYFUNCTION("""COMPUTED_VALUE"""),"Chính thức")</f>
        <v>Chính thức</v>
      </c>
      <c r="W296" s="22" t="str">
        <f>IFERROR(__xludf.DUMMYFUNCTION("""COMPUTED_VALUE"""),"11 năm 1 tháng")</f>
        <v>11 năm 1 tháng</v>
      </c>
      <c r="X296" s="22"/>
      <c r="Y296" s="22"/>
      <c r="Z296" s="22"/>
    </row>
    <row r="297">
      <c r="A297" s="22">
        <f>IFERROR(__xludf.DUMMYFUNCTION("""COMPUTED_VALUE"""),7.0)</f>
        <v>7</v>
      </c>
      <c r="B297" s="22" t="str">
        <f>IFERROR(__xludf.DUMMYFUNCTION("""COMPUTED_VALUE"""),"Văn phòng")</f>
        <v>Văn phòng</v>
      </c>
      <c r="C297" s="22" t="str">
        <f>IFERROR(__xludf.DUMMYFUNCTION("""COMPUTED_VALUE"""),"Phòng Kế toán")</f>
        <v>Phòng Kế toán</v>
      </c>
      <c r="D297" s="22" t="str">
        <f>IFERROR(__xludf.DUMMYFUNCTION("""COMPUTED_VALUE"""),"Tổ phục vụ xuất hàng")</f>
        <v>Tổ phục vụ xuất hàng</v>
      </c>
      <c r="E297" s="22" t="str">
        <f>IFERROR(__xludf.DUMMYFUNCTION("""COMPUTED_VALUE"""),"Nhân viên Sơ chế")</f>
        <v>Nhân viên Sơ chế</v>
      </c>
      <c r="F297" s="22" t="str">
        <f>IFERROR(__xludf.DUMMYFUNCTION("""COMPUTED_VALUE"""),"NV0737")</f>
        <v>NV0737</v>
      </c>
      <c r="G297" s="22">
        <f>IFERROR(__xludf.DUMMYFUNCTION("""COMPUTED_VALUE"""),98.0)</f>
        <v>98</v>
      </c>
      <c r="H297" s="22" t="str">
        <f>IFERROR(__xludf.DUMMYFUNCTION("""COMPUTED_VALUE"""),"Hoàng Đức Minh")</f>
        <v>Hoàng Đức Minh</v>
      </c>
      <c r="I297" s="22" t="str">
        <f>IFERROR(__xludf.DUMMYFUNCTION("""COMPUTED_VALUE"""),"Nam")</f>
        <v>Nam</v>
      </c>
      <c r="J297" s="24">
        <f>IFERROR(__xludf.DUMMYFUNCTION("""COMPUTED_VALUE"""),28873.0)</f>
        <v>28873</v>
      </c>
      <c r="K297" s="22" t="str">
        <f>IFERROR(__xludf.DUMMYFUNCTION("""COMPUTED_VALUE"""),"Hải Ninh - tĩnh Gia - Thanh Hóa")</f>
        <v>Hải Ninh - tĩnh Gia - Thanh Hóa</v>
      </c>
      <c r="L297" s="22" t="str">
        <f>IFERROR(__xludf.DUMMYFUNCTION("""COMPUTED_VALUE"""),"0977585834")</f>
        <v>0977585834</v>
      </c>
      <c r="M297" s="22" t="str">
        <f>IFERROR(__xludf.DUMMYFUNCTION("""COMPUTED_VALUE"""),"038079007020")</f>
        <v>038079007020</v>
      </c>
      <c r="N297" s="25">
        <f>IFERROR(__xludf.DUMMYFUNCTION("""COMPUTED_VALUE"""),44753.0)</f>
        <v>44753</v>
      </c>
      <c r="O297" s="22" t="str">
        <f>IFERROR(__xludf.DUMMYFUNCTION("""COMPUTED_VALUE"""),"Cục Cảnh sát QLHC về TTXH")</f>
        <v>Cục Cảnh sát QLHC về TTXH</v>
      </c>
      <c r="P297" s="22" t="str">
        <f>IFERROR(__xludf.DUMMYFUNCTION("""COMPUTED_VALUE"""),"LĐPT")</f>
        <v>LĐPT</v>
      </c>
      <c r="Q297" s="22" t="str">
        <f>IFERROR(__xludf.DUMMYFUNCTION("""COMPUTED_VALUE"""),"Lao động phổ thông")</f>
        <v>Lao động phổ thông</v>
      </c>
      <c r="R297" s="24">
        <f>IFERROR(__xludf.DUMMYFUNCTION("""COMPUTED_VALUE"""),41948.0)</f>
        <v>41948</v>
      </c>
      <c r="S297" s="26">
        <f>IFERROR(__xludf.DUMMYFUNCTION("""COMPUTED_VALUE"""),41948.0)</f>
        <v>41948</v>
      </c>
      <c r="T297" s="22" t="str">
        <f>IFERROR(__xludf.DUMMYFUNCTION("""COMPUTED_VALUE"""),"Chính thức")</f>
        <v>Chính thức</v>
      </c>
      <c r="U297" s="22"/>
      <c r="V297" s="22" t="str">
        <f>IFERROR(__xludf.DUMMYFUNCTION("""COMPUTED_VALUE"""),"Chính thức")</f>
        <v>Chính thức</v>
      </c>
      <c r="W297" s="22" t="str">
        <f>IFERROR(__xludf.DUMMYFUNCTION("""COMPUTED_VALUE"""),"11 năm 1 tháng")</f>
        <v>11 năm 1 tháng</v>
      </c>
      <c r="X297" s="22"/>
      <c r="Y297" s="22"/>
      <c r="Z297" s="22"/>
    </row>
    <row r="298">
      <c r="A298" s="22">
        <f>IFERROR(__xludf.DUMMYFUNCTION("""COMPUTED_VALUE"""),8.0)</f>
        <v>8</v>
      </c>
      <c r="B298" s="22" t="str">
        <f>IFERROR(__xludf.DUMMYFUNCTION("""COMPUTED_VALUE"""),"Văn phòng")</f>
        <v>Văn phòng</v>
      </c>
      <c r="C298" s="22" t="str">
        <f>IFERROR(__xludf.DUMMYFUNCTION("""COMPUTED_VALUE"""),"Phòng Kế toán")</f>
        <v>Phòng Kế toán</v>
      </c>
      <c r="D298" s="22" t="str">
        <f>IFERROR(__xludf.DUMMYFUNCTION("""COMPUTED_VALUE"""),"Tổ phục vụ xuất hàng")</f>
        <v>Tổ phục vụ xuất hàng</v>
      </c>
      <c r="E298" s="22" t="str">
        <f>IFERROR(__xludf.DUMMYFUNCTION("""COMPUTED_VALUE"""),"Nhân viên Sơ chế")</f>
        <v>Nhân viên Sơ chế</v>
      </c>
      <c r="F298" s="22" t="str">
        <f>IFERROR(__xludf.DUMMYFUNCTION("""COMPUTED_VALUE"""),"NV0734")</f>
        <v>NV0734</v>
      </c>
      <c r="G298" s="22">
        <f>IFERROR(__xludf.DUMMYFUNCTION("""COMPUTED_VALUE"""),88.0)</f>
        <v>88</v>
      </c>
      <c r="H298" s="22" t="str">
        <f>IFERROR(__xludf.DUMMYFUNCTION("""COMPUTED_VALUE"""),"Nguyễn Thị Thủy")</f>
        <v>Nguyễn Thị Thủy</v>
      </c>
      <c r="I298" s="22" t="str">
        <f>IFERROR(__xludf.DUMMYFUNCTION("""COMPUTED_VALUE"""),"Nữ")</f>
        <v>Nữ</v>
      </c>
      <c r="J298" s="24">
        <f>IFERROR(__xludf.DUMMYFUNCTION("""COMPUTED_VALUE"""),29178.0)</f>
        <v>29178</v>
      </c>
      <c r="K298" s="22" t="str">
        <f>IFERROR(__xludf.DUMMYFUNCTION("""COMPUTED_VALUE"""),"Đội 6 - Hoằng Trạch - Hoằng Hóa - Thanh Hóa")</f>
        <v>Đội 6 - Hoằng Trạch - Hoằng Hóa - Thanh Hóa</v>
      </c>
      <c r="L298" s="22" t="str">
        <f>IFERROR(__xludf.DUMMYFUNCTION("""COMPUTED_VALUE"""),"0347008277")</f>
        <v>0347008277</v>
      </c>
      <c r="M298" s="22" t="str">
        <f>IFERROR(__xludf.DUMMYFUNCTION("""COMPUTED_VALUE"""),"038179010610")</f>
        <v>038179010610</v>
      </c>
      <c r="N298" s="25">
        <f>IFERROR(__xludf.DUMMYFUNCTION("""COMPUTED_VALUE"""),44325.0)</f>
        <v>44325</v>
      </c>
      <c r="O298" s="22" t="str">
        <f>IFERROR(__xludf.DUMMYFUNCTION("""COMPUTED_VALUE"""),"Cục Cảnh sát QLHC về TTXH")</f>
        <v>Cục Cảnh sát QLHC về TTXH</v>
      </c>
      <c r="P298" s="22" t="str">
        <f>IFERROR(__xludf.DUMMYFUNCTION("""COMPUTED_VALUE"""),"LĐPT")</f>
        <v>LĐPT</v>
      </c>
      <c r="Q298" s="22" t="str">
        <f>IFERROR(__xludf.DUMMYFUNCTION("""COMPUTED_VALUE"""),"Lao động phổ thông")</f>
        <v>Lao động phổ thông</v>
      </c>
      <c r="R298" s="24">
        <f>IFERROR(__xludf.DUMMYFUNCTION("""COMPUTED_VALUE"""),39563.0)</f>
        <v>39563</v>
      </c>
      <c r="S298" s="26">
        <f>IFERROR(__xludf.DUMMYFUNCTION("""COMPUTED_VALUE"""),39563.0)</f>
        <v>39563</v>
      </c>
      <c r="T298" s="22" t="str">
        <f>IFERROR(__xludf.DUMMYFUNCTION("""COMPUTED_VALUE"""),"Chính thức")</f>
        <v>Chính thức</v>
      </c>
      <c r="U298" s="22"/>
      <c r="V298" s="22" t="str">
        <f>IFERROR(__xludf.DUMMYFUNCTION("""COMPUTED_VALUE"""),"Chính thức")</f>
        <v>Chính thức</v>
      </c>
      <c r="W298" s="22" t="str">
        <f>IFERROR(__xludf.DUMMYFUNCTION("""COMPUTED_VALUE"""),"17 năm 8 tháng")</f>
        <v>17 năm 8 tháng</v>
      </c>
      <c r="X298" s="22"/>
      <c r="Y298" s="22"/>
      <c r="Z298" s="22"/>
    </row>
    <row r="299">
      <c r="A299" s="22">
        <f>IFERROR(__xludf.DUMMYFUNCTION("""COMPUTED_VALUE"""),9.0)</f>
        <v>9</v>
      </c>
      <c r="B299" s="22" t="str">
        <f>IFERROR(__xludf.DUMMYFUNCTION("""COMPUTED_VALUE"""),"Văn phòng")</f>
        <v>Văn phòng</v>
      </c>
      <c r="C299" s="22" t="str">
        <f>IFERROR(__xludf.DUMMYFUNCTION("""COMPUTED_VALUE"""),"Phòng Kế toán")</f>
        <v>Phòng Kế toán</v>
      </c>
      <c r="D299" s="22" t="str">
        <f>IFERROR(__xludf.DUMMYFUNCTION("""COMPUTED_VALUE"""),"Tổ phục vụ xuất hàng")</f>
        <v>Tổ phục vụ xuất hàng</v>
      </c>
      <c r="E299" s="22" t="str">
        <f>IFERROR(__xludf.DUMMYFUNCTION("""COMPUTED_VALUE"""),"Nhóm trưởng Sơ chế - VSCN")</f>
        <v>Nhóm trưởng Sơ chế - VSCN</v>
      </c>
      <c r="F299" s="22" t="str">
        <f>IFERROR(__xludf.DUMMYFUNCTION("""COMPUTED_VALUE"""),"NV0625")</f>
        <v>NV0625</v>
      </c>
      <c r="G299" s="22">
        <f>IFERROR(__xludf.DUMMYFUNCTION("""COMPUTED_VALUE"""),94.0)</f>
        <v>94</v>
      </c>
      <c r="H299" s="22" t="str">
        <f>IFERROR(__xludf.DUMMYFUNCTION("""COMPUTED_VALUE"""),"Lê Huy Thạch")</f>
        <v>Lê Huy Thạch</v>
      </c>
      <c r="I299" s="22" t="str">
        <f>IFERROR(__xludf.DUMMYFUNCTION("""COMPUTED_VALUE"""),"Nam")</f>
        <v>Nam</v>
      </c>
      <c r="J299" s="24">
        <f>IFERROR(__xludf.DUMMYFUNCTION("""COMPUTED_VALUE"""),30688.0)</f>
        <v>30688</v>
      </c>
      <c r="K299" s="22" t="str">
        <f>IFERROR(__xludf.DUMMYFUNCTION("""COMPUTED_VALUE"""),"Nguyệt Viên 2, Xã Hoằng Quang, Thành phố Thanh Hóa,")</f>
        <v>Nguyệt Viên 2, Xã Hoằng Quang, Thành phố Thanh Hóa,</v>
      </c>
      <c r="L299" s="22" t="str">
        <f>IFERROR(__xludf.DUMMYFUNCTION("""COMPUTED_VALUE"""),"0342525960")</f>
        <v>0342525960</v>
      </c>
      <c r="M299" s="22" t="str">
        <f>IFERROR(__xludf.DUMMYFUNCTION("""COMPUTED_VALUE"""),"038084007874")</f>
        <v>038084007874</v>
      </c>
      <c r="N299" s="25">
        <f>IFERROR(__xludf.DUMMYFUNCTION("""COMPUTED_VALUE"""),44419.0)</f>
        <v>44419</v>
      </c>
      <c r="O299" s="22" t="str">
        <f>IFERROR(__xludf.DUMMYFUNCTION("""COMPUTED_VALUE"""),"Cục Cảnh sát QLHC về TTXH")</f>
        <v>Cục Cảnh sát QLHC về TTXH</v>
      </c>
      <c r="P299" s="22" t="str">
        <f>IFERROR(__xludf.DUMMYFUNCTION("""COMPUTED_VALUE"""),"LĐPT")</f>
        <v>LĐPT</v>
      </c>
      <c r="Q299" s="22" t="str">
        <f>IFERROR(__xludf.DUMMYFUNCTION("""COMPUTED_VALUE"""),"Lao động phổ thông")</f>
        <v>Lao động phổ thông</v>
      </c>
      <c r="R299" s="24">
        <f>IFERROR(__xludf.DUMMYFUNCTION("""COMPUTED_VALUE"""),42077.0)</f>
        <v>42077</v>
      </c>
      <c r="S299" s="26">
        <f>IFERROR(__xludf.DUMMYFUNCTION("""COMPUTED_VALUE"""),42077.0)</f>
        <v>42077</v>
      </c>
      <c r="T299" s="22" t="str">
        <f>IFERROR(__xludf.DUMMYFUNCTION("""COMPUTED_VALUE"""),"Chính thức")</f>
        <v>Chính thức</v>
      </c>
      <c r="U299" s="22"/>
      <c r="V299" s="22" t="str">
        <f>IFERROR(__xludf.DUMMYFUNCTION("""COMPUTED_VALUE"""),"Chính thức")</f>
        <v>Chính thức</v>
      </c>
      <c r="W299" s="22" t="str">
        <f>IFERROR(__xludf.DUMMYFUNCTION("""COMPUTED_VALUE"""),"10 năm 9 tháng")</f>
        <v>10 năm 9 tháng</v>
      </c>
      <c r="X299" s="22"/>
      <c r="Y299" s="22"/>
      <c r="Z299" s="22"/>
    </row>
    <row r="300">
      <c r="A300" s="22">
        <f>IFERROR(__xludf.DUMMYFUNCTION("""COMPUTED_VALUE"""),10.0)</f>
        <v>10</v>
      </c>
      <c r="B300" s="22" t="str">
        <f>IFERROR(__xludf.DUMMYFUNCTION("""COMPUTED_VALUE"""),"Văn phòng")</f>
        <v>Văn phòng</v>
      </c>
      <c r="C300" s="22" t="str">
        <f>IFERROR(__xludf.DUMMYFUNCTION("""COMPUTED_VALUE"""),"Phòng Kế toán")</f>
        <v>Phòng Kế toán</v>
      </c>
      <c r="D300" s="22" t="str">
        <f>IFERROR(__xludf.DUMMYFUNCTION("""COMPUTED_VALUE"""),"Tổ phục vụ xuất hàng")</f>
        <v>Tổ phục vụ xuất hàng</v>
      </c>
      <c r="E300" s="22" t="str">
        <f>IFERROR(__xludf.DUMMYFUNCTION("""COMPUTED_VALUE"""),"Nhân viên Sơ chế")</f>
        <v>Nhân viên Sơ chế</v>
      </c>
      <c r="F300" s="22" t="str">
        <f>IFERROR(__xludf.DUMMYFUNCTION("""COMPUTED_VALUE"""),"NV2357")</f>
        <v>NV2357</v>
      </c>
      <c r="G300" s="22">
        <f>IFERROR(__xludf.DUMMYFUNCTION("""COMPUTED_VALUE"""),140.0)</f>
        <v>140</v>
      </c>
      <c r="H300" s="22" t="str">
        <f>IFERROR(__xludf.DUMMYFUNCTION("""COMPUTED_VALUE"""),"Hoàng Ngọc Thảo")</f>
        <v>Hoàng Ngọc Thảo</v>
      </c>
      <c r="I300" s="22" t="str">
        <f>IFERROR(__xludf.DUMMYFUNCTION("""COMPUTED_VALUE"""),"Nam")</f>
        <v>Nam</v>
      </c>
      <c r="J300" s="24">
        <f>IFERROR(__xludf.DUMMYFUNCTION("""COMPUTED_VALUE"""),26510.0)</f>
        <v>26510</v>
      </c>
      <c r="K300" s="22" t="str">
        <f>IFERROR(__xludf.DUMMYFUNCTION("""COMPUTED_VALUE"""),"Xuân Bình - Như Xuân - Thanh Hóa")</f>
        <v>Xuân Bình - Như Xuân - Thanh Hóa</v>
      </c>
      <c r="L300" s="22" t="str">
        <f>IFERROR(__xludf.DUMMYFUNCTION("""COMPUTED_VALUE"""),"0762186245")</f>
        <v>0762186245</v>
      </c>
      <c r="M300" s="22" t="str">
        <f>IFERROR(__xludf.DUMMYFUNCTION("""COMPUTED_VALUE"""),"038072000703")</f>
        <v>038072000703</v>
      </c>
      <c r="N300" s="25">
        <f>IFERROR(__xludf.DUMMYFUNCTION("""COMPUTED_VALUE"""),42517.0)</f>
        <v>42517</v>
      </c>
      <c r="O300" s="22" t="str">
        <f>IFERROR(__xludf.DUMMYFUNCTION("""COMPUTED_VALUE"""),"Cục Cảnh sát QLHC về TTXH")</f>
        <v>Cục Cảnh sát QLHC về TTXH</v>
      </c>
      <c r="P300" s="22" t="str">
        <f>IFERROR(__xludf.DUMMYFUNCTION("""COMPUTED_VALUE"""),"LĐPT")</f>
        <v>LĐPT</v>
      </c>
      <c r="Q300" s="22" t="str">
        <f>IFERROR(__xludf.DUMMYFUNCTION("""COMPUTED_VALUE"""),"Lao động phổ thông")</f>
        <v>Lao động phổ thông</v>
      </c>
      <c r="R300" s="24">
        <f>IFERROR(__xludf.DUMMYFUNCTION("""COMPUTED_VALUE"""),43588.0)</f>
        <v>43588</v>
      </c>
      <c r="S300" s="26">
        <f>IFERROR(__xludf.DUMMYFUNCTION("""COMPUTED_VALUE"""),43983.0)</f>
        <v>43983</v>
      </c>
      <c r="T300" s="22" t="str">
        <f>IFERROR(__xludf.DUMMYFUNCTION("""COMPUTED_VALUE"""),"Chính thức")</f>
        <v>Chính thức</v>
      </c>
      <c r="U300" s="22"/>
      <c r="V300" s="22" t="str">
        <f>IFERROR(__xludf.DUMMYFUNCTION("""COMPUTED_VALUE"""),"Chính thức")</f>
        <v>Chính thức</v>
      </c>
      <c r="W300" s="22" t="str">
        <f>IFERROR(__xludf.DUMMYFUNCTION("""COMPUTED_VALUE"""),"6 năm 7 tháng")</f>
        <v>6 năm 7 tháng</v>
      </c>
      <c r="X300" s="22"/>
      <c r="Y300" s="22"/>
      <c r="Z300" s="22"/>
    </row>
    <row r="301">
      <c r="A301" s="22">
        <f>IFERROR(__xludf.DUMMYFUNCTION("""COMPUTED_VALUE"""),11.0)</f>
        <v>11</v>
      </c>
      <c r="B301" s="22" t="str">
        <f>IFERROR(__xludf.DUMMYFUNCTION("""COMPUTED_VALUE"""),"Văn phòng")</f>
        <v>Văn phòng</v>
      </c>
      <c r="C301" s="22" t="str">
        <f>IFERROR(__xludf.DUMMYFUNCTION("""COMPUTED_VALUE"""),"Phòng Kế toán")</f>
        <v>Phòng Kế toán</v>
      </c>
      <c r="D301" s="22" t="str">
        <f>IFERROR(__xludf.DUMMYFUNCTION("""COMPUTED_VALUE"""),"Tổ phục vụ xuất hàng")</f>
        <v>Tổ phục vụ xuất hàng</v>
      </c>
      <c r="E301" s="22" t="str">
        <f>IFERROR(__xludf.DUMMYFUNCTION("""COMPUTED_VALUE"""),"Nhân viên Sơ chế")</f>
        <v>Nhân viên Sơ chế</v>
      </c>
      <c r="F301" s="22" t="str">
        <f>IFERROR(__xludf.DUMMYFUNCTION("""COMPUTED_VALUE"""),"NV2485")</f>
        <v>NV2485</v>
      </c>
      <c r="G301" s="22">
        <f>IFERROR(__xludf.DUMMYFUNCTION("""COMPUTED_VALUE"""),89.0)</f>
        <v>89</v>
      </c>
      <c r="H301" s="22" t="str">
        <f>IFERROR(__xludf.DUMMYFUNCTION("""COMPUTED_VALUE"""),"Nguyễn Văn Lợi")</f>
        <v>Nguyễn Văn Lợi</v>
      </c>
      <c r="I301" s="22" t="str">
        <f>IFERROR(__xludf.DUMMYFUNCTION("""COMPUTED_VALUE"""),"Nam")</f>
        <v>Nam</v>
      </c>
      <c r="J301" s="24">
        <f>IFERROR(__xludf.DUMMYFUNCTION("""COMPUTED_VALUE"""),31325.0)</f>
        <v>31325</v>
      </c>
      <c r="K301" s="22" t="str">
        <f>IFERROR(__xludf.DUMMYFUNCTION("""COMPUTED_VALUE"""),"Nguyệt Viên 2, Xã Hoằng Quang, Thành phố Thanh Hóa")</f>
        <v>Nguyệt Viên 2, Xã Hoằng Quang, Thành phố Thanh Hóa</v>
      </c>
      <c r="L301" s="22" t="str">
        <f>IFERROR(__xludf.DUMMYFUNCTION("""COMPUTED_VALUE"""),"0963312479")</f>
        <v>0963312479</v>
      </c>
      <c r="M301" s="22" t="str">
        <f>IFERROR(__xludf.DUMMYFUNCTION("""COMPUTED_VALUE"""),"038075044037")</f>
        <v>038075044037</v>
      </c>
      <c r="N301" s="25">
        <f>IFERROR(__xludf.DUMMYFUNCTION("""COMPUTED_VALUE"""),44440.0)</f>
        <v>44440</v>
      </c>
      <c r="O301" s="22" t="str">
        <f>IFERROR(__xludf.DUMMYFUNCTION("""COMPUTED_VALUE"""),"Cục Cảnh sát QLHC về TTXH")</f>
        <v>Cục Cảnh sát QLHC về TTXH</v>
      </c>
      <c r="P301" s="22" t="str">
        <f>IFERROR(__xludf.DUMMYFUNCTION("""COMPUTED_VALUE"""),"LĐPT")</f>
        <v>LĐPT</v>
      </c>
      <c r="Q301" s="22" t="str">
        <f>IFERROR(__xludf.DUMMYFUNCTION("""COMPUTED_VALUE"""),"Lao động phổ thông")</f>
        <v>Lao động phổ thông</v>
      </c>
      <c r="R301" s="24">
        <f>IFERROR(__xludf.DUMMYFUNCTION("""COMPUTED_VALUE"""),43643.0)</f>
        <v>43643</v>
      </c>
      <c r="S301" s="26">
        <f>IFERROR(__xludf.DUMMYFUNCTION("""COMPUTED_VALUE"""),44013.0)</f>
        <v>44013</v>
      </c>
      <c r="T301" s="22" t="str">
        <f>IFERROR(__xludf.DUMMYFUNCTION("""COMPUTED_VALUE"""),"Chính thức")</f>
        <v>Chính thức</v>
      </c>
      <c r="U301" s="22"/>
      <c r="V301" s="22" t="str">
        <f>IFERROR(__xludf.DUMMYFUNCTION("""COMPUTED_VALUE"""),"Chính thức")</f>
        <v>Chính thức</v>
      </c>
      <c r="W301" s="22" t="str">
        <f>IFERROR(__xludf.DUMMYFUNCTION("""COMPUTED_VALUE"""),"6 năm 6 tháng")</f>
        <v>6 năm 6 tháng</v>
      </c>
      <c r="X301" s="22"/>
      <c r="Y301" s="22"/>
      <c r="Z301" s="22"/>
    </row>
    <row r="302">
      <c r="A302" s="22">
        <f>IFERROR(__xludf.DUMMYFUNCTION("""COMPUTED_VALUE"""),12.0)</f>
        <v>12</v>
      </c>
      <c r="B302" s="22" t="str">
        <f>IFERROR(__xludf.DUMMYFUNCTION("""COMPUTED_VALUE"""),"Văn phòng")</f>
        <v>Văn phòng</v>
      </c>
      <c r="C302" s="22" t="str">
        <f>IFERROR(__xludf.DUMMYFUNCTION("""COMPUTED_VALUE"""),"Phòng Kế toán")</f>
        <v>Phòng Kế toán</v>
      </c>
      <c r="D302" s="22" t="str">
        <f>IFERROR(__xludf.DUMMYFUNCTION("""COMPUTED_VALUE"""),"Tổ phục vụ xuất hàng")</f>
        <v>Tổ phục vụ xuất hàng</v>
      </c>
      <c r="E302" s="22" t="str">
        <f>IFERROR(__xludf.DUMMYFUNCTION("""COMPUTED_VALUE"""),"Nhân viên Lái xe nâng")</f>
        <v>Nhân viên Lái xe nâng</v>
      </c>
      <c r="F302" s="22" t="str">
        <f>IFERROR(__xludf.DUMMYFUNCTION("""COMPUTED_VALUE"""),"NV0760")</f>
        <v>NV0760</v>
      </c>
      <c r="G302" s="22">
        <f>IFERROR(__xludf.DUMMYFUNCTION("""COMPUTED_VALUE"""),84.0)</f>
        <v>84</v>
      </c>
      <c r="H302" s="22" t="str">
        <f>IFERROR(__xludf.DUMMYFUNCTION("""COMPUTED_VALUE"""),"Đỗ Đức Hùng")</f>
        <v>Đỗ Đức Hùng</v>
      </c>
      <c r="I302" s="22" t="str">
        <f>IFERROR(__xludf.DUMMYFUNCTION("""COMPUTED_VALUE"""),"Nam")</f>
        <v>Nam</v>
      </c>
      <c r="J302" s="24">
        <f>IFERROR(__xludf.DUMMYFUNCTION("""COMPUTED_VALUE"""),27218.0)</f>
        <v>27218</v>
      </c>
      <c r="K302" s="22" t="str">
        <f>IFERROR(__xludf.DUMMYFUNCTION("""COMPUTED_VALUE"""),"Hoằng Trạch - Hoằng Hóa -Thanh Hóa")</f>
        <v>Hoằng Trạch - Hoằng Hóa -Thanh Hóa</v>
      </c>
      <c r="L302" s="22" t="str">
        <f>IFERROR(__xludf.DUMMYFUNCTION("""COMPUTED_VALUE"""),"0397874215")</f>
        <v>0397874215</v>
      </c>
      <c r="M302" s="22" t="str">
        <f>IFERROR(__xludf.DUMMYFUNCTION("""COMPUTED_VALUE"""),"038074006978")</f>
        <v>038074006978</v>
      </c>
      <c r="N302" s="25">
        <f>IFERROR(__xludf.DUMMYFUNCTION("""COMPUTED_VALUE"""),44461.0)</f>
        <v>44461</v>
      </c>
      <c r="O302" s="22" t="str">
        <f>IFERROR(__xludf.DUMMYFUNCTION("""COMPUTED_VALUE"""),"Cục Cảnh sát QLHC về TTXH")</f>
        <v>Cục Cảnh sát QLHC về TTXH</v>
      </c>
      <c r="P302" s="22" t="str">
        <f>IFERROR(__xludf.DUMMYFUNCTION("""COMPUTED_VALUE"""),"Bằng nghề")</f>
        <v>Bằng nghề</v>
      </c>
      <c r="Q302" s="22" t="str">
        <f>IFERROR(__xludf.DUMMYFUNCTION("""COMPUTED_VALUE"""),"Lái máy")</f>
        <v>Lái máy</v>
      </c>
      <c r="R302" s="24">
        <f>IFERROR(__xludf.DUMMYFUNCTION("""COMPUTED_VALUE"""),37373.0)</f>
        <v>37373</v>
      </c>
      <c r="S302" s="26">
        <f>IFERROR(__xludf.DUMMYFUNCTION("""COMPUTED_VALUE"""),37373.0)</f>
        <v>37373</v>
      </c>
      <c r="T302" s="22" t="str">
        <f>IFERROR(__xludf.DUMMYFUNCTION("""COMPUTED_VALUE"""),"Chính thức")</f>
        <v>Chính thức</v>
      </c>
      <c r="U302" s="22"/>
      <c r="V302" s="22" t="str">
        <f>IFERROR(__xludf.DUMMYFUNCTION("""COMPUTED_VALUE"""),"Chính thức")</f>
        <v>Chính thức</v>
      </c>
      <c r="W302" s="22" t="str">
        <f>IFERROR(__xludf.DUMMYFUNCTION("""COMPUTED_VALUE"""),"23 năm 8 tháng")</f>
        <v>23 năm 8 tháng</v>
      </c>
      <c r="X302" s="22"/>
      <c r="Y302" s="22"/>
      <c r="Z302" s="22"/>
    </row>
    <row r="303">
      <c r="A303" s="22">
        <f>IFERROR(__xludf.DUMMYFUNCTION("""COMPUTED_VALUE"""),13.0)</f>
        <v>13</v>
      </c>
      <c r="B303" s="22" t="str">
        <f>IFERROR(__xludf.DUMMYFUNCTION("""COMPUTED_VALUE"""),"Văn phòng")</f>
        <v>Văn phòng</v>
      </c>
      <c r="C303" s="22" t="str">
        <f>IFERROR(__xludf.DUMMYFUNCTION("""COMPUTED_VALUE"""),"Phòng Kế toán")</f>
        <v>Phòng Kế toán</v>
      </c>
      <c r="D303" s="22" t="str">
        <f>IFERROR(__xludf.DUMMYFUNCTION("""COMPUTED_VALUE"""),"Tổ phục vụ xuất hàng")</f>
        <v>Tổ phục vụ xuất hàng</v>
      </c>
      <c r="E303" s="22" t="str">
        <f>IFERROR(__xludf.DUMMYFUNCTION("""COMPUTED_VALUE"""),"Nhân viên Lái xe nâng")</f>
        <v>Nhân viên Lái xe nâng</v>
      </c>
      <c r="F303" s="22" t="str">
        <f>IFERROR(__xludf.DUMMYFUNCTION("""COMPUTED_VALUE"""),"NV0757")</f>
        <v>NV0757</v>
      </c>
      <c r="G303" s="22">
        <f>IFERROR(__xludf.DUMMYFUNCTION("""COMPUTED_VALUE"""),90.0)</f>
        <v>90</v>
      </c>
      <c r="H303" s="22" t="str">
        <f>IFERROR(__xludf.DUMMYFUNCTION("""COMPUTED_VALUE"""),"Lê Anh Tuấn")</f>
        <v>Lê Anh Tuấn</v>
      </c>
      <c r="I303" s="22" t="str">
        <f>IFERROR(__xludf.DUMMYFUNCTION("""COMPUTED_VALUE"""),"Nam")</f>
        <v>Nam</v>
      </c>
      <c r="J303" s="24">
        <f>IFERROR(__xludf.DUMMYFUNCTION("""COMPUTED_VALUE"""),31568.0)</f>
        <v>31568</v>
      </c>
      <c r="K303" s="22" t="str">
        <f>IFERROR(__xludf.DUMMYFUNCTION("""COMPUTED_VALUE"""),"Xã Quảng Hưng - Thành phố Thanh Hóa")</f>
        <v>Xã Quảng Hưng - Thành phố Thanh Hóa</v>
      </c>
      <c r="L303" s="22" t="str">
        <f>IFERROR(__xludf.DUMMYFUNCTION("""COMPUTED_VALUE"""),"0974754245")</f>
        <v>0974754245</v>
      </c>
      <c r="M303" s="22" t="str">
        <f>IFERROR(__xludf.DUMMYFUNCTION("""COMPUTED_VALUE"""),"038086012878")</f>
        <v>038086012878</v>
      </c>
      <c r="N303" s="25">
        <f>IFERROR(__xludf.DUMMYFUNCTION("""COMPUTED_VALUE"""),44830.0)</f>
        <v>44830</v>
      </c>
      <c r="O303" s="22" t="str">
        <f>IFERROR(__xludf.DUMMYFUNCTION("""COMPUTED_VALUE"""),"Cục Cảnh sát QLHC về TTXH")</f>
        <v>Cục Cảnh sát QLHC về TTXH</v>
      </c>
      <c r="P303" s="22" t="str">
        <f>IFERROR(__xludf.DUMMYFUNCTION("""COMPUTED_VALUE"""),"Sơ cấp nghề")</f>
        <v>Sơ cấp nghề</v>
      </c>
      <c r="Q303" s="22" t="str">
        <f>IFERROR(__xludf.DUMMYFUNCTION("""COMPUTED_VALUE"""),"Vận hành xe nâng hàng")</f>
        <v>Vận hành xe nâng hàng</v>
      </c>
      <c r="R303" s="24">
        <f>IFERROR(__xludf.DUMMYFUNCTION("""COMPUTED_VALUE"""),41102.0)</f>
        <v>41102</v>
      </c>
      <c r="S303" s="26">
        <f>IFERROR(__xludf.DUMMYFUNCTION("""COMPUTED_VALUE"""),41102.0)</f>
        <v>41102</v>
      </c>
      <c r="T303" s="22" t="str">
        <f>IFERROR(__xludf.DUMMYFUNCTION("""COMPUTED_VALUE"""),"Chính thức")</f>
        <v>Chính thức</v>
      </c>
      <c r="U303" s="22"/>
      <c r="V303" s="22" t="str">
        <f>IFERROR(__xludf.DUMMYFUNCTION("""COMPUTED_VALUE"""),"Chính thức")</f>
        <v>Chính thức</v>
      </c>
      <c r="W303" s="22" t="str">
        <f>IFERROR(__xludf.DUMMYFUNCTION("""COMPUTED_VALUE"""),"13 năm 5 tháng")</f>
        <v>13 năm 5 tháng</v>
      </c>
      <c r="X303" s="22"/>
      <c r="Y303" s="22"/>
      <c r="Z303" s="22"/>
    </row>
    <row r="304">
      <c r="A304" s="22">
        <f>IFERROR(__xludf.DUMMYFUNCTION("""COMPUTED_VALUE"""),14.0)</f>
        <v>14</v>
      </c>
      <c r="B304" s="22" t="str">
        <f>IFERROR(__xludf.DUMMYFUNCTION("""COMPUTED_VALUE"""),"Văn phòng")</f>
        <v>Văn phòng</v>
      </c>
      <c r="C304" s="22" t="str">
        <f>IFERROR(__xludf.DUMMYFUNCTION("""COMPUTED_VALUE"""),"Phòng Kế toán")</f>
        <v>Phòng Kế toán</v>
      </c>
      <c r="D304" s="22" t="str">
        <f>IFERROR(__xludf.DUMMYFUNCTION("""COMPUTED_VALUE"""),"Tổ phục vụ xuất hàng")</f>
        <v>Tổ phục vụ xuất hàng</v>
      </c>
      <c r="E304" s="22" t="str">
        <f>IFERROR(__xludf.DUMMYFUNCTION("""COMPUTED_VALUE"""),"Nhân viên Lái xe nâng")</f>
        <v>Nhân viên Lái xe nâng</v>
      </c>
      <c r="F304" s="22" t="str">
        <f>IFERROR(__xludf.DUMMYFUNCTION("""COMPUTED_VALUE"""),"NV1871")</f>
        <v>NV1871</v>
      </c>
      <c r="G304" s="22">
        <f>IFERROR(__xludf.DUMMYFUNCTION("""COMPUTED_VALUE"""),85.0)</f>
        <v>85</v>
      </c>
      <c r="H304" s="22" t="str">
        <f>IFERROR(__xludf.DUMMYFUNCTION("""COMPUTED_VALUE"""),"Viên Đình Khang")</f>
        <v>Viên Đình Khang</v>
      </c>
      <c r="I304" s="22" t="str">
        <f>IFERROR(__xludf.DUMMYFUNCTION("""COMPUTED_VALUE"""),"Nam")</f>
        <v>Nam</v>
      </c>
      <c r="J304" s="24">
        <f>IFERROR(__xludf.DUMMYFUNCTION("""COMPUTED_VALUE"""),35098.0)</f>
        <v>35098</v>
      </c>
      <c r="K304" s="22" t="str">
        <f>IFERROR(__xludf.DUMMYFUNCTION("""COMPUTED_VALUE"""),"Thôn 2 - Quảng Hùng - Sầm Sơn - Thanh Hóa")</f>
        <v>Thôn 2 - Quảng Hùng - Sầm Sơn - Thanh Hóa</v>
      </c>
      <c r="L304" s="22" t="str">
        <f>IFERROR(__xludf.DUMMYFUNCTION("""COMPUTED_VALUE"""),"0866875067")</f>
        <v>0866875067</v>
      </c>
      <c r="M304" s="22" t="str">
        <f>IFERROR(__xludf.DUMMYFUNCTION("""COMPUTED_VALUE"""),"038096007113")</f>
        <v>038096007113</v>
      </c>
      <c r="N304" s="25">
        <f>IFERROR(__xludf.DUMMYFUNCTION("""COMPUTED_VALUE"""),44419.0)</f>
        <v>44419</v>
      </c>
      <c r="O304" s="22" t="str">
        <f>IFERROR(__xludf.DUMMYFUNCTION("""COMPUTED_VALUE"""),"Cục Cảnh sát QLHC về TTXH")</f>
        <v>Cục Cảnh sát QLHC về TTXH</v>
      </c>
      <c r="P304" s="22" t="str">
        <f>IFERROR(__xludf.DUMMYFUNCTION("""COMPUTED_VALUE"""),"Sơ cấp nghề")</f>
        <v>Sơ cấp nghề</v>
      </c>
      <c r="Q304" s="22" t="str">
        <f>IFERROR(__xludf.DUMMYFUNCTION("""COMPUTED_VALUE"""),"Vận hành xe nâng hàng")</f>
        <v>Vận hành xe nâng hàng</v>
      </c>
      <c r="R304" s="24">
        <f>IFERROR(__xludf.DUMMYFUNCTION("""COMPUTED_VALUE"""),43361.0)</f>
        <v>43361</v>
      </c>
      <c r="S304" s="26">
        <f>IFERROR(__xludf.DUMMYFUNCTION("""COMPUTED_VALUE"""),43361.0)</f>
        <v>43361</v>
      </c>
      <c r="T304" s="22" t="str">
        <f>IFERROR(__xludf.DUMMYFUNCTION("""COMPUTED_VALUE"""),"Chính thức")</f>
        <v>Chính thức</v>
      </c>
      <c r="U304" s="22"/>
      <c r="V304" s="22" t="str">
        <f>IFERROR(__xludf.DUMMYFUNCTION("""COMPUTED_VALUE"""),"Chính thức")</f>
        <v>Chính thức</v>
      </c>
      <c r="W304" s="22" t="str">
        <f>IFERROR(__xludf.DUMMYFUNCTION("""COMPUTED_VALUE"""),"7 năm 3 tháng")</f>
        <v>7 năm 3 tháng</v>
      </c>
      <c r="X304" s="22"/>
      <c r="Y304" s="22"/>
      <c r="Z304" s="22"/>
    </row>
    <row r="305">
      <c r="A305" s="22">
        <f>IFERROR(__xludf.DUMMYFUNCTION("""COMPUTED_VALUE"""),15.0)</f>
        <v>15</v>
      </c>
      <c r="B305" s="22" t="str">
        <f>IFERROR(__xludf.DUMMYFUNCTION("""COMPUTED_VALUE"""),"Văn phòng")</f>
        <v>Văn phòng</v>
      </c>
      <c r="C305" s="22" t="str">
        <f>IFERROR(__xludf.DUMMYFUNCTION("""COMPUTED_VALUE"""),"Phòng Kế toán")</f>
        <v>Phòng Kế toán</v>
      </c>
      <c r="D305" s="22" t="str">
        <f>IFERROR(__xludf.DUMMYFUNCTION("""COMPUTED_VALUE"""),"Tổ phục vụ xuất hàng")</f>
        <v>Tổ phục vụ xuất hàng</v>
      </c>
      <c r="E305" s="22" t="str">
        <f>IFERROR(__xludf.DUMMYFUNCTION("""COMPUTED_VALUE"""),"Nhân viên Lái xe nâng")</f>
        <v>Nhân viên Lái xe nâng</v>
      </c>
      <c r="F305" s="22" t="str">
        <f>IFERROR(__xludf.DUMMYFUNCTION("""COMPUTED_VALUE"""),"NV1296")</f>
        <v>NV1296</v>
      </c>
      <c r="G305" s="22">
        <f>IFERROR(__xludf.DUMMYFUNCTION("""COMPUTED_VALUE"""),230.0)</f>
        <v>230</v>
      </c>
      <c r="H305" s="22" t="str">
        <f>IFERROR(__xludf.DUMMYFUNCTION("""COMPUTED_VALUE"""),"Nguyễn Đăng Ánh")</f>
        <v>Nguyễn Đăng Ánh</v>
      </c>
      <c r="I305" s="22" t="str">
        <f>IFERROR(__xludf.DUMMYFUNCTION("""COMPUTED_VALUE"""),"Nam")</f>
        <v>Nam</v>
      </c>
      <c r="J305" s="24">
        <f>IFERROR(__xludf.DUMMYFUNCTION("""COMPUTED_VALUE"""),29421.0)</f>
        <v>29421</v>
      </c>
      <c r="K305" s="22" t="str">
        <f>IFERROR(__xludf.DUMMYFUNCTION("""COMPUTED_VALUE"""),"Thành Tân - Quảng Thành - Thanh Hóa")</f>
        <v>Thành Tân - Quảng Thành - Thanh Hóa</v>
      </c>
      <c r="L305" s="22" t="str">
        <f>IFERROR(__xludf.DUMMYFUNCTION("""COMPUTED_VALUE"""),"0938836917")</f>
        <v>0938836917</v>
      </c>
      <c r="M305" s="22" t="str">
        <f>IFERROR(__xludf.DUMMYFUNCTION("""COMPUTED_VALUE"""),"038080021124")</f>
        <v>038080021124</v>
      </c>
      <c r="N305" s="25">
        <f>IFERROR(__xludf.DUMMYFUNCTION("""COMPUTED_VALUE"""),44459.0)</f>
        <v>44459</v>
      </c>
      <c r="O305" s="22" t="str">
        <f>IFERROR(__xludf.DUMMYFUNCTION("""COMPUTED_VALUE"""),"Cục Cảnh sát QLHC về TTXH")</f>
        <v>Cục Cảnh sát QLHC về TTXH</v>
      </c>
      <c r="P305" s="22" t="str">
        <f>IFERROR(__xludf.DUMMYFUNCTION("""COMPUTED_VALUE"""),"Bằng nghề")</f>
        <v>Bằng nghề</v>
      </c>
      <c r="Q305" s="22" t="str">
        <f>IFERROR(__xludf.DUMMYFUNCTION("""COMPUTED_VALUE"""),"Lái xe nâng chuyển")</f>
        <v>Lái xe nâng chuyển</v>
      </c>
      <c r="R305" s="24">
        <f>IFERROR(__xludf.DUMMYFUNCTION("""COMPUTED_VALUE"""),43179.0)</f>
        <v>43179</v>
      </c>
      <c r="S305" s="26">
        <f>IFERROR(__xludf.DUMMYFUNCTION("""COMPUTED_VALUE"""),43179.0)</f>
        <v>43179</v>
      </c>
      <c r="T305" s="22" t="str">
        <f>IFERROR(__xludf.DUMMYFUNCTION("""COMPUTED_VALUE"""),"Chính thức")</f>
        <v>Chính thức</v>
      </c>
      <c r="U305" s="22"/>
      <c r="V305" s="22" t="str">
        <f>IFERROR(__xludf.DUMMYFUNCTION("""COMPUTED_VALUE"""),"Chính thức")</f>
        <v>Chính thức</v>
      </c>
      <c r="W305" s="22" t="str">
        <f>IFERROR(__xludf.DUMMYFUNCTION("""COMPUTED_VALUE"""),"7 năm 9 tháng")</f>
        <v>7 năm 9 tháng</v>
      </c>
      <c r="X305" s="22"/>
      <c r="Y305" s="22"/>
      <c r="Z305" s="22"/>
    </row>
    <row r="306">
      <c r="A306" s="22">
        <f>IFERROR(__xludf.DUMMYFUNCTION("""COMPUTED_VALUE"""),16.0)</f>
        <v>16</v>
      </c>
      <c r="B306" s="22" t="str">
        <f>IFERROR(__xludf.DUMMYFUNCTION("""COMPUTED_VALUE"""),"Văn phòng")</f>
        <v>Văn phòng</v>
      </c>
      <c r="C306" s="22" t="str">
        <f>IFERROR(__xludf.DUMMYFUNCTION("""COMPUTED_VALUE"""),"Phòng Kế toán")</f>
        <v>Phòng Kế toán</v>
      </c>
      <c r="D306" s="22" t="str">
        <f>IFERROR(__xludf.DUMMYFUNCTION("""COMPUTED_VALUE"""),"Tổ phục vụ xuất hàng")</f>
        <v>Tổ phục vụ xuất hàng</v>
      </c>
      <c r="E306" s="22" t="str">
        <f>IFERROR(__xludf.DUMMYFUNCTION("""COMPUTED_VALUE"""),"Nhân viên Lái xe nâng")</f>
        <v>Nhân viên Lái xe nâng</v>
      </c>
      <c r="F306" s="22" t="str">
        <f>IFERROR(__xludf.DUMMYFUNCTION("""COMPUTED_VALUE"""),"NV1236")</f>
        <v>NV1236</v>
      </c>
      <c r="G306" s="22">
        <f>IFERROR(__xludf.DUMMYFUNCTION("""COMPUTED_VALUE"""),232.0)</f>
        <v>232</v>
      </c>
      <c r="H306" s="22" t="str">
        <f>IFERROR(__xludf.DUMMYFUNCTION("""COMPUTED_VALUE"""),"Đỗ Xuân Nam")</f>
        <v>Đỗ Xuân Nam</v>
      </c>
      <c r="I306" s="22" t="str">
        <f>IFERROR(__xludf.DUMMYFUNCTION("""COMPUTED_VALUE"""),"Nam")</f>
        <v>Nam</v>
      </c>
      <c r="J306" s="24">
        <f>IFERROR(__xludf.DUMMYFUNCTION("""COMPUTED_VALUE"""),30994.0)</f>
        <v>30994</v>
      </c>
      <c r="K306" s="22" t="str">
        <f>IFERROR(__xludf.DUMMYFUNCTION("""COMPUTED_VALUE"""),"Phố 4 - Phường Quảng Hưng - Thành Phố Thanh Hóa")</f>
        <v>Phố 4 - Phường Quảng Hưng - Thành Phố Thanh Hóa</v>
      </c>
      <c r="L306" s="22" t="str">
        <f>IFERROR(__xludf.DUMMYFUNCTION("""COMPUTED_VALUE"""),"0966521558")</f>
        <v>0966521558</v>
      </c>
      <c r="M306" s="22" t="str">
        <f>IFERROR(__xludf.DUMMYFUNCTION("""COMPUTED_VALUE"""),"038084002178")</f>
        <v>038084002178</v>
      </c>
      <c r="N306" s="25">
        <f>IFERROR(__xludf.DUMMYFUNCTION("""COMPUTED_VALUE"""),44311.0)</f>
        <v>44311</v>
      </c>
      <c r="O306" s="22" t="str">
        <f>IFERROR(__xludf.DUMMYFUNCTION("""COMPUTED_VALUE"""),"Cục Cảnh sát QLHC về TTXH")</f>
        <v>Cục Cảnh sát QLHC về TTXH</v>
      </c>
      <c r="P306" s="22" t="str">
        <f>IFERROR(__xludf.DUMMYFUNCTION("""COMPUTED_VALUE"""),"Sơ cấp nghề")</f>
        <v>Sơ cấp nghề</v>
      </c>
      <c r="Q306" s="22" t="str">
        <f>IFERROR(__xludf.DUMMYFUNCTION("""COMPUTED_VALUE"""),"Vận hành xe nâng hàng")</f>
        <v>Vận hành xe nâng hàng</v>
      </c>
      <c r="R306" s="24">
        <f>IFERROR(__xludf.DUMMYFUNCTION("""COMPUTED_VALUE"""),43169.0)</f>
        <v>43169</v>
      </c>
      <c r="S306" s="26">
        <f>IFERROR(__xludf.DUMMYFUNCTION("""COMPUTED_VALUE"""),43169.0)</f>
        <v>43169</v>
      </c>
      <c r="T306" s="22" t="str">
        <f>IFERROR(__xludf.DUMMYFUNCTION("""COMPUTED_VALUE"""),"Chính thức")</f>
        <v>Chính thức</v>
      </c>
      <c r="U306" s="22"/>
      <c r="V306" s="22" t="str">
        <f>IFERROR(__xludf.DUMMYFUNCTION("""COMPUTED_VALUE"""),"Chính thức")</f>
        <v>Chính thức</v>
      </c>
      <c r="W306" s="22" t="str">
        <f>IFERROR(__xludf.DUMMYFUNCTION("""COMPUTED_VALUE"""),"7 năm 9 tháng")</f>
        <v>7 năm 9 tháng</v>
      </c>
      <c r="X306" s="22"/>
      <c r="Y306" s="22"/>
      <c r="Z306" s="22"/>
    </row>
    <row r="307">
      <c r="A307" s="22">
        <f>IFERROR(__xludf.DUMMYFUNCTION("""COMPUTED_VALUE"""),17.0)</f>
        <v>17</v>
      </c>
      <c r="B307" s="22" t="str">
        <f>IFERROR(__xludf.DUMMYFUNCTION("""COMPUTED_VALUE"""),"Văn phòng")</f>
        <v>Văn phòng</v>
      </c>
      <c r="C307" s="22" t="str">
        <f>IFERROR(__xludf.DUMMYFUNCTION("""COMPUTED_VALUE"""),"Phòng Kế toán")</f>
        <v>Phòng Kế toán</v>
      </c>
      <c r="D307" s="22" t="str">
        <f>IFERROR(__xludf.DUMMYFUNCTION("""COMPUTED_VALUE"""),"Tổ phục vụ xuất hàng")</f>
        <v>Tổ phục vụ xuất hàng</v>
      </c>
      <c r="E307" s="22" t="str">
        <f>IFERROR(__xludf.DUMMYFUNCTION("""COMPUTED_VALUE"""),"Nhân viên Lái xe nâng")</f>
        <v>Nhân viên Lái xe nâng</v>
      </c>
      <c r="F307" s="22" t="str">
        <f>IFERROR(__xludf.DUMMYFUNCTION("""COMPUTED_VALUE"""),"NV0758")</f>
        <v>NV0758</v>
      </c>
      <c r="G307" s="22">
        <f>IFERROR(__xludf.DUMMYFUNCTION("""COMPUTED_VALUE"""),233.0)</f>
        <v>233</v>
      </c>
      <c r="H307" s="22" t="str">
        <f>IFERROR(__xludf.DUMMYFUNCTION("""COMPUTED_VALUE"""),"Đặng Minh Yên")</f>
        <v>Đặng Minh Yên</v>
      </c>
      <c r="I307" s="22" t="str">
        <f>IFERROR(__xludf.DUMMYFUNCTION("""COMPUTED_VALUE"""),"Nam")</f>
        <v>Nam</v>
      </c>
      <c r="J307" s="24">
        <f>IFERROR(__xludf.DUMMYFUNCTION("""COMPUTED_VALUE"""),30127.0)</f>
        <v>30127</v>
      </c>
      <c r="K307" s="22" t="str">
        <f>IFERROR(__xludf.DUMMYFUNCTION("""COMPUTED_VALUE"""),"Xã Quảng Hợp, Huyện Quảng Xương, Thanh Hóa")</f>
        <v>Xã Quảng Hợp, Huyện Quảng Xương, Thanh Hóa</v>
      </c>
      <c r="L307" s="22" t="str">
        <f>IFERROR(__xludf.DUMMYFUNCTION("""COMPUTED_VALUE"""),"0977416411")</f>
        <v>0977416411</v>
      </c>
      <c r="M307" s="22" t="str">
        <f>IFERROR(__xludf.DUMMYFUNCTION("""COMPUTED_VALUE"""),"038082029747")</f>
        <v>038082029747</v>
      </c>
      <c r="N307" s="25">
        <f>IFERROR(__xludf.DUMMYFUNCTION("""COMPUTED_VALUE"""),44325.0)</f>
        <v>44325</v>
      </c>
      <c r="O307" s="22" t="str">
        <f>IFERROR(__xludf.DUMMYFUNCTION("""COMPUTED_VALUE"""),"Cục Cảnh sát QLHC về TTXH")</f>
        <v>Cục Cảnh sát QLHC về TTXH</v>
      </c>
      <c r="P307" s="22" t="str">
        <f>IFERROR(__xludf.DUMMYFUNCTION("""COMPUTED_VALUE"""),"Công nhân kỹ thuật")</f>
        <v>Công nhân kỹ thuật</v>
      </c>
      <c r="Q307" s="22" t="str">
        <f>IFERROR(__xludf.DUMMYFUNCTION("""COMPUTED_VALUE"""),"Lái máy")</f>
        <v>Lái máy</v>
      </c>
      <c r="R307" s="24">
        <f>IFERROR(__xludf.DUMMYFUNCTION("""COMPUTED_VALUE"""),42609.0)</f>
        <v>42609</v>
      </c>
      <c r="S307" s="26">
        <f>IFERROR(__xludf.DUMMYFUNCTION("""COMPUTED_VALUE"""),42609.0)</f>
        <v>42609</v>
      </c>
      <c r="T307" s="22" t="str">
        <f>IFERROR(__xludf.DUMMYFUNCTION("""COMPUTED_VALUE"""),"Chính thức")</f>
        <v>Chính thức</v>
      </c>
      <c r="U307" s="22"/>
      <c r="V307" s="22" t="str">
        <f>IFERROR(__xludf.DUMMYFUNCTION("""COMPUTED_VALUE"""),"Chính thức")</f>
        <v>Chính thức</v>
      </c>
      <c r="W307" s="22" t="str">
        <f>IFERROR(__xludf.DUMMYFUNCTION("""COMPUTED_VALUE"""),"9 năm 4 tháng")</f>
        <v>9 năm 4 tháng</v>
      </c>
      <c r="X307" s="22"/>
      <c r="Y307" s="22"/>
      <c r="Z307" s="22"/>
    </row>
    <row r="308">
      <c r="A308" s="22">
        <f>IFERROR(__xludf.DUMMYFUNCTION("""COMPUTED_VALUE"""),18.0)</f>
        <v>18</v>
      </c>
      <c r="B308" s="22" t="str">
        <f>IFERROR(__xludf.DUMMYFUNCTION("""COMPUTED_VALUE"""),"Văn phòng")</f>
        <v>Văn phòng</v>
      </c>
      <c r="C308" s="22" t="str">
        <f>IFERROR(__xludf.DUMMYFUNCTION("""COMPUTED_VALUE"""),"Phòng Kế toán")</f>
        <v>Phòng Kế toán</v>
      </c>
      <c r="D308" s="22" t="str">
        <f>IFERROR(__xludf.DUMMYFUNCTION("""COMPUTED_VALUE"""),"Tổ phục vụ xuất hàng")</f>
        <v>Tổ phục vụ xuất hàng</v>
      </c>
      <c r="E308" s="22" t="str">
        <f>IFERROR(__xludf.DUMMYFUNCTION("""COMPUTED_VALUE"""),"Nhân viên VSCN")</f>
        <v>Nhân viên VSCN</v>
      </c>
      <c r="F308" s="22" t="str">
        <f>IFERROR(__xludf.DUMMYFUNCTION("""COMPUTED_VALUE"""),"NV1166")</f>
        <v>NV1166</v>
      </c>
      <c r="G308" s="22">
        <f>IFERROR(__xludf.DUMMYFUNCTION("""COMPUTED_VALUE"""),237.0)</f>
        <v>237</v>
      </c>
      <c r="H308" s="22" t="str">
        <f>IFERROR(__xludf.DUMMYFUNCTION("""COMPUTED_VALUE"""),"Phạm Thị Tiên")</f>
        <v>Phạm Thị Tiên</v>
      </c>
      <c r="I308" s="22" t="str">
        <f>IFERROR(__xludf.DUMMYFUNCTION("""COMPUTED_VALUE"""),"Nữ")</f>
        <v>Nữ</v>
      </c>
      <c r="J308" s="24">
        <f>IFERROR(__xludf.DUMMYFUNCTION("""COMPUTED_VALUE"""),25851.0)</f>
        <v>25851</v>
      </c>
      <c r="K308" s="22" t="str">
        <f>IFERROR(__xludf.DUMMYFUNCTION("""COMPUTED_VALUE"""),"Phố Lễ Môn - Phường Đông Hải - Thành Phố Thanh Hóa")</f>
        <v>Phố Lễ Môn - Phường Đông Hải - Thành Phố Thanh Hóa</v>
      </c>
      <c r="L308" s="22" t="str">
        <f>IFERROR(__xludf.DUMMYFUNCTION("""COMPUTED_VALUE"""),"0986155778")</f>
        <v>0986155778</v>
      </c>
      <c r="M308" s="22" t="str">
        <f>IFERROR(__xludf.DUMMYFUNCTION("""COMPUTED_VALUE"""),"038170007724")</f>
        <v>038170007724</v>
      </c>
      <c r="N308" s="25">
        <f>IFERROR(__xludf.DUMMYFUNCTION("""COMPUTED_VALUE"""),44458.0)</f>
        <v>44458</v>
      </c>
      <c r="O308" s="22" t="str">
        <f>IFERROR(__xludf.DUMMYFUNCTION("""COMPUTED_VALUE"""),"Cục Cảnh sát QLHC về TTXH")</f>
        <v>Cục Cảnh sát QLHC về TTXH</v>
      </c>
      <c r="P308" s="22" t="str">
        <f>IFERROR(__xludf.DUMMYFUNCTION("""COMPUTED_VALUE"""),"LĐPT")</f>
        <v>LĐPT</v>
      </c>
      <c r="Q308" s="22" t="str">
        <f>IFERROR(__xludf.DUMMYFUNCTION("""COMPUTED_VALUE"""),"Lao động phổ thông")</f>
        <v>Lao động phổ thông</v>
      </c>
      <c r="R308" s="24">
        <f>IFERROR(__xludf.DUMMYFUNCTION("""COMPUTED_VALUE"""),43091.0)</f>
        <v>43091</v>
      </c>
      <c r="S308" s="26">
        <f>IFERROR(__xludf.DUMMYFUNCTION("""COMPUTED_VALUE"""),43466.0)</f>
        <v>43466</v>
      </c>
      <c r="T308" s="22" t="str">
        <f>IFERROR(__xludf.DUMMYFUNCTION("""COMPUTED_VALUE"""),"Chính thức")</f>
        <v>Chính thức</v>
      </c>
      <c r="U308" s="22"/>
      <c r="V308" s="22" t="str">
        <f>IFERROR(__xludf.DUMMYFUNCTION("""COMPUTED_VALUE"""),"Chính thức")</f>
        <v>Chính thức</v>
      </c>
      <c r="W308" s="22" t="str">
        <f>IFERROR(__xludf.DUMMYFUNCTION("""COMPUTED_VALUE"""),"8 năm 0 tháng")</f>
        <v>8 năm 0 tháng</v>
      </c>
      <c r="X308" s="22"/>
      <c r="Y308" s="22"/>
      <c r="Z308" s="22"/>
    </row>
    <row r="309">
      <c r="A309" s="22">
        <f>IFERROR(__xludf.DUMMYFUNCTION("""COMPUTED_VALUE"""),19.0)</f>
        <v>19</v>
      </c>
      <c r="B309" s="22" t="str">
        <f>IFERROR(__xludf.DUMMYFUNCTION("""COMPUTED_VALUE"""),"Văn phòng")</f>
        <v>Văn phòng</v>
      </c>
      <c r="C309" s="22" t="str">
        <f>IFERROR(__xludf.DUMMYFUNCTION("""COMPUTED_VALUE"""),"Phòng Kế toán")</f>
        <v>Phòng Kế toán</v>
      </c>
      <c r="D309" s="22" t="str">
        <f>IFERROR(__xludf.DUMMYFUNCTION("""COMPUTED_VALUE"""),"Tổ phục vụ xuất hàng")</f>
        <v>Tổ phục vụ xuất hàng</v>
      </c>
      <c r="E309" s="22" t="str">
        <f>IFERROR(__xludf.DUMMYFUNCTION("""COMPUTED_VALUE"""),"Nhân viên Sơ chế")</f>
        <v>Nhân viên Sơ chế</v>
      </c>
      <c r="F309" s="22" t="str">
        <f>IFERROR(__xludf.DUMMYFUNCTION("""COMPUTED_VALUE"""),"NV1309")</f>
        <v>NV1309</v>
      </c>
      <c r="G309" s="22">
        <f>IFERROR(__xludf.DUMMYFUNCTION("""COMPUTED_VALUE"""),222.0)</f>
        <v>222</v>
      </c>
      <c r="H309" s="22" t="str">
        <f>IFERROR(__xludf.DUMMYFUNCTION("""COMPUTED_VALUE"""),"Nguyễn Văn Tâm")</f>
        <v>Nguyễn Văn Tâm</v>
      </c>
      <c r="I309" s="22" t="str">
        <f>IFERROR(__xludf.DUMMYFUNCTION("""COMPUTED_VALUE"""),"Nam")</f>
        <v>Nam</v>
      </c>
      <c r="J309" s="24">
        <f>IFERROR(__xludf.DUMMYFUNCTION("""COMPUTED_VALUE"""),30599.0)</f>
        <v>30599</v>
      </c>
      <c r="K309" s="22" t="str">
        <f>IFERROR(__xludf.DUMMYFUNCTION("""COMPUTED_VALUE"""),"Hoằng Tân - Hoằng Hóa - Thanh Hóa")</f>
        <v>Hoằng Tân - Hoằng Hóa - Thanh Hóa</v>
      </c>
      <c r="L309" s="22" t="str">
        <f>IFERROR(__xludf.DUMMYFUNCTION("""COMPUTED_VALUE"""),"0365464426")</f>
        <v>0365464426</v>
      </c>
      <c r="M309" s="22" t="str">
        <f>IFERROR(__xludf.DUMMYFUNCTION("""COMPUTED_VALUE"""),"038083050404")</f>
        <v>038083050404</v>
      </c>
      <c r="N309" s="25">
        <f>IFERROR(__xludf.DUMMYFUNCTION("""COMPUTED_VALUE"""),44420.0)</f>
        <v>44420</v>
      </c>
      <c r="O309" s="22" t="str">
        <f>IFERROR(__xludf.DUMMYFUNCTION("""COMPUTED_VALUE"""),"Cục Cảnh sát QLHC về TTXH")</f>
        <v>Cục Cảnh sát QLHC về TTXH</v>
      </c>
      <c r="P309" s="22" t="str">
        <f>IFERROR(__xludf.DUMMYFUNCTION("""COMPUTED_VALUE"""),"LĐPT")</f>
        <v>LĐPT</v>
      </c>
      <c r="Q309" s="22" t="str">
        <f>IFERROR(__xludf.DUMMYFUNCTION("""COMPUTED_VALUE"""),"Lao động phổ thông")</f>
        <v>Lao động phổ thông</v>
      </c>
      <c r="R309" s="24">
        <f>IFERROR(__xludf.DUMMYFUNCTION("""COMPUTED_VALUE"""),43187.0)</f>
        <v>43187</v>
      </c>
      <c r="S309" s="26">
        <f>IFERROR(__xludf.DUMMYFUNCTION("""COMPUTED_VALUE"""),43586.0)</f>
        <v>43586</v>
      </c>
      <c r="T309" s="22" t="str">
        <f>IFERROR(__xludf.DUMMYFUNCTION("""COMPUTED_VALUE"""),"Chính thức")</f>
        <v>Chính thức</v>
      </c>
      <c r="U309" s="22"/>
      <c r="V309" s="22" t="str">
        <f>IFERROR(__xludf.DUMMYFUNCTION("""COMPUTED_VALUE"""),"Chính thức")</f>
        <v>Chính thức</v>
      </c>
      <c r="W309" s="22" t="str">
        <f>IFERROR(__xludf.DUMMYFUNCTION("""COMPUTED_VALUE"""),"7 năm 9 tháng")</f>
        <v>7 năm 9 tháng</v>
      </c>
      <c r="X309" s="22"/>
      <c r="Y309" s="22"/>
      <c r="Z309" s="22"/>
    </row>
    <row r="310">
      <c r="A310" s="22">
        <f>IFERROR(__xludf.DUMMYFUNCTION("""COMPUTED_VALUE"""),20.0)</f>
        <v>20</v>
      </c>
      <c r="B310" s="22" t="str">
        <f>IFERROR(__xludf.DUMMYFUNCTION("""COMPUTED_VALUE"""),"Văn phòng")</f>
        <v>Văn phòng</v>
      </c>
      <c r="C310" s="22" t="str">
        <f>IFERROR(__xludf.DUMMYFUNCTION("""COMPUTED_VALUE"""),"Phòng Kế toán")</f>
        <v>Phòng Kế toán</v>
      </c>
      <c r="D310" s="22" t="str">
        <f>IFERROR(__xludf.DUMMYFUNCTION("""COMPUTED_VALUE"""),"Tổ phục vụ xuất hàng")</f>
        <v>Tổ phục vụ xuất hàng</v>
      </c>
      <c r="E310" s="22" t="str">
        <f>IFERROR(__xludf.DUMMYFUNCTION("""COMPUTED_VALUE"""),"Nhóm trưởng xe nâng")</f>
        <v>Nhóm trưởng xe nâng</v>
      </c>
      <c r="F310" s="22" t="str">
        <f>IFERROR(__xludf.DUMMYFUNCTION("""COMPUTED_VALUE"""),"NV0376")</f>
        <v>NV0376</v>
      </c>
      <c r="G310" s="22">
        <f>IFERROR(__xludf.DUMMYFUNCTION("""COMPUTED_VALUE"""),100.0)</f>
        <v>100</v>
      </c>
      <c r="H310" s="22" t="str">
        <f>IFERROR(__xludf.DUMMYFUNCTION("""COMPUTED_VALUE"""),"Lê Bá Long")</f>
        <v>Lê Bá Long</v>
      </c>
      <c r="I310" s="22" t="str">
        <f>IFERROR(__xludf.DUMMYFUNCTION("""COMPUTED_VALUE"""),"Nam")</f>
        <v>Nam</v>
      </c>
      <c r="J310" s="24">
        <f>IFERROR(__xludf.DUMMYFUNCTION("""COMPUTED_VALUE"""),30444.0)</f>
        <v>30444</v>
      </c>
      <c r="K310" s="22" t="str">
        <f>IFERROR(__xludf.DUMMYFUNCTION("""COMPUTED_VALUE"""),"Đội 1 - Hoằng Minh - Hoằng Hóa - Thanh Hóa")</f>
        <v>Đội 1 - Hoằng Minh - Hoằng Hóa - Thanh Hóa</v>
      </c>
      <c r="L310" s="22" t="str">
        <f>IFERROR(__xludf.DUMMYFUNCTION("""COMPUTED_VALUE"""),"0934409726")</f>
        <v>0934409726</v>
      </c>
      <c r="M310" s="22" t="str">
        <f>IFERROR(__xludf.DUMMYFUNCTION("""COMPUTED_VALUE"""),"038083024876")</f>
        <v>038083024876</v>
      </c>
      <c r="N310" s="25">
        <f>IFERROR(__xludf.DUMMYFUNCTION("""COMPUTED_VALUE"""),44931.0)</f>
        <v>44931</v>
      </c>
      <c r="O310" s="22" t="str">
        <f>IFERROR(__xludf.DUMMYFUNCTION("""COMPUTED_VALUE"""),"Cục Cảnh sát QLHC về TTXH")</f>
        <v>Cục Cảnh sát QLHC về TTXH</v>
      </c>
      <c r="P310" s="22" t="str">
        <f>IFERROR(__xludf.DUMMYFUNCTION("""COMPUTED_VALUE"""),"Công nhân kỹ thuật")</f>
        <v>Công nhân kỹ thuật</v>
      </c>
      <c r="Q310" s="22" t="str">
        <f>IFERROR(__xludf.DUMMYFUNCTION("""COMPUTED_VALUE"""),"Lái xe nâng")</f>
        <v>Lái xe nâng</v>
      </c>
      <c r="R310" s="24">
        <f>IFERROR(__xludf.DUMMYFUNCTION("""COMPUTED_VALUE"""),39083.0)</f>
        <v>39083</v>
      </c>
      <c r="S310" s="26">
        <f>IFERROR(__xludf.DUMMYFUNCTION("""COMPUTED_VALUE"""),39083.0)</f>
        <v>39083</v>
      </c>
      <c r="T310" s="22" t="str">
        <f>IFERROR(__xludf.DUMMYFUNCTION("""COMPUTED_VALUE"""),"Chính thức")</f>
        <v>Chính thức</v>
      </c>
      <c r="U310" s="22"/>
      <c r="V310" s="22" t="str">
        <f>IFERROR(__xludf.DUMMYFUNCTION("""COMPUTED_VALUE"""),"Chính thức")</f>
        <v>Chính thức</v>
      </c>
      <c r="W310" s="22" t="str">
        <f>IFERROR(__xludf.DUMMYFUNCTION("""COMPUTED_VALUE"""),"18 năm 11 tháng")</f>
        <v>18 năm 11 tháng</v>
      </c>
      <c r="X310" s="22"/>
      <c r="Y310" s="22"/>
      <c r="Z310" s="22"/>
    </row>
    <row r="311">
      <c r="A311" s="22">
        <f>IFERROR(__xludf.DUMMYFUNCTION("""COMPUTED_VALUE"""),21.0)</f>
        <v>21</v>
      </c>
      <c r="B311" s="22" t="str">
        <f>IFERROR(__xludf.DUMMYFUNCTION("""COMPUTED_VALUE"""),"Văn phòng")</f>
        <v>Văn phòng</v>
      </c>
      <c r="C311" s="22" t="str">
        <f>IFERROR(__xludf.DUMMYFUNCTION("""COMPUTED_VALUE"""),"Phòng Kế toán")</f>
        <v>Phòng Kế toán</v>
      </c>
      <c r="D311" s="22" t="str">
        <f>IFERROR(__xludf.DUMMYFUNCTION("""COMPUTED_VALUE"""),"Tổ phục vụ xuất hàng")</f>
        <v>Tổ phục vụ xuất hàng</v>
      </c>
      <c r="E311" s="22" t="str">
        <f>IFERROR(__xludf.DUMMYFUNCTION("""COMPUTED_VALUE"""),"Nhân viên Sơ chế")</f>
        <v>Nhân viên Sơ chế</v>
      </c>
      <c r="F311" s="22" t="str">
        <f>IFERROR(__xludf.DUMMYFUNCTION("""COMPUTED_VALUE"""),"NV0392")</f>
        <v>NV0392</v>
      </c>
      <c r="G311" s="22">
        <f>IFERROR(__xludf.DUMMYFUNCTION("""COMPUTED_VALUE"""),227.0)</f>
        <v>227</v>
      </c>
      <c r="H311" s="22" t="str">
        <f>IFERROR(__xludf.DUMMYFUNCTION("""COMPUTED_VALUE"""),"Đỗ Văn Trung")</f>
        <v>Đỗ Văn Trung</v>
      </c>
      <c r="I311" s="22" t="str">
        <f>IFERROR(__xludf.DUMMYFUNCTION("""COMPUTED_VALUE"""),"Nam")</f>
        <v>Nam</v>
      </c>
      <c r="J311" s="24">
        <f>IFERROR(__xludf.DUMMYFUNCTION("""COMPUTED_VALUE"""),31330.0)</f>
        <v>31330</v>
      </c>
      <c r="K311" s="22" t="str">
        <f>IFERROR(__xludf.DUMMYFUNCTION("""COMPUTED_VALUE"""),"Xã Quảng Đức - Quảng Xương - Thanh Hóa")</f>
        <v>Xã Quảng Đức - Quảng Xương - Thanh Hóa</v>
      </c>
      <c r="L311" s="22" t="str">
        <f>IFERROR(__xludf.DUMMYFUNCTION("""COMPUTED_VALUE"""),"0393676365")</f>
        <v>0393676365</v>
      </c>
      <c r="M311" s="22" t="str">
        <f>IFERROR(__xludf.DUMMYFUNCTION("""COMPUTED_VALUE"""),"038085029018")</f>
        <v>038085029018</v>
      </c>
      <c r="N311" s="25">
        <f>IFERROR(__xludf.DUMMYFUNCTION("""COMPUTED_VALUE"""),44375.0)</f>
        <v>44375</v>
      </c>
      <c r="O311" s="22" t="str">
        <f>IFERROR(__xludf.DUMMYFUNCTION("""COMPUTED_VALUE"""),"Cục Cảnh sát QLHC về TTXH")</f>
        <v>Cục Cảnh sát QLHC về TTXH</v>
      </c>
      <c r="P311" s="22" t="str">
        <f>IFERROR(__xludf.DUMMYFUNCTION("""COMPUTED_VALUE"""),"LĐPT")</f>
        <v>LĐPT</v>
      </c>
      <c r="Q311" s="22" t="str">
        <f>IFERROR(__xludf.DUMMYFUNCTION("""COMPUTED_VALUE"""),"Lao động phổ thông")</f>
        <v>Lao động phổ thông</v>
      </c>
      <c r="R311" s="24">
        <f>IFERROR(__xludf.DUMMYFUNCTION("""COMPUTED_VALUE"""),42485.0)</f>
        <v>42485</v>
      </c>
      <c r="S311" s="26">
        <f>IFERROR(__xludf.DUMMYFUNCTION("""COMPUTED_VALUE"""),42485.0)</f>
        <v>42485</v>
      </c>
      <c r="T311" s="22" t="str">
        <f>IFERROR(__xludf.DUMMYFUNCTION("""COMPUTED_VALUE"""),"Chính thức")</f>
        <v>Chính thức</v>
      </c>
      <c r="U311" s="22"/>
      <c r="V311" s="22" t="str">
        <f>IFERROR(__xludf.DUMMYFUNCTION("""COMPUTED_VALUE"""),"Chính thức")</f>
        <v>Chính thức</v>
      </c>
      <c r="W311" s="22" t="str">
        <f>IFERROR(__xludf.DUMMYFUNCTION("""COMPUTED_VALUE"""),"9 năm 8 tháng")</f>
        <v>9 năm 8 tháng</v>
      </c>
      <c r="X311" s="22"/>
      <c r="Y311" s="22"/>
      <c r="Z311" s="22"/>
    </row>
    <row r="312">
      <c r="A312" s="22">
        <f>IFERROR(__xludf.DUMMYFUNCTION("""COMPUTED_VALUE"""),22.0)</f>
        <v>22</v>
      </c>
      <c r="B312" s="22" t="str">
        <f>IFERROR(__xludf.DUMMYFUNCTION("""COMPUTED_VALUE"""),"Văn phòng")</f>
        <v>Văn phòng</v>
      </c>
      <c r="C312" s="22" t="str">
        <f>IFERROR(__xludf.DUMMYFUNCTION("""COMPUTED_VALUE"""),"Phòng Kế toán")</f>
        <v>Phòng Kế toán</v>
      </c>
      <c r="D312" s="22" t="str">
        <f>IFERROR(__xludf.DUMMYFUNCTION("""COMPUTED_VALUE"""),"Tổ phục vụ xuất hàng")</f>
        <v>Tổ phục vụ xuất hàng</v>
      </c>
      <c r="E312" s="22" t="str">
        <f>IFERROR(__xludf.DUMMYFUNCTION("""COMPUTED_VALUE"""),"Nhân viên Sơ chế")</f>
        <v>Nhân viên Sơ chế</v>
      </c>
      <c r="F312" s="22" t="str">
        <f>IFERROR(__xludf.DUMMYFUNCTION("""COMPUTED_VALUE"""),"NV3077")</f>
        <v>NV3077</v>
      </c>
      <c r="G312" s="22">
        <f>IFERROR(__xludf.DUMMYFUNCTION("""COMPUTED_VALUE"""),92.0)</f>
        <v>92</v>
      </c>
      <c r="H312" s="22" t="str">
        <f>IFERROR(__xludf.DUMMYFUNCTION("""COMPUTED_VALUE"""),"Nguyễn Văn Huệ")</f>
        <v>Nguyễn Văn Huệ</v>
      </c>
      <c r="I312" s="22" t="str">
        <f>IFERROR(__xludf.DUMMYFUNCTION("""COMPUTED_VALUE"""),"Nam")</f>
        <v>Nam</v>
      </c>
      <c r="J312" s="24">
        <f>IFERROR(__xludf.DUMMYFUNCTION("""COMPUTED_VALUE"""),29360.0)</f>
        <v>29360</v>
      </c>
      <c r="K312" s="22" t="str">
        <f>IFERROR(__xludf.DUMMYFUNCTION("""COMPUTED_VALUE"""),"Nguyệt Viên 1 - Hoằng Quang - Thành Phố Thanh Hóa")</f>
        <v>Nguyệt Viên 1 - Hoằng Quang - Thành Phố Thanh Hóa</v>
      </c>
      <c r="L312" s="22" t="str">
        <f>IFERROR(__xludf.DUMMYFUNCTION("""COMPUTED_VALUE"""),"0373319814")</f>
        <v>0373319814</v>
      </c>
      <c r="M312" s="22" t="str">
        <f>IFERROR(__xludf.DUMMYFUNCTION("""COMPUTED_VALUE"""),"038080023628")</f>
        <v>038080023628</v>
      </c>
      <c r="N312" s="25">
        <f>IFERROR(__xludf.DUMMYFUNCTION("""COMPUTED_VALUE"""),44427.0)</f>
        <v>44427</v>
      </c>
      <c r="O312" s="22" t="str">
        <f>IFERROR(__xludf.DUMMYFUNCTION("""COMPUTED_VALUE"""),"Cục Cảnh sát QLHC về TTXH")</f>
        <v>Cục Cảnh sát QLHC về TTXH</v>
      </c>
      <c r="P312" s="22" t="str">
        <f>IFERROR(__xludf.DUMMYFUNCTION("""COMPUTED_VALUE"""),"LĐPT")</f>
        <v>LĐPT</v>
      </c>
      <c r="Q312" s="22" t="str">
        <f>IFERROR(__xludf.DUMMYFUNCTION("""COMPUTED_VALUE"""),"Lao động phổ thông")</f>
        <v>Lao động phổ thông</v>
      </c>
      <c r="R312" s="24">
        <f>IFERROR(__xludf.DUMMYFUNCTION("""COMPUTED_VALUE"""),44020.0)</f>
        <v>44020</v>
      </c>
      <c r="S312" s="26">
        <f>IFERROR(__xludf.DUMMYFUNCTION("""COMPUTED_VALUE"""),44317.0)</f>
        <v>44317</v>
      </c>
      <c r="T312" s="22" t="str">
        <f>IFERROR(__xludf.DUMMYFUNCTION("""COMPUTED_VALUE"""),"Chính thức")</f>
        <v>Chính thức</v>
      </c>
      <c r="U312" s="22"/>
      <c r="V312" s="22" t="str">
        <f>IFERROR(__xludf.DUMMYFUNCTION("""COMPUTED_VALUE"""),"Chính thức")</f>
        <v>Chính thức</v>
      </c>
      <c r="W312" s="22" t="str">
        <f>IFERROR(__xludf.DUMMYFUNCTION("""COMPUTED_VALUE"""),"5 năm 5 tháng")</f>
        <v>5 năm 5 tháng</v>
      </c>
      <c r="X312" s="22"/>
      <c r="Y312" s="22"/>
      <c r="Z312" s="22"/>
    </row>
    <row r="313">
      <c r="A313" s="22">
        <f>IFERROR(__xludf.DUMMYFUNCTION("""COMPUTED_VALUE"""),23.0)</f>
        <v>23</v>
      </c>
      <c r="B313" s="22" t="str">
        <f>IFERROR(__xludf.DUMMYFUNCTION("""COMPUTED_VALUE"""),"Văn phòng")</f>
        <v>Văn phòng</v>
      </c>
      <c r="C313" s="22" t="str">
        <f>IFERROR(__xludf.DUMMYFUNCTION("""COMPUTED_VALUE"""),"Phòng Kế toán")</f>
        <v>Phòng Kế toán</v>
      </c>
      <c r="D313" s="22" t="str">
        <f>IFERROR(__xludf.DUMMYFUNCTION("""COMPUTED_VALUE"""),"Tổ phục vụ xuất hàng")</f>
        <v>Tổ phục vụ xuất hàng</v>
      </c>
      <c r="E313" s="22" t="str">
        <f>IFERROR(__xludf.DUMMYFUNCTION("""COMPUTED_VALUE"""),"Nhân viên Lái xe nâng")</f>
        <v>Nhân viên Lái xe nâng</v>
      </c>
      <c r="F313" s="22" t="str">
        <f>IFERROR(__xludf.DUMMYFUNCTION("""COMPUTED_VALUE"""),"NV0386")</f>
        <v>NV0386</v>
      </c>
      <c r="G313" s="22">
        <f>IFERROR(__xludf.DUMMYFUNCTION("""COMPUTED_VALUE"""),63.0)</f>
        <v>63</v>
      </c>
      <c r="H313" s="22" t="str">
        <f>IFERROR(__xludf.DUMMYFUNCTION("""COMPUTED_VALUE"""),"Lê Đình Tuấn")</f>
        <v>Lê Đình Tuấn</v>
      </c>
      <c r="I313" s="22" t="str">
        <f>IFERROR(__xludf.DUMMYFUNCTION("""COMPUTED_VALUE"""),"Nam")</f>
        <v>Nam</v>
      </c>
      <c r="J313" s="24">
        <f>IFERROR(__xludf.DUMMYFUNCTION("""COMPUTED_VALUE"""),29514.0)</f>
        <v>29514</v>
      </c>
      <c r="K313" s="22" t="str">
        <f>IFERROR(__xludf.DUMMYFUNCTION("""COMPUTED_VALUE"""),"Quảng Lưu - Quảng Xương - Thanh Hóa")</f>
        <v>Quảng Lưu - Quảng Xương - Thanh Hóa</v>
      </c>
      <c r="L313" s="22" t="str">
        <f>IFERROR(__xludf.DUMMYFUNCTION("""COMPUTED_VALUE"""),"0373319814")</f>
        <v>0373319814</v>
      </c>
      <c r="M313" s="22" t="str">
        <f>IFERROR(__xludf.DUMMYFUNCTION("""COMPUTED_VALUE"""),"038080002326")</f>
        <v>038080002326</v>
      </c>
      <c r="N313" s="25">
        <f>IFERROR(__xludf.DUMMYFUNCTION("""COMPUTED_VALUE"""),44419.0)</f>
        <v>44419</v>
      </c>
      <c r="O313" s="22" t="str">
        <f>IFERROR(__xludf.DUMMYFUNCTION("""COMPUTED_VALUE"""),"Cục Cảnh sát QLHC về TTXH")</f>
        <v>Cục Cảnh sát QLHC về TTXH</v>
      </c>
      <c r="P313" s="22" t="str">
        <f>IFERROR(__xludf.DUMMYFUNCTION("""COMPUTED_VALUE"""),"Bằng Nghề")</f>
        <v>Bằng Nghề</v>
      </c>
      <c r="Q313" s="22" t="str">
        <f>IFERROR(__xludf.DUMMYFUNCTION("""COMPUTED_VALUE"""),"Lái xe nâng")</f>
        <v>Lái xe nâng</v>
      </c>
      <c r="R313" s="24">
        <f>IFERROR(__xludf.DUMMYFUNCTION("""COMPUTED_VALUE"""),42524.0)</f>
        <v>42524</v>
      </c>
      <c r="S313" s="26">
        <f>IFERROR(__xludf.DUMMYFUNCTION("""COMPUTED_VALUE"""),42524.0)</f>
        <v>42524</v>
      </c>
      <c r="T313" s="22" t="str">
        <f>IFERROR(__xludf.DUMMYFUNCTION("""COMPUTED_VALUE"""),"Chính thức")</f>
        <v>Chính thức</v>
      </c>
      <c r="U313" s="22"/>
      <c r="V313" s="22" t="str">
        <f>IFERROR(__xludf.DUMMYFUNCTION("""COMPUTED_VALUE"""),"Chính thức")</f>
        <v>Chính thức</v>
      </c>
      <c r="W313" s="22" t="str">
        <f>IFERROR(__xludf.DUMMYFUNCTION("""COMPUTED_VALUE"""),"9 năm 6 tháng")</f>
        <v>9 năm 6 tháng</v>
      </c>
      <c r="X313" s="22"/>
      <c r="Y313" s="22"/>
      <c r="Z313" s="22"/>
    </row>
    <row r="314">
      <c r="A314" s="22">
        <f>IFERROR(__xludf.DUMMYFUNCTION("""COMPUTED_VALUE"""),24.0)</f>
        <v>24</v>
      </c>
      <c r="B314" s="22" t="str">
        <f>IFERROR(__xludf.DUMMYFUNCTION("""COMPUTED_VALUE"""),"Văn phòng")</f>
        <v>Văn phòng</v>
      </c>
      <c r="C314" s="22" t="str">
        <f>IFERROR(__xludf.DUMMYFUNCTION("""COMPUTED_VALUE"""),"Phòng Kế toán")</f>
        <v>Phòng Kế toán</v>
      </c>
      <c r="D314" s="22" t="str">
        <f>IFERROR(__xludf.DUMMYFUNCTION("""COMPUTED_VALUE"""),"Tổ phục vụ xuất hàng")</f>
        <v>Tổ phục vụ xuất hàng</v>
      </c>
      <c r="E314" s="22" t="str">
        <f>IFERROR(__xludf.DUMMYFUNCTION("""COMPUTED_VALUE"""),"Nhân viên Lái xe nâng")</f>
        <v>Nhân viên Lái xe nâng</v>
      </c>
      <c r="F314" s="22" t="str">
        <f>IFERROR(__xludf.DUMMYFUNCTION("""COMPUTED_VALUE"""),"NV0377")</f>
        <v>NV0377</v>
      </c>
      <c r="G314" s="22">
        <f>IFERROR(__xludf.DUMMYFUNCTION("""COMPUTED_VALUE"""),64.0)</f>
        <v>64</v>
      </c>
      <c r="H314" s="22" t="str">
        <f>IFERROR(__xludf.DUMMYFUNCTION("""COMPUTED_VALUE"""),"Lê Quang Việt")</f>
        <v>Lê Quang Việt</v>
      </c>
      <c r="I314" s="22" t="str">
        <f>IFERROR(__xludf.DUMMYFUNCTION("""COMPUTED_VALUE"""),"Nam")</f>
        <v>Nam</v>
      </c>
      <c r="J314" s="24">
        <f>IFERROR(__xludf.DUMMYFUNCTION("""COMPUTED_VALUE"""),30446.0)</f>
        <v>30446</v>
      </c>
      <c r="K314" s="22" t="str">
        <f>IFERROR(__xludf.DUMMYFUNCTION("""COMPUTED_VALUE"""),"Xã Quảng Thọ - Quảng Xương - Thanh Hóa")</f>
        <v>Xã Quảng Thọ - Quảng Xương - Thanh Hóa</v>
      </c>
      <c r="L314" s="22" t="str">
        <f>IFERROR(__xludf.DUMMYFUNCTION("""COMPUTED_VALUE"""),"0914375779")</f>
        <v>0914375779</v>
      </c>
      <c r="M314" s="22" t="str">
        <f>IFERROR(__xludf.DUMMYFUNCTION("""COMPUTED_VALUE"""),"038083005431")</f>
        <v>038083005431</v>
      </c>
      <c r="N314" s="25">
        <f>IFERROR(__xludf.DUMMYFUNCTION("""COMPUTED_VALUE"""),44419.0)</f>
        <v>44419</v>
      </c>
      <c r="O314" s="22" t="str">
        <f>IFERROR(__xludf.DUMMYFUNCTION("""COMPUTED_VALUE"""),"Cục Cảnh sát QLHC về TTXH")</f>
        <v>Cục Cảnh sát QLHC về TTXH</v>
      </c>
      <c r="P314" s="22" t="str">
        <f>IFERROR(__xludf.DUMMYFUNCTION("""COMPUTED_VALUE"""),"Công nhân kỹ thuật")</f>
        <v>Công nhân kỹ thuật</v>
      </c>
      <c r="Q314" s="22" t="str">
        <f>IFERROR(__xludf.DUMMYFUNCTION("""COMPUTED_VALUE"""),"Lái máy")</f>
        <v>Lái máy</v>
      </c>
      <c r="R314" s="24">
        <f>IFERROR(__xludf.DUMMYFUNCTION("""COMPUTED_VALUE"""),41750.0)</f>
        <v>41750</v>
      </c>
      <c r="S314" s="26">
        <f>IFERROR(__xludf.DUMMYFUNCTION("""COMPUTED_VALUE"""),41750.0)</f>
        <v>41750</v>
      </c>
      <c r="T314" s="22" t="str">
        <f>IFERROR(__xludf.DUMMYFUNCTION("""COMPUTED_VALUE"""),"Chính thức")</f>
        <v>Chính thức</v>
      </c>
      <c r="U314" s="22"/>
      <c r="V314" s="22" t="str">
        <f>IFERROR(__xludf.DUMMYFUNCTION("""COMPUTED_VALUE"""),"Chính thức")</f>
        <v>Chính thức</v>
      </c>
      <c r="W314" s="22" t="str">
        <f>IFERROR(__xludf.DUMMYFUNCTION("""COMPUTED_VALUE"""),"11 năm 8 tháng")</f>
        <v>11 năm 8 tháng</v>
      </c>
      <c r="X314" s="22"/>
      <c r="Y314" s="22"/>
      <c r="Z314" s="22"/>
    </row>
    <row r="315">
      <c r="A315" s="22">
        <f>IFERROR(__xludf.DUMMYFUNCTION("""COMPUTED_VALUE"""),25.0)</f>
        <v>25</v>
      </c>
      <c r="B315" s="22" t="str">
        <f>IFERROR(__xludf.DUMMYFUNCTION("""COMPUTED_VALUE"""),"Văn phòng")</f>
        <v>Văn phòng</v>
      </c>
      <c r="C315" s="22" t="str">
        <f>IFERROR(__xludf.DUMMYFUNCTION("""COMPUTED_VALUE"""),"Phòng Kế toán")</f>
        <v>Phòng Kế toán</v>
      </c>
      <c r="D315" s="22" t="str">
        <f>IFERROR(__xludf.DUMMYFUNCTION("""COMPUTED_VALUE"""),"Tổ phục vụ xuất hàng")</f>
        <v>Tổ phục vụ xuất hàng</v>
      </c>
      <c r="E315" s="22" t="str">
        <f>IFERROR(__xludf.DUMMYFUNCTION("""COMPUTED_VALUE"""),"Nhân viên Lái xe nâng")</f>
        <v>Nhân viên Lái xe nâng</v>
      </c>
      <c r="F315" s="22" t="str">
        <f>IFERROR(__xludf.DUMMYFUNCTION("""COMPUTED_VALUE"""),"NV0382")</f>
        <v>NV0382</v>
      </c>
      <c r="G315" s="22">
        <f>IFERROR(__xludf.DUMMYFUNCTION("""COMPUTED_VALUE"""),757.0)</f>
        <v>757</v>
      </c>
      <c r="H315" s="22" t="str">
        <f>IFERROR(__xludf.DUMMYFUNCTION("""COMPUTED_VALUE"""),"Đỗ Văn Khánh")</f>
        <v>Đỗ Văn Khánh</v>
      </c>
      <c r="I315" s="22" t="str">
        <f>IFERROR(__xludf.DUMMYFUNCTION("""COMPUTED_VALUE"""),"Nam")</f>
        <v>Nam</v>
      </c>
      <c r="J315" s="24">
        <f>IFERROR(__xludf.DUMMYFUNCTION("""COMPUTED_VALUE"""),33374.0)</f>
        <v>33374</v>
      </c>
      <c r="K315" s="22" t="str">
        <f>IFERROR(__xludf.DUMMYFUNCTION("""COMPUTED_VALUE"""),"Quảng Phong - Quảng Xương - Thanh Hóa")</f>
        <v>Quảng Phong - Quảng Xương - Thanh Hóa</v>
      </c>
      <c r="L315" s="22" t="str">
        <f>IFERROR(__xludf.DUMMYFUNCTION("""COMPUTED_VALUE"""),"0879081789")</f>
        <v>0879081789</v>
      </c>
      <c r="M315" s="22" t="str">
        <f>IFERROR(__xludf.DUMMYFUNCTION("""COMPUTED_VALUE"""),"038091012059")</f>
        <v>038091012059</v>
      </c>
      <c r="N315" s="25">
        <f>IFERROR(__xludf.DUMMYFUNCTION("""COMPUTED_VALUE"""),44420.0)</f>
        <v>44420</v>
      </c>
      <c r="O315" s="22" t="str">
        <f>IFERROR(__xludf.DUMMYFUNCTION("""COMPUTED_VALUE"""),"Cục Cảnh sát QLHC về TTXH")</f>
        <v>Cục Cảnh sát QLHC về TTXH</v>
      </c>
      <c r="P315" s="22" t="str">
        <f>IFERROR(__xludf.DUMMYFUNCTION("""COMPUTED_VALUE"""),"Trung cấp, nghề")</f>
        <v>Trung cấp, nghề</v>
      </c>
      <c r="Q315" s="22" t="str">
        <f>IFERROR(__xludf.DUMMYFUNCTION("""COMPUTED_VALUE"""),"Lái máy")</f>
        <v>Lái máy</v>
      </c>
      <c r="R315" s="24">
        <f>IFERROR(__xludf.DUMMYFUNCTION("""COMPUTED_VALUE"""),41948.0)</f>
        <v>41948</v>
      </c>
      <c r="S315" s="26">
        <f>IFERROR(__xludf.DUMMYFUNCTION("""COMPUTED_VALUE"""),41948.0)</f>
        <v>41948</v>
      </c>
      <c r="T315" s="22" t="str">
        <f>IFERROR(__xludf.DUMMYFUNCTION("""COMPUTED_VALUE"""),"Chính thức")</f>
        <v>Chính thức</v>
      </c>
      <c r="U315" s="22"/>
      <c r="V315" s="22" t="str">
        <f>IFERROR(__xludf.DUMMYFUNCTION("""COMPUTED_VALUE"""),"Chính thức")</f>
        <v>Chính thức</v>
      </c>
      <c r="W315" s="22" t="str">
        <f>IFERROR(__xludf.DUMMYFUNCTION("""COMPUTED_VALUE"""),"11 năm 1 tháng")</f>
        <v>11 năm 1 tháng</v>
      </c>
      <c r="X315" s="22"/>
      <c r="Y315" s="22"/>
      <c r="Z315" s="22"/>
    </row>
    <row r="316">
      <c r="A316" s="22">
        <f>IFERROR(__xludf.DUMMYFUNCTION("""COMPUTED_VALUE"""),26.0)</f>
        <v>26</v>
      </c>
      <c r="B316" s="22" t="str">
        <f>IFERROR(__xludf.DUMMYFUNCTION("""COMPUTED_VALUE"""),"Văn phòng")</f>
        <v>Văn phòng</v>
      </c>
      <c r="C316" s="22" t="str">
        <f>IFERROR(__xludf.DUMMYFUNCTION("""COMPUTED_VALUE"""),"Phòng Kế toán")</f>
        <v>Phòng Kế toán</v>
      </c>
      <c r="D316" s="22" t="str">
        <f>IFERROR(__xludf.DUMMYFUNCTION("""COMPUTED_VALUE"""),"Tổ phục vụ xuất hàng")</f>
        <v>Tổ phục vụ xuất hàng</v>
      </c>
      <c r="E316" s="22" t="str">
        <f>IFERROR(__xludf.DUMMYFUNCTION("""COMPUTED_VALUE"""),"Nhân viên VSCN")</f>
        <v>Nhân viên VSCN</v>
      </c>
      <c r="F316" s="22" t="str">
        <f>IFERROR(__xludf.DUMMYFUNCTION("""COMPUTED_VALUE"""),"NV0396")</f>
        <v>NV0396</v>
      </c>
      <c r="G316" s="22">
        <f>IFERROR(__xludf.DUMMYFUNCTION("""COMPUTED_VALUE"""),236.0)</f>
        <v>236</v>
      </c>
      <c r="H316" s="22" t="str">
        <f>IFERROR(__xludf.DUMMYFUNCTION("""COMPUTED_VALUE"""),"Đỗ Thị Tính")</f>
        <v>Đỗ Thị Tính</v>
      </c>
      <c r="I316" s="22" t="str">
        <f>IFERROR(__xludf.DUMMYFUNCTION("""COMPUTED_VALUE"""),"Nữ")</f>
        <v>Nữ</v>
      </c>
      <c r="J316" s="24">
        <f>IFERROR(__xludf.DUMMYFUNCTION("""COMPUTED_VALUE"""),29453.0)</f>
        <v>29453</v>
      </c>
      <c r="K316" s="22" t="str">
        <f>IFERROR(__xludf.DUMMYFUNCTION("""COMPUTED_VALUE"""),"Phường Quảng Hưng, Thành phố Thanh Hóa,")</f>
        <v>Phường Quảng Hưng, Thành phố Thanh Hóa,</v>
      </c>
      <c r="L316" s="22" t="str">
        <f>IFERROR(__xludf.DUMMYFUNCTION("""COMPUTED_VALUE"""),"0334166325")</f>
        <v>0334166325</v>
      </c>
      <c r="M316" s="22" t="str">
        <f>IFERROR(__xludf.DUMMYFUNCTION("""COMPUTED_VALUE"""),"038180007441")</f>
        <v>038180007441</v>
      </c>
      <c r="N316" s="25">
        <f>IFERROR(__xludf.DUMMYFUNCTION("""COMPUTED_VALUE"""),44317.0)</f>
        <v>44317</v>
      </c>
      <c r="O316" s="22" t="str">
        <f>IFERROR(__xludf.DUMMYFUNCTION("""COMPUTED_VALUE"""),"Cục Cảnh sát QLHC về TTXH")</f>
        <v>Cục Cảnh sát QLHC về TTXH</v>
      </c>
      <c r="P316" s="22" t="str">
        <f>IFERROR(__xludf.DUMMYFUNCTION("""COMPUTED_VALUE"""),"LĐPT")</f>
        <v>LĐPT</v>
      </c>
      <c r="Q316" s="22" t="str">
        <f>IFERROR(__xludf.DUMMYFUNCTION("""COMPUTED_VALUE"""),"Lao động phổ thông")</f>
        <v>Lao động phổ thông</v>
      </c>
      <c r="R316" s="24">
        <f>IFERROR(__xludf.DUMMYFUNCTION("""COMPUTED_VALUE"""),39387.0)</f>
        <v>39387</v>
      </c>
      <c r="S316" s="26">
        <f>IFERROR(__xludf.DUMMYFUNCTION("""COMPUTED_VALUE"""),39387.0)</f>
        <v>39387</v>
      </c>
      <c r="T316" s="22" t="str">
        <f>IFERROR(__xludf.DUMMYFUNCTION("""COMPUTED_VALUE"""),"Chính thức")</f>
        <v>Chính thức</v>
      </c>
      <c r="U316" s="22"/>
      <c r="V316" s="22" t="str">
        <f>IFERROR(__xludf.DUMMYFUNCTION("""COMPUTED_VALUE"""),"Chính thức")</f>
        <v>Chính thức</v>
      </c>
      <c r="W316" s="22" t="str">
        <f>IFERROR(__xludf.DUMMYFUNCTION("""COMPUTED_VALUE"""),"18 năm 1 tháng")</f>
        <v>18 năm 1 tháng</v>
      </c>
      <c r="X316" s="22"/>
      <c r="Y316" s="22"/>
      <c r="Z316" s="22"/>
    </row>
    <row r="317">
      <c r="A317" s="22">
        <f>IFERROR(__xludf.DUMMYFUNCTION("""COMPUTED_VALUE"""),27.0)</f>
        <v>27</v>
      </c>
      <c r="B317" s="22" t="str">
        <f>IFERROR(__xludf.DUMMYFUNCTION("""COMPUTED_VALUE"""),"Văn phòng")</f>
        <v>Văn phòng</v>
      </c>
      <c r="C317" s="22" t="str">
        <f>IFERROR(__xludf.DUMMYFUNCTION("""COMPUTED_VALUE"""),"Phòng Kế toán")</f>
        <v>Phòng Kế toán</v>
      </c>
      <c r="D317" s="22" t="str">
        <f>IFERROR(__xludf.DUMMYFUNCTION("""COMPUTED_VALUE"""),"Tổ phục vụ xuất hàng")</f>
        <v>Tổ phục vụ xuất hàng</v>
      </c>
      <c r="E317" s="22" t="str">
        <f>IFERROR(__xludf.DUMMYFUNCTION("""COMPUTED_VALUE"""),"Nhân viên VSCN")</f>
        <v>Nhân viên VSCN</v>
      </c>
      <c r="F317" s="22" t="str">
        <f>IFERROR(__xludf.DUMMYFUNCTION("""COMPUTED_VALUE"""),"NV1063")</f>
        <v>NV1063</v>
      </c>
      <c r="G317" s="22">
        <f>IFERROR(__xludf.DUMMYFUNCTION("""COMPUTED_VALUE"""),235.0)</f>
        <v>235</v>
      </c>
      <c r="H317" s="22" t="str">
        <f>IFERROR(__xludf.DUMMYFUNCTION("""COMPUTED_VALUE"""),"Lê Thị Dung")</f>
        <v>Lê Thị Dung</v>
      </c>
      <c r="I317" s="22" t="str">
        <f>IFERROR(__xludf.DUMMYFUNCTION("""COMPUTED_VALUE"""),"Nữ")</f>
        <v>Nữ</v>
      </c>
      <c r="J317" s="24">
        <f>IFERROR(__xludf.DUMMYFUNCTION("""COMPUTED_VALUE"""),25693.0)</f>
        <v>25693</v>
      </c>
      <c r="K317" s="22" t="str">
        <f>IFERROR(__xludf.DUMMYFUNCTION("""COMPUTED_VALUE"""),"Phố Lễ Môn, Xã Đông Hải, Thành phố Thanh Hóa")</f>
        <v>Phố Lễ Môn, Xã Đông Hải, Thành phố Thanh Hóa</v>
      </c>
      <c r="L317" s="22" t="str">
        <f>IFERROR(__xludf.DUMMYFUNCTION("""COMPUTED_VALUE"""),"0358063001")</f>
        <v>0358063001</v>
      </c>
      <c r="M317" s="22" t="str">
        <f>IFERROR(__xludf.DUMMYFUNCTION("""COMPUTED_VALUE"""),"038170008349")</f>
        <v>038170008349</v>
      </c>
      <c r="N317" s="25">
        <f>IFERROR(__xludf.DUMMYFUNCTION("""COMPUTED_VALUE"""),44311.0)</f>
        <v>44311</v>
      </c>
      <c r="O317" s="22" t="str">
        <f>IFERROR(__xludf.DUMMYFUNCTION("""COMPUTED_VALUE"""),"Cục Cảnh sát QLHC về TTXH")</f>
        <v>Cục Cảnh sát QLHC về TTXH</v>
      </c>
      <c r="P317" s="22" t="str">
        <f>IFERROR(__xludf.DUMMYFUNCTION("""COMPUTED_VALUE"""),"LĐPT")</f>
        <v>LĐPT</v>
      </c>
      <c r="Q317" s="22" t="str">
        <f>IFERROR(__xludf.DUMMYFUNCTION("""COMPUTED_VALUE"""),"Lao động phổ thông")</f>
        <v>Lao động phổ thông</v>
      </c>
      <c r="R317" s="24">
        <f>IFERROR(__xludf.DUMMYFUNCTION("""COMPUTED_VALUE"""),42958.0)</f>
        <v>42958</v>
      </c>
      <c r="S317" s="26">
        <f>IFERROR(__xludf.DUMMYFUNCTION("""COMPUTED_VALUE"""),43466.0)</f>
        <v>43466</v>
      </c>
      <c r="T317" s="22" t="str">
        <f>IFERROR(__xludf.DUMMYFUNCTION("""COMPUTED_VALUE"""),"Chính thức")</f>
        <v>Chính thức</v>
      </c>
      <c r="U317" s="22"/>
      <c r="V317" s="22" t="str">
        <f>IFERROR(__xludf.DUMMYFUNCTION("""COMPUTED_VALUE"""),"Chính thức")</f>
        <v>Chính thức</v>
      </c>
      <c r="W317" s="22" t="str">
        <f>IFERROR(__xludf.DUMMYFUNCTION("""COMPUTED_VALUE"""),"8 năm 4 tháng")</f>
        <v>8 năm 4 tháng</v>
      </c>
      <c r="X317" s="22"/>
      <c r="Y317" s="22"/>
      <c r="Z317" s="22"/>
    </row>
    <row r="318">
      <c r="A318" s="22">
        <f>IFERROR(__xludf.DUMMYFUNCTION("""COMPUTED_VALUE"""),28.0)</f>
        <v>28</v>
      </c>
      <c r="B318" s="22" t="str">
        <f>IFERROR(__xludf.DUMMYFUNCTION("""COMPUTED_VALUE"""),"Văn phòng")</f>
        <v>Văn phòng</v>
      </c>
      <c r="C318" s="22" t="str">
        <f>IFERROR(__xludf.DUMMYFUNCTION("""COMPUTED_VALUE"""),"Phòng Kế toán")</f>
        <v>Phòng Kế toán</v>
      </c>
      <c r="D318" s="22" t="str">
        <f>IFERROR(__xludf.DUMMYFUNCTION("""COMPUTED_VALUE"""),"Tổ phục vụ xuất hàng")</f>
        <v>Tổ phục vụ xuất hàng</v>
      </c>
      <c r="E318" s="22" t="str">
        <f>IFERROR(__xludf.DUMMYFUNCTION("""COMPUTED_VALUE"""),"Nhân viên VSCN")</f>
        <v>Nhân viên VSCN</v>
      </c>
      <c r="F318" s="22" t="str">
        <f>IFERROR(__xludf.DUMMYFUNCTION("""COMPUTED_VALUE"""),"NV0397")</f>
        <v>NV0397</v>
      </c>
      <c r="G318" s="22">
        <f>IFERROR(__xludf.DUMMYFUNCTION("""COMPUTED_VALUE"""),231.0)</f>
        <v>231</v>
      </c>
      <c r="H318" s="22" t="str">
        <f>IFERROR(__xludf.DUMMYFUNCTION("""COMPUTED_VALUE"""),"Lê Thị Nhưng")</f>
        <v>Lê Thị Nhưng</v>
      </c>
      <c r="I318" s="22" t="str">
        <f>IFERROR(__xludf.DUMMYFUNCTION("""COMPUTED_VALUE"""),"Nữ")</f>
        <v>Nữ</v>
      </c>
      <c r="J318" s="24">
        <f>IFERROR(__xludf.DUMMYFUNCTION("""COMPUTED_VALUE"""),26766.0)</f>
        <v>26766</v>
      </c>
      <c r="K318" s="22" t="str">
        <f>IFERROR(__xludf.DUMMYFUNCTION("""COMPUTED_VALUE"""),"Thôn Đông Lễ - Xã Đông Hải - TP. Thanh Hóa")</f>
        <v>Thôn Đông Lễ - Xã Đông Hải - TP. Thanh Hóa</v>
      </c>
      <c r="L318" s="22" t="str">
        <f>IFERROR(__xludf.DUMMYFUNCTION("""COMPUTED_VALUE"""),"0332653213")</f>
        <v>0332653213</v>
      </c>
      <c r="M318" s="22" t="str">
        <f>IFERROR(__xludf.DUMMYFUNCTION("""COMPUTED_VALUE"""),"038173011352")</f>
        <v>038173011352</v>
      </c>
      <c r="N318" s="25">
        <f>IFERROR(__xludf.DUMMYFUNCTION("""COMPUTED_VALUE"""),44294.0)</f>
        <v>44294</v>
      </c>
      <c r="O318" s="22" t="str">
        <f>IFERROR(__xludf.DUMMYFUNCTION("""COMPUTED_VALUE"""),"Cục Cảnh sát QLHC về TTXH")</f>
        <v>Cục Cảnh sát QLHC về TTXH</v>
      </c>
      <c r="P318" s="22" t="str">
        <f>IFERROR(__xludf.DUMMYFUNCTION("""COMPUTED_VALUE"""),"LĐPT")</f>
        <v>LĐPT</v>
      </c>
      <c r="Q318" s="22" t="str">
        <f>IFERROR(__xludf.DUMMYFUNCTION("""COMPUTED_VALUE"""),"Lao động phổ thông")</f>
        <v>Lao động phổ thông</v>
      </c>
      <c r="R318" s="24">
        <f>IFERROR(__xludf.DUMMYFUNCTION("""COMPUTED_VALUE"""),39521.0)</f>
        <v>39521</v>
      </c>
      <c r="S318" s="26">
        <f>IFERROR(__xludf.DUMMYFUNCTION("""COMPUTED_VALUE"""),39521.0)</f>
        <v>39521</v>
      </c>
      <c r="T318" s="22" t="str">
        <f>IFERROR(__xludf.DUMMYFUNCTION("""COMPUTED_VALUE"""),"Chính thức")</f>
        <v>Chính thức</v>
      </c>
      <c r="U318" s="22"/>
      <c r="V318" s="22" t="str">
        <f>IFERROR(__xludf.DUMMYFUNCTION("""COMPUTED_VALUE"""),"Chính thức")</f>
        <v>Chính thức</v>
      </c>
      <c r="W318" s="22" t="str">
        <f>IFERROR(__xludf.DUMMYFUNCTION("""COMPUTED_VALUE"""),"17 năm 9 tháng")</f>
        <v>17 năm 9 tháng</v>
      </c>
      <c r="X318" s="22"/>
      <c r="Y318" s="22"/>
      <c r="Z318" s="22"/>
    </row>
    <row r="319">
      <c r="A319" s="22">
        <f>IFERROR(__xludf.DUMMYFUNCTION("""COMPUTED_VALUE"""),29.0)</f>
        <v>29</v>
      </c>
      <c r="B319" s="22" t="str">
        <f>IFERROR(__xludf.DUMMYFUNCTION("""COMPUTED_VALUE"""),"Văn phòng")</f>
        <v>Văn phòng</v>
      </c>
      <c r="C319" s="22" t="str">
        <f>IFERROR(__xludf.DUMMYFUNCTION("""COMPUTED_VALUE"""),"Phòng Kế toán")</f>
        <v>Phòng Kế toán</v>
      </c>
      <c r="D319" s="22" t="str">
        <f>IFERROR(__xludf.DUMMYFUNCTION("""COMPUTED_VALUE"""),"Tổ phục vụ xuất hàng")</f>
        <v>Tổ phục vụ xuất hàng</v>
      </c>
      <c r="E319" s="22" t="str">
        <f>IFERROR(__xludf.DUMMYFUNCTION("""COMPUTED_VALUE"""),"Nhân viên chỉ hàng")</f>
        <v>Nhân viên chỉ hàng</v>
      </c>
      <c r="F319" s="22" t="str">
        <f>IFERROR(__xludf.DUMMYFUNCTION("""COMPUTED_VALUE"""),"NV0083")</f>
        <v>NV0083</v>
      </c>
      <c r="G319" s="22">
        <f>IFERROR(__xludf.DUMMYFUNCTION("""COMPUTED_VALUE"""),733.0)</f>
        <v>733</v>
      </c>
      <c r="H319" s="22" t="str">
        <f>IFERROR(__xludf.DUMMYFUNCTION("""COMPUTED_VALUE"""),"Trịnh Thị Hằng")</f>
        <v>Trịnh Thị Hằng</v>
      </c>
      <c r="I319" s="22" t="str">
        <f>IFERROR(__xludf.DUMMYFUNCTION("""COMPUTED_VALUE"""),"Nữ")</f>
        <v>Nữ</v>
      </c>
      <c r="J319" s="24">
        <f>IFERROR(__xludf.DUMMYFUNCTION("""COMPUTED_VALUE"""),28722.0)</f>
        <v>28722</v>
      </c>
      <c r="K319" s="22" t="str">
        <f>IFERROR(__xludf.DUMMYFUNCTION("""COMPUTED_VALUE"""),"Phường Quảng Hưng, Thành phố Thanh Hóa,")</f>
        <v>Phường Quảng Hưng, Thành phố Thanh Hóa,</v>
      </c>
      <c r="L319" s="22" t="str">
        <f>IFERROR(__xludf.DUMMYFUNCTION("""COMPUTED_VALUE"""),"0387795941")</f>
        <v>0387795941</v>
      </c>
      <c r="M319" s="22" t="str">
        <f>IFERROR(__xludf.DUMMYFUNCTION("""COMPUTED_VALUE"""),"038178025094")</f>
        <v>038178025094</v>
      </c>
      <c r="N319" s="25">
        <f>IFERROR(__xludf.DUMMYFUNCTION("""COMPUTED_VALUE"""),44455.0)</f>
        <v>44455</v>
      </c>
      <c r="O319" s="22" t="str">
        <f>IFERROR(__xludf.DUMMYFUNCTION("""COMPUTED_VALUE"""),"Cục Cảnh sát QLHC về TTXH")</f>
        <v>Cục Cảnh sát QLHC về TTXH</v>
      </c>
      <c r="P319" s="22" t="str">
        <f>IFERROR(__xludf.DUMMYFUNCTION("""COMPUTED_VALUE"""),"LĐPT")</f>
        <v>LĐPT</v>
      </c>
      <c r="Q319" s="22" t="str">
        <f>IFERROR(__xludf.DUMMYFUNCTION("""COMPUTED_VALUE"""),"Lao động phổ thông")</f>
        <v>Lao động phổ thông</v>
      </c>
      <c r="R319" s="24">
        <f>IFERROR(__xludf.DUMMYFUNCTION("""COMPUTED_VALUE"""),36956.0)</f>
        <v>36956</v>
      </c>
      <c r="S319" s="26">
        <f>IFERROR(__xludf.DUMMYFUNCTION("""COMPUTED_VALUE"""),36956.0)</f>
        <v>36956</v>
      </c>
      <c r="T319" s="22" t="str">
        <f>IFERROR(__xludf.DUMMYFUNCTION("""COMPUTED_VALUE"""),"Chính thức")</f>
        <v>Chính thức</v>
      </c>
      <c r="U319" s="22"/>
      <c r="V319" s="22" t="str">
        <f>IFERROR(__xludf.DUMMYFUNCTION("""COMPUTED_VALUE"""),"Chính thức")</f>
        <v>Chính thức</v>
      </c>
      <c r="W319" s="22" t="str">
        <f>IFERROR(__xludf.DUMMYFUNCTION("""COMPUTED_VALUE"""),"24 năm 9 tháng")</f>
        <v>24 năm 9 tháng</v>
      </c>
      <c r="X319" s="22"/>
      <c r="Y319" s="22"/>
      <c r="Z319" s="22"/>
    </row>
    <row r="320">
      <c r="A320" s="22">
        <f>IFERROR(__xludf.DUMMYFUNCTION("""COMPUTED_VALUE"""),30.0)</f>
        <v>30</v>
      </c>
      <c r="B320" s="22" t="str">
        <f>IFERROR(__xludf.DUMMYFUNCTION("""COMPUTED_VALUE"""),"Văn phòng")</f>
        <v>Văn phòng</v>
      </c>
      <c r="C320" s="22" t="str">
        <f>IFERROR(__xludf.DUMMYFUNCTION("""COMPUTED_VALUE"""),"Phòng Kế toán")</f>
        <v>Phòng Kế toán</v>
      </c>
      <c r="D320" s="22" t="str">
        <f>IFERROR(__xludf.DUMMYFUNCTION("""COMPUTED_VALUE"""),"Tổ phục vụ xuất hàng")</f>
        <v>Tổ phục vụ xuất hàng</v>
      </c>
      <c r="E320" s="22" t="str">
        <f>IFERROR(__xludf.DUMMYFUNCTION("""COMPUTED_VALUE"""),"Nhân viên chỉ hàng")</f>
        <v>Nhân viên chỉ hàng</v>
      </c>
      <c r="F320" s="22" t="str">
        <f>IFERROR(__xludf.DUMMYFUNCTION("""COMPUTED_VALUE"""),"NV0753")</f>
        <v>NV0753</v>
      </c>
      <c r="G320" s="22">
        <f>IFERROR(__xludf.DUMMYFUNCTION("""COMPUTED_VALUE"""),95.0)</f>
        <v>95</v>
      </c>
      <c r="H320" s="22" t="str">
        <f>IFERROR(__xludf.DUMMYFUNCTION("""COMPUTED_VALUE"""),"Lâm Thị Lài")</f>
        <v>Lâm Thị Lài</v>
      </c>
      <c r="I320" s="22" t="str">
        <f>IFERROR(__xludf.DUMMYFUNCTION("""COMPUTED_VALUE"""),"Nữ")</f>
        <v>Nữ</v>
      </c>
      <c r="J320" s="24">
        <f>IFERROR(__xludf.DUMMYFUNCTION("""COMPUTED_VALUE"""),27455.0)</f>
        <v>27455</v>
      </c>
      <c r="K320" s="22" t="str">
        <f>IFERROR(__xludf.DUMMYFUNCTION("""COMPUTED_VALUE"""),"01/214 Nguyễn Tĩnh,, Xã Đông Hương, Thành phố Thanh Hóa")</f>
        <v>01/214 Nguyễn Tĩnh,, Xã Đông Hương, Thành phố Thanh Hóa</v>
      </c>
      <c r="L320" s="22" t="str">
        <f>IFERROR(__xludf.DUMMYFUNCTION("""COMPUTED_VALUE"""),"0979379664")</f>
        <v>0979379664</v>
      </c>
      <c r="M320" s="22" t="str">
        <f>IFERROR(__xludf.DUMMYFUNCTION("""COMPUTED_VALUE"""),"038175006370")</f>
        <v>038175006370</v>
      </c>
      <c r="N320" s="25">
        <f>IFERROR(__xludf.DUMMYFUNCTION("""COMPUTED_VALUE"""),44422.0)</f>
        <v>44422</v>
      </c>
      <c r="O320" s="22" t="str">
        <f>IFERROR(__xludf.DUMMYFUNCTION("""COMPUTED_VALUE"""),"Cục Cảnh sát QLHC về TTXH")</f>
        <v>Cục Cảnh sát QLHC về TTXH</v>
      </c>
      <c r="P320" s="22" t="str">
        <f>IFERROR(__xludf.DUMMYFUNCTION("""COMPUTED_VALUE"""),"LĐPT")</f>
        <v>LĐPT</v>
      </c>
      <c r="Q320" s="22" t="str">
        <f>IFERROR(__xludf.DUMMYFUNCTION("""COMPUTED_VALUE"""),"Lao động phổ thông")</f>
        <v>Lao động phổ thông</v>
      </c>
      <c r="R320" s="24">
        <f>IFERROR(__xludf.DUMMYFUNCTION("""COMPUTED_VALUE"""),40599.0)</f>
        <v>40599</v>
      </c>
      <c r="S320" s="26">
        <f>IFERROR(__xludf.DUMMYFUNCTION("""COMPUTED_VALUE"""),40599.0)</f>
        <v>40599</v>
      </c>
      <c r="T320" s="22" t="str">
        <f>IFERROR(__xludf.DUMMYFUNCTION("""COMPUTED_VALUE"""),"Chính thức")</f>
        <v>Chính thức</v>
      </c>
      <c r="U320" s="22"/>
      <c r="V320" s="22" t="str">
        <f>IFERROR(__xludf.DUMMYFUNCTION("""COMPUTED_VALUE"""),"Chính thức")</f>
        <v>Chính thức</v>
      </c>
      <c r="W320" s="22" t="str">
        <f>IFERROR(__xludf.DUMMYFUNCTION("""COMPUTED_VALUE"""),"14 năm 10 tháng")</f>
        <v>14 năm 10 tháng</v>
      </c>
      <c r="X320" s="22"/>
      <c r="Y320" s="22"/>
      <c r="Z320" s="22"/>
    </row>
    <row r="321">
      <c r="A321" s="22">
        <f>IFERROR(__xludf.DUMMYFUNCTION("""COMPUTED_VALUE"""),31.0)</f>
        <v>31</v>
      </c>
      <c r="B321" s="22" t="str">
        <f>IFERROR(__xludf.DUMMYFUNCTION("""COMPUTED_VALUE"""),"Văn phòng")</f>
        <v>Văn phòng</v>
      </c>
      <c r="C321" s="22" t="str">
        <f>IFERROR(__xludf.DUMMYFUNCTION("""COMPUTED_VALUE"""),"Phòng Kế toán")</f>
        <v>Phòng Kế toán</v>
      </c>
      <c r="D321" s="22" t="str">
        <f>IFERROR(__xludf.DUMMYFUNCTION("""COMPUTED_VALUE"""),"Tổ phục vụ xuất hàng")</f>
        <v>Tổ phục vụ xuất hàng</v>
      </c>
      <c r="E321" s="22" t="str">
        <f>IFERROR(__xludf.DUMMYFUNCTION("""COMPUTED_VALUE"""),"Nhân viên Lái xe nâng")</f>
        <v>Nhân viên Lái xe nâng</v>
      </c>
      <c r="F321" s="22" t="str">
        <f>IFERROR(__xludf.DUMMYFUNCTION("""COMPUTED_VALUE"""),"NV4328")</f>
        <v>NV4328</v>
      </c>
      <c r="G321" s="22">
        <f>IFERROR(__xludf.DUMMYFUNCTION("""COMPUTED_VALUE"""),659.0)</f>
        <v>659</v>
      </c>
      <c r="H321" s="22" t="str">
        <f>IFERROR(__xludf.DUMMYFUNCTION("""COMPUTED_VALUE"""),"Nguyễn Viết Thiện")</f>
        <v>Nguyễn Viết Thiện</v>
      </c>
      <c r="I321" s="22" t="str">
        <f>IFERROR(__xludf.DUMMYFUNCTION("""COMPUTED_VALUE"""),"Nam")</f>
        <v>Nam</v>
      </c>
      <c r="J321" s="24">
        <f>IFERROR(__xludf.DUMMYFUNCTION("""COMPUTED_VALUE"""),31472.0)</f>
        <v>31472</v>
      </c>
      <c r="K321" s="22" t="str">
        <f>IFERROR(__xludf.DUMMYFUNCTION("""COMPUTED_VALUE"""),"Xã Trường Minh, huyện Nông Cống")</f>
        <v>Xã Trường Minh, huyện Nông Cống</v>
      </c>
      <c r="L321" s="22" t="str">
        <f>IFERROR(__xludf.DUMMYFUNCTION("""COMPUTED_VALUE"""),"0987785798")</f>
        <v>0987785798</v>
      </c>
      <c r="M321" s="22" t="str">
        <f>IFERROR(__xludf.DUMMYFUNCTION("""COMPUTED_VALUE"""),"038086048838")</f>
        <v>038086048838</v>
      </c>
      <c r="N321" s="25">
        <f>IFERROR(__xludf.DUMMYFUNCTION("""COMPUTED_VALUE"""),45036.0)</f>
        <v>45036</v>
      </c>
      <c r="O321" s="22" t="str">
        <f>IFERROR(__xludf.DUMMYFUNCTION("""COMPUTED_VALUE"""),"Cục Cảnh sát QLHC về TTXH")</f>
        <v>Cục Cảnh sát QLHC về TTXH</v>
      </c>
      <c r="P321" s="22" t="str">
        <f>IFERROR(__xludf.DUMMYFUNCTION("""COMPUTED_VALUE"""),"Bằng nghề")</f>
        <v>Bằng nghề</v>
      </c>
      <c r="Q321" s="22" t="str">
        <f>IFERROR(__xludf.DUMMYFUNCTION("""COMPUTED_VALUE"""),"Vận hành xe nâng")</f>
        <v>Vận hành xe nâng</v>
      </c>
      <c r="R321" s="24">
        <f>IFERROR(__xludf.DUMMYFUNCTION("""COMPUTED_VALUE"""),44722.0)</f>
        <v>44722</v>
      </c>
      <c r="S321" s="26">
        <f>IFERROR(__xludf.DUMMYFUNCTION("""COMPUTED_VALUE"""),45047.0)</f>
        <v>45047</v>
      </c>
      <c r="T321" s="22" t="str">
        <f>IFERROR(__xludf.DUMMYFUNCTION("""COMPUTED_VALUE"""),"Chính thức")</f>
        <v>Chính thức</v>
      </c>
      <c r="U321" s="22"/>
      <c r="V321" s="22" t="str">
        <f>IFERROR(__xludf.DUMMYFUNCTION("""COMPUTED_VALUE"""),"Chính thức")</f>
        <v>Chính thức</v>
      </c>
      <c r="W321" s="22" t="str">
        <f>IFERROR(__xludf.DUMMYFUNCTION("""COMPUTED_VALUE"""),"3 năm 6 tháng")</f>
        <v>3 năm 6 tháng</v>
      </c>
      <c r="X321" s="22"/>
      <c r="Y321" s="22"/>
      <c r="Z321" s="22"/>
    </row>
    <row r="322">
      <c r="A322" s="22">
        <f>IFERROR(__xludf.DUMMYFUNCTION("""COMPUTED_VALUE"""),32.0)</f>
        <v>32</v>
      </c>
      <c r="B322" s="22" t="str">
        <f>IFERROR(__xludf.DUMMYFUNCTION("""COMPUTED_VALUE"""),"Văn phòng")</f>
        <v>Văn phòng</v>
      </c>
      <c r="C322" s="22" t="str">
        <f>IFERROR(__xludf.DUMMYFUNCTION("""COMPUTED_VALUE"""),"Phòng Kế toán")</f>
        <v>Phòng Kế toán</v>
      </c>
      <c r="D322" s="22" t="str">
        <f>IFERROR(__xludf.DUMMYFUNCTION("""COMPUTED_VALUE"""),"Tổ phục vụ xuất hàng")</f>
        <v>Tổ phục vụ xuất hàng</v>
      </c>
      <c r="E322" s="22" t="str">
        <f>IFERROR(__xludf.DUMMYFUNCTION("""COMPUTED_VALUE"""),"Nhân viên chỉ hàng")</f>
        <v>Nhân viên chỉ hàng</v>
      </c>
      <c r="F322" s="22" t="str">
        <f>IFERROR(__xludf.DUMMYFUNCTION("""COMPUTED_VALUE"""),"NV4731")</f>
        <v>NV4731</v>
      </c>
      <c r="G322" s="22">
        <f>IFERROR(__xludf.DUMMYFUNCTION("""COMPUTED_VALUE"""),86.0)</f>
        <v>86</v>
      </c>
      <c r="H322" s="22" t="str">
        <f>IFERROR(__xludf.DUMMYFUNCTION("""COMPUTED_VALUE"""),"Phạm Văn Chuyền")</f>
        <v>Phạm Văn Chuyền</v>
      </c>
      <c r="I322" s="22" t="str">
        <f>IFERROR(__xludf.DUMMYFUNCTION("""COMPUTED_VALUE"""),"Nam")</f>
        <v>Nam</v>
      </c>
      <c r="J322" s="24">
        <f>IFERROR(__xludf.DUMMYFUNCTION("""COMPUTED_VALUE"""),31495.0)</f>
        <v>31495</v>
      </c>
      <c r="K322" s="22" t="str">
        <f>IFERROR(__xludf.DUMMYFUNCTION("""COMPUTED_VALUE"""),"Cẩm Lương - Vẩm Thủy - Thanh Hóa")</f>
        <v>Cẩm Lương - Vẩm Thủy - Thanh Hóa</v>
      </c>
      <c r="L322" s="22" t="str">
        <f>IFERROR(__xludf.DUMMYFUNCTION("""COMPUTED_VALUE"""),"0982214776")</f>
        <v>0982214776</v>
      </c>
      <c r="M322" s="22" t="str">
        <f>IFERROR(__xludf.DUMMYFUNCTION("""COMPUTED_VALUE"""),"038086044697")</f>
        <v>038086044697</v>
      </c>
      <c r="N322" s="25">
        <f>IFERROR(__xludf.DUMMYFUNCTION("""COMPUTED_VALUE"""),44389.0)</f>
        <v>44389</v>
      </c>
      <c r="O322" s="22" t="str">
        <f>IFERROR(__xludf.DUMMYFUNCTION("""COMPUTED_VALUE"""),"Cục Cảnh sát QLHC về TTXH")</f>
        <v>Cục Cảnh sát QLHC về TTXH</v>
      </c>
      <c r="P322" s="22" t="str">
        <f>IFERROR(__xludf.DUMMYFUNCTION("""COMPUTED_VALUE"""),"LĐPT")</f>
        <v>LĐPT</v>
      </c>
      <c r="Q322" s="22" t="str">
        <f>IFERROR(__xludf.DUMMYFUNCTION("""COMPUTED_VALUE"""),"Lao động phổ thông")</f>
        <v>Lao động phổ thông</v>
      </c>
      <c r="R322" s="24">
        <f>IFERROR(__xludf.DUMMYFUNCTION("""COMPUTED_VALUE"""),45012.0)</f>
        <v>45012</v>
      </c>
      <c r="S322" s="26">
        <f>IFERROR(__xludf.DUMMYFUNCTION("""COMPUTED_VALUE"""),45292.0)</f>
        <v>45292</v>
      </c>
      <c r="T322" s="22" t="str">
        <f>IFERROR(__xludf.DUMMYFUNCTION("""COMPUTED_VALUE"""),"Chính thức")</f>
        <v>Chính thức</v>
      </c>
      <c r="U322" s="22"/>
      <c r="V322" s="22" t="str">
        <f>IFERROR(__xludf.DUMMYFUNCTION("""COMPUTED_VALUE"""),"Chính thức")</f>
        <v>Chính thức</v>
      </c>
      <c r="W322" s="22" t="str">
        <f>IFERROR(__xludf.DUMMYFUNCTION("""COMPUTED_VALUE"""),"2 năm 9 tháng")</f>
        <v>2 năm 9 tháng</v>
      </c>
      <c r="X322" s="22"/>
      <c r="Y322" s="22"/>
      <c r="Z322" s="22"/>
    </row>
    <row r="323">
      <c r="A323" s="22">
        <f>IFERROR(__xludf.DUMMYFUNCTION("""COMPUTED_VALUE"""),33.0)</f>
        <v>33</v>
      </c>
      <c r="B323" s="22" t="str">
        <f>IFERROR(__xludf.DUMMYFUNCTION("""COMPUTED_VALUE"""),"Văn phòng")</f>
        <v>Văn phòng</v>
      </c>
      <c r="C323" s="22" t="str">
        <f>IFERROR(__xludf.DUMMYFUNCTION("""COMPUTED_VALUE"""),"Phòng Kế toán")</f>
        <v>Phòng Kế toán</v>
      </c>
      <c r="D323" s="22" t="str">
        <f>IFERROR(__xludf.DUMMYFUNCTION("""COMPUTED_VALUE"""),"Tổ phục vụ xuất hàng")</f>
        <v>Tổ phục vụ xuất hàng</v>
      </c>
      <c r="E323" s="22" t="str">
        <f>IFERROR(__xludf.DUMMYFUNCTION("""COMPUTED_VALUE"""),"Nhân viên Sơ chế")</f>
        <v>Nhân viên Sơ chế</v>
      </c>
      <c r="F323" s="22" t="str">
        <f>IFERROR(__xludf.DUMMYFUNCTION("""COMPUTED_VALUE"""),"NV2012")</f>
        <v>NV2012</v>
      </c>
      <c r="G323" s="22">
        <f>IFERROR(__xludf.DUMMYFUNCTION("""COMPUTED_VALUE"""),91.0)</f>
        <v>91</v>
      </c>
      <c r="H323" s="22" t="str">
        <f>IFERROR(__xludf.DUMMYFUNCTION("""COMPUTED_VALUE"""),"Lê Minh Tiến")</f>
        <v>Lê Minh Tiến</v>
      </c>
      <c r="I323" s="22" t="str">
        <f>IFERROR(__xludf.DUMMYFUNCTION("""COMPUTED_VALUE"""),"Nam")</f>
        <v>Nam</v>
      </c>
      <c r="J323" s="24">
        <f>IFERROR(__xludf.DUMMYFUNCTION("""COMPUTED_VALUE"""),29209.0)</f>
        <v>29209</v>
      </c>
      <c r="K323" s="22" t="str">
        <f>IFERROR(__xludf.DUMMYFUNCTION("""COMPUTED_VALUE"""),"Xã Quảng Yên, Huyện Quảng Xương, Thanh Hóa")</f>
        <v>Xã Quảng Yên, Huyện Quảng Xương, Thanh Hóa</v>
      </c>
      <c r="L323" s="22" t="str">
        <f>IFERROR(__xludf.DUMMYFUNCTION("""COMPUTED_VALUE"""),"0394175889")</f>
        <v>0394175889</v>
      </c>
      <c r="M323" s="22" t="str">
        <f>IFERROR(__xludf.DUMMYFUNCTION("""COMPUTED_VALUE"""),"038079023952")</f>
        <v>038079023952</v>
      </c>
      <c r="N323" s="25">
        <f>IFERROR(__xludf.DUMMYFUNCTION("""COMPUTED_VALUE"""),44420.0)</f>
        <v>44420</v>
      </c>
      <c r="O323" s="22" t="str">
        <f>IFERROR(__xludf.DUMMYFUNCTION("""COMPUTED_VALUE"""),"Cục Cảnh sát QLHC về TTXH")</f>
        <v>Cục Cảnh sát QLHC về TTXH</v>
      </c>
      <c r="P323" s="22" t="str">
        <f>IFERROR(__xludf.DUMMYFUNCTION("""COMPUTED_VALUE"""),"LĐPT")</f>
        <v>LĐPT</v>
      </c>
      <c r="Q323" s="22" t="str">
        <f>IFERROR(__xludf.DUMMYFUNCTION("""COMPUTED_VALUE"""),"Lao động phổ thông")</f>
        <v>Lao động phổ thông</v>
      </c>
      <c r="R323" s="24">
        <f>IFERROR(__xludf.DUMMYFUNCTION("""COMPUTED_VALUE"""),43434.0)</f>
        <v>43434</v>
      </c>
      <c r="S323" s="26">
        <f>IFERROR(__xludf.DUMMYFUNCTION("""COMPUTED_VALUE"""),43739.0)</f>
        <v>43739</v>
      </c>
      <c r="T323" s="22" t="str">
        <f>IFERROR(__xludf.DUMMYFUNCTION("""COMPUTED_VALUE"""),"Chính thức")</f>
        <v>Chính thức</v>
      </c>
      <c r="U323" s="22"/>
      <c r="V323" s="22" t="str">
        <f>IFERROR(__xludf.DUMMYFUNCTION("""COMPUTED_VALUE"""),"Chính thức")</f>
        <v>Chính thức</v>
      </c>
      <c r="W323" s="22" t="str">
        <f>IFERROR(__xludf.DUMMYFUNCTION("""COMPUTED_VALUE"""),"7 năm 1 tháng")</f>
        <v>7 năm 1 tháng</v>
      </c>
      <c r="X323" s="22"/>
      <c r="Y323" s="22"/>
      <c r="Z323" s="22"/>
    </row>
    <row r="324">
      <c r="A324" s="22">
        <f>IFERROR(__xludf.DUMMYFUNCTION("""COMPUTED_VALUE"""),34.0)</f>
        <v>34</v>
      </c>
      <c r="B324" s="22" t="str">
        <f>IFERROR(__xludf.DUMMYFUNCTION("""COMPUTED_VALUE"""),"Văn phòng")</f>
        <v>Văn phòng</v>
      </c>
      <c r="C324" s="22" t="str">
        <f>IFERROR(__xludf.DUMMYFUNCTION("""COMPUTED_VALUE"""),"Phòng Kế toán")</f>
        <v>Phòng Kế toán</v>
      </c>
      <c r="D324" s="22" t="str">
        <f>IFERROR(__xludf.DUMMYFUNCTION("""COMPUTED_VALUE"""),"Tổ phục vụ xuất hàng")</f>
        <v>Tổ phục vụ xuất hàng</v>
      </c>
      <c r="E324" s="22" t="str">
        <f>IFERROR(__xludf.DUMMYFUNCTION("""COMPUTED_VALUE"""),"Nhân viên Lái xe nâng")</f>
        <v>Nhân viên Lái xe nâng</v>
      </c>
      <c r="F324" s="22" t="str">
        <f>IFERROR(__xludf.DUMMYFUNCTION("""COMPUTED_VALUE"""),"NV0389")</f>
        <v>NV0389</v>
      </c>
      <c r="G324" s="22">
        <f>IFERROR(__xludf.DUMMYFUNCTION("""COMPUTED_VALUE"""),83.0)</f>
        <v>83</v>
      </c>
      <c r="H324" s="22" t="str">
        <f>IFERROR(__xludf.DUMMYFUNCTION("""COMPUTED_VALUE"""),"Nguyễn Bá Dũng")</f>
        <v>Nguyễn Bá Dũng</v>
      </c>
      <c r="I324" s="22" t="str">
        <f>IFERROR(__xludf.DUMMYFUNCTION("""COMPUTED_VALUE"""),"Nam")</f>
        <v>Nam</v>
      </c>
      <c r="J324" s="24">
        <f>IFERROR(__xludf.DUMMYFUNCTION("""COMPUTED_VALUE"""),29143.0)</f>
        <v>29143</v>
      </c>
      <c r="K324" s="22" t="str">
        <f>IFERROR(__xludf.DUMMYFUNCTION("""COMPUTED_VALUE"""),"Phường Quảng Hưng, Thành Phố Thanh Hóa,")</f>
        <v>Phường Quảng Hưng, Thành Phố Thanh Hóa,</v>
      </c>
      <c r="L324" s="22" t="str">
        <f>IFERROR(__xludf.DUMMYFUNCTION("""COMPUTED_VALUE"""),"0964895495")</f>
        <v>0964895495</v>
      </c>
      <c r="M324" s="22" t="str">
        <f>IFERROR(__xludf.DUMMYFUNCTION("""COMPUTED_VALUE"""),"038079016286")</f>
        <v>038079016286</v>
      </c>
      <c r="N324" s="25">
        <f>IFERROR(__xludf.DUMMYFUNCTION("""COMPUTED_VALUE"""),44317.0)</f>
        <v>44317</v>
      </c>
      <c r="O324" s="22" t="str">
        <f>IFERROR(__xludf.DUMMYFUNCTION("""COMPUTED_VALUE"""),"Cục Cảnh sát QLHC về TTXH")</f>
        <v>Cục Cảnh sát QLHC về TTXH</v>
      </c>
      <c r="P324" s="22" t="str">
        <f>IFERROR(__xludf.DUMMYFUNCTION("""COMPUTED_VALUE"""),"Sơ cấp nghề")</f>
        <v>Sơ cấp nghề</v>
      </c>
      <c r="Q324" s="22" t="str">
        <f>IFERROR(__xludf.DUMMYFUNCTION("""COMPUTED_VALUE"""),"Lái xe nâng")</f>
        <v>Lái xe nâng</v>
      </c>
      <c r="R324" s="22"/>
      <c r="S324" s="26">
        <f>IFERROR(__xludf.DUMMYFUNCTION("""COMPUTED_VALUE"""),41413.0)</f>
        <v>41413</v>
      </c>
      <c r="T324" s="22" t="str">
        <f>IFERROR(__xludf.DUMMYFUNCTION("""COMPUTED_VALUE"""),"Chính thức")</f>
        <v>Chính thức</v>
      </c>
      <c r="U324" s="22"/>
      <c r="V324" s="22" t="str">
        <f>IFERROR(__xludf.DUMMYFUNCTION("""COMPUTED_VALUE"""),"Chính thức")</f>
        <v>Chính thức</v>
      </c>
      <c r="W324" s="22" t="str">
        <f>IFERROR(__xludf.DUMMYFUNCTION("""COMPUTED_VALUE"""),"12 năm 7 tháng")</f>
        <v>12 năm 7 tháng</v>
      </c>
      <c r="X324" s="22"/>
      <c r="Y324" s="22"/>
      <c r="Z324" s="22"/>
    </row>
    <row r="325">
      <c r="A325" s="22">
        <f>IFERROR(__xludf.DUMMYFUNCTION("""COMPUTED_VALUE"""),35.0)</f>
        <v>35</v>
      </c>
      <c r="B325" s="22" t="str">
        <f>IFERROR(__xludf.DUMMYFUNCTION("""COMPUTED_VALUE"""),"Văn phòng")</f>
        <v>Văn phòng</v>
      </c>
      <c r="C325" s="22" t="str">
        <f>IFERROR(__xludf.DUMMYFUNCTION("""COMPUTED_VALUE"""),"Phòng Kế toán")</f>
        <v>Phòng Kế toán</v>
      </c>
      <c r="D325" s="22" t="str">
        <f>IFERROR(__xludf.DUMMYFUNCTION("""COMPUTED_VALUE"""),"Tổ phục vụ xuất hàng")</f>
        <v>Tổ phục vụ xuất hàng</v>
      </c>
      <c r="E325" s="22" t="str">
        <f>IFERROR(__xludf.DUMMYFUNCTION("""COMPUTED_VALUE"""),"Nhân viên chỉ hàng")</f>
        <v>Nhân viên chỉ hàng</v>
      </c>
      <c r="F325" s="22" t="str">
        <f>IFERROR(__xludf.DUMMYFUNCTION("""COMPUTED_VALUE"""),"NV5336")</f>
        <v>NV5336</v>
      </c>
      <c r="G325" s="22">
        <f>IFERROR(__xludf.DUMMYFUNCTION("""COMPUTED_VALUE"""),142.0)</f>
        <v>142</v>
      </c>
      <c r="H325" s="22" t="str">
        <f>IFERROR(__xludf.DUMMYFUNCTION("""COMPUTED_VALUE"""),"Nguyễn Xuân Phương")</f>
        <v>Nguyễn Xuân Phương</v>
      </c>
      <c r="I325" s="22" t="str">
        <f>IFERROR(__xludf.DUMMYFUNCTION("""COMPUTED_VALUE"""),"Nam")</f>
        <v>Nam</v>
      </c>
      <c r="J325" s="24">
        <f>IFERROR(__xludf.DUMMYFUNCTION("""COMPUTED_VALUE"""),38798.0)</f>
        <v>38798</v>
      </c>
      <c r="K325" s="22" t="str">
        <f>IFERROR(__xludf.DUMMYFUNCTION("""COMPUTED_VALUE"""),"thị trấn Tân Phong, Quảng Xương, Thanh Hóa")</f>
        <v>thị trấn Tân Phong, Quảng Xương, Thanh Hóa</v>
      </c>
      <c r="L325" s="22" t="str">
        <f>IFERROR(__xludf.DUMMYFUNCTION("""COMPUTED_VALUE"""),"0867844240")</f>
        <v>0867844240</v>
      </c>
      <c r="M325" s="22" t="str">
        <f>IFERROR(__xludf.DUMMYFUNCTION("""COMPUTED_VALUE"""),"038206032146")</f>
        <v>038206032146</v>
      </c>
      <c r="N325" s="25">
        <f>IFERROR(__xludf.DUMMYFUNCTION("""COMPUTED_VALUE"""),44428.0)</f>
        <v>44428</v>
      </c>
      <c r="O325" s="22" t="str">
        <f>IFERROR(__xludf.DUMMYFUNCTION("""COMPUTED_VALUE"""),"Cục Cảnh sát QLHC về TTXH")</f>
        <v>Cục Cảnh sát QLHC về TTXH</v>
      </c>
      <c r="P325" s="22" t="str">
        <f>IFERROR(__xludf.DUMMYFUNCTION("""COMPUTED_VALUE"""),"LĐPT")</f>
        <v>LĐPT</v>
      </c>
      <c r="Q325" s="22" t="str">
        <f>IFERROR(__xludf.DUMMYFUNCTION("""COMPUTED_VALUE"""),"Lao động phổ thông")</f>
        <v>Lao động phổ thông</v>
      </c>
      <c r="R325" s="24">
        <f>IFERROR(__xludf.DUMMYFUNCTION("""COMPUTED_VALUE"""),45483.0)</f>
        <v>45483</v>
      </c>
      <c r="S325" s="22"/>
      <c r="T325" s="22" t="str">
        <f>IFERROR(__xludf.DUMMYFUNCTION("""COMPUTED_VALUE"""),"Chính thức")</f>
        <v>Chính thức</v>
      </c>
      <c r="U325" s="22"/>
      <c r="V325" s="22" t="str">
        <f>IFERROR(__xludf.DUMMYFUNCTION("""COMPUTED_VALUE"""),"Chính thức")</f>
        <v>Chính thức</v>
      </c>
      <c r="W325" s="22" t="str">
        <f>IFERROR(__xludf.DUMMYFUNCTION("""COMPUTED_VALUE"""),"1 năm 5 tháng")</f>
        <v>1 năm 5 tháng</v>
      </c>
      <c r="X325" s="22"/>
      <c r="Y325" s="22"/>
      <c r="Z325" s="22"/>
    </row>
    <row r="326">
      <c r="A326" s="22">
        <f>IFERROR(__xludf.DUMMYFUNCTION("""COMPUTED_VALUE"""),36.0)</f>
        <v>36</v>
      </c>
      <c r="B326" s="22" t="str">
        <f>IFERROR(__xludf.DUMMYFUNCTION("""COMPUTED_VALUE"""),"Văn phòng")</f>
        <v>Văn phòng</v>
      </c>
      <c r="C326" s="22" t="str">
        <f>IFERROR(__xludf.DUMMYFUNCTION("""COMPUTED_VALUE"""),"Phòng Kế toán")</f>
        <v>Phòng Kế toán</v>
      </c>
      <c r="D326" s="22" t="str">
        <f>IFERROR(__xludf.DUMMYFUNCTION("""COMPUTED_VALUE"""),"Tổ phục vụ xuất hàng")</f>
        <v>Tổ phục vụ xuất hàng</v>
      </c>
      <c r="E326" s="22" t="str">
        <f>IFERROR(__xludf.DUMMYFUNCTION("""COMPUTED_VALUE"""),"Nhân viên lái xe chuyển tải")</f>
        <v>Nhân viên lái xe chuyển tải</v>
      </c>
      <c r="F326" s="22" t="str">
        <f>IFERROR(__xludf.DUMMYFUNCTION("""COMPUTED_VALUE"""),"NV5411")</f>
        <v>NV5411</v>
      </c>
      <c r="G326" s="22">
        <f>IFERROR(__xludf.DUMMYFUNCTION("""COMPUTED_VALUE"""),857.0)</f>
        <v>857</v>
      </c>
      <c r="H326" s="22" t="str">
        <f>IFERROR(__xludf.DUMMYFUNCTION("""COMPUTED_VALUE"""),"Nguyễn Viết Nghiêm")</f>
        <v>Nguyễn Viết Nghiêm</v>
      </c>
      <c r="I326" s="22" t="str">
        <f>IFERROR(__xludf.DUMMYFUNCTION("""COMPUTED_VALUE"""),"Nam")</f>
        <v>Nam</v>
      </c>
      <c r="J326" s="24">
        <f>IFERROR(__xludf.DUMMYFUNCTION("""COMPUTED_VALUE"""),28741.0)</f>
        <v>28741</v>
      </c>
      <c r="K326" s="22" t="str">
        <f>IFERROR(__xludf.DUMMYFUNCTION("""COMPUTED_VALUE"""),"Phố 4 - Phường Quảng Phú - Tỉnh Thanh Hóa")</f>
        <v>Phố 4 - Phường Quảng Phú - Tỉnh Thanh Hóa</v>
      </c>
      <c r="L326" s="22" t="str">
        <f>IFERROR(__xludf.DUMMYFUNCTION("""COMPUTED_VALUE"""),"0913600459")</f>
        <v>0913600459</v>
      </c>
      <c r="M326" s="22" t="str">
        <f>IFERROR(__xludf.DUMMYFUNCTION("""COMPUTED_VALUE"""),"038078010417")</f>
        <v>038078010417</v>
      </c>
      <c r="N326" s="25">
        <f>IFERROR(__xludf.DUMMYFUNCTION("""COMPUTED_VALUE"""),44419.0)</f>
        <v>44419</v>
      </c>
      <c r="O326" s="22" t="str">
        <f>IFERROR(__xludf.DUMMYFUNCTION("""COMPUTED_VALUE"""),"Cục Cảnh sát QLHC về TTXH")</f>
        <v>Cục Cảnh sát QLHC về TTXH</v>
      </c>
      <c r="P326" s="22" t="str">
        <f>IFERROR(__xludf.DUMMYFUNCTION("""COMPUTED_VALUE"""),"Bằng nghề")</f>
        <v>Bằng nghề</v>
      </c>
      <c r="Q326" s="22" t="str">
        <f>IFERROR(__xludf.DUMMYFUNCTION("""COMPUTED_VALUE"""),"Lái Xe hạng C")</f>
        <v>Lái Xe hạng C</v>
      </c>
      <c r="R326" s="24">
        <f>IFERROR(__xludf.DUMMYFUNCTION("""COMPUTED_VALUE"""),45710.0)</f>
        <v>45710</v>
      </c>
      <c r="S326" s="22"/>
      <c r="T326" s="22" t="str">
        <f>IFERROR(__xludf.DUMMYFUNCTION("""COMPUTED_VALUE"""),"Chính thức")</f>
        <v>Chính thức</v>
      </c>
      <c r="U326" s="22"/>
      <c r="V326" s="22" t="str">
        <f>IFERROR(__xludf.DUMMYFUNCTION("""COMPUTED_VALUE"""),"Chính thức")</f>
        <v>Chính thức</v>
      </c>
      <c r="W326" s="22" t="str">
        <f>IFERROR(__xludf.DUMMYFUNCTION("""COMPUTED_VALUE"""),"0 năm 10 tháng")</f>
        <v>0 năm 10 tháng</v>
      </c>
      <c r="X326" s="22"/>
      <c r="Y326" s="22"/>
      <c r="Z326" s="22"/>
    </row>
    <row r="327">
      <c r="A327" s="22">
        <f>IFERROR(__xludf.DUMMYFUNCTION("""COMPUTED_VALUE"""),37.0)</f>
        <v>37</v>
      </c>
      <c r="B327" s="22" t="str">
        <f>IFERROR(__xludf.DUMMYFUNCTION("""COMPUTED_VALUE"""),"Văn phòng")</f>
        <v>Văn phòng</v>
      </c>
      <c r="C327" s="22" t="str">
        <f>IFERROR(__xludf.DUMMYFUNCTION("""COMPUTED_VALUE"""),"Phòng Kế toán")</f>
        <v>Phòng Kế toán</v>
      </c>
      <c r="D327" s="22" t="str">
        <f>IFERROR(__xludf.DUMMYFUNCTION("""COMPUTED_VALUE"""),"Tổ phục vụ xuất hàng")</f>
        <v>Tổ phục vụ xuất hàng</v>
      </c>
      <c r="E327" s="22" t="str">
        <f>IFERROR(__xludf.DUMMYFUNCTION("""COMPUTED_VALUE"""),"Nhân viên lái xe tưới đường")</f>
        <v>Nhân viên lái xe tưới đường</v>
      </c>
      <c r="F327" s="22" t="str">
        <f>IFERROR(__xludf.DUMMYFUNCTION("""COMPUTED_VALUE"""),"NV4962")</f>
        <v>NV4962</v>
      </c>
      <c r="G327" s="22">
        <f>IFERROR(__xludf.DUMMYFUNCTION("""COMPUTED_VALUE"""),838.0)</f>
        <v>838</v>
      </c>
      <c r="H327" s="22" t="str">
        <f>IFERROR(__xludf.DUMMYFUNCTION("""COMPUTED_VALUE"""),"Lê Ngọc Anh")</f>
        <v>Lê Ngọc Anh</v>
      </c>
      <c r="I327" s="22" t="str">
        <f>IFERROR(__xludf.DUMMYFUNCTION("""COMPUTED_VALUE"""),"Nam")</f>
        <v>Nam</v>
      </c>
      <c r="J327" s="24">
        <f>IFERROR(__xludf.DUMMYFUNCTION("""COMPUTED_VALUE"""),30975.0)</f>
        <v>30975</v>
      </c>
      <c r="K327" s="22" t="str">
        <f>IFERROR(__xludf.DUMMYFUNCTION("""COMPUTED_VALUE"""),"04/111 Quang Trung - Phường Hạc Thành - Tỉnh Thanh Hóa")</f>
        <v>04/111 Quang Trung - Phường Hạc Thành - Tỉnh Thanh Hóa</v>
      </c>
      <c r="L327" s="22" t="str">
        <f>IFERROR(__xludf.DUMMYFUNCTION("""COMPUTED_VALUE"""),"0328249559")</f>
        <v>0328249559</v>
      </c>
      <c r="M327" s="22" t="str">
        <f>IFERROR(__xludf.DUMMYFUNCTION("""COMPUTED_VALUE"""),"038084004570")</f>
        <v>038084004570</v>
      </c>
      <c r="N327" s="25">
        <f>IFERROR(__xludf.DUMMYFUNCTION("""COMPUTED_VALUE"""),45648.0)</f>
        <v>45648</v>
      </c>
      <c r="O327" s="22" t="str">
        <f>IFERROR(__xludf.DUMMYFUNCTION("""COMPUTED_VALUE"""),"Cục Cảnh sát QLHC về TTXH")</f>
        <v>Cục Cảnh sát QLHC về TTXH</v>
      </c>
      <c r="P327" s="22" t="str">
        <f>IFERROR(__xludf.DUMMYFUNCTION("""COMPUTED_VALUE"""),"Bằng nghề")</f>
        <v>Bằng nghề</v>
      </c>
      <c r="Q327" s="22" t="str">
        <f>IFERROR(__xludf.DUMMYFUNCTION("""COMPUTED_VALUE"""),"Lái xe hạng D")</f>
        <v>Lái xe hạng D</v>
      </c>
      <c r="R327" s="24">
        <f>IFERROR(__xludf.DUMMYFUNCTION("""COMPUTED_VALUE"""),45699.0)</f>
        <v>45699</v>
      </c>
      <c r="S327" s="26">
        <f>IFERROR(__xludf.DUMMYFUNCTION("""COMPUTED_VALUE"""),45699.0)</f>
        <v>45699</v>
      </c>
      <c r="T327" s="22" t="str">
        <f>IFERROR(__xludf.DUMMYFUNCTION("""COMPUTED_VALUE"""),"Chính thức")</f>
        <v>Chính thức</v>
      </c>
      <c r="U327" s="22"/>
      <c r="V327" s="22" t="str">
        <f>IFERROR(__xludf.DUMMYFUNCTION("""COMPUTED_VALUE"""),"Chính thức")</f>
        <v>Chính thức</v>
      </c>
      <c r="W327" s="22" t="str">
        <f>IFERROR(__xludf.DUMMYFUNCTION("""COMPUTED_VALUE"""),"0 năm 10 tháng")</f>
        <v>0 năm 10 tháng</v>
      </c>
      <c r="X327" s="22"/>
      <c r="Y327" s="22"/>
      <c r="Z327" s="22"/>
    </row>
    <row r="328">
      <c r="A328" s="22">
        <f>IFERROR(__xludf.DUMMYFUNCTION("""COMPUTED_VALUE"""),38.0)</f>
        <v>38</v>
      </c>
      <c r="B328" s="22" t="str">
        <f>IFERROR(__xludf.DUMMYFUNCTION("""COMPUTED_VALUE"""),"Văn phòng")</f>
        <v>Văn phòng</v>
      </c>
      <c r="C328" s="22" t="str">
        <f>IFERROR(__xludf.DUMMYFUNCTION("""COMPUTED_VALUE"""),"Phòng Kế toán")</f>
        <v>Phòng Kế toán</v>
      </c>
      <c r="D328" s="22" t="str">
        <f>IFERROR(__xludf.DUMMYFUNCTION("""COMPUTED_VALUE"""),"Tổ phục vụ xuất hàng")</f>
        <v>Tổ phục vụ xuất hàng</v>
      </c>
      <c r="E328" s="22" t="str">
        <f>IFERROR(__xludf.DUMMYFUNCTION("""COMPUTED_VALUE"""),"Nhân viên lái xe chuyển tải")</f>
        <v>Nhân viên lái xe chuyển tải</v>
      </c>
      <c r="F328" s="22" t="str">
        <f>IFERROR(__xludf.DUMMYFUNCTION("""COMPUTED_VALUE"""),"NV2564")</f>
        <v>NV2564</v>
      </c>
      <c r="G328" s="22">
        <f>IFERROR(__xludf.DUMMYFUNCTION("""COMPUTED_VALUE"""),883.0)</f>
        <v>883</v>
      </c>
      <c r="H328" s="22" t="str">
        <f>IFERROR(__xludf.DUMMYFUNCTION("""COMPUTED_VALUE"""),"Lê Thanh Phong")</f>
        <v>Lê Thanh Phong</v>
      </c>
      <c r="I328" s="22" t="str">
        <f>IFERROR(__xludf.DUMMYFUNCTION("""COMPUTED_VALUE"""),"Nam")</f>
        <v>Nam</v>
      </c>
      <c r="J328" s="24">
        <f>IFERROR(__xludf.DUMMYFUNCTION("""COMPUTED_VALUE"""),30231.0)</f>
        <v>30231</v>
      </c>
      <c r="K328" s="22" t="str">
        <f>IFERROR(__xludf.DUMMYFUNCTION("""COMPUTED_VALUE"""),"Xã Hoằng Trạch - Huyện Hoằng Hóa - Tỉnh Thanh Hóa")</f>
        <v>Xã Hoằng Trạch - Huyện Hoằng Hóa - Tỉnh Thanh Hóa</v>
      </c>
      <c r="L328" s="22" t="str">
        <f>IFERROR(__xludf.DUMMYFUNCTION("""COMPUTED_VALUE"""),"0985745129")</f>
        <v>0985745129</v>
      </c>
      <c r="M328" s="22" t="str">
        <f>IFERROR(__xludf.DUMMYFUNCTION("""COMPUTED_VALUE"""),"038082019269")</f>
        <v>038082019269</v>
      </c>
      <c r="N328" s="25">
        <f>IFERROR(__xludf.DUMMYFUNCTION("""COMPUTED_VALUE"""),44419.0)</f>
        <v>44419</v>
      </c>
      <c r="O328" s="22" t="str">
        <f>IFERROR(__xludf.DUMMYFUNCTION("""COMPUTED_VALUE"""),"Cục Cảnh sát QLHC về TTXH")</f>
        <v>Cục Cảnh sát QLHC về TTXH</v>
      </c>
      <c r="P328" s="22" t="str">
        <f>IFERROR(__xludf.DUMMYFUNCTION("""COMPUTED_VALUE"""),"Bằng nghề")</f>
        <v>Bằng nghề</v>
      </c>
      <c r="Q328" s="22" t="str">
        <f>IFERROR(__xludf.DUMMYFUNCTION("""COMPUTED_VALUE"""),"Lái xe hạng C")</f>
        <v>Lái xe hạng C</v>
      </c>
      <c r="R328" s="24">
        <f>IFERROR(__xludf.DUMMYFUNCTION("""COMPUTED_VALUE"""),45727.0)</f>
        <v>45727</v>
      </c>
      <c r="S328" s="26">
        <f>IFERROR(__xludf.DUMMYFUNCTION("""COMPUTED_VALUE"""),45727.0)</f>
        <v>45727</v>
      </c>
      <c r="T328" s="22" t="str">
        <f>IFERROR(__xludf.DUMMYFUNCTION("""COMPUTED_VALUE"""),"Chính thức")</f>
        <v>Chính thức</v>
      </c>
      <c r="U328" s="22"/>
      <c r="V328" s="22" t="str">
        <f>IFERROR(__xludf.DUMMYFUNCTION("""COMPUTED_VALUE"""),"Chính thức")</f>
        <v>Chính thức</v>
      </c>
      <c r="W328" s="22" t="str">
        <f>IFERROR(__xludf.DUMMYFUNCTION("""COMPUTED_VALUE"""),"0 năm 9 tháng")</f>
        <v>0 năm 9 tháng</v>
      </c>
      <c r="X328" s="22"/>
      <c r="Y328" s="22"/>
      <c r="Z328" s="22"/>
    </row>
    <row r="329">
      <c r="A329" s="22">
        <f>IFERROR(__xludf.DUMMYFUNCTION("""COMPUTED_VALUE"""),39.0)</f>
        <v>39</v>
      </c>
      <c r="B329" s="22" t="str">
        <f>IFERROR(__xludf.DUMMYFUNCTION("""COMPUTED_VALUE"""),"Văn phòng")</f>
        <v>Văn phòng</v>
      </c>
      <c r="C329" s="22" t="str">
        <f>IFERROR(__xludf.DUMMYFUNCTION("""COMPUTED_VALUE"""),"Phòng Kế toán")</f>
        <v>Phòng Kế toán</v>
      </c>
      <c r="D329" s="22" t="str">
        <f>IFERROR(__xludf.DUMMYFUNCTION("""COMPUTED_VALUE"""),"Tổ phục vụ xuất hàng")</f>
        <v>Tổ phục vụ xuất hàng</v>
      </c>
      <c r="E329" s="22" t="str">
        <f>IFERROR(__xludf.DUMMYFUNCTION("""COMPUTED_VALUE"""),"Nhân viên Sơ chế")</f>
        <v>Nhân viên Sơ chế</v>
      </c>
      <c r="F329" s="22" t="str">
        <f>IFERROR(__xludf.DUMMYFUNCTION("""COMPUTED_VALUE"""),"NV5504")</f>
        <v>NV5504</v>
      </c>
      <c r="G329" s="22">
        <f>IFERROR(__xludf.DUMMYFUNCTION("""COMPUTED_VALUE"""),987.0)</f>
        <v>987</v>
      </c>
      <c r="H329" s="22" t="str">
        <f>IFERROR(__xludf.DUMMYFUNCTION("""COMPUTED_VALUE"""),"Lê Đình Văn")</f>
        <v>Lê Đình Văn</v>
      </c>
      <c r="I329" s="22" t="str">
        <f>IFERROR(__xludf.DUMMYFUNCTION("""COMPUTED_VALUE"""),"Nam")</f>
        <v>Nam</v>
      </c>
      <c r="J329" s="24">
        <f>IFERROR(__xludf.DUMMYFUNCTION("""COMPUTED_VALUE"""),30533.0)</f>
        <v>30533</v>
      </c>
      <c r="K329" s="22" t="str">
        <f>IFERROR(__xludf.DUMMYFUNCTION("""COMPUTED_VALUE"""),"Phường Nguyệt Viên - Tỉnh Thanh Hóa")</f>
        <v>Phường Nguyệt Viên - Tỉnh Thanh Hóa</v>
      </c>
      <c r="L329" s="22" t="str">
        <f>IFERROR(__xludf.DUMMYFUNCTION("""COMPUTED_VALUE"""),"0961907445")</f>
        <v>0961907445</v>
      </c>
      <c r="M329" s="22" t="str">
        <f>IFERROR(__xludf.DUMMYFUNCTION("""COMPUTED_VALUE"""),"038083036166")</f>
        <v>038083036166</v>
      </c>
      <c r="N329" s="25">
        <f>IFERROR(__xludf.DUMMYFUNCTION("""COMPUTED_VALUE"""),44534.0)</f>
        <v>44534</v>
      </c>
      <c r="O329" s="22" t="str">
        <f>IFERROR(__xludf.DUMMYFUNCTION("""COMPUTED_VALUE"""),"Cục Cảnh sát QLHC về TTXH")</f>
        <v>Cục Cảnh sát QLHC về TTXH</v>
      </c>
      <c r="P329" s="22" t="str">
        <f>IFERROR(__xludf.DUMMYFUNCTION("""COMPUTED_VALUE"""),"LĐPT")</f>
        <v>LĐPT</v>
      </c>
      <c r="Q329" s="22" t="str">
        <f>IFERROR(__xludf.DUMMYFUNCTION("""COMPUTED_VALUE"""),"Lao động phổ thông")</f>
        <v>Lao động phổ thông</v>
      </c>
      <c r="R329" s="24">
        <f>IFERROR(__xludf.DUMMYFUNCTION("""COMPUTED_VALUE"""),45811.0)</f>
        <v>45811</v>
      </c>
      <c r="S329" s="26">
        <f>IFERROR(__xludf.DUMMYFUNCTION("""COMPUTED_VALUE"""),45841.0)</f>
        <v>45841</v>
      </c>
      <c r="T329" s="22" t="str">
        <f>IFERROR(__xludf.DUMMYFUNCTION("""COMPUTED_VALUE"""),"Chính thức")</f>
        <v>Chính thức</v>
      </c>
      <c r="U329" s="22"/>
      <c r="V329" s="22" t="str">
        <f>IFERROR(__xludf.DUMMYFUNCTION("""COMPUTED_VALUE"""),"Chính thức")</f>
        <v>Chính thức</v>
      </c>
      <c r="W329" s="22" t="str">
        <f>IFERROR(__xludf.DUMMYFUNCTION("""COMPUTED_VALUE"""),"0 năm 6 tháng")</f>
        <v>0 năm 6 tháng</v>
      </c>
      <c r="X329" s="22"/>
      <c r="Y329" s="22"/>
      <c r="Z329" s="22"/>
    </row>
    <row r="330">
      <c r="A330" s="22">
        <f>IFERROR(__xludf.DUMMYFUNCTION("""COMPUTED_VALUE"""),40.0)</f>
        <v>40</v>
      </c>
      <c r="B330" s="22" t="str">
        <f>IFERROR(__xludf.DUMMYFUNCTION("""COMPUTED_VALUE"""),"Văn phòng")</f>
        <v>Văn phòng</v>
      </c>
      <c r="C330" s="22" t="str">
        <f>IFERROR(__xludf.DUMMYFUNCTION("""COMPUTED_VALUE"""),"Phòng Kế toán")</f>
        <v>Phòng Kế toán</v>
      </c>
      <c r="D330" s="22" t="str">
        <f>IFERROR(__xludf.DUMMYFUNCTION("""COMPUTED_VALUE"""),"Tổ phục vụ xuất hàng")</f>
        <v>Tổ phục vụ xuất hàng</v>
      </c>
      <c r="E330" s="22" t="str">
        <f>IFERROR(__xludf.DUMMYFUNCTION("""COMPUTED_VALUE"""),"Nhân viên VSCN")</f>
        <v>Nhân viên VSCN</v>
      </c>
      <c r="F330" s="22" t="str">
        <f>IFERROR(__xludf.DUMMYFUNCTION("""COMPUTED_VALUE"""),"NV5196")</f>
        <v>NV5196</v>
      </c>
      <c r="G330" s="22">
        <f>IFERROR(__xludf.DUMMYFUNCTION("""COMPUTED_VALUE"""),234.0)</f>
        <v>234</v>
      </c>
      <c r="H330" s="22" t="str">
        <f>IFERROR(__xludf.DUMMYFUNCTION("""COMPUTED_VALUE"""),"Nguyễn Thị Kim Tuyến")</f>
        <v>Nguyễn Thị Kim Tuyến</v>
      </c>
      <c r="I330" s="22" t="str">
        <f>IFERROR(__xludf.DUMMYFUNCTION("""COMPUTED_VALUE"""),"Nữ")</f>
        <v>Nữ</v>
      </c>
      <c r="J330" s="24">
        <f>IFERROR(__xludf.DUMMYFUNCTION("""COMPUTED_VALUE"""),27927.0)</f>
        <v>27927</v>
      </c>
      <c r="K330" s="22" t="str">
        <f>IFERROR(__xludf.DUMMYFUNCTION("""COMPUTED_VALUE"""),"Tổ 6A, khu phố 11. thị trấn Di Linh, huyện Di Linh, tỉnh Lâm Đồng")</f>
        <v>Tổ 6A, khu phố 11. thị trấn Di Linh, huyện Di Linh, tỉnh Lâm Đồng</v>
      </c>
      <c r="L330" s="22" t="str">
        <f>IFERROR(__xludf.DUMMYFUNCTION("""COMPUTED_VALUE"""),"0376678791")</f>
        <v>0376678791</v>
      </c>
      <c r="M330" s="22" t="str">
        <f>IFERROR(__xludf.DUMMYFUNCTION("""COMPUTED_VALUE"""),"038176028872")</f>
        <v>038176028872</v>
      </c>
      <c r="N330" s="25">
        <f>IFERROR(__xludf.DUMMYFUNCTION("""COMPUTED_VALUE"""),44428.0)</f>
        <v>44428</v>
      </c>
      <c r="O330" s="22" t="str">
        <f>IFERROR(__xludf.DUMMYFUNCTION("""COMPUTED_VALUE"""),"Cục Cảnh sát QLHC về TTXH")</f>
        <v>Cục Cảnh sát QLHC về TTXH</v>
      </c>
      <c r="P330" s="22" t="str">
        <f>IFERROR(__xludf.DUMMYFUNCTION("""COMPUTED_VALUE"""),"LĐPT")</f>
        <v>LĐPT</v>
      </c>
      <c r="Q330" s="22" t="str">
        <f>IFERROR(__xludf.DUMMYFUNCTION("""COMPUTED_VALUE"""),"Lao động phổ thông")</f>
        <v>Lao động phổ thông</v>
      </c>
      <c r="R330" s="24">
        <f>IFERROR(__xludf.DUMMYFUNCTION("""COMPUTED_VALUE"""),45815.0)</f>
        <v>45815</v>
      </c>
      <c r="S330" s="26">
        <f>IFERROR(__xludf.DUMMYFUNCTION("""COMPUTED_VALUE"""),45815.0)</f>
        <v>45815</v>
      </c>
      <c r="T330" s="22" t="str">
        <f>IFERROR(__xludf.DUMMYFUNCTION("""COMPUTED_VALUE"""),"Chính thức")</f>
        <v>Chính thức</v>
      </c>
      <c r="U330" s="22"/>
      <c r="V330" s="22" t="str">
        <f>IFERROR(__xludf.DUMMYFUNCTION("""COMPUTED_VALUE"""),"Chính thức")</f>
        <v>Chính thức</v>
      </c>
      <c r="W330" s="22" t="str">
        <f>IFERROR(__xludf.DUMMYFUNCTION("""COMPUTED_VALUE"""),"0 năm 6 tháng")</f>
        <v>0 năm 6 tháng</v>
      </c>
      <c r="X330" s="22"/>
      <c r="Y330" s="22"/>
      <c r="Z330" s="22"/>
    </row>
    <row r="331">
      <c r="A331" s="22">
        <f>IFERROR(__xludf.DUMMYFUNCTION("""COMPUTED_VALUE"""),41.0)</f>
        <v>41</v>
      </c>
      <c r="B331" s="22" t="str">
        <f>IFERROR(__xludf.DUMMYFUNCTION("""COMPUTED_VALUE"""),"Văn phòng")</f>
        <v>Văn phòng</v>
      </c>
      <c r="C331" s="22" t="str">
        <f>IFERROR(__xludf.DUMMYFUNCTION("""COMPUTED_VALUE"""),"Phòng Kế toán")</f>
        <v>Phòng Kế toán</v>
      </c>
      <c r="D331" s="22" t="str">
        <f>IFERROR(__xludf.DUMMYFUNCTION("""COMPUTED_VALUE"""),"Tổ phục vụ xuất hàng")</f>
        <v>Tổ phục vụ xuất hàng</v>
      </c>
      <c r="E331" s="22" t="str">
        <f>IFERROR(__xludf.DUMMYFUNCTION("""COMPUTED_VALUE"""),"Nhân viên Lái xe nâng")</f>
        <v>Nhân viên Lái xe nâng</v>
      </c>
      <c r="F331" s="22" t="str">
        <f>IFERROR(__xludf.DUMMYFUNCTION("""COMPUTED_VALUE"""),"NV5522")</f>
        <v>NV5522</v>
      </c>
      <c r="G331" s="22">
        <f>IFERROR(__xludf.DUMMYFUNCTION("""COMPUTED_VALUE"""),1005.0)</f>
        <v>1005</v>
      </c>
      <c r="H331" s="22" t="str">
        <f>IFERROR(__xludf.DUMMYFUNCTION("""COMPUTED_VALUE"""),"Phạm Thế Luyến")</f>
        <v>Phạm Thế Luyến</v>
      </c>
      <c r="I331" s="22" t="str">
        <f>IFERROR(__xludf.DUMMYFUNCTION("""COMPUTED_VALUE"""),"Nam")</f>
        <v>Nam</v>
      </c>
      <c r="J331" s="24">
        <f>IFERROR(__xludf.DUMMYFUNCTION("""COMPUTED_VALUE"""),34279.0)</f>
        <v>34279</v>
      </c>
      <c r="K331" s="22" t="str">
        <f>IFERROR(__xludf.DUMMYFUNCTION("""COMPUTED_VALUE"""),"Xã Trường Văn- Tỉnh Thanh Hóa")</f>
        <v>Xã Trường Văn- Tỉnh Thanh Hóa</v>
      </c>
      <c r="L331" s="22" t="str">
        <f>IFERROR(__xludf.DUMMYFUNCTION("""COMPUTED_VALUE"""),"0972448488")</f>
        <v>0972448488</v>
      </c>
      <c r="M331" s="22" t="str">
        <f>IFERROR(__xludf.DUMMYFUNCTION("""COMPUTED_VALUE"""),"038093020491")</f>
        <v>038093020491</v>
      </c>
      <c r="N331" s="25">
        <f>IFERROR(__xludf.DUMMYFUNCTION("""COMPUTED_VALUE"""),45694.0)</f>
        <v>45694</v>
      </c>
      <c r="O331" s="22" t="str">
        <f>IFERROR(__xludf.DUMMYFUNCTION("""COMPUTED_VALUE"""),"Bộ công an")</f>
        <v>Bộ công an</v>
      </c>
      <c r="P331" s="22" t="str">
        <f>IFERROR(__xludf.DUMMYFUNCTION("""COMPUTED_VALUE"""),"Bằng nghề")</f>
        <v>Bằng nghề</v>
      </c>
      <c r="Q331" s="22" t="str">
        <f>IFERROR(__xludf.DUMMYFUNCTION("""COMPUTED_VALUE"""),"Vận hành xe nâng")</f>
        <v>Vận hành xe nâng</v>
      </c>
      <c r="R331" s="24">
        <f>IFERROR(__xludf.DUMMYFUNCTION("""COMPUTED_VALUE"""),45816.0)</f>
        <v>45816</v>
      </c>
      <c r="S331" s="26">
        <f>IFERROR(__xludf.DUMMYFUNCTION("""COMPUTED_VALUE"""),45846.0)</f>
        <v>45846</v>
      </c>
      <c r="T331" s="22" t="str">
        <f>IFERROR(__xludf.DUMMYFUNCTION("""COMPUTED_VALUE"""),"Chính thức")</f>
        <v>Chính thức</v>
      </c>
      <c r="U331" s="22"/>
      <c r="V331" s="22" t="str">
        <f>IFERROR(__xludf.DUMMYFUNCTION("""COMPUTED_VALUE"""),"Chính thức")</f>
        <v>Chính thức</v>
      </c>
      <c r="W331" s="22" t="str">
        <f>IFERROR(__xludf.DUMMYFUNCTION("""COMPUTED_VALUE"""),"0 năm 6 tháng")</f>
        <v>0 năm 6 tháng</v>
      </c>
      <c r="X331" s="22"/>
      <c r="Y331" s="22"/>
      <c r="Z331" s="22"/>
    </row>
    <row r="332">
      <c r="A332" s="22">
        <f>IFERROR(__xludf.DUMMYFUNCTION("""COMPUTED_VALUE"""),42.0)</f>
        <v>42</v>
      </c>
      <c r="B332" s="22" t="str">
        <f>IFERROR(__xludf.DUMMYFUNCTION("""COMPUTED_VALUE"""),"Văn phòng")</f>
        <v>Văn phòng</v>
      </c>
      <c r="C332" s="22" t="str">
        <f>IFERROR(__xludf.DUMMYFUNCTION("""COMPUTED_VALUE"""),"Phòng Kế toán")</f>
        <v>Phòng Kế toán</v>
      </c>
      <c r="D332" s="22" t="str">
        <f>IFERROR(__xludf.DUMMYFUNCTION("""COMPUTED_VALUE"""),"Tổ phục vụ xuất hàng")</f>
        <v>Tổ phục vụ xuất hàng</v>
      </c>
      <c r="E332" s="22" t="str">
        <f>IFERROR(__xludf.DUMMYFUNCTION("""COMPUTED_VALUE"""),"Nhân viên Lái xe nâng")</f>
        <v>Nhân viên Lái xe nâng</v>
      </c>
      <c r="F332" s="22" t="str">
        <f>IFERROR(__xludf.DUMMYFUNCTION("""COMPUTED_VALUE"""),"NV5529")</f>
        <v>NV5529</v>
      </c>
      <c r="G332" s="22">
        <f>IFERROR(__xludf.DUMMYFUNCTION("""COMPUTED_VALUE"""),1011.0)</f>
        <v>1011</v>
      </c>
      <c r="H332" s="22" t="str">
        <f>IFERROR(__xludf.DUMMYFUNCTION("""COMPUTED_VALUE"""),"Vũ Đình Hải")</f>
        <v>Vũ Đình Hải</v>
      </c>
      <c r="I332" s="22" t="str">
        <f>IFERROR(__xludf.DUMMYFUNCTION("""COMPUTED_VALUE"""),"Nam")</f>
        <v>Nam</v>
      </c>
      <c r="J332" s="24">
        <f>IFERROR(__xludf.DUMMYFUNCTION("""COMPUTED_VALUE"""),33810.0)</f>
        <v>33810</v>
      </c>
      <c r="K332" s="22" t="str">
        <f>IFERROR(__xludf.DUMMYFUNCTION("""COMPUTED_VALUE"""),"Xã Trung Chính - Tỉnh Thanh Hóa")</f>
        <v>Xã Trung Chính - Tỉnh Thanh Hóa</v>
      </c>
      <c r="L332" s="22" t="str">
        <f>IFERROR(__xludf.DUMMYFUNCTION("""COMPUTED_VALUE"""),"0362299866")</f>
        <v>0362299866</v>
      </c>
      <c r="M332" s="22" t="str">
        <f>IFERROR(__xludf.DUMMYFUNCTION("""COMPUTED_VALUE"""),"038092009164")</f>
        <v>038092009164</v>
      </c>
      <c r="N332" s="25">
        <f>IFERROR(__xludf.DUMMYFUNCTION("""COMPUTED_VALUE"""),43159.0)</f>
        <v>43159</v>
      </c>
      <c r="O332" s="22" t="str">
        <f>IFERROR(__xludf.DUMMYFUNCTION("""COMPUTED_VALUE"""),"Cục Cảnh sát QLHC về TTXH")</f>
        <v>Cục Cảnh sát QLHC về TTXH</v>
      </c>
      <c r="P332" s="22" t="str">
        <f>IFERROR(__xludf.DUMMYFUNCTION("""COMPUTED_VALUE"""),"Bằng nghề")</f>
        <v>Bằng nghề</v>
      </c>
      <c r="Q332" s="22" t="str">
        <f>IFERROR(__xludf.DUMMYFUNCTION("""COMPUTED_VALUE"""),"Vận hành xe nâng")</f>
        <v>Vận hành xe nâng</v>
      </c>
      <c r="R332" s="24">
        <f>IFERROR(__xludf.DUMMYFUNCTION("""COMPUTED_VALUE"""),45818.0)</f>
        <v>45818</v>
      </c>
      <c r="S332" s="26">
        <f>IFERROR(__xludf.DUMMYFUNCTION("""COMPUTED_VALUE"""),45848.0)</f>
        <v>45848</v>
      </c>
      <c r="T332" s="22" t="str">
        <f>IFERROR(__xludf.DUMMYFUNCTION("""COMPUTED_VALUE"""),"Chính thức")</f>
        <v>Chính thức</v>
      </c>
      <c r="U332" s="22"/>
      <c r="V332" s="22" t="str">
        <f>IFERROR(__xludf.DUMMYFUNCTION("""COMPUTED_VALUE"""),"Chính thức")</f>
        <v>Chính thức</v>
      </c>
      <c r="W332" s="22" t="str">
        <f>IFERROR(__xludf.DUMMYFUNCTION("""COMPUTED_VALUE"""),"0 năm 6 tháng")</f>
        <v>0 năm 6 tháng</v>
      </c>
      <c r="X332" s="22"/>
      <c r="Y332" s="22"/>
      <c r="Z332" s="22"/>
    </row>
    <row r="333">
      <c r="A333" s="22">
        <f>IFERROR(__xludf.DUMMYFUNCTION("""COMPUTED_VALUE"""),43.0)</f>
        <v>43</v>
      </c>
      <c r="B333" s="22" t="str">
        <f>IFERROR(__xludf.DUMMYFUNCTION("""COMPUTED_VALUE"""),"Văn phòng")</f>
        <v>Văn phòng</v>
      </c>
      <c r="C333" s="22" t="str">
        <f>IFERROR(__xludf.DUMMYFUNCTION("""COMPUTED_VALUE"""),"Phòng Kế toán")</f>
        <v>Phòng Kế toán</v>
      </c>
      <c r="D333" s="22" t="str">
        <f>IFERROR(__xludf.DUMMYFUNCTION("""COMPUTED_VALUE"""),"Tổ phục vụ xuất hàng")</f>
        <v>Tổ phục vụ xuất hàng</v>
      </c>
      <c r="E333" s="22" t="str">
        <f>IFERROR(__xludf.DUMMYFUNCTION("""COMPUTED_VALUE"""),"Nhân viên chỉ hàng")</f>
        <v>Nhân viên chỉ hàng</v>
      </c>
      <c r="F333" s="22" t="str">
        <f>IFERROR(__xludf.DUMMYFUNCTION("""COMPUTED_VALUE"""),"NV5610")</f>
        <v>NV5610</v>
      </c>
      <c r="G333" s="22">
        <f>IFERROR(__xludf.DUMMYFUNCTION("""COMPUTED_VALUE"""),1099.0)</f>
        <v>1099</v>
      </c>
      <c r="H333" s="22" t="str">
        <f>IFERROR(__xludf.DUMMYFUNCTION("""COMPUTED_VALUE"""),"Lê Thị Huyền")</f>
        <v>Lê Thị Huyền</v>
      </c>
      <c r="I333" s="22" t="str">
        <f>IFERROR(__xludf.DUMMYFUNCTION("""COMPUTED_VALUE"""),"Nữ")</f>
        <v>Nữ</v>
      </c>
      <c r="J333" s="24">
        <f>IFERROR(__xludf.DUMMYFUNCTION("""COMPUTED_VALUE"""),31517.0)</f>
        <v>31517</v>
      </c>
      <c r="K333" s="22" t="str">
        <f>IFERROR(__xludf.DUMMYFUNCTION("""COMPUTED_VALUE"""),"Thôn Ninh Dụ - Xã Quảng Ninh - Tỉnh Thanh Hóa")</f>
        <v>Thôn Ninh Dụ - Xã Quảng Ninh - Tỉnh Thanh Hóa</v>
      </c>
      <c r="L333" s="22" t="str">
        <f>IFERROR(__xludf.DUMMYFUNCTION("""COMPUTED_VALUE"""),"0974614634")</f>
        <v>0974614634</v>
      </c>
      <c r="M333" s="22" t="str">
        <f>IFERROR(__xludf.DUMMYFUNCTION("""COMPUTED_VALUE"""),"038186049308")</f>
        <v>038186049308</v>
      </c>
      <c r="N333" s="25">
        <f>IFERROR(__xludf.DUMMYFUNCTION("""COMPUTED_VALUE"""),45736.0)</f>
        <v>45736</v>
      </c>
      <c r="O333" s="22" t="str">
        <f>IFERROR(__xludf.DUMMYFUNCTION("""COMPUTED_VALUE"""),"Bộ công an")</f>
        <v>Bộ công an</v>
      </c>
      <c r="P333" s="22" t="str">
        <f>IFERROR(__xludf.DUMMYFUNCTION("""COMPUTED_VALUE"""),"Trung cấp")</f>
        <v>Trung cấp</v>
      </c>
      <c r="Q333" s="22" t="str">
        <f>IFERROR(__xludf.DUMMYFUNCTION("""COMPUTED_VALUE"""),"Trung cấp dược")</f>
        <v>Trung cấp dược</v>
      </c>
      <c r="R333" s="24">
        <f>IFERROR(__xludf.DUMMYFUNCTION("""COMPUTED_VALUE"""),45846.0)</f>
        <v>45846</v>
      </c>
      <c r="S333" s="26">
        <f>IFERROR(__xludf.DUMMYFUNCTION("""COMPUTED_VALUE"""),45877.0)</f>
        <v>45877</v>
      </c>
      <c r="T333" s="22" t="str">
        <f>IFERROR(__xludf.DUMMYFUNCTION("""COMPUTED_VALUE"""),"Chính thức")</f>
        <v>Chính thức</v>
      </c>
      <c r="U333" s="22"/>
      <c r="V333" s="22" t="str">
        <f>IFERROR(__xludf.DUMMYFUNCTION("""COMPUTED_VALUE"""),"Chính thức")</f>
        <v>Chính thức</v>
      </c>
      <c r="W333" s="22" t="str">
        <f>IFERROR(__xludf.DUMMYFUNCTION("""COMPUTED_VALUE"""),"0 năm 5 tháng")</f>
        <v>0 năm 5 tháng</v>
      </c>
      <c r="X333" s="22"/>
      <c r="Y333" s="22"/>
      <c r="Z333" s="22"/>
    </row>
    <row r="334">
      <c r="A334" s="22">
        <f>IFERROR(__xludf.DUMMYFUNCTION("""COMPUTED_VALUE"""),44.0)</f>
        <v>44</v>
      </c>
      <c r="B334" s="22" t="str">
        <f>IFERROR(__xludf.DUMMYFUNCTION("""COMPUTED_VALUE"""),"Văn phòng")</f>
        <v>Văn phòng</v>
      </c>
      <c r="C334" s="22" t="str">
        <f>IFERROR(__xludf.DUMMYFUNCTION("""COMPUTED_VALUE"""),"Phòng Kế toán")</f>
        <v>Phòng Kế toán</v>
      </c>
      <c r="D334" s="22" t="str">
        <f>IFERROR(__xludf.DUMMYFUNCTION("""COMPUTED_VALUE"""),"Tổ phục vụ xuất hàng")</f>
        <v>Tổ phục vụ xuất hàng</v>
      </c>
      <c r="E334" s="22" t="str">
        <f>IFERROR(__xludf.DUMMYFUNCTION("""COMPUTED_VALUE"""),"Nhân viên Sơ chế")</f>
        <v>Nhân viên Sơ chế</v>
      </c>
      <c r="F334" s="22" t="str">
        <f>IFERROR(__xludf.DUMMYFUNCTION("""COMPUTED_VALUE"""),"NV0388")</f>
        <v>NV0388</v>
      </c>
      <c r="G334" s="22">
        <f>IFERROR(__xludf.DUMMYFUNCTION("""COMPUTED_VALUE"""),1103.0)</f>
        <v>1103</v>
      </c>
      <c r="H334" s="22" t="str">
        <f>IFERROR(__xludf.DUMMYFUNCTION("""COMPUTED_VALUE"""),"Lê Văn Long")</f>
        <v>Lê Văn Long</v>
      </c>
      <c r="I334" s="22" t="str">
        <f>IFERROR(__xludf.DUMMYFUNCTION("""COMPUTED_VALUE"""),"Nam")</f>
        <v>Nam</v>
      </c>
      <c r="J334" s="24">
        <f>IFERROR(__xludf.DUMMYFUNCTION("""COMPUTED_VALUE"""),33416.0)</f>
        <v>33416</v>
      </c>
      <c r="K334" s="22" t="str">
        <f>IFERROR(__xludf.DUMMYFUNCTION("""COMPUTED_VALUE"""),"Phố Đài Trúc - Phường Nam Sầm Sơn - Tỉnh Thanh Hóa")</f>
        <v>Phố Đài Trúc - Phường Nam Sầm Sơn - Tỉnh Thanh Hóa</v>
      </c>
      <c r="L334" s="22" t="str">
        <f>IFERROR(__xludf.DUMMYFUNCTION("""COMPUTED_VALUE"""),"0941468264")</f>
        <v>0941468264</v>
      </c>
      <c r="M334" s="22" t="str">
        <f>IFERROR(__xludf.DUMMYFUNCTION("""COMPUTED_VALUE"""),"038091012430")</f>
        <v>038091012430</v>
      </c>
      <c r="N334" s="25">
        <f>IFERROR(__xludf.DUMMYFUNCTION("""COMPUTED_VALUE"""),44502.0)</f>
        <v>44502</v>
      </c>
      <c r="O334" s="22" t="str">
        <f>IFERROR(__xludf.DUMMYFUNCTION("""COMPUTED_VALUE"""),"Cục Cảnh sát QLHC về TTXH")</f>
        <v>Cục Cảnh sát QLHC về TTXH</v>
      </c>
      <c r="P334" s="22" t="str">
        <f>IFERROR(__xludf.DUMMYFUNCTION("""COMPUTED_VALUE"""),"LĐPT")</f>
        <v>LĐPT</v>
      </c>
      <c r="Q334" s="22" t="str">
        <f>IFERROR(__xludf.DUMMYFUNCTION("""COMPUTED_VALUE"""),"Lao động phổ thông")</f>
        <v>Lao động phổ thông</v>
      </c>
      <c r="R334" s="24">
        <f>IFERROR(__xludf.DUMMYFUNCTION("""COMPUTED_VALUE"""),45848.0)</f>
        <v>45848</v>
      </c>
      <c r="S334" s="26">
        <f>IFERROR(__xludf.DUMMYFUNCTION("""COMPUTED_VALUE"""),45848.0)</f>
        <v>45848</v>
      </c>
      <c r="T334" s="22" t="str">
        <f>IFERROR(__xludf.DUMMYFUNCTION("""COMPUTED_VALUE"""),"Chính thức")</f>
        <v>Chính thức</v>
      </c>
      <c r="U334" s="22"/>
      <c r="V334" s="22" t="str">
        <f>IFERROR(__xludf.DUMMYFUNCTION("""COMPUTED_VALUE"""),"Chính thức")</f>
        <v>Chính thức</v>
      </c>
      <c r="W334" s="22" t="str">
        <f>IFERROR(__xludf.DUMMYFUNCTION("""COMPUTED_VALUE"""),"0 năm 5 tháng")</f>
        <v>0 năm 5 tháng</v>
      </c>
      <c r="X334" s="22"/>
      <c r="Y334" s="22"/>
      <c r="Z334" s="22"/>
    </row>
    <row r="335">
      <c r="A335" s="22">
        <f>IFERROR(__xludf.DUMMYFUNCTION("""COMPUTED_VALUE"""),45.0)</f>
        <v>45</v>
      </c>
      <c r="B335" s="22" t="str">
        <f>IFERROR(__xludf.DUMMYFUNCTION("""COMPUTED_VALUE"""),"Văn phòng")</f>
        <v>Văn phòng</v>
      </c>
      <c r="C335" s="22" t="str">
        <f>IFERROR(__xludf.DUMMYFUNCTION("""COMPUTED_VALUE"""),"Phòng Kế toán")</f>
        <v>Phòng Kế toán</v>
      </c>
      <c r="D335" s="22" t="str">
        <f>IFERROR(__xludf.DUMMYFUNCTION("""COMPUTED_VALUE"""),"Tổ phục vụ xuất hàng")</f>
        <v>Tổ phục vụ xuất hàng</v>
      </c>
      <c r="E335" s="22" t="str">
        <f>IFERROR(__xludf.DUMMYFUNCTION("""COMPUTED_VALUE"""),"Nhân viên lái xe chuyển tải")</f>
        <v>Nhân viên lái xe chuyển tải</v>
      </c>
      <c r="F335" s="22" t="str">
        <f>IFERROR(__xludf.DUMMYFUNCTION("""COMPUTED_VALUE"""),"NV4936")</f>
        <v>NV4936</v>
      </c>
      <c r="G335" s="22">
        <f>IFERROR(__xludf.DUMMYFUNCTION("""COMPUTED_VALUE"""),726.0)</f>
        <v>726</v>
      </c>
      <c r="H335" s="22" t="str">
        <f>IFERROR(__xludf.DUMMYFUNCTION("""COMPUTED_VALUE"""),"Nguyễn Viết Chỉnh")</f>
        <v>Nguyễn Viết Chỉnh</v>
      </c>
      <c r="I335" s="22" t="str">
        <f>IFERROR(__xludf.DUMMYFUNCTION("""COMPUTED_VALUE"""),"Nam")</f>
        <v>Nam</v>
      </c>
      <c r="J335" s="24">
        <f>IFERROR(__xludf.DUMMYFUNCTION("""COMPUTED_VALUE"""),33206.0)</f>
        <v>33206</v>
      </c>
      <c r="K335" s="22" t="str">
        <f>IFERROR(__xludf.DUMMYFUNCTION("""COMPUTED_VALUE"""),"Phố 4 - Phường Quảng Phú - Tỉnh Thanh Hóa")</f>
        <v>Phố 4 - Phường Quảng Phú - Tỉnh Thanh Hóa</v>
      </c>
      <c r="L335" s="22" t="str">
        <f>IFERROR(__xludf.DUMMYFUNCTION("""COMPUTED_VALUE"""),"09444577996")</f>
        <v>09444577996</v>
      </c>
      <c r="M335" s="22" t="str">
        <f>IFERROR(__xludf.DUMMYFUNCTION("""COMPUTED_VALUE"""),"038090023208")</f>
        <v>038090023208</v>
      </c>
      <c r="N335" s="25">
        <f>IFERROR(__xludf.DUMMYFUNCTION("""COMPUTED_VALUE"""),44375.0)</f>
        <v>44375</v>
      </c>
      <c r="O335" s="22" t="str">
        <f>IFERROR(__xludf.DUMMYFUNCTION("""COMPUTED_VALUE"""),"Cục Cảnh sát QLHC về TTXH")</f>
        <v>Cục Cảnh sát QLHC về TTXH</v>
      </c>
      <c r="P335" s="22" t="str">
        <f>IFERROR(__xludf.DUMMYFUNCTION("""COMPUTED_VALUE"""),"Bằng nghề")</f>
        <v>Bằng nghề</v>
      </c>
      <c r="Q335" s="22" t="str">
        <f>IFERROR(__xludf.DUMMYFUNCTION("""COMPUTED_VALUE"""),"Lái xe bằng FC")</f>
        <v>Lái xe bằng FC</v>
      </c>
      <c r="R335" s="24">
        <f>IFERROR(__xludf.DUMMYFUNCTION("""COMPUTED_VALUE"""),45882.0)</f>
        <v>45882</v>
      </c>
      <c r="S335" s="26">
        <f>IFERROR(__xludf.DUMMYFUNCTION("""COMPUTED_VALUE"""),45882.0)</f>
        <v>45882</v>
      </c>
      <c r="T335" s="22" t="str">
        <f>IFERROR(__xludf.DUMMYFUNCTION("""COMPUTED_VALUE"""),"Chính thức")</f>
        <v>Chính thức</v>
      </c>
      <c r="U335" s="22"/>
      <c r="V335" s="22" t="str">
        <f>IFERROR(__xludf.DUMMYFUNCTION("""COMPUTED_VALUE"""),"Chính thức")</f>
        <v>Chính thức</v>
      </c>
      <c r="W335" s="22" t="str">
        <f>IFERROR(__xludf.DUMMYFUNCTION("""COMPUTED_VALUE"""),"0 năm 4 tháng")</f>
        <v>0 năm 4 tháng</v>
      </c>
      <c r="X335" s="22"/>
      <c r="Y335" s="22"/>
      <c r="Z335" s="22"/>
    </row>
    <row r="336">
      <c r="A336" s="22">
        <f>IFERROR(__xludf.DUMMYFUNCTION("""COMPUTED_VALUE"""),46.0)</f>
        <v>46</v>
      </c>
      <c r="B336" s="22" t="str">
        <f>IFERROR(__xludf.DUMMYFUNCTION("""COMPUTED_VALUE"""),"Văn phòng")</f>
        <v>Văn phòng</v>
      </c>
      <c r="C336" s="22" t="str">
        <f>IFERROR(__xludf.DUMMYFUNCTION("""COMPUTED_VALUE"""),"Phòng Kế toán")</f>
        <v>Phòng Kế toán</v>
      </c>
      <c r="D336" s="22" t="str">
        <f>IFERROR(__xludf.DUMMYFUNCTION("""COMPUTED_VALUE"""),"Tổ phục vụ xuất hàng")</f>
        <v>Tổ phục vụ xuất hàng</v>
      </c>
      <c r="E336" s="22" t="str">
        <f>IFERROR(__xludf.DUMMYFUNCTION("""COMPUTED_VALUE"""),"Đóng Pallet - Nhân viên sơ chế")</f>
        <v>Đóng Pallet - Nhân viên sơ chế</v>
      </c>
      <c r="F336" s="22" t="str">
        <f>IFERROR(__xludf.DUMMYFUNCTION("""COMPUTED_VALUE"""),"NV5700")</f>
        <v>NV5700</v>
      </c>
      <c r="G336" s="22">
        <f>IFERROR(__xludf.DUMMYFUNCTION("""COMPUTED_VALUE"""),1195.0)</f>
        <v>1195</v>
      </c>
      <c r="H336" s="22" t="str">
        <f>IFERROR(__xludf.DUMMYFUNCTION("""COMPUTED_VALUE"""),"Hoàng Văn Nghinh")</f>
        <v>Hoàng Văn Nghinh</v>
      </c>
      <c r="I336" s="22" t="str">
        <f>IFERROR(__xludf.DUMMYFUNCTION("""COMPUTED_VALUE"""),"Nam")</f>
        <v>Nam</v>
      </c>
      <c r="J336" s="24">
        <f>IFERROR(__xludf.DUMMYFUNCTION("""COMPUTED_VALUE"""),24237.0)</f>
        <v>24237</v>
      </c>
      <c r="K336" s="22" t="str">
        <f>IFERROR(__xludf.DUMMYFUNCTION("""COMPUTED_VALUE"""),"Thôn Phong Lượng - xã Lưu Vệ - Tỉnh Thanh Hóa")</f>
        <v>Thôn Phong Lượng - xã Lưu Vệ - Tỉnh Thanh Hóa</v>
      </c>
      <c r="L336" s="22" t="str">
        <f>IFERROR(__xludf.DUMMYFUNCTION("""COMPUTED_VALUE"""),"0988218047")</f>
        <v>0988218047</v>
      </c>
      <c r="M336" s="22" t="str">
        <f>IFERROR(__xludf.DUMMYFUNCTION("""COMPUTED_VALUE"""),"038066006528")</f>
        <v>038066006528</v>
      </c>
      <c r="N336" s="25">
        <f>IFERROR(__xludf.DUMMYFUNCTION("""COMPUTED_VALUE"""),45562.0)</f>
        <v>45562</v>
      </c>
      <c r="O336" s="22" t="str">
        <f>IFERROR(__xludf.DUMMYFUNCTION("""COMPUTED_VALUE"""),"Cục Cảnh sát QLHC về TTXH")</f>
        <v>Cục Cảnh sát QLHC về TTXH</v>
      </c>
      <c r="P336" s="22" t="str">
        <f>IFERROR(__xludf.DUMMYFUNCTION("""COMPUTED_VALUE"""),"LĐPT")</f>
        <v>LĐPT</v>
      </c>
      <c r="Q336" s="22" t="str">
        <f>IFERROR(__xludf.DUMMYFUNCTION("""COMPUTED_VALUE"""),"Lao động phổ thông")</f>
        <v>Lao động phổ thông</v>
      </c>
      <c r="R336" s="24">
        <f>IFERROR(__xludf.DUMMYFUNCTION("""COMPUTED_VALUE"""),45912.0)</f>
        <v>45912</v>
      </c>
      <c r="S336" s="26">
        <f>IFERROR(__xludf.DUMMYFUNCTION("""COMPUTED_VALUE"""),45942.0)</f>
        <v>45942</v>
      </c>
      <c r="T336" s="22" t="str">
        <f>IFERROR(__xludf.DUMMYFUNCTION("""COMPUTED_VALUE"""),"Chính thức")</f>
        <v>Chính thức</v>
      </c>
      <c r="U336" s="22"/>
      <c r="V336" s="22" t="str">
        <f>IFERROR(__xludf.DUMMYFUNCTION("""COMPUTED_VALUE"""),"Chính thức")</f>
        <v>Chính thức</v>
      </c>
      <c r="W336" s="22" t="str">
        <f>IFERROR(__xludf.DUMMYFUNCTION("""COMPUTED_VALUE"""),"0 năm 3 tháng")</f>
        <v>0 năm 3 tháng</v>
      </c>
      <c r="X336" s="22"/>
      <c r="Y336" s="22"/>
      <c r="Z336" s="22"/>
    </row>
    <row r="337">
      <c r="A337" s="22">
        <f>IFERROR(__xludf.DUMMYFUNCTION("""COMPUTED_VALUE"""),47.0)</f>
        <v>47</v>
      </c>
      <c r="B337" s="22" t="str">
        <f>IFERROR(__xludf.DUMMYFUNCTION("""COMPUTED_VALUE"""),"Văn phòng")</f>
        <v>Văn phòng</v>
      </c>
      <c r="C337" s="22" t="str">
        <f>IFERROR(__xludf.DUMMYFUNCTION("""COMPUTED_VALUE"""),"Phòng Kế toán")</f>
        <v>Phòng Kế toán</v>
      </c>
      <c r="D337" s="22" t="str">
        <f>IFERROR(__xludf.DUMMYFUNCTION("""COMPUTED_VALUE"""),"Tổ phục vụ xuất hàng")</f>
        <v>Tổ phục vụ xuất hàng</v>
      </c>
      <c r="E337" s="22" t="str">
        <f>IFERROR(__xludf.DUMMYFUNCTION("""COMPUTED_VALUE"""),"Nhân viên Lái xe nâng")</f>
        <v>Nhân viên Lái xe nâng</v>
      </c>
      <c r="F337" s="22" t="str">
        <f>IFERROR(__xludf.DUMMYFUNCTION("""COMPUTED_VALUE"""),"NV2213")</f>
        <v>NV2213</v>
      </c>
      <c r="G337" s="22">
        <f>IFERROR(__xludf.DUMMYFUNCTION("""COMPUTED_VALUE"""),74.0)</f>
        <v>74</v>
      </c>
      <c r="H337" s="22" t="str">
        <f>IFERROR(__xludf.DUMMYFUNCTION("""COMPUTED_VALUE"""),"Lê Bá Triệu")</f>
        <v>Lê Bá Triệu</v>
      </c>
      <c r="I337" s="22" t="str">
        <f>IFERROR(__xludf.DUMMYFUNCTION("""COMPUTED_VALUE"""),"Nam")</f>
        <v>Nam</v>
      </c>
      <c r="J337" s="24">
        <f>IFERROR(__xludf.DUMMYFUNCTION("""COMPUTED_VALUE"""),30529.0)</f>
        <v>30529</v>
      </c>
      <c r="K337" s="22" t="str">
        <f>IFERROR(__xludf.DUMMYFUNCTION("""COMPUTED_VALUE"""),"Xã Hoằng Lộc - Tỉnh Thanh Hóa")</f>
        <v>Xã Hoằng Lộc - Tỉnh Thanh Hóa</v>
      </c>
      <c r="L337" s="22" t="str">
        <f>IFERROR(__xludf.DUMMYFUNCTION("""COMPUTED_VALUE"""),"0977834423")</f>
        <v>0977834423</v>
      </c>
      <c r="M337" s="22" t="str">
        <f>IFERROR(__xludf.DUMMYFUNCTION("""COMPUTED_VALUE"""),"038083028968")</f>
        <v>038083028968</v>
      </c>
      <c r="N337" s="25">
        <f>IFERROR(__xludf.DUMMYFUNCTION("""COMPUTED_VALUE"""),45507.0)</f>
        <v>45507</v>
      </c>
      <c r="O337" s="22" t="str">
        <f>IFERROR(__xludf.DUMMYFUNCTION("""COMPUTED_VALUE"""),"Cục Cảnh sát QLHC về TTXH")</f>
        <v>Cục Cảnh sát QLHC về TTXH</v>
      </c>
      <c r="P337" s="22" t="str">
        <f>IFERROR(__xludf.DUMMYFUNCTION("""COMPUTED_VALUE"""),"Bằng nghề")</f>
        <v>Bằng nghề</v>
      </c>
      <c r="Q337" s="22" t="str">
        <f>IFERROR(__xludf.DUMMYFUNCTION("""COMPUTED_VALUE"""),"Lái xe nâng")</f>
        <v>Lái xe nâng</v>
      </c>
      <c r="R337" s="24">
        <f>IFERROR(__xludf.DUMMYFUNCTION("""COMPUTED_VALUE"""),45920.0)</f>
        <v>45920</v>
      </c>
      <c r="S337" s="26">
        <f>IFERROR(__xludf.DUMMYFUNCTION("""COMPUTED_VALUE"""),45920.0)</f>
        <v>45920</v>
      </c>
      <c r="T337" s="22" t="str">
        <f>IFERROR(__xludf.DUMMYFUNCTION("""COMPUTED_VALUE"""),"Chính thức")</f>
        <v>Chính thức</v>
      </c>
      <c r="U337" s="22"/>
      <c r="V337" s="22" t="str">
        <f>IFERROR(__xludf.DUMMYFUNCTION("""COMPUTED_VALUE"""),"Chính thức")</f>
        <v>Chính thức</v>
      </c>
      <c r="W337" s="22" t="str">
        <f>IFERROR(__xludf.DUMMYFUNCTION("""COMPUTED_VALUE"""),"0 năm 3 tháng")</f>
        <v>0 năm 3 tháng</v>
      </c>
      <c r="X337" s="22"/>
      <c r="Y337" s="22"/>
      <c r="Z337" s="22"/>
    </row>
    <row r="338">
      <c r="A338" s="22">
        <f>IFERROR(__xludf.DUMMYFUNCTION("""COMPUTED_VALUE"""),48.0)</f>
        <v>48</v>
      </c>
      <c r="B338" s="22" t="str">
        <f>IFERROR(__xludf.DUMMYFUNCTION("""COMPUTED_VALUE"""),"Văn phòng")</f>
        <v>Văn phòng</v>
      </c>
      <c r="C338" s="22" t="str">
        <f>IFERROR(__xludf.DUMMYFUNCTION("""COMPUTED_VALUE"""),"Phòng Kế toán")</f>
        <v>Phòng Kế toán</v>
      </c>
      <c r="D338" s="22" t="str">
        <f>IFERROR(__xludf.DUMMYFUNCTION("""COMPUTED_VALUE"""),"Tổ phục vụ xuất hàng")</f>
        <v>Tổ phục vụ xuất hàng</v>
      </c>
      <c r="E338" s="22" t="str">
        <f>IFERROR(__xludf.DUMMYFUNCTION("""COMPUTED_VALUE"""),"Nhân viên Sơ chế")</f>
        <v>Nhân viên Sơ chế</v>
      </c>
      <c r="F338" s="22" t="str">
        <f>IFERROR(__xludf.DUMMYFUNCTION("""COMPUTED_VALUE"""),"NV5720")</f>
        <v>NV5720</v>
      </c>
      <c r="G338" s="22">
        <f>IFERROR(__xludf.DUMMYFUNCTION("""COMPUTED_VALUE"""),1213.0)</f>
        <v>1213</v>
      </c>
      <c r="H338" s="22" t="str">
        <f>IFERROR(__xludf.DUMMYFUNCTION("""COMPUTED_VALUE"""),"Doãn Văn Sáng")</f>
        <v>Doãn Văn Sáng</v>
      </c>
      <c r="I338" s="22" t="str">
        <f>IFERROR(__xludf.DUMMYFUNCTION("""COMPUTED_VALUE"""),"Nam")</f>
        <v>Nam</v>
      </c>
      <c r="J338" s="24">
        <f>IFERROR(__xludf.DUMMYFUNCTION("""COMPUTED_VALUE"""),33466.0)</f>
        <v>33466</v>
      </c>
      <c r="K338" s="22" t="str">
        <f>IFERROR(__xludf.DUMMYFUNCTION("""COMPUTED_VALUE"""),"KP Nhuệ Sâm -  Phường Đông Sơn - Tỉnh Thanh Hóa")</f>
        <v>KP Nhuệ Sâm -  Phường Đông Sơn - Tỉnh Thanh Hóa</v>
      </c>
      <c r="L338" s="22" t="str">
        <f>IFERROR(__xludf.DUMMYFUNCTION("""COMPUTED_VALUE"""),"0908703450")</f>
        <v>0908703450</v>
      </c>
      <c r="M338" s="22" t="str">
        <f>IFERROR(__xludf.DUMMYFUNCTION("""COMPUTED_VALUE"""),"038091014303")</f>
        <v>038091014303</v>
      </c>
      <c r="N338" s="25">
        <f>IFERROR(__xludf.DUMMYFUNCTION("""COMPUTED_VALUE"""),44895.0)</f>
        <v>44895</v>
      </c>
      <c r="O338" s="22" t="str">
        <f>IFERROR(__xludf.DUMMYFUNCTION("""COMPUTED_VALUE"""),"Cục Cảnh sát QLHC về TTXH")</f>
        <v>Cục Cảnh sát QLHC về TTXH</v>
      </c>
      <c r="P338" s="22" t="str">
        <f>IFERROR(__xludf.DUMMYFUNCTION("""COMPUTED_VALUE"""),"LĐPT")</f>
        <v>LĐPT</v>
      </c>
      <c r="Q338" s="22" t="str">
        <f>IFERROR(__xludf.DUMMYFUNCTION("""COMPUTED_VALUE"""),"Lao động phổ thông")</f>
        <v>Lao động phổ thông</v>
      </c>
      <c r="R338" s="24">
        <f>IFERROR(__xludf.DUMMYFUNCTION("""COMPUTED_VALUE"""),45927.0)</f>
        <v>45927</v>
      </c>
      <c r="S338" s="26">
        <f>IFERROR(__xludf.DUMMYFUNCTION("""COMPUTED_VALUE"""),45957.0)</f>
        <v>45957</v>
      </c>
      <c r="T338" s="22" t="str">
        <f>IFERROR(__xludf.DUMMYFUNCTION("""COMPUTED_VALUE"""),"Chính thức")</f>
        <v>Chính thức</v>
      </c>
      <c r="U338" s="22"/>
      <c r="V338" s="22" t="str">
        <f>IFERROR(__xludf.DUMMYFUNCTION("""COMPUTED_VALUE"""),"Thử việc")</f>
        <v>Thử việc</v>
      </c>
      <c r="W338" s="22" t="str">
        <f>IFERROR(__xludf.DUMMYFUNCTION("""COMPUTED_VALUE"""),"0 năm 3 tháng")</f>
        <v>0 năm 3 tháng</v>
      </c>
      <c r="X338" s="22"/>
      <c r="Y338" s="22"/>
      <c r="Z338" s="22"/>
    </row>
    <row r="339">
      <c r="A339" s="22">
        <f>IFERROR(__xludf.DUMMYFUNCTION("""COMPUTED_VALUE"""),49.0)</f>
        <v>49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>
        <f>IFERROR(__xludf.DUMMYFUNCTION("""COMPUTED_VALUE"""),50.0)</f>
        <v>50</v>
      </c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>
        <f>IFERROR(__xludf.DUMMYFUNCTION("""COMPUTED_VALUE"""),51.0)</f>
        <v>51</v>
      </c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>
        <f>IFERROR(__xludf.DUMMYFUNCTION("""COMPUTED_VALUE"""),52.0)</f>
        <v>52</v>
      </c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 t="str">
        <f>IFERROR(__xludf.DUMMYFUNCTION("""COMPUTED_VALUE"""),"X")</f>
        <v>X</v>
      </c>
      <c r="B343" s="22" t="str">
        <f>IFERROR(__xludf.DUMMYFUNCTION("""COMPUTED_VALUE"""),"Dự án cát nhân tạo")</f>
        <v>Dự án cát nhân tạo</v>
      </c>
      <c r="C343" s="22">
        <f>IFERROR(__xludf.DUMMYFUNCTION("""COMPUTED_VALUE"""),15.0)</f>
        <v>15</v>
      </c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>
        <f>IFERROR(__xludf.DUMMYFUNCTION("""COMPUTED_VALUE"""),1.0)</f>
        <v>1</v>
      </c>
      <c r="B344" s="22" t="str">
        <f>IFERROR(__xludf.DUMMYFUNCTION("""COMPUTED_VALUE"""),"Văn phòng")</f>
        <v>Văn phòng</v>
      </c>
      <c r="C344" s="22" t="str">
        <f>IFERROR(__xludf.DUMMYFUNCTION("""COMPUTED_VALUE"""),"Dự án cát nhân tạo")</f>
        <v>Dự án cát nhân tạo</v>
      </c>
      <c r="D344" s="22" t="str">
        <f>IFERROR(__xludf.DUMMYFUNCTION("""COMPUTED_VALUE"""),"Bộ phận hành chính")</f>
        <v>Bộ phận hành chính</v>
      </c>
      <c r="E344" s="22" t="str">
        <f>IFERROR(__xludf.DUMMYFUNCTION("""COMPUTED_VALUE"""),"Lái xúc lật")</f>
        <v>Lái xúc lật</v>
      </c>
      <c r="F344" s="22" t="str">
        <f>IFERROR(__xludf.DUMMYFUNCTION("""COMPUTED_VALUE"""),"NV5481")</f>
        <v>NV5481</v>
      </c>
      <c r="G344" s="22">
        <f>IFERROR(__xludf.DUMMYFUNCTION("""COMPUTED_VALUE"""),962.0)</f>
        <v>962</v>
      </c>
      <c r="H344" s="22" t="str">
        <f>IFERROR(__xludf.DUMMYFUNCTION("""COMPUTED_VALUE"""),"Vũ Năng Sĩ")</f>
        <v>Vũ Năng Sĩ</v>
      </c>
      <c r="I344" s="22" t="str">
        <f>IFERROR(__xludf.DUMMYFUNCTION("""COMPUTED_VALUE"""),"Nam")</f>
        <v>Nam</v>
      </c>
      <c r="J344" s="24">
        <f>IFERROR(__xludf.DUMMYFUNCTION("""COMPUTED_VALUE"""),29715.0)</f>
        <v>29715</v>
      </c>
      <c r="K344" s="22" t="str">
        <f>IFERROR(__xludf.DUMMYFUNCTION("""COMPUTED_VALUE"""),"Xã Các Sơn - Thị xã Nghi Sơn - Tỉnh Thanh Hóa")</f>
        <v>Xã Các Sơn - Thị xã Nghi Sơn - Tỉnh Thanh Hóa</v>
      </c>
      <c r="L344" s="22" t="str">
        <f>IFERROR(__xludf.DUMMYFUNCTION("""COMPUTED_VALUE"""),"0966565015")</f>
        <v>0966565015</v>
      </c>
      <c r="M344" s="22" t="str">
        <f>IFERROR(__xludf.DUMMYFUNCTION("""COMPUTED_VALUE"""),"038081006409")</f>
        <v>038081006409</v>
      </c>
      <c r="N344" s="25">
        <f>IFERROR(__xludf.DUMMYFUNCTION("""COMPUTED_VALUE"""),44423.0)</f>
        <v>44423</v>
      </c>
      <c r="O344" s="22" t="str">
        <f>IFERROR(__xludf.DUMMYFUNCTION("""COMPUTED_VALUE"""),"Cục Cảnh sát QLHC về TTXH")</f>
        <v>Cục Cảnh sát QLHC về TTXH</v>
      </c>
      <c r="P344" s="22" t="str">
        <f>IFERROR(__xludf.DUMMYFUNCTION("""COMPUTED_VALUE"""),"Bằng nghề")</f>
        <v>Bằng nghề</v>
      </c>
      <c r="Q344" s="22" t="str">
        <f>IFERROR(__xludf.DUMMYFUNCTION("""COMPUTED_VALUE"""),"Lái máy múc")</f>
        <v>Lái máy múc</v>
      </c>
      <c r="R344" s="24">
        <f>IFERROR(__xludf.DUMMYFUNCTION("""COMPUTED_VALUE"""),45804.0)</f>
        <v>45804</v>
      </c>
      <c r="S344" s="24">
        <f>IFERROR(__xludf.DUMMYFUNCTION("""COMPUTED_VALUE"""),45835.0)</f>
        <v>45835</v>
      </c>
      <c r="T344" s="22" t="str">
        <f>IFERROR(__xludf.DUMMYFUNCTION("""COMPUTED_VALUE"""),"Chính thức")</f>
        <v>Chính thức</v>
      </c>
      <c r="U344" s="22"/>
      <c r="V344" s="22" t="str">
        <f>IFERROR(__xludf.DUMMYFUNCTION("""COMPUTED_VALUE"""),"Chính thức")</f>
        <v>Chính thức</v>
      </c>
      <c r="W344" s="22" t="str">
        <f>IFERROR(__xludf.DUMMYFUNCTION("""COMPUTED_VALUE"""),"0 năm 7 tháng")</f>
        <v>0 năm 7 tháng</v>
      </c>
      <c r="X344" s="22"/>
      <c r="Y344" s="22"/>
      <c r="Z344" s="22"/>
    </row>
    <row r="345">
      <c r="A345" s="22">
        <f>IFERROR(__xludf.DUMMYFUNCTION("""COMPUTED_VALUE"""),2.0)</f>
        <v>2</v>
      </c>
      <c r="B345" s="22" t="str">
        <f>IFERROR(__xludf.DUMMYFUNCTION("""COMPUTED_VALUE"""),"Văn phòng")</f>
        <v>Văn phòng</v>
      </c>
      <c r="C345" s="22" t="str">
        <f>IFERROR(__xludf.DUMMYFUNCTION("""COMPUTED_VALUE"""),"Dự án cát nhân tạo")</f>
        <v>Dự án cát nhân tạo</v>
      </c>
      <c r="D345" s="22" t="str">
        <f>IFERROR(__xludf.DUMMYFUNCTION("""COMPUTED_VALUE"""),"Bộ phận hành chính")</f>
        <v>Bộ phận hành chính</v>
      </c>
      <c r="E345" s="22" t="str">
        <f>IFERROR(__xludf.DUMMYFUNCTION("""COMPUTED_VALUE"""),"Giám đốc dự án Cát nhân tạo")</f>
        <v>Giám đốc dự án Cát nhân tạo</v>
      </c>
      <c r="F345" s="22" t="str">
        <f>IFERROR(__xludf.DUMMYFUNCTION("""COMPUTED_VALUE"""),"NV0771")</f>
        <v>NV0771</v>
      </c>
      <c r="G345" s="22">
        <f>IFERROR(__xludf.DUMMYFUNCTION("""COMPUTED_VALUE"""),724.0)</f>
        <v>724</v>
      </c>
      <c r="H345" s="22" t="str">
        <f>IFERROR(__xludf.DUMMYFUNCTION("""COMPUTED_VALUE"""),"Lê Khắc Bình")</f>
        <v>Lê Khắc Bình</v>
      </c>
      <c r="I345" s="22" t="str">
        <f>IFERROR(__xludf.DUMMYFUNCTION("""COMPUTED_VALUE"""),"Nam")</f>
        <v>Nam</v>
      </c>
      <c r="J345" s="24">
        <f>IFERROR(__xludf.DUMMYFUNCTION("""COMPUTED_VALUE"""),27997.0)</f>
        <v>27997</v>
      </c>
      <c r="K345" s="22" t="str">
        <f>IFERROR(__xludf.DUMMYFUNCTION("""COMPUTED_VALUE"""),"Phố 5 - Phường Quảng Phú - Tỉnh Thanh Hóa")</f>
        <v>Phố 5 - Phường Quảng Phú - Tỉnh Thanh Hóa</v>
      </c>
      <c r="L345" s="27" t="str">
        <f>IFERROR(__xludf.DUMMYFUNCTION("""COMPUTED_VALUE"""),"0978865225")</f>
        <v>0978865225</v>
      </c>
      <c r="M345" s="22" t="str">
        <f>IFERROR(__xludf.DUMMYFUNCTION("""COMPUTED_VALUE"""),"038076013311")</f>
        <v>038076013311</v>
      </c>
      <c r="N345" s="25">
        <f>IFERROR(__xludf.DUMMYFUNCTION("""COMPUTED_VALUE"""),44179.0)</f>
        <v>44179</v>
      </c>
      <c r="O345" s="22" t="str">
        <f>IFERROR(__xludf.DUMMYFUNCTION("""COMPUTED_VALUE"""),"Cục Cảnh sát QLHC về TTXH")</f>
        <v>Cục Cảnh sát QLHC về TTXH</v>
      </c>
      <c r="P345" s="22" t="str">
        <f>IFERROR(__xludf.DUMMYFUNCTION("""COMPUTED_VALUE"""),"Đại học")</f>
        <v>Đại học</v>
      </c>
      <c r="Q345" s="22" t="str">
        <f>IFERROR(__xludf.DUMMYFUNCTION("""COMPUTED_VALUE"""),"Cử nhân Kinh tế")</f>
        <v>Cử nhân Kinh tế</v>
      </c>
      <c r="R345" s="24">
        <f>IFERROR(__xludf.DUMMYFUNCTION("""COMPUTED_VALUE"""),36958.0)</f>
        <v>36958</v>
      </c>
      <c r="S345" s="26">
        <f>IFERROR(__xludf.DUMMYFUNCTION("""COMPUTED_VALUE"""),36958.0)</f>
        <v>36958</v>
      </c>
      <c r="T345" s="22" t="str">
        <f>IFERROR(__xludf.DUMMYFUNCTION("""COMPUTED_VALUE"""),"Chính thức")</f>
        <v>Chính thức</v>
      </c>
      <c r="U345" s="22"/>
      <c r="V345" s="22" t="str">
        <f>IFERROR(__xludf.DUMMYFUNCTION("""COMPUTED_VALUE"""),"Chính thức")</f>
        <v>Chính thức</v>
      </c>
      <c r="W345" s="22" t="str">
        <f>IFERROR(__xludf.DUMMYFUNCTION("""COMPUTED_VALUE"""),"24 năm 9 tháng")</f>
        <v>24 năm 9 tháng</v>
      </c>
      <c r="X345" s="22"/>
      <c r="Y345" s="22"/>
      <c r="Z345" s="22"/>
    </row>
    <row r="346">
      <c r="A346" s="22">
        <f>IFERROR(__xludf.DUMMYFUNCTION("""COMPUTED_VALUE"""),3.0)</f>
        <v>3</v>
      </c>
      <c r="B346" s="22" t="str">
        <f>IFERROR(__xludf.DUMMYFUNCTION("""COMPUTED_VALUE"""),"Văn phòng")</f>
        <v>Văn phòng</v>
      </c>
      <c r="C346" s="22" t="str">
        <f>IFERROR(__xludf.DUMMYFUNCTION("""COMPUTED_VALUE"""),"Dự án cát nhân tạo")</f>
        <v>Dự án cát nhân tạo</v>
      </c>
      <c r="D346" s="22" t="str">
        <f>IFERROR(__xludf.DUMMYFUNCTION("""COMPUTED_VALUE"""),"Bộ phận hành chính")</f>
        <v>Bộ phận hành chính</v>
      </c>
      <c r="E346" s="22" t="str">
        <f>IFERROR(__xludf.DUMMYFUNCTION("""COMPUTED_VALUE"""),"Lái xe mỏ cát")</f>
        <v>Lái xe mỏ cát</v>
      </c>
      <c r="F346" s="22" t="str">
        <f>IFERROR(__xludf.DUMMYFUNCTION("""COMPUTED_VALUE"""),"NV5723")</f>
        <v>NV5723</v>
      </c>
      <c r="G346" s="22"/>
      <c r="H346" s="22" t="str">
        <f>IFERROR(__xludf.DUMMYFUNCTION("""COMPUTED_VALUE"""),"Lê Duy Dương")</f>
        <v>Lê Duy Dương</v>
      </c>
      <c r="I346" s="22" t="str">
        <f>IFERROR(__xludf.DUMMYFUNCTION("""COMPUTED_VALUE"""),"Nam")</f>
        <v>Nam</v>
      </c>
      <c r="J346" s="24">
        <f>IFERROR(__xludf.DUMMYFUNCTION("""COMPUTED_VALUE"""),26886.0)</f>
        <v>26886</v>
      </c>
      <c r="K346" s="22" t="str">
        <f>IFERROR(__xludf.DUMMYFUNCTION("""COMPUTED_VALUE"""),"TDP Thống Nhất - phường Ngọc Sơn - Tỉnh Thanh Hóa")</f>
        <v>TDP Thống Nhất - phường Ngọc Sơn - Tỉnh Thanh Hóa</v>
      </c>
      <c r="L346" s="22" t="str">
        <f>IFERROR(__xludf.DUMMYFUNCTION("""COMPUTED_VALUE"""),"0915702148")</f>
        <v>0915702148</v>
      </c>
      <c r="M346" s="22" t="str">
        <f>IFERROR(__xludf.DUMMYFUNCTION("""COMPUTED_VALUE"""),"038073020911")</f>
        <v>038073020911</v>
      </c>
      <c r="N346" s="25">
        <f>IFERROR(__xludf.DUMMYFUNCTION("""COMPUTED_VALUE"""),44423.0)</f>
        <v>44423</v>
      </c>
      <c r="O346" s="22" t="str">
        <f>IFERROR(__xludf.DUMMYFUNCTION("""COMPUTED_VALUE"""),"Cục Cảnh sát QLHC về TTXH")</f>
        <v>Cục Cảnh sát QLHC về TTXH</v>
      </c>
      <c r="P346" s="22" t="str">
        <f>IFERROR(__xludf.DUMMYFUNCTION("""COMPUTED_VALUE"""),"Chứng chỉ nghề")</f>
        <v>Chứng chỉ nghề</v>
      </c>
      <c r="Q346" s="22" t="str">
        <f>IFERROR(__xludf.DUMMYFUNCTION("""COMPUTED_VALUE"""),"Lái xe bằng C")</f>
        <v>Lái xe bằng C</v>
      </c>
      <c r="R346" s="24">
        <f>IFERROR(__xludf.DUMMYFUNCTION("""COMPUTED_VALUE"""),45930.0)</f>
        <v>45930</v>
      </c>
      <c r="S346" s="26">
        <f>IFERROR(__xludf.DUMMYFUNCTION("""COMPUTED_VALUE"""),45960.0)</f>
        <v>45960</v>
      </c>
      <c r="T346" s="22" t="str">
        <f>IFERROR(__xludf.DUMMYFUNCTION("""COMPUTED_VALUE"""),"Thử việc")</f>
        <v>Thử việc</v>
      </c>
      <c r="U346" s="22"/>
      <c r="V346" s="22" t="str">
        <f>IFERROR(__xludf.DUMMYFUNCTION("""COMPUTED_VALUE"""),"Thử việc")</f>
        <v>Thử việc</v>
      </c>
      <c r="W346" s="22" t="str">
        <f>IFERROR(__xludf.DUMMYFUNCTION("""COMPUTED_VALUE"""),"0 năm 3 tháng")</f>
        <v>0 năm 3 tháng</v>
      </c>
      <c r="X346" s="22"/>
      <c r="Y346" s="22"/>
      <c r="Z346" s="22"/>
    </row>
    <row r="347">
      <c r="A347" s="22">
        <f>IFERROR(__xludf.DUMMYFUNCTION("""COMPUTED_VALUE"""),4.0)</f>
        <v>4</v>
      </c>
      <c r="B347" s="22" t="str">
        <f>IFERROR(__xludf.DUMMYFUNCTION("""COMPUTED_VALUE"""),"Văn phòng")</f>
        <v>Văn phòng</v>
      </c>
      <c r="C347" s="22" t="str">
        <f>IFERROR(__xludf.DUMMYFUNCTION("""COMPUTED_VALUE"""),"Dự án cát nhân tạo")</f>
        <v>Dự án cát nhân tạo</v>
      </c>
      <c r="D347" s="22" t="str">
        <f>IFERROR(__xludf.DUMMYFUNCTION("""COMPUTED_VALUE"""),"Bộ phận hành chính")</f>
        <v>Bộ phận hành chính</v>
      </c>
      <c r="E347" s="22" t="str">
        <f>IFERROR(__xludf.DUMMYFUNCTION("""COMPUTED_VALUE"""),"Lái xúc lật")</f>
        <v>Lái xúc lật</v>
      </c>
      <c r="F347" s="22" t="str">
        <f>IFERROR(__xludf.DUMMYFUNCTION("""COMPUTED_VALUE"""),"NV5749")</f>
        <v>NV5749</v>
      </c>
      <c r="G347" s="22"/>
      <c r="H347" s="22" t="str">
        <f>IFERROR(__xludf.DUMMYFUNCTION("""COMPUTED_VALUE"""),"Phan Văn Nhật")</f>
        <v>Phan Văn Nhật</v>
      </c>
      <c r="I347" s="22" t="str">
        <f>IFERROR(__xludf.DUMMYFUNCTION("""COMPUTED_VALUE"""),"Nam")</f>
        <v>Nam</v>
      </c>
      <c r="J347" s="24">
        <f>IFERROR(__xludf.DUMMYFUNCTION("""COMPUTED_VALUE"""),32613.0)</f>
        <v>32613</v>
      </c>
      <c r="K347" s="22" t="str">
        <f>IFERROR(__xludf.DUMMYFUNCTION("""COMPUTED_VALUE"""),"Thôn Liên Sơn - xã Các Sơn - Tỉnh Thanh Hóa")</f>
        <v>Thôn Liên Sơn - xã Các Sơn - Tỉnh Thanh Hóa</v>
      </c>
      <c r="L347" s="22" t="str">
        <f>IFERROR(__xludf.DUMMYFUNCTION("""COMPUTED_VALUE"""),"0986373885")</f>
        <v>0986373885</v>
      </c>
      <c r="M347" s="22" t="str">
        <f>IFERROR(__xludf.DUMMYFUNCTION("""COMPUTED_VALUE"""),"038089023640")</f>
        <v>038089023640</v>
      </c>
      <c r="N347" s="25">
        <f>IFERROR(__xludf.DUMMYFUNCTION("""COMPUTED_VALUE"""),45508.0)</f>
        <v>45508</v>
      </c>
      <c r="O347" s="22" t="str">
        <f>IFERROR(__xludf.DUMMYFUNCTION("""COMPUTED_VALUE"""),"Cục Cảnh sát QLHC về TTXH")</f>
        <v>Cục Cảnh sát QLHC về TTXH</v>
      </c>
      <c r="P347" s="22" t="str">
        <f>IFERROR(__xludf.DUMMYFUNCTION("""COMPUTED_VALUE"""),"Chứng chỉ nghề")</f>
        <v>Chứng chỉ nghề</v>
      </c>
      <c r="Q347" s="22" t="str">
        <f>IFERROR(__xludf.DUMMYFUNCTION("""COMPUTED_VALUE"""),"Vận hành máy CT ( xúc lật)")</f>
        <v>Vận hành máy CT ( xúc lật)</v>
      </c>
      <c r="R347" s="24">
        <f>IFERROR(__xludf.DUMMYFUNCTION("""COMPUTED_VALUE"""),45934.0)</f>
        <v>45934</v>
      </c>
      <c r="S347" s="26">
        <f>IFERROR(__xludf.DUMMYFUNCTION("""COMPUTED_VALUE"""),45965.0)</f>
        <v>45965</v>
      </c>
      <c r="T347" s="22" t="str">
        <f>IFERROR(__xludf.DUMMYFUNCTION("""COMPUTED_VALUE"""),"Thử việc")</f>
        <v>Thử việc</v>
      </c>
      <c r="U347" s="22"/>
      <c r="V347" s="22" t="str">
        <f>IFERROR(__xludf.DUMMYFUNCTION("""COMPUTED_VALUE"""),"Thử việc")</f>
        <v>Thử việc</v>
      </c>
      <c r="W347" s="22" t="str">
        <f>IFERROR(__xludf.DUMMYFUNCTION("""COMPUTED_VALUE"""),"0 năm 2 tháng")</f>
        <v>0 năm 2 tháng</v>
      </c>
      <c r="X347" s="22"/>
      <c r="Y347" s="22"/>
      <c r="Z347" s="22"/>
    </row>
    <row r="348">
      <c r="A348" s="22">
        <f>IFERROR(__xludf.DUMMYFUNCTION("""COMPUTED_VALUE"""),5.0)</f>
        <v>5</v>
      </c>
      <c r="B348" s="22" t="str">
        <f>IFERROR(__xludf.DUMMYFUNCTION("""COMPUTED_VALUE"""),"Văn phòng")</f>
        <v>Văn phòng</v>
      </c>
      <c r="C348" s="22" t="str">
        <f>IFERROR(__xludf.DUMMYFUNCTION("""COMPUTED_VALUE"""),"Dự án cát nhân tạo")</f>
        <v>Dự án cát nhân tạo</v>
      </c>
      <c r="D348" s="22" t="str">
        <f>IFERROR(__xludf.DUMMYFUNCTION("""COMPUTED_VALUE"""),"Bộ phận hành chính")</f>
        <v>Bộ phận hành chính</v>
      </c>
      <c r="E348" s="22" t="str">
        <f>IFERROR(__xludf.DUMMYFUNCTION("""COMPUTED_VALUE"""),"Công nhân VH mỏ cát")</f>
        <v>Công nhân VH mỏ cát</v>
      </c>
      <c r="F348" s="22" t="str">
        <f>IFERROR(__xludf.DUMMYFUNCTION("""COMPUTED_VALUE"""),"NV5738")</f>
        <v>NV5738</v>
      </c>
      <c r="G348" s="22"/>
      <c r="H348" s="22" t="str">
        <f>IFERROR(__xludf.DUMMYFUNCTION("""COMPUTED_VALUE"""),"Lê Thế Dân")</f>
        <v>Lê Thế Dân</v>
      </c>
      <c r="I348" s="22" t="str">
        <f>IFERROR(__xludf.DUMMYFUNCTION("""COMPUTED_VALUE"""),"Nam")</f>
        <v>Nam</v>
      </c>
      <c r="J348" s="24">
        <f>IFERROR(__xludf.DUMMYFUNCTION("""COMPUTED_VALUE"""),33150.0)</f>
        <v>33150</v>
      </c>
      <c r="K348" s="22" t="str">
        <f>IFERROR(__xludf.DUMMYFUNCTION("""COMPUTED_VALUE"""),"Thôn Đông - xã Các Sơn - Tỉnh Thanh Hóa")</f>
        <v>Thôn Đông - xã Các Sơn - Tỉnh Thanh Hóa</v>
      </c>
      <c r="L348" s="22" t="str">
        <f>IFERROR(__xludf.DUMMYFUNCTION("""COMPUTED_VALUE"""),"0982807127")</f>
        <v>0982807127</v>
      </c>
      <c r="M348" s="22" t="str">
        <f>IFERROR(__xludf.DUMMYFUNCTION("""COMPUTED_VALUE"""),"038090005125")</f>
        <v>038090005125</v>
      </c>
      <c r="N348" s="25">
        <f>IFERROR(__xludf.DUMMYFUNCTION("""COMPUTED_VALUE"""),44852.0)</f>
        <v>44852</v>
      </c>
      <c r="O348" s="22" t="str">
        <f>IFERROR(__xludf.DUMMYFUNCTION("""COMPUTED_VALUE"""),"Cục Cảnh sát QLHC về TTXH")</f>
        <v>Cục Cảnh sát QLHC về TTXH</v>
      </c>
      <c r="P348" s="22" t="str">
        <f>IFERROR(__xludf.DUMMYFUNCTION("""COMPUTED_VALUE"""),"Trung cấp, nghề")</f>
        <v>Trung cấp, nghề</v>
      </c>
      <c r="Q348" s="22" t="str">
        <f>IFERROR(__xludf.DUMMYFUNCTION("""COMPUTED_VALUE"""),"Trung cấp cơ khí chế tạo máy")</f>
        <v>Trung cấp cơ khí chế tạo máy</v>
      </c>
      <c r="R348" s="24">
        <f>IFERROR(__xludf.DUMMYFUNCTION("""COMPUTED_VALUE"""),45931.0)</f>
        <v>45931</v>
      </c>
      <c r="S348" s="26">
        <f>IFERROR(__xludf.DUMMYFUNCTION("""COMPUTED_VALUE"""),45962.0)</f>
        <v>45962</v>
      </c>
      <c r="T348" s="22" t="str">
        <f>IFERROR(__xludf.DUMMYFUNCTION("""COMPUTED_VALUE"""),"Thử việc")</f>
        <v>Thử việc</v>
      </c>
      <c r="U348" s="22"/>
      <c r="V348" s="22" t="str">
        <f>IFERROR(__xludf.DUMMYFUNCTION("""COMPUTED_VALUE"""),"Thử việc")</f>
        <v>Thử việc</v>
      </c>
      <c r="W348" s="22" t="str">
        <f>IFERROR(__xludf.DUMMYFUNCTION("""COMPUTED_VALUE"""),"0 năm 2 tháng")</f>
        <v>0 năm 2 tháng</v>
      </c>
      <c r="X348" s="22"/>
      <c r="Y348" s="22"/>
      <c r="Z348" s="22"/>
    </row>
    <row r="349">
      <c r="A349" s="22">
        <f>IFERROR(__xludf.DUMMYFUNCTION("""COMPUTED_VALUE"""),6.0)</f>
        <v>6</v>
      </c>
      <c r="B349" s="22" t="str">
        <f>IFERROR(__xludf.DUMMYFUNCTION("""COMPUTED_VALUE"""),"Văn phòng")</f>
        <v>Văn phòng</v>
      </c>
      <c r="C349" s="22" t="str">
        <f>IFERROR(__xludf.DUMMYFUNCTION("""COMPUTED_VALUE"""),"Dự án cát nhân tạo")</f>
        <v>Dự án cát nhân tạo</v>
      </c>
      <c r="D349" s="22" t="str">
        <f>IFERROR(__xludf.DUMMYFUNCTION("""COMPUTED_VALUE"""),"Bộ phận hành chính")</f>
        <v>Bộ phận hành chính</v>
      </c>
      <c r="E349" s="22" t="str">
        <f>IFERROR(__xludf.DUMMYFUNCTION("""COMPUTED_VALUE"""),"Công nhân VH mỏ cát")</f>
        <v>Công nhân VH mỏ cát</v>
      </c>
      <c r="F349" s="22" t="str">
        <f>IFERROR(__xludf.DUMMYFUNCTION("""COMPUTED_VALUE"""),"NV5739")</f>
        <v>NV5739</v>
      </c>
      <c r="G349" s="22"/>
      <c r="H349" s="22" t="str">
        <f>IFERROR(__xludf.DUMMYFUNCTION("""COMPUTED_VALUE"""),"Lê Bá Hanh")</f>
        <v>Lê Bá Hanh</v>
      </c>
      <c r="I349" s="22" t="str">
        <f>IFERROR(__xludf.DUMMYFUNCTION("""COMPUTED_VALUE"""),"Nam")</f>
        <v>Nam</v>
      </c>
      <c r="J349" s="24">
        <f>IFERROR(__xludf.DUMMYFUNCTION("""COMPUTED_VALUE"""),30214.0)</f>
        <v>30214</v>
      </c>
      <c r="K349" s="22" t="str">
        <f>IFERROR(__xludf.DUMMYFUNCTION("""COMPUTED_VALUE"""),"Thôn Đông - xã Các Sơn - Tỉnh Thanh Hóa")</f>
        <v>Thôn Đông - xã Các Sơn - Tỉnh Thanh Hóa</v>
      </c>
      <c r="L349" s="22" t="str">
        <f>IFERROR(__xludf.DUMMYFUNCTION("""COMPUTED_VALUE"""),"0977019078")</f>
        <v>0977019078</v>
      </c>
      <c r="M349" s="22" t="str">
        <f>IFERROR(__xludf.DUMMYFUNCTION("""COMPUTED_VALUE"""),"038082006284")</f>
        <v>038082006284</v>
      </c>
      <c r="N349" s="25">
        <f>IFERROR(__xludf.DUMMYFUNCTION("""COMPUTED_VALUE"""),44419.0)</f>
        <v>44419</v>
      </c>
      <c r="O349" s="22" t="str">
        <f>IFERROR(__xludf.DUMMYFUNCTION("""COMPUTED_VALUE"""),"Cục Cảnh sát QLHC về TTXH")</f>
        <v>Cục Cảnh sát QLHC về TTXH</v>
      </c>
      <c r="P349" s="22" t="str">
        <f>IFERROR(__xludf.DUMMYFUNCTION("""COMPUTED_VALUE"""),"Chứng chỉ nghề")</f>
        <v>Chứng chỉ nghề</v>
      </c>
      <c r="Q349" s="22" t="str">
        <f>IFERROR(__xludf.DUMMYFUNCTION("""COMPUTED_VALUE"""),"Chứng chỉ hàn")</f>
        <v>Chứng chỉ hàn</v>
      </c>
      <c r="R349" s="24">
        <f>IFERROR(__xludf.DUMMYFUNCTION("""COMPUTED_VALUE"""),45931.0)</f>
        <v>45931</v>
      </c>
      <c r="S349" s="26">
        <f>IFERROR(__xludf.DUMMYFUNCTION("""COMPUTED_VALUE"""),45962.0)</f>
        <v>45962</v>
      </c>
      <c r="T349" s="22" t="str">
        <f>IFERROR(__xludf.DUMMYFUNCTION("""COMPUTED_VALUE"""),"Thử việc")</f>
        <v>Thử việc</v>
      </c>
      <c r="U349" s="22"/>
      <c r="V349" s="22" t="str">
        <f>IFERROR(__xludf.DUMMYFUNCTION("""COMPUTED_VALUE"""),"Thử việc")</f>
        <v>Thử việc</v>
      </c>
      <c r="W349" s="22" t="str">
        <f>IFERROR(__xludf.DUMMYFUNCTION("""COMPUTED_VALUE"""),"0 năm 2 tháng")</f>
        <v>0 năm 2 tháng</v>
      </c>
      <c r="X349" s="22"/>
      <c r="Y349" s="22"/>
      <c r="Z349" s="22"/>
    </row>
    <row r="350">
      <c r="A350" s="22">
        <f>IFERROR(__xludf.DUMMYFUNCTION("""COMPUTED_VALUE"""),7.0)</f>
        <v>7</v>
      </c>
      <c r="B350" s="22" t="str">
        <f>IFERROR(__xludf.DUMMYFUNCTION("""COMPUTED_VALUE"""),"Văn phòng")</f>
        <v>Văn phòng</v>
      </c>
      <c r="C350" s="22" t="str">
        <f>IFERROR(__xludf.DUMMYFUNCTION("""COMPUTED_VALUE"""),"Dự án cát nhân tạo")</f>
        <v>Dự án cát nhân tạo</v>
      </c>
      <c r="D350" s="22" t="str">
        <f>IFERROR(__xludf.DUMMYFUNCTION("""COMPUTED_VALUE"""),"Bộ phận hành chính")</f>
        <v>Bộ phận hành chính</v>
      </c>
      <c r="E350" s="22" t="str">
        <f>IFERROR(__xludf.DUMMYFUNCTION("""COMPUTED_VALUE"""),"Máy xúc mỏ cát nhân tạo")</f>
        <v>Máy xúc mỏ cát nhân tạo</v>
      </c>
      <c r="F350" s="22" t="str">
        <f>IFERROR(__xludf.DUMMYFUNCTION("""COMPUTED_VALUE"""),"NV5740")</f>
        <v>NV5740</v>
      </c>
      <c r="G350" s="22"/>
      <c r="H350" s="22" t="str">
        <f>IFERROR(__xludf.DUMMYFUNCTION("""COMPUTED_VALUE"""),"Vũ Năng Vinh")</f>
        <v>Vũ Năng Vinh</v>
      </c>
      <c r="I350" s="22" t="str">
        <f>IFERROR(__xludf.DUMMYFUNCTION("""COMPUTED_VALUE"""),"Nam")</f>
        <v>Nam</v>
      </c>
      <c r="J350" s="24">
        <f>IFERROR(__xludf.DUMMYFUNCTION("""COMPUTED_VALUE"""),31172.0)</f>
        <v>31172</v>
      </c>
      <c r="K350" s="22" t="str">
        <f>IFERROR(__xludf.DUMMYFUNCTION("""COMPUTED_VALUE"""),"Thôn Liên Sơn - xã Các Sơn - Tỉnh Thanh Hóa")</f>
        <v>Thôn Liên Sơn - xã Các Sơn - Tỉnh Thanh Hóa</v>
      </c>
      <c r="L350" s="22" t="str">
        <f>IFERROR(__xludf.DUMMYFUNCTION("""COMPUTED_VALUE"""),"0964946220")</f>
        <v>0964946220</v>
      </c>
      <c r="M350" s="22" t="str">
        <f>IFERROR(__xludf.DUMMYFUNCTION("""COMPUTED_VALUE"""),"038085018612")</f>
        <v>038085018612</v>
      </c>
      <c r="N350" s="25">
        <f>IFERROR(__xludf.DUMMYFUNCTION("""COMPUTED_VALUE"""),45782.0)</f>
        <v>45782</v>
      </c>
      <c r="O350" s="22" t="str">
        <f>IFERROR(__xludf.DUMMYFUNCTION("""COMPUTED_VALUE"""),"Bộ Công an")</f>
        <v>Bộ Công an</v>
      </c>
      <c r="P350" s="22" t="str">
        <f>IFERROR(__xludf.DUMMYFUNCTION("""COMPUTED_VALUE"""),"Trung cấp, nghề")</f>
        <v>Trung cấp, nghề</v>
      </c>
      <c r="Q350" s="22" t="str">
        <f>IFERROR(__xludf.DUMMYFUNCTION("""COMPUTED_VALUE"""),"Trung cấp vận hành lái máy xúc")</f>
        <v>Trung cấp vận hành lái máy xúc</v>
      </c>
      <c r="R350" s="24">
        <f>IFERROR(__xludf.DUMMYFUNCTION("""COMPUTED_VALUE"""),45932.0)</f>
        <v>45932</v>
      </c>
      <c r="S350" s="26">
        <f>IFERROR(__xludf.DUMMYFUNCTION("""COMPUTED_VALUE"""),45963.0)</f>
        <v>45963</v>
      </c>
      <c r="T350" s="22" t="str">
        <f>IFERROR(__xludf.DUMMYFUNCTION("""COMPUTED_VALUE"""),"Thử việc")</f>
        <v>Thử việc</v>
      </c>
      <c r="U350" s="22"/>
      <c r="V350" s="22" t="str">
        <f>IFERROR(__xludf.DUMMYFUNCTION("""COMPUTED_VALUE"""),"Thử việc")</f>
        <v>Thử việc</v>
      </c>
      <c r="W350" s="22" t="str">
        <f>IFERROR(__xludf.DUMMYFUNCTION("""COMPUTED_VALUE"""),"0 năm 2 tháng")</f>
        <v>0 năm 2 tháng</v>
      </c>
      <c r="X350" s="22"/>
      <c r="Y350" s="22"/>
      <c r="Z350" s="22"/>
    </row>
    <row r="351">
      <c r="A351" s="22">
        <f>IFERROR(__xludf.DUMMYFUNCTION("""COMPUTED_VALUE"""),8.0)</f>
        <v>8</v>
      </c>
      <c r="B351" s="22" t="str">
        <f>IFERROR(__xludf.DUMMYFUNCTION("""COMPUTED_VALUE"""),"Văn phòng")</f>
        <v>Văn phòng</v>
      </c>
      <c r="C351" s="22" t="str">
        <f>IFERROR(__xludf.DUMMYFUNCTION("""COMPUTED_VALUE"""),"Dự án cát nhân tạo")</f>
        <v>Dự án cát nhân tạo</v>
      </c>
      <c r="D351" s="22" t="str">
        <f>IFERROR(__xludf.DUMMYFUNCTION("""COMPUTED_VALUE"""),"Bộ phận hành chính")</f>
        <v>Bộ phận hành chính</v>
      </c>
      <c r="E351" s="22" t="str">
        <f>IFERROR(__xludf.DUMMYFUNCTION("""COMPUTED_VALUE"""),"Công nhân VH mỏ cát")</f>
        <v>Công nhân VH mỏ cát</v>
      </c>
      <c r="F351" s="22" t="str">
        <f>IFERROR(__xludf.DUMMYFUNCTION("""COMPUTED_VALUE"""),"NV5725")</f>
        <v>NV5725</v>
      </c>
      <c r="G351" s="22"/>
      <c r="H351" s="22" t="str">
        <f>IFERROR(__xludf.DUMMYFUNCTION("""COMPUTED_VALUE"""),"Vũ Thanh Tùng")</f>
        <v>Vũ Thanh Tùng</v>
      </c>
      <c r="I351" s="22" t="str">
        <f>IFERROR(__xludf.DUMMYFUNCTION("""COMPUTED_VALUE"""),"Nam")</f>
        <v>Nam</v>
      </c>
      <c r="J351" s="24">
        <f>IFERROR(__xludf.DUMMYFUNCTION("""COMPUTED_VALUE"""),28126.0)</f>
        <v>28126</v>
      </c>
      <c r="K351" s="22" t="str">
        <f>IFERROR(__xludf.DUMMYFUNCTION("""COMPUTED_VALUE"""),"Thôn Liên Sơn - xã Các Sơn - Tỉnh Thanh Hóa")</f>
        <v>Thôn Liên Sơn - xã Các Sơn - Tỉnh Thanh Hóa</v>
      </c>
      <c r="L351" s="22" t="str">
        <f>IFERROR(__xludf.DUMMYFUNCTION("""COMPUTED_VALUE"""),"0974113929")</f>
        <v>0974113929</v>
      </c>
      <c r="M351" s="22" t="str">
        <f>IFERROR(__xludf.DUMMYFUNCTION("""COMPUTED_VALUE"""),"038077017032")</f>
        <v>038077017032</v>
      </c>
      <c r="N351" s="25">
        <f>IFERROR(__xludf.DUMMYFUNCTION("""COMPUTED_VALUE"""),44428.0)</f>
        <v>44428</v>
      </c>
      <c r="O351" s="22" t="str">
        <f>IFERROR(__xludf.DUMMYFUNCTION("""COMPUTED_VALUE"""),"Cục Cảnh sát QLHC về TTXH")</f>
        <v>Cục Cảnh sát QLHC về TTXH</v>
      </c>
      <c r="P351" s="22" t="str">
        <f>IFERROR(__xludf.DUMMYFUNCTION("""COMPUTED_VALUE"""),"Trung cấp")</f>
        <v>Trung cấp</v>
      </c>
      <c r="Q351" s="22" t="str">
        <f>IFERROR(__xludf.DUMMYFUNCTION("""COMPUTED_VALUE"""),"Trung cấp Xây dựng")</f>
        <v>Trung cấp Xây dựng</v>
      </c>
      <c r="R351" s="24">
        <f>IFERROR(__xludf.DUMMYFUNCTION("""COMPUTED_VALUE"""),45930.0)</f>
        <v>45930</v>
      </c>
      <c r="S351" s="26">
        <f>IFERROR(__xludf.DUMMYFUNCTION("""COMPUTED_VALUE"""),45960.0)</f>
        <v>45960</v>
      </c>
      <c r="T351" s="22" t="str">
        <f>IFERROR(__xludf.DUMMYFUNCTION("""COMPUTED_VALUE"""),"Thử việc")</f>
        <v>Thử việc</v>
      </c>
      <c r="U351" s="22"/>
      <c r="V351" s="22" t="str">
        <f>IFERROR(__xludf.DUMMYFUNCTION("""COMPUTED_VALUE"""),"Thử việc")</f>
        <v>Thử việc</v>
      </c>
      <c r="W351" s="22" t="str">
        <f>IFERROR(__xludf.DUMMYFUNCTION("""COMPUTED_VALUE"""),"0 năm 3 tháng")</f>
        <v>0 năm 3 tháng</v>
      </c>
      <c r="X351" s="22"/>
      <c r="Y351" s="22"/>
      <c r="Z351" s="22"/>
    </row>
    <row r="352">
      <c r="A352" s="22">
        <f>IFERROR(__xludf.DUMMYFUNCTION("""COMPUTED_VALUE"""),9.0)</f>
        <v>9</v>
      </c>
      <c r="B352" s="22" t="str">
        <f>IFERROR(__xludf.DUMMYFUNCTION("""COMPUTED_VALUE"""),"Văn phòng")</f>
        <v>Văn phòng</v>
      </c>
      <c r="C352" s="22" t="str">
        <f>IFERROR(__xludf.DUMMYFUNCTION("""COMPUTED_VALUE"""),"Dự án cát nhân tạo")</f>
        <v>Dự án cát nhân tạo</v>
      </c>
      <c r="D352" s="22" t="str">
        <f>IFERROR(__xludf.DUMMYFUNCTION("""COMPUTED_VALUE"""),"Bộ phận hành chính")</f>
        <v>Bộ phận hành chính</v>
      </c>
      <c r="E352" s="22" t="str">
        <f>IFERROR(__xludf.DUMMYFUNCTION("""COMPUTED_VALUE"""),"Công nhân VH mỏ cát")</f>
        <v>Công nhân VH mỏ cát</v>
      </c>
      <c r="F352" s="22" t="str">
        <f>IFERROR(__xludf.DUMMYFUNCTION("""COMPUTED_VALUE"""),"NV5726")</f>
        <v>NV5726</v>
      </c>
      <c r="G352" s="22"/>
      <c r="H352" s="22" t="str">
        <f>IFERROR(__xludf.DUMMYFUNCTION("""COMPUTED_VALUE"""),"Vũ Năng Dưỡng")</f>
        <v>Vũ Năng Dưỡng</v>
      </c>
      <c r="I352" s="22" t="str">
        <f>IFERROR(__xludf.DUMMYFUNCTION("""COMPUTED_VALUE"""),"Nam")</f>
        <v>Nam</v>
      </c>
      <c r="J352" s="24">
        <f>IFERROR(__xludf.DUMMYFUNCTION("""COMPUTED_VALUE"""),31902.0)</f>
        <v>31902</v>
      </c>
      <c r="K352" s="22" t="str">
        <f>IFERROR(__xludf.DUMMYFUNCTION("""COMPUTED_VALUE"""),"Thôn Các Sơn - xã Nghi Sơn - Tỉnh Thanh Hóa")</f>
        <v>Thôn Các Sơn - xã Nghi Sơn - Tỉnh Thanh Hóa</v>
      </c>
      <c r="L352" s="22" t="str">
        <f>IFERROR(__xludf.DUMMYFUNCTION("""COMPUTED_VALUE"""),"0377580933")</f>
        <v>0377580933</v>
      </c>
      <c r="M352" s="22" t="str">
        <f>IFERROR(__xludf.DUMMYFUNCTION("""COMPUTED_VALUE"""),"038078030958")</f>
        <v>038078030958</v>
      </c>
      <c r="N352" s="25">
        <f>IFERROR(__xludf.DUMMYFUNCTION("""COMPUTED_VALUE"""),44423.0)</f>
        <v>44423</v>
      </c>
      <c r="O352" s="22" t="str">
        <f>IFERROR(__xludf.DUMMYFUNCTION("""COMPUTED_VALUE"""),"Cục Cảnh sát QLHC về TTXH")</f>
        <v>Cục Cảnh sát QLHC về TTXH</v>
      </c>
      <c r="P352" s="22" t="str">
        <f>IFERROR(__xludf.DUMMYFUNCTION("""COMPUTED_VALUE"""),"LĐPT")</f>
        <v>LĐPT</v>
      </c>
      <c r="Q352" s="22" t="str">
        <f>IFERROR(__xludf.DUMMYFUNCTION("""COMPUTED_VALUE"""),"Lao động phổ thông")</f>
        <v>Lao động phổ thông</v>
      </c>
      <c r="R352" s="24">
        <f>IFERROR(__xludf.DUMMYFUNCTION("""COMPUTED_VALUE"""),45930.0)</f>
        <v>45930</v>
      </c>
      <c r="S352" s="26">
        <f>IFERROR(__xludf.DUMMYFUNCTION("""COMPUTED_VALUE"""),45960.0)</f>
        <v>45960</v>
      </c>
      <c r="T352" s="22" t="str">
        <f>IFERROR(__xludf.DUMMYFUNCTION("""COMPUTED_VALUE"""),"Thử việc")</f>
        <v>Thử việc</v>
      </c>
      <c r="U352" s="22"/>
      <c r="V352" s="22" t="str">
        <f>IFERROR(__xludf.DUMMYFUNCTION("""COMPUTED_VALUE"""),"Thử việc")</f>
        <v>Thử việc</v>
      </c>
      <c r="W352" s="22" t="str">
        <f>IFERROR(__xludf.DUMMYFUNCTION("""COMPUTED_VALUE"""),"0 năm 3 tháng")</f>
        <v>0 năm 3 tháng</v>
      </c>
      <c r="X352" s="22"/>
      <c r="Y352" s="22"/>
      <c r="Z352" s="22"/>
    </row>
    <row r="353">
      <c r="A353" s="22">
        <f>IFERROR(__xludf.DUMMYFUNCTION("""COMPUTED_VALUE"""),10.0)</f>
        <v>10</v>
      </c>
      <c r="B353" s="22" t="str">
        <f>IFERROR(__xludf.DUMMYFUNCTION("""COMPUTED_VALUE"""),"Văn phòng")</f>
        <v>Văn phòng</v>
      </c>
      <c r="C353" s="22" t="str">
        <f>IFERROR(__xludf.DUMMYFUNCTION("""COMPUTED_VALUE"""),"Dự án cát nhân tạo")</f>
        <v>Dự án cát nhân tạo</v>
      </c>
      <c r="D353" s="22" t="str">
        <f>IFERROR(__xludf.DUMMYFUNCTION("""COMPUTED_VALUE"""),"Bộ phận hành chính")</f>
        <v>Bộ phận hành chính</v>
      </c>
      <c r="E353" s="22" t="str">
        <f>IFERROR(__xludf.DUMMYFUNCTION("""COMPUTED_VALUE"""),"Công nhân VH mỏ cát")</f>
        <v>Công nhân VH mỏ cát</v>
      </c>
      <c r="F353" s="22" t="str">
        <f>IFERROR(__xludf.DUMMYFUNCTION("""COMPUTED_VALUE"""),"NV5727")</f>
        <v>NV5727</v>
      </c>
      <c r="G353" s="22"/>
      <c r="H353" s="22" t="str">
        <f>IFERROR(__xludf.DUMMYFUNCTION("""COMPUTED_VALUE"""),"Vũ Năng Trình")</f>
        <v>Vũ Năng Trình</v>
      </c>
      <c r="I353" s="22" t="str">
        <f>IFERROR(__xludf.DUMMYFUNCTION("""COMPUTED_VALUE"""),"Nam")</f>
        <v>Nam</v>
      </c>
      <c r="J353" s="24">
        <f>IFERROR(__xludf.DUMMYFUNCTION("""COMPUTED_VALUE"""),30507.0)</f>
        <v>30507</v>
      </c>
      <c r="K353" s="22" t="str">
        <f>IFERROR(__xludf.DUMMYFUNCTION("""COMPUTED_VALUE"""),"Thôn Liên Sơn - xã Các Sơn - Tỉnh Thanh Hóa")</f>
        <v>Thôn Liên Sơn - xã Các Sơn - Tỉnh Thanh Hóa</v>
      </c>
      <c r="L353" s="22" t="str">
        <f>IFERROR(__xludf.DUMMYFUNCTION("""COMPUTED_VALUE"""),"0987604910")</f>
        <v>0987604910</v>
      </c>
      <c r="M353" s="22" t="str">
        <f>IFERROR(__xludf.DUMMYFUNCTION("""COMPUTED_VALUE"""),"038083014109")</f>
        <v>038083014109</v>
      </c>
      <c r="N353" s="25">
        <f>IFERROR(__xludf.DUMMYFUNCTION("""COMPUTED_VALUE"""),44420.0)</f>
        <v>44420</v>
      </c>
      <c r="O353" s="22" t="str">
        <f>IFERROR(__xludf.DUMMYFUNCTION("""COMPUTED_VALUE"""),"Cục Cảnh sát QLHC về TTXH")</f>
        <v>Cục Cảnh sát QLHC về TTXH</v>
      </c>
      <c r="P353" s="22" t="str">
        <f>IFERROR(__xludf.DUMMYFUNCTION("""COMPUTED_VALUE"""),"LĐPT")</f>
        <v>LĐPT</v>
      </c>
      <c r="Q353" s="22" t="str">
        <f>IFERROR(__xludf.DUMMYFUNCTION("""COMPUTED_VALUE"""),"Lao động phổ thông")</f>
        <v>Lao động phổ thông</v>
      </c>
      <c r="R353" s="24">
        <f>IFERROR(__xludf.DUMMYFUNCTION("""COMPUTED_VALUE"""),45930.0)</f>
        <v>45930</v>
      </c>
      <c r="S353" s="26">
        <f>IFERROR(__xludf.DUMMYFUNCTION("""COMPUTED_VALUE"""),45960.0)</f>
        <v>45960</v>
      </c>
      <c r="T353" s="22" t="str">
        <f>IFERROR(__xludf.DUMMYFUNCTION("""COMPUTED_VALUE"""),"Thử việc")</f>
        <v>Thử việc</v>
      </c>
      <c r="U353" s="22"/>
      <c r="V353" s="22" t="str">
        <f>IFERROR(__xludf.DUMMYFUNCTION("""COMPUTED_VALUE"""),"Thử việc")</f>
        <v>Thử việc</v>
      </c>
      <c r="W353" s="22" t="str">
        <f>IFERROR(__xludf.DUMMYFUNCTION("""COMPUTED_VALUE"""),"0 năm 3 tháng")</f>
        <v>0 năm 3 tháng</v>
      </c>
      <c r="X353" s="22"/>
      <c r="Y353" s="22"/>
      <c r="Z353" s="22"/>
    </row>
    <row r="354">
      <c r="A354" s="22">
        <f>IFERROR(__xludf.DUMMYFUNCTION("""COMPUTED_VALUE"""),11.0)</f>
        <v>11</v>
      </c>
      <c r="B354" s="22" t="str">
        <f>IFERROR(__xludf.DUMMYFUNCTION("""COMPUTED_VALUE"""),"Văn phòng")</f>
        <v>Văn phòng</v>
      </c>
      <c r="C354" s="22" t="str">
        <f>IFERROR(__xludf.DUMMYFUNCTION("""COMPUTED_VALUE"""),"Dự án cát nhân tạo")</f>
        <v>Dự án cát nhân tạo</v>
      </c>
      <c r="D354" s="22" t="str">
        <f>IFERROR(__xludf.DUMMYFUNCTION("""COMPUTED_VALUE"""),"Bộ phận hành chính")</f>
        <v>Bộ phận hành chính</v>
      </c>
      <c r="E354" s="22" t="str">
        <f>IFERROR(__xludf.DUMMYFUNCTION("""COMPUTED_VALUE"""),"Công nhân VH mỏ cát")</f>
        <v>Công nhân VH mỏ cát</v>
      </c>
      <c r="F354" s="22" t="str">
        <f>IFERROR(__xludf.DUMMYFUNCTION("""COMPUTED_VALUE"""),"NV5728")</f>
        <v>NV5728</v>
      </c>
      <c r="G354" s="22"/>
      <c r="H354" s="22" t="str">
        <f>IFERROR(__xludf.DUMMYFUNCTION("""COMPUTED_VALUE"""),"Phan Văn Hiệp")</f>
        <v>Phan Văn Hiệp</v>
      </c>
      <c r="I354" s="22" t="str">
        <f>IFERROR(__xludf.DUMMYFUNCTION("""COMPUTED_VALUE"""),"Nam")</f>
        <v>Nam</v>
      </c>
      <c r="J354" s="24">
        <f>IFERROR(__xludf.DUMMYFUNCTION("""COMPUTED_VALUE"""),33790.0)</f>
        <v>33790</v>
      </c>
      <c r="K354" s="22" t="str">
        <f>IFERROR(__xludf.DUMMYFUNCTION("""COMPUTED_VALUE"""),"Thôn Liên Sơn - xã Các Sơn - Tỉnh Thanh Hóa")</f>
        <v>Thôn Liên Sơn - xã Các Sơn - Tỉnh Thanh Hóa</v>
      </c>
      <c r="L354" s="22" t="str">
        <f>IFERROR(__xludf.DUMMYFUNCTION("""COMPUTED_VALUE"""),"0388539269")</f>
        <v>0388539269</v>
      </c>
      <c r="M354" s="22" t="str">
        <f>IFERROR(__xludf.DUMMYFUNCTION("""COMPUTED_VALUE"""),"038092006632")</f>
        <v>038092006632</v>
      </c>
      <c r="N354" s="25">
        <f>IFERROR(__xludf.DUMMYFUNCTION("""COMPUTED_VALUE"""),44419.0)</f>
        <v>44419</v>
      </c>
      <c r="O354" s="22" t="str">
        <f>IFERROR(__xludf.DUMMYFUNCTION("""COMPUTED_VALUE"""),"Cục Cảnh sát QLHC về TTXH")</f>
        <v>Cục Cảnh sát QLHC về TTXH</v>
      </c>
      <c r="P354" s="22" t="str">
        <f>IFERROR(__xludf.DUMMYFUNCTION("""COMPUTED_VALUE"""),"LĐPT")</f>
        <v>LĐPT</v>
      </c>
      <c r="Q354" s="22" t="str">
        <f>IFERROR(__xludf.DUMMYFUNCTION("""COMPUTED_VALUE"""),"Lao động phổ thông")</f>
        <v>Lao động phổ thông</v>
      </c>
      <c r="R354" s="24">
        <f>IFERROR(__xludf.DUMMYFUNCTION("""COMPUTED_VALUE"""),45930.0)</f>
        <v>45930</v>
      </c>
      <c r="S354" s="26">
        <f>IFERROR(__xludf.DUMMYFUNCTION("""COMPUTED_VALUE"""),45960.0)</f>
        <v>45960</v>
      </c>
      <c r="T354" s="22" t="str">
        <f>IFERROR(__xludf.DUMMYFUNCTION("""COMPUTED_VALUE"""),"Thử việc")</f>
        <v>Thử việc</v>
      </c>
      <c r="U354" s="22"/>
      <c r="V354" s="22" t="str">
        <f>IFERROR(__xludf.DUMMYFUNCTION("""COMPUTED_VALUE"""),"Thử việc")</f>
        <v>Thử việc</v>
      </c>
      <c r="W354" s="22" t="str">
        <f>IFERROR(__xludf.DUMMYFUNCTION("""COMPUTED_VALUE"""),"0 năm 3 tháng")</f>
        <v>0 năm 3 tháng</v>
      </c>
      <c r="X354" s="22"/>
      <c r="Y354" s="22"/>
      <c r="Z354" s="22"/>
    </row>
    <row r="355">
      <c r="A355" s="22">
        <f>IFERROR(__xludf.DUMMYFUNCTION("""COMPUTED_VALUE"""),12.0)</f>
        <v>12</v>
      </c>
      <c r="B355" s="22" t="str">
        <f>IFERROR(__xludf.DUMMYFUNCTION("""COMPUTED_VALUE"""),"Văn phòng")</f>
        <v>Văn phòng</v>
      </c>
      <c r="C355" s="22" t="str">
        <f>IFERROR(__xludf.DUMMYFUNCTION("""COMPUTED_VALUE"""),"Dự án cát nhân tạo")</f>
        <v>Dự án cát nhân tạo</v>
      </c>
      <c r="D355" s="22" t="str">
        <f>IFERROR(__xludf.DUMMYFUNCTION("""COMPUTED_VALUE"""),"Bộ phận hành chính")</f>
        <v>Bộ phận hành chính</v>
      </c>
      <c r="E355" s="22" t="str">
        <f>IFERROR(__xludf.DUMMYFUNCTION("""COMPUTED_VALUE"""),"Lái xúc lật")</f>
        <v>Lái xúc lật</v>
      </c>
      <c r="F355" s="22" t="str">
        <f>IFERROR(__xludf.DUMMYFUNCTION("""COMPUTED_VALUE"""),"NV5730")</f>
        <v>NV5730</v>
      </c>
      <c r="G355" s="22"/>
      <c r="H355" s="22" t="str">
        <f>IFERROR(__xludf.DUMMYFUNCTION("""COMPUTED_VALUE"""),"Vũ Năng Long")</f>
        <v>Vũ Năng Long</v>
      </c>
      <c r="I355" s="22" t="str">
        <f>IFERROR(__xludf.DUMMYFUNCTION("""COMPUTED_VALUE"""),"Nam")</f>
        <v>Nam</v>
      </c>
      <c r="J355" s="24">
        <f>IFERROR(__xludf.DUMMYFUNCTION("""COMPUTED_VALUE"""),33459.0)</f>
        <v>33459</v>
      </c>
      <c r="K355" s="22" t="str">
        <f>IFERROR(__xludf.DUMMYFUNCTION("""COMPUTED_VALUE"""),"Thôn Liên Sơn - xã Các Sơn - Tỉnh Thanh Hóa")</f>
        <v>Thôn Liên Sơn - xã Các Sơn - Tỉnh Thanh Hóa</v>
      </c>
      <c r="L355" s="22" t="str">
        <f>IFERROR(__xludf.DUMMYFUNCTION("""COMPUTED_VALUE"""),"0978020511")</f>
        <v>0978020511</v>
      </c>
      <c r="M355" s="22" t="str">
        <f>IFERROR(__xludf.DUMMYFUNCTION("""COMPUTED_VALUE"""),"038091039529")</f>
        <v>038091039529</v>
      </c>
      <c r="N355" s="25">
        <f>IFERROR(__xludf.DUMMYFUNCTION("""COMPUTED_VALUE"""),44423.0)</f>
        <v>44423</v>
      </c>
      <c r="O355" s="22" t="str">
        <f>IFERROR(__xludf.DUMMYFUNCTION("""COMPUTED_VALUE"""),"Cục Cảnh sát QLHC về TTXH")</f>
        <v>Cục Cảnh sát QLHC về TTXH</v>
      </c>
      <c r="P355" s="22" t="str">
        <f>IFERROR(__xludf.DUMMYFUNCTION("""COMPUTED_VALUE"""),"Trung cấp, nghề")</f>
        <v>Trung cấp, nghề</v>
      </c>
      <c r="Q355" s="22" t="str">
        <f>IFERROR(__xludf.DUMMYFUNCTION("""COMPUTED_VALUE"""),"Trung cấp VH máy xúc")</f>
        <v>Trung cấp VH máy xúc</v>
      </c>
      <c r="R355" s="24">
        <f>IFERROR(__xludf.DUMMYFUNCTION("""COMPUTED_VALUE"""),45930.0)</f>
        <v>45930</v>
      </c>
      <c r="S355" s="26">
        <f>IFERROR(__xludf.DUMMYFUNCTION("""COMPUTED_VALUE"""),45960.0)</f>
        <v>45960</v>
      </c>
      <c r="T355" s="22" t="str">
        <f>IFERROR(__xludf.DUMMYFUNCTION("""COMPUTED_VALUE"""),"Thử việc")</f>
        <v>Thử việc</v>
      </c>
      <c r="U355" s="22"/>
      <c r="V355" s="22" t="str">
        <f>IFERROR(__xludf.DUMMYFUNCTION("""COMPUTED_VALUE"""),"Thử việc")</f>
        <v>Thử việc</v>
      </c>
      <c r="W355" s="22" t="str">
        <f>IFERROR(__xludf.DUMMYFUNCTION("""COMPUTED_VALUE"""),"0 năm 3 tháng")</f>
        <v>0 năm 3 tháng</v>
      </c>
      <c r="X355" s="22"/>
      <c r="Y355" s="22"/>
      <c r="Z355" s="22"/>
    </row>
    <row r="356">
      <c r="A356" s="22">
        <f>IFERROR(__xludf.DUMMYFUNCTION("""COMPUTED_VALUE"""),13.0)</f>
        <v>13</v>
      </c>
      <c r="B356" s="22" t="str">
        <f>IFERROR(__xludf.DUMMYFUNCTION("""COMPUTED_VALUE"""),"Văn phòng")</f>
        <v>Văn phòng</v>
      </c>
      <c r="C356" s="22" t="str">
        <f>IFERROR(__xludf.DUMMYFUNCTION("""COMPUTED_VALUE"""),"Dự án cát nhân tạo")</f>
        <v>Dự án cát nhân tạo</v>
      </c>
      <c r="D356" s="22" t="str">
        <f>IFERROR(__xludf.DUMMYFUNCTION("""COMPUTED_VALUE"""),"Bộ phận hành chính")</f>
        <v>Bộ phận hành chính</v>
      </c>
      <c r="E356" s="22" t="str">
        <f>IFERROR(__xludf.DUMMYFUNCTION("""COMPUTED_VALUE"""),"Công nhân VH mỏ cát")</f>
        <v>Công nhân VH mỏ cát</v>
      </c>
      <c r="F356" s="22" t="str">
        <f>IFERROR(__xludf.DUMMYFUNCTION("""COMPUTED_VALUE"""),"NV5731")</f>
        <v>NV5731</v>
      </c>
      <c r="G356" s="22"/>
      <c r="H356" s="22" t="str">
        <f>IFERROR(__xludf.DUMMYFUNCTION("""COMPUTED_VALUE"""),"Phan Văn Linh")</f>
        <v>Phan Văn Linh</v>
      </c>
      <c r="I356" s="22" t="str">
        <f>IFERROR(__xludf.DUMMYFUNCTION("""COMPUTED_VALUE"""),"Nam")</f>
        <v>Nam</v>
      </c>
      <c r="J356" s="24">
        <f>IFERROR(__xludf.DUMMYFUNCTION("""COMPUTED_VALUE"""),31243.0)</f>
        <v>31243</v>
      </c>
      <c r="K356" s="22" t="str">
        <f>IFERROR(__xludf.DUMMYFUNCTION("""COMPUTED_VALUE"""),"Thôn Liên Sơn - xã Các Sơn - Tỉnh Thanh Hóa")</f>
        <v>Thôn Liên Sơn - xã Các Sơn - Tỉnh Thanh Hóa</v>
      </c>
      <c r="L356" s="22" t="str">
        <f>IFERROR(__xludf.DUMMYFUNCTION("""COMPUTED_VALUE"""),"0978364282")</f>
        <v>0978364282</v>
      </c>
      <c r="M356" s="22" t="str">
        <f>IFERROR(__xludf.DUMMYFUNCTION("""COMPUTED_VALUE"""),"038085027586")</f>
        <v>038085027586</v>
      </c>
      <c r="N356" s="25">
        <f>IFERROR(__xludf.DUMMYFUNCTION("""COMPUTED_VALUE"""),45863.0)</f>
        <v>45863</v>
      </c>
      <c r="O356" s="22" t="str">
        <f>IFERROR(__xludf.DUMMYFUNCTION("""COMPUTED_VALUE"""),"Bộ Công an")</f>
        <v>Bộ Công an</v>
      </c>
      <c r="P356" s="22" t="str">
        <f>IFERROR(__xludf.DUMMYFUNCTION("""COMPUTED_VALUE"""),"LĐPT")</f>
        <v>LĐPT</v>
      </c>
      <c r="Q356" s="22" t="str">
        <f>IFERROR(__xludf.DUMMYFUNCTION("""COMPUTED_VALUE"""),"Lao động phổ thông")</f>
        <v>Lao động phổ thông</v>
      </c>
      <c r="R356" s="24">
        <f>IFERROR(__xludf.DUMMYFUNCTION("""COMPUTED_VALUE"""),45930.0)</f>
        <v>45930</v>
      </c>
      <c r="S356" s="26">
        <f>IFERROR(__xludf.DUMMYFUNCTION("""COMPUTED_VALUE"""),45960.0)</f>
        <v>45960</v>
      </c>
      <c r="T356" s="22" t="str">
        <f>IFERROR(__xludf.DUMMYFUNCTION("""COMPUTED_VALUE"""),"Thử việc")</f>
        <v>Thử việc</v>
      </c>
      <c r="U356" s="22"/>
      <c r="V356" s="22" t="str">
        <f>IFERROR(__xludf.DUMMYFUNCTION("""COMPUTED_VALUE"""),"Thử việc")</f>
        <v>Thử việc</v>
      </c>
      <c r="W356" s="22" t="str">
        <f>IFERROR(__xludf.DUMMYFUNCTION("""COMPUTED_VALUE"""),"0 năm 3 tháng")</f>
        <v>0 năm 3 tháng</v>
      </c>
      <c r="X356" s="22"/>
      <c r="Y356" s="22"/>
      <c r="Z356" s="22"/>
    </row>
    <row r="357">
      <c r="A357" s="22">
        <f>IFERROR(__xludf.DUMMYFUNCTION("""COMPUTED_VALUE"""),14.0)</f>
        <v>14</v>
      </c>
      <c r="B357" s="22" t="str">
        <f>IFERROR(__xludf.DUMMYFUNCTION("""COMPUTED_VALUE"""),"Văn phòng")</f>
        <v>Văn phòng</v>
      </c>
      <c r="C357" s="22" t="str">
        <f>IFERROR(__xludf.DUMMYFUNCTION("""COMPUTED_VALUE"""),"Dự án cát nhân tạo")</f>
        <v>Dự án cát nhân tạo</v>
      </c>
      <c r="D357" s="22" t="str">
        <f>IFERROR(__xludf.DUMMYFUNCTION("""COMPUTED_VALUE"""),"Bộ phận hành chính")</f>
        <v>Bộ phận hành chính</v>
      </c>
      <c r="E357" s="22" t="str">
        <f>IFERROR(__xludf.DUMMYFUNCTION("""COMPUTED_VALUE"""),"Nhân viên kỹ thuật")</f>
        <v>Nhân viên kỹ thuật</v>
      </c>
      <c r="F357" s="22" t="str">
        <f>IFERROR(__xludf.DUMMYFUNCTION("""COMPUTED_VALUE"""),"NV5175")</f>
        <v>NV5175</v>
      </c>
      <c r="G357" s="22">
        <f>IFERROR(__xludf.DUMMYFUNCTION("""COMPUTED_VALUE"""),207.0)</f>
        <v>207</v>
      </c>
      <c r="H357" s="22" t="str">
        <f>IFERROR(__xludf.DUMMYFUNCTION("""COMPUTED_VALUE"""),"Phùng Duy Tuấn")</f>
        <v>Phùng Duy Tuấn</v>
      </c>
      <c r="I357" s="22" t="str">
        <f>IFERROR(__xludf.DUMMYFUNCTION("""COMPUTED_VALUE"""),"Nam")</f>
        <v>Nam</v>
      </c>
      <c r="J357" s="24">
        <f>IFERROR(__xludf.DUMMYFUNCTION("""COMPUTED_VALUE"""),35468.0)</f>
        <v>35468</v>
      </c>
      <c r="K357" s="22" t="str">
        <f>IFERROR(__xludf.DUMMYFUNCTION("""COMPUTED_VALUE"""),"Xã Xuân Lập - Tỉnh Thanh Hóa")</f>
        <v>Xã Xuân Lập - Tỉnh Thanh Hóa</v>
      </c>
      <c r="L357" s="22" t="str">
        <f>IFERROR(__xludf.DUMMYFUNCTION("""COMPUTED_VALUE"""),"0843145286")</f>
        <v>0843145286</v>
      </c>
      <c r="M357" s="22" t="str">
        <f>IFERROR(__xludf.DUMMYFUNCTION("""COMPUTED_VALUE"""),"038097008858")</f>
        <v>038097008858</v>
      </c>
      <c r="N357" s="25">
        <f>IFERROR(__xludf.DUMMYFUNCTION("""COMPUTED_VALUE"""),44987.0)</f>
        <v>44987</v>
      </c>
      <c r="O357" s="22" t="str">
        <f>IFERROR(__xludf.DUMMYFUNCTION("""COMPUTED_VALUE"""),"Cục Cảnh sát QLHC về TTXH")</f>
        <v>Cục Cảnh sát QLHC về TTXH</v>
      </c>
      <c r="P357" s="22" t="str">
        <f>IFERROR(__xludf.DUMMYFUNCTION("""COMPUTED_VALUE"""),"Kỹ sư")</f>
        <v>Kỹ sư</v>
      </c>
      <c r="Q357" s="22" t="str">
        <f>IFERROR(__xludf.DUMMYFUNCTION("""COMPUTED_VALUE"""),"Công nghệ kỹ thuật cơ khí")</f>
        <v>Công nghệ kỹ thuật cơ khí</v>
      </c>
      <c r="R357" s="24">
        <f>IFERROR(__xludf.DUMMYFUNCTION("""COMPUTED_VALUE"""),45418.0)</f>
        <v>45418</v>
      </c>
      <c r="S357" s="26">
        <f>IFERROR(__xludf.DUMMYFUNCTION("""COMPUTED_VALUE"""),45505.0)</f>
        <v>45505</v>
      </c>
      <c r="T357" s="22" t="str">
        <f>IFERROR(__xludf.DUMMYFUNCTION("""COMPUTED_VALUE"""),"Chính thức")</f>
        <v>Chính thức</v>
      </c>
      <c r="U357" s="22"/>
      <c r="V357" s="22" t="str">
        <f>IFERROR(__xludf.DUMMYFUNCTION("""COMPUTED_VALUE"""),"Chính thức")</f>
        <v>Chính thức</v>
      </c>
      <c r="W357" s="22" t="str">
        <f>IFERROR(__xludf.DUMMYFUNCTION("""COMPUTED_VALUE"""),"1 năm 7 tháng")</f>
        <v>1 năm 7 tháng</v>
      </c>
      <c r="X357" s="22"/>
      <c r="Y357" s="22"/>
      <c r="Z357" s="22"/>
    </row>
    <row r="358">
      <c r="A358" s="22">
        <f>IFERROR(__xludf.DUMMYFUNCTION("""COMPUTED_VALUE"""),15.0)</f>
        <v>15</v>
      </c>
      <c r="B358" s="22" t="str">
        <f>IFERROR(__xludf.DUMMYFUNCTION("""COMPUTED_VALUE"""),"Văn phòng")</f>
        <v>Văn phòng</v>
      </c>
      <c r="C358" s="22" t="str">
        <f>IFERROR(__xludf.DUMMYFUNCTION("""COMPUTED_VALUE"""),"Dự án cát nhân tạo")</f>
        <v>Dự án cát nhân tạo</v>
      </c>
      <c r="D358" s="22" t="str">
        <f>IFERROR(__xludf.DUMMYFUNCTION("""COMPUTED_VALUE"""),"Bộ phận hành chính")</f>
        <v>Bộ phận hành chính</v>
      </c>
      <c r="E358" s="22" t="str">
        <f>IFERROR(__xludf.DUMMYFUNCTION("""COMPUTED_VALUE"""),"Công nhân VH mỏ cát")</f>
        <v>Công nhân VH mỏ cát</v>
      </c>
      <c r="F358" s="22" t="str">
        <f>IFERROR(__xludf.DUMMYFUNCTION("""COMPUTED_VALUE"""),"NV5791")</f>
        <v>NV5791</v>
      </c>
      <c r="G358" s="22"/>
      <c r="H358" s="22" t="str">
        <f>IFERROR(__xludf.DUMMYFUNCTION("""COMPUTED_VALUE"""),"Lê Ngọc Cường")</f>
        <v>Lê Ngọc Cường</v>
      </c>
      <c r="I358" s="22" t="str">
        <f>IFERROR(__xludf.DUMMYFUNCTION("""COMPUTED_VALUE"""),"Nam")</f>
        <v>Nam</v>
      </c>
      <c r="J358" s="24">
        <f>IFERROR(__xludf.DUMMYFUNCTION("""COMPUTED_VALUE"""),32192.0)</f>
        <v>32192</v>
      </c>
      <c r="K358" s="22" t="str">
        <f>IFERROR(__xludf.DUMMYFUNCTION("""COMPUTED_VALUE"""),"Thôn Liên Sơn - xã Các Sơn - Tỉnh Thanh Hóa")</f>
        <v>Thôn Liên Sơn - xã Các Sơn - Tỉnh Thanh Hóa</v>
      </c>
      <c r="L358" s="22" t="str">
        <f>IFERROR(__xludf.DUMMYFUNCTION("""COMPUTED_VALUE"""),"0363434866")</f>
        <v>0363434866</v>
      </c>
      <c r="M358" s="22" t="str">
        <f>IFERROR(__xludf.DUMMYFUNCTION("""COMPUTED_VALUE"""),"038088014531")</f>
        <v>038088014531</v>
      </c>
      <c r="N358" s="25">
        <f>IFERROR(__xludf.DUMMYFUNCTION("""COMPUTED_VALUE"""),44420.0)</f>
        <v>44420</v>
      </c>
      <c r="O358" s="22" t="str">
        <f>IFERROR(__xludf.DUMMYFUNCTION("""COMPUTED_VALUE"""),"Cục Cảnh sát QLHC về TTXH")</f>
        <v>Cục Cảnh sát QLHC về TTXH</v>
      </c>
      <c r="P358" s="22" t="str">
        <f>IFERROR(__xludf.DUMMYFUNCTION("""COMPUTED_VALUE"""),"LĐPT")</f>
        <v>LĐPT</v>
      </c>
      <c r="Q358" s="22" t="str">
        <f>IFERROR(__xludf.DUMMYFUNCTION("""COMPUTED_VALUE"""),"Lao động phổ thông")</f>
        <v>Lao động phổ thông</v>
      </c>
      <c r="R358" s="24">
        <f>IFERROR(__xludf.DUMMYFUNCTION("""COMPUTED_VALUE"""),45966.0)</f>
        <v>45966</v>
      </c>
      <c r="S358" s="26">
        <f>IFERROR(__xludf.DUMMYFUNCTION("""COMPUTED_VALUE"""),45996.0)</f>
        <v>45996</v>
      </c>
      <c r="T358" s="22" t="str">
        <f>IFERROR(__xludf.DUMMYFUNCTION("""COMPUTED_VALUE"""),"Thử việc")</f>
        <v>Thử việc</v>
      </c>
      <c r="U358" s="22"/>
      <c r="V358" s="22" t="str">
        <f>IFERROR(__xludf.DUMMYFUNCTION("""COMPUTED_VALUE"""),"Thử việc")</f>
        <v>Thử việc</v>
      </c>
      <c r="W358" s="22" t="str">
        <f>IFERROR(__xludf.DUMMYFUNCTION("""COMPUTED_VALUE"""),"0 năm 1 tháng")</f>
        <v>0 năm 1 tháng</v>
      </c>
      <c r="X358" s="22"/>
      <c r="Y358" s="22"/>
      <c r="Z358" s="22"/>
    </row>
    <row r="359">
      <c r="A359" s="22">
        <f>IFERROR(__xludf.DUMMYFUNCTION("""COMPUTED_VALUE"""),16.0)</f>
        <v>16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>
        <f>IFERROR(__xludf.DUMMYFUNCTION("""COMPUTED_VALUE"""),17.0)</f>
        <v>17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 t="str">
        <f>IFERROR(__xludf.DUMMYFUNCTION("""COMPUTED_VALUE"""),"XI")</f>
        <v>XI</v>
      </c>
      <c r="B361" s="22" t="str">
        <f>IFERROR(__xludf.DUMMYFUNCTION("""COMPUTED_VALUE"""),"Văn phòng Chủ tịch")</f>
        <v>Văn phòng Chủ tịch</v>
      </c>
      <c r="C361" s="22">
        <f>IFERROR(__xludf.DUMMYFUNCTION("""COMPUTED_VALUE"""),6.0)</f>
        <v>6</v>
      </c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>
        <f>IFERROR(__xludf.DUMMYFUNCTION("""COMPUTED_VALUE"""),1.0)</f>
        <v>1</v>
      </c>
      <c r="B362" s="22" t="str">
        <f>IFERROR(__xludf.DUMMYFUNCTION("""COMPUTED_VALUE"""),"Văn phòng")</f>
        <v>Văn phòng</v>
      </c>
      <c r="C362" s="22" t="str">
        <f>IFERROR(__xludf.DUMMYFUNCTION("""COMPUTED_VALUE"""),"Văn phòng Chủ tịch")</f>
        <v>Văn phòng Chủ tịch</v>
      </c>
      <c r="D362" s="22" t="str">
        <f>IFERROR(__xludf.DUMMYFUNCTION("""COMPUTED_VALUE"""),"Bộ phận hành chính")</f>
        <v>Bộ phận hành chính</v>
      </c>
      <c r="E362" s="22" t="str">
        <f>IFERROR(__xludf.DUMMYFUNCTION("""COMPUTED_VALUE"""),"Nhân viên")</f>
        <v>Nhân viên</v>
      </c>
      <c r="F362" s="22" t="str">
        <f>IFERROR(__xludf.DUMMYFUNCTION("""COMPUTED_VALUE"""),"NV5550")</f>
        <v>NV5550</v>
      </c>
      <c r="G362" s="22">
        <f>IFERROR(__xludf.DUMMYFUNCTION("""COMPUTED_VALUE"""),1033.0)</f>
        <v>1033</v>
      </c>
      <c r="H362" s="22" t="str">
        <f>IFERROR(__xludf.DUMMYFUNCTION("""COMPUTED_VALUE"""),"Nguyễn Quang Hưng")</f>
        <v>Nguyễn Quang Hưng</v>
      </c>
      <c r="I362" s="22" t="str">
        <f>IFERROR(__xludf.DUMMYFUNCTION("""COMPUTED_VALUE"""),"Nam")</f>
        <v>Nam</v>
      </c>
      <c r="J362" s="24">
        <f>IFERROR(__xludf.DUMMYFUNCTION("""COMPUTED_VALUE"""),37510.0)</f>
        <v>37510</v>
      </c>
      <c r="K362" s="22" t="str">
        <f>IFERROR(__xludf.DUMMYFUNCTION("""COMPUTED_VALUE"""),"Số nhà 02 - đường Ngô Sỹ Liên - khu phố 14 - phường Quang Trung - tỉnh Thanh Hoá")</f>
        <v>Số nhà 02 - đường Ngô Sỹ Liên - khu phố 14 - phường Quang Trung - tỉnh Thanh Hoá</v>
      </c>
      <c r="L362" s="22" t="str">
        <f>IFERROR(__xludf.DUMMYFUNCTION("""COMPUTED_VALUE"""),"0836124368")</f>
        <v>0836124368</v>
      </c>
      <c r="M362" s="22" t="str">
        <f>IFERROR(__xludf.DUMMYFUNCTION("""COMPUTED_VALUE"""),"038202004191")</f>
        <v>038202004191</v>
      </c>
      <c r="N362" s="25">
        <f>IFERROR(__xludf.DUMMYFUNCTION("""COMPUTED_VALUE"""),44954.0)</f>
        <v>44954</v>
      </c>
      <c r="O362" s="22" t="str">
        <f>IFERROR(__xludf.DUMMYFUNCTION("""COMPUTED_VALUE"""),"Cục Cảnh sát QLHC về TTXH")</f>
        <v>Cục Cảnh sát QLHC về TTXH</v>
      </c>
      <c r="P362" s="22" t="str">
        <f>IFERROR(__xludf.DUMMYFUNCTION("""COMPUTED_VALUE"""),"Kỹ sư")</f>
        <v>Kỹ sư</v>
      </c>
      <c r="Q362" s="22" t="str">
        <f>IFERROR(__xludf.DUMMYFUNCTION("""COMPUTED_VALUE"""),"Kỹ sư công nghệ điện - điện tử")</f>
        <v>Kỹ sư công nghệ điện - điện tử</v>
      </c>
      <c r="R362" s="24">
        <f>IFERROR(__xludf.DUMMYFUNCTION("""COMPUTED_VALUE"""),45826.0)</f>
        <v>45826</v>
      </c>
      <c r="S362" s="24">
        <f>IFERROR(__xludf.DUMMYFUNCTION("""COMPUTED_VALUE"""),45918.0)</f>
        <v>45918</v>
      </c>
      <c r="T362" s="22" t="str">
        <f>IFERROR(__xludf.DUMMYFUNCTION("""COMPUTED_VALUE"""),"Chính thức")</f>
        <v>Chính thức</v>
      </c>
      <c r="U362" s="22"/>
      <c r="V362" s="22" t="str">
        <f>IFERROR(__xludf.DUMMYFUNCTION("""COMPUTED_VALUE"""),"Chính thức")</f>
        <v>Chính thức</v>
      </c>
      <c r="W362" s="22" t="str">
        <f>IFERROR(__xludf.DUMMYFUNCTION("""COMPUTED_VALUE"""),"0 năm 6 tháng")</f>
        <v>0 năm 6 tháng</v>
      </c>
      <c r="X362" s="22"/>
      <c r="Y362" s="22"/>
      <c r="Z362" s="22"/>
    </row>
    <row r="363">
      <c r="A363" s="22">
        <f>IFERROR(__xludf.DUMMYFUNCTION("""COMPUTED_VALUE"""),2.0)</f>
        <v>2</v>
      </c>
      <c r="B363" s="22" t="str">
        <f>IFERROR(__xludf.DUMMYFUNCTION("""COMPUTED_VALUE"""),"Văn phòng")</f>
        <v>Văn phòng</v>
      </c>
      <c r="C363" s="22" t="str">
        <f>IFERROR(__xludf.DUMMYFUNCTION("""COMPUTED_VALUE"""),"Văn phòng Chủ tịch")</f>
        <v>Văn phòng Chủ tịch</v>
      </c>
      <c r="D363" s="22" t="str">
        <f>IFERROR(__xludf.DUMMYFUNCTION("""COMPUTED_VALUE"""),"Bộ phận hành chính")</f>
        <v>Bộ phận hành chính</v>
      </c>
      <c r="E363" s="22" t="str">
        <f>IFERROR(__xludf.DUMMYFUNCTION("""COMPUTED_VALUE"""),"Nhân viên")</f>
        <v>Nhân viên</v>
      </c>
      <c r="F363" s="22" t="str">
        <f>IFERROR(__xludf.DUMMYFUNCTION("""COMPUTED_VALUE"""),"NV5645")</f>
        <v>NV5645</v>
      </c>
      <c r="G363" s="22">
        <f>IFERROR(__xludf.DUMMYFUNCTION("""COMPUTED_VALUE"""),1138.0)</f>
        <v>1138</v>
      </c>
      <c r="H363" s="22" t="str">
        <f>IFERROR(__xludf.DUMMYFUNCTION("""COMPUTED_VALUE"""),"Nguyễn Minh Nghĩa ")</f>
        <v>Nguyễn Minh Nghĩa </v>
      </c>
      <c r="I363" s="22" t="str">
        <f>IFERROR(__xludf.DUMMYFUNCTION("""COMPUTED_VALUE"""),"Nam")</f>
        <v>Nam</v>
      </c>
      <c r="J363" s="24">
        <f>IFERROR(__xludf.DUMMYFUNCTION("""COMPUTED_VALUE"""),37559.0)</f>
        <v>37559</v>
      </c>
      <c r="K363" s="22" t="str">
        <f>IFERROR(__xludf.DUMMYFUNCTION("""COMPUTED_VALUE"""),"Thôn Trà Đông - Xã Kiến Xương - Tỉnh Hưng Yên")</f>
        <v>Thôn Trà Đông - Xã Kiến Xương - Tỉnh Hưng Yên</v>
      </c>
      <c r="L363" s="22" t="str">
        <f>IFERROR(__xludf.DUMMYFUNCTION("""COMPUTED_VALUE"""),"0398533815")</f>
        <v>0398533815</v>
      </c>
      <c r="M363" s="22" t="str">
        <f>IFERROR(__xludf.DUMMYFUNCTION("""COMPUTED_VALUE"""),"034202003339")</f>
        <v>034202003339</v>
      </c>
      <c r="N363" s="25">
        <f>IFERROR(__xludf.DUMMYFUNCTION("""COMPUTED_VALUE"""),44549.0)</f>
        <v>44549</v>
      </c>
      <c r="O363" s="22" t="str">
        <f>IFERROR(__xludf.DUMMYFUNCTION("""COMPUTED_VALUE"""),"Cục Cảnh sát QLHC về TTXH")</f>
        <v>Cục Cảnh sát QLHC về TTXH</v>
      </c>
      <c r="P363" s="22" t="str">
        <f>IFERROR(__xludf.DUMMYFUNCTION("""COMPUTED_VALUE"""),"Đại học")</f>
        <v>Đại học</v>
      </c>
      <c r="Q363" s="22" t="str">
        <f>IFERROR(__xludf.DUMMYFUNCTION("""COMPUTED_VALUE"""),"Kỹ sư công nghệ điện - điện tử")</f>
        <v>Kỹ sư công nghệ điện - điện tử</v>
      </c>
      <c r="R363" s="24">
        <f>IFERROR(__xludf.DUMMYFUNCTION("""COMPUTED_VALUE"""),45874.0)</f>
        <v>45874</v>
      </c>
      <c r="S363" s="24">
        <f>IFERROR(__xludf.DUMMYFUNCTION("""COMPUTED_VALUE"""),45966.0)</f>
        <v>45966</v>
      </c>
      <c r="T363" s="22" t="str">
        <f>IFERROR(__xludf.DUMMYFUNCTION("""COMPUTED_VALUE"""),"Chính thức")</f>
        <v>Chính thức</v>
      </c>
      <c r="U363" s="22"/>
      <c r="V363" s="22" t="str">
        <f>IFERROR(__xludf.DUMMYFUNCTION("""COMPUTED_VALUE"""),"Chính thức")</f>
        <v>Chính thức</v>
      </c>
      <c r="W363" s="22" t="str">
        <f>IFERROR(__xludf.DUMMYFUNCTION("""COMPUTED_VALUE"""),"0 năm 4 tháng")</f>
        <v>0 năm 4 tháng</v>
      </c>
      <c r="X363" s="22"/>
      <c r="Y363" s="22"/>
      <c r="Z363" s="22"/>
    </row>
    <row r="364">
      <c r="A364" s="22">
        <f>IFERROR(__xludf.DUMMYFUNCTION("""COMPUTED_VALUE"""),3.0)</f>
        <v>3</v>
      </c>
      <c r="B364" s="22" t="str">
        <f>IFERROR(__xludf.DUMMYFUNCTION("""COMPUTED_VALUE"""),"Văn phòng")</f>
        <v>Văn phòng</v>
      </c>
      <c r="C364" s="22" t="str">
        <f>IFERROR(__xludf.DUMMYFUNCTION("""COMPUTED_VALUE"""),"Văn phòng Chủ tịch")</f>
        <v>Văn phòng Chủ tịch</v>
      </c>
      <c r="D364" s="22" t="str">
        <f>IFERROR(__xludf.DUMMYFUNCTION("""COMPUTED_VALUE"""),"Bộ phận hành chính")</f>
        <v>Bộ phận hành chính</v>
      </c>
      <c r="E364" s="22" t="str">
        <f>IFERROR(__xludf.DUMMYFUNCTION("""COMPUTED_VALUE"""),"Nhân viên")</f>
        <v>Nhân viên</v>
      </c>
      <c r="F364" s="22" t="str">
        <f>IFERROR(__xludf.DUMMYFUNCTION("""COMPUTED_VALUE"""),"NV5718")</f>
        <v>NV5718</v>
      </c>
      <c r="G364" s="22">
        <f>IFERROR(__xludf.DUMMYFUNCTION("""COMPUTED_VALUE"""),1210.0)</f>
        <v>1210</v>
      </c>
      <c r="H364" s="22" t="str">
        <f>IFERROR(__xludf.DUMMYFUNCTION("""COMPUTED_VALUE"""),"Đinh Quang Trung")</f>
        <v>Đinh Quang Trung</v>
      </c>
      <c r="I364" s="22" t="str">
        <f>IFERROR(__xludf.DUMMYFUNCTION("""COMPUTED_VALUE"""),"Nam")</f>
        <v>Nam</v>
      </c>
      <c r="J364" s="24">
        <f>IFERROR(__xludf.DUMMYFUNCTION("""COMPUTED_VALUE"""),31279.0)</f>
        <v>31279</v>
      </c>
      <c r="K364" s="22" t="str">
        <f>IFERROR(__xludf.DUMMYFUNCTION("""COMPUTED_VALUE"""),"Minh Thành - xã Lam Sơn - Tỉnh Thanh Hóa")</f>
        <v>Minh Thành - xã Lam Sơn - Tỉnh Thanh Hóa</v>
      </c>
      <c r="L364" s="22" t="str">
        <f>IFERROR(__xludf.DUMMYFUNCTION("""COMPUTED_VALUE"""),"0983575151")</f>
        <v>0983575151</v>
      </c>
      <c r="M364" s="22" t="str">
        <f>IFERROR(__xludf.DUMMYFUNCTION("""COMPUTED_VALUE"""),"038085049722")</f>
        <v>038085049722</v>
      </c>
      <c r="N364" s="25">
        <f>IFERROR(__xludf.DUMMYFUNCTION("""COMPUTED_VALUE"""),44422.0)</f>
        <v>44422</v>
      </c>
      <c r="O364" s="22" t="str">
        <f>IFERROR(__xludf.DUMMYFUNCTION("""COMPUTED_VALUE"""),"Cục Cảnh sát QLHC về TTXH")</f>
        <v>Cục Cảnh sát QLHC về TTXH</v>
      </c>
      <c r="P364" s="22" t="str">
        <f>IFERROR(__xludf.DUMMYFUNCTION("""COMPUTED_VALUE"""),"Bằng nghề")</f>
        <v>Bằng nghề</v>
      </c>
      <c r="Q364" s="22" t="str">
        <f>IFERROR(__xludf.DUMMYFUNCTION("""COMPUTED_VALUE"""),"Bằng nghề sữa chữa ô tô")</f>
        <v>Bằng nghề sữa chữa ô tô</v>
      </c>
      <c r="R364" s="24">
        <f>IFERROR(__xludf.DUMMYFUNCTION("""COMPUTED_VALUE"""),45923.0)</f>
        <v>45923</v>
      </c>
      <c r="S364" s="24">
        <f>IFERROR(__xludf.DUMMYFUNCTION("""COMPUTED_VALUE"""),45923.0)</f>
        <v>45923</v>
      </c>
      <c r="T364" s="22" t="str">
        <f>IFERROR(__xludf.DUMMYFUNCTION("""COMPUTED_VALUE"""),"Chính thức")</f>
        <v>Chính thức</v>
      </c>
      <c r="U364" s="22"/>
      <c r="V364" s="22" t="str">
        <f>IFERROR(__xludf.DUMMYFUNCTION("""COMPUTED_VALUE"""),"Chính thức")</f>
        <v>Chính thức</v>
      </c>
      <c r="W364" s="22" t="str">
        <f>IFERROR(__xludf.DUMMYFUNCTION("""COMPUTED_VALUE"""),"0 năm 3 tháng")</f>
        <v>0 năm 3 tháng</v>
      </c>
      <c r="X364" s="22"/>
      <c r="Y364" s="22"/>
      <c r="Z364" s="22"/>
    </row>
    <row r="365">
      <c r="A365" s="22">
        <f>IFERROR(__xludf.DUMMYFUNCTION("""COMPUTED_VALUE"""),4.0)</f>
        <v>4</v>
      </c>
      <c r="B365" s="22" t="str">
        <f>IFERROR(__xludf.DUMMYFUNCTION("""COMPUTED_VALUE"""),"Văn phòng")</f>
        <v>Văn phòng</v>
      </c>
      <c r="C365" s="22" t="str">
        <f>IFERROR(__xludf.DUMMYFUNCTION("""COMPUTED_VALUE"""),"Văn phòng Chủ tịch")</f>
        <v>Văn phòng Chủ tịch</v>
      </c>
      <c r="D365" s="22" t="str">
        <f>IFERROR(__xludf.DUMMYFUNCTION("""COMPUTED_VALUE"""),"Bộ phận hành chính")</f>
        <v>Bộ phận hành chính</v>
      </c>
      <c r="E365" s="22" t="str">
        <f>IFERROR(__xludf.DUMMYFUNCTION("""COMPUTED_VALUE"""),"Nhân viên")</f>
        <v>Nhân viên</v>
      </c>
      <c r="F365" s="22" t="str">
        <f>IFERROR(__xludf.DUMMYFUNCTION("""COMPUTED_VALUE"""),"NV5785")</f>
        <v>NV5785</v>
      </c>
      <c r="G365" s="22">
        <f>IFERROR(__xludf.DUMMYFUNCTION("""COMPUTED_VALUE"""),1267.0)</f>
        <v>1267</v>
      </c>
      <c r="H365" s="22" t="str">
        <f>IFERROR(__xludf.DUMMYFUNCTION("""COMPUTED_VALUE"""),"Nguyễn Ngọc Hiếu")</f>
        <v>Nguyễn Ngọc Hiếu</v>
      </c>
      <c r="I365" s="22" t="str">
        <f>IFERROR(__xludf.DUMMYFUNCTION("""COMPUTED_VALUE"""),"Nam")</f>
        <v>Nam</v>
      </c>
      <c r="J365" s="24">
        <f>IFERROR(__xludf.DUMMYFUNCTION("""COMPUTED_VALUE"""),36472.0)</f>
        <v>36472</v>
      </c>
      <c r="K365" s="22" t="str">
        <f>IFERROR(__xludf.DUMMYFUNCTION("""COMPUTED_VALUE"""),"SN 10 Lương Thế Vinh - Phường Hạc Thành - Tỉnh Thanh Hóa")</f>
        <v>SN 10 Lương Thế Vinh - Phường Hạc Thành - Tỉnh Thanh Hóa</v>
      </c>
      <c r="L365" s="22" t="str">
        <f>IFERROR(__xludf.DUMMYFUNCTION("""COMPUTED_VALUE"""),"0705949582")</f>
        <v>0705949582</v>
      </c>
      <c r="M365" s="22" t="str">
        <f>IFERROR(__xludf.DUMMYFUNCTION("""COMPUTED_VALUE"""),"038099005500")</f>
        <v>038099005500</v>
      </c>
      <c r="N365" s="25">
        <f>IFERROR(__xludf.DUMMYFUNCTION("""COMPUTED_VALUE"""),45814.0)</f>
        <v>45814</v>
      </c>
      <c r="O365" s="22" t="str">
        <f>IFERROR(__xludf.DUMMYFUNCTION("""COMPUTED_VALUE"""),"Bộ công an")</f>
        <v>Bộ công an</v>
      </c>
      <c r="P365" s="22" t="str">
        <f>IFERROR(__xludf.DUMMYFUNCTION("""COMPUTED_VALUE"""),"Đại học")</f>
        <v>Đại học</v>
      </c>
      <c r="Q365" s="22" t="str">
        <f>IFERROR(__xludf.DUMMYFUNCTION("""COMPUTED_VALUE"""),"Cử nhân kỹ thuật cơ điện tử")</f>
        <v>Cử nhân kỹ thuật cơ điện tử</v>
      </c>
      <c r="R365" s="24">
        <f>IFERROR(__xludf.DUMMYFUNCTION("""COMPUTED_VALUE"""),45962.0)</f>
        <v>45962</v>
      </c>
      <c r="S365" s="24">
        <f>IFERROR(__xludf.DUMMYFUNCTION("""COMPUTED_VALUE"""),45992.0)</f>
        <v>45992</v>
      </c>
      <c r="T365" s="22" t="str">
        <f>IFERROR(__xludf.DUMMYFUNCTION("""COMPUTED_VALUE"""),"Thử việc")</f>
        <v>Thử việc</v>
      </c>
      <c r="U365" s="22"/>
      <c r="V365" s="22" t="str">
        <f>IFERROR(__xludf.DUMMYFUNCTION("""COMPUTED_VALUE"""),"Thử việc")</f>
        <v>Thử việc</v>
      </c>
      <c r="W365" s="22" t="str">
        <f>IFERROR(__xludf.DUMMYFUNCTION("""COMPUTED_VALUE"""),"0 năm 1 tháng")</f>
        <v>0 năm 1 tháng</v>
      </c>
      <c r="X365" s="22"/>
      <c r="Y365" s="22"/>
      <c r="Z365" s="22"/>
    </row>
    <row r="366">
      <c r="A366" s="22">
        <f>IFERROR(__xludf.DUMMYFUNCTION("""COMPUTED_VALUE"""),5.0)</f>
        <v>5</v>
      </c>
      <c r="B366" s="22" t="str">
        <f>IFERROR(__xludf.DUMMYFUNCTION("""COMPUTED_VALUE"""),"Văn phòng")</f>
        <v>Văn phòng</v>
      </c>
      <c r="C366" s="22" t="str">
        <f>IFERROR(__xludf.DUMMYFUNCTION("""COMPUTED_VALUE"""),"Văn phòng Chủ tịch")</f>
        <v>Văn phòng Chủ tịch</v>
      </c>
      <c r="D366" s="22" t="str">
        <f>IFERROR(__xludf.DUMMYFUNCTION("""COMPUTED_VALUE"""),"Bộ phận hành chính")</f>
        <v>Bộ phận hành chính</v>
      </c>
      <c r="E366" s="22" t="str">
        <f>IFERROR(__xludf.DUMMYFUNCTION("""COMPUTED_VALUE"""),"Nhân viên")</f>
        <v>Nhân viên</v>
      </c>
      <c r="F366" s="22" t="str">
        <f>IFERROR(__xludf.DUMMYFUNCTION("""COMPUTED_VALUE"""),"NV5808")</f>
        <v>NV5808</v>
      </c>
      <c r="G366" s="22">
        <f>IFERROR(__xludf.DUMMYFUNCTION("""COMPUTED_VALUE"""),1290.0)</f>
        <v>1290</v>
      </c>
      <c r="H366" s="22" t="str">
        <f>IFERROR(__xludf.DUMMYFUNCTION("""COMPUTED_VALUE"""),"Trần Hoàng Quân")</f>
        <v>Trần Hoàng Quân</v>
      </c>
      <c r="I366" s="22" t="str">
        <f>IFERROR(__xludf.DUMMYFUNCTION("""COMPUTED_VALUE"""),"Nam")</f>
        <v>Nam</v>
      </c>
      <c r="J366" s="24">
        <f>IFERROR(__xludf.DUMMYFUNCTION("""COMPUTED_VALUE"""),37981.0)</f>
        <v>37981</v>
      </c>
      <c r="K366" s="22" t="str">
        <f>IFERROR(__xludf.DUMMYFUNCTION("""COMPUTED_VALUE"""),"52 Nguyễn Hữu Liêu - phường Hạc Thành - Tỉnh Thanh Hóa")</f>
        <v>52 Nguyễn Hữu Liêu - phường Hạc Thành - Tỉnh Thanh Hóa</v>
      </c>
      <c r="L366" s="22" t="str">
        <f>IFERROR(__xludf.DUMMYFUNCTION("""COMPUTED_VALUE"""),"0879600036")</f>
        <v>0879600036</v>
      </c>
      <c r="M366" s="22" t="str">
        <f>IFERROR(__xludf.DUMMYFUNCTION("""COMPUTED_VALUE"""),"038203020375")</f>
        <v>038203020375</v>
      </c>
      <c r="N366" s="25">
        <f>IFERROR(__xludf.DUMMYFUNCTION("""COMPUTED_VALUE"""),44379.0)</f>
        <v>44379</v>
      </c>
      <c r="O366" s="22" t="str">
        <f>IFERROR(__xludf.DUMMYFUNCTION("""COMPUTED_VALUE"""),"Cục Cảnh sát QLHC về TTXH")</f>
        <v>Cục Cảnh sát QLHC về TTXH</v>
      </c>
      <c r="P366" s="22" t="str">
        <f>IFERROR(__xludf.DUMMYFUNCTION("""COMPUTED_VALUE"""),"Đại học")</f>
        <v>Đại học</v>
      </c>
      <c r="Q366" s="22" t="str">
        <f>IFERROR(__xludf.DUMMYFUNCTION("""COMPUTED_VALUE"""),"Cử nhân công nghệ thông tin")</f>
        <v>Cử nhân công nghệ thông tin</v>
      </c>
      <c r="R366" s="24">
        <f>IFERROR(__xludf.DUMMYFUNCTION("""COMPUTED_VALUE"""),45975.0)</f>
        <v>45975</v>
      </c>
      <c r="S366" s="24">
        <f>IFERROR(__xludf.DUMMYFUNCTION("""COMPUTED_VALUE"""),46005.0)</f>
        <v>46005</v>
      </c>
      <c r="T366" s="22" t="str">
        <f>IFERROR(__xludf.DUMMYFUNCTION("""COMPUTED_VALUE"""),"Chính thức")</f>
        <v>Chính thức</v>
      </c>
      <c r="U366" s="22"/>
      <c r="V366" s="22" t="str">
        <f>IFERROR(__xludf.DUMMYFUNCTION("""COMPUTED_VALUE"""),"Chính thức")</f>
        <v>Chính thức</v>
      </c>
      <c r="W366" s="22" t="str">
        <f>IFERROR(__xludf.DUMMYFUNCTION("""COMPUTED_VALUE"""),"0 năm 1 tháng")</f>
        <v>0 năm 1 tháng</v>
      </c>
      <c r="X366" s="22"/>
      <c r="Y366" s="22"/>
      <c r="Z366" s="22"/>
    </row>
    <row r="367">
      <c r="A367" s="22">
        <f>IFERROR(__xludf.DUMMYFUNCTION("""COMPUTED_VALUE"""),6.0)</f>
        <v>6</v>
      </c>
      <c r="B367" s="22" t="str">
        <f>IFERROR(__xludf.DUMMYFUNCTION("""COMPUTED_VALUE"""),"Văn phòng")</f>
        <v>Văn phòng</v>
      </c>
      <c r="C367" s="22" t="str">
        <f>IFERROR(__xludf.DUMMYFUNCTION("""COMPUTED_VALUE"""),"Văn phòng Chủ tịch")</f>
        <v>Văn phòng Chủ tịch</v>
      </c>
      <c r="D367" s="22" t="str">
        <f>IFERROR(__xludf.DUMMYFUNCTION("""COMPUTED_VALUE"""),"Bộ phận hành chính")</f>
        <v>Bộ phận hành chính</v>
      </c>
      <c r="E367" s="22" t="str">
        <f>IFERROR(__xludf.DUMMYFUNCTION("""COMPUTED_VALUE"""),"Nhân viên")</f>
        <v>Nhân viên</v>
      </c>
      <c r="F367" s="22" t="str">
        <f>IFERROR(__xludf.DUMMYFUNCTION("""COMPUTED_VALUE"""),"NV5809")</f>
        <v>NV5809</v>
      </c>
      <c r="G367" s="22">
        <f>IFERROR(__xludf.DUMMYFUNCTION("""COMPUTED_VALUE"""),1291.0)</f>
        <v>1291</v>
      </c>
      <c r="H367" s="22" t="str">
        <f>IFERROR(__xludf.DUMMYFUNCTION("""COMPUTED_VALUE"""),"Lê Văn Đạt")</f>
        <v>Lê Văn Đạt</v>
      </c>
      <c r="I367" s="22" t="str">
        <f>IFERROR(__xludf.DUMMYFUNCTION("""COMPUTED_VALUE"""),"Nam")</f>
        <v>Nam</v>
      </c>
      <c r="J367" s="24">
        <f>IFERROR(__xludf.DUMMYFUNCTION("""COMPUTED_VALUE"""),37835.0)</f>
        <v>37835</v>
      </c>
      <c r="K367" s="22" t="str">
        <f>IFERROR(__xludf.DUMMYFUNCTION("""COMPUTED_VALUE"""),"Thôn Thành Thái - xã Yên Minh - Tỉnh Thanh Hóa")</f>
        <v>Thôn Thành Thái - xã Yên Minh - Tỉnh Thanh Hóa</v>
      </c>
      <c r="L367" s="22" t="str">
        <f>IFERROR(__xludf.DUMMYFUNCTION("""COMPUTED_VALUE"""),"0963431860")</f>
        <v>0963431860</v>
      </c>
      <c r="M367" s="22" t="str">
        <f>IFERROR(__xludf.DUMMYFUNCTION("""COMPUTED_VALUE"""),"038203038089")</f>
        <v>038203038089</v>
      </c>
      <c r="N367" s="25">
        <f>IFERROR(__xludf.DUMMYFUNCTION("""COMPUTED_VALUE"""),45903.0)</f>
        <v>45903</v>
      </c>
      <c r="O367" s="22" t="str">
        <f>IFERROR(__xludf.DUMMYFUNCTION("""COMPUTED_VALUE"""),"Bộ công an")</f>
        <v>Bộ công an</v>
      </c>
      <c r="P367" s="22" t="str">
        <f>IFERROR(__xludf.DUMMYFUNCTION("""COMPUTED_VALUE"""),"Đại học")</f>
        <v>Đại học</v>
      </c>
      <c r="Q367" s="22" t="str">
        <f>IFERROR(__xludf.DUMMYFUNCTION("""COMPUTED_VALUE"""),"Kỹ sư kỹ thuật điện tử và viễn thông")</f>
        <v>Kỹ sư kỹ thuật điện tử và viễn thông</v>
      </c>
      <c r="R367" s="24">
        <f>IFERROR(__xludf.DUMMYFUNCTION("""COMPUTED_VALUE"""),45975.0)</f>
        <v>45975</v>
      </c>
      <c r="S367" s="24">
        <f>IFERROR(__xludf.DUMMYFUNCTION("""COMPUTED_VALUE"""),46005.0)</f>
        <v>46005</v>
      </c>
      <c r="T367" s="22" t="str">
        <f>IFERROR(__xludf.DUMMYFUNCTION("""COMPUTED_VALUE"""),"Thử việc")</f>
        <v>Thử việc</v>
      </c>
      <c r="U367" s="22"/>
      <c r="V367" s="22" t="str">
        <f>IFERROR(__xludf.DUMMYFUNCTION("""COMPUTED_VALUE"""),"Thử việc")</f>
        <v>Thử việc</v>
      </c>
      <c r="W367" s="22" t="str">
        <f>IFERROR(__xludf.DUMMYFUNCTION("""COMPUTED_VALUE"""),"0 năm 1 tháng")</f>
        <v>0 năm 1 tháng</v>
      </c>
      <c r="X367" s="22"/>
      <c r="Y367" s="22"/>
      <c r="Z367" s="22"/>
    </row>
    <row r="368">
      <c r="A368" s="22">
        <f>IFERROR(__xludf.DUMMYFUNCTION("""COMPUTED_VALUE"""),7.0)</f>
        <v>7</v>
      </c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>
        <f>IFERROR(__xludf.DUMMYFUNCTION("""COMPUTED_VALUE"""),8.0)</f>
        <v>8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>
        <f>IFERROR(__xludf.DUMMYFUNCTION("""COMPUTED_VALUE"""),9.0)</f>
        <v>9</v>
      </c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>
        <f>IFERROR(__xludf.DUMMYFUNCTION("""COMPUTED_VALUE"""),10.0)</f>
        <v>10</v>
      </c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 t="str">
        <f>IFERROR(__xludf.DUMMYFUNCTION("""COMPUTED_VALUE"""),"XII")</f>
        <v>XII</v>
      </c>
      <c r="B372" s="22" t="str">
        <f>IFERROR(__xludf.DUMMYFUNCTION("""COMPUTED_VALUE"""),"Thanh tra sản xuất - KCS")</f>
        <v>Thanh tra sản xuất - KCS</v>
      </c>
      <c r="C372" s="22">
        <f>IFERROR(__xludf.DUMMYFUNCTION("""COMPUTED_VALUE"""),23.0)</f>
        <v>23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>
        <f>IFERROR(__xludf.DUMMYFUNCTION("""COMPUTED_VALUE"""),1.0)</f>
        <v>1</v>
      </c>
      <c r="B373" s="22" t="str">
        <f>IFERROR(__xludf.DUMMYFUNCTION("""COMPUTED_VALUE"""),"Văn phòng")</f>
        <v>Văn phòng</v>
      </c>
      <c r="C373" s="22" t="str">
        <f>IFERROR(__xludf.DUMMYFUNCTION("""COMPUTED_VALUE"""),"Thanh tra sản xuất - KCS")</f>
        <v>Thanh tra sản xuất - KCS</v>
      </c>
      <c r="D373" s="22" t="str">
        <f>IFERROR(__xludf.DUMMYFUNCTION("""COMPUTED_VALUE"""),"Tổ thanh tra sản xuất")</f>
        <v>Tổ thanh tra sản xuất</v>
      </c>
      <c r="E373" s="22" t="str">
        <f>IFERROR(__xludf.DUMMYFUNCTION("""COMPUTED_VALUE"""),"Nhóm trưởng")</f>
        <v>Nhóm trưởng</v>
      </c>
      <c r="F373" s="22" t="str">
        <f>IFERROR(__xludf.DUMMYFUNCTION("""COMPUTED_VALUE"""),"NV0159")</f>
        <v>NV0159</v>
      </c>
      <c r="G373" s="22">
        <f>IFERROR(__xludf.DUMMYFUNCTION("""COMPUTED_VALUE"""),722.0)</f>
        <v>722</v>
      </c>
      <c r="H373" s="22" t="str">
        <f>IFERROR(__xludf.DUMMYFUNCTION("""COMPUTED_VALUE"""),"Lê Văn Chung")</f>
        <v>Lê Văn Chung</v>
      </c>
      <c r="I373" s="22" t="str">
        <f>IFERROR(__xludf.DUMMYFUNCTION("""COMPUTED_VALUE"""),"Nam")</f>
        <v>Nam</v>
      </c>
      <c r="J373" s="24">
        <f>IFERROR(__xludf.DUMMYFUNCTION("""COMPUTED_VALUE"""),32199.0)</f>
        <v>32199</v>
      </c>
      <c r="K373" s="22" t="str">
        <f>IFERROR(__xludf.DUMMYFUNCTION("""COMPUTED_VALUE"""),"Xã Hoằng Phong - Hoằng Hóa - Thanh Hóa")</f>
        <v>Xã Hoằng Phong - Hoằng Hóa - Thanh Hóa</v>
      </c>
      <c r="L373" s="22" t="str">
        <f>IFERROR(__xludf.DUMMYFUNCTION("""COMPUTED_VALUE"""),"0977108495")</f>
        <v>0977108495</v>
      </c>
      <c r="M373" s="22" t="str">
        <f>IFERROR(__xludf.DUMMYFUNCTION("""COMPUTED_VALUE"""),"038088042318")</f>
        <v>038088042318</v>
      </c>
      <c r="N373" s="25">
        <f>IFERROR(__xludf.DUMMYFUNCTION("""COMPUTED_VALUE"""),45720.0)</f>
        <v>45720</v>
      </c>
      <c r="O373" s="22" t="str">
        <f>IFERROR(__xludf.DUMMYFUNCTION("""COMPUTED_VALUE"""),"Bộ công an")</f>
        <v>Bộ công an</v>
      </c>
      <c r="P373" s="22" t="str">
        <f>IFERROR(__xludf.DUMMYFUNCTION("""COMPUTED_VALUE"""),"Cao đẳng")</f>
        <v>Cao đẳng</v>
      </c>
      <c r="Q373" s="22" t="str">
        <f>IFERROR(__xludf.DUMMYFUNCTION("""COMPUTED_VALUE"""),"Cơ tin kỹ thuật")</f>
        <v>Cơ tin kỹ thuật</v>
      </c>
      <c r="R373" s="24">
        <f>IFERROR(__xludf.DUMMYFUNCTION("""COMPUTED_VALUE"""),40991.0)</f>
        <v>40991</v>
      </c>
      <c r="S373" s="24">
        <f>IFERROR(__xludf.DUMMYFUNCTION("""COMPUTED_VALUE"""),40991.0)</f>
        <v>40991</v>
      </c>
      <c r="T373" s="22" t="str">
        <f>IFERROR(__xludf.DUMMYFUNCTION("""COMPUTED_VALUE"""),"Chính thức")</f>
        <v>Chính thức</v>
      </c>
      <c r="U373" s="22"/>
      <c r="V373" s="22" t="str">
        <f>IFERROR(__xludf.DUMMYFUNCTION("""COMPUTED_VALUE"""),"Chính thức")</f>
        <v>Chính thức</v>
      </c>
      <c r="W373" s="22" t="str">
        <f>IFERROR(__xludf.DUMMYFUNCTION("""COMPUTED_VALUE"""),"13 năm 9 tháng")</f>
        <v>13 năm 9 tháng</v>
      </c>
      <c r="X373" s="22"/>
      <c r="Y373" s="22"/>
      <c r="Z373" s="22"/>
    </row>
    <row r="374">
      <c r="A374" s="22">
        <f>IFERROR(__xludf.DUMMYFUNCTION("""COMPUTED_VALUE"""),2.0)</f>
        <v>2</v>
      </c>
      <c r="B374" s="22" t="str">
        <f>IFERROR(__xludf.DUMMYFUNCTION("""COMPUTED_VALUE"""),"Văn phòng")</f>
        <v>Văn phòng</v>
      </c>
      <c r="C374" s="22" t="str">
        <f>IFERROR(__xludf.DUMMYFUNCTION("""COMPUTED_VALUE"""),"Thanh tra sản xuất - KCS")</f>
        <v>Thanh tra sản xuất - KCS</v>
      </c>
      <c r="D374" s="22" t="str">
        <f>IFERROR(__xludf.DUMMYFUNCTION("""COMPUTED_VALUE"""),"Tổ thanh tra sản xuất")</f>
        <v>Tổ thanh tra sản xuất</v>
      </c>
      <c r="E374" s="22" t="str">
        <f>IFERROR(__xludf.DUMMYFUNCTION("""COMPUTED_VALUE"""),"Nhóm trưởng")</f>
        <v>Nhóm trưởng</v>
      </c>
      <c r="F374" s="22" t="str">
        <f>IFERROR(__xludf.DUMMYFUNCTION("""COMPUTED_VALUE"""),"NV0858")</f>
        <v>NV0858</v>
      </c>
      <c r="G374" s="22">
        <f>IFERROR(__xludf.DUMMYFUNCTION("""COMPUTED_VALUE"""),513.0)</f>
        <v>513</v>
      </c>
      <c r="H374" s="22" t="str">
        <f>IFERROR(__xludf.DUMMYFUNCTION("""COMPUTED_VALUE"""),"Tào Quốc Đạt")</f>
        <v>Tào Quốc Đạt</v>
      </c>
      <c r="I374" s="22" t="str">
        <f>IFERROR(__xludf.DUMMYFUNCTION("""COMPUTED_VALUE"""),"Nam")</f>
        <v>Nam</v>
      </c>
      <c r="J374" s="24">
        <f>IFERROR(__xludf.DUMMYFUNCTION("""COMPUTED_VALUE"""),32195.0)</f>
        <v>32195</v>
      </c>
      <c r="K374" s="22" t="str">
        <f>IFERROR(__xludf.DUMMYFUNCTION("""COMPUTED_VALUE"""),"Phố KT2 - Tào Xuyên - Thành Phố Thanh Hóa")</f>
        <v>Phố KT2 - Tào Xuyên - Thành Phố Thanh Hóa</v>
      </c>
      <c r="L374" s="27" t="str">
        <f>IFERROR(__xludf.DUMMYFUNCTION("""COMPUTED_VALUE"""),"0976186336")</f>
        <v>0976186336</v>
      </c>
      <c r="M374" s="22" t="str">
        <f>IFERROR(__xludf.DUMMYFUNCTION("""COMPUTED_VALUE"""),"038088002391")</f>
        <v>038088002391</v>
      </c>
      <c r="N374" s="25">
        <f>IFERROR(__xludf.DUMMYFUNCTION("""COMPUTED_VALUE"""),44508.0)</f>
        <v>44508</v>
      </c>
      <c r="O374" s="22" t="str">
        <f>IFERROR(__xludf.DUMMYFUNCTION("""COMPUTED_VALUE"""),"Cục Cảnh sát QLHC về TTXH")</f>
        <v>Cục Cảnh sát QLHC về TTXH</v>
      </c>
      <c r="P374" s="22" t="str">
        <f>IFERROR(__xludf.DUMMYFUNCTION("""COMPUTED_VALUE"""),"Cử nhân")</f>
        <v>Cử nhân</v>
      </c>
      <c r="Q374" s="22" t="str">
        <f>IFERROR(__xludf.DUMMYFUNCTION("""COMPUTED_VALUE"""),"Công nghệ kỹ thuật hóa học")</f>
        <v>Công nghệ kỹ thuật hóa học</v>
      </c>
      <c r="R374" s="24">
        <f>IFERROR(__xludf.DUMMYFUNCTION("""COMPUTED_VALUE"""),42810.0)</f>
        <v>42810</v>
      </c>
      <c r="S374" s="26">
        <f>IFERROR(__xludf.DUMMYFUNCTION("""COMPUTED_VALUE"""),42810.0)</f>
        <v>42810</v>
      </c>
      <c r="T374" s="22" t="str">
        <f>IFERROR(__xludf.DUMMYFUNCTION("""COMPUTED_VALUE"""),"Chính thức")</f>
        <v>Chính thức</v>
      </c>
      <c r="U374" s="22"/>
      <c r="V374" s="22" t="str">
        <f>IFERROR(__xludf.DUMMYFUNCTION("""COMPUTED_VALUE"""),"Chính thức")</f>
        <v>Chính thức</v>
      </c>
      <c r="W374" s="22" t="str">
        <f>IFERROR(__xludf.DUMMYFUNCTION("""COMPUTED_VALUE"""),"8 năm 9 tháng")</f>
        <v>8 năm 9 tháng</v>
      </c>
      <c r="X374" s="22"/>
      <c r="Y374" s="22"/>
      <c r="Z374" s="22"/>
    </row>
    <row r="375">
      <c r="A375" s="22">
        <f>IFERROR(__xludf.DUMMYFUNCTION("""COMPUTED_VALUE"""),3.0)</f>
        <v>3</v>
      </c>
      <c r="B375" s="22" t="str">
        <f>IFERROR(__xludf.DUMMYFUNCTION("""COMPUTED_VALUE"""),"Văn phòng")</f>
        <v>Văn phòng</v>
      </c>
      <c r="C375" s="22" t="str">
        <f>IFERROR(__xludf.DUMMYFUNCTION("""COMPUTED_VALUE"""),"Thanh tra sản xuất - KCS")</f>
        <v>Thanh tra sản xuất - KCS</v>
      </c>
      <c r="D375" s="22" t="str">
        <f>IFERROR(__xludf.DUMMYFUNCTION("""COMPUTED_VALUE"""),"Tổ thanh tra sản xuất")</f>
        <v>Tổ thanh tra sản xuất</v>
      </c>
      <c r="E375" s="22" t="str">
        <f>IFERROR(__xludf.DUMMYFUNCTION("""COMPUTED_VALUE"""),"Nhân viên KCS")</f>
        <v>Nhân viên KCS</v>
      </c>
      <c r="F375" s="22" t="str">
        <f>IFERROR(__xludf.DUMMYFUNCTION("""COMPUTED_VALUE"""),"NV0473")</f>
        <v>NV0473</v>
      </c>
      <c r="G375" s="22">
        <f>IFERROR(__xludf.DUMMYFUNCTION("""COMPUTED_VALUE"""),363.0)</f>
        <v>363</v>
      </c>
      <c r="H375" s="22" t="str">
        <f>IFERROR(__xludf.DUMMYFUNCTION("""COMPUTED_VALUE"""),"Phạm Thị Hồng")</f>
        <v>Phạm Thị Hồng</v>
      </c>
      <c r="I375" s="22" t="str">
        <f>IFERROR(__xludf.DUMMYFUNCTION("""COMPUTED_VALUE"""),"Nữ")</f>
        <v>Nữ</v>
      </c>
      <c r="J375" s="24">
        <f>IFERROR(__xludf.DUMMYFUNCTION("""COMPUTED_VALUE"""),28730.0)</f>
        <v>28730</v>
      </c>
      <c r="K375" s="22" t="str">
        <f>IFERROR(__xludf.DUMMYFUNCTION("""COMPUTED_VALUE"""),"Thôn Ba Tân - Xã Đông Hương - Thành phố - Thanh Hóa")</f>
        <v>Thôn Ba Tân - Xã Đông Hương - Thành phố - Thanh Hóa</v>
      </c>
      <c r="L375" s="22" t="str">
        <f>IFERROR(__xludf.DUMMYFUNCTION("""COMPUTED_VALUE"""),"0979844221")</f>
        <v>0979844221</v>
      </c>
      <c r="M375" s="22" t="str">
        <f>IFERROR(__xludf.DUMMYFUNCTION("""COMPUTED_VALUE"""),"038178003992")</f>
        <v>038178003992</v>
      </c>
      <c r="N375" s="25">
        <f>IFERROR(__xludf.DUMMYFUNCTION("""COMPUTED_VALUE"""),44553.0)</f>
        <v>44553</v>
      </c>
      <c r="O375" s="22" t="str">
        <f>IFERROR(__xludf.DUMMYFUNCTION("""COMPUTED_VALUE"""),"Cục Cảnh sát QLHC về TTXH")</f>
        <v>Cục Cảnh sát QLHC về TTXH</v>
      </c>
      <c r="P375" s="22" t="str">
        <f>IFERROR(__xludf.DUMMYFUNCTION("""COMPUTED_VALUE"""),"LĐPT")</f>
        <v>LĐPT</v>
      </c>
      <c r="Q375" s="22" t="str">
        <f>IFERROR(__xludf.DUMMYFUNCTION("""COMPUTED_VALUE"""),"Lao động phổ thông")</f>
        <v>Lao động phổ thông</v>
      </c>
      <c r="R375" s="24">
        <f>IFERROR(__xludf.DUMMYFUNCTION("""COMPUTED_VALUE"""),40348.0)</f>
        <v>40348</v>
      </c>
      <c r="S375" s="26">
        <f>IFERROR(__xludf.DUMMYFUNCTION("""COMPUTED_VALUE"""),40348.0)</f>
        <v>40348</v>
      </c>
      <c r="T375" s="22" t="str">
        <f>IFERROR(__xludf.DUMMYFUNCTION("""COMPUTED_VALUE"""),"Chính thức")</f>
        <v>Chính thức</v>
      </c>
      <c r="U375" s="22"/>
      <c r="V375" s="22" t="str">
        <f>IFERROR(__xludf.DUMMYFUNCTION("""COMPUTED_VALUE"""),"Chính thức")</f>
        <v>Chính thức</v>
      </c>
      <c r="W375" s="22" t="str">
        <f>IFERROR(__xludf.DUMMYFUNCTION("""COMPUTED_VALUE"""),"15 năm 6 tháng")</f>
        <v>15 năm 6 tháng</v>
      </c>
      <c r="X375" s="22"/>
      <c r="Y375" s="22"/>
      <c r="Z375" s="22"/>
    </row>
    <row r="376">
      <c r="A376" s="22">
        <f>IFERROR(__xludf.DUMMYFUNCTION("""COMPUTED_VALUE"""),4.0)</f>
        <v>4</v>
      </c>
      <c r="B376" s="22" t="str">
        <f>IFERROR(__xludf.DUMMYFUNCTION("""COMPUTED_VALUE"""),"Văn phòng")</f>
        <v>Văn phòng</v>
      </c>
      <c r="C376" s="22" t="str">
        <f>IFERROR(__xludf.DUMMYFUNCTION("""COMPUTED_VALUE"""),"Thanh tra sản xuất - KCS")</f>
        <v>Thanh tra sản xuất - KCS</v>
      </c>
      <c r="D376" s="22" t="str">
        <f>IFERROR(__xludf.DUMMYFUNCTION("""COMPUTED_VALUE"""),"Tổ thanh tra sản xuất")</f>
        <v>Tổ thanh tra sản xuất</v>
      </c>
      <c r="E376" s="22" t="str">
        <f>IFERROR(__xludf.DUMMYFUNCTION("""COMPUTED_VALUE"""),"Nhân viên KCS")</f>
        <v>Nhân viên KCS</v>
      </c>
      <c r="F376" s="22" t="str">
        <f>IFERROR(__xludf.DUMMYFUNCTION("""COMPUTED_VALUE"""),"NV0610")</f>
        <v>NV0610</v>
      </c>
      <c r="G376" s="22">
        <f>IFERROR(__xludf.DUMMYFUNCTION("""COMPUTED_VALUE"""),475.0)</f>
        <v>475</v>
      </c>
      <c r="H376" s="22" t="str">
        <f>IFERROR(__xludf.DUMMYFUNCTION("""COMPUTED_VALUE"""),"Nguyễn Thị Vân")</f>
        <v>Nguyễn Thị Vân</v>
      </c>
      <c r="I376" s="22" t="str">
        <f>IFERROR(__xludf.DUMMYFUNCTION("""COMPUTED_VALUE"""),"Nữ")</f>
        <v>Nữ</v>
      </c>
      <c r="J376" s="24">
        <f>IFERROR(__xludf.DUMMYFUNCTION("""COMPUTED_VALUE"""),31657.0)</f>
        <v>31657</v>
      </c>
      <c r="K376" s="22" t="str">
        <f>IFERROR(__xludf.DUMMYFUNCTION("""COMPUTED_VALUE"""),"Xã Thiệu Lý - Thiệu Hóa - Thanh Hóa")</f>
        <v>Xã Thiệu Lý - Thiệu Hóa - Thanh Hóa</v>
      </c>
      <c r="L376" s="22" t="str">
        <f>IFERROR(__xludf.DUMMYFUNCTION("""COMPUTED_VALUE"""),"0366334143")</f>
        <v>0366334143</v>
      </c>
      <c r="M376" s="22" t="str">
        <f>IFERROR(__xludf.DUMMYFUNCTION("""COMPUTED_VALUE"""),"038186011551")</f>
        <v>038186011551</v>
      </c>
      <c r="N376" s="25">
        <f>IFERROR(__xludf.DUMMYFUNCTION("""COMPUTED_VALUE"""),44508.0)</f>
        <v>44508</v>
      </c>
      <c r="O376" s="22" t="str">
        <f>IFERROR(__xludf.DUMMYFUNCTION("""COMPUTED_VALUE"""),"Cục Cảnh sát QLHC về TTXH")</f>
        <v>Cục Cảnh sát QLHC về TTXH</v>
      </c>
      <c r="P376" s="22" t="str">
        <f>IFERROR(__xludf.DUMMYFUNCTION("""COMPUTED_VALUE"""),"LĐPT")</f>
        <v>LĐPT</v>
      </c>
      <c r="Q376" s="22" t="str">
        <f>IFERROR(__xludf.DUMMYFUNCTION("""COMPUTED_VALUE"""),"Lao động phổ thông")</f>
        <v>Lao động phổ thông</v>
      </c>
      <c r="R376" s="24">
        <f>IFERROR(__xludf.DUMMYFUNCTION("""COMPUTED_VALUE"""),41117.0)</f>
        <v>41117</v>
      </c>
      <c r="S376" s="26">
        <f>IFERROR(__xludf.DUMMYFUNCTION("""COMPUTED_VALUE"""),41117.0)</f>
        <v>41117</v>
      </c>
      <c r="T376" s="22" t="str">
        <f>IFERROR(__xludf.DUMMYFUNCTION("""COMPUTED_VALUE"""),"Chính thức")</f>
        <v>Chính thức</v>
      </c>
      <c r="U376" s="22"/>
      <c r="V376" s="22" t="str">
        <f>IFERROR(__xludf.DUMMYFUNCTION("""COMPUTED_VALUE"""),"Chính thức")</f>
        <v>Chính thức</v>
      </c>
      <c r="W376" s="22" t="str">
        <f>IFERROR(__xludf.DUMMYFUNCTION("""COMPUTED_VALUE"""),"13 năm 5 tháng")</f>
        <v>13 năm 5 tháng</v>
      </c>
      <c r="X376" s="22"/>
      <c r="Y376" s="22"/>
      <c r="Z376" s="22"/>
    </row>
    <row r="377">
      <c r="A377" s="22">
        <f>IFERROR(__xludf.DUMMYFUNCTION("""COMPUTED_VALUE"""),5.0)</f>
        <v>5</v>
      </c>
      <c r="B377" s="22" t="str">
        <f>IFERROR(__xludf.DUMMYFUNCTION("""COMPUTED_VALUE"""),"Văn phòng")</f>
        <v>Văn phòng</v>
      </c>
      <c r="C377" s="22" t="str">
        <f>IFERROR(__xludf.DUMMYFUNCTION("""COMPUTED_VALUE"""),"Thanh tra sản xuất - KCS")</f>
        <v>Thanh tra sản xuất - KCS</v>
      </c>
      <c r="D377" s="22" t="str">
        <f>IFERROR(__xludf.DUMMYFUNCTION("""COMPUTED_VALUE"""),"Tổ thanh tra sản xuất")</f>
        <v>Tổ thanh tra sản xuất</v>
      </c>
      <c r="E377" s="22" t="str">
        <f>IFERROR(__xludf.DUMMYFUNCTION("""COMPUTED_VALUE"""),"Nhân viên KCS")</f>
        <v>Nhân viên KCS</v>
      </c>
      <c r="F377" s="22" t="str">
        <f>IFERROR(__xludf.DUMMYFUNCTION("""COMPUTED_VALUE"""),"NV0592")</f>
        <v>NV0592</v>
      </c>
      <c r="G377" s="22">
        <f>IFERROR(__xludf.DUMMYFUNCTION("""COMPUTED_VALUE"""),608.0)</f>
        <v>608</v>
      </c>
      <c r="H377" s="22" t="str">
        <f>IFERROR(__xludf.DUMMYFUNCTION("""COMPUTED_VALUE"""),"Bùi Thị Lan")</f>
        <v>Bùi Thị Lan</v>
      </c>
      <c r="I377" s="22" t="str">
        <f>IFERROR(__xludf.DUMMYFUNCTION("""COMPUTED_VALUE"""),"Nữ")</f>
        <v>Nữ</v>
      </c>
      <c r="J377" s="24">
        <f>IFERROR(__xludf.DUMMYFUNCTION("""COMPUTED_VALUE"""),33162.0)</f>
        <v>33162</v>
      </c>
      <c r="K377" s="22" t="str">
        <f>IFERROR(__xludf.DUMMYFUNCTION("""COMPUTED_VALUE"""),"Phố 2, Xã Quảng Hưng, Thành phố Thanh Hóa,")</f>
        <v>Phố 2, Xã Quảng Hưng, Thành phố Thanh Hóa,</v>
      </c>
      <c r="L377" s="22" t="str">
        <f>IFERROR(__xludf.DUMMYFUNCTION("""COMPUTED_VALUE"""),"0963267545")</f>
        <v>0963267545</v>
      </c>
      <c r="M377" s="22" t="str">
        <f>IFERROR(__xludf.DUMMYFUNCTION("""COMPUTED_VALUE"""),"038190011661")</f>
        <v>038190011661</v>
      </c>
      <c r="N377" s="25">
        <f>IFERROR(__xludf.DUMMYFUNCTION("""COMPUTED_VALUE"""),44830.0)</f>
        <v>44830</v>
      </c>
      <c r="O377" s="22" t="str">
        <f>IFERROR(__xludf.DUMMYFUNCTION("""COMPUTED_VALUE"""),"Cục Cảnh sát QLHC về TTXH")</f>
        <v>Cục Cảnh sát QLHC về TTXH</v>
      </c>
      <c r="P377" s="22" t="str">
        <f>IFERROR(__xludf.DUMMYFUNCTION("""COMPUTED_VALUE"""),"LĐPT")</f>
        <v>LĐPT</v>
      </c>
      <c r="Q377" s="22" t="str">
        <f>IFERROR(__xludf.DUMMYFUNCTION("""COMPUTED_VALUE"""),"Lao động phổ thông")</f>
        <v>Lao động phổ thông</v>
      </c>
      <c r="R377" s="24">
        <f>IFERROR(__xludf.DUMMYFUNCTION("""COMPUTED_VALUE"""),39141.0)</f>
        <v>39141</v>
      </c>
      <c r="S377" s="26">
        <f>IFERROR(__xludf.DUMMYFUNCTION("""COMPUTED_VALUE"""),39141.0)</f>
        <v>39141</v>
      </c>
      <c r="T377" s="22" t="str">
        <f>IFERROR(__xludf.DUMMYFUNCTION("""COMPUTED_VALUE"""),"Chính thức")</f>
        <v>Chính thức</v>
      </c>
      <c r="U377" s="22"/>
      <c r="V377" s="22" t="str">
        <f>IFERROR(__xludf.DUMMYFUNCTION("""COMPUTED_VALUE"""),"Chính thức")</f>
        <v>Chính thức</v>
      </c>
      <c r="W377" s="22" t="str">
        <f>IFERROR(__xludf.DUMMYFUNCTION("""COMPUTED_VALUE"""),"18 năm 10 tháng")</f>
        <v>18 năm 10 tháng</v>
      </c>
      <c r="X377" s="22"/>
      <c r="Y377" s="22"/>
      <c r="Z377" s="22"/>
    </row>
    <row r="378">
      <c r="A378" s="22">
        <f>IFERROR(__xludf.DUMMYFUNCTION("""COMPUTED_VALUE"""),6.0)</f>
        <v>6</v>
      </c>
      <c r="B378" s="22" t="str">
        <f>IFERROR(__xludf.DUMMYFUNCTION("""COMPUTED_VALUE"""),"Văn phòng")</f>
        <v>Văn phòng</v>
      </c>
      <c r="C378" s="22" t="str">
        <f>IFERROR(__xludf.DUMMYFUNCTION("""COMPUTED_VALUE"""),"Thanh tra sản xuất - KCS")</f>
        <v>Thanh tra sản xuất - KCS</v>
      </c>
      <c r="D378" s="22" t="str">
        <f>IFERROR(__xludf.DUMMYFUNCTION("""COMPUTED_VALUE"""),"Tổ thanh tra sản xuất")</f>
        <v>Tổ thanh tra sản xuất</v>
      </c>
      <c r="E378" s="22" t="str">
        <f>IFERROR(__xludf.DUMMYFUNCTION("""COMPUTED_VALUE"""),"Nhân viên KCS")</f>
        <v>Nhân viên KCS</v>
      </c>
      <c r="F378" s="22" t="str">
        <f>IFERROR(__xludf.DUMMYFUNCTION("""COMPUTED_VALUE"""),"NV0010")</f>
        <v>NV0010</v>
      </c>
      <c r="G378" s="22">
        <f>IFERROR(__xludf.DUMMYFUNCTION("""COMPUTED_VALUE"""),643.0)</f>
        <v>643</v>
      </c>
      <c r="H378" s="22" t="str">
        <f>IFERROR(__xludf.DUMMYFUNCTION("""COMPUTED_VALUE"""),"Bùi Thị Thủy")</f>
        <v>Bùi Thị Thủy</v>
      </c>
      <c r="I378" s="22" t="str">
        <f>IFERROR(__xludf.DUMMYFUNCTION("""COMPUTED_VALUE"""),"Nữ")</f>
        <v>Nữ</v>
      </c>
      <c r="J378" s="24">
        <f>IFERROR(__xludf.DUMMYFUNCTION("""COMPUTED_VALUE"""),32578.0)</f>
        <v>32578</v>
      </c>
      <c r="K378" s="22" t="str">
        <f>IFERROR(__xludf.DUMMYFUNCTION("""COMPUTED_VALUE"""),"Xã Hoằng Châu - Hoằng Hóa - Thanh Hóa")</f>
        <v>Xã Hoằng Châu - Hoằng Hóa - Thanh Hóa</v>
      </c>
      <c r="L378" s="22" t="str">
        <f>IFERROR(__xludf.DUMMYFUNCTION("""COMPUTED_VALUE"""),"0963558280")</f>
        <v>0963558280</v>
      </c>
      <c r="M378" s="22" t="str">
        <f>IFERROR(__xludf.DUMMYFUNCTION("""COMPUTED_VALUE"""),"038989015933")</f>
        <v>038989015933</v>
      </c>
      <c r="N378" s="25">
        <f>IFERROR(__xludf.DUMMYFUNCTION("""COMPUTED_VALUE"""),44830.0)</f>
        <v>44830</v>
      </c>
      <c r="O378" s="22" t="str">
        <f>IFERROR(__xludf.DUMMYFUNCTION("""COMPUTED_VALUE"""),"Cục Cảnh sát QLHC về TTXH")</f>
        <v>Cục Cảnh sát QLHC về TTXH</v>
      </c>
      <c r="P378" s="22" t="str">
        <f>IFERROR(__xludf.DUMMYFUNCTION("""COMPUTED_VALUE"""),"LĐPT")</f>
        <v>LĐPT</v>
      </c>
      <c r="Q378" s="22" t="str">
        <f>IFERROR(__xludf.DUMMYFUNCTION("""COMPUTED_VALUE"""),"Lao động phổ thông")</f>
        <v>Lao động phổ thông</v>
      </c>
      <c r="R378" s="24">
        <f>IFERROR(__xludf.DUMMYFUNCTION("""COMPUTED_VALUE"""),39223.0)</f>
        <v>39223</v>
      </c>
      <c r="S378" s="26">
        <f>IFERROR(__xludf.DUMMYFUNCTION("""COMPUTED_VALUE"""),39223.0)</f>
        <v>39223</v>
      </c>
      <c r="T378" s="22" t="str">
        <f>IFERROR(__xludf.DUMMYFUNCTION("""COMPUTED_VALUE"""),"Chính thức")</f>
        <v>Chính thức</v>
      </c>
      <c r="U378" s="22"/>
      <c r="V378" s="22" t="str">
        <f>IFERROR(__xludf.DUMMYFUNCTION("""COMPUTED_VALUE"""),"Chính thức")</f>
        <v>Chính thức</v>
      </c>
      <c r="W378" s="22" t="str">
        <f>IFERROR(__xludf.DUMMYFUNCTION("""COMPUTED_VALUE"""),"18 năm 7 tháng")</f>
        <v>18 năm 7 tháng</v>
      </c>
      <c r="X378" s="22"/>
      <c r="Y378" s="22"/>
      <c r="Z378" s="22"/>
    </row>
    <row r="379">
      <c r="A379" s="22">
        <f>IFERROR(__xludf.DUMMYFUNCTION("""COMPUTED_VALUE"""),7.0)</f>
        <v>7</v>
      </c>
      <c r="B379" s="22" t="str">
        <f>IFERROR(__xludf.DUMMYFUNCTION("""COMPUTED_VALUE"""),"Văn phòng")</f>
        <v>Văn phòng</v>
      </c>
      <c r="C379" s="22" t="str">
        <f>IFERROR(__xludf.DUMMYFUNCTION("""COMPUTED_VALUE"""),"Thanh tra sản xuất - KCS")</f>
        <v>Thanh tra sản xuất - KCS</v>
      </c>
      <c r="D379" s="22" t="str">
        <f>IFERROR(__xludf.DUMMYFUNCTION("""COMPUTED_VALUE"""),"Tổ thanh tra sản xuất")</f>
        <v>Tổ thanh tra sản xuất</v>
      </c>
      <c r="E379" s="22" t="str">
        <f>IFERROR(__xludf.DUMMYFUNCTION("""COMPUTED_VALUE"""),"Tổ trưởng")</f>
        <v>Tổ trưởng</v>
      </c>
      <c r="F379" s="22" t="str">
        <f>IFERROR(__xludf.DUMMYFUNCTION("""COMPUTED_VALUE"""),"NV0162")</f>
        <v>NV0162</v>
      </c>
      <c r="G379" s="22">
        <f>IFERROR(__xludf.DUMMYFUNCTION("""COMPUTED_VALUE"""),174.0)</f>
        <v>174</v>
      </c>
      <c r="H379" s="22" t="str">
        <f>IFERROR(__xludf.DUMMYFUNCTION("""COMPUTED_VALUE"""),"Nguyễn Thái Sỹ")</f>
        <v>Nguyễn Thái Sỹ</v>
      </c>
      <c r="I379" s="22" t="str">
        <f>IFERROR(__xludf.DUMMYFUNCTION("""COMPUTED_VALUE"""),"Nam")</f>
        <v>Nam</v>
      </c>
      <c r="J379" s="24">
        <f>IFERROR(__xludf.DUMMYFUNCTION("""COMPUTED_VALUE"""),33519.0)</f>
        <v>33519</v>
      </c>
      <c r="K379" s="22" t="str">
        <f>IFERROR(__xludf.DUMMYFUNCTION("""COMPUTED_VALUE"""),"Phố Lai Thành - Phường Đông Hải - TP Thanh Hóa")</f>
        <v>Phố Lai Thành - Phường Đông Hải - TP Thanh Hóa</v>
      </c>
      <c r="L379" s="22" t="str">
        <f>IFERROR(__xludf.DUMMYFUNCTION("""COMPUTED_VALUE"""),"0949454868")</f>
        <v>0949454868</v>
      </c>
      <c r="M379" s="22" t="str">
        <f>IFERROR(__xludf.DUMMYFUNCTION("""COMPUTED_VALUE"""),"038091016864")</f>
        <v>038091016864</v>
      </c>
      <c r="N379" s="25">
        <f>IFERROR(__xludf.DUMMYFUNCTION("""COMPUTED_VALUE"""),44375.0)</f>
        <v>44375</v>
      </c>
      <c r="O379" s="22" t="str">
        <f>IFERROR(__xludf.DUMMYFUNCTION("""COMPUTED_VALUE"""),"Cục Cảnh sát QLHC về TTXH")</f>
        <v>Cục Cảnh sát QLHC về TTXH</v>
      </c>
      <c r="P379" s="22" t="str">
        <f>IFERROR(__xludf.DUMMYFUNCTION("""COMPUTED_VALUE"""),"Cao đẳng")</f>
        <v>Cao đẳng</v>
      </c>
      <c r="Q379" s="22" t="str">
        <f>IFERROR(__xludf.DUMMYFUNCTION("""COMPUTED_VALUE"""),"Xây dựng")</f>
        <v>Xây dựng</v>
      </c>
      <c r="R379" s="24">
        <f>IFERROR(__xludf.DUMMYFUNCTION("""COMPUTED_VALUE"""),42069.0)</f>
        <v>42069</v>
      </c>
      <c r="S379" s="26">
        <f>IFERROR(__xludf.DUMMYFUNCTION("""COMPUTED_VALUE"""),42069.0)</f>
        <v>42069</v>
      </c>
      <c r="T379" s="22" t="str">
        <f>IFERROR(__xludf.DUMMYFUNCTION("""COMPUTED_VALUE"""),"Chính thức")</f>
        <v>Chính thức</v>
      </c>
      <c r="U379" s="22"/>
      <c r="V379" s="22" t="str">
        <f>IFERROR(__xludf.DUMMYFUNCTION("""COMPUTED_VALUE"""),"Chính thức")</f>
        <v>Chính thức</v>
      </c>
      <c r="W379" s="22" t="str">
        <f>IFERROR(__xludf.DUMMYFUNCTION("""COMPUTED_VALUE"""),"10 năm 9 tháng")</f>
        <v>10 năm 9 tháng</v>
      </c>
      <c r="X379" s="22"/>
      <c r="Y379" s="22"/>
      <c r="Z379" s="22"/>
    </row>
    <row r="380">
      <c r="A380" s="22">
        <f>IFERROR(__xludf.DUMMYFUNCTION("""COMPUTED_VALUE"""),8.0)</f>
        <v>8</v>
      </c>
      <c r="B380" s="22" t="str">
        <f>IFERROR(__xludf.DUMMYFUNCTION("""COMPUTED_VALUE"""),"Văn phòng")</f>
        <v>Văn phòng</v>
      </c>
      <c r="C380" s="22" t="str">
        <f>IFERROR(__xludf.DUMMYFUNCTION("""COMPUTED_VALUE"""),"Thanh tra sản xuất - KCS")</f>
        <v>Thanh tra sản xuất - KCS</v>
      </c>
      <c r="D380" s="22" t="str">
        <f>IFERROR(__xludf.DUMMYFUNCTION("""COMPUTED_VALUE"""),"Tổ thanh tra sản xuất")</f>
        <v>Tổ thanh tra sản xuất</v>
      </c>
      <c r="E380" s="22" t="str">
        <f>IFERROR(__xludf.DUMMYFUNCTION("""COMPUTED_VALUE"""),"Nhóm trưởng")</f>
        <v>Nhóm trưởng</v>
      </c>
      <c r="F380" s="22" t="str">
        <f>IFERROR(__xludf.DUMMYFUNCTION("""COMPUTED_VALUE"""),"NV0160")</f>
        <v>NV0160</v>
      </c>
      <c r="G380" s="22">
        <f>IFERROR(__xludf.DUMMYFUNCTION("""COMPUTED_VALUE"""),423.0)</f>
        <v>423</v>
      </c>
      <c r="H380" s="22" t="str">
        <f>IFERROR(__xludf.DUMMYFUNCTION("""COMPUTED_VALUE"""),"Lê Thanh Bình")</f>
        <v>Lê Thanh Bình</v>
      </c>
      <c r="I380" s="22" t="str">
        <f>IFERROR(__xludf.DUMMYFUNCTION("""COMPUTED_VALUE"""),"Nam")</f>
        <v>Nam</v>
      </c>
      <c r="J380" s="24">
        <f>IFERROR(__xludf.DUMMYFUNCTION("""COMPUTED_VALUE"""),30204.0)</f>
        <v>30204</v>
      </c>
      <c r="K380" s="22" t="str">
        <f>IFERROR(__xludf.DUMMYFUNCTION("""COMPUTED_VALUE"""),"Phố Đồng Lễ, Xã Đông Hải, Thành phố Thanh Hóa,")</f>
        <v>Phố Đồng Lễ, Xã Đông Hải, Thành phố Thanh Hóa,</v>
      </c>
      <c r="L380" s="22" t="str">
        <f>IFERROR(__xludf.DUMMYFUNCTION("""COMPUTED_VALUE"""),"0986942076")</f>
        <v>0986942076</v>
      </c>
      <c r="M380" s="22" t="str">
        <f>IFERROR(__xludf.DUMMYFUNCTION("""COMPUTED_VALUE"""),"038082021598")</f>
        <v>038082021598</v>
      </c>
      <c r="N380" s="25">
        <f>IFERROR(__xludf.DUMMYFUNCTION("""COMPUTED_VALUE"""),44290.0)</f>
        <v>44290</v>
      </c>
      <c r="O380" s="22" t="str">
        <f>IFERROR(__xludf.DUMMYFUNCTION("""COMPUTED_VALUE"""),"Cục Cảnh sát QLHC về TTXH")</f>
        <v>Cục Cảnh sát QLHC về TTXH</v>
      </c>
      <c r="P380" s="22" t="str">
        <f>IFERROR(__xludf.DUMMYFUNCTION("""COMPUTED_VALUE"""),"Cao đẳng")</f>
        <v>Cao đẳng</v>
      </c>
      <c r="Q380" s="22" t="str">
        <f>IFERROR(__xludf.DUMMYFUNCTION("""COMPUTED_VALUE"""),"Chế tạo máy")</f>
        <v>Chế tạo máy</v>
      </c>
      <c r="R380" s="24">
        <f>IFERROR(__xludf.DUMMYFUNCTION("""COMPUTED_VALUE"""),39548.0)</f>
        <v>39548</v>
      </c>
      <c r="S380" s="26">
        <f>IFERROR(__xludf.DUMMYFUNCTION("""COMPUTED_VALUE"""),39548.0)</f>
        <v>39548</v>
      </c>
      <c r="T380" s="22" t="str">
        <f>IFERROR(__xludf.DUMMYFUNCTION("""COMPUTED_VALUE"""),"Chính thức")</f>
        <v>Chính thức</v>
      </c>
      <c r="U380" s="22"/>
      <c r="V380" s="22" t="str">
        <f>IFERROR(__xludf.DUMMYFUNCTION("""COMPUTED_VALUE"""),"Chính thức")</f>
        <v>Chính thức</v>
      </c>
      <c r="W380" s="22" t="str">
        <f>IFERROR(__xludf.DUMMYFUNCTION("""COMPUTED_VALUE"""),"17 năm 8 tháng")</f>
        <v>17 năm 8 tháng</v>
      </c>
      <c r="X380" s="22"/>
      <c r="Y380" s="22"/>
      <c r="Z380" s="22"/>
    </row>
    <row r="381">
      <c r="A381" s="22">
        <f>IFERROR(__xludf.DUMMYFUNCTION("""COMPUTED_VALUE"""),9.0)</f>
        <v>9</v>
      </c>
      <c r="B381" s="22" t="str">
        <f>IFERROR(__xludf.DUMMYFUNCTION("""COMPUTED_VALUE"""),"Văn phòng")</f>
        <v>Văn phòng</v>
      </c>
      <c r="C381" s="22" t="str">
        <f>IFERROR(__xludf.DUMMYFUNCTION("""COMPUTED_VALUE"""),"Thanh tra sản xuất - KCS")</f>
        <v>Thanh tra sản xuất - KCS</v>
      </c>
      <c r="D381" s="22" t="str">
        <f>IFERROR(__xludf.DUMMYFUNCTION("""COMPUTED_VALUE"""),"Tổ thanh tra sản xuất")</f>
        <v>Tổ thanh tra sản xuất</v>
      </c>
      <c r="E381" s="22" t="str">
        <f>IFERROR(__xludf.DUMMYFUNCTION("""COMPUTED_VALUE"""),"Nhóm trưởng")</f>
        <v>Nhóm trưởng</v>
      </c>
      <c r="F381" s="22" t="str">
        <f>IFERROR(__xludf.DUMMYFUNCTION("""COMPUTED_VALUE"""),"NV0158")</f>
        <v>NV0158</v>
      </c>
      <c r="G381" s="22">
        <f>IFERROR(__xludf.DUMMYFUNCTION("""COMPUTED_VALUE"""),362.0)</f>
        <v>362</v>
      </c>
      <c r="H381" s="22" t="str">
        <f>IFERROR(__xludf.DUMMYFUNCTION("""COMPUTED_VALUE"""),"Nguyễn Trọng Bình")</f>
        <v>Nguyễn Trọng Bình</v>
      </c>
      <c r="I381" s="22" t="str">
        <f>IFERROR(__xludf.DUMMYFUNCTION("""COMPUTED_VALUE"""),"Nam")</f>
        <v>Nam</v>
      </c>
      <c r="J381" s="24">
        <f>IFERROR(__xludf.DUMMYFUNCTION("""COMPUTED_VALUE"""),30937.0)</f>
        <v>30937</v>
      </c>
      <c r="K381" s="22" t="str">
        <f>IFERROR(__xludf.DUMMYFUNCTION("""COMPUTED_VALUE"""),"05/31, Phường Đông Vệ, Thành phố Thanh Hóa,")</f>
        <v>05/31, Phường Đông Vệ, Thành phố Thanh Hóa,</v>
      </c>
      <c r="L381" s="22" t="str">
        <f>IFERROR(__xludf.DUMMYFUNCTION("""COMPUTED_VALUE"""),"0914824826")</f>
        <v>0914824826</v>
      </c>
      <c r="M381" s="22" t="str">
        <f>IFERROR(__xludf.DUMMYFUNCTION("""COMPUTED_VALUE"""),"038084052850")</f>
        <v>038084052850</v>
      </c>
      <c r="N381" s="25">
        <f>IFERROR(__xludf.DUMMYFUNCTION("""COMPUTED_VALUE"""),45678.0)</f>
        <v>45678</v>
      </c>
      <c r="O381" s="22" t="str">
        <f>IFERROR(__xludf.DUMMYFUNCTION("""COMPUTED_VALUE"""),"Bộ công an")</f>
        <v>Bộ công an</v>
      </c>
      <c r="P381" s="22" t="str">
        <f>IFERROR(__xludf.DUMMYFUNCTION("""COMPUTED_VALUE"""),"Trung cấp")</f>
        <v>Trung cấp</v>
      </c>
      <c r="Q381" s="22" t="str">
        <f>IFERROR(__xludf.DUMMYFUNCTION("""COMPUTED_VALUE"""),"Biêu chính viễn thông")</f>
        <v>Biêu chính viễn thông</v>
      </c>
      <c r="R381" s="24">
        <f>IFERROR(__xludf.DUMMYFUNCTION("""COMPUTED_VALUE"""),41579.0)</f>
        <v>41579</v>
      </c>
      <c r="S381" s="26">
        <f>IFERROR(__xludf.DUMMYFUNCTION("""COMPUTED_VALUE"""),41579.0)</f>
        <v>41579</v>
      </c>
      <c r="T381" s="22" t="str">
        <f>IFERROR(__xludf.DUMMYFUNCTION("""COMPUTED_VALUE"""),"Chính thức")</f>
        <v>Chính thức</v>
      </c>
      <c r="U381" s="22"/>
      <c r="V381" s="22" t="str">
        <f>IFERROR(__xludf.DUMMYFUNCTION("""COMPUTED_VALUE"""),"Chính thức")</f>
        <v>Chính thức</v>
      </c>
      <c r="W381" s="22" t="str">
        <f>IFERROR(__xludf.DUMMYFUNCTION("""COMPUTED_VALUE"""),"12 năm 1 tháng")</f>
        <v>12 năm 1 tháng</v>
      </c>
      <c r="X381" s="22"/>
      <c r="Y381" s="22"/>
      <c r="Z381" s="22"/>
    </row>
    <row r="382">
      <c r="A382" s="22">
        <f>IFERROR(__xludf.DUMMYFUNCTION("""COMPUTED_VALUE"""),10.0)</f>
        <v>10</v>
      </c>
      <c r="B382" s="22" t="str">
        <f>IFERROR(__xludf.DUMMYFUNCTION("""COMPUTED_VALUE"""),"Văn phòng")</f>
        <v>Văn phòng</v>
      </c>
      <c r="C382" s="22" t="str">
        <f>IFERROR(__xludf.DUMMYFUNCTION("""COMPUTED_VALUE"""),"Thanh tra sản xuất - KCS")</f>
        <v>Thanh tra sản xuất - KCS</v>
      </c>
      <c r="D382" s="22" t="str">
        <f>IFERROR(__xludf.DUMMYFUNCTION("""COMPUTED_VALUE"""),"Tổ thanh tra sản xuất")</f>
        <v>Tổ thanh tra sản xuất</v>
      </c>
      <c r="E382" s="22" t="str">
        <f>IFERROR(__xludf.DUMMYFUNCTION("""COMPUTED_VALUE"""),"Nhóm trưởng")</f>
        <v>Nhóm trưởng</v>
      </c>
      <c r="F382" s="22" t="str">
        <f>IFERROR(__xludf.DUMMYFUNCTION("""COMPUTED_VALUE"""),"NV0157")</f>
        <v>NV0157</v>
      </c>
      <c r="G382" s="22">
        <f>IFERROR(__xludf.DUMMYFUNCTION("""COMPUTED_VALUE"""),177.0)</f>
        <v>177</v>
      </c>
      <c r="H382" s="22" t="str">
        <f>IFERROR(__xludf.DUMMYFUNCTION("""COMPUTED_VALUE"""),"Lê Khả Hoàng")</f>
        <v>Lê Khả Hoàng</v>
      </c>
      <c r="I382" s="22" t="str">
        <f>IFERROR(__xludf.DUMMYFUNCTION("""COMPUTED_VALUE"""),"Nam")</f>
        <v>Nam</v>
      </c>
      <c r="J382" s="24">
        <f>IFERROR(__xludf.DUMMYFUNCTION("""COMPUTED_VALUE"""),31487.0)</f>
        <v>31487</v>
      </c>
      <c r="K382" s="22" t="str">
        <f>IFERROR(__xludf.DUMMYFUNCTION("""COMPUTED_VALUE"""),"Xã Quảng Bình - Quảng Xương - Thanh Hóa")</f>
        <v>Xã Quảng Bình - Quảng Xương - Thanh Hóa</v>
      </c>
      <c r="L382" s="22" t="str">
        <f>IFERROR(__xludf.DUMMYFUNCTION("""COMPUTED_VALUE"""),"0363729827")</f>
        <v>0363729827</v>
      </c>
      <c r="M382" s="22" t="str">
        <f>IFERROR(__xludf.DUMMYFUNCTION("""COMPUTED_VALUE"""),"038086024070")</f>
        <v>038086024070</v>
      </c>
      <c r="N382" s="25">
        <f>IFERROR(__xludf.DUMMYFUNCTION("""COMPUTED_VALUE"""),44305.0)</f>
        <v>44305</v>
      </c>
      <c r="O382" s="22" t="str">
        <f>IFERROR(__xludf.DUMMYFUNCTION("""COMPUTED_VALUE"""),"Cục Cảnh sát QLHC về TTXH")</f>
        <v>Cục Cảnh sát QLHC về TTXH</v>
      </c>
      <c r="P382" s="22" t="str">
        <f>IFERROR(__xludf.DUMMYFUNCTION("""COMPUTED_VALUE"""),"Cao đẳng")</f>
        <v>Cao đẳng</v>
      </c>
      <c r="Q382" s="22" t="str">
        <f>IFERROR(__xludf.DUMMYFUNCTION("""COMPUTED_VALUE"""),"Hóa dầu")</f>
        <v>Hóa dầu</v>
      </c>
      <c r="R382" s="24">
        <f>IFERROR(__xludf.DUMMYFUNCTION("""COMPUTED_VALUE"""),39203.0)</f>
        <v>39203</v>
      </c>
      <c r="S382" s="26">
        <f>IFERROR(__xludf.DUMMYFUNCTION("""COMPUTED_VALUE"""),39203.0)</f>
        <v>39203</v>
      </c>
      <c r="T382" s="22" t="str">
        <f>IFERROR(__xludf.DUMMYFUNCTION("""COMPUTED_VALUE"""),"Chính thức")</f>
        <v>Chính thức</v>
      </c>
      <c r="U382" s="22"/>
      <c r="V382" s="22" t="str">
        <f>IFERROR(__xludf.DUMMYFUNCTION("""COMPUTED_VALUE"""),"Chính thức")</f>
        <v>Chính thức</v>
      </c>
      <c r="W382" s="22" t="str">
        <f>IFERROR(__xludf.DUMMYFUNCTION("""COMPUTED_VALUE"""),"18 năm 7 tháng")</f>
        <v>18 năm 7 tháng</v>
      </c>
      <c r="X382" s="22"/>
      <c r="Y382" s="22"/>
      <c r="Z382" s="22"/>
    </row>
    <row r="383">
      <c r="A383" s="22">
        <f>IFERROR(__xludf.DUMMYFUNCTION("""COMPUTED_VALUE"""),11.0)</f>
        <v>11</v>
      </c>
      <c r="B383" s="22" t="str">
        <f>IFERROR(__xludf.DUMMYFUNCTION("""COMPUTED_VALUE"""),"Văn phòng")</f>
        <v>Văn phòng</v>
      </c>
      <c r="C383" s="22" t="str">
        <f>IFERROR(__xludf.DUMMYFUNCTION("""COMPUTED_VALUE"""),"Thanh tra sản xuất - KCS")</f>
        <v>Thanh tra sản xuất - KCS</v>
      </c>
      <c r="D383" s="22" t="str">
        <f>IFERROR(__xludf.DUMMYFUNCTION("""COMPUTED_VALUE"""),"Tổ thanh tra sản xuất")</f>
        <v>Tổ thanh tra sản xuất</v>
      </c>
      <c r="E383" s="22" t="str">
        <f>IFERROR(__xludf.DUMMYFUNCTION("""COMPUTED_VALUE"""),"Nhân viên KCS")</f>
        <v>Nhân viên KCS</v>
      </c>
      <c r="F383" s="22" t="str">
        <f>IFERROR(__xludf.DUMMYFUNCTION("""COMPUTED_VALUE"""),"NV0161")</f>
        <v>NV0161</v>
      </c>
      <c r="G383" s="22">
        <f>IFERROR(__xludf.DUMMYFUNCTION("""COMPUTED_VALUE"""),422.0)</f>
        <v>422</v>
      </c>
      <c r="H383" s="22" t="str">
        <f>IFERROR(__xludf.DUMMYFUNCTION("""COMPUTED_VALUE"""),"Lê Xuân Cảnh")</f>
        <v>Lê Xuân Cảnh</v>
      </c>
      <c r="I383" s="22" t="str">
        <f>IFERROR(__xludf.DUMMYFUNCTION("""COMPUTED_VALUE"""),"Nam")</f>
        <v>Nam</v>
      </c>
      <c r="J383" s="24">
        <f>IFERROR(__xludf.DUMMYFUNCTION("""COMPUTED_VALUE"""),32536.0)</f>
        <v>32536</v>
      </c>
      <c r="K383" s="22" t="str">
        <f>IFERROR(__xludf.DUMMYFUNCTION("""COMPUTED_VALUE"""),"Đông Thịnh - Đông Sơn - Thanh Hóa")</f>
        <v>Đông Thịnh - Đông Sơn - Thanh Hóa</v>
      </c>
      <c r="L383" s="22" t="str">
        <f>IFERROR(__xludf.DUMMYFUNCTION("""COMPUTED_VALUE"""),"0348697412")</f>
        <v>0348697412</v>
      </c>
      <c r="M383" s="22" t="str">
        <f>IFERROR(__xludf.DUMMYFUNCTION("""COMPUTED_VALUE"""),"038089042578")</f>
        <v>038089042578</v>
      </c>
      <c r="N383" s="25">
        <f>IFERROR(__xludf.DUMMYFUNCTION("""COMPUTED_VALUE"""),44423.0)</f>
        <v>44423</v>
      </c>
      <c r="O383" s="22" t="str">
        <f>IFERROR(__xludf.DUMMYFUNCTION("""COMPUTED_VALUE"""),"Cục Cảnh sát QLHC về TTXH")</f>
        <v>Cục Cảnh sát QLHC về TTXH</v>
      </c>
      <c r="P383" s="22" t="str">
        <f>IFERROR(__xludf.DUMMYFUNCTION("""COMPUTED_VALUE"""),"Cử nhân")</f>
        <v>Cử nhân</v>
      </c>
      <c r="Q383" s="22" t="str">
        <f>IFERROR(__xludf.DUMMYFUNCTION("""COMPUTED_VALUE"""),"Hóa")</f>
        <v>Hóa</v>
      </c>
      <c r="R383" s="24">
        <f>IFERROR(__xludf.DUMMYFUNCTION("""COMPUTED_VALUE"""),41944.0)</f>
        <v>41944</v>
      </c>
      <c r="S383" s="26">
        <f>IFERROR(__xludf.DUMMYFUNCTION("""COMPUTED_VALUE"""),41944.0)</f>
        <v>41944</v>
      </c>
      <c r="T383" s="22" t="str">
        <f>IFERROR(__xludf.DUMMYFUNCTION("""COMPUTED_VALUE"""),"Chính thức")</f>
        <v>Chính thức</v>
      </c>
      <c r="U383" s="22"/>
      <c r="V383" s="22" t="str">
        <f>IFERROR(__xludf.DUMMYFUNCTION("""COMPUTED_VALUE"""),"Chính thức")</f>
        <v>Chính thức</v>
      </c>
      <c r="W383" s="22" t="str">
        <f>IFERROR(__xludf.DUMMYFUNCTION("""COMPUTED_VALUE"""),"11 năm 1 tháng")</f>
        <v>11 năm 1 tháng</v>
      </c>
      <c r="X383" s="22"/>
      <c r="Y383" s="22"/>
      <c r="Z383" s="22"/>
    </row>
    <row r="384">
      <c r="A384" s="22">
        <f>IFERROR(__xludf.DUMMYFUNCTION("""COMPUTED_VALUE"""),12.0)</f>
        <v>12</v>
      </c>
      <c r="B384" s="22" t="str">
        <f>IFERROR(__xludf.DUMMYFUNCTION("""COMPUTED_VALUE"""),"Văn phòng")</f>
        <v>Văn phòng</v>
      </c>
      <c r="C384" s="22" t="str">
        <f>IFERROR(__xludf.DUMMYFUNCTION("""COMPUTED_VALUE"""),"Thanh tra sản xuất - KCS")</f>
        <v>Thanh tra sản xuất - KCS</v>
      </c>
      <c r="D384" s="22" t="str">
        <f>IFERROR(__xludf.DUMMYFUNCTION("""COMPUTED_VALUE"""),"Tổ thanh tra sản xuất")</f>
        <v>Tổ thanh tra sản xuất</v>
      </c>
      <c r="E384" s="22" t="str">
        <f>IFERROR(__xludf.DUMMYFUNCTION("""COMPUTED_VALUE"""),"Nhân viên KCS")</f>
        <v>Nhân viên KCS</v>
      </c>
      <c r="F384" s="22" t="str">
        <f>IFERROR(__xludf.DUMMYFUNCTION("""COMPUTED_VALUE"""),"NV0153")</f>
        <v>NV0153</v>
      </c>
      <c r="G384" s="22">
        <f>IFERROR(__xludf.DUMMYFUNCTION("""COMPUTED_VALUE"""),179.0)</f>
        <v>179</v>
      </c>
      <c r="H384" s="22" t="str">
        <f>IFERROR(__xludf.DUMMYFUNCTION("""COMPUTED_VALUE"""),"Lê Thị Hải")</f>
        <v>Lê Thị Hải</v>
      </c>
      <c r="I384" s="22" t="str">
        <f>IFERROR(__xludf.DUMMYFUNCTION("""COMPUTED_VALUE"""),"Nữ")</f>
        <v>Nữ</v>
      </c>
      <c r="J384" s="24">
        <f>IFERROR(__xludf.DUMMYFUNCTION("""COMPUTED_VALUE"""),29655.0)</f>
        <v>29655</v>
      </c>
      <c r="K384" s="22" t="str">
        <f>IFERROR(__xludf.DUMMYFUNCTION("""COMPUTED_VALUE"""),"Xã Thiệu Quang, Huyện Thiệu Hoá, Thanh Hóa")</f>
        <v>Xã Thiệu Quang, Huyện Thiệu Hoá, Thanh Hóa</v>
      </c>
      <c r="L384" s="22" t="str">
        <f>IFERROR(__xludf.DUMMYFUNCTION("""COMPUTED_VALUE"""),"0362200268")</f>
        <v>0362200268</v>
      </c>
      <c r="M384" s="22" t="str">
        <f>IFERROR(__xludf.DUMMYFUNCTION("""COMPUTED_VALUE"""),"038181013135")</f>
        <v>038181013135</v>
      </c>
      <c r="N384" s="25">
        <f>IFERROR(__xludf.DUMMYFUNCTION("""COMPUTED_VALUE"""),44853.0)</f>
        <v>44853</v>
      </c>
      <c r="O384" s="22" t="str">
        <f>IFERROR(__xludf.DUMMYFUNCTION("""COMPUTED_VALUE"""),"Cục Cảnh sát QLHC về TTXH")</f>
        <v>Cục Cảnh sát QLHC về TTXH</v>
      </c>
      <c r="P384" s="22" t="str">
        <f>IFERROR(__xludf.DUMMYFUNCTION("""COMPUTED_VALUE"""),"LĐPT")</f>
        <v>LĐPT</v>
      </c>
      <c r="Q384" s="22" t="str">
        <f>IFERROR(__xludf.DUMMYFUNCTION("""COMPUTED_VALUE"""),"Lao động phổ thông")</f>
        <v>Lao động phổ thông</v>
      </c>
      <c r="R384" s="24">
        <f>IFERROR(__xludf.DUMMYFUNCTION("""COMPUTED_VALUE"""),36956.0)</f>
        <v>36956</v>
      </c>
      <c r="S384" s="26">
        <f>IFERROR(__xludf.DUMMYFUNCTION("""COMPUTED_VALUE"""),36956.0)</f>
        <v>36956</v>
      </c>
      <c r="T384" s="22" t="str">
        <f>IFERROR(__xludf.DUMMYFUNCTION("""COMPUTED_VALUE"""),"Chính thức")</f>
        <v>Chính thức</v>
      </c>
      <c r="U384" s="22"/>
      <c r="V384" s="22" t="str">
        <f>IFERROR(__xludf.DUMMYFUNCTION("""COMPUTED_VALUE"""),"Chính thức")</f>
        <v>Chính thức</v>
      </c>
      <c r="W384" s="22" t="str">
        <f>IFERROR(__xludf.DUMMYFUNCTION("""COMPUTED_VALUE"""),"24 năm 9 tháng")</f>
        <v>24 năm 9 tháng</v>
      </c>
      <c r="X384" s="22"/>
      <c r="Y384" s="22"/>
      <c r="Z384" s="22"/>
    </row>
    <row r="385">
      <c r="A385" s="22">
        <f>IFERROR(__xludf.DUMMYFUNCTION("""COMPUTED_VALUE"""),13.0)</f>
        <v>13</v>
      </c>
      <c r="B385" s="22" t="str">
        <f>IFERROR(__xludf.DUMMYFUNCTION("""COMPUTED_VALUE"""),"Văn phòng")</f>
        <v>Văn phòng</v>
      </c>
      <c r="C385" s="22" t="str">
        <f>IFERROR(__xludf.DUMMYFUNCTION("""COMPUTED_VALUE"""),"Thanh tra sản xuất - KCS")</f>
        <v>Thanh tra sản xuất - KCS</v>
      </c>
      <c r="D385" s="22" t="str">
        <f>IFERROR(__xludf.DUMMYFUNCTION("""COMPUTED_VALUE"""),"Tổ thanh tra sản xuất")</f>
        <v>Tổ thanh tra sản xuất</v>
      </c>
      <c r="E385" s="22" t="str">
        <f>IFERROR(__xludf.DUMMYFUNCTION("""COMPUTED_VALUE"""),"Nhân viên KCS")</f>
        <v>Nhân viên KCS</v>
      </c>
      <c r="F385" s="22" t="str">
        <f>IFERROR(__xludf.DUMMYFUNCTION("""COMPUTED_VALUE"""),"NV0163")</f>
        <v>NV0163</v>
      </c>
      <c r="G385" s="22">
        <f>IFERROR(__xludf.DUMMYFUNCTION("""COMPUTED_VALUE"""),114.0)</f>
        <v>114</v>
      </c>
      <c r="H385" s="22" t="str">
        <f>IFERROR(__xludf.DUMMYFUNCTION("""COMPUTED_VALUE"""),"Nguyễn Thị Hiền")</f>
        <v>Nguyễn Thị Hiền</v>
      </c>
      <c r="I385" s="22" t="str">
        <f>IFERROR(__xludf.DUMMYFUNCTION("""COMPUTED_VALUE"""),"Nữ")</f>
        <v>Nữ</v>
      </c>
      <c r="J385" s="24">
        <f>IFERROR(__xludf.DUMMYFUNCTION("""COMPUTED_VALUE"""),29457.0)</f>
        <v>29457</v>
      </c>
      <c r="K385" s="22" t="str">
        <f>IFERROR(__xludf.DUMMYFUNCTION("""COMPUTED_VALUE"""),"Xã Hoằng Thành, Huyện Hoằng Hóa, Thanh Hóa,")</f>
        <v>Xã Hoằng Thành, Huyện Hoằng Hóa, Thanh Hóa,</v>
      </c>
      <c r="L385" s="22" t="str">
        <f>IFERROR(__xludf.DUMMYFUNCTION("""COMPUTED_VALUE"""),"0943861128")</f>
        <v>0943861128</v>
      </c>
      <c r="M385" s="22" t="str">
        <f>IFERROR(__xludf.DUMMYFUNCTION("""COMPUTED_VALUE"""),"030180015166")</f>
        <v>030180015166</v>
      </c>
      <c r="N385" s="25">
        <f>IFERROR(__xludf.DUMMYFUNCTION("""COMPUTED_VALUE"""),44445.0)</f>
        <v>44445</v>
      </c>
      <c r="O385" s="22" t="str">
        <f>IFERROR(__xludf.DUMMYFUNCTION("""COMPUTED_VALUE"""),"Cục Cảnh sát QLHC về TTXH")</f>
        <v>Cục Cảnh sát QLHC về TTXH</v>
      </c>
      <c r="P385" s="22" t="str">
        <f>IFERROR(__xludf.DUMMYFUNCTION("""COMPUTED_VALUE"""),"LĐPT")</f>
        <v>LĐPT</v>
      </c>
      <c r="Q385" s="22" t="str">
        <f>IFERROR(__xludf.DUMMYFUNCTION("""COMPUTED_VALUE"""),"Lao động phổ thông")</f>
        <v>Lao động phổ thông</v>
      </c>
      <c r="R385" s="24">
        <f>IFERROR(__xludf.DUMMYFUNCTION("""COMPUTED_VALUE"""),37089.0)</f>
        <v>37089</v>
      </c>
      <c r="S385" s="26">
        <f>IFERROR(__xludf.DUMMYFUNCTION("""COMPUTED_VALUE"""),37089.0)</f>
        <v>37089</v>
      </c>
      <c r="T385" s="22" t="str">
        <f>IFERROR(__xludf.DUMMYFUNCTION("""COMPUTED_VALUE"""),"Chính thức")</f>
        <v>Chính thức</v>
      </c>
      <c r="U385" s="22"/>
      <c r="V385" s="22" t="str">
        <f>IFERROR(__xludf.DUMMYFUNCTION("""COMPUTED_VALUE"""),"Chính thức")</f>
        <v>Chính thức</v>
      </c>
      <c r="W385" s="22" t="str">
        <f>IFERROR(__xludf.DUMMYFUNCTION("""COMPUTED_VALUE"""),"24 năm 5 tháng")</f>
        <v>24 năm 5 tháng</v>
      </c>
      <c r="X385" s="22"/>
      <c r="Y385" s="22"/>
      <c r="Z385" s="22"/>
    </row>
    <row r="386">
      <c r="A386" s="22">
        <f>IFERROR(__xludf.DUMMYFUNCTION("""COMPUTED_VALUE"""),14.0)</f>
        <v>14</v>
      </c>
      <c r="B386" s="22" t="str">
        <f>IFERROR(__xludf.DUMMYFUNCTION("""COMPUTED_VALUE"""),"Văn phòng")</f>
        <v>Văn phòng</v>
      </c>
      <c r="C386" s="22" t="str">
        <f>IFERROR(__xludf.DUMMYFUNCTION("""COMPUTED_VALUE"""),"Thanh tra sản xuất - KCS")</f>
        <v>Thanh tra sản xuất - KCS</v>
      </c>
      <c r="D386" s="22" t="str">
        <f>IFERROR(__xludf.DUMMYFUNCTION("""COMPUTED_VALUE"""),"Tổ thanh tra sản xuất")</f>
        <v>Tổ thanh tra sản xuất</v>
      </c>
      <c r="E386" s="22" t="str">
        <f>IFERROR(__xludf.DUMMYFUNCTION("""COMPUTED_VALUE"""),"Nhân viên KCS")</f>
        <v>Nhân viên KCS</v>
      </c>
      <c r="F386" s="22" t="str">
        <f>IFERROR(__xludf.DUMMYFUNCTION("""COMPUTED_VALUE"""),"NV0155")</f>
        <v>NV0155</v>
      </c>
      <c r="G386" s="22">
        <f>IFERROR(__xludf.DUMMYFUNCTION("""COMPUTED_VALUE"""),115.0)</f>
        <v>115</v>
      </c>
      <c r="H386" s="22" t="str">
        <f>IFERROR(__xludf.DUMMYFUNCTION("""COMPUTED_VALUE"""),"Nguyễn Xuân Mạnh")</f>
        <v>Nguyễn Xuân Mạnh</v>
      </c>
      <c r="I386" s="22" t="str">
        <f>IFERROR(__xludf.DUMMYFUNCTION("""COMPUTED_VALUE"""),"Nam")</f>
        <v>Nam</v>
      </c>
      <c r="J386" s="24">
        <f>IFERROR(__xludf.DUMMYFUNCTION("""COMPUTED_VALUE"""),32717.0)</f>
        <v>32717</v>
      </c>
      <c r="K386" s="22" t="str">
        <f>IFERROR(__xludf.DUMMYFUNCTION("""COMPUTED_VALUE"""),"Xã Quảng Phú - TP Thanh Hóa")</f>
        <v>Xã Quảng Phú - TP Thanh Hóa</v>
      </c>
      <c r="L386" s="22" t="str">
        <f>IFERROR(__xludf.DUMMYFUNCTION("""COMPUTED_VALUE"""),"0338990724")</f>
        <v>0338990724</v>
      </c>
      <c r="M386" s="22" t="str">
        <f>IFERROR(__xludf.DUMMYFUNCTION("""COMPUTED_VALUE"""),"038089010874")</f>
        <v>038089010874</v>
      </c>
      <c r="N386" s="25">
        <f>IFERROR(__xludf.DUMMYFUNCTION("""COMPUTED_VALUE"""),44534.0)</f>
        <v>44534</v>
      </c>
      <c r="O386" s="22" t="str">
        <f>IFERROR(__xludf.DUMMYFUNCTION("""COMPUTED_VALUE"""),"Cục Cảnh sát QLHC về TTXH")</f>
        <v>Cục Cảnh sát QLHC về TTXH</v>
      </c>
      <c r="P386" s="22" t="str">
        <f>IFERROR(__xludf.DUMMYFUNCTION("""COMPUTED_VALUE"""),"LĐPT")</f>
        <v>LĐPT</v>
      </c>
      <c r="Q386" s="22" t="str">
        <f>IFERROR(__xludf.DUMMYFUNCTION("""COMPUTED_VALUE"""),"Lao động phổ thông")</f>
        <v>Lao động phổ thông</v>
      </c>
      <c r="R386" s="24">
        <f>IFERROR(__xludf.DUMMYFUNCTION("""COMPUTED_VALUE"""),40806.0)</f>
        <v>40806</v>
      </c>
      <c r="S386" s="26">
        <f>IFERROR(__xludf.DUMMYFUNCTION("""COMPUTED_VALUE"""),40806.0)</f>
        <v>40806</v>
      </c>
      <c r="T386" s="22" t="str">
        <f>IFERROR(__xludf.DUMMYFUNCTION("""COMPUTED_VALUE"""),"Chính thức")</f>
        <v>Chính thức</v>
      </c>
      <c r="U386" s="22"/>
      <c r="V386" s="22" t="str">
        <f>IFERROR(__xludf.DUMMYFUNCTION("""COMPUTED_VALUE"""),"Chính thức")</f>
        <v>Chính thức</v>
      </c>
      <c r="W386" s="22" t="str">
        <f>IFERROR(__xludf.DUMMYFUNCTION("""COMPUTED_VALUE"""),"14 năm 3 tháng")</f>
        <v>14 năm 3 tháng</v>
      </c>
      <c r="X386" s="22"/>
      <c r="Y386" s="22"/>
      <c r="Z386" s="22"/>
    </row>
    <row r="387">
      <c r="A387" s="22">
        <f>IFERROR(__xludf.DUMMYFUNCTION("""COMPUTED_VALUE"""),15.0)</f>
        <v>15</v>
      </c>
      <c r="B387" s="22" t="str">
        <f>IFERROR(__xludf.DUMMYFUNCTION("""COMPUTED_VALUE"""),"Văn phòng")</f>
        <v>Văn phòng</v>
      </c>
      <c r="C387" s="22" t="str">
        <f>IFERROR(__xludf.DUMMYFUNCTION("""COMPUTED_VALUE"""),"Thanh tra sản xuất - KCS")</f>
        <v>Thanh tra sản xuất - KCS</v>
      </c>
      <c r="D387" s="22" t="str">
        <f>IFERROR(__xludf.DUMMYFUNCTION("""COMPUTED_VALUE"""),"Tổ thanh tra sản xuất")</f>
        <v>Tổ thanh tra sản xuất</v>
      </c>
      <c r="E387" s="22" t="str">
        <f>IFERROR(__xludf.DUMMYFUNCTION("""COMPUTED_VALUE"""),"Nhân viên KCS")</f>
        <v>Nhân viên KCS</v>
      </c>
      <c r="F387" s="22" t="str">
        <f>IFERROR(__xludf.DUMMYFUNCTION("""COMPUTED_VALUE"""),"NV0474")</f>
        <v>NV0474</v>
      </c>
      <c r="G387" s="22">
        <f>IFERROR(__xludf.DUMMYFUNCTION("""COMPUTED_VALUE"""),112.0)</f>
        <v>112</v>
      </c>
      <c r="H387" s="22" t="str">
        <f>IFERROR(__xludf.DUMMYFUNCTION("""COMPUTED_VALUE"""),"Lê Thị Thoa")</f>
        <v>Lê Thị Thoa</v>
      </c>
      <c r="I387" s="22" t="str">
        <f>IFERROR(__xludf.DUMMYFUNCTION("""COMPUTED_VALUE"""),"Nữ")</f>
        <v>Nữ</v>
      </c>
      <c r="J387" s="24">
        <f>IFERROR(__xludf.DUMMYFUNCTION("""COMPUTED_VALUE"""),29806.0)</f>
        <v>29806</v>
      </c>
      <c r="K387" s="22" t="str">
        <f>IFERROR(__xludf.DUMMYFUNCTION("""COMPUTED_VALUE"""),"Phố 2, Xã Quảng Hưng, Thành phố Thanh Hóa,")</f>
        <v>Phố 2, Xã Quảng Hưng, Thành phố Thanh Hóa,</v>
      </c>
      <c r="L387" s="22" t="str">
        <f>IFERROR(__xludf.DUMMYFUNCTION("""COMPUTED_VALUE"""),"0346759949")</f>
        <v>0346759949</v>
      </c>
      <c r="M387" s="22" t="str">
        <f>IFERROR(__xludf.DUMMYFUNCTION("""COMPUTED_VALUE"""),"038181002525")</f>
        <v>038181002525</v>
      </c>
      <c r="N387" s="25">
        <f>IFERROR(__xludf.DUMMYFUNCTION("""COMPUTED_VALUE"""),44419.0)</f>
        <v>44419</v>
      </c>
      <c r="O387" s="22" t="str">
        <f>IFERROR(__xludf.DUMMYFUNCTION("""COMPUTED_VALUE"""),"Cục Cảnh sát QLHC về TTXH")</f>
        <v>Cục Cảnh sát QLHC về TTXH</v>
      </c>
      <c r="P387" s="22" t="str">
        <f>IFERROR(__xludf.DUMMYFUNCTION("""COMPUTED_VALUE"""),"LĐPT")</f>
        <v>LĐPT</v>
      </c>
      <c r="Q387" s="22" t="str">
        <f>IFERROR(__xludf.DUMMYFUNCTION("""COMPUTED_VALUE"""),"Lao động phổ thông")</f>
        <v>Lao động phổ thông</v>
      </c>
      <c r="R387" s="24">
        <f>IFERROR(__xludf.DUMMYFUNCTION("""COMPUTED_VALUE"""),37090.0)</f>
        <v>37090</v>
      </c>
      <c r="S387" s="26">
        <f>IFERROR(__xludf.DUMMYFUNCTION("""COMPUTED_VALUE"""),37090.0)</f>
        <v>37090</v>
      </c>
      <c r="T387" s="22" t="str">
        <f>IFERROR(__xludf.DUMMYFUNCTION("""COMPUTED_VALUE"""),"Chính thức")</f>
        <v>Chính thức</v>
      </c>
      <c r="U387" s="22"/>
      <c r="V387" s="22" t="str">
        <f>IFERROR(__xludf.DUMMYFUNCTION("""COMPUTED_VALUE"""),"Chính thức")</f>
        <v>Chính thức</v>
      </c>
      <c r="W387" s="22" t="str">
        <f>IFERROR(__xludf.DUMMYFUNCTION("""COMPUTED_VALUE"""),"24 năm 5 tháng")</f>
        <v>24 năm 5 tháng</v>
      </c>
      <c r="X387" s="22"/>
      <c r="Y387" s="22"/>
      <c r="Z387" s="22"/>
    </row>
    <row r="388">
      <c r="A388" s="22">
        <f>IFERROR(__xludf.DUMMYFUNCTION("""COMPUTED_VALUE"""),16.0)</f>
        <v>16</v>
      </c>
      <c r="B388" s="22" t="str">
        <f>IFERROR(__xludf.DUMMYFUNCTION("""COMPUTED_VALUE"""),"Văn phòng")</f>
        <v>Văn phòng</v>
      </c>
      <c r="C388" s="22" t="str">
        <f>IFERROR(__xludf.DUMMYFUNCTION("""COMPUTED_VALUE"""),"Thanh tra sản xuất - KCS")</f>
        <v>Thanh tra sản xuất - KCS</v>
      </c>
      <c r="D388" s="22" t="str">
        <f>IFERROR(__xludf.DUMMYFUNCTION("""COMPUTED_VALUE"""),"Tổ thanh tra sản xuất")</f>
        <v>Tổ thanh tra sản xuất</v>
      </c>
      <c r="E388" s="22" t="str">
        <f>IFERROR(__xludf.DUMMYFUNCTION("""COMPUTED_VALUE"""),"Nhân viên KCS")</f>
        <v>Nhân viên KCS</v>
      </c>
      <c r="F388" s="22" t="str">
        <f>IFERROR(__xludf.DUMMYFUNCTION("""COMPUTED_VALUE"""),"NV0156")</f>
        <v>NV0156</v>
      </c>
      <c r="G388" s="22">
        <f>IFERROR(__xludf.DUMMYFUNCTION("""COMPUTED_VALUE"""),185.0)</f>
        <v>185</v>
      </c>
      <c r="H388" s="22" t="str">
        <f>IFERROR(__xludf.DUMMYFUNCTION("""COMPUTED_VALUE"""),"Bùi Thị Xinh")</f>
        <v>Bùi Thị Xinh</v>
      </c>
      <c r="I388" s="22" t="str">
        <f>IFERROR(__xludf.DUMMYFUNCTION("""COMPUTED_VALUE"""),"Nữ")</f>
        <v>Nữ</v>
      </c>
      <c r="J388" s="24">
        <f>IFERROR(__xludf.DUMMYFUNCTION("""COMPUTED_VALUE"""),35287.0)</f>
        <v>35287</v>
      </c>
      <c r="K388" s="22" t="str">
        <f>IFERROR(__xludf.DUMMYFUNCTION("""COMPUTED_VALUE"""),"Hoằng Châu - Hoằng Hóa - Thanh Hóa")</f>
        <v>Hoằng Châu - Hoằng Hóa - Thanh Hóa</v>
      </c>
      <c r="L388" s="22" t="str">
        <f>IFERROR(__xludf.DUMMYFUNCTION("""COMPUTED_VALUE"""),"0986240809")</f>
        <v>0986240809</v>
      </c>
      <c r="M388" s="22" t="str">
        <f>IFERROR(__xludf.DUMMYFUNCTION("""COMPUTED_VALUE"""),"038196034897")</f>
        <v>038196034897</v>
      </c>
      <c r="N388" s="25">
        <f>IFERROR(__xludf.DUMMYFUNCTION("""COMPUTED_VALUE"""),44417.0)</f>
        <v>44417</v>
      </c>
      <c r="O388" s="22" t="str">
        <f>IFERROR(__xludf.DUMMYFUNCTION("""COMPUTED_VALUE"""),"Cục Cảnh sát QLHC về TTXH")</f>
        <v>Cục Cảnh sát QLHC về TTXH</v>
      </c>
      <c r="P388" s="22" t="str">
        <f>IFERROR(__xludf.DUMMYFUNCTION("""COMPUTED_VALUE"""),"LĐPT")</f>
        <v>LĐPT</v>
      </c>
      <c r="Q388" s="22" t="str">
        <f>IFERROR(__xludf.DUMMYFUNCTION("""COMPUTED_VALUE"""),"Lao động phổ thông")</f>
        <v>Lao động phổ thông</v>
      </c>
      <c r="R388" s="24">
        <f>IFERROR(__xludf.DUMMYFUNCTION("""COMPUTED_VALUE"""),41813.0)</f>
        <v>41813</v>
      </c>
      <c r="S388" s="26">
        <f>IFERROR(__xludf.DUMMYFUNCTION("""COMPUTED_VALUE"""),41813.0)</f>
        <v>41813</v>
      </c>
      <c r="T388" s="22" t="str">
        <f>IFERROR(__xludf.DUMMYFUNCTION("""COMPUTED_VALUE"""),"Chính thức")</f>
        <v>Chính thức</v>
      </c>
      <c r="U388" s="22"/>
      <c r="V388" s="22" t="str">
        <f>IFERROR(__xludf.DUMMYFUNCTION("""COMPUTED_VALUE"""),"Chính thức")</f>
        <v>Chính thức</v>
      </c>
      <c r="W388" s="22" t="str">
        <f>IFERROR(__xludf.DUMMYFUNCTION("""COMPUTED_VALUE"""),"11 năm 6 tháng")</f>
        <v>11 năm 6 tháng</v>
      </c>
      <c r="X388" s="22"/>
      <c r="Y388" s="22"/>
      <c r="Z388" s="22"/>
    </row>
    <row r="389">
      <c r="A389" s="22">
        <f>IFERROR(__xludf.DUMMYFUNCTION("""COMPUTED_VALUE"""),17.0)</f>
        <v>17</v>
      </c>
      <c r="B389" s="22" t="str">
        <f>IFERROR(__xludf.DUMMYFUNCTION("""COMPUTED_VALUE"""),"Văn phòng")</f>
        <v>Văn phòng</v>
      </c>
      <c r="C389" s="22" t="str">
        <f>IFERROR(__xludf.DUMMYFUNCTION("""COMPUTED_VALUE"""),"Thanh tra sản xuất - KCS")</f>
        <v>Thanh tra sản xuất - KCS</v>
      </c>
      <c r="D389" s="22" t="str">
        <f>IFERROR(__xludf.DUMMYFUNCTION("""COMPUTED_VALUE"""),"Tổ thanh tra sản xuất")</f>
        <v>Tổ thanh tra sản xuất</v>
      </c>
      <c r="E389" s="22" t="str">
        <f>IFERROR(__xludf.DUMMYFUNCTION("""COMPUTED_VALUE"""),"Nhân viên KCS")</f>
        <v>Nhân viên KCS</v>
      </c>
      <c r="F389" s="22" t="str">
        <f>IFERROR(__xludf.DUMMYFUNCTION("""COMPUTED_VALUE"""),"NV1435")</f>
        <v>NV1435</v>
      </c>
      <c r="G389" s="22">
        <f>IFERROR(__xludf.DUMMYFUNCTION("""COMPUTED_VALUE"""),176.0)</f>
        <v>176</v>
      </c>
      <c r="H389" s="22" t="str">
        <f>IFERROR(__xludf.DUMMYFUNCTION("""COMPUTED_VALUE"""),"Nguyễn Đình Toàn")</f>
        <v>Nguyễn Đình Toàn</v>
      </c>
      <c r="I389" s="22" t="str">
        <f>IFERROR(__xludf.DUMMYFUNCTION("""COMPUTED_VALUE"""),"Nam")</f>
        <v>Nam</v>
      </c>
      <c r="J389" s="24">
        <f>IFERROR(__xludf.DUMMYFUNCTION("""COMPUTED_VALUE"""),32344.0)</f>
        <v>32344</v>
      </c>
      <c r="K389" s="22" t="str">
        <f>IFERROR(__xludf.DUMMYFUNCTION("""COMPUTED_VALUE"""),"Thôn 5 - Quảng Hải - Quảng Xương - Thanh Hóa")</f>
        <v>Thôn 5 - Quảng Hải - Quảng Xương - Thanh Hóa</v>
      </c>
      <c r="L389" s="22" t="str">
        <f>IFERROR(__xludf.DUMMYFUNCTION("""COMPUTED_VALUE"""),"0972874375")</f>
        <v>0972874375</v>
      </c>
      <c r="M389" s="22" t="str">
        <f>IFERROR(__xludf.DUMMYFUNCTION("""COMPUTED_VALUE"""),"038088027981")</f>
        <v>038088027981</v>
      </c>
      <c r="N389" s="25">
        <f>IFERROR(__xludf.DUMMYFUNCTION("""COMPUTED_VALUE"""),44420.0)</f>
        <v>44420</v>
      </c>
      <c r="O389" s="22" t="str">
        <f>IFERROR(__xludf.DUMMYFUNCTION("""COMPUTED_VALUE"""),"Cục Cảnh sát QLHC về TTXH")</f>
        <v>Cục Cảnh sát QLHC về TTXH</v>
      </c>
      <c r="P389" s="22" t="str">
        <f>IFERROR(__xludf.DUMMYFUNCTION("""COMPUTED_VALUE"""),"Kỹ sư")</f>
        <v>Kỹ sư</v>
      </c>
      <c r="Q389" s="22" t="str">
        <f>IFERROR(__xludf.DUMMYFUNCTION("""COMPUTED_VALUE"""),"Công nghệ kỹ thuật hóa học")</f>
        <v>Công nghệ kỹ thuật hóa học</v>
      </c>
      <c r="R389" s="24">
        <f>IFERROR(__xludf.DUMMYFUNCTION("""COMPUTED_VALUE"""),43256.0)</f>
        <v>43256</v>
      </c>
      <c r="S389" s="26">
        <f>IFERROR(__xludf.DUMMYFUNCTION("""COMPUTED_VALUE"""),43647.0)</f>
        <v>43647</v>
      </c>
      <c r="T389" s="22" t="str">
        <f>IFERROR(__xludf.DUMMYFUNCTION("""COMPUTED_VALUE"""),"Chính thức")</f>
        <v>Chính thức</v>
      </c>
      <c r="U389" s="22"/>
      <c r="V389" s="22" t="str">
        <f>IFERROR(__xludf.DUMMYFUNCTION("""COMPUTED_VALUE"""),"Chính thức")</f>
        <v>Chính thức</v>
      </c>
      <c r="W389" s="22" t="str">
        <f>IFERROR(__xludf.DUMMYFUNCTION("""COMPUTED_VALUE"""),"7 năm 6 tháng")</f>
        <v>7 năm 6 tháng</v>
      </c>
      <c r="X389" s="22"/>
      <c r="Y389" s="22"/>
      <c r="Z389" s="22"/>
    </row>
    <row r="390">
      <c r="A390" s="22">
        <f>IFERROR(__xludf.DUMMYFUNCTION("""COMPUTED_VALUE"""),18.0)</f>
        <v>18</v>
      </c>
      <c r="B390" s="22" t="str">
        <f>IFERROR(__xludf.DUMMYFUNCTION("""COMPUTED_VALUE"""),"Văn phòng")</f>
        <v>Văn phòng</v>
      </c>
      <c r="C390" s="22" t="str">
        <f>IFERROR(__xludf.DUMMYFUNCTION("""COMPUTED_VALUE"""),"Thanh tra sản xuất - KCS")</f>
        <v>Thanh tra sản xuất - KCS</v>
      </c>
      <c r="D390" s="22" t="str">
        <f>IFERROR(__xludf.DUMMYFUNCTION("""COMPUTED_VALUE"""),"Tổ thanh tra sản xuất")</f>
        <v>Tổ thanh tra sản xuất</v>
      </c>
      <c r="E390" s="22" t="str">
        <f>IFERROR(__xludf.DUMMYFUNCTION("""COMPUTED_VALUE"""),"Nhân viên KCS")</f>
        <v>Nhân viên KCS</v>
      </c>
      <c r="F390" s="22" t="str">
        <f>IFERROR(__xludf.DUMMYFUNCTION("""COMPUTED_VALUE"""),"NV5309")</f>
        <v>NV5309</v>
      </c>
      <c r="G390" s="22">
        <f>IFERROR(__xludf.DUMMYFUNCTION("""COMPUTED_VALUE"""),476.0)</f>
        <v>476</v>
      </c>
      <c r="H390" s="22" t="str">
        <f>IFERROR(__xludf.DUMMYFUNCTION("""COMPUTED_VALUE"""),"Lê Văn Định")</f>
        <v>Lê Văn Định</v>
      </c>
      <c r="I390" s="22" t="str">
        <f>IFERROR(__xludf.DUMMYFUNCTION("""COMPUTED_VALUE"""),"Nam")</f>
        <v>Nam</v>
      </c>
      <c r="J390" s="24">
        <f>IFERROR(__xludf.DUMMYFUNCTION("""COMPUTED_VALUE"""),34038.0)</f>
        <v>34038</v>
      </c>
      <c r="K390" s="22" t="str">
        <f>IFERROR(__xludf.DUMMYFUNCTION("""COMPUTED_VALUE"""),"Hoằng Phong, Hoằng Hóa, Thanh Hóa")</f>
        <v>Hoằng Phong, Hoằng Hóa, Thanh Hóa</v>
      </c>
      <c r="L390" s="22" t="str">
        <f>IFERROR(__xludf.DUMMYFUNCTION("""COMPUTED_VALUE"""),"0338963281")</f>
        <v>0338963281</v>
      </c>
      <c r="M390" s="22" t="str">
        <f>IFERROR(__xludf.DUMMYFUNCTION("""COMPUTED_VALUE"""),"038093030325")</f>
        <v>038093030325</v>
      </c>
      <c r="N390" s="25">
        <f>IFERROR(__xludf.DUMMYFUNCTION("""COMPUTED_VALUE"""),44722.0)</f>
        <v>44722</v>
      </c>
      <c r="O390" s="22" t="str">
        <f>IFERROR(__xludf.DUMMYFUNCTION("""COMPUTED_VALUE"""),"Cục Cảnh sát QLHC về TTXH")</f>
        <v>Cục Cảnh sát QLHC về TTXH</v>
      </c>
      <c r="P390" s="22" t="str">
        <f>IFERROR(__xludf.DUMMYFUNCTION("""COMPUTED_VALUE"""),"LĐPT")</f>
        <v>LĐPT</v>
      </c>
      <c r="Q390" s="22" t="str">
        <f>IFERROR(__xludf.DUMMYFUNCTION("""COMPUTED_VALUE"""),"Lao động phổ thông")</f>
        <v>Lao động phổ thông</v>
      </c>
      <c r="R390" s="24">
        <f>IFERROR(__xludf.DUMMYFUNCTION("""COMPUTED_VALUE"""),45476.0)</f>
        <v>45476</v>
      </c>
      <c r="S390" s="26">
        <f>IFERROR(__xludf.DUMMYFUNCTION("""COMPUTED_VALUE"""),45566.0)</f>
        <v>45566</v>
      </c>
      <c r="T390" s="22" t="str">
        <f>IFERROR(__xludf.DUMMYFUNCTION("""COMPUTED_VALUE"""),"Chính thức")</f>
        <v>Chính thức</v>
      </c>
      <c r="U390" s="22"/>
      <c r="V390" s="22" t="str">
        <f>IFERROR(__xludf.DUMMYFUNCTION("""COMPUTED_VALUE"""),"Chính thức")</f>
        <v>Chính thức</v>
      </c>
      <c r="W390" s="22" t="str">
        <f>IFERROR(__xludf.DUMMYFUNCTION("""COMPUTED_VALUE"""),"1 năm 5 tháng")</f>
        <v>1 năm 5 tháng</v>
      </c>
      <c r="X390" s="22"/>
      <c r="Y390" s="22"/>
      <c r="Z390" s="22"/>
    </row>
    <row r="391">
      <c r="A391" s="22">
        <f>IFERROR(__xludf.DUMMYFUNCTION("""COMPUTED_VALUE"""),19.0)</f>
        <v>19</v>
      </c>
      <c r="B391" s="22" t="str">
        <f>IFERROR(__xludf.DUMMYFUNCTION("""COMPUTED_VALUE"""),"Văn phòng")</f>
        <v>Văn phòng</v>
      </c>
      <c r="C391" s="22" t="str">
        <f>IFERROR(__xludf.DUMMYFUNCTION("""COMPUTED_VALUE"""),"Thanh tra sản xuất - KCS")</f>
        <v>Thanh tra sản xuất - KCS</v>
      </c>
      <c r="D391" s="22" t="str">
        <f>IFERROR(__xludf.DUMMYFUNCTION("""COMPUTED_VALUE"""),"Tổ thanh tra sản xuất")</f>
        <v>Tổ thanh tra sản xuất</v>
      </c>
      <c r="E391" s="22" t="str">
        <f>IFERROR(__xludf.DUMMYFUNCTION("""COMPUTED_VALUE"""),"Tổ phó")</f>
        <v>Tổ phó</v>
      </c>
      <c r="F391" s="22" t="str">
        <f>IFERROR(__xludf.DUMMYFUNCTION("""COMPUTED_VALUE"""),"NV1505")</f>
        <v>NV1505</v>
      </c>
      <c r="G391" s="22">
        <f>IFERROR(__xludf.DUMMYFUNCTION("""COMPUTED_VALUE"""),847.0)</f>
        <v>847</v>
      </c>
      <c r="H391" s="22" t="str">
        <f>IFERROR(__xludf.DUMMYFUNCTION("""COMPUTED_VALUE"""),"Nguyễn Xuân Anh")</f>
        <v>Nguyễn Xuân Anh</v>
      </c>
      <c r="I391" s="22" t="str">
        <f>IFERROR(__xludf.DUMMYFUNCTION("""COMPUTED_VALUE"""),"Nam")</f>
        <v>Nam</v>
      </c>
      <c r="J391" s="24">
        <f>IFERROR(__xludf.DUMMYFUNCTION("""COMPUTED_VALUE"""),32070.0)</f>
        <v>32070</v>
      </c>
      <c r="K391" s="22" t="str">
        <f>IFERROR(__xludf.DUMMYFUNCTION("""COMPUTED_VALUE"""),"32/06 Lê Văn Hưu - Phường Hạc Thành - Tỉnh Thanh Hóa")</f>
        <v>32/06 Lê Văn Hưu - Phường Hạc Thành - Tỉnh Thanh Hóa</v>
      </c>
      <c r="L391" s="22" t="str">
        <f>IFERROR(__xludf.DUMMYFUNCTION("""COMPUTED_VALUE"""),"0844986333")</f>
        <v>0844986333</v>
      </c>
      <c r="M391" s="22" t="str">
        <f>IFERROR(__xludf.DUMMYFUNCTION("""COMPUTED_VALUE"""),"038087050983")</f>
        <v>038087050983</v>
      </c>
      <c r="N391" s="25">
        <f>IFERROR(__xludf.DUMMYFUNCTION("""COMPUTED_VALUE"""),44626.0)</f>
        <v>44626</v>
      </c>
      <c r="O391" s="22" t="str">
        <f>IFERROR(__xludf.DUMMYFUNCTION("""COMPUTED_VALUE"""),"Cục Cảnh sát QLHC về TTXH")</f>
        <v>Cục Cảnh sát QLHC về TTXH</v>
      </c>
      <c r="P391" s="22" t="str">
        <f>IFERROR(__xludf.DUMMYFUNCTION("""COMPUTED_VALUE"""),"Trung học chuyên nghiệp")</f>
        <v>Trung học chuyên nghiệp</v>
      </c>
      <c r="Q391" s="22" t="str">
        <f>IFERROR(__xludf.DUMMYFUNCTION("""COMPUTED_VALUE"""),"Kế toán")</f>
        <v>Kế toán</v>
      </c>
      <c r="R391" s="24">
        <f>IFERROR(__xludf.DUMMYFUNCTION("""COMPUTED_VALUE"""),45702.0)</f>
        <v>45702</v>
      </c>
      <c r="S391" s="26">
        <f>IFERROR(__xludf.DUMMYFUNCTION("""COMPUTED_VALUE"""),45702.0)</f>
        <v>45702</v>
      </c>
      <c r="T391" s="22" t="str">
        <f>IFERROR(__xludf.DUMMYFUNCTION("""COMPUTED_VALUE"""),"Chính thức")</f>
        <v>Chính thức</v>
      </c>
      <c r="U391" s="22"/>
      <c r="V391" s="22" t="str">
        <f>IFERROR(__xludf.DUMMYFUNCTION("""COMPUTED_VALUE"""),"Chính thức")</f>
        <v>Chính thức</v>
      </c>
      <c r="W391" s="22" t="str">
        <f>IFERROR(__xludf.DUMMYFUNCTION("""COMPUTED_VALUE"""),"0 năm 10 tháng")</f>
        <v>0 năm 10 tháng</v>
      </c>
      <c r="X391" s="22"/>
      <c r="Y391" s="22"/>
      <c r="Z391" s="22"/>
    </row>
    <row r="392">
      <c r="A392" s="22">
        <f>IFERROR(__xludf.DUMMYFUNCTION("""COMPUTED_VALUE"""),20.0)</f>
        <v>20</v>
      </c>
      <c r="B392" s="22" t="str">
        <f>IFERROR(__xludf.DUMMYFUNCTION("""COMPUTED_VALUE"""),"Văn phòng")</f>
        <v>Văn phòng</v>
      </c>
      <c r="C392" s="22" t="str">
        <f>IFERROR(__xludf.DUMMYFUNCTION("""COMPUTED_VALUE"""),"Thanh tra sản xuất - KCS")</f>
        <v>Thanh tra sản xuất - KCS</v>
      </c>
      <c r="D392" s="22" t="str">
        <f>IFERROR(__xludf.DUMMYFUNCTION("""COMPUTED_VALUE"""),"Tổ thanh tra sản xuất")</f>
        <v>Tổ thanh tra sản xuất</v>
      </c>
      <c r="E392" s="22" t="str">
        <f>IFERROR(__xludf.DUMMYFUNCTION("""COMPUTED_VALUE"""),"Nhân viên KCS")</f>
        <v>Nhân viên KCS</v>
      </c>
      <c r="F392" s="22" t="str">
        <f>IFERROR(__xludf.DUMMYFUNCTION("""COMPUTED_VALUE"""),"NV5515")</f>
        <v>NV5515</v>
      </c>
      <c r="G392" s="22">
        <f>IFERROR(__xludf.DUMMYFUNCTION("""COMPUTED_VALUE"""),998.0)</f>
        <v>998</v>
      </c>
      <c r="H392" s="22" t="str">
        <f>IFERROR(__xludf.DUMMYFUNCTION("""COMPUTED_VALUE"""),"Văn Doãn Hoa")</f>
        <v>Văn Doãn Hoa</v>
      </c>
      <c r="I392" s="22" t="str">
        <f>IFERROR(__xludf.DUMMYFUNCTION("""COMPUTED_VALUE"""),"Nam")</f>
        <v>Nam</v>
      </c>
      <c r="J392" s="24">
        <f>IFERROR(__xludf.DUMMYFUNCTION("""COMPUTED_VALUE"""),34048.0)</f>
        <v>34048</v>
      </c>
      <c r="K392" s="22" t="str">
        <f>IFERROR(__xludf.DUMMYFUNCTION("""COMPUTED_VALUE"""),"Xã Quảng Ninh - Tỉnh Thanh Hóa")</f>
        <v>Xã Quảng Ninh - Tỉnh Thanh Hóa</v>
      </c>
      <c r="L392" s="22" t="str">
        <f>IFERROR(__xludf.DUMMYFUNCTION("""COMPUTED_VALUE"""),"0966902993")</f>
        <v>0966902993</v>
      </c>
      <c r="M392" s="22" t="str">
        <f>IFERROR(__xludf.DUMMYFUNCTION("""COMPUTED_VALUE"""),"038093035583")</f>
        <v>038093035583</v>
      </c>
      <c r="N392" s="25">
        <f>IFERROR(__xludf.DUMMYFUNCTION("""COMPUTED_VALUE"""),45084.0)</f>
        <v>45084</v>
      </c>
      <c r="O392" s="22" t="str">
        <f>IFERROR(__xludf.DUMMYFUNCTION("""COMPUTED_VALUE"""),"Cục Cảnh sát QLHC về TTXH")</f>
        <v>Cục Cảnh sát QLHC về TTXH</v>
      </c>
      <c r="P392" s="22" t="str">
        <f>IFERROR(__xludf.DUMMYFUNCTION("""COMPUTED_VALUE"""),"Cao đẳng")</f>
        <v>Cao đẳng</v>
      </c>
      <c r="Q392" s="22" t="str">
        <f>IFERROR(__xludf.DUMMYFUNCTION("""COMPUTED_VALUE"""),"Công nghệ thông tin ")</f>
        <v>Công nghệ thông tin </v>
      </c>
      <c r="R392" s="24">
        <f>IFERROR(__xludf.DUMMYFUNCTION("""COMPUTED_VALUE"""),45812.0)</f>
        <v>45812</v>
      </c>
      <c r="S392" s="26">
        <f>IFERROR(__xludf.DUMMYFUNCTION("""COMPUTED_VALUE"""),45842.0)</f>
        <v>45842</v>
      </c>
      <c r="T392" s="22" t="str">
        <f>IFERROR(__xludf.DUMMYFUNCTION("""COMPUTED_VALUE"""),"Chính thức")</f>
        <v>Chính thức</v>
      </c>
      <c r="U392" s="22"/>
      <c r="V392" s="22" t="str">
        <f>IFERROR(__xludf.DUMMYFUNCTION("""COMPUTED_VALUE"""),"Chính thức")</f>
        <v>Chính thức</v>
      </c>
      <c r="W392" s="22" t="str">
        <f>IFERROR(__xludf.DUMMYFUNCTION("""COMPUTED_VALUE"""),"0 năm 6 tháng")</f>
        <v>0 năm 6 tháng</v>
      </c>
      <c r="X392" s="22"/>
      <c r="Y392" s="22"/>
      <c r="Z392" s="22"/>
    </row>
    <row r="393">
      <c r="A393" s="22">
        <f>IFERROR(__xludf.DUMMYFUNCTION("""COMPUTED_VALUE"""),21.0)</f>
        <v>21</v>
      </c>
      <c r="B393" s="22" t="str">
        <f>IFERROR(__xludf.DUMMYFUNCTION("""COMPUTED_VALUE"""),"Văn phòng")</f>
        <v>Văn phòng</v>
      </c>
      <c r="C393" s="22" t="str">
        <f>IFERROR(__xludf.DUMMYFUNCTION("""COMPUTED_VALUE"""),"Thanh tra sản xuất - KCS")</f>
        <v>Thanh tra sản xuất - KCS</v>
      </c>
      <c r="D393" s="22" t="str">
        <f>IFERROR(__xludf.DUMMYFUNCTION("""COMPUTED_VALUE"""),"Tổ thanh tra sản xuất")</f>
        <v>Tổ thanh tra sản xuất</v>
      </c>
      <c r="E393" s="22" t="str">
        <f>IFERROR(__xludf.DUMMYFUNCTION("""COMPUTED_VALUE"""),"Nhân viên KCS")</f>
        <v>Nhân viên KCS</v>
      </c>
      <c r="F393" s="22" t="str">
        <f>IFERROR(__xludf.DUMMYFUNCTION("""COMPUTED_VALUE"""),"NV2271")</f>
        <v>NV2271</v>
      </c>
      <c r="G393" s="22">
        <f>IFERROR(__xludf.DUMMYFUNCTION("""COMPUTED_VALUE"""),1128.0)</f>
        <v>1128</v>
      </c>
      <c r="H393" s="22" t="str">
        <f>IFERROR(__xludf.DUMMYFUNCTION("""COMPUTED_VALUE"""),"Bùi Anh Đức")</f>
        <v>Bùi Anh Đức</v>
      </c>
      <c r="I393" s="22" t="str">
        <f>IFERROR(__xludf.DUMMYFUNCTION("""COMPUTED_VALUE"""),"Nam")</f>
        <v>Nam</v>
      </c>
      <c r="J393" s="24">
        <f>IFERROR(__xludf.DUMMYFUNCTION("""COMPUTED_VALUE"""),36201.0)</f>
        <v>36201</v>
      </c>
      <c r="K393" s="22" t="str">
        <f>IFERROR(__xludf.DUMMYFUNCTION("""COMPUTED_VALUE"""),"Thôn Ngọc Trạo - Xã Ngọc Trạo - Tỉnh Thanh Hóa")</f>
        <v>Thôn Ngọc Trạo - Xã Ngọc Trạo - Tỉnh Thanh Hóa</v>
      </c>
      <c r="L393" s="22" t="str">
        <f>IFERROR(__xludf.DUMMYFUNCTION("""COMPUTED_VALUE"""),"0967353619")</f>
        <v>0967353619</v>
      </c>
      <c r="M393" s="22" t="str">
        <f>IFERROR(__xludf.DUMMYFUNCTION("""COMPUTED_VALUE"""),"038099006063")</f>
        <v>038099006063</v>
      </c>
      <c r="N393" s="25">
        <f>IFERROR(__xludf.DUMMYFUNCTION("""COMPUTED_VALUE"""),44967.0)</f>
        <v>44967</v>
      </c>
      <c r="O393" s="22" t="str">
        <f>IFERROR(__xludf.DUMMYFUNCTION("""COMPUTED_VALUE"""),"Cục Cảnh sát QLHC về TTXH")</f>
        <v>Cục Cảnh sát QLHC về TTXH</v>
      </c>
      <c r="P393" s="22" t="str">
        <f>IFERROR(__xludf.DUMMYFUNCTION("""COMPUTED_VALUE"""),"LĐPT")</f>
        <v>LĐPT</v>
      </c>
      <c r="Q393" s="22" t="str">
        <f>IFERROR(__xludf.DUMMYFUNCTION("""COMPUTED_VALUE"""),"Lao động phổ thông")</f>
        <v>Lao động phổ thông</v>
      </c>
      <c r="R393" s="24">
        <f>IFERROR(__xludf.DUMMYFUNCTION("""COMPUTED_VALUE"""),45867.0)</f>
        <v>45867</v>
      </c>
      <c r="S393" s="26">
        <f>IFERROR(__xludf.DUMMYFUNCTION("""COMPUTED_VALUE"""),45867.0)</f>
        <v>45867</v>
      </c>
      <c r="T393" s="22" t="str">
        <f>IFERROR(__xludf.DUMMYFUNCTION("""COMPUTED_VALUE"""),"Chính thức")</f>
        <v>Chính thức</v>
      </c>
      <c r="U393" s="22"/>
      <c r="V393" s="22" t="str">
        <f>IFERROR(__xludf.DUMMYFUNCTION("""COMPUTED_VALUE"""),"Chính thức")</f>
        <v>Chính thức</v>
      </c>
      <c r="W393" s="22" t="str">
        <f>IFERROR(__xludf.DUMMYFUNCTION("""COMPUTED_VALUE"""),"0 năm 5 tháng")</f>
        <v>0 năm 5 tháng</v>
      </c>
      <c r="X393" s="22"/>
      <c r="Y393" s="22"/>
      <c r="Z393" s="22"/>
    </row>
    <row r="394">
      <c r="A394" s="22">
        <f>IFERROR(__xludf.DUMMYFUNCTION("""COMPUTED_VALUE"""),22.0)</f>
        <v>22</v>
      </c>
      <c r="B394" s="22" t="str">
        <f>IFERROR(__xludf.DUMMYFUNCTION("""COMPUTED_VALUE"""),"Văn phòng")</f>
        <v>Văn phòng</v>
      </c>
      <c r="C394" s="22" t="str">
        <f>IFERROR(__xludf.DUMMYFUNCTION("""COMPUTED_VALUE"""),"Thanh tra sản xuất - KCS")</f>
        <v>Thanh tra sản xuất - KCS</v>
      </c>
      <c r="D394" s="22" t="str">
        <f>IFERROR(__xludf.DUMMYFUNCTION("""COMPUTED_VALUE"""),"Tổ thanh tra sản xuất")</f>
        <v>Tổ thanh tra sản xuất</v>
      </c>
      <c r="E394" s="22" t="str">
        <f>IFERROR(__xludf.DUMMYFUNCTION("""COMPUTED_VALUE"""),"Nhân viên KCS")</f>
        <v>Nhân viên KCS</v>
      </c>
      <c r="F394" s="22" t="str">
        <f>IFERROR(__xludf.DUMMYFUNCTION("""COMPUTED_VALUE"""),"NV1035")</f>
        <v>NV1035</v>
      </c>
      <c r="G394" s="22">
        <f>IFERROR(__xludf.DUMMYFUNCTION("""COMPUTED_VALUE"""),812.0)</f>
        <v>812</v>
      </c>
      <c r="H394" s="22" t="str">
        <f>IFERROR(__xludf.DUMMYFUNCTION("""COMPUTED_VALUE"""),"Ngô Văn Phương")</f>
        <v>Ngô Văn Phương</v>
      </c>
      <c r="I394" s="22" t="str">
        <f>IFERROR(__xludf.DUMMYFUNCTION("""COMPUTED_VALUE"""),"Nam")</f>
        <v>Nam</v>
      </c>
      <c r="J394" s="24">
        <f>IFERROR(__xludf.DUMMYFUNCTION("""COMPUTED_VALUE"""),35696.0)</f>
        <v>35696</v>
      </c>
      <c r="K394" s="22" t="str">
        <f>IFERROR(__xludf.DUMMYFUNCTION("""COMPUTED_VALUE"""),"Thôn Xuân Thắng - Xã Quảng Ngọc -Tỉnh Thanh Hóa")</f>
        <v>Thôn Xuân Thắng - Xã Quảng Ngọc -Tỉnh Thanh Hóa</v>
      </c>
      <c r="L394" s="22" t="str">
        <f>IFERROR(__xludf.DUMMYFUNCTION("""COMPUTED_VALUE"""),"0363096315")</f>
        <v>0363096315</v>
      </c>
      <c r="M394" s="22" t="str">
        <f>IFERROR(__xludf.DUMMYFUNCTION("""COMPUTED_VALUE"""),"038099011425")</f>
        <v>038099011425</v>
      </c>
      <c r="N394" s="25">
        <f>IFERROR(__xludf.DUMMYFUNCTION("""COMPUTED_VALUE"""),44419.0)</f>
        <v>44419</v>
      </c>
      <c r="O394" s="22" t="str">
        <f>IFERROR(__xludf.DUMMYFUNCTION("""COMPUTED_VALUE"""),"Cục Cảnh sát QLHC về TTXH")</f>
        <v>Cục Cảnh sát QLHC về TTXH</v>
      </c>
      <c r="P394" s="22" t="str">
        <f>IFERROR(__xludf.DUMMYFUNCTION("""COMPUTED_VALUE"""),"LĐPT")</f>
        <v>LĐPT</v>
      </c>
      <c r="Q394" s="22" t="str">
        <f>IFERROR(__xludf.DUMMYFUNCTION("""COMPUTED_VALUE"""),"Lao động phổ thông")</f>
        <v>Lao động phổ thông</v>
      </c>
      <c r="R394" s="24">
        <f>IFERROR(__xludf.DUMMYFUNCTION("""COMPUTED_VALUE"""),45547.0)</f>
        <v>45547</v>
      </c>
      <c r="S394" s="26">
        <f>IFERROR(__xludf.DUMMYFUNCTION("""COMPUTED_VALUE"""),45547.0)</f>
        <v>45547</v>
      </c>
      <c r="T394" s="22" t="str">
        <f>IFERROR(__xludf.DUMMYFUNCTION("""COMPUTED_VALUE"""),"Chính thức")</f>
        <v>Chính thức</v>
      </c>
      <c r="U394" s="22"/>
      <c r="V394" s="22" t="str">
        <f>IFERROR(__xludf.DUMMYFUNCTION("""COMPUTED_VALUE"""),"Chính thức")</f>
        <v>Chính thức</v>
      </c>
      <c r="W394" s="22" t="str">
        <f>IFERROR(__xludf.DUMMYFUNCTION("""COMPUTED_VALUE"""),"1 năm 3 tháng")</f>
        <v>1 năm 3 tháng</v>
      </c>
      <c r="X394" s="22"/>
      <c r="Y394" s="22"/>
      <c r="Z394" s="22"/>
    </row>
    <row r="395">
      <c r="A395" s="22">
        <f>IFERROR(__xludf.DUMMYFUNCTION("""COMPUTED_VALUE"""),23.0)</f>
        <v>23</v>
      </c>
      <c r="B395" s="22" t="str">
        <f>IFERROR(__xludf.DUMMYFUNCTION("""COMPUTED_VALUE"""),"Văn phòng")</f>
        <v>Văn phòng</v>
      </c>
      <c r="C395" s="22" t="str">
        <f>IFERROR(__xludf.DUMMYFUNCTION("""COMPUTED_VALUE"""),"Thanh tra sản xuất - KCS")</f>
        <v>Thanh tra sản xuất - KCS</v>
      </c>
      <c r="D395" s="22" t="str">
        <f>IFERROR(__xludf.DUMMYFUNCTION("""COMPUTED_VALUE"""),"Tổ thanh tra sản xuất")</f>
        <v>Tổ thanh tra sản xuất</v>
      </c>
      <c r="E395" s="22" t="str">
        <f>IFERROR(__xludf.DUMMYFUNCTION("""COMPUTED_VALUE"""),"Nhân viên KCS")</f>
        <v>Nhân viên KCS</v>
      </c>
      <c r="F395" s="22" t="str">
        <f>IFERROR(__xludf.DUMMYFUNCTION("""COMPUTED_VALUE"""),"NV5648")</f>
        <v>NV5648</v>
      </c>
      <c r="G395" s="22">
        <f>IFERROR(__xludf.DUMMYFUNCTION("""COMPUTED_VALUE"""),1141.0)</f>
        <v>1141</v>
      </c>
      <c r="H395" s="22" t="str">
        <f>IFERROR(__xludf.DUMMYFUNCTION("""COMPUTED_VALUE"""),"Nguyễn Như Nam")</f>
        <v>Nguyễn Như Nam</v>
      </c>
      <c r="I395" s="22" t="str">
        <f>IFERROR(__xludf.DUMMYFUNCTION("""COMPUTED_VALUE"""),"Nam")</f>
        <v>Nam</v>
      </c>
      <c r="J395" s="24">
        <f>IFERROR(__xludf.DUMMYFUNCTION("""COMPUTED_VALUE"""),38084.0)</f>
        <v>38084</v>
      </c>
      <c r="K395" s="22" t="str">
        <f>IFERROR(__xludf.DUMMYFUNCTION("""COMPUTED_VALUE"""),"TDP Tiến Thọ - Phường Quảng Phú - Tỉnh Thanh Hóa")</f>
        <v>TDP Tiến Thọ - Phường Quảng Phú - Tỉnh Thanh Hóa</v>
      </c>
      <c r="L395" s="22" t="str">
        <f>IFERROR(__xludf.DUMMYFUNCTION("""COMPUTED_VALUE"""),"0343437066")</f>
        <v>0343437066</v>
      </c>
      <c r="M395" s="22" t="str">
        <f>IFERROR(__xludf.DUMMYFUNCTION("""COMPUTED_VALUE"""),"038204016187")</f>
        <v>038204016187</v>
      </c>
      <c r="N395" s="25">
        <f>IFERROR(__xludf.DUMMYFUNCTION("""COMPUTED_VALUE"""),45560.0)</f>
        <v>45560</v>
      </c>
      <c r="O395" s="22" t="str">
        <f>IFERROR(__xludf.DUMMYFUNCTION("""COMPUTED_VALUE"""),"Bộ Công an")</f>
        <v>Bộ Công an</v>
      </c>
      <c r="P395" s="22" t="str">
        <f>IFERROR(__xludf.DUMMYFUNCTION("""COMPUTED_VALUE"""),"LĐPT")</f>
        <v>LĐPT</v>
      </c>
      <c r="Q395" s="22" t="str">
        <f>IFERROR(__xludf.DUMMYFUNCTION("""COMPUTED_VALUE"""),"Lao động phổ thông")</f>
        <v>Lao động phổ thông</v>
      </c>
      <c r="R395" s="24">
        <f>IFERROR(__xludf.DUMMYFUNCTION("""COMPUTED_VALUE"""),45875.0)</f>
        <v>45875</v>
      </c>
      <c r="S395" s="26">
        <f>IFERROR(__xludf.DUMMYFUNCTION("""COMPUTED_VALUE"""),45906.0)</f>
        <v>45906</v>
      </c>
      <c r="T395" s="22" t="str">
        <f>IFERROR(__xludf.DUMMYFUNCTION("""COMPUTED_VALUE"""),"Chính thức")</f>
        <v>Chính thức</v>
      </c>
      <c r="U395" s="22"/>
      <c r="V395" s="22" t="str">
        <f>IFERROR(__xludf.DUMMYFUNCTION("""COMPUTED_VALUE"""),"Chính thức")</f>
        <v>Chính thức</v>
      </c>
      <c r="W395" s="22" t="str">
        <f>IFERROR(__xludf.DUMMYFUNCTION("""COMPUTED_VALUE"""),"0 năm 4 tháng")</f>
        <v>0 năm 4 tháng</v>
      </c>
      <c r="X395" s="22"/>
      <c r="Y395" s="22"/>
      <c r="Z395" s="22"/>
    </row>
    <row r="396">
      <c r="A396" s="22">
        <f>IFERROR(__xludf.DUMMYFUNCTION("""COMPUTED_VALUE"""),24.0)</f>
        <v>24</v>
      </c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 t="str">
        <f>IFERROR(__xludf.DUMMYFUNCTION("""COMPUTED_VALUE"""),"XIII")</f>
        <v>XIII</v>
      </c>
      <c r="B397" s="22" t="str">
        <f>IFERROR(__xludf.DUMMYFUNCTION("""COMPUTED_VALUE"""),"Thuê ngoài")</f>
        <v>Thuê ngoài</v>
      </c>
      <c r="C397" s="22">
        <f>IFERROR(__xludf.DUMMYFUNCTION("""COMPUTED_VALUE"""),3.0)</f>
        <v>3</v>
      </c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>
        <f>IFERROR(__xludf.DUMMYFUNCTION("""COMPUTED_VALUE"""),1.0)</f>
        <v>1</v>
      </c>
      <c r="B398" s="22" t="str">
        <f>IFERROR(__xludf.DUMMYFUNCTION("""COMPUTED_VALUE"""),"Văn phòng")</f>
        <v>Văn phòng</v>
      </c>
      <c r="C398" s="22" t="str">
        <f>IFERROR(__xludf.DUMMYFUNCTION("""COMPUTED_VALUE"""),"Thuê ngoài")</f>
        <v>Thuê ngoài</v>
      </c>
      <c r="D398" s="22" t="str">
        <f>IFERROR(__xludf.DUMMYFUNCTION("""COMPUTED_VALUE"""),"Bộ phận hành chính")</f>
        <v>Bộ phận hành chính</v>
      </c>
      <c r="E398" s="22" t="str">
        <f>IFERROR(__xludf.DUMMYFUNCTION("""COMPUTED_VALUE"""),"Thuê ngoài")</f>
        <v>Thuê ngoài</v>
      </c>
      <c r="F398" s="22" t="str">
        <f>IFERROR(__xludf.DUMMYFUNCTION("""COMPUTED_VALUE"""),"NV5159")</f>
        <v>NV5159</v>
      </c>
      <c r="G398" s="22"/>
      <c r="H398" s="22" t="str">
        <f>IFERROR(__xludf.DUMMYFUNCTION("""COMPUTED_VALUE"""),"Nguyễn Thị Hương")</f>
        <v>Nguyễn Thị Hương</v>
      </c>
      <c r="I398" s="22" t="str">
        <f>IFERROR(__xludf.DUMMYFUNCTION("""COMPUTED_VALUE"""),"Nữ")</f>
        <v>Nữ</v>
      </c>
      <c r="J398" s="24">
        <f>IFERROR(__xludf.DUMMYFUNCTION("""COMPUTED_VALUE"""),28985.0)</f>
        <v>28985</v>
      </c>
      <c r="K398" s="22" t="str">
        <f>IFERROR(__xludf.DUMMYFUNCTION("""COMPUTED_VALUE"""),"40/12đường 185 - phường Phước Long - TP Hồ Chí Minh")</f>
        <v>40/12đường 185 - phường Phước Long - TP Hồ Chí Minh</v>
      </c>
      <c r="L398" s="22" t="str">
        <f>IFERROR(__xludf.DUMMYFUNCTION("""COMPUTED_VALUE"""),"0937823899")</f>
        <v>0937823899</v>
      </c>
      <c r="M398" s="22" t="str">
        <f>IFERROR(__xludf.DUMMYFUNCTION("""COMPUTED_VALUE"""),"038179033579")</f>
        <v>038179033579</v>
      </c>
      <c r="N398" s="25">
        <f>IFERROR(__xludf.DUMMYFUNCTION("""COMPUTED_VALUE"""),44577.0)</f>
        <v>44577</v>
      </c>
      <c r="O398" s="22" t="str">
        <f>IFERROR(__xludf.DUMMYFUNCTION("""COMPUTED_VALUE"""),"Cục Cảnh sát QLHC về TTXH")</f>
        <v>Cục Cảnh sát QLHC về TTXH</v>
      </c>
      <c r="P398" s="22" t="str">
        <f>IFERROR(__xludf.DUMMYFUNCTION("""COMPUTED_VALUE"""),"LĐPT")</f>
        <v>LĐPT</v>
      </c>
      <c r="Q398" s="22" t="str">
        <f>IFERROR(__xludf.DUMMYFUNCTION("""COMPUTED_VALUE"""),"Lao động phổ thông")</f>
        <v>Lao động phổ thông</v>
      </c>
      <c r="R398" s="24">
        <f>IFERROR(__xludf.DUMMYFUNCTION("""COMPUTED_VALUE"""),45385.0)</f>
        <v>45385</v>
      </c>
      <c r="S398" s="22"/>
      <c r="T398" s="22" t="str">
        <f>IFERROR(__xludf.DUMMYFUNCTION("""COMPUTED_VALUE"""),"Chính thức")</f>
        <v>Chính thức</v>
      </c>
      <c r="U398" s="22"/>
      <c r="V398" s="22" t="str">
        <f>IFERROR(__xludf.DUMMYFUNCTION("""COMPUTED_VALUE"""),"Chính thức")</f>
        <v>Chính thức</v>
      </c>
      <c r="W398" s="22" t="str">
        <f>IFERROR(__xludf.DUMMYFUNCTION("""COMPUTED_VALUE"""),"1 năm 8 tháng")</f>
        <v>1 năm 8 tháng</v>
      </c>
      <c r="X398" s="22"/>
      <c r="Y398" s="22"/>
      <c r="Z398" s="22"/>
    </row>
    <row r="399">
      <c r="A399" s="22">
        <f>IFERROR(__xludf.DUMMYFUNCTION("""COMPUTED_VALUE"""),2.0)</f>
        <v>2</v>
      </c>
      <c r="B399" s="22" t="str">
        <f>IFERROR(__xludf.DUMMYFUNCTION("""COMPUTED_VALUE"""),"Văn phòng")</f>
        <v>Văn phòng</v>
      </c>
      <c r="C399" s="22" t="str">
        <f>IFERROR(__xludf.DUMMYFUNCTION("""COMPUTED_VALUE"""),"Thuê ngoài")</f>
        <v>Thuê ngoài</v>
      </c>
      <c r="D399" s="22" t="str">
        <f>IFERROR(__xludf.DUMMYFUNCTION("""COMPUTED_VALUE"""),"Tổ tạp vụ")</f>
        <v>Tổ tạp vụ</v>
      </c>
      <c r="E399" s="22" t="str">
        <f>IFERROR(__xludf.DUMMYFUNCTION("""COMPUTED_VALUE"""),"Nhân viên tạp vụ")</f>
        <v>Nhân viên tạp vụ</v>
      </c>
      <c r="F399" s="22" t="str">
        <f>IFERROR(__xludf.DUMMYFUNCTION("""COMPUTED_VALUE"""),"NV0400")</f>
        <v>NV0400</v>
      </c>
      <c r="G399" s="22"/>
      <c r="H399" s="22" t="str">
        <f>IFERROR(__xludf.DUMMYFUNCTION("""COMPUTED_VALUE"""),"Lê Văn Tuấn")</f>
        <v>Lê Văn Tuấn</v>
      </c>
      <c r="I399" s="22" t="str">
        <f>IFERROR(__xludf.DUMMYFUNCTION("""COMPUTED_VALUE"""),"Nam")</f>
        <v>Nam</v>
      </c>
      <c r="J399" s="24">
        <f>IFERROR(__xludf.DUMMYFUNCTION("""COMPUTED_VALUE"""),30571.0)</f>
        <v>30571</v>
      </c>
      <c r="K399" s="22" t="str">
        <f>IFERROR(__xludf.DUMMYFUNCTION("""COMPUTED_VALUE"""),"Xã Hoằng Trạch - Hoằng Hóa - Thanh Hóa")</f>
        <v>Xã Hoằng Trạch - Hoằng Hóa - Thanh Hóa</v>
      </c>
      <c r="L399" s="27" t="str">
        <f>IFERROR(__xludf.DUMMYFUNCTION("""COMPUTED_VALUE"""),"0343671734")</f>
        <v>0343671734</v>
      </c>
      <c r="M399" s="22" t="str">
        <f>IFERROR(__xludf.DUMMYFUNCTION("""COMPUTED_VALUE"""),"038083018605")</f>
        <v>038083018605</v>
      </c>
      <c r="N399" s="25">
        <f>IFERROR(__xludf.DUMMYFUNCTION("""COMPUTED_VALUE"""),44568.0)</f>
        <v>44568</v>
      </c>
      <c r="O399" s="22" t="str">
        <f>IFERROR(__xludf.DUMMYFUNCTION("""COMPUTED_VALUE"""),"Cục Cảnh sát QLHC về TTXH")</f>
        <v>Cục Cảnh sát QLHC về TTXH</v>
      </c>
      <c r="P399" s="22" t="str">
        <f>IFERROR(__xludf.DUMMYFUNCTION("""COMPUTED_VALUE"""),"LĐPT")</f>
        <v>LĐPT</v>
      </c>
      <c r="Q399" s="22" t="str">
        <f>IFERROR(__xludf.DUMMYFUNCTION("""COMPUTED_VALUE"""),"Lao động phổ thông")</f>
        <v>Lao động phổ thông</v>
      </c>
      <c r="R399" s="24">
        <f>IFERROR(__xludf.DUMMYFUNCTION("""COMPUTED_VALUE"""),37681.0)</f>
        <v>37681</v>
      </c>
      <c r="S399" s="26">
        <f>IFERROR(__xludf.DUMMYFUNCTION("""COMPUTED_VALUE"""),37681.0)</f>
        <v>37681</v>
      </c>
      <c r="T399" s="22" t="str">
        <f>IFERROR(__xludf.DUMMYFUNCTION("""COMPUTED_VALUE"""),"Chính thức")</f>
        <v>Chính thức</v>
      </c>
      <c r="U399" s="22"/>
      <c r="V399" s="22" t="str">
        <f>IFERROR(__xludf.DUMMYFUNCTION("""COMPUTED_VALUE"""),"Chính thức")</f>
        <v>Chính thức</v>
      </c>
      <c r="W399" s="22" t="str">
        <f>IFERROR(__xludf.DUMMYFUNCTION("""COMPUTED_VALUE"""),"22 năm 9 tháng")</f>
        <v>22 năm 9 tháng</v>
      </c>
      <c r="X399" s="22"/>
      <c r="Y399" s="22"/>
      <c r="Z399" s="22"/>
    </row>
    <row r="400">
      <c r="A400" s="22">
        <f>IFERROR(__xludf.DUMMYFUNCTION("""COMPUTED_VALUE"""),3.0)</f>
        <v>3</v>
      </c>
      <c r="B400" s="22" t="str">
        <f>IFERROR(__xludf.DUMMYFUNCTION("""COMPUTED_VALUE"""),"Văn phòng")</f>
        <v>Văn phòng</v>
      </c>
      <c r="C400" s="22" t="str">
        <f>IFERROR(__xludf.DUMMYFUNCTION("""COMPUTED_VALUE"""),"Thuê ngoài")</f>
        <v>Thuê ngoài</v>
      </c>
      <c r="D400" s="22" t="str">
        <f>IFERROR(__xludf.DUMMYFUNCTION("""COMPUTED_VALUE"""),"Bộ phận hành chính")</f>
        <v>Bộ phận hành chính</v>
      </c>
      <c r="E400" s="22" t="str">
        <f>IFERROR(__xludf.DUMMYFUNCTION("""COMPUTED_VALUE"""),"Thuê ngoài")</f>
        <v>Thuê ngoài</v>
      </c>
      <c r="F400" s="22" t="str">
        <f>IFERROR(__xludf.DUMMYFUNCTION("""COMPUTED_VALUE"""),"NV3047")</f>
        <v>NV3047</v>
      </c>
      <c r="G400" s="22"/>
      <c r="H400" s="22" t="str">
        <f>IFERROR(__xludf.DUMMYFUNCTION("""COMPUTED_VALUE"""),"Lê Xuân Nghiệm")</f>
        <v>Lê Xuân Nghiệm</v>
      </c>
      <c r="I400" s="22" t="str">
        <f>IFERROR(__xludf.DUMMYFUNCTION("""COMPUTED_VALUE"""),"Nam")</f>
        <v>Nam</v>
      </c>
      <c r="J400" s="24">
        <f>IFERROR(__xludf.DUMMYFUNCTION("""COMPUTED_VALUE"""),27526.0)</f>
        <v>27526</v>
      </c>
      <c r="K400" s="22" t="str">
        <f>IFERROR(__xludf.DUMMYFUNCTION("""COMPUTED_VALUE"""),"03/91 Lê Hưng -  Phường Đông Quang – Tỉnh Thanh Hóa")</f>
        <v>03/91 Lê Hưng -  Phường Đông Quang – Tỉnh Thanh Hóa</v>
      </c>
      <c r="L400" s="22" t="str">
        <f>IFERROR(__xludf.DUMMYFUNCTION("""COMPUTED_VALUE"""),"0986217280")</f>
        <v>0986217280</v>
      </c>
      <c r="M400" s="22" t="str">
        <f>IFERROR(__xludf.DUMMYFUNCTION("""COMPUTED_VALUE"""),"038075010690")</f>
        <v>038075010690</v>
      </c>
      <c r="N400" s="25">
        <f>IFERROR(__xludf.DUMMYFUNCTION("""COMPUTED_VALUE"""),44419.0)</f>
        <v>44419</v>
      </c>
      <c r="O400" s="22" t="str">
        <f>IFERROR(__xludf.DUMMYFUNCTION("""COMPUTED_VALUE"""),"Cục Cảnh sát QLHC về TTXH")</f>
        <v>Cục Cảnh sát QLHC về TTXH</v>
      </c>
      <c r="P400" s="22" t="str">
        <f>IFERROR(__xludf.DUMMYFUNCTION("""COMPUTED_VALUE"""),"Kỹ sư")</f>
        <v>Kỹ sư</v>
      </c>
      <c r="Q400" s="22" t="str">
        <f>IFERROR(__xludf.DUMMYFUNCTION("""COMPUTED_VALUE"""),"Kỹ thuật địa chất")</f>
        <v>Kỹ thuật địa chất</v>
      </c>
      <c r="R400" s="22"/>
      <c r="S400" s="22"/>
      <c r="T400" s="22" t="str">
        <f>IFERROR(__xludf.DUMMYFUNCTION("""COMPUTED_VALUE"""),"Chính thức")</f>
        <v>Chính thức</v>
      </c>
      <c r="U400" s="22"/>
      <c r="V400" s="22" t="str">
        <f>IFERROR(__xludf.DUMMYFUNCTION("""COMPUTED_VALUE"""),"Chính thức")</f>
        <v>Chính thức</v>
      </c>
      <c r="W400" s="22"/>
      <c r="X400" s="22"/>
      <c r="Y400" s="22"/>
      <c r="Z400" s="22"/>
    </row>
    <row r="401">
      <c r="A401" s="22">
        <f>IFERROR(__xludf.DUMMYFUNCTION("""COMPUTED_VALUE"""),4.0)</f>
        <v>4</v>
      </c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>
        <f>IFERROR(__xludf.DUMMYFUNCTION("""COMPUTED_VALUE"""),5.0)</f>
        <v>5</v>
      </c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>
        <f>IFERROR(__xludf.DUMMYFUNCTION("""COMPUTED_VALUE"""),6.0)</f>
        <v>6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75"/>
  </cols>
  <sheetData>
    <row r="1">
      <c r="A1" s="22" t="str">
        <f>IFERROR(__xludf.DUMMYFUNCTION("IMPORTRANGE(""1Q4J3yImoeD54mJgOg9s0FdJIlNZxK7u9ItfnYPh30J4"",""2.Danh sách nhân sự!A:Z"")"),"")</f>
        <v/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 t="str">
        <f>IFERROR(__xludf.DUMMYFUNCTION("""COMPUTED_VALUE"""),"Đơn vị")</f>
        <v>Đơn vị</v>
      </c>
      <c r="C2" s="22"/>
      <c r="D2" s="22" t="str">
        <f>IFERROR(__xludf.DUMMYFUNCTION("""COMPUTED_VALUE"""),"Bộ phận  (Hành chính/ đi ca)")</f>
        <v>Bộ phận  (Hành chính/ đi ca)</v>
      </c>
      <c r="E2" s="22" t="str">
        <f>IFERROR(__xludf.DUMMYFUNCTION("""COMPUTED_VALUE"""),"Chức vụ")</f>
        <v>Chức vụ</v>
      </c>
      <c r="F2" s="22" t="str">
        <f>IFERROR(__xludf.DUMMYFUNCTION("""COMPUTED_VALUE"""),"Mã nhân viên")</f>
        <v>Mã nhân viên</v>
      </c>
      <c r="G2" s="22" t="str">
        <f>IFERROR(__xludf.DUMMYFUNCTION("""COMPUTED_VALUE"""),"Mã chấm công")</f>
        <v>Mã chấm công</v>
      </c>
      <c r="H2" s="22" t="str">
        <f>IFERROR(__xludf.DUMMYFUNCTION("""COMPUTED_VALUE"""),"Họ tên ")</f>
        <v>Họ tên </v>
      </c>
      <c r="I2" s="22" t="str">
        <f>IFERROR(__xludf.DUMMYFUNCTION("""COMPUTED_VALUE"""),"Giới tính")</f>
        <v>Giới tính</v>
      </c>
      <c r="J2" s="24" t="str">
        <f>IFERROR(__xludf.DUMMYFUNCTION("""COMPUTED_VALUE"""),"Ngày/ tháng/năm sinh")</f>
        <v>Ngày/ tháng/năm sinh</v>
      </c>
      <c r="K2" s="22" t="str">
        <f>IFERROR(__xludf.DUMMYFUNCTION("""COMPUTED_VALUE"""),"Địa chỉ")</f>
        <v>Địa chỉ</v>
      </c>
      <c r="L2" s="22" t="str">
        <f>IFERROR(__xludf.DUMMYFUNCTION("""COMPUTED_VALUE"""),"Căn cước công dân")</f>
        <v>Căn cước công dân</v>
      </c>
      <c r="M2" s="23" t="str">
        <f>IFERROR(__xludf.DUMMYFUNCTION("""COMPUTED_VALUE"""),"Số điện thoại")</f>
        <v>Số điện thoại</v>
      </c>
      <c r="N2" s="22" t="str">
        <f>IFERROR(__xludf.DUMMYFUNCTION("""COMPUTED_VALUE"""),"Ngày cấp")</f>
        <v>Ngày cấp</v>
      </c>
      <c r="O2" s="22" t="str">
        <f>IFERROR(__xludf.DUMMYFUNCTION("""COMPUTED_VALUE"""),"Nơi cấp")</f>
        <v>Nơi cấp</v>
      </c>
      <c r="P2" s="22" t="str">
        <f>IFERROR(__xludf.DUMMYFUNCTION("""COMPUTED_VALUE"""),"Trình độ")</f>
        <v>Trình độ</v>
      </c>
      <c r="Q2" s="22" t="str">
        <f>IFERROR(__xludf.DUMMYFUNCTION("""COMPUTED_VALUE"""),"Chuyên môn")</f>
        <v>Chuyên môn</v>
      </c>
      <c r="R2" s="24" t="str">
        <f>IFERROR(__xludf.DUMMYFUNCTION("""COMPUTED_VALUE"""),"Ngày thử việc")</f>
        <v>Ngày thử việc</v>
      </c>
      <c r="S2" s="24" t="str">
        <f>IFERROR(__xludf.DUMMYFUNCTION("""COMPUTED_VALUE"""),"Ngày chính thức")</f>
        <v>Ngày chính thức</v>
      </c>
      <c r="T2" s="22" t="str">
        <f>IFERROR(__xludf.DUMMYFUNCTION("""COMPUTED_VALUE"""),"Loại hợp đồng")</f>
        <v>Loại hợp đồng</v>
      </c>
      <c r="U2" s="22" t="str">
        <f>IFERROR(__xludf.DUMMYFUNCTION("""COMPUTED_VALUE"""),"Kênh tuyển dụng")</f>
        <v>Kênh tuyển dụng</v>
      </c>
      <c r="V2" s="22" t="str">
        <f>IFERROR(__xludf.DUMMYFUNCTION("""COMPUTED_VALUE"""),"Trạng thái làm việc (Làm việc và nghỉ việc)")</f>
        <v>Trạng thái làm việc (Làm việc và nghỉ việc)</v>
      </c>
      <c r="W2" s="22" t="str">
        <f>IFERROR(__xludf.DUMMYFUNCTION("""COMPUTED_VALUE"""),"Thâm niên")</f>
        <v>Thâm niên</v>
      </c>
      <c r="X2" s="22"/>
      <c r="Y2" s="22"/>
      <c r="Z2" s="22"/>
    </row>
    <row r="3">
      <c r="A3" s="23" t="str">
        <f>IFERROR(__xludf.DUMMYFUNCTION("""COMPUTED_VALUE"""),"1.")</f>
        <v>1.</v>
      </c>
      <c r="B3" s="22" t="str">
        <f>IFERROR(__xludf.DUMMYFUNCTION("""COMPUTED_VALUE"""),"Ban giám đốc PXSX1")</f>
        <v>Ban giám đốc PXSX1</v>
      </c>
      <c r="C3" s="22">
        <f>IFERROR(__xludf.DUMMYFUNCTION("""COMPUTED_VALUE"""),4.0)</f>
        <v>4</v>
      </c>
      <c r="D3" s="22"/>
      <c r="E3" s="22"/>
      <c r="F3" s="22">
        <f>IFERROR(__xludf.DUMMYFUNCTION("""COMPUTED_VALUE"""),243.0)</f>
        <v>243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tr">
        <f>IFERROR(__xludf.DUMMYFUNCTION("""COMPUTED_VALUE"""),"1")</f>
        <v>1</v>
      </c>
      <c r="B4" s="22" t="str">
        <f>IFERROR(__xludf.DUMMYFUNCTION("""COMPUTED_VALUE"""),"PXSX1")</f>
        <v>PXSX1</v>
      </c>
      <c r="C4" s="22" t="str">
        <f>IFERROR(__xludf.DUMMYFUNCTION("""COMPUTED_VALUE"""),"Ban giám đốc PXSX1")</f>
        <v>Ban giám đốc PXSX1</v>
      </c>
      <c r="D4" s="22" t="str">
        <f>IFERROR(__xludf.DUMMYFUNCTION("""COMPUTED_VALUE"""),"Bộ phận hành chính")</f>
        <v>Bộ phận hành chính</v>
      </c>
      <c r="E4" s="22" t="str">
        <f>IFERROR(__xludf.DUMMYFUNCTION("""COMPUTED_VALUE"""),"Phó giám đốc PXSX")</f>
        <v>Phó giám đốc PXSX</v>
      </c>
      <c r="F4" s="22" t="str">
        <f>IFERROR(__xludf.DUMMYFUNCTION("""COMPUTED_VALUE"""),"NV0450")</f>
        <v>NV0450</v>
      </c>
      <c r="G4" s="22">
        <f>IFERROR(__xludf.DUMMYFUNCTION("""COMPUTED_VALUE"""),126.0)</f>
        <v>126</v>
      </c>
      <c r="H4" s="22" t="str">
        <f>IFERROR(__xludf.DUMMYFUNCTION("""COMPUTED_VALUE"""),"Hoàng Minh Hà")</f>
        <v>Hoàng Minh Hà</v>
      </c>
      <c r="I4" s="22" t="str">
        <f>IFERROR(__xludf.DUMMYFUNCTION("""COMPUTED_VALUE"""),"Nam")</f>
        <v>Nam</v>
      </c>
      <c r="J4" s="24">
        <f>IFERROR(__xludf.DUMMYFUNCTION("""COMPUTED_VALUE"""),29959.0)</f>
        <v>29959</v>
      </c>
      <c r="K4" s="22" t="str">
        <f>IFERROR(__xludf.DUMMYFUNCTION("""COMPUTED_VALUE"""),"SN17 Nguyễn Viết Xuân - Phường Bỉm Sơn - Tỉnh Thanh Hóa")</f>
        <v>SN17 Nguyễn Viết Xuân - Phường Bỉm Sơn - Tỉnh Thanh Hóa</v>
      </c>
      <c r="L4" s="22" t="str">
        <f>IFERROR(__xludf.DUMMYFUNCTION("""COMPUTED_VALUE"""),"0904942368")</f>
        <v>0904942368</v>
      </c>
      <c r="M4" s="22" t="str">
        <f>IFERROR(__xludf.DUMMYFUNCTION("""COMPUTED_VALUE"""),"038082001090")</f>
        <v>038082001090</v>
      </c>
      <c r="N4" s="24">
        <f>IFERROR(__xludf.DUMMYFUNCTION("""COMPUTED_VALUE"""),44375.0)</f>
        <v>44375</v>
      </c>
      <c r="O4" s="22" t="str">
        <f>IFERROR(__xludf.DUMMYFUNCTION("""COMPUTED_VALUE"""),"Cục Cảnh sát QLHC về TTXH")</f>
        <v>Cục Cảnh sát QLHC về TTXH</v>
      </c>
      <c r="P4" s="22" t="str">
        <f>IFERROR(__xludf.DUMMYFUNCTION("""COMPUTED_VALUE"""),"Kỹ sư")</f>
        <v>Kỹ sư</v>
      </c>
      <c r="Q4" s="22" t="str">
        <f>IFERROR(__xludf.DUMMYFUNCTION("""COMPUTED_VALUE"""),"Kỹ sư điều khiển tự động")</f>
        <v>Kỹ sư điều khiển tự động</v>
      </c>
      <c r="R4" s="24">
        <f>IFERROR(__xludf.DUMMYFUNCTION("""COMPUTED_VALUE"""),38534.0)</f>
        <v>38534</v>
      </c>
      <c r="S4" s="24">
        <f>IFERROR(__xludf.DUMMYFUNCTION("""COMPUTED_VALUE"""),38534.0)</f>
        <v>38534</v>
      </c>
      <c r="T4" s="22" t="str">
        <f>IFERROR(__xludf.DUMMYFUNCTION("""COMPUTED_VALUE"""),"Chính thức")</f>
        <v>Chính thức</v>
      </c>
      <c r="U4" s="22"/>
      <c r="V4" s="22"/>
      <c r="W4" s="22" t="str">
        <f>IFERROR(__xludf.DUMMYFUNCTION("""COMPUTED_VALUE"""),"20 năm 5 tháng")</f>
        <v>20 năm 5 tháng</v>
      </c>
      <c r="X4" s="22"/>
      <c r="Y4" s="22"/>
      <c r="Z4" s="22"/>
    </row>
    <row r="5">
      <c r="A5" s="23" t="str">
        <f>IFERROR(__xludf.DUMMYFUNCTION("""COMPUTED_VALUE"""),"2")</f>
        <v>2</v>
      </c>
      <c r="B5" s="22" t="str">
        <f>IFERROR(__xludf.DUMMYFUNCTION("""COMPUTED_VALUE"""),"PXSX1")</f>
        <v>PXSX1</v>
      </c>
      <c r="C5" s="22" t="str">
        <f>IFERROR(__xludf.DUMMYFUNCTION("""COMPUTED_VALUE"""),"Ban giám đốc PXSX1")</f>
        <v>Ban giám đốc PXSX1</v>
      </c>
      <c r="D5" s="22" t="str">
        <f>IFERROR(__xludf.DUMMYFUNCTION("""COMPUTED_VALUE"""),"Bộ phận hành chính")</f>
        <v>Bộ phận hành chính</v>
      </c>
      <c r="E5" s="22" t="str">
        <f>IFERROR(__xludf.DUMMYFUNCTION("""COMPUTED_VALUE"""),"Giám đốc PXSX")</f>
        <v>Giám đốc PXSX</v>
      </c>
      <c r="F5" s="22" t="str">
        <f>IFERROR(__xludf.DUMMYFUNCTION("""COMPUTED_VALUE"""),"NV0404")</f>
        <v>NV0404</v>
      </c>
      <c r="G5" s="22">
        <f>IFERROR(__xludf.DUMMYFUNCTION("""COMPUTED_VALUE"""),1185.0)</f>
        <v>1185</v>
      </c>
      <c r="H5" s="22" t="str">
        <f>IFERROR(__xludf.DUMMYFUNCTION("""COMPUTED_VALUE"""),"Nguyễn Xuân Tuấn")</f>
        <v>Nguyễn Xuân Tuấn</v>
      </c>
      <c r="I5" s="22" t="str">
        <f>IFERROR(__xludf.DUMMYFUNCTION("""COMPUTED_VALUE"""),"Nam")</f>
        <v>Nam</v>
      </c>
      <c r="J5" s="24">
        <f>IFERROR(__xludf.DUMMYFUNCTION("""COMPUTED_VALUE"""),30394.0)</f>
        <v>30394</v>
      </c>
      <c r="K5" s="22" t="str">
        <f>IFERROR(__xludf.DUMMYFUNCTION("""COMPUTED_VALUE"""),"Mặt bằng 530 - Phường Hạc Thành - Tỉnh Thanh Hóa")</f>
        <v>Mặt bằng 530 - Phường Hạc Thành - Tỉnh Thanh Hóa</v>
      </c>
      <c r="L5" s="22" t="str">
        <f>IFERROR(__xludf.DUMMYFUNCTION("""COMPUTED_VALUE"""),"0931378666")</f>
        <v>0931378666</v>
      </c>
      <c r="M5" s="22" t="str">
        <f>IFERROR(__xludf.DUMMYFUNCTION("""COMPUTED_VALUE"""),"038083003853")</f>
        <v>038083003853</v>
      </c>
      <c r="N5" s="24">
        <f>IFERROR(__xludf.DUMMYFUNCTION("""COMPUTED_VALUE"""),44375.0)</f>
        <v>44375</v>
      </c>
      <c r="O5" s="22" t="str">
        <f>IFERROR(__xludf.DUMMYFUNCTION("""COMPUTED_VALUE"""),"Cục Cảnh sát QLHC về TTXH")</f>
        <v>Cục Cảnh sát QLHC về TTXH</v>
      </c>
      <c r="P5" s="22" t="str">
        <f>IFERROR(__xludf.DUMMYFUNCTION("""COMPUTED_VALUE"""),"Đại học")</f>
        <v>Đại học</v>
      </c>
      <c r="Q5" s="22" t="str">
        <f>IFERROR(__xludf.DUMMYFUNCTION("""COMPUTED_VALUE"""),"khoa học xã hội")</f>
        <v>khoa học xã hội</v>
      </c>
      <c r="R5" s="24">
        <f>IFERROR(__xludf.DUMMYFUNCTION("""COMPUTED_VALUE"""),39279.0)</f>
        <v>39279</v>
      </c>
      <c r="S5" s="24">
        <f>IFERROR(__xludf.DUMMYFUNCTION("""COMPUTED_VALUE"""),39279.0)</f>
        <v>39279</v>
      </c>
      <c r="T5" s="22" t="str">
        <f>IFERROR(__xludf.DUMMYFUNCTION("""COMPUTED_VALUE"""),"Chính thức")</f>
        <v>Chính thức</v>
      </c>
      <c r="U5" s="22"/>
      <c r="V5" s="22" t="str">
        <f>IFERROR(__xludf.DUMMYFUNCTION("""COMPUTED_VALUE"""),"Chính thức")</f>
        <v>Chính thức</v>
      </c>
      <c r="W5" s="22" t="str">
        <f>IFERROR(__xludf.DUMMYFUNCTION("""COMPUTED_VALUE"""),"18 năm 5 tháng")</f>
        <v>18 năm 5 tháng</v>
      </c>
      <c r="X5" s="22"/>
      <c r="Y5" s="22"/>
      <c r="Z5" s="22"/>
    </row>
    <row r="6">
      <c r="A6" s="23" t="str">
        <f>IFERROR(__xludf.DUMMYFUNCTION("""COMPUTED_VALUE"""),"3")</f>
        <v>3</v>
      </c>
      <c r="B6" s="22" t="str">
        <f>IFERROR(__xludf.DUMMYFUNCTION("""COMPUTED_VALUE"""),"PXSX1")</f>
        <v>PXSX1</v>
      </c>
      <c r="C6" s="22" t="str">
        <f>IFERROR(__xludf.DUMMYFUNCTION("""COMPUTED_VALUE"""),"Ban giám đốc PXSX1")</f>
        <v>Ban giám đốc PXSX1</v>
      </c>
      <c r="D6" s="22" t="str">
        <f>IFERROR(__xludf.DUMMYFUNCTION("""COMPUTED_VALUE"""),"Bộ phận hành chính")</f>
        <v>Bộ phận hành chính</v>
      </c>
      <c r="E6" s="22" t="str">
        <f>IFERROR(__xludf.DUMMYFUNCTION("""COMPUTED_VALUE"""),"Trưởng phòng sản xuất")</f>
        <v>Trưởng phòng sản xuất</v>
      </c>
      <c r="F6" s="22" t="str">
        <f>IFERROR(__xludf.DUMMYFUNCTION("""COMPUTED_VALUE"""),"NV0765")</f>
        <v>NV0765</v>
      </c>
      <c r="G6" s="22">
        <f>IFERROR(__xludf.DUMMYFUNCTION("""COMPUTED_VALUE"""),137.0)</f>
        <v>137</v>
      </c>
      <c r="H6" s="22" t="str">
        <f>IFERROR(__xludf.DUMMYFUNCTION("""COMPUTED_VALUE"""),"Nguyễn Văn Thanh ")</f>
        <v>Nguyễn Văn Thanh </v>
      </c>
      <c r="I6" s="22" t="str">
        <f>IFERROR(__xludf.DUMMYFUNCTION("""COMPUTED_VALUE"""),"Nam")</f>
        <v>Nam</v>
      </c>
      <c r="J6" s="24">
        <f>IFERROR(__xludf.DUMMYFUNCTION("""COMPUTED_VALUE"""),30621.0)</f>
        <v>30621</v>
      </c>
      <c r="K6" s="22" t="str">
        <f>IFERROR(__xludf.DUMMYFUNCTION("""COMPUTED_VALUE"""),"12/154 Phú Thọ 4 - Phường Hạc Thành - Tỉnh Thanh Hóa")</f>
        <v>12/154 Phú Thọ 4 - Phường Hạc Thành - Tỉnh Thanh Hóa</v>
      </c>
      <c r="L6" s="22" t="str">
        <f>IFERROR(__xludf.DUMMYFUNCTION("""COMPUTED_VALUE"""),"0975265559")</f>
        <v>0975265559</v>
      </c>
      <c r="M6" s="22" t="str">
        <f>IFERROR(__xludf.DUMMYFUNCTION("""COMPUTED_VALUE"""),"038083051819")</f>
        <v>038083051819</v>
      </c>
      <c r="N6" s="24">
        <f>IFERROR(__xludf.DUMMYFUNCTION("""COMPUTED_VALUE"""),44435.0)</f>
        <v>44435</v>
      </c>
      <c r="O6" s="22" t="str">
        <f>IFERROR(__xludf.DUMMYFUNCTION("""COMPUTED_VALUE"""),"Cục Cảnh sát QLHC về TTXH")</f>
        <v>Cục Cảnh sát QLHC về TTXH</v>
      </c>
      <c r="P6" s="22" t="str">
        <f>IFERROR(__xludf.DUMMYFUNCTION("""COMPUTED_VALUE"""),"Đại học")</f>
        <v>Đại học</v>
      </c>
      <c r="Q6" s="22" t="str">
        <f>IFERROR(__xludf.DUMMYFUNCTION("""COMPUTED_VALUE"""),"Cử nhân hóa")</f>
        <v>Cử nhân hóa</v>
      </c>
      <c r="R6" s="24">
        <f>IFERROR(__xludf.DUMMYFUNCTION("""COMPUTED_VALUE"""),38941.0)</f>
        <v>38941</v>
      </c>
      <c r="S6" s="24">
        <f>IFERROR(__xludf.DUMMYFUNCTION("""COMPUTED_VALUE"""),38941.0)</f>
        <v>38941</v>
      </c>
      <c r="T6" s="22" t="str">
        <f>IFERROR(__xludf.DUMMYFUNCTION("""COMPUTED_VALUE"""),"Chính thức")</f>
        <v>Chính thức</v>
      </c>
      <c r="U6" s="22"/>
      <c r="V6" s="22"/>
      <c r="W6" s="22" t="str">
        <f>IFERROR(__xludf.DUMMYFUNCTION("""COMPUTED_VALUE"""),"19 năm 4 tháng")</f>
        <v>19 năm 4 tháng</v>
      </c>
      <c r="X6" s="22"/>
      <c r="Y6" s="22"/>
      <c r="Z6" s="22"/>
    </row>
    <row r="7">
      <c r="A7" s="23" t="str">
        <f>IFERROR(__xludf.DUMMYFUNCTION("""COMPUTED_VALUE"""),"4")</f>
        <v>4</v>
      </c>
      <c r="B7" s="22" t="str">
        <f>IFERROR(__xludf.DUMMYFUNCTION("""COMPUTED_VALUE"""),"PXSX1")</f>
        <v>PXSX1</v>
      </c>
      <c r="C7" s="22" t="str">
        <f>IFERROR(__xludf.DUMMYFUNCTION("""COMPUTED_VALUE"""),"Ban giám đốc PXSX1")</f>
        <v>Ban giám đốc PXSX1</v>
      </c>
      <c r="D7" s="22" t="str">
        <f>IFERROR(__xludf.DUMMYFUNCTION("""COMPUTED_VALUE"""),"Bộ phận hành chính")</f>
        <v>Bộ phận hành chính</v>
      </c>
      <c r="E7" s="22" t="str">
        <f>IFERROR(__xludf.DUMMYFUNCTION("""COMPUTED_VALUE"""),"Phó phòng sản xuất")</f>
        <v>Phó phòng sản xuất</v>
      </c>
      <c r="F7" s="22" t="str">
        <f>IFERROR(__xludf.DUMMYFUNCTION("""COMPUTED_VALUE"""),"NV0058")</f>
        <v>NV0058</v>
      </c>
      <c r="G7" s="22">
        <f>IFERROR(__xludf.DUMMYFUNCTION("""COMPUTED_VALUE"""),535.0)</f>
        <v>535</v>
      </c>
      <c r="H7" s="22" t="str">
        <f>IFERROR(__xludf.DUMMYFUNCTION("""COMPUTED_VALUE"""),"Lê Tuấn Anh")</f>
        <v>Lê Tuấn Anh</v>
      </c>
      <c r="I7" s="22" t="str">
        <f>IFERROR(__xludf.DUMMYFUNCTION("""COMPUTED_VALUE"""),"Nam")</f>
        <v>Nam</v>
      </c>
      <c r="J7" s="24">
        <f>IFERROR(__xludf.DUMMYFUNCTION("""COMPUTED_VALUE"""),30736.0)</f>
        <v>30736</v>
      </c>
      <c r="K7" s="22" t="str">
        <f>IFERROR(__xludf.DUMMYFUNCTION("""COMPUTED_VALUE"""),"Phường Hạc Thành - Tỉnh Thanh Hóa")</f>
        <v>Phường Hạc Thành - Tỉnh Thanh Hóa</v>
      </c>
      <c r="L7" s="22" t="str">
        <f>IFERROR(__xludf.DUMMYFUNCTION("""COMPUTED_VALUE"""),"0942998567")</f>
        <v>0942998567</v>
      </c>
      <c r="M7" s="22" t="str">
        <f>IFERROR(__xludf.DUMMYFUNCTION("""COMPUTED_VALUE"""),"038084029805")</f>
        <v>038084029805</v>
      </c>
      <c r="N7" s="24">
        <f>IFERROR(__xludf.DUMMYFUNCTION("""COMPUTED_VALUE"""),44427.0)</f>
        <v>44427</v>
      </c>
      <c r="O7" s="22" t="str">
        <f>IFERROR(__xludf.DUMMYFUNCTION("""COMPUTED_VALUE"""),"Cục Cảnh sát QLHC về TTXH")</f>
        <v>Cục Cảnh sát QLHC về TTXH</v>
      </c>
      <c r="P7" s="22" t="str">
        <f>IFERROR(__xludf.DUMMYFUNCTION("""COMPUTED_VALUE"""),"LĐPT")</f>
        <v>LĐPT</v>
      </c>
      <c r="Q7" s="22" t="str">
        <f>IFERROR(__xludf.DUMMYFUNCTION("""COMPUTED_VALUE"""),"Lao động phổ thông")</f>
        <v>Lao động phổ thông</v>
      </c>
      <c r="R7" s="24">
        <f>IFERROR(__xludf.DUMMYFUNCTION("""COMPUTED_VALUE"""),39583.0)</f>
        <v>39583</v>
      </c>
      <c r="S7" s="24">
        <f>IFERROR(__xludf.DUMMYFUNCTION("""COMPUTED_VALUE"""),39583.0)</f>
        <v>39583</v>
      </c>
      <c r="T7" s="22" t="str">
        <f>IFERROR(__xludf.DUMMYFUNCTION("""COMPUTED_VALUE"""),"Chính thức")</f>
        <v>Chính thức</v>
      </c>
      <c r="U7" s="22"/>
      <c r="V7" s="22"/>
      <c r="W7" s="22" t="str">
        <f>IFERROR(__xludf.DUMMYFUNCTION("""COMPUTED_VALUE"""),"17 năm 7 tháng")</f>
        <v>17 năm 7 tháng</v>
      </c>
      <c r="X7" s="22"/>
      <c r="Y7" s="22"/>
      <c r="Z7" s="22"/>
    </row>
    <row r="8">
      <c r="A8" s="23" t="str">
        <f>IFERROR(__xludf.DUMMYFUNCTION("""COMPUTED_VALUE"""),"2.")</f>
        <v>2.</v>
      </c>
      <c r="B8" s="22" t="str">
        <f>IFERROR(__xludf.DUMMYFUNCTION("""COMPUTED_VALUE"""),"Phó bộ phận PXSX1")</f>
        <v>Phó bộ phận PXSX1</v>
      </c>
      <c r="C8" s="22">
        <f>IFERROR(__xludf.DUMMYFUNCTION("""COMPUTED_VALUE"""),6.0)</f>
        <v>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 t="str">
        <f>IFERROR(__xludf.DUMMYFUNCTION("""COMPUTED_VALUE"""),"1")</f>
        <v>1</v>
      </c>
      <c r="B9" s="22" t="str">
        <f>IFERROR(__xludf.DUMMYFUNCTION("""COMPUTED_VALUE"""),"PXSX1")</f>
        <v>PXSX1</v>
      </c>
      <c r="C9" s="22" t="str">
        <f>IFERROR(__xludf.DUMMYFUNCTION("""COMPUTED_VALUE"""),"Phó bộ phận PXSX1")</f>
        <v>Phó bộ phận PXSX1</v>
      </c>
      <c r="D9" s="22" t="str">
        <f>IFERROR(__xludf.DUMMYFUNCTION("""COMPUTED_VALUE"""),"Bộ phận hành chính")</f>
        <v>Bộ phận hành chính</v>
      </c>
      <c r="E9" s="22" t="str">
        <f>IFERROR(__xludf.DUMMYFUNCTION("""COMPUTED_VALUE"""),"Phó bộ phận - Phụ trách Sấy phun")</f>
        <v>Phó bộ phận - Phụ trách Sấy phun</v>
      </c>
      <c r="F9" s="22" t="str">
        <f>IFERROR(__xludf.DUMMYFUNCTION("""COMPUTED_VALUE"""),"NV0529")</f>
        <v>NV0529</v>
      </c>
      <c r="G9" s="22">
        <f>IFERROR(__xludf.DUMMYFUNCTION("""COMPUTED_VALUE"""),563.0)</f>
        <v>563</v>
      </c>
      <c r="H9" s="22" t="str">
        <f>IFERROR(__xludf.DUMMYFUNCTION("""COMPUTED_VALUE"""),"Nguyễn Hải Đăng")</f>
        <v>Nguyễn Hải Đăng</v>
      </c>
      <c r="I9" s="22" t="str">
        <f>IFERROR(__xludf.DUMMYFUNCTION("""COMPUTED_VALUE"""),"Nam")</f>
        <v>Nam</v>
      </c>
      <c r="J9" s="24">
        <f>IFERROR(__xludf.DUMMYFUNCTION("""COMPUTED_VALUE"""),26666.0)</f>
        <v>26666</v>
      </c>
      <c r="K9" s="22" t="str">
        <f>IFERROR(__xludf.DUMMYFUNCTION("""COMPUTED_VALUE"""),"Đường Thanh Chương - Phố Thành Công - Phường Quảng Phú - Tỉnh Thanh Hóa")</f>
        <v>Đường Thanh Chương - Phố Thành Công - Phường Quảng Phú - Tỉnh Thanh Hóa</v>
      </c>
      <c r="L9" s="22" t="str">
        <f>IFERROR(__xludf.DUMMYFUNCTION("""COMPUTED_VALUE"""),"0979827251")</f>
        <v>0979827251</v>
      </c>
      <c r="M9" s="22" t="str">
        <f>IFERROR(__xludf.DUMMYFUNCTION("""COMPUTED_VALUE"""),"038073025890")</f>
        <v>038073025890</v>
      </c>
      <c r="N9" s="24">
        <f>IFERROR(__xludf.DUMMYFUNCTION("""COMPUTED_VALUE"""),44418.0)</f>
        <v>44418</v>
      </c>
      <c r="O9" s="22" t="str">
        <f>IFERROR(__xludf.DUMMYFUNCTION("""COMPUTED_VALUE"""),"Cục Cảnh sát QLHC về TTXH")</f>
        <v>Cục Cảnh sát QLHC về TTXH</v>
      </c>
      <c r="P9" s="22" t="str">
        <f>IFERROR(__xludf.DUMMYFUNCTION("""COMPUTED_VALUE"""),"Công nhân kỹ thuật")</f>
        <v>Công nhân kỹ thuật</v>
      </c>
      <c r="Q9" s="22" t="str">
        <f>IFERROR(__xludf.DUMMYFUNCTION("""COMPUTED_VALUE"""),"Thợ điện")</f>
        <v>Thợ điện</v>
      </c>
      <c r="R9" s="24">
        <f>IFERROR(__xludf.DUMMYFUNCTION("""COMPUTED_VALUE"""),37439.0)</f>
        <v>37439</v>
      </c>
      <c r="S9" s="24">
        <f>IFERROR(__xludf.DUMMYFUNCTION("""COMPUTED_VALUE"""),37439.0)</f>
        <v>37439</v>
      </c>
      <c r="T9" s="22" t="str">
        <f>IFERROR(__xludf.DUMMYFUNCTION("""COMPUTED_VALUE"""),"Chính thức")</f>
        <v>Chính thức</v>
      </c>
      <c r="U9" s="22"/>
      <c r="V9" s="22" t="str">
        <f>IFERROR(__xludf.DUMMYFUNCTION("""COMPUTED_VALUE"""),"Điều động")</f>
        <v>Điều động</v>
      </c>
      <c r="W9" s="22" t="str">
        <f>IFERROR(__xludf.DUMMYFUNCTION("""COMPUTED_VALUE"""),"23 năm 5 tháng")</f>
        <v>23 năm 5 tháng</v>
      </c>
      <c r="X9" s="22"/>
      <c r="Y9" s="22"/>
      <c r="Z9" s="22"/>
    </row>
    <row r="10">
      <c r="A10" s="23" t="str">
        <f>IFERROR(__xludf.DUMMYFUNCTION("""COMPUTED_VALUE"""),"2")</f>
        <v>2</v>
      </c>
      <c r="B10" s="22" t="str">
        <f>IFERROR(__xludf.DUMMYFUNCTION("""COMPUTED_VALUE"""),"PXSX1")</f>
        <v>PXSX1</v>
      </c>
      <c r="C10" s="22" t="str">
        <f>IFERROR(__xludf.DUMMYFUNCTION("""COMPUTED_VALUE"""),"Phó bộ phận PXSX1")</f>
        <v>Phó bộ phận PXSX1</v>
      </c>
      <c r="D10" s="22" t="str">
        <f>IFERROR(__xludf.DUMMYFUNCTION("""COMPUTED_VALUE"""),"Bộ phận hành chính")</f>
        <v>Bộ phận hành chính</v>
      </c>
      <c r="E10" s="22" t="str">
        <f>IFERROR(__xludf.DUMMYFUNCTION("""COMPUTED_VALUE"""),"Phó bộ phận - Phụ trách Mài")</f>
        <v>Phó bộ phận - Phụ trách Mài</v>
      </c>
      <c r="F10" s="22" t="str">
        <f>IFERROR(__xludf.DUMMYFUNCTION("""COMPUTED_VALUE"""),"NV0454")</f>
        <v>NV0454</v>
      </c>
      <c r="G10" s="22">
        <f>IFERROR(__xludf.DUMMYFUNCTION("""COMPUTED_VALUE"""),505.0)</f>
        <v>505</v>
      </c>
      <c r="H10" s="22" t="str">
        <f>IFERROR(__xludf.DUMMYFUNCTION("""COMPUTED_VALUE"""),"Lê Đình Toàn")</f>
        <v>Lê Đình Toàn</v>
      </c>
      <c r="I10" s="22" t="str">
        <f>IFERROR(__xludf.DUMMYFUNCTION("""COMPUTED_VALUE"""),"Nam")</f>
        <v>Nam</v>
      </c>
      <c r="J10" s="24">
        <f>IFERROR(__xludf.DUMMYFUNCTION("""COMPUTED_VALUE"""),28491.0)</f>
        <v>28491</v>
      </c>
      <c r="K10" s="22" t="str">
        <f>IFERROR(__xludf.DUMMYFUNCTION("""COMPUTED_VALUE"""),"Thôn Phương Quang - Phường Nguyệt Viên - Tỉnh Thanh Hóa")</f>
        <v>Thôn Phương Quang - Phường Nguyệt Viên - Tỉnh Thanh Hóa</v>
      </c>
      <c r="L10" s="22" t="str">
        <f>IFERROR(__xludf.DUMMYFUNCTION("""COMPUTED_VALUE"""),"0977157077")</f>
        <v>0977157077</v>
      </c>
      <c r="M10" s="22" t="str">
        <f>IFERROR(__xludf.DUMMYFUNCTION("""COMPUTED_VALUE"""),"038078024225")</f>
        <v>038078024225</v>
      </c>
      <c r="N10" s="24">
        <f>IFERROR(__xludf.DUMMYFUNCTION("""COMPUTED_VALUE"""),44435.0)</f>
        <v>44435</v>
      </c>
      <c r="O10" s="22" t="str">
        <f>IFERROR(__xludf.DUMMYFUNCTION("""COMPUTED_VALUE"""),"Cục Cảnh sát QLHC về TTXH")</f>
        <v>Cục Cảnh sát QLHC về TTXH</v>
      </c>
      <c r="P10" s="22" t="str">
        <f>IFERROR(__xludf.DUMMYFUNCTION("""COMPUTED_VALUE"""),"Công nhân kỹ thuật")</f>
        <v>Công nhân kỹ thuật</v>
      </c>
      <c r="Q10" s="22" t="str">
        <f>IFERROR(__xludf.DUMMYFUNCTION("""COMPUTED_VALUE"""),"Thợ quản lý điện lưới")</f>
        <v>Thợ quản lý điện lưới</v>
      </c>
      <c r="R10" s="24">
        <f>IFERROR(__xludf.DUMMYFUNCTION("""COMPUTED_VALUE"""),39253.0)</f>
        <v>39253</v>
      </c>
      <c r="S10" s="24">
        <f>IFERROR(__xludf.DUMMYFUNCTION("""COMPUTED_VALUE"""),39253.0)</f>
        <v>39253</v>
      </c>
      <c r="T10" s="22" t="str">
        <f>IFERROR(__xludf.DUMMYFUNCTION("""COMPUTED_VALUE"""),"Chính thức")</f>
        <v>Chính thức</v>
      </c>
      <c r="U10" s="22"/>
      <c r="V10" s="22"/>
      <c r="W10" s="22" t="str">
        <f>IFERROR(__xludf.DUMMYFUNCTION("""COMPUTED_VALUE"""),"18 năm 6 tháng")</f>
        <v>18 năm 6 tháng</v>
      </c>
      <c r="X10" s="22"/>
      <c r="Y10" s="22"/>
      <c r="Z10" s="22"/>
    </row>
    <row r="11">
      <c r="A11" s="23" t="str">
        <f>IFERROR(__xludf.DUMMYFUNCTION("""COMPUTED_VALUE"""),"3")</f>
        <v>3</v>
      </c>
      <c r="B11" s="22" t="str">
        <f>IFERROR(__xludf.DUMMYFUNCTION("""COMPUTED_VALUE"""),"PXSX1")</f>
        <v>PXSX1</v>
      </c>
      <c r="C11" s="22" t="str">
        <f>IFERROR(__xludf.DUMMYFUNCTION("""COMPUTED_VALUE"""),"Phó bộ phận PXSX1")</f>
        <v>Phó bộ phận PXSX1</v>
      </c>
      <c r="D11" s="22" t="str">
        <f>IFERROR(__xludf.DUMMYFUNCTION("""COMPUTED_VALUE"""),"Bộ phận hành chính")</f>
        <v>Bộ phận hành chính</v>
      </c>
      <c r="E11" s="22" t="str">
        <f>IFERROR(__xludf.DUMMYFUNCTION("""COMPUTED_VALUE"""),"Phó bộ phận - Phụ trách Dây chuyền gia công")</f>
        <v>Phó bộ phận - Phụ trách Dây chuyền gia công</v>
      </c>
      <c r="F11" s="22" t="str">
        <f>IFERROR(__xludf.DUMMYFUNCTION("""COMPUTED_VALUE"""),"NV0574")</f>
        <v>NV0574</v>
      </c>
      <c r="G11" s="22">
        <f>IFERROR(__xludf.DUMMYFUNCTION("""COMPUTED_VALUE"""),183.0)</f>
        <v>183</v>
      </c>
      <c r="H11" s="22" t="str">
        <f>IFERROR(__xludf.DUMMYFUNCTION("""COMPUTED_VALUE"""),"Nguyễn Hoàng Dũng")</f>
        <v>Nguyễn Hoàng Dũng</v>
      </c>
      <c r="I11" s="22" t="str">
        <f>IFERROR(__xludf.DUMMYFUNCTION("""COMPUTED_VALUE"""),"Nam")</f>
        <v>Nam</v>
      </c>
      <c r="J11" s="24">
        <f>IFERROR(__xludf.DUMMYFUNCTION("""COMPUTED_VALUE"""),29409.0)</f>
        <v>29409</v>
      </c>
      <c r="K11" s="22" t="str">
        <f>IFERROR(__xludf.DUMMYFUNCTION("""COMPUTED_VALUE"""),"Thôn 3 - Phường Quảng Phú - Tỉnh Thanh Hóa ")</f>
        <v>Thôn 3 - Phường Quảng Phú - Tỉnh Thanh Hóa </v>
      </c>
      <c r="L11" s="22" t="str">
        <f>IFERROR(__xludf.DUMMYFUNCTION("""COMPUTED_VALUE"""),"0915126412")</f>
        <v>0915126412</v>
      </c>
      <c r="M11" s="22" t="str">
        <f>IFERROR(__xludf.DUMMYFUNCTION("""COMPUTED_VALUE"""),"038080002944")</f>
        <v>038080002944</v>
      </c>
      <c r="N11" s="24">
        <f>IFERROR(__xludf.DUMMYFUNCTION("""COMPUTED_VALUE"""),42684.0)</f>
        <v>42684</v>
      </c>
      <c r="O11" s="22" t="str">
        <f>IFERROR(__xludf.DUMMYFUNCTION("""COMPUTED_VALUE"""),"Cục Cảnh sát QLHC về TTXH")</f>
        <v>Cục Cảnh sát QLHC về TTXH</v>
      </c>
      <c r="P11" s="22" t="str">
        <f>IFERROR(__xludf.DUMMYFUNCTION("""COMPUTED_VALUE"""),"Trung cấp")</f>
        <v>Trung cấp</v>
      </c>
      <c r="Q11" s="22" t="str">
        <f>IFERROR(__xludf.DUMMYFUNCTION("""COMPUTED_VALUE"""),"Điện công nghiệp")</f>
        <v>Điện công nghiệp</v>
      </c>
      <c r="R11" s="24">
        <f>IFERROR(__xludf.DUMMYFUNCTION("""COMPUTED_VALUE"""),39612.0)</f>
        <v>39612</v>
      </c>
      <c r="S11" s="24">
        <f>IFERROR(__xludf.DUMMYFUNCTION("""COMPUTED_VALUE"""),39612.0)</f>
        <v>39612</v>
      </c>
      <c r="T11" s="22" t="str">
        <f>IFERROR(__xludf.DUMMYFUNCTION("""COMPUTED_VALUE"""),"Chính thức")</f>
        <v>Chính thức</v>
      </c>
      <c r="U11" s="22"/>
      <c r="V11" s="22"/>
      <c r="W11" s="22" t="str">
        <f>IFERROR(__xludf.DUMMYFUNCTION("""COMPUTED_VALUE"""),"17 năm 6 tháng")</f>
        <v>17 năm 6 tháng</v>
      </c>
      <c r="X11" s="22"/>
      <c r="Y11" s="22"/>
      <c r="Z11" s="22"/>
    </row>
    <row r="12">
      <c r="A12" s="23" t="str">
        <f>IFERROR(__xludf.DUMMYFUNCTION("""COMPUTED_VALUE"""),"4")</f>
        <v>4</v>
      </c>
      <c r="B12" s="22" t="str">
        <f>IFERROR(__xludf.DUMMYFUNCTION("""COMPUTED_VALUE"""),"PXSX1")</f>
        <v>PXSX1</v>
      </c>
      <c r="C12" s="22" t="str">
        <f>IFERROR(__xludf.DUMMYFUNCTION("""COMPUTED_VALUE"""),"Phó bộ phận PXSX1")</f>
        <v>Phó bộ phận PXSX1</v>
      </c>
      <c r="D12" s="22" t="str">
        <f>IFERROR(__xludf.DUMMYFUNCTION("""COMPUTED_VALUE"""),"Bộ phận hành chính")</f>
        <v>Bộ phận hành chính</v>
      </c>
      <c r="E12" s="22" t="str">
        <f>IFERROR(__xludf.DUMMYFUNCTION("""COMPUTED_VALUE"""),"Phó bộ phận - Phụ trách Lò nung")</f>
        <v>Phó bộ phận - Phụ trách Lò nung</v>
      </c>
      <c r="F12" s="22" t="str">
        <f>IFERROR(__xludf.DUMMYFUNCTION("""COMPUTED_VALUE"""),"NV0447")</f>
        <v>NV0447</v>
      </c>
      <c r="G12" s="22">
        <f>IFERROR(__xludf.DUMMYFUNCTION("""COMPUTED_VALUE"""),538.0)</f>
        <v>538</v>
      </c>
      <c r="H12" s="22" t="str">
        <f>IFERROR(__xludf.DUMMYFUNCTION("""COMPUTED_VALUE"""),"Quản Văn Phương")</f>
        <v>Quản Văn Phương</v>
      </c>
      <c r="I12" s="22" t="str">
        <f>IFERROR(__xludf.DUMMYFUNCTION("""COMPUTED_VALUE"""),"Nam")</f>
        <v>Nam</v>
      </c>
      <c r="J12" s="24">
        <f>IFERROR(__xludf.DUMMYFUNCTION("""COMPUTED_VALUE"""),30769.0)</f>
        <v>30769</v>
      </c>
      <c r="K12" s="22" t="str">
        <f>IFERROR(__xludf.DUMMYFUNCTION("""COMPUTED_VALUE"""),"18/2 Phú Chung Tây Sơn 2 - Phường Hạc Thành - Tỉnh Thanh Hóa ")</f>
        <v>18/2 Phú Chung Tây Sơn 2 - Phường Hạc Thành - Tỉnh Thanh Hóa </v>
      </c>
      <c r="L12" s="22" t="str">
        <f>IFERROR(__xludf.DUMMYFUNCTION("""COMPUTED_VALUE"""),"0976677177")</f>
        <v>0976677177</v>
      </c>
      <c r="M12" s="22" t="str">
        <f>IFERROR(__xludf.DUMMYFUNCTION("""COMPUTED_VALUE"""),"038084051000")</f>
        <v>038084051000</v>
      </c>
      <c r="N12" s="24">
        <f>IFERROR(__xludf.DUMMYFUNCTION("""COMPUTED_VALUE"""),44830.0)</f>
        <v>44830</v>
      </c>
      <c r="O12" s="22" t="str">
        <f>IFERROR(__xludf.DUMMYFUNCTION("""COMPUTED_VALUE"""),"Cục Cảnh sát QLHC về TTXH")</f>
        <v>Cục Cảnh sát QLHC về TTXH</v>
      </c>
      <c r="P12" s="22" t="str">
        <f>IFERROR(__xludf.DUMMYFUNCTION("""COMPUTED_VALUE"""),"Kỹ sư")</f>
        <v>Kỹ sư</v>
      </c>
      <c r="Q12" s="22" t="str">
        <f>IFERROR(__xludf.DUMMYFUNCTION("""COMPUTED_VALUE"""),"Hóa học")</f>
        <v>Hóa học</v>
      </c>
      <c r="R12" s="24">
        <f>IFERROR(__xludf.DUMMYFUNCTION("""COMPUTED_VALUE"""),38247.0)</f>
        <v>38247</v>
      </c>
      <c r="S12" s="24">
        <f>IFERROR(__xludf.DUMMYFUNCTION("""COMPUTED_VALUE"""),38247.0)</f>
        <v>38247</v>
      </c>
      <c r="T12" s="22" t="str">
        <f>IFERROR(__xludf.DUMMYFUNCTION("""COMPUTED_VALUE"""),"Chính thức")</f>
        <v>Chính thức</v>
      </c>
      <c r="U12" s="22"/>
      <c r="V12" s="22" t="str">
        <f>IFERROR(__xludf.DUMMYFUNCTION("""COMPUTED_VALUE"""),"Điều động")</f>
        <v>Điều động</v>
      </c>
      <c r="W12" s="22" t="str">
        <f>IFERROR(__xludf.DUMMYFUNCTION("""COMPUTED_VALUE"""),"21 năm 3 tháng")</f>
        <v>21 năm 3 tháng</v>
      </c>
      <c r="X12" s="22"/>
      <c r="Y12" s="22"/>
      <c r="Z12" s="22"/>
    </row>
    <row r="13">
      <c r="A13" s="23" t="str">
        <f>IFERROR(__xludf.DUMMYFUNCTION("""COMPUTED_VALUE"""),"5")</f>
        <v>5</v>
      </c>
      <c r="B13" s="22" t="str">
        <f>IFERROR(__xludf.DUMMYFUNCTION("""COMPUTED_VALUE"""),"PXSX1")</f>
        <v>PXSX1</v>
      </c>
      <c r="C13" s="22" t="str">
        <f>IFERROR(__xludf.DUMMYFUNCTION("""COMPUTED_VALUE"""),"Phó bộ phận PXSX1")</f>
        <v>Phó bộ phận PXSX1</v>
      </c>
      <c r="D13" s="22" t="str">
        <f>IFERROR(__xludf.DUMMYFUNCTION("""COMPUTED_VALUE"""),"Bộ phận hành chính")</f>
        <v>Bộ phận hành chính</v>
      </c>
      <c r="E13" s="22" t="str">
        <f>IFERROR(__xludf.DUMMYFUNCTION("""COMPUTED_VALUE"""),"Phó bộ phận - Phụ trách Đóng hộp")</f>
        <v>Phó bộ phận - Phụ trách Đóng hộp</v>
      </c>
      <c r="F13" s="22" t="str">
        <f>IFERROR(__xludf.DUMMYFUNCTION("""COMPUTED_VALUE"""),"NV0223")</f>
        <v>NV0223</v>
      </c>
      <c r="G13" s="22">
        <f>IFERROR(__xludf.DUMMYFUNCTION("""COMPUTED_VALUE"""),195.0)</f>
        <v>195</v>
      </c>
      <c r="H13" s="22" t="str">
        <f>IFERROR(__xludf.DUMMYFUNCTION("""COMPUTED_VALUE"""),"Trần Văn Hùng")</f>
        <v>Trần Văn Hùng</v>
      </c>
      <c r="I13" s="22" t="str">
        <f>IFERROR(__xludf.DUMMYFUNCTION("""COMPUTED_VALUE"""),"Nam")</f>
        <v>Nam</v>
      </c>
      <c r="J13" s="24">
        <f>IFERROR(__xludf.DUMMYFUNCTION("""COMPUTED_VALUE"""),31931.0)</f>
        <v>31931</v>
      </c>
      <c r="K13" s="22" t="str">
        <f>IFERROR(__xludf.DUMMYFUNCTION("""COMPUTED_VALUE"""),"Thôn 16 - Phường Tân Dân - Tỉnh Thanh Hóa")</f>
        <v>Thôn 16 - Phường Tân Dân - Tỉnh Thanh Hóa</v>
      </c>
      <c r="L13" s="22" t="str">
        <f>IFERROR(__xludf.DUMMYFUNCTION("""COMPUTED_VALUE"""),"0385583386")</f>
        <v>0385583386</v>
      </c>
      <c r="M13" s="22" t="str">
        <f>IFERROR(__xludf.DUMMYFUNCTION("""COMPUTED_VALUE"""),"038087035657")</f>
        <v>038087035657</v>
      </c>
      <c r="N13" s="24">
        <f>IFERROR(__xludf.DUMMYFUNCTION("""COMPUTED_VALUE"""),44423.0)</f>
        <v>44423</v>
      </c>
      <c r="O13" s="22" t="str">
        <f>IFERROR(__xludf.DUMMYFUNCTION("""COMPUTED_VALUE"""),"Cục Cảnh sát QLHC về TTXH")</f>
        <v>Cục Cảnh sát QLHC về TTXH</v>
      </c>
      <c r="P13" s="22" t="str">
        <f>IFERROR(__xludf.DUMMYFUNCTION("""COMPUTED_VALUE"""),"Đại học")</f>
        <v>Đại học</v>
      </c>
      <c r="Q13" s="22" t="str">
        <f>IFERROR(__xludf.DUMMYFUNCTION("""COMPUTED_VALUE"""),"Sư phạm lý")</f>
        <v>Sư phạm lý</v>
      </c>
      <c r="R13" s="24">
        <f>IFERROR(__xludf.DUMMYFUNCTION("""COMPUTED_VALUE"""),41947.0)</f>
        <v>41947</v>
      </c>
      <c r="S13" s="24">
        <f>IFERROR(__xludf.DUMMYFUNCTION("""COMPUTED_VALUE"""),41947.0)</f>
        <v>41947</v>
      </c>
      <c r="T13" s="22" t="str">
        <f>IFERROR(__xludf.DUMMYFUNCTION("""COMPUTED_VALUE"""),"Chính thức")</f>
        <v>Chính thức</v>
      </c>
      <c r="U13" s="22"/>
      <c r="V13" s="22"/>
      <c r="W13" s="22" t="str">
        <f>IFERROR(__xludf.DUMMYFUNCTION("""COMPUTED_VALUE"""),"11 năm 1 tháng")</f>
        <v>11 năm 1 tháng</v>
      </c>
      <c r="X13" s="22"/>
      <c r="Y13" s="22"/>
      <c r="Z13" s="22"/>
    </row>
    <row r="14">
      <c r="A14" s="23" t="str">
        <f>IFERROR(__xludf.DUMMYFUNCTION("""COMPUTED_VALUE"""),"6")</f>
        <v>6</v>
      </c>
      <c r="B14" s="22" t="str">
        <f>IFERROR(__xludf.DUMMYFUNCTION("""COMPUTED_VALUE"""),"PXSX1")</f>
        <v>PXSX1</v>
      </c>
      <c r="C14" s="22" t="str">
        <f>IFERROR(__xludf.DUMMYFUNCTION("""COMPUTED_VALUE"""),"Phó bộ phận PXSX1")</f>
        <v>Phó bộ phận PXSX1</v>
      </c>
      <c r="D14" s="22" t="str">
        <f>IFERROR(__xludf.DUMMYFUNCTION("""COMPUTED_VALUE"""),"Bộ phận hành chính")</f>
        <v>Bộ phận hành chính</v>
      </c>
      <c r="E14" s="22" t="str">
        <f>IFERROR(__xludf.DUMMYFUNCTION("""COMPUTED_VALUE"""),"Trưởng bộ phận - Bộ phận nhiên liệu và gia công bán thành phẩm")</f>
        <v>Trưởng bộ phận - Bộ phận nhiên liệu và gia công bán thành phẩm</v>
      </c>
      <c r="F14" s="22" t="str">
        <f>IFERROR(__xludf.DUMMYFUNCTION("""COMPUTED_VALUE"""),"NV0133")</f>
        <v>NV0133</v>
      </c>
      <c r="G14" s="22">
        <f>IFERROR(__xludf.DUMMYFUNCTION("""COMPUTED_VALUE"""),70.0)</f>
        <v>70</v>
      </c>
      <c r="H14" s="22" t="str">
        <f>IFERROR(__xludf.DUMMYFUNCTION("""COMPUTED_VALUE"""),"Bùi Sỹ Quang")</f>
        <v>Bùi Sỹ Quang</v>
      </c>
      <c r="I14" s="22" t="str">
        <f>IFERROR(__xludf.DUMMYFUNCTION("""COMPUTED_VALUE"""),"Nam")</f>
        <v>Nam</v>
      </c>
      <c r="J14" s="24">
        <f>IFERROR(__xludf.DUMMYFUNCTION("""COMPUTED_VALUE"""),32174.0)</f>
        <v>32174</v>
      </c>
      <c r="K14" s="22" t="str">
        <f>IFERROR(__xludf.DUMMYFUNCTION("""COMPUTED_VALUE"""),"Thôn Tân Đắc - Xã Lưu Vệ - Tỉnh Thanh Hóa")</f>
        <v>Thôn Tân Đắc - Xã Lưu Vệ - Tỉnh Thanh Hóa</v>
      </c>
      <c r="L14" s="22" t="str">
        <f>IFERROR(__xludf.DUMMYFUNCTION("""COMPUTED_VALUE"""),"0932488689")</f>
        <v>0932488689</v>
      </c>
      <c r="M14" s="22" t="str">
        <f>IFERROR(__xludf.DUMMYFUNCTION("""COMPUTED_VALUE"""),"038088028344")</f>
        <v>038088028344</v>
      </c>
      <c r="N14" s="24">
        <f>IFERROR(__xludf.DUMMYFUNCTION("""COMPUTED_VALUE"""),44861.0)</f>
        <v>44861</v>
      </c>
      <c r="O14" s="22" t="str">
        <f>IFERROR(__xludf.DUMMYFUNCTION("""COMPUTED_VALUE"""),"Cục Cảnh sát QLHC về TTXH")</f>
        <v>Cục Cảnh sát QLHC về TTXH</v>
      </c>
      <c r="P14" s="22" t="str">
        <f>IFERROR(__xludf.DUMMYFUNCTION("""COMPUTED_VALUE"""),"Cao đẳng")</f>
        <v>Cao đẳng</v>
      </c>
      <c r="Q14" s="22" t="str">
        <f>IFERROR(__xludf.DUMMYFUNCTION("""COMPUTED_VALUE"""),"Hàn công nghệ cao")</f>
        <v>Hàn công nghệ cao</v>
      </c>
      <c r="R14" s="24">
        <f>IFERROR(__xludf.DUMMYFUNCTION("""COMPUTED_VALUE"""),41390.0)</f>
        <v>41390</v>
      </c>
      <c r="S14" s="24">
        <f>IFERROR(__xludf.DUMMYFUNCTION("""COMPUTED_VALUE"""),41390.0)</f>
        <v>41390</v>
      </c>
      <c r="T14" s="22" t="str">
        <f>IFERROR(__xludf.DUMMYFUNCTION("""COMPUTED_VALUE"""),"Chính thức")</f>
        <v>Chính thức</v>
      </c>
      <c r="U14" s="22"/>
      <c r="V14" s="22" t="str">
        <f>IFERROR(__xludf.DUMMYFUNCTION("""COMPUTED_VALUE"""),"Chính thức")</f>
        <v>Chính thức</v>
      </c>
      <c r="W14" s="22" t="str">
        <f>IFERROR(__xludf.DUMMYFUNCTION("""COMPUTED_VALUE"""),"12 năm 8 tháng")</f>
        <v>12 năm 8 tháng</v>
      </c>
      <c r="X14" s="22"/>
      <c r="Y14" s="22"/>
      <c r="Z14" s="22"/>
    </row>
    <row r="15">
      <c r="A15" s="23" t="str">
        <f>IFERROR(__xludf.DUMMYFUNCTION("""COMPUTED_VALUE"""),"3.")</f>
        <v>3.</v>
      </c>
      <c r="B15" s="22" t="str">
        <f>IFERROR(__xludf.DUMMYFUNCTION("""COMPUTED_VALUE"""),"Bộ phận nhiên liệu và gia công bán thành phẩm ")</f>
        <v>Bộ phận nhiên liệu và gia công bán thành phẩm </v>
      </c>
      <c r="C15" s="22">
        <f>IFERROR(__xludf.DUMMYFUNCTION("""COMPUTED_VALUE"""),65.0)</f>
        <v>65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tr">
        <f>IFERROR(__xludf.DUMMYFUNCTION("""COMPUTED_VALUE"""),"3.1")</f>
        <v>3.1</v>
      </c>
      <c r="B16" s="22" t="str">
        <f>IFERROR(__xludf.DUMMYFUNCTION("""COMPUTED_VALUE"""),"Quản lý")</f>
        <v>Quản lý</v>
      </c>
      <c r="C16" s="22">
        <f>IFERROR(__xludf.DUMMYFUNCTION("""COMPUTED_VALUE"""),2.0)</f>
        <v>2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tr">
        <f>IFERROR(__xludf.DUMMYFUNCTION("""COMPUTED_VALUE"""),"1")</f>
        <v>1</v>
      </c>
      <c r="B17" s="22" t="str">
        <f>IFERROR(__xludf.DUMMYFUNCTION("""COMPUTED_VALUE"""),"PXSX1")</f>
        <v>PXSX1</v>
      </c>
      <c r="C17" s="22" t="str">
        <f>IFERROR(__xludf.DUMMYFUNCTION("""COMPUTED_VALUE"""),"Bộ phận nhiên liệu và gia công bán thành phẩm ")</f>
        <v>Bộ phận nhiên liệu và gia công bán thành phẩm </v>
      </c>
      <c r="D17" s="22" t="str">
        <f>IFERROR(__xludf.DUMMYFUNCTION("""COMPUTED_VALUE"""),"Quản lý")</f>
        <v>Quản lý</v>
      </c>
      <c r="E17" s="22" t="str">
        <f>IFERROR(__xludf.DUMMYFUNCTION("""COMPUTED_VALUE"""),"CBKT - Phụ trách Dây chuyền gia công")</f>
        <v>CBKT - Phụ trách Dây chuyền gia công</v>
      </c>
      <c r="F17" s="22" t="str">
        <f>IFERROR(__xludf.DUMMYFUNCTION("""COMPUTED_VALUE"""),"NV0195")</f>
        <v>NV0195</v>
      </c>
      <c r="G17" s="22">
        <f>IFERROR(__xludf.DUMMYFUNCTION("""COMPUTED_VALUE"""),186.0)</f>
        <v>186</v>
      </c>
      <c r="H17" s="22" t="str">
        <f>IFERROR(__xludf.DUMMYFUNCTION("""COMPUTED_VALUE"""),"Trương Văn Thắng")</f>
        <v>Trương Văn Thắng</v>
      </c>
      <c r="I17" s="22" t="str">
        <f>IFERROR(__xludf.DUMMYFUNCTION("""COMPUTED_VALUE"""),"Nam")</f>
        <v>Nam</v>
      </c>
      <c r="J17" s="24">
        <f>IFERROR(__xludf.DUMMYFUNCTION("""COMPUTED_VALUE"""),29384.0)</f>
        <v>29384</v>
      </c>
      <c r="K17" s="22" t="str">
        <f>IFERROR(__xludf.DUMMYFUNCTION("""COMPUTED_VALUE"""),"Thôn Xuân Mọc - Xã Quảng Ngọc - Tỉnh Thanh Hóa")</f>
        <v>Thôn Xuân Mọc - Xã Quảng Ngọc - Tỉnh Thanh Hóa</v>
      </c>
      <c r="L17" s="22" t="str">
        <f>IFERROR(__xludf.DUMMYFUNCTION("""COMPUTED_VALUE"""),"0977131094")</f>
        <v>0977131094</v>
      </c>
      <c r="M17" s="22" t="str">
        <f>IFERROR(__xludf.DUMMYFUNCTION("""COMPUTED_VALUE"""),"038080025813")</f>
        <v>038080025813</v>
      </c>
      <c r="N17" s="24">
        <f>IFERROR(__xludf.DUMMYFUNCTION("""COMPUTED_VALUE"""),44459.0)</f>
        <v>44459</v>
      </c>
      <c r="O17" s="22" t="str">
        <f>IFERROR(__xludf.DUMMYFUNCTION("""COMPUTED_VALUE"""),"Cục Cảnh sát QLHC về TTXH")</f>
        <v>Cục Cảnh sát QLHC về TTXH</v>
      </c>
      <c r="P17" s="22" t="str">
        <f>IFERROR(__xludf.DUMMYFUNCTION("""COMPUTED_VALUE"""),"Trung cấp")</f>
        <v>Trung cấp</v>
      </c>
      <c r="Q17" s="22" t="str">
        <f>IFERROR(__xludf.DUMMYFUNCTION("""COMPUTED_VALUE"""),"Lắp máy")</f>
        <v>Lắp máy</v>
      </c>
      <c r="R17" s="24">
        <f>IFERROR(__xludf.DUMMYFUNCTION("""COMPUTED_VALUE"""),37438.0)</f>
        <v>37438</v>
      </c>
      <c r="S17" s="24">
        <f>IFERROR(__xludf.DUMMYFUNCTION("""COMPUTED_VALUE"""),37438.0)</f>
        <v>37438</v>
      </c>
      <c r="T17" s="22" t="str">
        <f>IFERROR(__xludf.DUMMYFUNCTION("""COMPUTED_VALUE"""),"Chính thức")</f>
        <v>Chính thức</v>
      </c>
      <c r="U17" s="22"/>
      <c r="V17" s="22"/>
      <c r="W17" s="22" t="str">
        <f>IFERROR(__xludf.DUMMYFUNCTION("""COMPUTED_VALUE"""),"23 năm 5 tháng")</f>
        <v>23 năm 5 tháng</v>
      </c>
      <c r="X17" s="22"/>
      <c r="Y17" s="22"/>
      <c r="Z17" s="22"/>
    </row>
    <row r="18">
      <c r="A18" s="23" t="str">
        <f>IFERROR(__xludf.DUMMYFUNCTION("""COMPUTED_VALUE"""),"2")</f>
        <v>2</v>
      </c>
      <c r="B18" s="22" t="str">
        <f>IFERROR(__xludf.DUMMYFUNCTION("""COMPUTED_VALUE"""),"PXSX1")</f>
        <v>PXSX1</v>
      </c>
      <c r="C18" s="22" t="str">
        <f>IFERROR(__xludf.DUMMYFUNCTION("""COMPUTED_VALUE"""),"Bộ phận nhiên liệu và gia công bán thành phẩm ")</f>
        <v>Bộ phận nhiên liệu và gia công bán thành phẩm </v>
      </c>
      <c r="D18" s="22" t="str">
        <f>IFERROR(__xludf.DUMMYFUNCTION("""COMPUTED_VALUE"""),"Quản lý")</f>
        <v>Quản lý</v>
      </c>
      <c r="E18" s="22" t="str">
        <f>IFERROR(__xludf.DUMMYFUNCTION("""COMPUTED_VALUE"""),"CBKT - Phụ trách kỹ thuật lò than")</f>
        <v>CBKT - Phụ trách kỹ thuật lò than</v>
      </c>
      <c r="F18" s="22" t="str">
        <f>IFERROR(__xludf.DUMMYFUNCTION("""COMPUTED_VALUE"""),"NV0300")</f>
        <v>NV0300</v>
      </c>
      <c r="G18" s="22">
        <f>IFERROR(__xludf.DUMMYFUNCTION("""COMPUTED_VALUE"""),124.0)</f>
        <v>124</v>
      </c>
      <c r="H18" s="22" t="str">
        <f>IFERROR(__xludf.DUMMYFUNCTION("""COMPUTED_VALUE"""),"Nguyễn Khắc Thành")</f>
        <v>Nguyễn Khắc Thành</v>
      </c>
      <c r="I18" s="22" t="str">
        <f>IFERROR(__xludf.DUMMYFUNCTION("""COMPUTED_VALUE"""),"Nam")</f>
        <v>Nam</v>
      </c>
      <c r="J18" s="24">
        <f>IFERROR(__xludf.DUMMYFUNCTION("""COMPUTED_VALUE"""),32552.0)</f>
        <v>32552</v>
      </c>
      <c r="K18" s="22" t="str">
        <f>IFERROR(__xludf.DUMMYFUNCTION("""COMPUTED_VALUE"""),"Thôn Phúc Cường - Phường Quảng Phú - Tỉnh Thanh Hóa")</f>
        <v>Thôn Phúc Cường - Phường Quảng Phú - Tỉnh Thanh Hóa</v>
      </c>
      <c r="L18" s="22" t="str">
        <f>IFERROR(__xludf.DUMMYFUNCTION("""COMPUTED_VALUE"""),"0979239665")</f>
        <v>0979239665</v>
      </c>
      <c r="M18" s="22" t="str">
        <f>IFERROR(__xludf.DUMMYFUNCTION("""COMPUTED_VALUE"""),"038089001833")</f>
        <v>038089001833</v>
      </c>
      <c r="N18" s="24">
        <f>IFERROR(__xludf.DUMMYFUNCTION("""COMPUTED_VALUE"""),44422.0)</f>
        <v>44422</v>
      </c>
      <c r="O18" s="22" t="str">
        <f>IFERROR(__xludf.DUMMYFUNCTION("""COMPUTED_VALUE"""),"Cục Cảnh sát QLHC về TTXH")</f>
        <v>Cục Cảnh sát QLHC về TTXH</v>
      </c>
      <c r="P18" s="22" t="str">
        <f>IFERROR(__xludf.DUMMYFUNCTION("""COMPUTED_VALUE"""),"Đại học")</f>
        <v>Đại học</v>
      </c>
      <c r="Q18" s="22" t="str">
        <f>IFERROR(__xludf.DUMMYFUNCTION("""COMPUTED_VALUE"""),"Công nghệ hóa dầu")</f>
        <v>Công nghệ hóa dầu</v>
      </c>
      <c r="R18" s="24">
        <f>IFERROR(__xludf.DUMMYFUNCTION("""COMPUTED_VALUE"""),41787.0)</f>
        <v>41787</v>
      </c>
      <c r="S18" s="24">
        <f>IFERROR(__xludf.DUMMYFUNCTION("""COMPUTED_VALUE"""),41787.0)</f>
        <v>41787</v>
      </c>
      <c r="T18" s="22" t="str">
        <f>IFERROR(__xludf.DUMMYFUNCTION("""COMPUTED_VALUE"""),"Chính thức")</f>
        <v>Chính thức</v>
      </c>
      <c r="U18" s="22"/>
      <c r="V18" s="22" t="str">
        <f>IFERROR(__xludf.DUMMYFUNCTION("""COMPUTED_VALUE"""),"Nghỉ phép")</f>
        <v>Nghỉ phép</v>
      </c>
      <c r="W18" s="22" t="str">
        <f>IFERROR(__xludf.DUMMYFUNCTION("""COMPUTED_VALUE"""),"11 năm 7 tháng")</f>
        <v>11 năm 7 tháng</v>
      </c>
      <c r="X18" s="22"/>
      <c r="Y18" s="22"/>
      <c r="Z18" s="22"/>
    </row>
    <row r="19">
      <c r="A19" s="23" t="str">
        <f>IFERROR(__xludf.DUMMYFUNCTION("""COMPUTED_VALUE"""),"3.2")</f>
        <v>3.2</v>
      </c>
      <c r="B19" s="22" t="str">
        <f>IFERROR(__xludf.DUMMYFUNCTION("""COMPUTED_VALUE"""),"Trạm than Ca A")</f>
        <v>Trạm than Ca A</v>
      </c>
      <c r="C19" s="22">
        <f>IFERROR(__xludf.DUMMYFUNCTION("""COMPUTED_VALUE"""),6.0)</f>
        <v>6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tr">
        <f>IFERROR(__xludf.DUMMYFUNCTION("""COMPUTED_VALUE"""),"1")</f>
        <v>1</v>
      </c>
      <c r="B20" s="22" t="str">
        <f>IFERROR(__xludf.DUMMYFUNCTION("""COMPUTED_VALUE"""),"PXSX1")</f>
        <v>PXSX1</v>
      </c>
      <c r="C20" s="22" t="str">
        <f>IFERROR(__xludf.DUMMYFUNCTION("""COMPUTED_VALUE"""),"Bộ phận nhiên liệu và gia công bán thành phẩm ")</f>
        <v>Bộ phận nhiên liệu và gia công bán thành phẩm </v>
      </c>
      <c r="D20" s="22" t="str">
        <f>IFERROR(__xludf.DUMMYFUNCTION("""COMPUTED_VALUE"""),"Trạm than Ca A")</f>
        <v>Trạm than Ca A</v>
      </c>
      <c r="E20" s="22" t="str">
        <f>IFERROR(__xludf.DUMMYFUNCTION("""COMPUTED_VALUE"""),"Công nhân vận hành")</f>
        <v>Công nhân vận hành</v>
      </c>
      <c r="F20" s="22" t="str">
        <f>IFERROR(__xludf.DUMMYFUNCTION("""COMPUTED_VALUE"""),"NV5255")</f>
        <v>NV5255</v>
      </c>
      <c r="G20" s="22">
        <f>IFERROR(__xludf.DUMMYFUNCTION("""COMPUTED_VALUE"""),245.0)</f>
        <v>245</v>
      </c>
      <c r="H20" s="22" t="str">
        <f>IFERROR(__xludf.DUMMYFUNCTION("""COMPUTED_VALUE"""),"Nguyễn Tất Đức")</f>
        <v>Nguyễn Tất Đức</v>
      </c>
      <c r="I20" s="22" t="str">
        <f>IFERROR(__xludf.DUMMYFUNCTION("""COMPUTED_VALUE"""),"Nam")</f>
        <v>Nam</v>
      </c>
      <c r="J20" s="24">
        <f>IFERROR(__xludf.DUMMYFUNCTION("""COMPUTED_VALUE"""),28255.0)</f>
        <v>28255</v>
      </c>
      <c r="K20" s="22" t="str">
        <f>IFERROR(__xludf.DUMMYFUNCTION("""COMPUTED_VALUE"""),"Xã Hoàng Châu - Tỉnh Thanh Hóa")</f>
        <v>Xã Hoàng Châu - Tỉnh Thanh Hóa</v>
      </c>
      <c r="L20" s="22" t="str">
        <f>IFERROR(__xludf.DUMMYFUNCTION("""COMPUTED_VALUE"""),"0815047888")</f>
        <v>0815047888</v>
      </c>
      <c r="M20" s="22" t="str">
        <f>IFERROR(__xludf.DUMMYFUNCTION("""COMPUTED_VALUE"""),"038077008406")</f>
        <v>038077008406</v>
      </c>
      <c r="N20" s="24">
        <f>IFERROR(__xludf.DUMMYFUNCTION("""COMPUTED_VALUE"""),44553.0)</f>
        <v>44553</v>
      </c>
      <c r="O20" s="22" t="str">
        <f>IFERROR(__xludf.DUMMYFUNCTION("""COMPUTED_VALUE"""),"Cục Cảnh sát QLHC về TTXH")</f>
        <v>Cục Cảnh sát QLHC về TTXH</v>
      </c>
      <c r="P20" s="22" t="str">
        <f>IFERROR(__xludf.DUMMYFUNCTION("""COMPUTED_VALUE"""),"LĐPT")</f>
        <v>LĐPT</v>
      </c>
      <c r="Q20" s="22" t="str">
        <f>IFERROR(__xludf.DUMMYFUNCTION("""COMPUTED_VALUE"""),"Lao động phổ thông")</f>
        <v>Lao động phổ thông</v>
      </c>
      <c r="R20" s="22"/>
      <c r="S20" s="24">
        <f>IFERROR(__xludf.DUMMYFUNCTION("""COMPUTED_VALUE"""),45803.0)</f>
        <v>45803</v>
      </c>
      <c r="T20" s="22" t="str">
        <f>IFERROR(__xludf.DUMMYFUNCTION("""COMPUTED_VALUE"""),"Chính thức")</f>
        <v>Chính thức</v>
      </c>
      <c r="U20" s="22"/>
      <c r="V20" s="22"/>
      <c r="W20" s="22" t="str">
        <f>IFERROR(__xludf.DUMMYFUNCTION("""COMPUTED_VALUE"""),"0 năm 7 tháng")</f>
        <v>0 năm 7 tháng</v>
      </c>
      <c r="X20" s="22"/>
      <c r="Y20" s="22"/>
      <c r="Z20" s="22"/>
    </row>
    <row r="21">
      <c r="A21" s="23" t="str">
        <f>IFERROR(__xludf.DUMMYFUNCTION("""COMPUTED_VALUE"""),"2")</f>
        <v>2</v>
      </c>
      <c r="B21" s="22" t="str">
        <f>IFERROR(__xludf.DUMMYFUNCTION("""COMPUTED_VALUE"""),"PXSX1")</f>
        <v>PXSX1</v>
      </c>
      <c r="C21" s="22" t="str">
        <f>IFERROR(__xludf.DUMMYFUNCTION("""COMPUTED_VALUE"""),"Bộ phận nhiên liệu và gia công bán thành phẩm ")</f>
        <v>Bộ phận nhiên liệu và gia công bán thành phẩm </v>
      </c>
      <c r="D21" s="22" t="str">
        <f>IFERROR(__xludf.DUMMYFUNCTION("""COMPUTED_VALUE"""),"Trạm than Ca A")</f>
        <v>Trạm than Ca A</v>
      </c>
      <c r="E21" s="22" t="str">
        <f>IFERROR(__xludf.DUMMYFUNCTION("""COMPUTED_VALUE"""),"Công nhân vận hành")</f>
        <v>Công nhân vận hành</v>
      </c>
      <c r="F21" s="22" t="str">
        <f>IFERROR(__xludf.DUMMYFUNCTION("""COMPUTED_VALUE"""),"NV4336")</f>
        <v>NV4336</v>
      </c>
      <c r="G21" s="22">
        <f>IFERROR(__xludf.DUMMYFUNCTION("""COMPUTED_VALUE"""),108.0)</f>
        <v>108</v>
      </c>
      <c r="H21" s="22" t="str">
        <f>IFERROR(__xludf.DUMMYFUNCTION("""COMPUTED_VALUE"""),"Trần Văn Thể")</f>
        <v>Trần Văn Thể</v>
      </c>
      <c r="I21" s="22" t="str">
        <f>IFERROR(__xludf.DUMMYFUNCTION("""COMPUTED_VALUE"""),"Nam")</f>
        <v>Nam</v>
      </c>
      <c r="J21" s="24">
        <f>IFERROR(__xludf.DUMMYFUNCTION("""COMPUTED_VALUE"""),30940.0)</f>
        <v>30940</v>
      </c>
      <c r="K21" s="22" t="str">
        <f>IFERROR(__xludf.DUMMYFUNCTION("""COMPUTED_VALUE"""),"Thôn Mậu Đông - Xã Quảng Bình - Tỉnh thành Hóa")</f>
        <v>Thôn Mậu Đông - Xã Quảng Bình - Tỉnh thành Hóa</v>
      </c>
      <c r="L21" s="22" t="str">
        <f>IFERROR(__xludf.DUMMYFUNCTION("""COMPUTED_VALUE"""),"0343823493")</f>
        <v>0343823493</v>
      </c>
      <c r="M21" s="22" t="str">
        <f>IFERROR(__xludf.DUMMYFUNCTION("""COMPUTED_VALUE"""),"038084020840")</f>
        <v>038084020840</v>
      </c>
      <c r="N21" s="24">
        <f>IFERROR(__xludf.DUMMYFUNCTION("""COMPUTED_VALUE"""),45642.0)</f>
        <v>45642</v>
      </c>
      <c r="O21" s="22" t="str">
        <f>IFERROR(__xludf.DUMMYFUNCTION("""COMPUTED_VALUE"""),"Cục Cảnh sát QLHC về TTXH")</f>
        <v>Cục Cảnh sát QLHC về TTXH</v>
      </c>
      <c r="P21" s="22" t="str">
        <f>IFERROR(__xludf.DUMMYFUNCTION("""COMPUTED_VALUE"""),"LĐPT")</f>
        <v>LĐPT</v>
      </c>
      <c r="Q21" s="22" t="str">
        <f>IFERROR(__xludf.DUMMYFUNCTION("""COMPUTED_VALUE"""),"Lao động phổ thông")</f>
        <v>Lao động phổ thông</v>
      </c>
      <c r="R21" s="24">
        <f>IFERROR(__xludf.DUMMYFUNCTION("""COMPUTED_VALUE"""),44728.0)</f>
        <v>44728</v>
      </c>
      <c r="S21" s="24">
        <f>IFERROR(__xludf.DUMMYFUNCTION("""COMPUTED_VALUE"""),44986.0)</f>
        <v>44986</v>
      </c>
      <c r="T21" s="22" t="str">
        <f>IFERROR(__xludf.DUMMYFUNCTION("""COMPUTED_VALUE"""),"Chính thức")</f>
        <v>Chính thức</v>
      </c>
      <c r="U21" s="22"/>
      <c r="V21" s="22"/>
      <c r="W21" s="22" t="str">
        <f>IFERROR(__xludf.DUMMYFUNCTION("""COMPUTED_VALUE"""),"3 năm 6 tháng")</f>
        <v>3 năm 6 tháng</v>
      </c>
      <c r="X21" s="22"/>
      <c r="Y21" s="22"/>
      <c r="Z21" s="22"/>
    </row>
    <row r="22">
      <c r="A22" s="23" t="str">
        <f>IFERROR(__xludf.DUMMYFUNCTION("""COMPUTED_VALUE"""),"3")</f>
        <v>3</v>
      </c>
      <c r="B22" s="22" t="str">
        <f>IFERROR(__xludf.DUMMYFUNCTION("""COMPUTED_VALUE"""),"PXSX1")</f>
        <v>PXSX1</v>
      </c>
      <c r="C22" s="22" t="str">
        <f>IFERROR(__xludf.DUMMYFUNCTION("""COMPUTED_VALUE"""),"Bộ phận nhiên liệu và gia công bán thành phẩm ")</f>
        <v>Bộ phận nhiên liệu và gia công bán thành phẩm </v>
      </c>
      <c r="D22" s="22" t="str">
        <f>IFERROR(__xludf.DUMMYFUNCTION("""COMPUTED_VALUE"""),"Trạm than Ca A")</f>
        <v>Trạm than Ca A</v>
      </c>
      <c r="E22" s="22" t="str">
        <f>IFERROR(__xludf.DUMMYFUNCTION("""COMPUTED_VALUE"""),"Vận hành")</f>
        <v>Vận hành</v>
      </c>
      <c r="F22" s="22" t="str">
        <f>IFERROR(__xludf.DUMMYFUNCTION("""COMPUTED_VALUE"""),"NV0288")</f>
        <v>NV0288</v>
      </c>
      <c r="G22" s="22">
        <f>IFERROR(__xludf.DUMMYFUNCTION("""COMPUTED_VALUE"""),717.0)</f>
        <v>717</v>
      </c>
      <c r="H22" s="22" t="str">
        <f>IFERROR(__xludf.DUMMYFUNCTION("""COMPUTED_VALUE"""),"Nguyễn Đình Hiếu")</f>
        <v>Nguyễn Đình Hiếu</v>
      </c>
      <c r="I22" s="22" t="str">
        <f>IFERROR(__xludf.DUMMYFUNCTION("""COMPUTED_VALUE"""),"Nam")</f>
        <v>Nam</v>
      </c>
      <c r="J22" s="24">
        <f>IFERROR(__xludf.DUMMYFUNCTION("""COMPUTED_VALUE"""),31845.0)</f>
        <v>31845</v>
      </c>
      <c r="K22" s="22" t="str">
        <f>IFERROR(__xludf.DUMMYFUNCTION("""COMPUTED_VALUE"""),"Thôn An Hảo - Xã Hoằng Lộc - Tỉnh Thanh Hóa")</f>
        <v>Thôn An Hảo - Xã Hoằng Lộc - Tỉnh Thanh Hóa</v>
      </c>
      <c r="L22" s="22" t="str">
        <f>IFERROR(__xludf.DUMMYFUNCTION("""COMPUTED_VALUE"""),"0569124993")</f>
        <v>0569124993</v>
      </c>
      <c r="M22" s="22" t="str">
        <f>IFERROR(__xludf.DUMMYFUNCTION("""COMPUTED_VALUE"""),"038087005664")</f>
        <v>038087005664</v>
      </c>
      <c r="N22" s="24">
        <f>IFERROR(__xludf.DUMMYFUNCTION("""COMPUTED_VALUE"""),44325.0)</f>
        <v>44325</v>
      </c>
      <c r="O22" s="22" t="str">
        <f>IFERROR(__xludf.DUMMYFUNCTION("""COMPUTED_VALUE"""),"Cục Cảnh sát QLHC về TTXH")</f>
        <v>Cục Cảnh sát QLHC về TTXH</v>
      </c>
      <c r="P22" s="22" t="str">
        <f>IFERROR(__xludf.DUMMYFUNCTION("""COMPUTED_VALUE"""),"LĐPT")</f>
        <v>LĐPT</v>
      </c>
      <c r="Q22" s="22" t="str">
        <f>IFERROR(__xludf.DUMMYFUNCTION("""COMPUTED_VALUE"""),"Lao động phổ thông")</f>
        <v>Lao động phổ thông</v>
      </c>
      <c r="R22" s="24">
        <f>IFERROR(__xludf.DUMMYFUNCTION("""COMPUTED_VALUE"""),42002.0)</f>
        <v>42002</v>
      </c>
      <c r="S22" s="24">
        <f>IFERROR(__xludf.DUMMYFUNCTION("""COMPUTED_VALUE"""),42002.0)</f>
        <v>42002</v>
      </c>
      <c r="T22" s="22" t="str">
        <f>IFERROR(__xludf.DUMMYFUNCTION("""COMPUTED_VALUE"""),"Chính thức")</f>
        <v>Chính thức</v>
      </c>
      <c r="U22" s="22"/>
      <c r="V22" s="22"/>
      <c r="W22" s="22" t="str">
        <f>IFERROR(__xludf.DUMMYFUNCTION("""COMPUTED_VALUE"""),"11 năm 0 tháng")</f>
        <v>11 năm 0 tháng</v>
      </c>
      <c r="X22" s="22"/>
      <c r="Y22" s="22"/>
      <c r="Z22" s="22"/>
    </row>
    <row r="23">
      <c r="A23" s="23" t="str">
        <f>IFERROR(__xludf.DUMMYFUNCTION("""COMPUTED_VALUE"""),"4")</f>
        <v>4</v>
      </c>
      <c r="B23" s="22" t="str">
        <f>IFERROR(__xludf.DUMMYFUNCTION("""COMPUTED_VALUE"""),"PXSX1")</f>
        <v>PXSX1</v>
      </c>
      <c r="C23" s="22" t="str">
        <f>IFERROR(__xludf.DUMMYFUNCTION("""COMPUTED_VALUE"""),"Bộ phận nhiên liệu và gia công bán thành phẩm ")</f>
        <v>Bộ phận nhiên liệu và gia công bán thành phẩm </v>
      </c>
      <c r="D23" s="22" t="str">
        <f>IFERROR(__xludf.DUMMYFUNCTION("""COMPUTED_VALUE"""),"Trạm than Ca A")</f>
        <v>Trạm than Ca A</v>
      </c>
      <c r="E23" s="22" t="str">
        <f>IFERROR(__xludf.DUMMYFUNCTION("""COMPUTED_VALUE"""),"Tổ phó")</f>
        <v>Tổ phó</v>
      </c>
      <c r="F23" s="22" t="str">
        <f>IFERROR(__xludf.DUMMYFUNCTION("""COMPUTED_VALUE"""),"NV0297")</f>
        <v>NV0297</v>
      </c>
      <c r="G23" s="22">
        <f>IFERROR(__xludf.DUMMYFUNCTION("""COMPUTED_VALUE"""),121.0)</f>
        <v>121</v>
      </c>
      <c r="H23" s="22" t="str">
        <f>IFERROR(__xludf.DUMMYFUNCTION("""COMPUTED_VALUE"""),"Trần Văn Nam")</f>
        <v>Trần Văn Nam</v>
      </c>
      <c r="I23" s="22" t="str">
        <f>IFERROR(__xludf.DUMMYFUNCTION("""COMPUTED_VALUE"""),"Nam")</f>
        <v>Nam</v>
      </c>
      <c r="J23" s="24">
        <f>IFERROR(__xludf.DUMMYFUNCTION("""COMPUTED_VALUE"""),33484.0)</f>
        <v>33484</v>
      </c>
      <c r="K23" s="22" t="str">
        <f>IFERROR(__xludf.DUMMYFUNCTION("""COMPUTED_VALUE"""),"Khu Phố 6 - Phường Quang Trung - Tỉnh Thanh Hóa - ")</f>
        <v>Khu Phố 6 - Phường Quang Trung - Tỉnh Thanh Hóa - </v>
      </c>
      <c r="L23" s="22" t="str">
        <f>IFERROR(__xludf.DUMMYFUNCTION("""COMPUTED_VALUE"""),"0948434501")</f>
        <v>0948434501</v>
      </c>
      <c r="M23" s="22" t="str">
        <f>IFERROR(__xludf.DUMMYFUNCTION("""COMPUTED_VALUE"""),"038091025418")</f>
        <v>038091025418</v>
      </c>
      <c r="N23" s="24">
        <f>IFERROR(__xludf.DUMMYFUNCTION("""COMPUTED_VALUE"""),44833.0)</f>
        <v>44833</v>
      </c>
      <c r="O23" s="22" t="str">
        <f>IFERROR(__xludf.DUMMYFUNCTION("""COMPUTED_VALUE"""),"Cục Cảnh sát QLHC về TTXH")</f>
        <v>Cục Cảnh sát QLHC về TTXH</v>
      </c>
      <c r="P23" s="22" t="str">
        <f>IFERROR(__xludf.DUMMYFUNCTION("""COMPUTED_VALUE"""),"Trung cấp")</f>
        <v>Trung cấp</v>
      </c>
      <c r="Q23" s="22" t="str">
        <f>IFERROR(__xludf.DUMMYFUNCTION("""COMPUTED_VALUE"""),"điện công nghiệp")</f>
        <v>điện công nghiệp</v>
      </c>
      <c r="R23" s="24">
        <f>IFERROR(__xludf.DUMMYFUNCTION("""COMPUTED_VALUE"""),41775.0)</f>
        <v>41775</v>
      </c>
      <c r="S23" s="24">
        <f>IFERROR(__xludf.DUMMYFUNCTION("""COMPUTED_VALUE"""),41775.0)</f>
        <v>41775</v>
      </c>
      <c r="T23" s="22" t="str">
        <f>IFERROR(__xludf.DUMMYFUNCTION("""COMPUTED_VALUE"""),"Chính thức")</f>
        <v>Chính thức</v>
      </c>
      <c r="U23" s="22"/>
      <c r="V23" s="22"/>
      <c r="W23" s="22" t="str">
        <f>IFERROR(__xludf.DUMMYFUNCTION("""COMPUTED_VALUE"""),"11 năm 7 tháng")</f>
        <v>11 năm 7 tháng</v>
      </c>
      <c r="X23" s="22"/>
      <c r="Y23" s="22"/>
      <c r="Z23" s="22"/>
    </row>
    <row r="24">
      <c r="A24" s="23" t="str">
        <f>IFERROR(__xludf.DUMMYFUNCTION("""COMPUTED_VALUE"""),"5")</f>
        <v>5</v>
      </c>
      <c r="B24" s="22" t="str">
        <f>IFERROR(__xludf.DUMMYFUNCTION("""COMPUTED_VALUE"""),"PXSX1")</f>
        <v>PXSX1</v>
      </c>
      <c r="C24" s="22" t="str">
        <f>IFERROR(__xludf.DUMMYFUNCTION("""COMPUTED_VALUE"""),"Bộ phận nhiên liệu và gia công bán thành phẩm ")</f>
        <v>Bộ phận nhiên liệu và gia công bán thành phẩm </v>
      </c>
      <c r="D24" s="22" t="str">
        <f>IFERROR(__xludf.DUMMYFUNCTION("""COMPUTED_VALUE"""),"Trạm than Ca A")</f>
        <v>Trạm than Ca A</v>
      </c>
      <c r="E24" s="22" t="str">
        <f>IFERROR(__xludf.DUMMYFUNCTION("""COMPUTED_VALUE"""),"Vận hành chính")</f>
        <v>Vận hành chính</v>
      </c>
      <c r="F24" s="22" t="str">
        <f>IFERROR(__xludf.DUMMYFUNCTION("""COMPUTED_VALUE"""),"NV1270")</f>
        <v>NV1270</v>
      </c>
      <c r="G24" s="22">
        <f>IFERROR(__xludf.DUMMYFUNCTION("""COMPUTED_VALUE"""),136.0)</f>
        <v>136</v>
      </c>
      <c r="H24" s="22" t="str">
        <f>IFERROR(__xludf.DUMMYFUNCTION("""COMPUTED_VALUE"""),"Lê Viết Việt")</f>
        <v>Lê Viết Việt</v>
      </c>
      <c r="I24" s="22" t="str">
        <f>IFERROR(__xludf.DUMMYFUNCTION("""COMPUTED_VALUE"""),"Nam")</f>
        <v>Nam</v>
      </c>
      <c r="J24" s="24">
        <f>IFERROR(__xludf.DUMMYFUNCTION("""COMPUTED_VALUE"""),34201.0)</f>
        <v>34201</v>
      </c>
      <c r="K24" s="22" t="str">
        <f>IFERROR(__xludf.DUMMYFUNCTION("""COMPUTED_VALUE"""),"Thôn 1 - Xã Thọ Long - Tỉnh Thanh Hóa")</f>
        <v>Thôn 1 - Xã Thọ Long - Tỉnh Thanh Hóa</v>
      </c>
      <c r="L24" s="22" t="str">
        <f>IFERROR(__xludf.DUMMYFUNCTION("""COMPUTED_VALUE"""),"0972378751")</f>
        <v>0972378751</v>
      </c>
      <c r="M24" s="22" t="str">
        <f>IFERROR(__xludf.DUMMYFUNCTION("""COMPUTED_VALUE"""),"038093050596")</f>
        <v>038093050596</v>
      </c>
      <c r="N24" s="24">
        <f>IFERROR(__xludf.DUMMYFUNCTION("""COMPUTED_VALUE"""),44546.0)</f>
        <v>44546</v>
      </c>
      <c r="O24" s="22" t="str">
        <f>IFERROR(__xludf.DUMMYFUNCTION("""COMPUTED_VALUE"""),"Cục Cảnh sát QLHC về TTXH")</f>
        <v>Cục Cảnh sát QLHC về TTXH</v>
      </c>
      <c r="P24" s="22" t="str">
        <f>IFERROR(__xludf.DUMMYFUNCTION("""COMPUTED_VALUE"""),"Cao đẳng")</f>
        <v>Cao đẳng</v>
      </c>
      <c r="Q24" s="22" t="str">
        <f>IFERROR(__xludf.DUMMYFUNCTION("""COMPUTED_VALUE"""),"Hệ thống điện")</f>
        <v>Hệ thống điện</v>
      </c>
      <c r="R24" s="24">
        <f>IFERROR(__xludf.DUMMYFUNCTION("""COMPUTED_VALUE"""),43201.0)</f>
        <v>43201</v>
      </c>
      <c r="S24" s="24">
        <f>IFERROR(__xludf.DUMMYFUNCTION("""COMPUTED_VALUE"""),43586.0)</f>
        <v>43586</v>
      </c>
      <c r="T24" s="22" t="str">
        <f>IFERROR(__xludf.DUMMYFUNCTION("""COMPUTED_VALUE"""),"Chính thức")</f>
        <v>Chính thức</v>
      </c>
      <c r="U24" s="22"/>
      <c r="V24" s="22"/>
      <c r="W24" s="22" t="str">
        <f>IFERROR(__xludf.DUMMYFUNCTION("""COMPUTED_VALUE"""),"7 năm 8 tháng")</f>
        <v>7 năm 8 tháng</v>
      </c>
      <c r="X24" s="22"/>
      <c r="Y24" s="22"/>
      <c r="Z24" s="22"/>
    </row>
    <row r="25">
      <c r="A25" s="23" t="str">
        <f>IFERROR(__xludf.DUMMYFUNCTION("""COMPUTED_VALUE"""),"6")</f>
        <v>6</v>
      </c>
      <c r="B25" s="22" t="str">
        <f>IFERROR(__xludf.DUMMYFUNCTION("""COMPUTED_VALUE"""),"PXSX1")</f>
        <v>PXSX1</v>
      </c>
      <c r="C25" s="22" t="str">
        <f>IFERROR(__xludf.DUMMYFUNCTION("""COMPUTED_VALUE"""),"Bộ phận nhiên liệu và gia công bán thành phẩm ")</f>
        <v>Bộ phận nhiên liệu và gia công bán thành phẩm </v>
      </c>
      <c r="D25" s="22" t="str">
        <f>IFERROR(__xludf.DUMMYFUNCTION("""COMPUTED_VALUE"""),"Trạm than Ca A")</f>
        <v>Trạm than Ca A</v>
      </c>
      <c r="E25" s="22" t="str">
        <f>IFERROR(__xludf.DUMMYFUNCTION("""COMPUTED_VALUE"""),"Tổ phó")</f>
        <v>Tổ phó</v>
      </c>
      <c r="F25" s="22" t="str">
        <f>IFERROR(__xludf.DUMMYFUNCTION("""COMPUTED_VALUE"""),"NV0303")</f>
        <v>NV0303</v>
      </c>
      <c r="G25" s="22">
        <f>IFERROR(__xludf.DUMMYFUNCTION("""COMPUTED_VALUE"""),132.0)</f>
        <v>132</v>
      </c>
      <c r="H25" s="22" t="str">
        <f>IFERROR(__xludf.DUMMYFUNCTION("""COMPUTED_VALUE"""),"Lê Văn Thọ")</f>
        <v>Lê Văn Thọ</v>
      </c>
      <c r="I25" s="22" t="str">
        <f>IFERROR(__xludf.DUMMYFUNCTION("""COMPUTED_VALUE"""),"Nam")</f>
        <v>Nam</v>
      </c>
      <c r="J25" s="24">
        <f>IFERROR(__xludf.DUMMYFUNCTION("""COMPUTED_VALUE"""),34375.0)</f>
        <v>34375</v>
      </c>
      <c r="K25" s="22" t="str">
        <f>IFERROR(__xludf.DUMMYFUNCTION("""COMPUTED_VALUE"""),"Thôn Bột Trung - Xã Hoằng Lộc - Tỉnh Thanh Hoá")</f>
        <v>Thôn Bột Trung - Xã Hoằng Lộc - Tỉnh Thanh Hoá</v>
      </c>
      <c r="L25" s="22" t="str">
        <f>IFERROR(__xludf.DUMMYFUNCTION("""COMPUTED_VALUE"""),"0396690369")</f>
        <v>0396690369</v>
      </c>
      <c r="M25" s="22" t="str">
        <f>IFERROR(__xludf.DUMMYFUNCTION("""COMPUTED_VALUE"""),"038094013596")</f>
        <v>038094013596</v>
      </c>
      <c r="N25" s="24">
        <f>IFERROR(__xludf.DUMMYFUNCTION("""COMPUTED_VALUE"""),44420.0)</f>
        <v>44420</v>
      </c>
      <c r="O25" s="22" t="str">
        <f>IFERROR(__xludf.DUMMYFUNCTION("""COMPUTED_VALUE"""),"Cục Cảnh sát QLHC về TTXH")</f>
        <v>Cục Cảnh sát QLHC về TTXH</v>
      </c>
      <c r="P25" s="22" t="str">
        <f>IFERROR(__xludf.DUMMYFUNCTION("""COMPUTED_VALUE"""),"LĐPT")</f>
        <v>LĐPT</v>
      </c>
      <c r="Q25" s="22" t="str">
        <f>IFERROR(__xludf.DUMMYFUNCTION("""COMPUTED_VALUE"""),"Lao động phổ thông")</f>
        <v>Lao động phổ thông</v>
      </c>
      <c r="R25" s="24">
        <f>IFERROR(__xludf.DUMMYFUNCTION("""COMPUTED_VALUE"""),42205.0)</f>
        <v>42205</v>
      </c>
      <c r="S25" s="24">
        <f>IFERROR(__xludf.DUMMYFUNCTION("""COMPUTED_VALUE"""),42205.0)</f>
        <v>42205</v>
      </c>
      <c r="T25" s="22" t="str">
        <f>IFERROR(__xludf.DUMMYFUNCTION("""COMPUTED_VALUE"""),"Chính thức")</f>
        <v>Chính thức</v>
      </c>
      <c r="U25" s="22"/>
      <c r="V25" s="22"/>
      <c r="W25" s="22" t="str">
        <f>IFERROR(__xludf.DUMMYFUNCTION("""COMPUTED_VALUE"""),"10 năm 5 tháng")</f>
        <v>10 năm 5 tháng</v>
      </c>
      <c r="X25" s="22"/>
      <c r="Y25" s="22"/>
      <c r="Z25" s="22"/>
    </row>
    <row r="26">
      <c r="A26" s="23" t="str">
        <f>IFERROR(__xludf.DUMMYFUNCTION("""COMPUTED_VALUE"""),"7")</f>
        <v>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3" t="str">
        <f>IFERROR(__xludf.DUMMYFUNCTION("""COMPUTED_VALUE"""),"8")</f>
        <v>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3" t="str">
        <f>IFERROR(__xludf.DUMMYFUNCTION("""COMPUTED_VALUE"""),"9")</f>
        <v>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3" t="str">
        <f>IFERROR(__xludf.DUMMYFUNCTION("""COMPUTED_VALUE"""),"3.3")</f>
        <v>3.3</v>
      </c>
      <c r="B29" s="22" t="str">
        <f>IFERROR(__xludf.DUMMYFUNCTION("""COMPUTED_VALUE"""),"Trạm than Ca B")</f>
        <v>Trạm than Ca B</v>
      </c>
      <c r="C29" s="22">
        <f>IFERROR(__xludf.DUMMYFUNCTION("""COMPUTED_VALUE"""),6.0)</f>
        <v>6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3" t="str">
        <f>IFERROR(__xludf.DUMMYFUNCTION("""COMPUTED_VALUE"""),"1")</f>
        <v>1</v>
      </c>
      <c r="B30" s="22" t="str">
        <f>IFERROR(__xludf.DUMMYFUNCTION("""COMPUTED_VALUE"""),"PXSX1")</f>
        <v>PXSX1</v>
      </c>
      <c r="C30" s="22" t="str">
        <f>IFERROR(__xludf.DUMMYFUNCTION("""COMPUTED_VALUE"""),"Bộ phận nhiên liệu và gia công bán thành phẩm ")</f>
        <v>Bộ phận nhiên liệu và gia công bán thành phẩm </v>
      </c>
      <c r="D30" s="22" t="str">
        <f>IFERROR(__xludf.DUMMYFUNCTION("""COMPUTED_VALUE"""),"Trạm than Ca B")</f>
        <v>Trạm than Ca B</v>
      </c>
      <c r="E30" s="22" t="str">
        <f>IFERROR(__xludf.DUMMYFUNCTION("""COMPUTED_VALUE"""),"Công nhân vận hành")</f>
        <v>Công nhân vận hành</v>
      </c>
      <c r="F30" s="22" t="str">
        <f>IFERROR(__xludf.DUMMYFUNCTION("""COMPUTED_VALUE"""),"NV1202")</f>
        <v>NV1202</v>
      </c>
      <c r="G30" s="22">
        <f>IFERROR(__xludf.DUMMYFUNCTION("""COMPUTED_VALUE"""),107.0)</f>
        <v>107</v>
      </c>
      <c r="H30" s="22" t="str">
        <f>IFERROR(__xludf.DUMMYFUNCTION("""COMPUTED_VALUE"""),"Đàm Lê Tính")</f>
        <v>Đàm Lê Tính</v>
      </c>
      <c r="I30" s="22" t="str">
        <f>IFERROR(__xludf.DUMMYFUNCTION("""COMPUTED_VALUE"""),"Nam")</f>
        <v>Nam</v>
      </c>
      <c r="J30" s="24">
        <f>IFERROR(__xludf.DUMMYFUNCTION("""COMPUTED_VALUE"""),28187.0)</f>
        <v>28187</v>
      </c>
      <c r="K30" s="22" t="str">
        <f>IFERROR(__xludf.DUMMYFUNCTION("""COMPUTED_VALUE"""),"Thôn Gia Lộc - Phường Quảng Phú - Tỉnh Thanh Hóa")</f>
        <v>Thôn Gia Lộc - Phường Quảng Phú - Tỉnh Thanh Hóa</v>
      </c>
      <c r="L30" s="22" t="str">
        <f>IFERROR(__xludf.DUMMYFUNCTION("""COMPUTED_VALUE"""),"0773373110")</f>
        <v>0773373110</v>
      </c>
      <c r="M30" s="22" t="str">
        <f>IFERROR(__xludf.DUMMYFUNCTION("""COMPUTED_VALUE"""),"038077030568")</f>
        <v>038077030568</v>
      </c>
      <c r="N30" s="24">
        <f>IFERROR(__xludf.DUMMYFUNCTION("""COMPUTED_VALUE"""),44418.0)</f>
        <v>44418</v>
      </c>
      <c r="O30" s="22" t="str">
        <f>IFERROR(__xludf.DUMMYFUNCTION("""COMPUTED_VALUE"""),"Cục Cảnh sát QLHC về TTXH")</f>
        <v>Cục Cảnh sát QLHC về TTXH</v>
      </c>
      <c r="P30" s="22" t="str">
        <f>IFERROR(__xludf.DUMMYFUNCTION("""COMPUTED_VALUE"""),"LĐPT")</f>
        <v>LĐPT</v>
      </c>
      <c r="Q30" s="22" t="str">
        <f>IFERROR(__xludf.DUMMYFUNCTION("""COMPUTED_VALUE"""),"Lao động phổ thông")</f>
        <v>Lao động phổ thông</v>
      </c>
      <c r="R30" s="24">
        <f>IFERROR(__xludf.DUMMYFUNCTION("""COMPUTED_VALUE"""),43160.0)</f>
        <v>43160</v>
      </c>
      <c r="S30" s="24">
        <f>IFERROR(__xludf.DUMMYFUNCTION("""COMPUTED_VALUE"""),43466.0)</f>
        <v>43466</v>
      </c>
      <c r="T30" s="22" t="str">
        <f>IFERROR(__xludf.DUMMYFUNCTION("""COMPUTED_VALUE"""),"Chính thức")</f>
        <v>Chính thức</v>
      </c>
      <c r="U30" s="22"/>
      <c r="V30" s="22"/>
      <c r="W30" s="22" t="str">
        <f>IFERROR(__xludf.DUMMYFUNCTION("""COMPUTED_VALUE"""),"7 năm 9 tháng")</f>
        <v>7 năm 9 tháng</v>
      </c>
      <c r="X30" s="22"/>
      <c r="Y30" s="22"/>
      <c r="Z30" s="22"/>
    </row>
    <row r="31">
      <c r="A31" s="23" t="str">
        <f>IFERROR(__xludf.DUMMYFUNCTION("""COMPUTED_VALUE"""),"2")</f>
        <v>2</v>
      </c>
      <c r="B31" s="22" t="str">
        <f>IFERROR(__xludf.DUMMYFUNCTION("""COMPUTED_VALUE"""),"PXSX1")</f>
        <v>PXSX1</v>
      </c>
      <c r="C31" s="22" t="str">
        <f>IFERROR(__xludf.DUMMYFUNCTION("""COMPUTED_VALUE"""),"Bộ phận nhiên liệu và gia công bán thành phẩm ")</f>
        <v>Bộ phận nhiên liệu và gia công bán thành phẩm </v>
      </c>
      <c r="D31" s="22" t="str">
        <f>IFERROR(__xludf.DUMMYFUNCTION("""COMPUTED_VALUE"""),"Trạm than Ca B")</f>
        <v>Trạm than Ca B</v>
      </c>
      <c r="E31" s="22" t="str">
        <f>IFERROR(__xludf.DUMMYFUNCTION("""COMPUTED_VALUE"""),"Công nhân vận hành")</f>
        <v>Công nhân vận hành</v>
      </c>
      <c r="F31" s="22" t="str">
        <f>IFERROR(__xludf.DUMMYFUNCTION("""COMPUTED_VALUE"""),"NV2411")</f>
        <v>NV2411</v>
      </c>
      <c r="G31" s="22">
        <f>IFERROR(__xludf.DUMMYFUNCTION("""COMPUTED_VALUE"""),243.0)</f>
        <v>243</v>
      </c>
      <c r="H31" s="22" t="str">
        <f>IFERROR(__xludf.DUMMYFUNCTION("""COMPUTED_VALUE"""),"Phạm Hữu Huy")</f>
        <v>Phạm Hữu Huy</v>
      </c>
      <c r="I31" s="22" t="str">
        <f>IFERROR(__xludf.DUMMYFUNCTION("""COMPUTED_VALUE"""),"Nam")</f>
        <v>Nam</v>
      </c>
      <c r="J31" s="24">
        <f>IFERROR(__xludf.DUMMYFUNCTION("""COMPUTED_VALUE"""),28984.0)</f>
        <v>28984</v>
      </c>
      <c r="K31" s="22" t="str">
        <f>IFERROR(__xludf.DUMMYFUNCTION("""COMPUTED_VALUE"""),"Thôn 2 - Xã Lưu Vệ - Tỉnh Thanh Hóa ")</f>
        <v>Thôn 2 - Xã Lưu Vệ - Tỉnh Thanh Hóa </v>
      </c>
      <c r="L31" s="22" t="str">
        <f>IFERROR(__xludf.DUMMYFUNCTION("""COMPUTED_VALUE"""),"0975804659")</f>
        <v>0975804659</v>
      </c>
      <c r="M31" s="22" t="str">
        <f>IFERROR(__xludf.DUMMYFUNCTION("""COMPUTED_VALUE"""),"038079010127")</f>
        <v>038079010127</v>
      </c>
      <c r="N31" s="24">
        <f>IFERROR(__xludf.DUMMYFUNCTION("""COMPUTED_VALUE"""),44419.0)</f>
        <v>44419</v>
      </c>
      <c r="O31" s="22" t="str">
        <f>IFERROR(__xludf.DUMMYFUNCTION("""COMPUTED_VALUE"""),"Cục Cảnh sát QLHC về TTXH")</f>
        <v>Cục Cảnh sát QLHC về TTXH</v>
      </c>
      <c r="P31" s="22" t="str">
        <f>IFERROR(__xludf.DUMMYFUNCTION("""COMPUTED_VALUE"""),"LĐPT")</f>
        <v>LĐPT</v>
      </c>
      <c r="Q31" s="22" t="str">
        <f>IFERROR(__xludf.DUMMYFUNCTION("""COMPUTED_VALUE"""),"Lao động phổ thông")</f>
        <v>Lao động phổ thông</v>
      </c>
      <c r="R31" s="24">
        <f>IFERROR(__xludf.DUMMYFUNCTION("""COMPUTED_VALUE"""),43617.0)</f>
        <v>43617</v>
      </c>
      <c r="S31" s="24">
        <f>IFERROR(__xludf.DUMMYFUNCTION("""COMPUTED_VALUE"""),44013.0)</f>
        <v>44013</v>
      </c>
      <c r="T31" s="22" t="str">
        <f>IFERROR(__xludf.DUMMYFUNCTION("""COMPUTED_VALUE"""),"Chính thức")</f>
        <v>Chính thức</v>
      </c>
      <c r="U31" s="22"/>
      <c r="V31" s="22" t="str">
        <f>IFERROR(__xludf.DUMMYFUNCTION("""COMPUTED_VALUE"""),"Điều động")</f>
        <v>Điều động</v>
      </c>
      <c r="W31" s="22" t="str">
        <f>IFERROR(__xludf.DUMMYFUNCTION("""COMPUTED_VALUE"""),"6 năm 6 tháng")</f>
        <v>6 năm 6 tháng</v>
      </c>
      <c r="X31" s="22"/>
      <c r="Y31" s="22"/>
      <c r="Z31" s="22"/>
    </row>
    <row r="32">
      <c r="A32" s="23" t="str">
        <f>IFERROR(__xludf.DUMMYFUNCTION("""COMPUTED_VALUE"""),"3")</f>
        <v>3</v>
      </c>
      <c r="B32" s="22" t="str">
        <f>IFERROR(__xludf.DUMMYFUNCTION("""COMPUTED_VALUE"""),"PXSX1")</f>
        <v>PXSX1</v>
      </c>
      <c r="C32" s="22" t="str">
        <f>IFERROR(__xludf.DUMMYFUNCTION("""COMPUTED_VALUE"""),"Bộ phận nhiên liệu và gia công bán thành phẩm ")</f>
        <v>Bộ phận nhiên liệu và gia công bán thành phẩm </v>
      </c>
      <c r="D32" s="22" t="str">
        <f>IFERROR(__xludf.DUMMYFUNCTION("""COMPUTED_VALUE"""),"Trạm than Ca B")</f>
        <v>Trạm than Ca B</v>
      </c>
      <c r="E32" s="22" t="str">
        <f>IFERROR(__xludf.DUMMYFUNCTION("""COMPUTED_VALUE"""),"Tổ phó")</f>
        <v>Tổ phó</v>
      </c>
      <c r="F32" s="22" t="str">
        <f>IFERROR(__xludf.DUMMYFUNCTION("""COMPUTED_VALUE"""),"NV0306")</f>
        <v>NV0306</v>
      </c>
      <c r="G32" s="22">
        <f>IFERROR(__xludf.DUMMYFUNCTION("""COMPUTED_VALUE"""),276.0)</f>
        <v>276</v>
      </c>
      <c r="H32" s="22" t="str">
        <f>IFERROR(__xludf.DUMMYFUNCTION("""COMPUTED_VALUE"""),"Nguyễn Văn Phiệt")</f>
        <v>Nguyễn Văn Phiệt</v>
      </c>
      <c r="I32" s="22" t="str">
        <f>IFERROR(__xludf.DUMMYFUNCTION("""COMPUTED_VALUE"""),"Nam")</f>
        <v>Nam</v>
      </c>
      <c r="J32" s="24">
        <f>IFERROR(__xludf.DUMMYFUNCTION("""COMPUTED_VALUE"""),29148.0)</f>
        <v>29148</v>
      </c>
      <c r="K32" s="22" t="str">
        <f>IFERROR(__xludf.DUMMYFUNCTION("""COMPUTED_VALUE"""),"Bột Trung - Xã Hoằng Lộc - Tỉnh Thanh Hóa")</f>
        <v>Bột Trung - Xã Hoằng Lộc - Tỉnh Thanh Hóa</v>
      </c>
      <c r="L32" s="22" t="str">
        <f>IFERROR(__xludf.DUMMYFUNCTION("""COMPUTED_VALUE"""),"0981279523")</f>
        <v>0981279523</v>
      </c>
      <c r="M32" s="22" t="str">
        <f>IFERROR(__xludf.DUMMYFUNCTION("""COMPUTED_VALUE"""),"038079021303")</f>
        <v>038079021303</v>
      </c>
      <c r="N32" s="24">
        <f>IFERROR(__xludf.DUMMYFUNCTION("""COMPUTED_VALUE"""),37115.0)</f>
        <v>37115</v>
      </c>
      <c r="O32" s="22" t="str">
        <f>IFERROR(__xludf.DUMMYFUNCTION("""COMPUTED_VALUE"""),"Cục Cảnh sát QLHC về TTXH")</f>
        <v>Cục Cảnh sát QLHC về TTXH</v>
      </c>
      <c r="P32" s="22" t="str">
        <f>IFERROR(__xludf.DUMMYFUNCTION("""COMPUTED_VALUE"""),"LĐPT")</f>
        <v>LĐPT</v>
      </c>
      <c r="Q32" s="22" t="str">
        <f>IFERROR(__xludf.DUMMYFUNCTION("""COMPUTED_VALUE"""),"Lao động phổ thông")</f>
        <v>Lao động phổ thông</v>
      </c>
      <c r="R32" s="24">
        <f>IFERROR(__xludf.DUMMYFUNCTION("""COMPUTED_VALUE"""),39508.0)</f>
        <v>39508</v>
      </c>
      <c r="S32" s="24">
        <f>IFERROR(__xludf.DUMMYFUNCTION("""COMPUTED_VALUE"""),39508.0)</f>
        <v>39508</v>
      </c>
      <c r="T32" s="22" t="str">
        <f>IFERROR(__xludf.DUMMYFUNCTION("""COMPUTED_VALUE"""),"Chính thức")</f>
        <v>Chính thức</v>
      </c>
      <c r="U32" s="22"/>
      <c r="V32" s="22" t="str">
        <f>IFERROR(__xludf.DUMMYFUNCTION("""COMPUTED_VALUE"""),"Chính thức")</f>
        <v>Chính thức</v>
      </c>
      <c r="W32" s="22" t="str">
        <f>IFERROR(__xludf.DUMMYFUNCTION("""COMPUTED_VALUE"""),"17 năm 9 tháng")</f>
        <v>17 năm 9 tháng</v>
      </c>
      <c r="X32" s="22"/>
      <c r="Y32" s="22"/>
      <c r="Z32" s="22"/>
    </row>
    <row r="33">
      <c r="A33" s="23" t="str">
        <f>IFERROR(__xludf.DUMMYFUNCTION("""COMPUTED_VALUE"""),"4")</f>
        <v>4</v>
      </c>
      <c r="B33" s="22" t="str">
        <f>IFERROR(__xludf.DUMMYFUNCTION("""COMPUTED_VALUE"""),"PXSX1")</f>
        <v>PXSX1</v>
      </c>
      <c r="C33" s="22" t="str">
        <f>IFERROR(__xludf.DUMMYFUNCTION("""COMPUTED_VALUE"""),"Bộ phận nhiên liệu và gia công bán thành phẩm ")</f>
        <v>Bộ phận nhiên liệu và gia công bán thành phẩm </v>
      </c>
      <c r="D33" s="22" t="str">
        <f>IFERROR(__xludf.DUMMYFUNCTION("""COMPUTED_VALUE"""),"Trạm than Ca B")</f>
        <v>Trạm than Ca B</v>
      </c>
      <c r="E33" s="22" t="str">
        <f>IFERROR(__xludf.DUMMYFUNCTION("""COMPUTED_VALUE"""),"Công nhân vận hành")</f>
        <v>Công nhân vận hành</v>
      </c>
      <c r="F33" s="22" t="str">
        <f>IFERROR(__xludf.DUMMYFUNCTION("""COMPUTED_VALUE"""),"NV0309")</f>
        <v>NV0309</v>
      </c>
      <c r="G33" s="22">
        <f>IFERROR(__xludf.DUMMYFUNCTION("""COMPUTED_VALUE"""),244.0)</f>
        <v>244</v>
      </c>
      <c r="H33" s="22" t="str">
        <f>IFERROR(__xludf.DUMMYFUNCTION("""COMPUTED_VALUE"""),"Lê Văn Tới")</f>
        <v>Lê Văn Tới</v>
      </c>
      <c r="I33" s="22" t="str">
        <f>IFERROR(__xludf.DUMMYFUNCTION("""COMPUTED_VALUE"""),"Nam")</f>
        <v>Nam</v>
      </c>
      <c r="J33" s="24">
        <f>IFERROR(__xludf.DUMMYFUNCTION("""COMPUTED_VALUE"""),31265.0)</f>
        <v>31265</v>
      </c>
      <c r="K33" s="22" t="str">
        <f>IFERROR(__xludf.DUMMYFUNCTION("""COMPUTED_VALUE"""),"Thôn Nguyệt Viên 2 - Phường Nguyệt Viên - Tỉnh thanh hóa")</f>
        <v>Thôn Nguyệt Viên 2 - Phường Nguyệt Viên - Tỉnh thanh hóa</v>
      </c>
      <c r="L33" s="22" t="str">
        <f>IFERROR(__xludf.DUMMYFUNCTION("""COMPUTED_VALUE"""),"0967215485")</f>
        <v>0967215485</v>
      </c>
      <c r="M33" s="22" t="str">
        <f>IFERROR(__xludf.DUMMYFUNCTION("""COMPUTED_VALUE"""),"038083035973")</f>
        <v>038083035973</v>
      </c>
      <c r="N33" s="24">
        <f>IFERROR(__xludf.DUMMYFUNCTION("""COMPUTED_VALUE"""),44440.0)</f>
        <v>44440</v>
      </c>
      <c r="O33" s="22" t="str">
        <f>IFERROR(__xludf.DUMMYFUNCTION("""COMPUTED_VALUE"""),"Cục Cảnh sát QLHC về TTXH")</f>
        <v>Cục Cảnh sát QLHC về TTXH</v>
      </c>
      <c r="P33" s="22" t="str">
        <f>IFERROR(__xludf.DUMMYFUNCTION("""COMPUTED_VALUE"""),"LĐPT")</f>
        <v>LĐPT</v>
      </c>
      <c r="Q33" s="22" t="str">
        <f>IFERROR(__xludf.DUMMYFUNCTION("""COMPUTED_VALUE"""),"Lao động phổ thông")</f>
        <v>Lao động phổ thông</v>
      </c>
      <c r="R33" s="24">
        <f>IFERROR(__xludf.DUMMYFUNCTION("""COMPUTED_VALUE"""),42110.0)</f>
        <v>42110</v>
      </c>
      <c r="S33" s="24">
        <f>IFERROR(__xludf.DUMMYFUNCTION("""COMPUTED_VALUE"""),42110.0)</f>
        <v>42110</v>
      </c>
      <c r="T33" s="22" t="str">
        <f>IFERROR(__xludf.DUMMYFUNCTION("""COMPUTED_VALUE"""),"Chính thức")</f>
        <v>Chính thức</v>
      </c>
      <c r="U33" s="22"/>
      <c r="V33" s="22"/>
      <c r="W33" s="22" t="str">
        <f>IFERROR(__xludf.DUMMYFUNCTION("""COMPUTED_VALUE"""),"10 năm 8 tháng")</f>
        <v>10 năm 8 tháng</v>
      </c>
      <c r="X33" s="22"/>
      <c r="Y33" s="22"/>
      <c r="Z33" s="22"/>
    </row>
    <row r="34">
      <c r="A34" s="23" t="str">
        <f>IFERROR(__xludf.DUMMYFUNCTION("""COMPUTED_VALUE"""),"5")</f>
        <v>5</v>
      </c>
      <c r="B34" s="22" t="str">
        <f>IFERROR(__xludf.DUMMYFUNCTION("""COMPUTED_VALUE"""),"PXSX1")</f>
        <v>PXSX1</v>
      </c>
      <c r="C34" s="22" t="str">
        <f>IFERROR(__xludf.DUMMYFUNCTION("""COMPUTED_VALUE"""),"Bộ phận nhiên liệu và gia công bán thành phẩm ")</f>
        <v>Bộ phận nhiên liệu và gia công bán thành phẩm </v>
      </c>
      <c r="D34" s="22" t="str">
        <f>IFERROR(__xludf.DUMMYFUNCTION("""COMPUTED_VALUE"""),"Trạm than Ca B")</f>
        <v>Trạm than Ca B</v>
      </c>
      <c r="E34" s="22" t="str">
        <f>IFERROR(__xludf.DUMMYFUNCTION("""COMPUTED_VALUE"""),"Vận hành chính")</f>
        <v>Vận hành chính</v>
      </c>
      <c r="F34" s="22" t="str">
        <f>IFERROR(__xludf.DUMMYFUNCTION("""COMPUTED_VALUE"""),"NV0312")</f>
        <v>NV0312</v>
      </c>
      <c r="G34" s="22">
        <f>IFERROR(__xludf.DUMMYFUNCTION("""COMPUTED_VALUE"""),242.0)</f>
        <v>242</v>
      </c>
      <c r="H34" s="22" t="str">
        <f>IFERROR(__xludf.DUMMYFUNCTION("""COMPUTED_VALUE"""),"Lê Văn Huân")</f>
        <v>Lê Văn Huân</v>
      </c>
      <c r="I34" s="22" t="str">
        <f>IFERROR(__xludf.DUMMYFUNCTION("""COMPUTED_VALUE"""),"Nam")</f>
        <v>Nam</v>
      </c>
      <c r="J34" s="24">
        <f>IFERROR(__xludf.DUMMYFUNCTION("""COMPUTED_VALUE"""),33125.0)</f>
        <v>33125</v>
      </c>
      <c r="K34" s="22" t="str">
        <f>IFERROR(__xludf.DUMMYFUNCTION("""COMPUTED_VALUE"""),"Thôn Bái Vàng - Xã Lưu Vệ - Tỉnh Thanh Hóa ")</f>
        <v>Thôn Bái Vàng - Xã Lưu Vệ - Tỉnh Thanh Hóa </v>
      </c>
      <c r="L34" s="22" t="str">
        <f>IFERROR(__xludf.DUMMYFUNCTION("""COMPUTED_VALUE"""),"0961280338")</f>
        <v>0961280338</v>
      </c>
      <c r="M34" s="22" t="str">
        <f>IFERROR(__xludf.DUMMYFUNCTION("""COMPUTED_VALUE"""),"038090003851")</f>
        <v>038090003851</v>
      </c>
      <c r="N34" s="24">
        <f>IFERROR(__xludf.DUMMYFUNCTION("""COMPUTED_VALUE"""),44296.0)</f>
        <v>44296</v>
      </c>
      <c r="O34" s="22" t="str">
        <f>IFERROR(__xludf.DUMMYFUNCTION("""COMPUTED_VALUE"""),"Cục Cảnh sát QLHC về TTXH")</f>
        <v>Cục Cảnh sát QLHC về TTXH</v>
      </c>
      <c r="P34" s="22" t="str">
        <f>IFERROR(__xludf.DUMMYFUNCTION("""COMPUTED_VALUE"""),"Trung cấp")</f>
        <v>Trung cấp</v>
      </c>
      <c r="Q34" s="22" t="str">
        <f>IFERROR(__xludf.DUMMYFUNCTION("""COMPUTED_VALUE"""),"điện công nghiệp")</f>
        <v>điện công nghiệp</v>
      </c>
      <c r="R34" s="24">
        <f>IFERROR(__xludf.DUMMYFUNCTION("""COMPUTED_VALUE"""),41716.0)</f>
        <v>41716</v>
      </c>
      <c r="S34" s="24">
        <f>IFERROR(__xludf.DUMMYFUNCTION("""COMPUTED_VALUE"""),41716.0)</f>
        <v>41716</v>
      </c>
      <c r="T34" s="22" t="str">
        <f>IFERROR(__xludf.DUMMYFUNCTION("""COMPUTED_VALUE"""),"Chính thức")</f>
        <v>Chính thức</v>
      </c>
      <c r="U34" s="22"/>
      <c r="V34" s="22" t="str">
        <f>IFERROR(__xludf.DUMMYFUNCTION("""COMPUTED_VALUE"""),"Chính thức")</f>
        <v>Chính thức</v>
      </c>
      <c r="W34" s="22" t="str">
        <f>IFERROR(__xludf.DUMMYFUNCTION("""COMPUTED_VALUE"""),"11 năm 9 tháng")</f>
        <v>11 năm 9 tháng</v>
      </c>
      <c r="X34" s="22"/>
      <c r="Y34" s="22"/>
      <c r="Z34" s="22"/>
    </row>
    <row r="35">
      <c r="A35" s="23" t="str">
        <f>IFERROR(__xludf.DUMMYFUNCTION("""COMPUTED_VALUE"""),"6")</f>
        <v>6</v>
      </c>
      <c r="B35" s="22" t="str">
        <f>IFERROR(__xludf.DUMMYFUNCTION("""COMPUTED_VALUE"""),"PXSX1")</f>
        <v>PXSX1</v>
      </c>
      <c r="C35" s="22" t="str">
        <f>IFERROR(__xludf.DUMMYFUNCTION("""COMPUTED_VALUE"""),"Bộ phận nhiên liệu và gia công bán thành phẩm ")</f>
        <v>Bộ phận nhiên liệu và gia công bán thành phẩm </v>
      </c>
      <c r="D35" s="22" t="str">
        <f>IFERROR(__xludf.DUMMYFUNCTION("""COMPUTED_VALUE"""),"Trạm than Ca B")</f>
        <v>Trạm than Ca B</v>
      </c>
      <c r="E35" s="22" t="str">
        <f>IFERROR(__xludf.DUMMYFUNCTION("""COMPUTED_VALUE"""),"Vận hành chính")</f>
        <v>Vận hành chính</v>
      </c>
      <c r="F35" s="22" t="str">
        <f>IFERROR(__xludf.DUMMYFUNCTION("""COMPUTED_VALUE"""),"NV1269")</f>
        <v>NV1269</v>
      </c>
      <c r="G35" s="22">
        <f>IFERROR(__xludf.DUMMYFUNCTION("""COMPUTED_VALUE"""),111.0)</f>
        <v>111</v>
      </c>
      <c r="H35" s="22" t="str">
        <f>IFERROR(__xludf.DUMMYFUNCTION("""COMPUTED_VALUE"""),"Đỗ Xuân Nam")</f>
        <v>Đỗ Xuân Nam</v>
      </c>
      <c r="I35" s="22" t="str">
        <f>IFERROR(__xludf.DUMMYFUNCTION("""COMPUTED_VALUE"""),"Nam")</f>
        <v>Nam</v>
      </c>
      <c r="J35" s="24">
        <f>IFERROR(__xludf.DUMMYFUNCTION("""COMPUTED_VALUE"""),34274.0)</f>
        <v>34274</v>
      </c>
      <c r="K35" s="22" t="str">
        <f>IFERROR(__xludf.DUMMYFUNCTION("""COMPUTED_VALUE"""),"Thôn 6 - Xã Thọ Xuân - Tỉnh Thanh Hóa")</f>
        <v>Thôn 6 - Xã Thọ Xuân - Tỉnh Thanh Hóa</v>
      </c>
      <c r="L35" s="22" t="str">
        <f>IFERROR(__xludf.DUMMYFUNCTION("""COMPUTED_VALUE"""),"0972611193")</f>
        <v>0972611193</v>
      </c>
      <c r="M35" s="22" t="str">
        <f>IFERROR(__xludf.DUMMYFUNCTION("""COMPUTED_VALUE"""),"038093032845")</f>
        <v>038093032845</v>
      </c>
      <c r="N35" s="24">
        <f>IFERROR(__xludf.DUMMYFUNCTION("""COMPUTED_VALUE"""),44364.0)</f>
        <v>44364</v>
      </c>
      <c r="O35" s="22" t="str">
        <f>IFERROR(__xludf.DUMMYFUNCTION("""COMPUTED_VALUE"""),"Cục Cảnh sát QLHC về TTXH")</f>
        <v>Cục Cảnh sát QLHC về TTXH</v>
      </c>
      <c r="P35" s="22" t="str">
        <f>IFERROR(__xludf.DUMMYFUNCTION("""COMPUTED_VALUE"""),"Đại học")</f>
        <v>Đại học</v>
      </c>
      <c r="Q35" s="22" t="str">
        <f>IFERROR(__xludf.DUMMYFUNCTION("""COMPUTED_VALUE"""),"Hệ thống điện")</f>
        <v>Hệ thống điện</v>
      </c>
      <c r="R35" s="24">
        <f>IFERROR(__xludf.DUMMYFUNCTION("""COMPUTED_VALUE"""),43201.0)</f>
        <v>43201</v>
      </c>
      <c r="S35" s="24">
        <f>IFERROR(__xludf.DUMMYFUNCTION("""COMPUTED_VALUE"""),43983.0)</f>
        <v>43983</v>
      </c>
      <c r="T35" s="22" t="str">
        <f>IFERROR(__xludf.DUMMYFUNCTION("""COMPUTED_VALUE"""),"Chính thức")</f>
        <v>Chính thức</v>
      </c>
      <c r="U35" s="22"/>
      <c r="V35" s="22"/>
      <c r="W35" s="22" t="str">
        <f>IFERROR(__xludf.DUMMYFUNCTION("""COMPUTED_VALUE"""),"7 năm 8 tháng")</f>
        <v>7 năm 8 tháng</v>
      </c>
      <c r="X35" s="22"/>
      <c r="Y35" s="22"/>
      <c r="Z35" s="22"/>
    </row>
    <row r="36">
      <c r="A36" s="23" t="str">
        <f>IFERROR(__xludf.DUMMYFUNCTION("""COMPUTED_VALUE"""),"7")</f>
        <v>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3" t="str">
        <f>IFERROR(__xludf.DUMMYFUNCTION("""COMPUTED_VALUE"""),"8")</f>
        <v>8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3" t="str">
        <f>IFERROR(__xludf.DUMMYFUNCTION("""COMPUTED_VALUE"""),"3.4")</f>
        <v>3.4</v>
      </c>
      <c r="B38" s="22" t="str">
        <f>IFERROR(__xludf.DUMMYFUNCTION("""COMPUTED_VALUE"""),"Trạm than Ca C")</f>
        <v>Trạm than Ca C</v>
      </c>
      <c r="C38" s="22">
        <f>IFERROR(__xludf.DUMMYFUNCTION("""COMPUTED_VALUE"""),0.0)</f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3" t="str">
        <f>IFERROR(__xludf.DUMMYFUNCTION("""COMPUTED_VALUE"""),"1")</f>
        <v>1</v>
      </c>
      <c r="B39" s="22" t="str">
        <f>IFERROR(__xludf.DUMMYFUNCTION("""COMPUTED_VALUE"""),"#N/A")</f>
        <v>#N/A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3" t="str">
        <f>IFERROR(__xludf.DUMMYFUNCTION("""COMPUTED_VALUE"""),"2")</f>
        <v>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3" t="str">
        <f>IFERROR(__xludf.DUMMYFUNCTION("""COMPUTED_VALUE"""),"3")</f>
        <v>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3" t="str">
        <f>IFERROR(__xludf.DUMMYFUNCTION("""COMPUTED_VALUE"""),"4")</f>
        <v>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3" t="str">
        <f>IFERROR(__xludf.DUMMYFUNCTION("""COMPUTED_VALUE"""),"5")</f>
        <v>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3" t="str">
        <f>IFERROR(__xludf.DUMMYFUNCTION("""COMPUTED_VALUE"""),"3.5")</f>
        <v>3.5</v>
      </c>
      <c r="B45" s="22" t="str">
        <f>IFERROR(__xludf.DUMMYFUNCTION("""COMPUTED_VALUE"""),"Nghiền - Sấy phun Ca A")</f>
        <v>Nghiền - Sấy phun Ca A</v>
      </c>
      <c r="C45" s="22">
        <f>IFERROR(__xludf.DUMMYFUNCTION("""COMPUTED_VALUE"""),10.0)</f>
        <v>10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3" t="str">
        <f>IFERROR(__xludf.DUMMYFUNCTION("""COMPUTED_VALUE"""),"1")</f>
        <v>1</v>
      </c>
      <c r="B46" s="22" t="str">
        <f>IFERROR(__xludf.DUMMYFUNCTION("""COMPUTED_VALUE"""),"PXSX1")</f>
        <v>PXSX1</v>
      </c>
      <c r="C46" s="22" t="str">
        <f>IFERROR(__xludf.DUMMYFUNCTION("""COMPUTED_VALUE"""),"Bộ phận nhiên liệu và gia công bán thành phẩm ")</f>
        <v>Bộ phận nhiên liệu và gia công bán thành phẩm </v>
      </c>
      <c r="D46" s="22" t="str">
        <f>IFERROR(__xludf.DUMMYFUNCTION("""COMPUTED_VALUE"""),"Nghiền - Sấy phun Ca A")</f>
        <v>Nghiền - Sấy phun Ca A</v>
      </c>
      <c r="E46" s="22" t="str">
        <f>IFERROR(__xludf.DUMMYFUNCTION("""COMPUTED_VALUE"""),"VHC than xích")</f>
        <v>VHC than xích</v>
      </c>
      <c r="F46" s="22" t="str">
        <f>IFERROR(__xludf.DUMMYFUNCTION("""COMPUTED_VALUE"""),"NV3189")</f>
        <v>NV3189</v>
      </c>
      <c r="G46" s="22">
        <f>IFERROR(__xludf.DUMMYFUNCTION("""COMPUTED_VALUE"""),211.0)</f>
        <v>211</v>
      </c>
      <c r="H46" s="22" t="str">
        <f>IFERROR(__xludf.DUMMYFUNCTION("""COMPUTED_VALUE"""),"Nguyễn Đăng Đua")</f>
        <v>Nguyễn Đăng Đua</v>
      </c>
      <c r="I46" s="22" t="str">
        <f>IFERROR(__xludf.DUMMYFUNCTION("""COMPUTED_VALUE"""),"Nam")</f>
        <v>Nam</v>
      </c>
      <c r="J46" s="24">
        <f>IFERROR(__xludf.DUMMYFUNCTION("""COMPUTED_VALUE"""),26804.0)</f>
        <v>26804</v>
      </c>
      <c r="K46" s="22" t="str">
        <f>IFERROR(__xludf.DUMMYFUNCTION("""COMPUTED_VALUE"""),"Thôn 1 - Phường Nam Sầm Sơn - Tỉnh Thanh Hóa")</f>
        <v>Thôn 1 - Phường Nam Sầm Sơn - Tỉnh Thanh Hóa</v>
      </c>
      <c r="L46" s="22" t="str">
        <f>IFERROR(__xludf.DUMMYFUNCTION("""COMPUTED_VALUE"""),"0971697248")</f>
        <v>0971697248</v>
      </c>
      <c r="M46" s="22" t="str">
        <f>IFERROR(__xludf.DUMMYFUNCTION("""COMPUTED_VALUE"""),"038073007311")</f>
        <v>038073007311</v>
      </c>
      <c r="N46" s="24">
        <f>IFERROR(__xludf.DUMMYFUNCTION("""COMPUTED_VALUE"""),44325.0)</f>
        <v>44325</v>
      </c>
      <c r="O46" s="22" t="str">
        <f>IFERROR(__xludf.DUMMYFUNCTION("""COMPUTED_VALUE"""),"Cục Cảnh sát QLHC về TTXH")</f>
        <v>Cục Cảnh sát QLHC về TTXH</v>
      </c>
      <c r="P46" s="22" t="str">
        <f>IFERROR(__xludf.DUMMYFUNCTION("""COMPUTED_VALUE"""),"LĐPT")</f>
        <v>LĐPT</v>
      </c>
      <c r="Q46" s="22" t="str">
        <f>IFERROR(__xludf.DUMMYFUNCTION("""COMPUTED_VALUE"""),"Lao động phổ thông")</f>
        <v>Lao động phổ thông</v>
      </c>
      <c r="R46" s="24">
        <f>IFERROR(__xludf.DUMMYFUNCTION("""COMPUTED_VALUE"""),44074.0)</f>
        <v>44074</v>
      </c>
      <c r="S46" s="24">
        <f>IFERROR(__xludf.DUMMYFUNCTION("""COMPUTED_VALUE"""),44348.0)</f>
        <v>44348</v>
      </c>
      <c r="T46" s="22" t="str">
        <f>IFERROR(__xludf.DUMMYFUNCTION("""COMPUTED_VALUE"""),"Chính thức")</f>
        <v>Chính thức</v>
      </c>
      <c r="U46" s="22"/>
      <c r="V46" s="22"/>
      <c r="W46" s="22" t="str">
        <f>IFERROR(__xludf.DUMMYFUNCTION("""COMPUTED_VALUE"""),"5 năm 4 tháng")</f>
        <v>5 năm 4 tháng</v>
      </c>
      <c r="X46" s="22"/>
      <c r="Y46" s="22"/>
      <c r="Z46" s="22"/>
    </row>
    <row r="47">
      <c r="A47" s="23" t="str">
        <f>IFERROR(__xludf.DUMMYFUNCTION("""COMPUTED_VALUE"""),"2")</f>
        <v>2</v>
      </c>
      <c r="B47" s="22" t="str">
        <f>IFERROR(__xludf.DUMMYFUNCTION("""COMPUTED_VALUE"""),"PXSX1")</f>
        <v>PXSX1</v>
      </c>
      <c r="C47" s="22" t="str">
        <f>IFERROR(__xludf.DUMMYFUNCTION("""COMPUTED_VALUE"""),"Bộ phận nhiên liệu và gia công bán thành phẩm ")</f>
        <v>Bộ phận nhiên liệu và gia công bán thành phẩm </v>
      </c>
      <c r="D47" s="22" t="str">
        <f>IFERROR(__xludf.DUMMYFUNCTION("""COMPUTED_VALUE"""),"Nghiền - Sấy phun Ca A")</f>
        <v>Nghiền - Sấy phun Ca A</v>
      </c>
      <c r="E47" s="22" t="str">
        <f>IFERROR(__xludf.DUMMYFUNCTION("""COMPUTED_VALUE"""),"VH chính sấy phun mức 1")</f>
        <v>VH chính sấy phun mức 1</v>
      </c>
      <c r="F47" s="22" t="str">
        <f>IFERROR(__xludf.DUMMYFUNCTION("""COMPUTED_VALUE"""),"NV3147")</f>
        <v>NV3147</v>
      </c>
      <c r="G47" s="22">
        <f>IFERROR(__xludf.DUMMYFUNCTION("""COMPUTED_VALUE"""),656.0)</f>
        <v>656</v>
      </c>
      <c r="H47" s="22" t="str">
        <f>IFERROR(__xludf.DUMMYFUNCTION("""COMPUTED_VALUE"""),"Bùi Đình Vương")</f>
        <v>Bùi Đình Vương</v>
      </c>
      <c r="I47" s="22" t="str">
        <f>IFERROR(__xludf.DUMMYFUNCTION("""COMPUTED_VALUE"""),"Nam")</f>
        <v>Nam</v>
      </c>
      <c r="J47" s="24">
        <f>IFERROR(__xludf.DUMMYFUNCTION("""COMPUTED_VALUE"""),26957.0)</f>
        <v>26957</v>
      </c>
      <c r="K47" s="22" t="str">
        <f>IFERROR(__xludf.DUMMYFUNCTION("""COMPUTED_VALUE"""),"Thôn 2 - Xã Quảng Bình - Tỉnh Thanh Hóa")</f>
        <v>Thôn 2 - Xã Quảng Bình - Tỉnh Thanh Hóa</v>
      </c>
      <c r="L47" s="22" t="str">
        <f>IFERROR(__xludf.DUMMYFUNCTION("""COMPUTED_VALUE"""),"0983355736")</f>
        <v>0983355736</v>
      </c>
      <c r="M47" s="22" t="str">
        <f>IFERROR(__xludf.DUMMYFUNCTION("""COMPUTED_VALUE"""),"173453532")</f>
        <v>173453532</v>
      </c>
      <c r="N47" s="24">
        <f>IFERROR(__xludf.DUMMYFUNCTION("""COMPUTED_VALUE"""),39146.0)</f>
        <v>39146</v>
      </c>
      <c r="O47" s="22" t="str">
        <f>IFERROR(__xludf.DUMMYFUNCTION("""COMPUTED_VALUE"""),"Cục Cảnh sát QLHC về TTXH")</f>
        <v>Cục Cảnh sát QLHC về TTXH</v>
      </c>
      <c r="P47" s="22" t="str">
        <f>IFERROR(__xludf.DUMMYFUNCTION("""COMPUTED_VALUE"""),"LĐPT")</f>
        <v>LĐPT</v>
      </c>
      <c r="Q47" s="22" t="str">
        <f>IFERROR(__xludf.DUMMYFUNCTION("""COMPUTED_VALUE"""),"Lao động phổ thông")</f>
        <v>Lao động phổ thông</v>
      </c>
      <c r="R47" s="24">
        <f>IFERROR(__xludf.DUMMYFUNCTION("""COMPUTED_VALUE"""),44035.0)</f>
        <v>44035</v>
      </c>
      <c r="S47" s="24">
        <f>IFERROR(__xludf.DUMMYFUNCTION("""COMPUTED_VALUE"""),44317.0)</f>
        <v>44317</v>
      </c>
      <c r="T47" s="22" t="str">
        <f>IFERROR(__xludf.DUMMYFUNCTION("""COMPUTED_VALUE"""),"Chính thức")</f>
        <v>Chính thức</v>
      </c>
      <c r="U47" s="22"/>
      <c r="V47" s="22"/>
      <c r="W47" s="22" t="str">
        <f>IFERROR(__xludf.DUMMYFUNCTION("""COMPUTED_VALUE"""),"5 năm 5 tháng")</f>
        <v>5 năm 5 tháng</v>
      </c>
      <c r="X47" s="22"/>
      <c r="Y47" s="22"/>
      <c r="Z47" s="22"/>
    </row>
    <row r="48">
      <c r="A48" s="23" t="str">
        <f>IFERROR(__xludf.DUMMYFUNCTION("""COMPUTED_VALUE"""),"3")</f>
        <v>3</v>
      </c>
      <c r="B48" s="22" t="str">
        <f>IFERROR(__xludf.DUMMYFUNCTION("""COMPUTED_VALUE"""),"PXSX1")</f>
        <v>PXSX1</v>
      </c>
      <c r="C48" s="22" t="str">
        <f>IFERROR(__xludf.DUMMYFUNCTION("""COMPUTED_VALUE"""),"Bộ phận nhiên liệu và gia công bán thành phẩm ")</f>
        <v>Bộ phận nhiên liệu và gia công bán thành phẩm </v>
      </c>
      <c r="D48" s="22" t="str">
        <f>IFERROR(__xludf.DUMMYFUNCTION("""COMPUTED_VALUE"""),"Nghiền - Sấy phun Ca A")</f>
        <v>Nghiền - Sấy phun Ca A</v>
      </c>
      <c r="E48" s="22" t="str">
        <f>IFERROR(__xludf.DUMMYFUNCTION("""COMPUTED_VALUE"""),"VHC than xích")</f>
        <v>VHC than xích</v>
      </c>
      <c r="F48" s="22" t="str">
        <f>IFERROR(__xludf.DUMMYFUNCTION("""COMPUTED_VALUE"""),"NV0283")</f>
        <v>NV0283</v>
      </c>
      <c r="G48" s="22">
        <f>IFERROR(__xludf.DUMMYFUNCTION("""COMPUTED_VALUE"""),217.0)</f>
        <v>217</v>
      </c>
      <c r="H48" s="22" t="str">
        <f>IFERROR(__xludf.DUMMYFUNCTION("""COMPUTED_VALUE"""),"Phạm Văn Hùng")</f>
        <v>Phạm Văn Hùng</v>
      </c>
      <c r="I48" s="22" t="str">
        <f>IFERROR(__xludf.DUMMYFUNCTION("""COMPUTED_VALUE"""),"Nam")</f>
        <v>Nam</v>
      </c>
      <c r="J48" s="24">
        <f>IFERROR(__xludf.DUMMYFUNCTION("""COMPUTED_VALUE"""),28038.0)</f>
        <v>28038</v>
      </c>
      <c r="K48" s="22" t="str">
        <f>IFERROR(__xludf.DUMMYFUNCTION("""COMPUTED_VALUE"""),"Tổ 1 Bào Ngoại - Phường Hạc Thành - Tỉnh Thanh Hóa")</f>
        <v>Tổ 1 Bào Ngoại - Phường Hạc Thành - Tỉnh Thanh Hóa</v>
      </c>
      <c r="L48" s="22" t="str">
        <f>IFERROR(__xludf.DUMMYFUNCTION("""COMPUTED_VALUE"""),"0975804659")</f>
        <v>0975804659</v>
      </c>
      <c r="M48" s="22" t="str">
        <f>IFERROR(__xludf.DUMMYFUNCTION("""COMPUTED_VALUE"""),"038076005001")</f>
        <v>038076005001</v>
      </c>
      <c r="N48" s="22"/>
      <c r="O48" s="22" t="str">
        <f>IFERROR(__xludf.DUMMYFUNCTION("""COMPUTED_VALUE"""),"Cục Cảnh sát QLHC về TTXH")</f>
        <v>Cục Cảnh sát QLHC về TTXH</v>
      </c>
      <c r="P48" s="22" t="str">
        <f>IFERROR(__xludf.DUMMYFUNCTION("""COMPUTED_VALUE"""),"LĐPT")</f>
        <v>LĐPT</v>
      </c>
      <c r="Q48" s="22" t="str">
        <f>IFERROR(__xludf.DUMMYFUNCTION("""COMPUTED_VALUE"""),"Lao động phổ thông")</f>
        <v>Lao động phổ thông</v>
      </c>
      <c r="R48" s="24">
        <f>IFERROR(__xludf.DUMMYFUNCTION("""COMPUTED_VALUE"""),40254.0)</f>
        <v>40254</v>
      </c>
      <c r="S48" s="24">
        <f>IFERROR(__xludf.DUMMYFUNCTION("""COMPUTED_VALUE"""),40254.0)</f>
        <v>40254</v>
      </c>
      <c r="T48" s="22" t="str">
        <f>IFERROR(__xludf.DUMMYFUNCTION("""COMPUTED_VALUE"""),"Chính thức")</f>
        <v>Chính thức</v>
      </c>
      <c r="U48" s="22"/>
      <c r="V48" s="22"/>
      <c r="W48" s="22" t="str">
        <f>IFERROR(__xludf.DUMMYFUNCTION("""COMPUTED_VALUE"""),"15 năm 9 tháng")</f>
        <v>15 năm 9 tháng</v>
      </c>
      <c r="X48" s="22"/>
      <c r="Y48" s="22"/>
      <c r="Z48" s="22"/>
    </row>
    <row r="49">
      <c r="A49" s="23" t="str">
        <f>IFERROR(__xludf.DUMMYFUNCTION("""COMPUTED_VALUE"""),"4")</f>
        <v>4</v>
      </c>
      <c r="B49" s="22" t="str">
        <f>IFERROR(__xludf.DUMMYFUNCTION("""COMPUTED_VALUE"""),"PXSX1")</f>
        <v>PXSX1</v>
      </c>
      <c r="C49" s="22" t="str">
        <f>IFERROR(__xludf.DUMMYFUNCTION("""COMPUTED_VALUE"""),"Bộ phận nhiên liệu và gia công bán thành phẩm ")</f>
        <v>Bộ phận nhiên liệu và gia công bán thành phẩm </v>
      </c>
      <c r="D49" s="22" t="str">
        <f>IFERROR(__xludf.DUMMYFUNCTION("""COMPUTED_VALUE"""),"Nghiền - Sấy phun Ca A")</f>
        <v>Nghiền - Sấy phun Ca A</v>
      </c>
      <c r="E49" s="22" t="str">
        <f>IFERROR(__xludf.DUMMYFUNCTION("""COMPUTED_VALUE"""),"Tổ phó - Phụ trách Nghiền -  sấy phun")</f>
        <v>Tổ phó - Phụ trách Nghiền -  sấy phun</v>
      </c>
      <c r="F49" s="22" t="str">
        <f>IFERROR(__xludf.DUMMYFUNCTION("""COMPUTED_VALUE"""),"NV0284")</f>
        <v>NV0284</v>
      </c>
      <c r="G49" s="22">
        <f>IFERROR(__xludf.DUMMYFUNCTION("""COMPUTED_VALUE"""),314.0)</f>
        <v>314</v>
      </c>
      <c r="H49" s="22" t="str">
        <f>IFERROR(__xludf.DUMMYFUNCTION("""COMPUTED_VALUE"""),"Lê Văn Sử")</f>
        <v>Lê Văn Sử</v>
      </c>
      <c r="I49" s="22" t="str">
        <f>IFERROR(__xludf.DUMMYFUNCTION("""COMPUTED_VALUE"""),"Nam")</f>
        <v>Nam</v>
      </c>
      <c r="J49" s="24">
        <f>IFERROR(__xludf.DUMMYFUNCTION("""COMPUTED_VALUE"""),29189.0)</f>
        <v>29189</v>
      </c>
      <c r="K49" s="22" t="str">
        <f>IFERROR(__xludf.DUMMYFUNCTION("""COMPUTED_VALUE"""),"Xã Lưu Vệ - Tỉnh Thanh Hóa ")</f>
        <v>Xã Lưu Vệ - Tỉnh Thanh Hóa </v>
      </c>
      <c r="L49" s="22" t="str">
        <f>IFERROR(__xludf.DUMMYFUNCTION("""COMPUTED_VALUE"""),"0389593411")</f>
        <v>0389593411</v>
      </c>
      <c r="M49" s="22" t="str">
        <f>IFERROR(__xludf.DUMMYFUNCTION("""COMPUTED_VALUE"""),"038079028592")</f>
        <v>038079028592</v>
      </c>
      <c r="N49" s="24">
        <f>IFERROR(__xludf.DUMMYFUNCTION("""COMPUTED_VALUE"""),44375.0)</f>
        <v>44375</v>
      </c>
      <c r="O49" s="22" t="str">
        <f>IFERROR(__xludf.DUMMYFUNCTION("""COMPUTED_VALUE"""),"Cục Cảnh sát QLHC về TTXH")</f>
        <v>Cục Cảnh sát QLHC về TTXH</v>
      </c>
      <c r="P49" s="22" t="str">
        <f>IFERROR(__xludf.DUMMYFUNCTION("""COMPUTED_VALUE"""),"Công nhân kỹ thuật")</f>
        <v>Công nhân kỹ thuật</v>
      </c>
      <c r="Q49" s="22" t="str">
        <f>IFERROR(__xludf.DUMMYFUNCTION("""COMPUTED_VALUE"""),"Lắp đặt cẩu")</f>
        <v>Lắp đặt cẩu</v>
      </c>
      <c r="R49" s="24">
        <f>IFERROR(__xludf.DUMMYFUNCTION("""COMPUTED_VALUE"""),41795.0)</f>
        <v>41795</v>
      </c>
      <c r="S49" s="24">
        <f>IFERROR(__xludf.DUMMYFUNCTION("""COMPUTED_VALUE"""),41795.0)</f>
        <v>41795</v>
      </c>
      <c r="T49" s="22" t="str">
        <f>IFERROR(__xludf.DUMMYFUNCTION("""COMPUTED_VALUE"""),"Chính thức")</f>
        <v>Chính thức</v>
      </c>
      <c r="U49" s="22"/>
      <c r="V49" s="22"/>
      <c r="W49" s="22" t="str">
        <f>IFERROR(__xludf.DUMMYFUNCTION("""COMPUTED_VALUE"""),"11 năm 6 tháng")</f>
        <v>11 năm 6 tháng</v>
      </c>
      <c r="X49" s="22"/>
      <c r="Y49" s="22"/>
      <c r="Z49" s="22"/>
    </row>
    <row r="50">
      <c r="A50" s="23" t="str">
        <f>IFERROR(__xludf.DUMMYFUNCTION("""COMPUTED_VALUE"""),"5")</f>
        <v>5</v>
      </c>
      <c r="B50" s="22" t="str">
        <f>IFERROR(__xludf.DUMMYFUNCTION("""COMPUTED_VALUE"""),"PXSX1")</f>
        <v>PXSX1</v>
      </c>
      <c r="C50" s="22" t="str">
        <f>IFERROR(__xludf.DUMMYFUNCTION("""COMPUTED_VALUE"""),"Bộ phận nhiên liệu và gia công bán thành phẩm ")</f>
        <v>Bộ phận nhiên liệu và gia công bán thành phẩm </v>
      </c>
      <c r="D50" s="22" t="str">
        <f>IFERROR(__xludf.DUMMYFUNCTION("""COMPUTED_VALUE"""),"Nghiền - Sấy phun Ca A")</f>
        <v>Nghiền - Sấy phun Ca A</v>
      </c>
      <c r="E50" s="22" t="str">
        <f>IFERROR(__xludf.DUMMYFUNCTION("""COMPUTED_VALUE"""),"VH Nạp nghiền")</f>
        <v>VH Nạp nghiền</v>
      </c>
      <c r="F50" s="22" t="str">
        <f>IFERROR(__xludf.DUMMYFUNCTION("""COMPUTED_VALUE"""),"NV5276")</f>
        <v>NV5276</v>
      </c>
      <c r="G50" s="22">
        <f>IFERROR(__xludf.DUMMYFUNCTION("""COMPUTED_VALUE"""),731.0)</f>
        <v>731</v>
      </c>
      <c r="H50" s="22" t="str">
        <f>IFERROR(__xludf.DUMMYFUNCTION("""COMPUTED_VALUE"""),"Nguyễn văn Tình")</f>
        <v>Nguyễn văn Tình</v>
      </c>
      <c r="I50" s="22" t="str">
        <f>IFERROR(__xludf.DUMMYFUNCTION("""COMPUTED_VALUE"""),"Nam")</f>
        <v>Nam</v>
      </c>
      <c r="J50" s="24">
        <f>IFERROR(__xludf.DUMMYFUNCTION("""COMPUTED_VALUE"""),29378.0)</f>
        <v>29378</v>
      </c>
      <c r="K50" s="22" t="str">
        <f>IFERROR(__xludf.DUMMYFUNCTION("""COMPUTED_VALUE"""),"Phường Nam Sầm Sơn - Tỉnh Thanh Hóa")</f>
        <v>Phường Nam Sầm Sơn - Tỉnh Thanh Hóa</v>
      </c>
      <c r="L50" s="22" t="str">
        <f>IFERROR(__xludf.DUMMYFUNCTION("""COMPUTED_VALUE"""),"0859073789")</f>
        <v>0859073789</v>
      </c>
      <c r="M50" s="22" t="str">
        <f>IFERROR(__xludf.DUMMYFUNCTION("""COMPUTED_VALUE"""),"038080013830")</f>
        <v>038080013830</v>
      </c>
      <c r="N50" s="24">
        <f>IFERROR(__xludf.DUMMYFUNCTION("""COMPUTED_VALUE"""),44325.0)</f>
        <v>44325</v>
      </c>
      <c r="O50" s="22" t="str">
        <f>IFERROR(__xludf.DUMMYFUNCTION("""COMPUTED_VALUE"""),"Cục Cảnh sát QLHC về TTXH")</f>
        <v>Cục Cảnh sát QLHC về TTXH</v>
      </c>
      <c r="P50" s="22" t="str">
        <f>IFERROR(__xludf.DUMMYFUNCTION("""COMPUTED_VALUE"""),"LĐPT")</f>
        <v>LĐPT</v>
      </c>
      <c r="Q50" s="22" t="str">
        <f>IFERROR(__xludf.DUMMYFUNCTION("""COMPUTED_VALUE"""),"Lao động phổ thông")</f>
        <v>Lao động phổ thông</v>
      </c>
      <c r="R50" s="24">
        <f>IFERROR(__xludf.DUMMYFUNCTION("""COMPUTED_VALUE"""),45457.0)</f>
        <v>45457</v>
      </c>
      <c r="S50" s="24">
        <f>IFERROR(__xludf.DUMMYFUNCTION("""COMPUTED_VALUE"""),45536.0)</f>
        <v>45536</v>
      </c>
      <c r="T50" s="22" t="str">
        <f>IFERROR(__xludf.DUMMYFUNCTION("""COMPUTED_VALUE"""),"Chính thức")</f>
        <v>Chính thức</v>
      </c>
      <c r="U50" s="22"/>
      <c r="V50" s="22"/>
      <c r="W50" s="22" t="str">
        <f>IFERROR(__xludf.DUMMYFUNCTION("""COMPUTED_VALUE"""),"1 năm 6 tháng")</f>
        <v>1 năm 6 tháng</v>
      </c>
      <c r="X50" s="22"/>
      <c r="Y50" s="22"/>
      <c r="Z50" s="22"/>
    </row>
    <row r="51">
      <c r="A51" s="23" t="str">
        <f>IFERROR(__xludf.DUMMYFUNCTION("""COMPUTED_VALUE"""),"6")</f>
        <v>6</v>
      </c>
      <c r="B51" s="22" t="str">
        <f>IFERROR(__xludf.DUMMYFUNCTION("""COMPUTED_VALUE"""),"PXSX1")</f>
        <v>PXSX1</v>
      </c>
      <c r="C51" s="22" t="str">
        <f>IFERROR(__xludf.DUMMYFUNCTION("""COMPUTED_VALUE"""),"Bộ phận nhiên liệu và gia công bán thành phẩm ")</f>
        <v>Bộ phận nhiên liệu và gia công bán thành phẩm </v>
      </c>
      <c r="D51" s="22" t="str">
        <f>IFERROR(__xludf.DUMMYFUNCTION("""COMPUTED_VALUE"""),"Nghiền - Sấy phun Ca A")</f>
        <v>Nghiền - Sấy phun Ca A</v>
      </c>
      <c r="E51" s="22" t="str">
        <f>IFERROR(__xludf.DUMMYFUNCTION("""COMPUTED_VALUE"""),"VH Nạp nghiền")</f>
        <v>VH Nạp nghiền</v>
      </c>
      <c r="F51" s="22" t="str">
        <f>IFERROR(__xludf.DUMMYFUNCTION("""COMPUTED_VALUE"""),"NV5512")</f>
        <v>NV5512</v>
      </c>
      <c r="G51" s="22">
        <f>IFERROR(__xludf.DUMMYFUNCTION("""COMPUTED_VALUE"""),995.0)</f>
        <v>995</v>
      </c>
      <c r="H51" s="22" t="str">
        <f>IFERROR(__xludf.DUMMYFUNCTION("""COMPUTED_VALUE"""),"Nguyễn Văn Hà")</f>
        <v>Nguyễn Văn Hà</v>
      </c>
      <c r="I51" s="22" t="str">
        <f>IFERROR(__xludf.DUMMYFUNCTION("""COMPUTED_VALUE"""),"Nam")</f>
        <v>Nam</v>
      </c>
      <c r="J51" s="24">
        <f>IFERROR(__xludf.DUMMYFUNCTION("""COMPUTED_VALUE"""),29514.0)</f>
        <v>29514</v>
      </c>
      <c r="K51" s="22" t="str">
        <f>IFERROR(__xludf.DUMMYFUNCTION("""COMPUTED_VALUE"""),"Phường Hạc Thành - Tỉnh Thanh Hóa")</f>
        <v>Phường Hạc Thành - Tỉnh Thanh Hóa</v>
      </c>
      <c r="L51" s="22" t="str">
        <f>IFERROR(__xludf.DUMMYFUNCTION("""COMPUTED_VALUE"""),"0364971180")</f>
        <v>0364971180</v>
      </c>
      <c r="M51" s="22" t="str">
        <f>IFERROR(__xludf.DUMMYFUNCTION("""COMPUTED_VALUE"""),"038080000515")</f>
        <v>038080000515</v>
      </c>
      <c r="N51" s="24">
        <f>IFERROR(__xludf.DUMMYFUNCTION("""COMPUTED_VALUE"""),44288.0)</f>
        <v>44288</v>
      </c>
      <c r="O51" s="22" t="str">
        <f>IFERROR(__xludf.DUMMYFUNCTION("""COMPUTED_VALUE"""),"Cục Cảnh sát QLHC về TTXH")</f>
        <v>Cục Cảnh sát QLHC về TTXH</v>
      </c>
      <c r="P51" s="22" t="str">
        <f>IFERROR(__xludf.DUMMYFUNCTION("""COMPUTED_VALUE"""),"LĐPT")</f>
        <v>LĐPT</v>
      </c>
      <c r="Q51" s="22" t="str">
        <f>IFERROR(__xludf.DUMMYFUNCTION("""COMPUTED_VALUE"""),"Lao động phổ thông")</f>
        <v>Lao động phổ thông</v>
      </c>
      <c r="R51" s="24">
        <f>IFERROR(__xludf.DUMMYFUNCTION("""COMPUTED_VALUE"""),45812.0)</f>
        <v>45812</v>
      </c>
      <c r="S51" s="22"/>
      <c r="T51" s="22" t="str">
        <f>IFERROR(__xludf.DUMMYFUNCTION("""COMPUTED_VALUE"""),"Chính thức")</f>
        <v>Chính thức</v>
      </c>
      <c r="U51" s="22"/>
      <c r="V51" s="22"/>
      <c r="W51" s="22" t="str">
        <f>IFERROR(__xludf.DUMMYFUNCTION("""COMPUTED_VALUE"""),"0 năm 6 tháng")</f>
        <v>0 năm 6 tháng</v>
      </c>
      <c r="X51" s="22"/>
      <c r="Y51" s="22"/>
      <c r="Z51" s="22"/>
    </row>
    <row r="52">
      <c r="A52" s="23" t="str">
        <f>IFERROR(__xludf.DUMMYFUNCTION("""COMPUTED_VALUE"""),"7")</f>
        <v>7</v>
      </c>
      <c r="B52" s="22" t="str">
        <f>IFERROR(__xludf.DUMMYFUNCTION("""COMPUTED_VALUE"""),"PXSX1")</f>
        <v>PXSX1</v>
      </c>
      <c r="C52" s="22" t="str">
        <f>IFERROR(__xludf.DUMMYFUNCTION("""COMPUTED_VALUE"""),"Bộ phận nhiên liệu và gia công bán thành phẩm ")</f>
        <v>Bộ phận nhiên liệu và gia công bán thành phẩm </v>
      </c>
      <c r="D52" s="22" t="str">
        <f>IFERROR(__xludf.DUMMYFUNCTION("""COMPUTED_VALUE"""),"Nghiền - Sấy phun Ca A")</f>
        <v>Nghiền - Sấy phun Ca A</v>
      </c>
      <c r="E52" s="22" t="str">
        <f>IFERROR(__xludf.DUMMYFUNCTION("""COMPUTED_VALUE"""),"Nhóm trưởng nghiền")</f>
        <v>Nhóm trưởng nghiền</v>
      </c>
      <c r="F52" s="22" t="str">
        <f>IFERROR(__xludf.DUMMYFUNCTION("""COMPUTED_VALUE"""),"NV3135")</f>
        <v>NV3135</v>
      </c>
      <c r="G52" s="22">
        <f>IFERROR(__xludf.DUMMYFUNCTION("""COMPUTED_VALUE"""),288.0)</f>
        <v>288</v>
      </c>
      <c r="H52" s="22" t="str">
        <f>IFERROR(__xludf.DUMMYFUNCTION("""COMPUTED_VALUE"""),"Đỗ Viết Trang")</f>
        <v>Đỗ Viết Trang</v>
      </c>
      <c r="I52" s="22" t="str">
        <f>IFERROR(__xludf.DUMMYFUNCTION("""COMPUTED_VALUE"""),"Nam")</f>
        <v>Nam</v>
      </c>
      <c r="J52" s="24">
        <f>IFERROR(__xludf.DUMMYFUNCTION("""COMPUTED_VALUE"""),31992.0)</f>
        <v>31992</v>
      </c>
      <c r="K52" s="22" t="str">
        <f>IFERROR(__xludf.DUMMYFUNCTION("""COMPUTED_VALUE"""),"Thôn Phú Đông - Phường Hải Lĩnh - Tỉnh Thanh Hóa")</f>
        <v>Thôn Phú Đông - Phường Hải Lĩnh - Tỉnh Thanh Hóa</v>
      </c>
      <c r="L52" s="22" t="str">
        <f>IFERROR(__xludf.DUMMYFUNCTION("""COMPUTED_VALUE"""),"0967215485")</f>
        <v>0967215485</v>
      </c>
      <c r="M52" s="22" t="str">
        <f>IFERROR(__xludf.DUMMYFUNCTION("""COMPUTED_VALUE"""),"038087006270")</f>
        <v>038087006270</v>
      </c>
      <c r="N52" s="24">
        <f>IFERROR(__xludf.DUMMYFUNCTION("""COMPUTED_VALUE"""),44420.0)</f>
        <v>44420</v>
      </c>
      <c r="O52" s="22" t="str">
        <f>IFERROR(__xludf.DUMMYFUNCTION("""COMPUTED_VALUE"""),"Cục Cảnh sát QLHC về TTXH")</f>
        <v>Cục Cảnh sát QLHC về TTXH</v>
      </c>
      <c r="P52" s="22" t="str">
        <f>IFERROR(__xludf.DUMMYFUNCTION("""COMPUTED_VALUE"""),"LĐPT")</f>
        <v>LĐPT</v>
      </c>
      <c r="Q52" s="22" t="str">
        <f>IFERROR(__xludf.DUMMYFUNCTION("""COMPUTED_VALUE"""),"Lao động phổ thông")</f>
        <v>Lao động phổ thông</v>
      </c>
      <c r="R52" s="24">
        <f>IFERROR(__xludf.DUMMYFUNCTION("""COMPUTED_VALUE"""),44033.0)</f>
        <v>44033</v>
      </c>
      <c r="S52" s="24">
        <f>IFERROR(__xludf.DUMMYFUNCTION("""COMPUTED_VALUE"""),44317.0)</f>
        <v>44317</v>
      </c>
      <c r="T52" s="22" t="str">
        <f>IFERROR(__xludf.DUMMYFUNCTION("""COMPUTED_VALUE"""),"Chính thức")</f>
        <v>Chính thức</v>
      </c>
      <c r="U52" s="22"/>
      <c r="V52" s="22"/>
      <c r="W52" s="22" t="str">
        <f>IFERROR(__xludf.DUMMYFUNCTION("""COMPUTED_VALUE"""),"5 năm 5 tháng")</f>
        <v>5 năm 5 tháng</v>
      </c>
      <c r="X52" s="22"/>
      <c r="Y52" s="22"/>
      <c r="Z52" s="22"/>
    </row>
    <row r="53">
      <c r="A53" s="23" t="str">
        <f>IFERROR(__xludf.DUMMYFUNCTION("""COMPUTED_VALUE"""),"8")</f>
        <v>8</v>
      </c>
      <c r="B53" s="22" t="str">
        <f>IFERROR(__xludf.DUMMYFUNCTION("""COMPUTED_VALUE"""),"PXSX1")</f>
        <v>PXSX1</v>
      </c>
      <c r="C53" s="22" t="str">
        <f>IFERROR(__xludf.DUMMYFUNCTION("""COMPUTED_VALUE"""),"Bộ phận nhiên liệu và gia công bán thành phẩm ")</f>
        <v>Bộ phận nhiên liệu và gia công bán thành phẩm </v>
      </c>
      <c r="D53" s="22" t="str">
        <f>IFERROR(__xludf.DUMMYFUNCTION("""COMPUTED_VALUE"""),"Nghiền - Sấy phun Ca A")</f>
        <v>Nghiền - Sấy phun Ca A</v>
      </c>
      <c r="E53" s="22" t="str">
        <f>IFERROR(__xludf.DUMMYFUNCTION("""COMPUTED_VALUE"""),"Tổ trưởng")</f>
        <v>Tổ trưởng</v>
      </c>
      <c r="F53" s="22" t="str">
        <f>IFERROR(__xludf.DUMMYFUNCTION("""COMPUTED_VALUE"""),"NV0286")</f>
        <v>NV0286</v>
      </c>
      <c r="G53" s="22">
        <f>IFERROR(__xludf.DUMMYFUNCTION("""COMPUTED_VALUE"""),289.0)</f>
        <v>289</v>
      </c>
      <c r="H53" s="22" t="str">
        <f>IFERROR(__xludf.DUMMYFUNCTION("""COMPUTED_VALUE"""),"Nguyễn Trọng Luật")</f>
        <v>Nguyễn Trọng Luật</v>
      </c>
      <c r="I53" s="22" t="str">
        <f>IFERROR(__xludf.DUMMYFUNCTION("""COMPUTED_VALUE"""),"Nam")</f>
        <v>Nam</v>
      </c>
      <c r="J53" s="24">
        <f>IFERROR(__xludf.DUMMYFUNCTION("""COMPUTED_VALUE"""),33030.0)</f>
        <v>33030</v>
      </c>
      <c r="K53" s="22" t="str">
        <f>IFERROR(__xludf.DUMMYFUNCTION("""COMPUTED_VALUE"""),"Thôn Phú Xuân - Xã Cẩm Tân - Tỉnh Thanh Hóa")</f>
        <v>Thôn Phú Xuân - Xã Cẩm Tân - Tỉnh Thanh Hóa</v>
      </c>
      <c r="L53" s="22" t="str">
        <f>IFERROR(__xludf.DUMMYFUNCTION("""COMPUTED_VALUE"""),"0986859854")</f>
        <v>0986859854</v>
      </c>
      <c r="M53" s="22" t="str">
        <f>IFERROR(__xludf.DUMMYFUNCTION("""COMPUTED_VALUE"""),"038090052073")</f>
        <v>038090052073</v>
      </c>
      <c r="N53" s="24">
        <f>IFERROR(__xludf.DUMMYFUNCTION("""COMPUTED_VALUE"""),44724.0)</f>
        <v>44724</v>
      </c>
      <c r="O53" s="22" t="str">
        <f>IFERROR(__xludf.DUMMYFUNCTION("""COMPUTED_VALUE"""),"Cục Cảnh sát QLHC về TTXH")</f>
        <v>Cục Cảnh sát QLHC về TTXH</v>
      </c>
      <c r="P53" s="22" t="str">
        <f>IFERROR(__xludf.DUMMYFUNCTION("""COMPUTED_VALUE"""),"LĐPT")</f>
        <v>LĐPT</v>
      </c>
      <c r="Q53" s="22" t="str">
        <f>IFERROR(__xludf.DUMMYFUNCTION("""COMPUTED_VALUE"""),"Lao động phổ thông")</f>
        <v>Lao động phổ thông</v>
      </c>
      <c r="R53" s="24">
        <f>IFERROR(__xludf.DUMMYFUNCTION("""COMPUTED_VALUE"""),40998.0)</f>
        <v>40998</v>
      </c>
      <c r="S53" s="24">
        <f>IFERROR(__xludf.DUMMYFUNCTION("""COMPUTED_VALUE"""),40998.0)</f>
        <v>40998</v>
      </c>
      <c r="T53" s="22" t="str">
        <f>IFERROR(__xludf.DUMMYFUNCTION("""COMPUTED_VALUE"""),"Chính thức")</f>
        <v>Chính thức</v>
      </c>
      <c r="U53" s="22"/>
      <c r="V53" s="22"/>
      <c r="W53" s="22" t="str">
        <f>IFERROR(__xludf.DUMMYFUNCTION("""COMPUTED_VALUE"""),"13 năm 9 tháng")</f>
        <v>13 năm 9 tháng</v>
      </c>
      <c r="X53" s="22"/>
      <c r="Y53" s="22"/>
      <c r="Z53" s="22"/>
    </row>
    <row r="54">
      <c r="A54" s="23" t="str">
        <f>IFERROR(__xludf.DUMMYFUNCTION("""COMPUTED_VALUE"""),"9")</f>
        <v>9</v>
      </c>
      <c r="B54" s="22" t="str">
        <f>IFERROR(__xludf.DUMMYFUNCTION("""COMPUTED_VALUE"""),"PXSX1")</f>
        <v>PXSX1</v>
      </c>
      <c r="C54" s="22" t="str">
        <f>IFERROR(__xludf.DUMMYFUNCTION("""COMPUTED_VALUE"""),"Bộ phận nhiên liệu và gia công bán thành phẩm ")</f>
        <v>Bộ phận nhiên liệu và gia công bán thành phẩm </v>
      </c>
      <c r="D54" s="22" t="str">
        <f>IFERROR(__xludf.DUMMYFUNCTION("""COMPUTED_VALUE"""),"Nghiền - Sấy phun Ca A")</f>
        <v>Nghiền - Sấy phun Ca A</v>
      </c>
      <c r="E54" s="22" t="str">
        <f>IFERROR(__xludf.DUMMYFUNCTION("""COMPUTED_VALUE"""),"VH Nạp nghiền")</f>
        <v>VH Nạp nghiền</v>
      </c>
      <c r="F54" s="22" t="str">
        <f>IFERROR(__xludf.DUMMYFUNCTION("""COMPUTED_VALUE"""),"NV4683")</f>
        <v>NV4683</v>
      </c>
      <c r="G54" s="22">
        <f>IFERROR(__xludf.DUMMYFUNCTION("""COMPUTED_VALUE"""),487.0)</f>
        <v>487</v>
      </c>
      <c r="H54" s="22" t="str">
        <f>IFERROR(__xludf.DUMMYFUNCTION("""COMPUTED_VALUE"""),"Lê Thiên Dũng")</f>
        <v>Lê Thiên Dũng</v>
      </c>
      <c r="I54" s="22" t="str">
        <f>IFERROR(__xludf.DUMMYFUNCTION("""COMPUTED_VALUE"""),"Nam")</f>
        <v>Nam</v>
      </c>
      <c r="J54" s="24">
        <f>IFERROR(__xludf.DUMMYFUNCTION("""COMPUTED_VALUE"""),34434.0)</f>
        <v>34434</v>
      </c>
      <c r="K54" s="22" t="str">
        <f>IFERROR(__xludf.DUMMYFUNCTION("""COMPUTED_VALUE"""),"Trung Thôn - Xã Thọ Long - Tỉnh Thanh Hóa")</f>
        <v>Trung Thôn - Xã Thọ Long - Tỉnh Thanh Hóa</v>
      </c>
      <c r="L54" s="22" t="str">
        <f>IFERROR(__xludf.DUMMYFUNCTION("""COMPUTED_VALUE"""),"0372091689")</f>
        <v>0372091689</v>
      </c>
      <c r="M54" s="22" t="str">
        <f>IFERROR(__xludf.DUMMYFUNCTION("""COMPUTED_VALUE"""),"038094024150")</f>
        <v>038094024150</v>
      </c>
      <c r="N54" s="22"/>
      <c r="O54" s="22" t="str">
        <f>IFERROR(__xludf.DUMMYFUNCTION("""COMPUTED_VALUE"""),"Cục Cảnh sát QLHC về TTXH")</f>
        <v>Cục Cảnh sát QLHC về TTXH</v>
      </c>
      <c r="P54" s="22" t="str">
        <f>IFERROR(__xludf.DUMMYFUNCTION("""COMPUTED_VALUE"""),"LĐPT")</f>
        <v>LĐPT</v>
      </c>
      <c r="Q54" s="22" t="str">
        <f>IFERROR(__xludf.DUMMYFUNCTION("""COMPUTED_VALUE"""),"Lao động phổ thông")</f>
        <v>Lao động phổ thông</v>
      </c>
      <c r="R54" s="24">
        <f>IFERROR(__xludf.DUMMYFUNCTION("""COMPUTED_VALUE"""),45002.0)</f>
        <v>45002</v>
      </c>
      <c r="S54" s="24">
        <f>IFERROR(__xludf.DUMMYFUNCTION("""COMPUTED_VALUE"""),45444.0)</f>
        <v>45444</v>
      </c>
      <c r="T54" s="22" t="str">
        <f>IFERROR(__xludf.DUMMYFUNCTION("""COMPUTED_VALUE"""),"Chính thức")</f>
        <v>Chính thức</v>
      </c>
      <c r="U54" s="22"/>
      <c r="V54" s="22"/>
      <c r="W54" s="22" t="str">
        <f>IFERROR(__xludf.DUMMYFUNCTION("""COMPUTED_VALUE"""),"2 năm 9 tháng")</f>
        <v>2 năm 9 tháng</v>
      </c>
      <c r="X54" s="22"/>
      <c r="Y54" s="22"/>
      <c r="Z54" s="22"/>
    </row>
    <row r="55">
      <c r="A55" s="23" t="str">
        <f>IFERROR(__xludf.DUMMYFUNCTION("""COMPUTED_VALUE"""),"10")</f>
        <v>10</v>
      </c>
      <c r="B55" s="22" t="str">
        <f>IFERROR(__xludf.DUMMYFUNCTION("""COMPUTED_VALUE"""),"PXSX1")</f>
        <v>PXSX1</v>
      </c>
      <c r="C55" s="22" t="str">
        <f>IFERROR(__xludf.DUMMYFUNCTION("""COMPUTED_VALUE"""),"Bộ phận nhiên liệu và gia công bán thành phẩm ")</f>
        <v>Bộ phận nhiên liệu và gia công bán thành phẩm </v>
      </c>
      <c r="D55" s="22" t="str">
        <f>IFERROR(__xludf.DUMMYFUNCTION("""COMPUTED_VALUE"""),"Nghiền - Sấy phun Ca A")</f>
        <v>Nghiền - Sấy phun Ca A</v>
      </c>
      <c r="E55" s="22" t="str">
        <f>IFERROR(__xludf.DUMMYFUNCTION("""COMPUTED_VALUE"""),"VHC Nạp nghiền")</f>
        <v>VHC Nạp nghiền</v>
      </c>
      <c r="F55" s="22" t="str">
        <f>IFERROR(__xludf.DUMMYFUNCTION("""COMPUTED_VALUE"""),"NV3440")</f>
        <v>NV3440</v>
      </c>
      <c r="G55" s="22">
        <f>IFERROR(__xludf.DUMMYFUNCTION("""COMPUTED_VALUE"""),660.0)</f>
        <v>660</v>
      </c>
      <c r="H55" s="22" t="str">
        <f>IFERROR(__xludf.DUMMYFUNCTION("""COMPUTED_VALUE"""),"Hà Hoàng Hạnh")</f>
        <v>Hà Hoàng Hạnh</v>
      </c>
      <c r="I55" s="22" t="str">
        <f>IFERROR(__xludf.DUMMYFUNCTION("""COMPUTED_VALUE"""),"Nam")</f>
        <v>Nam</v>
      </c>
      <c r="J55" s="24">
        <f>IFERROR(__xludf.DUMMYFUNCTION("""COMPUTED_VALUE"""),36376.0)</f>
        <v>36376</v>
      </c>
      <c r="K55" s="22" t="str">
        <f>IFERROR(__xludf.DUMMYFUNCTION("""COMPUTED_VALUE"""),"19/73 Lê Thánh Tông - Phường Hạc Thành - Tỉnh Thanh Hóa")</f>
        <v>19/73 Lê Thánh Tông - Phường Hạc Thành - Tỉnh Thanh Hóa</v>
      </c>
      <c r="L55" s="22" t="str">
        <f>IFERROR(__xludf.DUMMYFUNCTION("""COMPUTED_VALUE"""),"0941403126")</f>
        <v>0941403126</v>
      </c>
      <c r="M55" s="22" t="str">
        <f>IFERROR(__xludf.DUMMYFUNCTION("""COMPUTED_VALUE"""),"038099016636")</f>
        <v>038099016636</v>
      </c>
      <c r="N55" s="24">
        <f>IFERROR(__xludf.DUMMYFUNCTION("""COMPUTED_VALUE"""),44375.0)</f>
        <v>44375</v>
      </c>
      <c r="O55" s="22" t="str">
        <f>IFERROR(__xludf.DUMMYFUNCTION("""COMPUTED_VALUE"""),"Cục Cảnh sát QLHC về TTXH")</f>
        <v>Cục Cảnh sát QLHC về TTXH</v>
      </c>
      <c r="P55" s="22" t="str">
        <f>IFERROR(__xludf.DUMMYFUNCTION("""COMPUTED_VALUE"""),"LĐPT")</f>
        <v>LĐPT</v>
      </c>
      <c r="Q55" s="22" t="str">
        <f>IFERROR(__xludf.DUMMYFUNCTION("""COMPUTED_VALUE"""),"Lao động phổ thông")</f>
        <v>Lao động phổ thông</v>
      </c>
      <c r="R55" s="24">
        <f>IFERROR(__xludf.DUMMYFUNCTION("""COMPUTED_VALUE"""),44250.0)</f>
        <v>44250</v>
      </c>
      <c r="S55" s="24">
        <f>IFERROR(__xludf.DUMMYFUNCTION("""COMPUTED_VALUE"""),44531.0)</f>
        <v>44531</v>
      </c>
      <c r="T55" s="22" t="str">
        <f>IFERROR(__xludf.DUMMYFUNCTION("""COMPUTED_VALUE"""),"Chính thức")</f>
        <v>Chính thức</v>
      </c>
      <c r="U55" s="22"/>
      <c r="V55" s="22"/>
      <c r="W55" s="22" t="str">
        <f>IFERROR(__xludf.DUMMYFUNCTION("""COMPUTED_VALUE"""),"4 năm 10 tháng")</f>
        <v>4 năm 10 tháng</v>
      </c>
      <c r="X55" s="22"/>
      <c r="Y55" s="22"/>
      <c r="Z55" s="22"/>
    </row>
    <row r="56">
      <c r="A56" s="23" t="str">
        <f>IFERROR(__xludf.DUMMYFUNCTION("""COMPUTED_VALUE"""),"11")</f>
        <v>11</v>
      </c>
      <c r="B56" s="22" t="str">
        <f>IFERROR(__xludf.DUMMYFUNCTION("""COMPUTED_VALUE"""),"PXSX1")</f>
        <v>PXSX1</v>
      </c>
      <c r="C56" s="22" t="str">
        <f>IFERROR(__xludf.DUMMYFUNCTION("""COMPUTED_VALUE"""),"Bộ phận nhiên liệu và gia công bán thành phẩm ")</f>
        <v>Bộ phận nhiên liệu và gia công bán thành phẩm </v>
      </c>
      <c r="D56" s="22" t="str">
        <f>IFERROR(__xludf.DUMMYFUNCTION("""COMPUTED_VALUE"""),"Nghiền - Sấy phun Ca A")</f>
        <v>Nghiền - Sấy phun Ca A</v>
      </c>
      <c r="E56" s="22" t="str">
        <f>IFERROR(__xludf.DUMMYFUNCTION("""COMPUTED_VALUE"""),"VH Nạp nghiền")</f>
        <v>VH Nạp nghiền</v>
      </c>
      <c r="F56" s="22" t="str">
        <f>IFERROR(__xludf.DUMMYFUNCTION("""COMPUTED_VALUE"""),"NV5772")</f>
        <v>NV5772</v>
      </c>
      <c r="G56" s="22">
        <f>IFERROR(__xludf.DUMMYFUNCTION("""COMPUTED_VALUE"""),1253.0)</f>
        <v>1253</v>
      </c>
      <c r="H56" s="22" t="str">
        <f>IFERROR(__xludf.DUMMYFUNCTION("""COMPUTED_VALUE"""),"Lê Văn Thân")</f>
        <v>Lê Văn Thân</v>
      </c>
      <c r="I56" s="22" t="str">
        <f>IFERROR(__xludf.DUMMYFUNCTION("""COMPUTED_VALUE"""),"Nam")</f>
        <v>Nam</v>
      </c>
      <c r="J56" s="24">
        <f>IFERROR(__xludf.DUMMYFUNCTION("""COMPUTED_VALUE"""),25057.0)</f>
        <v>25057</v>
      </c>
      <c r="K56" s="22" t="str">
        <f>IFERROR(__xludf.DUMMYFUNCTION("""COMPUTED_VALUE"""),"Thôn Đông Hưng - Xã Thắng Lợi -Tỉnh Thanh Hóa")</f>
        <v>Thôn Đông Hưng - Xã Thắng Lợi -Tỉnh Thanh Hóa</v>
      </c>
      <c r="L56" s="22" t="str">
        <f>IFERROR(__xludf.DUMMYFUNCTION("""COMPUTED_VALUE"""),"0346287759")</f>
        <v>0346287759</v>
      </c>
      <c r="M56" s="22" t="str">
        <f>IFERROR(__xludf.DUMMYFUNCTION("""COMPUTED_VALUE"""),"038068005451")</f>
        <v>038068005451</v>
      </c>
      <c r="N56" s="24">
        <f>IFERROR(__xludf.DUMMYFUNCTION("""COMPUTED_VALUE"""),44440.0)</f>
        <v>44440</v>
      </c>
      <c r="O56" s="22" t="str">
        <f>IFERROR(__xludf.DUMMYFUNCTION("""COMPUTED_VALUE"""),"Cục Cảnh sát QLHC về TTXH")</f>
        <v>Cục Cảnh sát QLHC về TTXH</v>
      </c>
      <c r="P56" s="22" t="str">
        <f>IFERROR(__xludf.DUMMYFUNCTION("""COMPUTED_VALUE"""),"LĐPT")</f>
        <v>LĐPT</v>
      </c>
      <c r="Q56" s="22" t="str">
        <f>IFERROR(__xludf.DUMMYFUNCTION("""COMPUTED_VALUE"""),"Lao động phổ thông")</f>
        <v>Lao động phổ thông</v>
      </c>
      <c r="R56" s="24">
        <f>IFERROR(__xludf.DUMMYFUNCTION("""COMPUTED_VALUE"""),45951.0)</f>
        <v>45951</v>
      </c>
      <c r="S56" s="22"/>
      <c r="T56" s="22" t="str">
        <f>IFERROR(__xludf.DUMMYFUNCTION("""COMPUTED_VALUE"""),"Thử việc")</f>
        <v>Thử việc</v>
      </c>
      <c r="U56" s="22"/>
      <c r="V56" s="22" t="str">
        <f>IFERROR(__xludf.DUMMYFUNCTION("""COMPUTED_VALUE"""),"Thử việc")</f>
        <v>Thử việc</v>
      </c>
      <c r="W56" s="22" t="str">
        <f>IFERROR(__xludf.DUMMYFUNCTION("""COMPUTED_VALUE"""),"0 năm 2 tháng")</f>
        <v>0 năm 2 tháng</v>
      </c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3" t="str">
        <f>IFERROR(__xludf.DUMMYFUNCTION("""COMPUTED_VALUE"""),"3.6")</f>
        <v>3.6</v>
      </c>
      <c r="B58" s="22" t="str">
        <f>IFERROR(__xludf.DUMMYFUNCTION("""COMPUTED_VALUE"""),"Nghiền - Sấy phun Ca B")</f>
        <v>Nghiền - Sấy phun Ca B</v>
      </c>
      <c r="C58" s="22">
        <f>IFERROR(__xludf.DUMMYFUNCTION("""COMPUTED_VALUE"""),10.0)</f>
        <v>10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3" t="str">
        <f>IFERROR(__xludf.DUMMYFUNCTION("""COMPUTED_VALUE"""),"1")</f>
        <v>1</v>
      </c>
      <c r="B59" s="22" t="str">
        <f>IFERROR(__xludf.DUMMYFUNCTION("""COMPUTED_VALUE"""),"PXSX1")</f>
        <v>PXSX1</v>
      </c>
      <c r="C59" s="22" t="str">
        <f>IFERROR(__xludf.DUMMYFUNCTION("""COMPUTED_VALUE"""),"Bộ phận nhiên liệu và gia công bán thành phẩm ")</f>
        <v>Bộ phận nhiên liệu và gia công bán thành phẩm </v>
      </c>
      <c r="D59" s="22" t="str">
        <f>IFERROR(__xludf.DUMMYFUNCTION("""COMPUTED_VALUE"""),"Nghiền - Sấy phun Ca B")</f>
        <v>Nghiền - Sấy phun Ca B</v>
      </c>
      <c r="E59" s="22" t="str">
        <f>IFERROR(__xludf.DUMMYFUNCTION("""COMPUTED_VALUE"""),"VH chính than xích mức 1")</f>
        <v>VH chính than xích mức 1</v>
      </c>
      <c r="F59" s="22" t="str">
        <f>IFERROR(__xludf.DUMMYFUNCTION("""COMPUTED_VALUE"""),"NV0278")</f>
        <v>NV0278</v>
      </c>
      <c r="G59" s="22">
        <f>IFERROR(__xludf.DUMMYFUNCTION("""COMPUTED_VALUE"""),346.0)</f>
        <v>346</v>
      </c>
      <c r="H59" s="22" t="str">
        <f>IFERROR(__xludf.DUMMYFUNCTION("""COMPUTED_VALUE"""),"Đỗ Văn Thái")</f>
        <v>Đỗ Văn Thái</v>
      </c>
      <c r="I59" s="22" t="str">
        <f>IFERROR(__xludf.DUMMYFUNCTION("""COMPUTED_VALUE"""),"Nam")</f>
        <v>Nam</v>
      </c>
      <c r="J59" s="24">
        <f>IFERROR(__xludf.DUMMYFUNCTION("""COMPUTED_VALUE"""),25790.0)</f>
        <v>25790</v>
      </c>
      <c r="K59" s="22" t="str">
        <f>IFERROR(__xludf.DUMMYFUNCTION("""COMPUTED_VALUE"""),"Thôn Hàm Ninh - Xã Hoằng Lộc - Tỉnh Thanh Hóa")</f>
        <v>Thôn Hàm Ninh - Xã Hoằng Lộc - Tỉnh Thanh Hóa</v>
      </c>
      <c r="L59" s="22" t="str">
        <f>IFERROR(__xludf.DUMMYFUNCTION("""COMPUTED_VALUE"""),"0968227573")</f>
        <v>0968227573</v>
      </c>
      <c r="M59" s="22" t="str">
        <f>IFERROR(__xludf.DUMMYFUNCTION("""COMPUTED_VALUE"""),"038070016960")</f>
        <v>038070016960</v>
      </c>
      <c r="N59" s="24">
        <f>IFERROR(__xludf.DUMMYFUNCTION("""COMPUTED_VALUE"""),44428.0)</f>
        <v>44428</v>
      </c>
      <c r="O59" s="22" t="str">
        <f>IFERROR(__xludf.DUMMYFUNCTION("""COMPUTED_VALUE"""),"Cục Cảnh sát QLHC về TTXH")</f>
        <v>Cục Cảnh sát QLHC về TTXH</v>
      </c>
      <c r="P59" s="22" t="str">
        <f>IFERROR(__xludf.DUMMYFUNCTION("""COMPUTED_VALUE"""),"LĐPT")</f>
        <v>LĐPT</v>
      </c>
      <c r="Q59" s="22" t="str">
        <f>IFERROR(__xludf.DUMMYFUNCTION("""COMPUTED_VALUE"""),"Lao động phổ thông")</f>
        <v>Lao động phổ thông</v>
      </c>
      <c r="R59" s="24">
        <f>IFERROR(__xludf.DUMMYFUNCTION("""COMPUTED_VALUE"""),39602.0)</f>
        <v>39602</v>
      </c>
      <c r="S59" s="24">
        <f>IFERROR(__xludf.DUMMYFUNCTION("""COMPUTED_VALUE"""),39602.0)</f>
        <v>39602</v>
      </c>
      <c r="T59" s="24" t="str">
        <f>IFERROR(__xludf.DUMMYFUNCTION("""COMPUTED_VALUE"""),"Chính thức")</f>
        <v>Chính thức</v>
      </c>
      <c r="U59" s="22"/>
      <c r="V59" s="22" t="str">
        <f>IFERROR(__xludf.DUMMYFUNCTION("""COMPUTED_VALUE"""),"Nghỉ phép")</f>
        <v>Nghỉ phép</v>
      </c>
      <c r="W59" s="22" t="str">
        <f>IFERROR(__xludf.DUMMYFUNCTION("""COMPUTED_VALUE"""),"17 năm 6 tháng")</f>
        <v>17 năm 6 tháng</v>
      </c>
      <c r="X59" s="22"/>
      <c r="Y59" s="22"/>
      <c r="Z59" s="22"/>
    </row>
    <row r="60">
      <c r="A60" s="23" t="str">
        <f>IFERROR(__xludf.DUMMYFUNCTION("""COMPUTED_VALUE"""),"2")</f>
        <v>2</v>
      </c>
      <c r="B60" s="22" t="str">
        <f>IFERROR(__xludf.DUMMYFUNCTION("""COMPUTED_VALUE"""),"PXSX1")</f>
        <v>PXSX1</v>
      </c>
      <c r="C60" s="22" t="str">
        <f>IFERROR(__xludf.DUMMYFUNCTION("""COMPUTED_VALUE"""),"Bộ phận nhiên liệu và gia công bán thành phẩm ")</f>
        <v>Bộ phận nhiên liệu và gia công bán thành phẩm </v>
      </c>
      <c r="D60" s="22" t="str">
        <f>IFERROR(__xludf.DUMMYFUNCTION("""COMPUTED_VALUE"""),"Nghiền - Sấy phun Ca B")</f>
        <v>Nghiền - Sấy phun Ca B</v>
      </c>
      <c r="E60" s="22" t="str">
        <f>IFERROR(__xludf.DUMMYFUNCTION("""COMPUTED_VALUE"""),"VHC than xích")</f>
        <v>VHC than xích</v>
      </c>
      <c r="F60" s="22" t="str">
        <f>IFERROR(__xludf.DUMMYFUNCTION("""COMPUTED_VALUE"""),"NV0287")</f>
        <v>NV0287</v>
      </c>
      <c r="G60" s="22">
        <f>IFERROR(__xludf.DUMMYFUNCTION("""COMPUTED_VALUE"""),210.0)</f>
        <v>210</v>
      </c>
      <c r="H60" s="22" t="str">
        <f>IFERROR(__xludf.DUMMYFUNCTION("""COMPUTED_VALUE"""),"Trịnh Sỹ Cơ")</f>
        <v>Trịnh Sỹ Cơ</v>
      </c>
      <c r="I60" s="22" t="str">
        <f>IFERROR(__xludf.DUMMYFUNCTION("""COMPUTED_VALUE"""),"Nam")</f>
        <v>Nam</v>
      </c>
      <c r="J60" s="24">
        <f>IFERROR(__xludf.DUMMYFUNCTION("""COMPUTED_VALUE"""),26888.0)</f>
        <v>26888</v>
      </c>
      <c r="K60" s="22" t="str">
        <f>IFERROR(__xludf.DUMMYFUNCTION("""COMPUTED_VALUE"""),"Phường Quàng Phú - Tỉnh Thanh Hóa")</f>
        <v>Phường Quàng Phú - Tỉnh Thanh Hóa</v>
      </c>
      <c r="L60" s="22" t="str">
        <f>IFERROR(__xludf.DUMMYFUNCTION("""COMPUTED_VALUE"""),"0961064856")</f>
        <v>0961064856</v>
      </c>
      <c r="M60" s="22" t="str">
        <f>IFERROR(__xludf.DUMMYFUNCTION("""COMPUTED_VALUE"""),"038073003840")</f>
        <v>038073003840</v>
      </c>
      <c r="N60" s="24">
        <f>IFERROR(__xludf.DUMMYFUNCTION("""COMPUTED_VALUE"""),44320.0)</f>
        <v>44320</v>
      </c>
      <c r="O60" s="22" t="str">
        <f>IFERROR(__xludf.DUMMYFUNCTION("""COMPUTED_VALUE"""),"Cục Cảnh sát QLHC về TTXH")</f>
        <v>Cục Cảnh sát QLHC về TTXH</v>
      </c>
      <c r="P60" s="22" t="str">
        <f>IFERROR(__xludf.DUMMYFUNCTION("""COMPUTED_VALUE"""),"LĐPT")</f>
        <v>LĐPT</v>
      </c>
      <c r="Q60" s="22" t="str">
        <f>IFERROR(__xludf.DUMMYFUNCTION("""COMPUTED_VALUE"""),"Lao động phổ thông")</f>
        <v>Lao động phổ thông</v>
      </c>
      <c r="R60" s="24">
        <f>IFERROR(__xludf.DUMMYFUNCTION("""COMPUTED_VALUE"""),39453.0)</f>
        <v>39453</v>
      </c>
      <c r="S60" s="24">
        <f>IFERROR(__xludf.DUMMYFUNCTION("""COMPUTED_VALUE"""),39453.0)</f>
        <v>39453</v>
      </c>
      <c r="T60" s="24" t="str">
        <f>IFERROR(__xludf.DUMMYFUNCTION("""COMPUTED_VALUE"""),"Chính thức")</f>
        <v>Chính thức</v>
      </c>
      <c r="U60" s="22"/>
      <c r="V60" s="22"/>
      <c r="W60" s="22" t="str">
        <f>IFERROR(__xludf.DUMMYFUNCTION("""COMPUTED_VALUE"""),"17 năm 11 tháng")</f>
        <v>17 năm 11 tháng</v>
      </c>
      <c r="X60" s="22"/>
      <c r="Y60" s="22"/>
      <c r="Z60" s="22"/>
    </row>
    <row r="61">
      <c r="A61" s="23" t="str">
        <f>IFERROR(__xludf.DUMMYFUNCTION("""COMPUTED_VALUE"""),"3")</f>
        <v>3</v>
      </c>
      <c r="B61" s="22" t="str">
        <f>IFERROR(__xludf.DUMMYFUNCTION("""COMPUTED_VALUE"""),"PXSX1")</f>
        <v>PXSX1</v>
      </c>
      <c r="C61" s="22" t="str">
        <f>IFERROR(__xludf.DUMMYFUNCTION("""COMPUTED_VALUE"""),"Bộ phận nhiên liệu và gia công bán thành phẩm ")</f>
        <v>Bộ phận nhiên liệu và gia công bán thành phẩm </v>
      </c>
      <c r="D61" s="22" t="str">
        <f>IFERROR(__xludf.DUMMYFUNCTION("""COMPUTED_VALUE"""),"Nghiền - Sấy phun Ca B")</f>
        <v>Nghiền - Sấy phun Ca B</v>
      </c>
      <c r="E61" s="22" t="str">
        <f>IFERROR(__xludf.DUMMYFUNCTION("""COMPUTED_VALUE"""),"VH chính sấy phun mức 1")</f>
        <v>VH chính sấy phun mức 1</v>
      </c>
      <c r="F61" s="22" t="str">
        <f>IFERROR(__xludf.DUMMYFUNCTION("""COMPUTED_VALUE"""),"NV0282")</f>
        <v>NV0282</v>
      </c>
      <c r="G61" s="22">
        <f>IFERROR(__xludf.DUMMYFUNCTION("""COMPUTED_VALUE"""),283.0)</f>
        <v>283</v>
      </c>
      <c r="H61" s="22" t="str">
        <f>IFERROR(__xludf.DUMMYFUNCTION("""COMPUTED_VALUE"""),"Nguyễn Hữu Kiên")</f>
        <v>Nguyễn Hữu Kiên</v>
      </c>
      <c r="I61" s="22" t="str">
        <f>IFERROR(__xludf.DUMMYFUNCTION("""COMPUTED_VALUE"""),"Nam")</f>
        <v>Nam</v>
      </c>
      <c r="J61" s="24">
        <f>IFERROR(__xludf.DUMMYFUNCTION("""COMPUTED_VALUE"""),27561.0)</f>
        <v>27561</v>
      </c>
      <c r="K61" s="22" t="str">
        <f>IFERROR(__xludf.DUMMYFUNCTION("""COMPUTED_VALUE"""),"Thôn 9 - Phường Quảng Phú - Tỉnh Thanh Hóa")</f>
        <v>Thôn 9 - Phường Quảng Phú - Tỉnh Thanh Hóa</v>
      </c>
      <c r="L61" s="22" t="str">
        <f>IFERROR(__xludf.DUMMYFUNCTION("""COMPUTED_VALUE"""),"0942038066")</f>
        <v>0942038066</v>
      </c>
      <c r="M61" s="22" t="str">
        <f>IFERROR(__xludf.DUMMYFUNCTION("""COMPUTED_VALUE"""),"038075005557")</f>
        <v>038075005557</v>
      </c>
      <c r="N61" s="24">
        <f>IFERROR(__xludf.DUMMYFUNCTION("""COMPUTED_VALUE"""),43048.0)</f>
        <v>43048</v>
      </c>
      <c r="O61" s="22" t="str">
        <f>IFERROR(__xludf.DUMMYFUNCTION("""COMPUTED_VALUE"""),"Cục Cảnh sát QLHC về TTXH")</f>
        <v>Cục Cảnh sát QLHC về TTXH</v>
      </c>
      <c r="P61" s="22" t="str">
        <f>IFERROR(__xludf.DUMMYFUNCTION("""COMPUTED_VALUE"""),"LĐPT")</f>
        <v>LĐPT</v>
      </c>
      <c r="Q61" s="22" t="str">
        <f>IFERROR(__xludf.DUMMYFUNCTION("""COMPUTED_VALUE"""),"Lao động phổ thông")</f>
        <v>Lao động phổ thông</v>
      </c>
      <c r="R61" s="24">
        <f>IFERROR(__xludf.DUMMYFUNCTION("""COMPUTED_VALUE"""),42773.0)</f>
        <v>42773</v>
      </c>
      <c r="S61" s="24">
        <f>IFERROR(__xludf.DUMMYFUNCTION("""COMPUTED_VALUE"""),43252.0)</f>
        <v>43252</v>
      </c>
      <c r="T61" s="24" t="str">
        <f>IFERROR(__xludf.DUMMYFUNCTION("""COMPUTED_VALUE"""),"Chính thức")</f>
        <v>Chính thức</v>
      </c>
      <c r="U61" s="22"/>
      <c r="V61" s="22"/>
      <c r="W61" s="22" t="str">
        <f>IFERROR(__xludf.DUMMYFUNCTION("""COMPUTED_VALUE"""),"8 năm 10 tháng")</f>
        <v>8 năm 10 tháng</v>
      </c>
      <c r="X61" s="22"/>
      <c r="Y61" s="22"/>
      <c r="Z61" s="22"/>
    </row>
    <row r="62">
      <c r="A62" s="23" t="str">
        <f>IFERROR(__xludf.DUMMYFUNCTION("""COMPUTED_VALUE"""),"4")</f>
        <v>4</v>
      </c>
      <c r="B62" s="22" t="str">
        <f>IFERROR(__xludf.DUMMYFUNCTION("""COMPUTED_VALUE"""),"PXSX1")</f>
        <v>PXSX1</v>
      </c>
      <c r="C62" s="22" t="str">
        <f>IFERROR(__xludf.DUMMYFUNCTION("""COMPUTED_VALUE"""),"Bộ phận nhiên liệu và gia công bán thành phẩm ")</f>
        <v>Bộ phận nhiên liệu và gia công bán thành phẩm </v>
      </c>
      <c r="D62" s="22" t="str">
        <f>IFERROR(__xludf.DUMMYFUNCTION("""COMPUTED_VALUE"""),"Nghiền - Sấy phun Ca B")</f>
        <v>Nghiền - Sấy phun Ca B</v>
      </c>
      <c r="E62" s="22" t="str">
        <f>IFERROR(__xludf.DUMMYFUNCTION("""COMPUTED_VALUE"""),"VH Nạp nghiền")</f>
        <v>VH Nạp nghiền</v>
      </c>
      <c r="F62" s="22" t="str">
        <f>IFERROR(__xludf.DUMMYFUNCTION("""COMPUTED_VALUE"""),"NV3527")</f>
        <v>NV3527</v>
      </c>
      <c r="G62" s="22">
        <f>IFERROR(__xludf.DUMMYFUNCTION("""COMPUTED_VALUE"""),320.0)</f>
        <v>320</v>
      </c>
      <c r="H62" s="22" t="str">
        <f>IFERROR(__xludf.DUMMYFUNCTION("""COMPUTED_VALUE"""),"Vũ Đình Trung")</f>
        <v>Vũ Đình Trung</v>
      </c>
      <c r="I62" s="22" t="str">
        <f>IFERROR(__xludf.DUMMYFUNCTION("""COMPUTED_VALUE"""),"Nam")</f>
        <v>Nam</v>
      </c>
      <c r="J62" s="24">
        <f>IFERROR(__xludf.DUMMYFUNCTION("""COMPUTED_VALUE"""),27857.0)</f>
        <v>27857</v>
      </c>
      <c r="K62" s="22" t="str">
        <f>IFERROR(__xludf.DUMMYFUNCTION("""COMPUTED_VALUE"""),"Xã Quảng Yên - Tỉnh Thanh Hóa")</f>
        <v>Xã Quảng Yên - Tỉnh Thanh Hóa</v>
      </c>
      <c r="L62" s="22" t="str">
        <f>IFERROR(__xludf.DUMMYFUNCTION("""COMPUTED_VALUE"""),"0985543812")</f>
        <v>0985543812</v>
      </c>
      <c r="M62" s="22" t="str">
        <f>IFERROR(__xludf.DUMMYFUNCTION("""COMPUTED_VALUE"""),"038076013024")</f>
        <v>038076013024</v>
      </c>
      <c r="N62" s="24">
        <f>IFERROR(__xludf.DUMMYFUNCTION("""COMPUTED_VALUE"""),44375.0)</f>
        <v>44375</v>
      </c>
      <c r="O62" s="22" t="str">
        <f>IFERROR(__xludf.DUMMYFUNCTION("""COMPUTED_VALUE"""),"Cục Cảnh sát QLHC về TTXH")</f>
        <v>Cục Cảnh sát QLHC về TTXH</v>
      </c>
      <c r="P62" s="22" t="str">
        <f>IFERROR(__xludf.DUMMYFUNCTION("""COMPUTED_VALUE"""),"LĐPT")</f>
        <v>LĐPT</v>
      </c>
      <c r="Q62" s="22" t="str">
        <f>IFERROR(__xludf.DUMMYFUNCTION("""COMPUTED_VALUE"""),"Lao động phổ thông")</f>
        <v>Lao động phổ thông</v>
      </c>
      <c r="R62" s="24">
        <f>IFERROR(__xludf.DUMMYFUNCTION("""COMPUTED_VALUE"""),44271.0)</f>
        <v>44271</v>
      </c>
      <c r="S62" s="24">
        <f>IFERROR(__xludf.DUMMYFUNCTION("""COMPUTED_VALUE"""),44562.0)</f>
        <v>44562</v>
      </c>
      <c r="T62" s="24" t="str">
        <f>IFERROR(__xludf.DUMMYFUNCTION("""COMPUTED_VALUE"""),"Chính thức")</f>
        <v>Chính thức</v>
      </c>
      <c r="U62" s="22"/>
      <c r="V62" s="22"/>
      <c r="W62" s="22" t="str">
        <f>IFERROR(__xludf.DUMMYFUNCTION("""COMPUTED_VALUE"""),"4 năm 9 tháng")</f>
        <v>4 năm 9 tháng</v>
      </c>
      <c r="X62" s="22"/>
      <c r="Y62" s="22"/>
      <c r="Z62" s="22"/>
    </row>
    <row r="63">
      <c r="A63" s="23" t="str">
        <f>IFERROR(__xludf.DUMMYFUNCTION("""COMPUTED_VALUE"""),"5")</f>
        <v>5</v>
      </c>
      <c r="B63" s="22" t="str">
        <f>IFERROR(__xludf.DUMMYFUNCTION("""COMPUTED_VALUE"""),"PXSX1")</f>
        <v>PXSX1</v>
      </c>
      <c r="C63" s="22" t="str">
        <f>IFERROR(__xludf.DUMMYFUNCTION("""COMPUTED_VALUE"""),"Bộ phận nhiên liệu và gia công bán thành phẩm ")</f>
        <v>Bộ phận nhiên liệu và gia công bán thành phẩm </v>
      </c>
      <c r="D63" s="22" t="str">
        <f>IFERROR(__xludf.DUMMYFUNCTION("""COMPUTED_VALUE"""),"Nghiền - Sấy phun Ca B")</f>
        <v>Nghiền - Sấy phun Ca B</v>
      </c>
      <c r="E63" s="22" t="str">
        <f>IFERROR(__xludf.DUMMYFUNCTION("""COMPUTED_VALUE"""),"Công nhân nạp -  nghiền")</f>
        <v>Công nhân nạp -  nghiền</v>
      </c>
      <c r="F63" s="22" t="str">
        <f>IFERROR(__xludf.DUMMYFUNCTION("""COMPUTED_VALUE"""),"NV1486")</f>
        <v>NV1486</v>
      </c>
      <c r="G63" s="22">
        <f>IFERROR(__xludf.DUMMYFUNCTION("""COMPUTED_VALUE"""),291.0)</f>
        <v>291</v>
      </c>
      <c r="H63" s="22" t="str">
        <f>IFERROR(__xludf.DUMMYFUNCTION("""COMPUTED_VALUE"""),"Đoàn Công Thiệu")</f>
        <v>Đoàn Công Thiệu</v>
      </c>
      <c r="I63" s="22" t="str">
        <f>IFERROR(__xludf.DUMMYFUNCTION("""COMPUTED_VALUE"""),"Nam")</f>
        <v>Nam</v>
      </c>
      <c r="J63" s="24">
        <f>IFERROR(__xludf.DUMMYFUNCTION("""COMPUTED_VALUE"""),27921.0)</f>
        <v>27921</v>
      </c>
      <c r="K63" s="22" t="str">
        <f>IFERROR(__xludf.DUMMYFUNCTION("""COMPUTED_VALUE"""),"Thôn 2 - Xã Quảng Ninh - Tỉnh Thanh Hóa")</f>
        <v>Thôn 2 - Xã Quảng Ninh - Tỉnh Thanh Hóa</v>
      </c>
      <c r="L63" s="22" t="str">
        <f>IFERROR(__xludf.DUMMYFUNCTION("""COMPUTED_VALUE"""),"0327486319")</f>
        <v>0327486319</v>
      </c>
      <c r="M63" s="22" t="str">
        <f>IFERROR(__xludf.DUMMYFUNCTION("""COMPUTED_VALUE"""),"038076000769")</f>
        <v>038076000769</v>
      </c>
      <c r="N63" s="24">
        <f>IFERROR(__xludf.DUMMYFUNCTION("""COMPUTED_VALUE"""),42533.0)</f>
        <v>42533</v>
      </c>
      <c r="O63" s="22" t="str">
        <f>IFERROR(__xludf.DUMMYFUNCTION("""COMPUTED_VALUE"""),"Cục Cảnh sát QLHC về TTXH")</f>
        <v>Cục Cảnh sát QLHC về TTXH</v>
      </c>
      <c r="P63" s="22" t="str">
        <f>IFERROR(__xludf.DUMMYFUNCTION("""COMPUTED_VALUE"""),"LĐPT")</f>
        <v>LĐPT</v>
      </c>
      <c r="Q63" s="22" t="str">
        <f>IFERROR(__xludf.DUMMYFUNCTION("""COMPUTED_VALUE"""),"Lao động phổ thông")</f>
        <v>Lao động phổ thông</v>
      </c>
      <c r="R63" s="24">
        <f>IFERROR(__xludf.DUMMYFUNCTION("""COMPUTED_VALUE"""),45800.0)</f>
        <v>45800</v>
      </c>
      <c r="S63" s="22"/>
      <c r="T63" s="24" t="str">
        <f>IFERROR(__xludf.DUMMYFUNCTION("""COMPUTED_VALUE"""),"Chính thức")</f>
        <v>Chính thức</v>
      </c>
      <c r="U63" s="22"/>
      <c r="V63" s="22"/>
      <c r="W63" s="22" t="str">
        <f>IFERROR(__xludf.DUMMYFUNCTION("""COMPUTED_VALUE"""),"0 năm 7 tháng")</f>
        <v>0 năm 7 tháng</v>
      </c>
      <c r="X63" s="22"/>
      <c r="Y63" s="22"/>
      <c r="Z63" s="22"/>
    </row>
    <row r="64">
      <c r="A64" s="23" t="str">
        <f>IFERROR(__xludf.DUMMYFUNCTION("""COMPUTED_VALUE"""),"6")</f>
        <v>6</v>
      </c>
      <c r="B64" s="22" t="str">
        <f>IFERROR(__xludf.DUMMYFUNCTION("""COMPUTED_VALUE"""),"PXSX1")</f>
        <v>PXSX1</v>
      </c>
      <c r="C64" s="22" t="str">
        <f>IFERROR(__xludf.DUMMYFUNCTION("""COMPUTED_VALUE"""),"Bộ phận nhiên liệu và gia công bán thành phẩm ")</f>
        <v>Bộ phận nhiên liệu và gia công bán thành phẩm </v>
      </c>
      <c r="D64" s="22" t="str">
        <f>IFERROR(__xludf.DUMMYFUNCTION("""COMPUTED_VALUE"""),"Nghiền - Sấy phun Ca B")</f>
        <v>Nghiền - Sấy phun Ca B</v>
      </c>
      <c r="E64" s="22" t="str">
        <f>IFERROR(__xludf.DUMMYFUNCTION("""COMPUTED_VALUE"""),"VH chính sấy phun mức 1")</f>
        <v>VH chính sấy phun mức 1</v>
      </c>
      <c r="F64" s="22" t="str">
        <f>IFERROR(__xludf.DUMMYFUNCTION("""COMPUTED_VALUE"""),"NV1697")</f>
        <v>NV1697</v>
      </c>
      <c r="G64" s="22">
        <f>IFERROR(__xludf.DUMMYFUNCTION("""COMPUTED_VALUE"""),308.0)</f>
        <v>308</v>
      </c>
      <c r="H64" s="22" t="str">
        <f>IFERROR(__xludf.DUMMYFUNCTION("""COMPUTED_VALUE"""),"Đỗ Ngọc Vui")</f>
        <v>Đỗ Ngọc Vui</v>
      </c>
      <c r="I64" s="22" t="str">
        <f>IFERROR(__xludf.DUMMYFUNCTION("""COMPUTED_VALUE"""),"Nam")</f>
        <v>Nam</v>
      </c>
      <c r="J64" s="24">
        <f>IFERROR(__xludf.DUMMYFUNCTION("""COMPUTED_VALUE"""),27960.0)</f>
        <v>27960</v>
      </c>
      <c r="K64" s="22" t="str">
        <f>IFERROR(__xludf.DUMMYFUNCTION("""COMPUTED_VALUE"""),"Thôn Gia Lộc - Phường Quảng Phú - Tỉnh Thanh Hóa")</f>
        <v>Thôn Gia Lộc - Phường Quảng Phú - Tỉnh Thanh Hóa</v>
      </c>
      <c r="L64" s="22" t="str">
        <f>IFERROR(__xludf.DUMMYFUNCTION("""COMPUTED_VALUE"""),"0374052325")</f>
        <v>0374052325</v>
      </c>
      <c r="M64" s="22" t="str">
        <f>IFERROR(__xludf.DUMMYFUNCTION("""COMPUTED_VALUE"""),"038076002489")</f>
        <v>038076002489</v>
      </c>
      <c r="N64" s="24">
        <f>IFERROR(__xludf.DUMMYFUNCTION("""COMPUTED_VALUE"""),44418.0)</f>
        <v>44418</v>
      </c>
      <c r="O64" s="22" t="str">
        <f>IFERROR(__xludf.DUMMYFUNCTION("""COMPUTED_VALUE"""),"Cục Cảnh sát QLHC về TTXH")</f>
        <v>Cục Cảnh sát QLHC về TTXH</v>
      </c>
      <c r="P64" s="22" t="str">
        <f>IFERROR(__xludf.DUMMYFUNCTION("""COMPUTED_VALUE"""),"LĐPT")</f>
        <v>LĐPT</v>
      </c>
      <c r="Q64" s="22" t="str">
        <f>IFERROR(__xludf.DUMMYFUNCTION("""COMPUTED_VALUE"""),"Lao động phổ thông")</f>
        <v>Lao động phổ thông</v>
      </c>
      <c r="R64" s="24">
        <f>IFERROR(__xludf.DUMMYFUNCTION("""COMPUTED_VALUE"""),43340.0)</f>
        <v>43340</v>
      </c>
      <c r="S64" s="24">
        <f>IFERROR(__xludf.DUMMYFUNCTION("""COMPUTED_VALUE"""),43678.0)</f>
        <v>43678</v>
      </c>
      <c r="T64" s="24" t="str">
        <f>IFERROR(__xludf.DUMMYFUNCTION("""COMPUTED_VALUE"""),"Chính thức")</f>
        <v>Chính thức</v>
      </c>
      <c r="U64" s="22"/>
      <c r="V64" s="22"/>
      <c r="W64" s="22" t="str">
        <f>IFERROR(__xludf.DUMMYFUNCTION("""COMPUTED_VALUE"""),"7 năm 4 tháng")</f>
        <v>7 năm 4 tháng</v>
      </c>
      <c r="X64" s="22"/>
      <c r="Y64" s="22"/>
      <c r="Z64" s="22"/>
    </row>
    <row r="65">
      <c r="A65" s="23" t="str">
        <f>IFERROR(__xludf.DUMMYFUNCTION("""COMPUTED_VALUE"""),"7")</f>
        <v>7</v>
      </c>
      <c r="B65" s="22" t="str">
        <f>IFERROR(__xludf.DUMMYFUNCTION("""COMPUTED_VALUE"""),"PXSX1")</f>
        <v>PXSX1</v>
      </c>
      <c r="C65" s="22" t="str">
        <f>IFERROR(__xludf.DUMMYFUNCTION("""COMPUTED_VALUE"""),"Bộ phận nhiên liệu và gia công bán thành phẩm ")</f>
        <v>Bộ phận nhiên liệu và gia công bán thành phẩm </v>
      </c>
      <c r="D65" s="22" t="str">
        <f>IFERROR(__xludf.DUMMYFUNCTION("""COMPUTED_VALUE"""),"Nghiền - Sấy phun Ca B")</f>
        <v>Nghiền - Sấy phun Ca B</v>
      </c>
      <c r="E65" s="22" t="str">
        <f>IFERROR(__xludf.DUMMYFUNCTION("""COMPUTED_VALUE"""),"Nhóm trưởng nghiền")</f>
        <v>Nhóm trưởng nghiền</v>
      </c>
      <c r="F65" s="22" t="str">
        <f>IFERROR(__xludf.DUMMYFUNCTION("""COMPUTED_VALUE"""),"NV1214")</f>
        <v>NV1214</v>
      </c>
      <c r="G65" s="22">
        <f>IFERROR(__xludf.DUMMYFUNCTION("""COMPUTED_VALUE"""),479.0)</f>
        <v>479</v>
      </c>
      <c r="H65" s="22" t="str">
        <f>IFERROR(__xludf.DUMMYFUNCTION("""COMPUTED_VALUE"""),"Nguyễn Trọng Quyền ")</f>
        <v>Nguyễn Trọng Quyền </v>
      </c>
      <c r="I65" s="22" t="str">
        <f>IFERROR(__xludf.DUMMYFUNCTION("""COMPUTED_VALUE"""),"Nam")</f>
        <v>Nam</v>
      </c>
      <c r="J65" s="24">
        <f>IFERROR(__xludf.DUMMYFUNCTION("""COMPUTED_VALUE"""),30821.0)</f>
        <v>30821</v>
      </c>
      <c r="K65" s="22" t="str">
        <f>IFERROR(__xludf.DUMMYFUNCTION("""COMPUTED_VALUE"""),"Phường Quảng Phú - Tỉnh Thanh Hóa ")</f>
        <v>Phường Quảng Phú - Tỉnh Thanh Hóa </v>
      </c>
      <c r="L65" s="22" t="str">
        <f>IFERROR(__xludf.DUMMYFUNCTION("""COMPUTED_VALUE"""),"0962386076")</f>
        <v>0962386076</v>
      </c>
      <c r="M65" s="22" t="str">
        <f>IFERROR(__xludf.DUMMYFUNCTION("""COMPUTED_VALUE"""),"038084006690")</f>
        <v>038084006690</v>
      </c>
      <c r="N65" s="24">
        <f>IFERROR(__xludf.DUMMYFUNCTION("""COMPUTED_VALUE"""),44467.0)</f>
        <v>44467</v>
      </c>
      <c r="O65" s="22" t="str">
        <f>IFERROR(__xludf.DUMMYFUNCTION("""COMPUTED_VALUE"""),"Cục Cảnh sát QLHC về TTXH")</f>
        <v>Cục Cảnh sát QLHC về TTXH</v>
      </c>
      <c r="P65" s="22" t="str">
        <f>IFERROR(__xludf.DUMMYFUNCTION("""COMPUTED_VALUE"""),"LĐPT")</f>
        <v>LĐPT</v>
      </c>
      <c r="Q65" s="22" t="str">
        <f>IFERROR(__xludf.DUMMYFUNCTION("""COMPUTED_VALUE"""),"Lao động phổ thông")</f>
        <v>Lao động phổ thông</v>
      </c>
      <c r="R65" s="24">
        <f>IFERROR(__xludf.DUMMYFUNCTION("""COMPUTED_VALUE"""),43164.0)</f>
        <v>43164</v>
      </c>
      <c r="S65" s="24">
        <f>IFERROR(__xludf.DUMMYFUNCTION("""COMPUTED_VALUE"""),45444.0)</f>
        <v>45444</v>
      </c>
      <c r="T65" s="24" t="str">
        <f>IFERROR(__xludf.DUMMYFUNCTION("""COMPUTED_VALUE"""),"Chính thức")</f>
        <v>Chính thức</v>
      </c>
      <c r="U65" s="22"/>
      <c r="V65" s="22"/>
      <c r="W65" s="22" t="str">
        <f>IFERROR(__xludf.DUMMYFUNCTION("""COMPUTED_VALUE"""),"7 năm 9 tháng")</f>
        <v>7 năm 9 tháng</v>
      </c>
      <c r="X65" s="22"/>
      <c r="Y65" s="22"/>
      <c r="Z65" s="22"/>
    </row>
    <row r="66">
      <c r="A66" s="23" t="str">
        <f>IFERROR(__xludf.DUMMYFUNCTION("""COMPUTED_VALUE"""),"8")</f>
        <v>8</v>
      </c>
      <c r="B66" s="22" t="str">
        <f>IFERROR(__xludf.DUMMYFUNCTION("""COMPUTED_VALUE"""),"PXSX1")</f>
        <v>PXSX1</v>
      </c>
      <c r="C66" s="22" t="str">
        <f>IFERROR(__xludf.DUMMYFUNCTION("""COMPUTED_VALUE"""),"Bộ phận nhiên liệu và gia công bán thành phẩm ")</f>
        <v>Bộ phận nhiên liệu và gia công bán thành phẩm </v>
      </c>
      <c r="D66" s="22" t="str">
        <f>IFERROR(__xludf.DUMMYFUNCTION("""COMPUTED_VALUE"""),"Nghiền - Sấy phun Ca B")</f>
        <v>Nghiền - Sấy phun Ca B</v>
      </c>
      <c r="E66" s="22" t="str">
        <f>IFERROR(__xludf.DUMMYFUNCTION("""COMPUTED_VALUE"""),"VHC than xích")</f>
        <v>VHC than xích</v>
      </c>
      <c r="F66" s="22" t="str">
        <f>IFERROR(__xludf.DUMMYFUNCTION("""COMPUTED_VALUE"""),"NV2085")</f>
        <v>NV2085</v>
      </c>
      <c r="G66" s="22">
        <f>IFERROR(__xludf.DUMMYFUNCTION("""COMPUTED_VALUE"""),774.0)</f>
        <v>774</v>
      </c>
      <c r="H66" s="22" t="str">
        <f>IFERROR(__xludf.DUMMYFUNCTION("""COMPUTED_VALUE"""),"Bùi Khắc Toàn")</f>
        <v>Bùi Khắc Toàn</v>
      </c>
      <c r="I66" s="22" t="str">
        <f>IFERROR(__xludf.DUMMYFUNCTION("""COMPUTED_VALUE"""),"Nam")</f>
        <v>Nam</v>
      </c>
      <c r="J66" s="24">
        <f>IFERROR(__xludf.DUMMYFUNCTION("""COMPUTED_VALUE"""),31159.0)</f>
        <v>31159</v>
      </c>
      <c r="K66" s="22" t="str">
        <f>IFERROR(__xludf.DUMMYFUNCTION("""COMPUTED_VALUE"""),"Thôn 6 - Xã Hoằng Lộc - Tỉnh Thanh Hóa")</f>
        <v>Thôn 6 - Xã Hoằng Lộc - Tỉnh Thanh Hóa</v>
      </c>
      <c r="L66" s="22" t="str">
        <f>IFERROR(__xludf.DUMMYFUNCTION("""COMPUTED_VALUE"""),"0911998818")</f>
        <v>0911998818</v>
      </c>
      <c r="M66" s="22" t="str">
        <f>IFERROR(__xludf.DUMMYFUNCTION("""COMPUTED_VALUE"""),"038085008001")</f>
        <v>038085008001</v>
      </c>
      <c r="N66" s="24">
        <f>IFERROR(__xludf.DUMMYFUNCTION("""COMPUTED_VALUE"""),42937.0)</f>
        <v>42937</v>
      </c>
      <c r="O66" s="22" t="str">
        <f>IFERROR(__xludf.DUMMYFUNCTION("""COMPUTED_VALUE"""),"Cục Cảnh sát QLHC về TTXH")</f>
        <v>Cục Cảnh sát QLHC về TTXH</v>
      </c>
      <c r="P66" s="22" t="str">
        <f>IFERROR(__xludf.DUMMYFUNCTION("""COMPUTED_VALUE"""),"LĐPT")</f>
        <v>LĐPT</v>
      </c>
      <c r="Q66" s="22" t="str">
        <f>IFERROR(__xludf.DUMMYFUNCTION("""COMPUTED_VALUE"""),"Lao động phổ thông")</f>
        <v>Lao động phổ thông</v>
      </c>
      <c r="R66" s="24">
        <f>IFERROR(__xludf.DUMMYFUNCTION("""COMPUTED_VALUE"""),43426.0)</f>
        <v>43426</v>
      </c>
      <c r="S66" s="24">
        <f>IFERROR(__xludf.DUMMYFUNCTION("""COMPUTED_VALUE"""),43739.0)</f>
        <v>43739</v>
      </c>
      <c r="T66" s="24" t="str">
        <f>IFERROR(__xludf.DUMMYFUNCTION("""COMPUTED_VALUE"""),"Chính thức")</f>
        <v>Chính thức</v>
      </c>
      <c r="U66" s="22"/>
      <c r="V66" s="22"/>
      <c r="W66" s="22" t="str">
        <f>IFERROR(__xludf.DUMMYFUNCTION("""COMPUTED_VALUE"""),"7 năm 1 tháng")</f>
        <v>7 năm 1 tháng</v>
      </c>
      <c r="X66" s="22"/>
      <c r="Y66" s="22"/>
      <c r="Z66" s="22"/>
    </row>
    <row r="67">
      <c r="A67" s="23" t="str">
        <f>IFERROR(__xludf.DUMMYFUNCTION("""COMPUTED_VALUE"""),"9")</f>
        <v>9</v>
      </c>
      <c r="B67" s="22" t="str">
        <f>IFERROR(__xludf.DUMMYFUNCTION("""COMPUTED_VALUE"""),"PXSX1")</f>
        <v>PXSX1</v>
      </c>
      <c r="C67" s="22" t="str">
        <f>IFERROR(__xludf.DUMMYFUNCTION("""COMPUTED_VALUE"""),"Bộ phận nhiên liệu và gia công bán thành phẩm ")</f>
        <v>Bộ phận nhiên liệu và gia công bán thành phẩm </v>
      </c>
      <c r="D67" s="22" t="str">
        <f>IFERROR(__xludf.DUMMYFUNCTION("""COMPUTED_VALUE"""),"Nghiền - Sấy phun Ca B")</f>
        <v>Nghiền - Sấy phun Ca B</v>
      </c>
      <c r="E67" s="22" t="str">
        <f>IFERROR(__xludf.DUMMYFUNCTION("""COMPUTED_VALUE"""),"Tổ trưởng")</f>
        <v>Tổ trưởng</v>
      </c>
      <c r="F67" s="22" t="str">
        <f>IFERROR(__xludf.DUMMYFUNCTION("""COMPUTED_VALUE"""),"NV0293")</f>
        <v>NV0293</v>
      </c>
      <c r="G67" s="22">
        <f>IFERROR(__xludf.DUMMYFUNCTION("""COMPUTED_VALUE"""),309.0)</f>
        <v>309</v>
      </c>
      <c r="H67" s="22" t="str">
        <f>IFERROR(__xludf.DUMMYFUNCTION("""COMPUTED_VALUE"""),"Trịnh Xuân Mong")</f>
        <v>Trịnh Xuân Mong</v>
      </c>
      <c r="I67" s="22" t="str">
        <f>IFERROR(__xludf.DUMMYFUNCTION("""COMPUTED_VALUE"""),"Nam")</f>
        <v>Nam</v>
      </c>
      <c r="J67" s="24">
        <f>IFERROR(__xludf.DUMMYFUNCTION("""COMPUTED_VALUE"""),32969.0)</f>
        <v>32969</v>
      </c>
      <c r="K67" s="22" t="str">
        <f>IFERROR(__xludf.DUMMYFUNCTION("""COMPUTED_VALUE"""),"Phố Đồng Lễ - Phường Hạc Thành - Tỉnh Thanh Hóa")</f>
        <v>Phố Đồng Lễ - Phường Hạc Thành - Tỉnh Thanh Hóa</v>
      </c>
      <c r="L67" s="22" t="str">
        <f>IFERROR(__xludf.DUMMYFUNCTION("""COMPUTED_VALUE"""),"0346737908")</f>
        <v>0346737908</v>
      </c>
      <c r="M67" s="22" t="str">
        <f>IFERROR(__xludf.DUMMYFUNCTION("""COMPUTED_VALUE"""),"038090012508")</f>
        <v>038090012508</v>
      </c>
      <c r="N67" s="24">
        <f>IFERROR(__xludf.DUMMYFUNCTION("""COMPUTED_VALUE"""),44358.0)</f>
        <v>44358</v>
      </c>
      <c r="O67" s="22" t="str">
        <f>IFERROR(__xludf.DUMMYFUNCTION("""COMPUTED_VALUE"""),"Cục Cảnh sát QLHC về TTXH")</f>
        <v>Cục Cảnh sát QLHC về TTXH</v>
      </c>
      <c r="P67" s="22" t="str">
        <f>IFERROR(__xludf.DUMMYFUNCTION("""COMPUTED_VALUE"""),"LĐPT")</f>
        <v>LĐPT</v>
      </c>
      <c r="Q67" s="22" t="str">
        <f>IFERROR(__xludf.DUMMYFUNCTION("""COMPUTED_VALUE"""),"Lao động phổ thông")</f>
        <v>Lao động phổ thông</v>
      </c>
      <c r="R67" s="24">
        <f>IFERROR(__xludf.DUMMYFUNCTION("""COMPUTED_VALUE"""),40422.0)</f>
        <v>40422</v>
      </c>
      <c r="S67" s="24">
        <f>IFERROR(__xludf.DUMMYFUNCTION("""COMPUTED_VALUE"""),40422.0)</f>
        <v>40422</v>
      </c>
      <c r="T67" s="24" t="str">
        <f>IFERROR(__xludf.DUMMYFUNCTION("""COMPUTED_VALUE"""),"Chính thức")</f>
        <v>Chính thức</v>
      </c>
      <c r="U67" s="22"/>
      <c r="V67" s="22"/>
      <c r="W67" s="22" t="str">
        <f>IFERROR(__xludf.DUMMYFUNCTION("""COMPUTED_VALUE"""),"15 năm 3 tháng")</f>
        <v>15 năm 3 tháng</v>
      </c>
      <c r="X67" s="22"/>
      <c r="Y67" s="22"/>
      <c r="Z67" s="22"/>
    </row>
    <row r="68">
      <c r="A68" s="23" t="str">
        <f>IFERROR(__xludf.DUMMYFUNCTION("""COMPUTED_VALUE"""),"10")</f>
        <v>10</v>
      </c>
      <c r="B68" s="22" t="str">
        <f>IFERROR(__xludf.DUMMYFUNCTION("""COMPUTED_VALUE"""),"PXSX1")</f>
        <v>PXSX1</v>
      </c>
      <c r="C68" s="22" t="str">
        <f>IFERROR(__xludf.DUMMYFUNCTION("""COMPUTED_VALUE"""),"Bộ phận nhiên liệu và gia công bán thành phẩm ")</f>
        <v>Bộ phận nhiên liệu và gia công bán thành phẩm </v>
      </c>
      <c r="D68" s="22" t="str">
        <f>IFERROR(__xludf.DUMMYFUNCTION("""COMPUTED_VALUE"""),"Nghiền - Sấy phun Ca B")</f>
        <v>Nghiền - Sấy phun Ca B</v>
      </c>
      <c r="E68" s="22" t="str">
        <f>IFERROR(__xludf.DUMMYFUNCTION("""COMPUTED_VALUE"""),"VH chính sấy phun mức 2")</f>
        <v>VH chính sấy phun mức 2</v>
      </c>
      <c r="F68" s="22" t="str">
        <f>IFERROR(__xludf.DUMMYFUNCTION("""COMPUTED_VALUE"""),"NV1108")</f>
        <v>NV1108</v>
      </c>
      <c r="G68" s="22">
        <f>IFERROR(__xludf.DUMMYFUNCTION("""COMPUTED_VALUE"""),215.0)</f>
        <v>215</v>
      </c>
      <c r="H68" s="22" t="str">
        <f>IFERROR(__xludf.DUMMYFUNCTION("""COMPUTED_VALUE"""),"Mai Trọng Ninh")</f>
        <v>Mai Trọng Ninh</v>
      </c>
      <c r="I68" s="22" t="str">
        <f>IFERROR(__xludf.DUMMYFUNCTION("""COMPUTED_VALUE"""),"Nam")</f>
        <v>Nam</v>
      </c>
      <c r="J68" s="24">
        <f>IFERROR(__xludf.DUMMYFUNCTION("""COMPUTED_VALUE"""),31849.0)</f>
        <v>31849</v>
      </c>
      <c r="K68" s="22" t="str">
        <f>IFERROR(__xludf.DUMMYFUNCTION("""COMPUTED_VALUE"""),"Phố 5 - Phường Quảng Phú - Tỉnh Thanh Hóa")</f>
        <v>Phố 5 - Phường Quảng Phú - Tỉnh Thanh Hóa</v>
      </c>
      <c r="L68" s="22" t="str">
        <f>IFERROR(__xludf.DUMMYFUNCTION("""COMPUTED_VALUE"""),"981279523")</f>
        <v>981279523</v>
      </c>
      <c r="M68" s="22" t="str">
        <f>IFERROR(__xludf.DUMMYFUNCTION("""COMPUTED_VALUE"""),"038087022104")</f>
        <v>038087022104</v>
      </c>
      <c r="N68" s="24">
        <f>IFERROR(__xludf.DUMMYFUNCTION("""COMPUTED_VALUE"""),44313.0)</f>
        <v>44313</v>
      </c>
      <c r="O68" s="22" t="str">
        <f>IFERROR(__xludf.DUMMYFUNCTION("""COMPUTED_VALUE"""),"Cục Cảnh sát QLHC về TTXH")</f>
        <v>Cục Cảnh sát QLHC về TTXH</v>
      </c>
      <c r="P68" s="22" t="str">
        <f>IFERROR(__xludf.DUMMYFUNCTION("""COMPUTED_VALUE"""),"LĐPT")</f>
        <v>LĐPT</v>
      </c>
      <c r="Q68" s="22" t="str">
        <f>IFERROR(__xludf.DUMMYFUNCTION("""COMPUTED_VALUE"""),"Lao động phổ thông")</f>
        <v>Lao động phổ thông</v>
      </c>
      <c r="R68" s="24">
        <f>IFERROR(__xludf.DUMMYFUNCTION("""COMPUTED_VALUE"""),44810.0)</f>
        <v>44810</v>
      </c>
      <c r="S68" s="24">
        <f>IFERROR(__xludf.DUMMYFUNCTION("""COMPUTED_VALUE"""),45474.0)</f>
        <v>45474</v>
      </c>
      <c r="T68" s="24" t="str">
        <f>IFERROR(__xludf.DUMMYFUNCTION("""COMPUTED_VALUE"""),"Chính thức")</f>
        <v>Chính thức</v>
      </c>
      <c r="U68" s="22"/>
      <c r="V68" s="22"/>
      <c r="W68" s="22" t="str">
        <f>IFERROR(__xludf.DUMMYFUNCTION("""COMPUTED_VALUE"""),"3 năm 3 tháng")</f>
        <v>3 năm 3 tháng</v>
      </c>
      <c r="X68" s="22"/>
      <c r="Y68" s="22"/>
      <c r="Z68" s="22"/>
    </row>
    <row r="69">
      <c r="A69" s="23" t="str">
        <f>IFERROR(__xludf.DUMMYFUNCTION("""COMPUTED_VALUE"""),"11")</f>
        <v>11</v>
      </c>
      <c r="B69" s="22" t="str">
        <f>IFERROR(__xludf.DUMMYFUNCTION("""COMPUTED_VALUE"""),"PXSX1")</f>
        <v>PXSX1</v>
      </c>
      <c r="C69" s="22" t="str">
        <f>IFERROR(__xludf.DUMMYFUNCTION("""COMPUTED_VALUE"""),"Bộ phận nhiên liệu và gia công bán thành phẩm ")</f>
        <v>Bộ phận nhiên liệu và gia công bán thành phẩm </v>
      </c>
      <c r="D69" s="22" t="str">
        <f>IFERROR(__xludf.DUMMYFUNCTION("""COMPUTED_VALUE"""),"Nghiền - Sấy phun Ca B")</f>
        <v>Nghiền - Sấy phun Ca B</v>
      </c>
      <c r="E69" s="22" t="str">
        <f>IFERROR(__xludf.DUMMYFUNCTION("""COMPUTED_VALUE"""),"Bảo trì lò DC1")</f>
        <v>Bảo trì lò DC1</v>
      </c>
      <c r="F69" s="22" t="str">
        <f>IFERROR(__xludf.DUMMYFUNCTION("""COMPUTED_VALUE"""),"NV5770")</f>
        <v>NV5770</v>
      </c>
      <c r="G69" s="22">
        <f>IFERROR(__xludf.DUMMYFUNCTION("""COMPUTED_VALUE"""),1251.0)</f>
        <v>1251</v>
      </c>
      <c r="H69" s="22" t="str">
        <f>IFERROR(__xludf.DUMMYFUNCTION("""COMPUTED_VALUE"""),"Đỗ Văn Tính")</f>
        <v>Đỗ Văn Tính</v>
      </c>
      <c r="I69" s="22" t="str">
        <f>IFERROR(__xludf.DUMMYFUNCTION("""COMPUTED_VALUE"""),"Nam")</f>
        <v>Nam</v>
      </c>
      <c r="J69" s="24">
        <f>IFERROR(__xludf.DUMMYFUNCTION("""COMPUTED_VALUE"""),25121.0)</f>
        <v>25121</v>
      </c>
      <c r="K69" s="22" t="str">
        <f>IFERROR(__xludf.DUMMYFUNCTION("""COMPUTED_VALUE"""),"Thôn Đạt Tiến 2 -  Xã Thắng Lợi -  Tỉnh Thanh Hóa")</f>
        <v>Thôn Đạt Tiến 2 -  Xã Thắng Lợi -  Tỉnh Thanh Hóa</v>
      </c>
      <c r="L69" s="22" t="str">
        <f>IFERROR(__xludf.DUMMYFUNCTION("""COMPUTED_VALUE"""),"0358431163")</f>
        <v>0358431163</v>
      </c>
      <c r="M69" s="22" t="str">
        <f>IFERROR(__xludf.DUMMYFUNCTION("""COMPUTED_VALUE"""),"038068043829")</f>
        <v>038068043829</v>
      </c>
      <c r="N69" s="24">
        <f>IFERROR(__xludf.DUMMYFUNCTION("""COMPUTED_VALUE"""),44423.0)</f>
        <v>44423</v>
      </c>
      <c r="O69" s="22" t="str">
        <f>IFERROR(__xludf.DUMMYFUNCTION("""COMPUTED_VALUE"""),"Cục Cảnh sát QLHC về TTXH")</f>
        <v>Cục Cảnh sát QLHC về TTXH</v>
      </c>
      <c r="P69" s="22" t="str">
        <f>IFERROR(__xludf.DUMMYFUNCTION("""COMPUTED_VALUE"""),"LĐPT")</f>
        <v>LĐPT</v>
      </c>
      <c r="Q69" s="22" t="str">
        <f>IFERROR(__xludf.DUMMYFUNCTION("""COMPUTED_VALUE"""),"Lao động phổ thông")</f>
        <v>Lao động phổ thông</v>
      </c>
      <c r="R69" s="24">
        <f>IFERROR(__xludf.DUMMYFUNCTION("""COMPUTED_VALUE"""),45951.0)</f>
        <v>45951</v>
      </c>
      <c r="S69" s="22"/>
      <c r="T69" s="24" t="str">
        <f>IFERROR(__xludf.DUMMYFUNCTION("""COMPUTED_VALUE"""),"Thử việc")</f>
        <v>Thử việc</v>
      </c>
      <c r="U69" s="22"/>
      <c r="V69" s="22" t="str">
        <f>IFERROR(__xludf.DUMMYFUNCTION("""COMPUTED_VALUE"""),"Thử việc")</f>
        <v>Thử việc</v>
      </c>
      <c r="W69" s="22" t="str">
        <f>IFERROR(__xludf.DUMMYFUNCTION("""COMPUTED_VALUE"""),"0 năm 2 tháng")</f>
        <v>0 năm 2 tháng</v>
      </c>
      <c r="X69" s="22"/>
      <c r="Y69" s="22"/>
      <c r="Z69" s="22"/>
    </row>
    <row r="70">
      <c r="A70" s="23" t="str">
        <f>IFERROR(__xludf.DUMMYFUNCTION("""COMPUTED_VALUE"""),"12")</f>
        <v>12</v>
      </c>
      <c r="B70" s="22" t="str">
        <f>IFERROR(__xludf.DUMMYFUNCTION("""COMPUTED_VALUE"""),"PXSX1")</f>
        <v>PXSX1</v>
      </c>
      <c r="C70" s="22" t="str">
        <f>IFERROR(__xludf.DUMMYFUNCTION("""COMPUTED_VALUE"""),"Bộ phận nhiên liệu và gia công bán thành phẩm ")</f>
        <v>Bộ phận nhiên liệu và gia công bán thành phẩm </v>
      </c>
      <c r="D70" s="22" t="str">
        <f>IFERROR(__xludf.DUMMYFUNCTION("""COMPUTED_VALUE"""),"Nghiền - Sấy phun Ca B")</f>
        <v>Nghiền - Sấy phun Ca B</v>
      </c>
      <c r="E70" s="22" t="str">
        <f>IFERROR(__xludf.DUMMYFUNCTION("""COMPUTED_VALUE"""),"VH Nạp nghiền")</f>
        <v>VH Nạp nghiền</v>
      </c>
      <c r="F70" s="22" t="str">
        <f>IFERROR(__xludf.DUMMYFUNCTION("""COMPUTED_VALUE"""),"NV5771")</f>
        <v>NV5771</v>
      </c>
      <c r="G70" s="22">
        <f>IFERROR(__xludf.DUMMYFUNCTION("""COMPUTED_VALUE"""),1252.0)</f>
        <v>1252</v>
      </c>
      <c r="H70" s="22" t="str">
        <f>IFERROR(__xludf.DUMMYFUNCTION("""COMPUTED_VALUE"""),"Lê Ngọc Định")</f>
        <v>Lê Ngọc Định</v>
      </c>
      <c r="I70" s="22" t="str">
        <f>IFERROR(__xludf.DUMMYFUNCTION("""COMPUTED_VALUE"""),"Nam")</f>
        <v>Nam</v>
      </c>
      <c r="J70" s="24">
        <f>IFERROR(__xludf.DUMMYFUNCTION("""COMPUTED_VALUE"""),27528.0)</f>
        <v>27528</v>
      </c>
      <c r="K70" s="22" t="str">
        <f>IFERROR(__xludf.DUMMYFUNCTION("""COMPUTED_VALUE"""),"Thôn Đông Hưng -  Xã Thắng Lợi -  Tỉnh Thanh Hóa")</f>
        <v>Thôn Đông Hưng -  Xã Thắng Lợi -  Tỉnh Thanh Hóa</v>
      </c>
      <c r="L70" s="22" t="str">
        <f>IFERROR(__xludf.DUMMYFUNCTION("""COMPUTED_VALUE"""),"0964575861")</f>
        <v>0964575861</v>
      </c>
      <c r="M70" s="22" t="str">
        <f>IFERROR(__xludf.DUMMYFUNCTION("""COMPUTED_VALUE"""),"038075017692")</f>
        <v>038075017692</v>
      </c>
      <c r="N70" s="24">
        <f>IFERROR(__xludf.DUMMYFUNCTION("""COMPUTED_VALUE"""),44423.0)</f>
        <v>44423</v>
      </c>
      <c r="O70" s="22" t="str">
        <f>IFERROR(__xludf.DUMMYFUNCTION("""COMPUTED_VALUE"""),"Cục Cảnh sát QLHC về TTXH")</f>
        <v>Cục Cảnh sát QLHC về TTXH</v>
      </c>
      <c r="P70" s="22" t="str">
        <f>IFERROR(__xludf.DUMMYFUNCTION("""COMPUTED_VALUE"""),"LĐPT")</f>
        <v>LĐPT</v>
      </c>
      <c r="Q70" s="22" t="str">
        <f>IFERROR(__xludf.DUMMYFUNCTION("""COMPUTED_VALUE"""),"Lao động phổ thông")</f>
        <v>Lao động phổ thông</v>
      </c>
      <c r="R70" s="24">
        <f>IFERROR(__xludf.DUMMYFUNCTION("""COMPUTED_VALUE"""),45951.0)</f>
        <v>45951</v>
      </c>
      <c r="S70" s="22"/>
      <c r="T70" s="24" t="str">
        <f>IFERROR(__xludf.DUMMYFUNCTION("""COMPUTED_VALUE"""),"Thử việc")</f>
        <v>Thử việc</v>
      </c>
      <c r="U70" s="22"/>
      <c r="V70" s="22" t="str">
        <f>IFERROR(__xludf.DUMMYFUNCTION("""COMPUTED_VALUE"""),"Thử việc")</f>
        <v>Thử việc</v>
      </c>
      <c r="W70" s="22" t="str">
        <f>IFERROR(__xludf.DUMMYFUNCTION("""COMPUTED_VALUE"""),"0 năm 2 tháng")</f>
        <v>0 năm 2 tháng</v>
      </c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3" t="str">
        <f>IFERROR(__xludf.DUMMYFUNCTION("""COMPUTED_VALUE"""),"3.7")</f>
        <v>3.7</v>
      </c>
      <c r="B72" s="22" t="str">
        <f>IFERROR(__xludf.DUMMYFUNCTION("""COMPUTED_VALUE"""),"Nghiền - Sấy phun Ca C")</f>
        <v>Nghiền - Sấy phun Ca C</v>
      </c>
      <c r="C72" s="22">
        <f>IFERROR(__xludf.DUMMYFUNCTION("""COMPUTED_VALUE"""),0.0)</f>
        <v>0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3" t="str">
        <f>IFERROR(__xludf.DUMMYFUNCTION("""COMPUTED_VALUE"""),"1")</f>
        <v>1</v>
      </c>
      <c r="B73" s="22" t="str">
        <f>IFERROR(__xludf.DUMMYFUNCTION("""COMPUTED_VALUE"""),"#N/A")</f>
        <v>#N/A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3" t="str">
        <f>IFERROR(__xludf.DUMMYFUNCTION("""COMPUTED_VALUE"""),"2")</f>
        <v>2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3" t="str">
        <f>IFERROR(__xludf.DUMMYFUNCTION("""COMPUTED_VALUE"""),"3")</f>
        <v>3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3" t="str">
        <f>IFERROR(__xludf.DUMMYFUNCTION("""COMPUTED_VALUE"""),"5")</f>
        <v>5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3" t="str">
        <f>IFERROR(__xludf.DUMMYFUNCTION("""COMPUTED_VALUE"""),"6")</f>
        <v>6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3" t="str">
        <f>IFERROR(__xludf.DUMMYFUNCTION("""COMPUTED_VALUE"""),"7")</f>
        <v>7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3" t="str">
        <f>IFERROR(__xludf.DUMMYFUNCTION("""COMPUTED_VALUE"""),"8")</f>
        <v>8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3" t="str">
        <f>IFERROR(__xludf.DUMMYFUNCTION("""COMPUTED_VALUE"""),"9")</f>
        <v>9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3" t="str">
        <f>IFERROR(__xludf.DUMMYFUNCTION("""COMPUTED_VALUE"""),"10")</f>
        <v>10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3" t="str">
        <f>IFERROR(__xludf.DUMMYFUNCTION("""COMPUTED_VALUE"""),"11")</f>
        <v>11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3" t="str">
        <f>IFERROR(__xludf.DUMMYFUNCTION("""COMPUTED_VALUE"""),"3.8")</f>
        <v>3.8</v>
      </c>
      <c r="B83" s="22" t="str">
        <f>IFERROR(__xludf.DUMMYFUNCTION("""COMPUTED_VALUE"""),"Dây chuyền gia công Ca A")</f>
        <v>Dây chuyền gia công Ca A</v>
      </c>
      <c r="C83" s="22">
        <f>IFERROR(__xludf.DUMMYFUNCTION("""COMPUTED_VALUE"""),16.0)</f>
        <v>16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3" t="str">
        <f>IFERROR(__xludf.DUMMYFUNCTION("""COMPUTED_VALUE"""),"1")</f>
        <v>1</v>
      </c>
      <c r="B84" s="22" t="str">
        <f>IFERROR(__xludf.DUMMYFUNCTION("""COMPUTED_VALUE"""),"PXSX1")</f>
        <v>PXSX1</v>
      </c>
      <c r="C84" s="22" t="str">
        <f>IFERROR(__xludf.DUMMYFUNCTION("""COMPUTED_VALUE"""),"Bộ phận nhiên liệu và gia công bán thành phẩm ")</f>
        <v>Bộ phận nhiên liệu và gia công bán thành phẩm </v>
      </c>
      <c r="D84" s="22" t="str">
        <f>IFERROR(__xludf.DUMMYFUNCTION("""COMPUTED_VALUE"""),"Dây chuyền gia công Ca A")</f>
        <v>Dây chuyền gia công Ca A</v>
      </c>
      <c r="E84" s="22" t="str">
        <f>IFERROR(__xludf.DUMMYFUNCTION("""COMPUTED_VALUE"""),"VH bù DC1")</f>
        <v>VH bù DC1</v>
      </c>
      <c r="F84" s="22" t="str">
        <f>IFERROR(__xludf.DUMMYFUNCTION("""COMPUTED_VALUE"""),"NV0171")</f>
        <v>NV0171</v>
      </c>
      <c r="G84" s="22">
        <f>IFERROR(__xludf.DUMMYFUNCTION("""COMPUTED_VALUE"""),156.0)</f>
        <v>156</v>
      </c>
      <c r="H84" s="22" t="str">
        <f>IFERROR(__xludf.DUMMYFUNCTION("""COMPUTED_VALUE"""),"Nguyễn Thị Tuyết")</f>
        <v>Nguyễn Thị Tuyết</v>
      </c>
      <c r="I84" s="22" t="str">
        <f>IFERROR(__xludf.DUMMYFUNCTION("""COMPUTED_VALUE"""),"Nữ ")</f>
        <v>Nữ </v>
      </c>
      <c r="J84" s="24">
        <f>IFERROR(__xludf.DUMMYFUNCTION("""COMPUTED_VALUE"""),29211.0)</f>
        <v>29211</v>
      </c>
      <c r="K84" s="22" t="str">
        <f>IFERROR(__xludf.DUMMYFUNCTION("""COMPUTED_VALUE"""),"Phường Hạc Thành - Tỉnh Thanh Hóa")</f>
        <v>Phường Hạc Thành - Tỉnh Thanh Hóa</v>
      </c>
      <c r="L84" s="22" t="str">
        <f>IFERROR(__xludf.DUMMYFUNCTION("""COMPUTED_VALUE"""),"0932353986")</f>
        <v>0932353986</v>
      </c>
      <c r="M84" s="22" t="str">
        <f>IFERROR(__xludf.DUMMYFUNCTION("""COMPUTED_VALUE"""),"038179004788")</f>
        <v>038179004788</v>
      </c>
      <c r="N84" s="24">
        <f>IFERROR(__xludf.DUMMYFUNCTION("""COMPUTED_VALUE"""),44294.0)</f>
        <v>44294</v>
      </c>
      <c r="O84" s="22" t="str">
        <f>IFERROR(__xludf.DUMMYFUNCTION("""COMPUTED_VALUE"""),"Cục Cảnh sát QLHC về TTXH")</f>
        <v>Cục Cảnh sát QLHC về TTXH</v>
      </c>
      <c r="P84" s="22" t="str">
        <f>IFERROR(__xludf.DUMMYFUNCTION("""COMPUTED_VALUE"""),"LĐPT")</f>
        <v>LĐPT</v>
      </c>
      <c r="Q84" s="22" t="str">
        <f>IFERROR(__xludf.DUMMYFUNCTION("""COMPUTED_VALUE"""),"Lao động phổ thông")</f>
        <v>Lao động phổ thông</v>
      </c>
      <c r="R84" s="24">
        <f>IFERROR(__xludf.DUMMYFUNCTION("""COMPUTED_VALUE"""),40342.0)</f>
        <v>40342</v>
      </c>
      <c r="S84" s="24">
        <f>IFERROR(__xludf.DUMMYFUNCTION("""COMPUTED_VALUE"""),40342.0)</f>
        <v>40342</v>
      </c>
      <c r="T84" s="22" t="str">
        <f>IFERROR(__xludf.DUMMYFUNCTION("""COMPUTED_VALUE"""),"Chính thức")</f>
        <v>Chính thức</v>
      </c>
      <c r="U84" s="22"/>
      <c r="V84" s="22"/>
      <c r="W84" s="22" t="str">
        <f>IFERROR(__xludf.DUMMYFUNCTION("""COMPUTED_VALUE"""),"15 năm 6 tháng")</f>
        <v>15 năm 6 tháng</v>
      </c>
      <c r="X84" s="22"/>
      <c r="Y84" s="22"/>
      <c r="Z84" s="22"/>
    </row>
    <row r="85">
      <c r="A85" s="23" t="str">
        <f>IFERROR(__xludf.DUMMYFUNCTION("""COMPUTED_VALUE"""),"2")</f>
        <v>2</v>
      </c>
      <c r="B85" s="22" t="str">
        <f>IFERROR(__xludf.DUMMYFUNCTION("""COMPUTED_VALUE"""),"PXSX1")</f>
        <v>PXSX1</v>
      </c>
      <c r="C85" s="22" t="str">
        <f>IFERROR(__xludf.DUMMYFUNCTION("""COMPUTED_VALUE"""),"Bộ phận nhiên liệu và gia công bán thành phẩm ")</f>
        <v>Bộ phận nhiên liệu và gia công bán thành phẩm </v>
      </c>
      <c r="D85" s="22" t="str">
        <f>IFERROR(__xludf.DUMMYFUNCTION("""COMPUTED_VALUE"""),"Dây chuyền gia công Ca A")</f>
        <v>Dây chuyền gia công Ca A</v>
      </c>
      <c r="E85" s="22" t="str">
        <f>IFERROR(__xludf.DUMMYFUNCTION("""COMPUTED_VALUE"""),"VH Máy in kỹ thuật số")</f>
        <v>VH Máy in kỹ thuật số</v>
      </c>
      <c r="F85" s="22" t="str">
        <f>IFERROR(__xludf.DUMMYFUNCTION("""COMPUTED_VALUE"""),"NV0323")</f>
        <v>NV0323</v>
      </c>
      <c r="G85" s="22">
        <f>IFERROR(__xludf.DUMMYFUNCTION("""COMPUTED_VALUE"""),163.0)</f>
        <v>163</v>
      </c>
      <c r="H85" s="22" t="str">
        <f>IFERROR(__xludf.DUMMYFUNCTION("""COMPUTED_VALUE"""),"Lê Tiến Đại")</f>
        <v>Lê Tiến Đại</v>
      </c>
      <c r="I85" s="22" t="str">
        <f>IFERROR(__xludf.DUMMYFUNCTION("""COMPUTED_VALUE"""),"Nam")</f>
        <v>Nam</v>
      </c>
      <c r="J85" s="24">
        <f>IFERROR(__xludf.DUMMYFUNCTION("""COMPUTED_VALUE"""),30477.0)</f>
        <v>30477</v>
      </c>
      <c r="K85" s="22" t="str">
        <f>IFERROR(__xludf.DUMMYFUNCTION("""COMPUTED_VALUE"""),"Phường Sầm Sơn - Tỉnh Thanh Hóa")</f>
        <v>Phường Sầm Sơn - Tỉnh Thanh Hóa</v>
      </c>
      <c r="L85" s="22" t="str">
        <f>IFERROR(__xludf.DUMMYFUNCTION("""COMPUTED_VALUE"""),"0911021223")</f>
        <v>0911021223</v>
      </c>
      <c r="M85" s="22" t="str">
        <f>IFERROR(__xludf.DUMMYFUNCTION("""COMPUTED_VALUE"""),"038083009970")</f>
        <v>038083009970</v>
      </c>
      <c r="N85" s="24">
        <f>IFERROR(__xludf.DUMMYFUNCTION("""COMPUTED_VALUE"""),44410.0)</f>
        <v>44410</v>
      </c>
      <c r="O85" s="22" t="str">
        <f>IFERROR(__xludf.DUMMYFUNCTION("""COMPUTED_VALUE"""),"Cục Cảnh sát QLHC về TTXH")</f>
        <v>Cục Cảnh sát QLHC về TTXH</v>
      </c>
      <c r="P85" s="22" t="str">
        <f>IFERROR(__xludf.DUMMYFUNCTION("""COMPUTED_VALUE"""),"Cao đẳng")</f>
        <v>Cao đẳng</v>
      </c>
      <c r="Q85" s="22" t="str">
        <f>IFERROR(__xludf.DUMMYFUNCTION("""COMPUTED_VALUE"""),"Điện tử viễn thông")</f>
        <v>Điện tử viễn thông</v>
      </c>
      <c r="R85" s="24">
        <f>IFERROR(__xludf.DUMMYFUNCTION("""COMPUTED_VALUE"""),42522.0)</f>
        <v>42522</v>
      </c>
      <c r="S85" s="24">
        <f>IFERROR(__xludf.DUMMYFUNCTION("""COMPUTED_VALUE"""),42522.0)</f>
        <v>42522</v>
      </c>
      <c r="T85" s="22" t="str">
        <f>IFERROR(__xludf.DUMMYFUNCTION("""COMPUTED_VALUE"""),"Chính thức")</f>
        <v>Chính thức</v>
      </c>
      <c r="U85" s="22"/>
      <c r="V85" s="22"/>
      <c r="W85" s="22" t="str">
        <f>IFERROR(__xludf.DUMMYFUNCTION("""COMPUTED_VALUE"""),"9 năm 6 tháng")</f>
        <v>9 năm 6 tháng</v>
      </c>
      <c r="X85" s="22"/>
      <c r="Y85" s="22"/>
      <c r="Z85" s="22"/>
    </row>
    <row r="86">
      <c r="A86" s="23" t="str">
        <f>IFERROR(__xludf.DUMMYFUNCTION("""COMPUTED_VALUE"""),"3")</f>
        <v>3</v>
      </c>
      <c r="B86" s="22" t="str">
        <f>IFERROR(__xludf.DUMMYFUNCTION("""COMPUTED_VALUE"""),"PXSX1")</f>
        <v>PXSX1</v>
      </c>
      <c r="C86" s="22" t="str">
        <f>IFERROR(__xludf.DUMMYFUNCTION("""COMPUTED_VALUE"""),"Bộ phận nhiên liệu và gia công bán thành phẩm ")</f>
        <v>Bộ phận nhiên liệu và gia công bán thành phẩm </v>
      </c>
      <c r="D86" s="22" t="str">
        <f>IFERROR(__xludf.DUMMYFUNCTION("""COMPUTED_VALUE"""),"Dây chuyền gia công Ca A")</f>
        <v>Dây chuyền gia công Ca A</v>
      </c>
      <c r="E86" s="22" t="str">
        <f>IFERROR(__xludf.DUMMYFUNCTION("""COMPUTED_VALUE"""),"VH Chính tráng Engobe DC1 + DC2")</f>
        <v>VH Chính tráng Engobe DC1 + DC2</v>
      </c>
      <c r="F86" s="22" t="str">
        <f>IFERROR(__xludf.DUMMYFUNCTION("""COMPUTED_VALUE"""),"NV4057")</f>
        <v>NV4057</v>
      </c>
      <c r="G86" s="22">
        <f>IFERROR(__xludf.DUMMYFUNCTION("""COMPUTED_VALUE"""),120.0)</f>
        <v>120</v>
      </c>
      <c r="H86" s="22" t="str">
        <f>IFERROR(__xludf.DUMMYFUNCTION("""COMPUTED_VALUE"""),"Lê Văn Doanh")</f>
        <v>Lê Văn Doanh</v>
      </c>
      <c r="I86" s="22" t="str">
        <f>IFERROR(__xludf.DUMMYFUNCTION("""COMPUTED_VALUE"""),"Nam")</f>
        <v>Nam</v>
      </c>
      <c r="J86" s="24">
        <f>IFERROR(__xludf.DUMMYFUNCTION("""COMPUTED_VALUE"""),30991.0)</f>
        <v>30991</v>
      </c>
      <c r="K86" s="22" t="str">
        <f>IFERROR(__xludf.DUMMYFUNCTION("""COMPUTED_VALUE"""),"Xã Quảng Ngọc - Tỉnh Thanh Hóa - ")</f>
        <v>Xã Quảng Ngọc - Tỉnh Thanh Hóa - </v>
      </c>
      <c r="L86" s="22" t="str">
        <f>IFERROR(__xludf.DUMMYFUNCTION("""COMPUTED_VALUE"""),"0327987779")</f>
        <v>0327987779</v>
      </c>
      <c r="M86" s="22" t="str">
        <f>IFERROR(__xludf.DUMMYFUNCTION("""COMPUTED_VALUE"""),"038084018172")</f>
        <v>038084018172</v>
      </c>
      <c r="N86" s="24">
        <f>IFERROR(__xludf.DUMMYFUNCTION("""COMPUTED_VALUE"""),44666.0)</f>
        <v>44666</v>
      </c>
      <c r="O86" s="22" t="str">
        <f>IFERROR(__xludf.DUMMYFUNCTION("""COMPUTED_VALUE"""),"Cục Cảnh sát QLHC về TTXH")</f>
        <v>Cục Cảnh sát QLHC về TTXH</v>
      </c>
      <c r="P86" s="22" t="str">
        <f>IFERROR(__xludf.DUMMYFUNCTION("""COMPUTED_VALUE"""),"LĐPT")</f>
        <v>LĐPT</v>
      </c>
      <c r="Q86" s="22" t="str">
        <f>IFERROR(__xludf.DUMMYFUNCTION("""COMPUTED_VALUE"""),"Lao động phổ thông")</f>
        <v>Lao động phổ thông</v>
      </c>
      <c r="R86" s="24">
        <f>IFERROR(__xludf.DUMMYFUNCTION("""COMPUTED_VALUE"""),44623.0)</f>
        <v>44623</v>
      </c>
      <c r="S86" s="24">
        <f>IFERROR(__xludf.DUMMYFUNCTION("""COMPUTED_VALUE"""),44986.0)</f>
        <v>44986</v>
      </c>
      <c r="T86" s="22" t="str">
        <f>IFERROR(__xludf.DUMMYFUNCTION("""COMPUTED_VALUE"""),"Chính thức")</f>
        <v>Chính thức</v>
      </c>
      <c r="U86" s="22"/>
      <c r="V86" s="22"/>
      <c r="W86" s="22" t="str">
        <f>IFERROR(__xludf.DUMMYFUNCTION("""COMPUTED_VALUE"""),"3 năm 9 tháng")</f>
        <v>3 năm 9 tháng</v>
      </c>
      <c r="X86" s="22"/>
      <c r="Y86" s="22"/>
      <c r="Z86" s="22"/>
    </row>
    <row r="87">
      <c r="A87" s="23" t="str">
        <f>IFERROR(__xludf.DUMMYFUNCTION("""COMPUTED_VALUE"""),"4")</f>
        <v>4</v>
      </c>
      <c r="B87" s="22" t="str">
        <f>IFERROR(__xludf.DUMMYFUNCTION("""COMPUTED_VALUE"""),"PXSX1")</f>
        <v>PXSX1</v>
      </c>
      <c r="C87" s="22" t="str">
        <f>IFERROR(__xludf.DUMMYFUNCTION("""COMPUTED_VALUE"""),"Bộ phận nhiên liệu và gia công bán thành phẩm ")</f>
        <v>Bộ phận nhiên liệu và gia công bán thành phẩm </v>
      </c>
      <c r="D87" s="22" t="str">
        <f>IFERROR(__xludf.DUMMYFUNCTION("""COMPUTED_VALUE"""),"Dây chuyền gia công Ca A")</f>
        <v>Dây chuyền gia công Ca A</v>
      </c>
      <c r="E87" s="22" t="str">
        <f>IFERROR(__xludf.DUMMYFUNCTION("""COMPUTED_VALUE"""),"VH Phụ tráng men DC1")</f>
        <v>VH Phụ tráng men DC1</v>
      </c>
      <c r="F87" s="22" t="str">
        <f>IFERROR(__xludf.DUMMYFUNCTION("""COMPUTED_VALUE"""),"NV5182")</f>
        <v>NV5182</v>
      </c>
      <c r="G87" s="22">
        <f>IFERROR(__xludf.DUMMYFUNCTION("""COMPUTED_VALUE"""),315.0)</f>
        <v>315</v>
      </c>
      <c r="H87" s="22" t="str">
        <f>IFERROR(__xludf.DUMMYFUNCTION("""COMPUTED_VALUE"""),"Nguyễn Văn Thường")</f>
        <v>Nguyễn Văn Thường</v>
      </c>
      <c r="I87" s="22" t="str">
        <f>IFERROR(__xludf.DUMMYFUNCTION("""COMPUTED_VALUE"""),"Nam")</f>
        <v>Nam</v>
      </c>
      <c r="J87" s="24">
        <f>IFERROR(__xludf.DUMMYFUNCTION("""COMPUTED_VALUE"""),31233.0)</f>
        <v>31233</v>
      </c>
      <c r="K87" s="22" t="str">
        <f>IFERROR(__xludf.DUMMYFUNCTION("""COMPUTED_VALUE"""),"Xã Quảng Trường - Tỉnh Thanh Hoá ")</f>
        <v>Xã Quảng Trường - Tỉnh Thanh Hoá </v>
      </c>
      <c r="L87" s="22" t="str">
        <f>IFERROR(__xludf.DUMMYFUNCTION("""COMPUTED_VALUE"""),"0975086833")</f>
        <v>0975086833</v>
      </c>
      <c r="M87" s="22" t="str">
        <f>IFERROR(__xludf.DUMMYFUNCTION("""COMPUTED_VALUE"""),"038085050021")</f>
        <v>038085050021</v>
      </c>
      <c r="N87" s="24">
        <f>IFERROR(__xludf.DUMMYFUNCTION("""COMPUTED_VALUE"""),44419.0)</f>
        <v>44419</v>
      </c>
      <c r="O87" s="22" t="str">
        <f>IFERROR(__xludf.DUMMYFUNCTION("""COMPUTED_VALUE"""),"Cục Cảnh sát QLHC về TTXH")</f>
        <v>Cục Cảnh sát QLHC về TTXH</v>
      </c>
      <c r="P87" s="22" t="str">
        <f>IFERROR(__xludf.DUMMYFUNCTION("""COMPUTED_VALUE"""),"LĐPT")</f>
        <v>LĐPT</v>
      </c>
      <c r="Q87" s="22" t="str">
        <f>IFERROR(__xludf.DUMMYFUNCTION("""COMPUTED_VALUE"""),"Lao động phổ thông")</f>
        <v>Lao động phổ thông</v>
      </c>
      <c r="R87" s="24">
        <f>IFERROR(__xludf.DUMMYFUNCTION("""COMPUTED_VALUE"""),45425.0)</f>
        <v>45425</v>
      </c>
      <c r="S87" s="24">
        <f>IFERROR(__xludf.DUMMYFUNCTION("""COMPUTED_VALUE"""),45505.0)</f>
        <v>45505</v>
      </c>
      <c r="T87" s="22" t="str">
        <f>IFERROR(__xludf.DUMMYFUNCTION("""COMPUTED_VALUE"""),"Chính thức")</f>
        <v>Chính thức</v>
      </c>
      <c r="U87" s="22"/>
      <c r="V87" s="22"/>
      <c r="W87" s="22" t="str">
        <f>IFERROR(__xludf.DUMMYFUNCTION("""COMPUTED_VALUE"""),"1 năm 7 tháng")</f>
        <v>1 năm 7 tháng</v>
      </c>
      <c r="X87" s="22"/>
      <c r="Y87" s="22"/>
      <c r="Z87" s="22"/>
    </row>
    <row r="88">
      <c r="A88" s="23" t="str">
        <f>IFERROR(__xludf.DUMMYFUNCTION("""COMPUTED_VALUE"""),"5")</f>
        <v>5</v>
      </c>
      <c r="B88" s="22" t="str">
        <f>IFERROR(__xludf.DUMMYFUNCTION("""COMPUTED_VALUE"""),"PXSX1")</f>
        <v>PXSX1</v>
      </c>
      <c r="C88" s="22" t="str">
        <f>IFERROR(__xludf.DUMMYFUNCTION("""COMPUTED_VALUE"""),"Bộ phận nhiên liệu và gia công bán thành phẩm ")</f>
        <v>Bộ phận nhiên liệu và gia công bán thành phẩm </v>
      </c>
      <c r="D88" s="22" t="str">
        <f>IFERROR(__xludf.DUMMYFUNCTION("""COMPUTED_VALUE"""),"Dây chuyền gia công Ca A")</f>
        <v>Dây chuyền gia công Ca A</v>
      </c>
      <c r="E88" s="22" t="str">
        <f>IFERROR(__xludf.DUMMYFUNCTION("""COMPUTED_VALUE"""),"VH chính Máy ép DC 1")</f>
        <v>VH chính Máy ép DC 1</v>
      </c>
      <c r="F88" s="22" t="str">
        <f>IFERROR(__xludf.DUMMYFUNCTION("""COMPUTED_VALUE"""),"NV2304")</f>
        <v>NV2304</v>
      </c>
      <c r="G88" s="22">
        <f>IFERROR(__xludf.DUMMYFUNCTION("""COMPUTED_VALUE"""),158.0)</f>
        <v>158</v>
      </c>
      <c r="H88" s="22" t="str">
        <f>IFERROR(__xludf.DUMMYFUNCTION("""COMPUTED_VALUE"""),"Lê văn Tiến")</f>
        <v>Lê văn Tiến</v>
      </c>
      <c r="I88" s="22" t="str">
        <f>IFERROR(__xludf.DUMMYFUNCTION("""COMPUTED_VALUE"""),"Nam")</f>
        <v>Nam</v>
      </c>
      <c r="J88" s="24">
        <f>IFERROR(__xludf.DUMMYFUNCTION("""COMPUTED_VALUE"""),31386.0)</f>
        <v>31386</v>
      </c>
      <c r="K88" s="22" t="str">
        <f>IFERROR(__xludf.DUMMYFUNCTION("""COMPUTED_VALUE"""),"Thôn 4 - Xã Quảng Yên - Tỉnh Thanh Hóa")</f>
        <v>Thôn 4 - Xã Quảng Yên - Tỉnh Thanh Hóa</v>
      </c>
      <c r="L88" s="22" t="str">
        <f>IFERROR(__xludf.DUMMYFUNCTION("""COMPUTED_VALUE"""),"0983355736")</f>
        <v>0983355736</v>
      </c>
      <c r="M88" s="22" t="str">
        <f>IFERROR(__xludf.DUMMYFUNCTION("""COMPUTED_VALUE"""),"038085015675")</f>
        <v>038085015675</v>
      </c>
      <c r="N88" s="24">
        <f>IFERROR(__xludf.DUMMYFUNCTION("""COMPUTED_VALUE"""),43459.0)</f>
        <v>43459</v>
      </c>
      <c r="O88" s="22" t="str">
        <f>IFERROR(__xludf.DUMMYFUNCTION("""COMPUTED_VALUE"""),"Cục Cảnh sát QLHC về TTXH")</f>
        <v>Cục Cảnh sát QLHC về TTXH</v>
      </c>
      <c r="P88" s="22" t="str">
        <f>IFERROR(__xludf.DUMMYFUNCTION("""COMPUTED_VALUE"""),"LĐPT")</f>
        <v>LĐPT</v>
      </c>
      <c r="Q88" s="22" t="str">
        <f>IFERROR(__xludf.DUMMYFUNCTION("""COMPUTED_VALUE"""),"Lao động phổ thông")</f>
        <v>Lao động phổ thông</v>
      </c>
      <c r="R88" s="24">
        <f>IFERROR(__xludf.DUMMYFUNCTION("""COMPUTED_VALUE"""),45376.0)</f>
        <v>45376</v>
      </c>
      <c r="S88" s="24">
        <f>IFERROR(__xludf.DUMMYFUNCTION("""COMPUTED_VALUE"""),43983.0)</f>
        <v>43983</v>
      </c>
      <c r="T88" s="22" t="str">
        <f>IFERROR(__xludf.DUMMYFUNCTION("""COMPUTED_VALUE"""),"Chính thức")</f>
        <v>Chính thức</v>
      </c>
      <c r="U88" s="22"/>
      <c r="V88" s="22"/>
      <c r="W88" s="22" t="str">
        <f>IFERROR(__xludf.DUMMYFUNCTION("""COMPUTED_VALUE"""),"1 năm 9 tháng")</f>
        <v>1 năm 9 tháng</v>
      </c>
      <c r="X88" s="22"/>
      <c r="Y88" s="22"/>
      <c r="Z88" s="22"/>
    </row>
    <row r="89">
      <c r="A89" s="23" t="str">
        <f>IFERROR(__xludf.DUMMYFUNCTION("""COMPUTED_VALUE"""),"6")</f>
        <v>6</v>
      </c>
      <c r="B89" s="22" t="str">
        <f>IFERROR(__xludf.DUMMYFUNCTION("""COMPUTED_VALUE"""),"PXSX1")</f>
        <v>PXSX1</v>
      </c>
      <c r="C89" s="22" t="str">
        <f>IFERROR(__xludf.DUMMYFUNCTION("""COMPUTED_VALUE"""),"Bộ phận nhiên liệu và gia công bán thành phẩm ")</f>
        <v>Bộ phận nhiên liệu và gia công bán thành phẩm </v>
      </c>
      <c r="D89" s="22" t="str">
        <f>IFERROR(__xludf.DUMMYFUNCTION("""COMPUTED_VALUE"""),"Dây chuyền gia công Ca A")</f>
        <v>Dây chuyền gia công Ca A</v>
      </c>
      <c r="E89" s="22" t="str">
        <f>IFERROR(__xludf.DUMMYFUNCTION("""COMPUTED_VALUE"""),"VH Máy in kỹ thuật số")</f>
        <v>VH Máy in kỹ thuật số</v>
      </c>
      <c r="F89" s="22" t="str">
        <f>IFERROR(__xludf.DUMMYFUNCTION("""COMPUTED_VALUE"""),"NV1263")</f>
        <v>NV1263</v>
      </c>
      <c r="G89" s="22">
        <f>IFERROR(__xludf.DUMMYFUNCTION("""COMPUTED_VALUE"""),897.0)</f>
        <v>897</v>
      </c>
      <c r="H89" s="22" t="str">
        <f>IFERROR(__xludf.DUMMYFUNCTION("""COMPUTED_VALUE"""),"Nguyễn Xuân Dũng")</f>
        <v>Nguyễn Xuân Dũng</v>
      </c>
      <c r="I89" s="22" t="str">
        <f>IFERROR(__xludf.DUMMYFUNCTION("""COMPUTED_VALUE"""),"Nam")</f>
        <v>Nam</v>
      </c>
      <c r="J89" s="24">
        <f>IFERROR(__xludf.DUMMYFUNCTION("""COMPUTED_VALUE"""),31459.0)</f>
        <v>31459</v>
      </c>
      <c r="K89" s="22" t="str">
        <f>IFERROR(__xludf.DUMMYFUNCTION("""COMPUTED_VALUE"""),"Phố 5 - Phường Hàm Rồng - Tỉnh Thanh Hóa")</f>
        <v>Phố 5 - Phường Hàm Rồng - Tỉnh Thanh Hóa</v>
      </c>
      <c r="L89" s="22" t="str">
        <f>IFERROR(__xludf.DUMMYFUNCTION("""COMPUTED_VALUE"""),"0982311240")</f>
        <v>0982311240</v>
      </c>
      <c r="M89" s="22" t="str">
        <f>IFERROR(__xludf.DUMMYFUNCTION("""COMPUTED_VALUE"""),"038086012166")</f>
        <v>038086012166</v>
      </c>
      <c r="N89" s="24">
        <f>IFERROR(__xludf.DUMMYFUNCTION("""COMPUTED_VALUE"""),44375.0)</f>
        <v>44375</v>
      </c>
      <c r="O89" s="22" t="str">
        <f>IFERROR(__xludf.DUMMYFUNCTION("""COMPUTED_VALUE"""),"Cục Cảnh sát QLHC về TTXH")</f>
        <v>Cục Cảnh sát QLHC về TTXH</v>
      </c>
      <c r="P89" s="22" t="str">
        <f>IFERROR(__xludf.DUMMYFUNCTION("""COMPUTED_VALUE"""),"LĐPT")</f>
        <v>LĐPT</v>
      </c>
      <c r="Q89" s="22" t="str">
        <f>IFERROR(__xludf.DUMMYFUNCTION("""COMPUTED_VALUE"""),"Lao động phổ thông")</f>
        <v>Lao động phổ thông</v>
      </c>
      <c r="R89" s="24">
        <f>IFERROR(__xludf.DUMMYFUNCTION("""COMPUTED_VALUE"""),45736.0)</f>
        <v>45736</v>
      </c>
      <c r="S89" s="22"/>
      <c r="T89" s="22" t="str">
        <f>IFERROR(__xludf.DUMMYFUNCTION("""COMPUTED_VALUE"""),"Chính thức")</f>
        <v>Chính thức</v>
      </c>
      <c r="U89" s="22"/>
      <c r="V89" s="22"/>
      <c r="W89" s="22" t="str">
        <f>IFERROR(__xludf.DUMMYFUNCTION("""COMPUTED_VALUE"""),"0 năm 9 tháng")</f>
        <v>0 năm 9 tháng</v>
      </c>
      <c r="X89" s="22"/>
      <c r="Y89" s="22"/>
      <c r="Z89" s="22"/>
    </row>
    <row r="90">
      <c r="A90" s="23" t="str">
        <f>IFERROR(__xludf.DUMMYFUNCTION("""COMPUTED_VALUE"""),"7")</f>
        <v>7</v>
      </c>
      <c r="B90" s="22" t="str">
        <f>IFERROR(__xludf.DUMMYFUNCTION("""COMPUTED_VALUE"""),"PXSX1")</f>
        <v>PXSX1</v>
      </c>
      <c r="C90" s="22" t="str">
        <f>IFERROR(__xludf.DUMMYFUNCTION("""COMPUTED_VALUE"""),"Bộ phận nhiên liệu và gia công bán thành phẩm ")</f>
        <v>Bộ phận nhiên liệu và gia công bán thành phẩm </v>
      </c>
      <c r="D90" s="22" t="str">
        <f>IFERROR(__xludf.DUMMYFUNCTION("""COMPUTED_VALUE"""),"Dây chuyền gia công Ca A")</f>
        <v>Dây chuyền gia công Ca A</v>
      </c>
      <c r="E90" s="22" t="str">
        <f>IFERROR(__xludf.DUMMYFUNCTION("""COMPUTED_VALUE"""),"VH chính Máy ép DC 2")</f>
        <v>VH chính Máy ép DC 2</v>
      </c>
      <c r="F90" s="22" t="str">
        <f>IFERROR(__xludf.DUMMYFUNCTION("""COMPUTED_VALUE"""),"NV5367")</f>
        <v>NV5367</v>
      </c>
      <c r="G90" s="22">
        <f>IFERROR(__xludf.DUMMYFUNCTION("""COMPUTED_VALUE"""),794.0)</f>
        <v>794</v>
      </c>
      <c r="H90" s="22" t="str">
        <f>IFERROR(__xludf.DUMMYFUNCTION("""COMPUTED_VALUE"""),"Lê Trọng Việt")</f>
        <v>Lê Trọng Việt</v>
      </c>
      <c r="I90" s="22" t="str">
        <f>IFERROR(__xludf.DUMMYFUNCTION("""COMPUTED_VALUE"""),"Nam")</f>
        <v>Nam</v>
      </c>
      <c r="J90" s="24">
        <f>IFERROR(__xludf.DUMMYFUNCTION("""COMPUTED_VALUE"""),31656.0)</f>
        <v>31656</v>
      </c>
      <c r="K90" s="22" t="str">
        <f>IFERROR(__xludf.DUMMYFUNCTION("""COMPUTED_VALUE"""),"Xã Quảng Ninh - Tỉnh Thanh Hóa")</f>
        <v>Xã Quảng Ninh - Tỉnh Thanh Hóa</v>
      </c>
      <c r="L90" s="22" t="str">
        <f>IFERROR(__xludf.DUMMYFUNCTION("""COMPUTED_VALUE"""),"0782683786")</f>
        <v>0782683786</v>
      </c>
      <c r="M90" s="22" t="str">
        <f>IFERROR(__xludf.DUMMYFUNCTION("""COMPUTED_VALUE"""),"038086010476")</f>
        <v>038086010476</v>
      </c>
      <c r="N90" s="24">
        <f>IFERROR(__xludf.DUMMYFUNCTION("""COMPUTED_VALUE"""),44825.0)</f>
        <v>44825</v>
      </c>
      <c r="O90" s="22" t="str">
        <f>IFERROR(__xludf.DUMMYFUNCTION("""COMPUTED_VALUE"""),"Cục Cảnh sát QLHC về TTXH")</f>
        <v>Cục Cảnh sát QLHC về TTXH</v>
      </c>
      <c r="P90" s="22" t="str">
        <f>IFERROR(__xludf.DUMMYFUNCTION("""COMPUTED_VALUE"""),"LĐPT")</f>
        <v>LĐPT</v>
      </c>
      <c r="Q90" s="22" t="str">
        <f>IFERROR(__xludf.DUMMYFUNCTION("""COMPUTED_VALUE"""),"Lao động phổ thông")</f>
        <v>Lao động phổ thông</v>
      </c>
      <c r="R90" s="24">
        <f>IFERROR(__xludf.DUMMYFUNCTION("""COMPUTED_VALUE"""),45542.0)</f>
        <v>45542</v>
      </c>
      <c r="S90" s="22"/>
      <c r="T90" s="22" t="str">
        <f>IFERROR(__xludf.DUMMYFUNCTION("""COMPUTED_VALUE"""),"Chính thức")</f>
        <v>Chính thức</v>
      </c>
      <c r="U90" s="22"/>
      <c r="V90" s="22"/>
      <c r="W90" s="22" t="str">
        <f>IFERROR(__xludf.DUMMYFUNCTION("""COMPUTED_VALUE"""),"1 năm 3 tháng")</f>
        <v>1 năm 3 tháng</v>
      </c>
      <c r="X90" s="22"/>
      <c r="Y90" s="22"/>
      <c r="Z90" s="22"/>
    </row>
    <row r="91">
      <c r="A91" s="23" t="str">
        <f>IFERROR(__xludf.DUMMYFUNCTION("""COMPUTED_VALUE"""),"8")</f>
        <v>8</v>
      </c>
      <c r="B91" s="22" t="str">
        <f>IFERROR(__xludf.DUMMYFUNCTION("""COMPUTED_VALUE"""),"PXSX1")</f>
        <v>PXSX1</v>
      </c>
      <c r="C91" s="22" t="str">
        <f>IFERROR(__xludf.DUMMYFUNCTION("""COMPUTED_VALUE"""),"Bộ phận nhiên liệu và gia công bán thành phẩm ")</f>
        <v>Bộ phận nhiên liệu và gia công bán thành phẩm </v>
      </c>
      <c r="D91" s="22" t="str">
        <f>IFERROR(__xludf.DUMMYFUNCTION("""COMPUTED_VALUE"""),"Dây chuyền gia công Ca A")</f>
        <v>Dây chuyền gia công Ca A</v>
      </c>
      <c r="E91" s="22" t="str">
        <f>IFERROR(__xludf.DUMMYFUNCTION("""COMPUTED_VALUE"""),"Tổ trưởng - Phụ trách Dây chuyền gia công")</f>
        <v>Tổ trưởng - Phụ trách Dây chuyền gia công</v>
      </c>
      <c r="F91" s="22" t="str">
        <f>IFERROR(__xludf.DUMMYFUNCTION("""COMPUTED_VALUE"""),"NV1685")</f>
        <v>NV1685</v>
      </c>
      <c r="G91" s="22">
        <f>IFERROR(__xludf.DUMMYFUNCTION("""COMPUTED_VALUE"""),181.0)</f>
        <v>181</v>
      </c>
      <c r="H91" s="22" t="str">
        <f>IFERROR(__xludf.DUMMYFUNCTION("""COMPUTED_VALUE"""),"Nguyễn Văn Sơn")</f>
        <v>Nguyễn Văn Sơn</v>
      </c>
      <c r="I91" s="22" t="str">
        <f>IFERROR(__xludf.DUMMYFUNCTION("""COMPUTED_VALUE"""),"Nam")</f>
        <v>Nam</v>
      </c>
      <c r="J91" s="24">
        <f>IFERROR(__xludf.DUMMYFUNCTION("""COMPUTED_VALUE"""),32792.0)</f>
        <v>32792</v>
      </c>
      <c r="K91" s="22" t="str">
        <f>IFERROR(__xludf.DUMMYFUNCTION("""COMPUTED_VALUE"""),"Thôn 2 - Xã Quảng Bình - Tỉnh Thanh Hóa")</f>
        <v>Thôn 2 - Xã Quảng Bình - Tỉnh Thanh Hóa</v>
      </c>
      <c r="L91" s="22" t="str">
        <f>IFERROR(__xludf.DUMMYFUNCTION("""COMPUTED_VALUE"""),"0363571077")</f>
        <v>0363571077</v>
      </c>
      <c r="M91" s="22" t="str">
        <f>IFERROR(__xludf.DUMMYFUNCTION("""COMPUTED_VALUE"""),"040089019760")</f>
        <v>040089019760</v>
      </c>
      <c r="N91" s="24">
        <f>IFERROR(__xludf.DUMMYFUNCTION("""COMPUTED_VALUE"""),43940.0)</f>
        <v>43940</v>
      </c>
      <c r="O91" s="22" t="str">
        <f>IFERROR(__xludf.DUMMYFUNCTION("""COMPUTED_VALUE"""),"Cục Cảnh sát QLHC về TTXH")</f>
        <v>Cục Cảnh sát QLHC về TTXH</v>
      </c>
      <c r="P91" s="22" t="str">
        <f>IFERROR(__xludf.DUMMYFUNCTION("""COMPUTED_VALUE"""),"LĐPT")</f>
        <v>LĐPT</v>
      </c>
      <c r="Q91" s="22" t="str">
        <f>IFERROR(__xludf.DUMMYFUNCTION("""COMPUTED_VALUE"""),"Lao động phổ thông")</f>
        <v>Lao động phổ thông</v>
      </c>
      <c r="R91" s="24">
        <f>IFERROR(__xludf.DUMMYFUNCTION("""COMPUTED_VALUE"""),43338.0)</f>
        <v>43338</v>
      </c>
      <c r="S91" s="24">
        <f>IFERROR(__xludf.DUMMYFUNCTION("""COMPUTED_VALUE"""),43678.0)</f>
        <v>43678</v>
      </c>
      <c r="T91" s="22" t="str">
        <f>IFERROR(__xludf.DUMMYFUNCTION("""COMPUTED_VALUE"""),"Chính thức")</f>
        <v>Chính thức</v>
      </c>
      <c r="U91" s="22"/>
      <c r="V91" s="22"/>
      <c r="W91" s="22" t="str">
        <f>IFERROR(__xludf.DUMMYFUNCTION("""COMPUTED_VALUE"""),"7 năm 4 tháng")</f>
        <v>7 năm 4 tháng</v>
      </c>
      <c r="X91" s="22"/>
      <c r="Y91" s="22"/>
      <c r="Z91" s="22"/>
    </row>
    <row r="92">
      <c r="A92" s="23" t="str">
        <f>IFERROR(__xludf.DUMMYFUNCTION("""COMPUTED_VALUE"""),"9")</f>
        <v>9</v>
      </c>
      <c r="B92" s="22" t="str">
        <f>IFERROR(__xludf.DUMMYFUNCTION("""COMPUTED_VALUE"""),"PXSX1")</f>
        <v>PXSX1</v>
      </c>
      <c r="C92" s="22" t="str">
        <f>IFERROR(__xludf.DUMMYFUNCTION("""COMPUTED_VALUE"""),"Bộ phận nhiên liệu và gia công bán thành phẩm ")</f>
        <v>Bộ phận nhiên liệu và gia công bán thành phẩm </v>
      </c>
      <c r="D92" s="22" t="str">
        <f>IFERROR(__xludf.DUMMYFUNCTION("""COMPUTED_VALUE"""),"Dây chuyền gia công Ca A")</f>
        <v>Dây chuyền gia công Ca A</v>
      </c>
      <c r="E92" s="22" t="str">
        <f>IFERROR(__xludf.DUMMYFUNCTION("""COMPUTED_VALUE"""),"VH Chính tráng men DC1")</f>
        <v>VH Chính tráng men DC1</v>
      </c>
      <c r="F92" s="22" t="str">
        <f>IFERROR(__xludf.DUMMYFUNCTION("""COMPUTED_VALUE"""),"NV0888")</f>
        <v>NV0888</v>
      </c>
      <c r="G92" s="22">
        <f>IFERROR(__xludf.DUMMYFUNCTION("""COMPUTED_VALUE"""),178.0)</f>
        <v>178</v>
      </c>
      <c r="H92" s="22" t="str">
        <f>IFERROR(__xludf.DUMMYFUNCTION("""COMPUTED_VALUE"""),"Nguyễn Đức Chiến")</f>
        <v>Nguyễn Đức Chiến</v>
      </c>
      <c r="I92" s="22" t="str">
        <f>IFERROR(__xludf.DUMMYFUNCTION("""COMPUTED_VALUE"""),"Nam")</f>
        <v>Nam</v>
      </c>
      <c r="J92" s="24">
        <f>IFERROR(__xludf.DUMMYFUNCTION("""COMPUTED_VALUE"""),33105.0)</f>
        <v>33105</v>
      </c>
      <c r="K92" s="22" t="str">
        <f>IFERROR(__xludf.DUMMYFUNCTION("""COMPUTED_VALUE"""),"Xã Lưu Vệ - Tỉnh Thanh Hóa ")</f>
        <v>Xã Lưu Vệ - Tỉnh Thanh Hóa </v>
      </c>
      <c r="L92" s="22" t="str">
        <f>IFERROR(__xludf.DUMMYFUNCTION("""COMPUTED_VALUE"""),"0372498751")</f>
        <v>0372498751</v>
      </c>
      <c r="M92" s="22" t="str">
        <f>IFERROR(__xludf.DUMMYFUNCTION("""COMPUTED_VALUE"""),"038090035527")</f>
        <v>038090035527</v>
      </c>
      <c r="N92" s="24">
        <f>IFERROR(__xludf.DUMMYFUNCTION("""COMPUTED_VALUE"""),44439.0)</f>
        <v>44439</v>
      </c>
      <c r="O92" s="22" t="str">
        <f>IFERROR(__xludf.DUMMYFUNCTION("""COMPUTED_VALUE"""),"Cục Cảnh sát QLHC về TTXH")</f>
        <v>Cục Cảnh sát QLHC về TTXH</v>
      </c>
      <c r="P92" s="22" t="str">
        <f>IFERROR(__xludf.DUMMYFUNCTION("""COMPUTED_VALUE"""),"LĐPT")</f>
        <v>LĐPT</v>
      </c>
      <c r="Q92" s="22" t="str">
        <f>IFERROR(__xludf.DUMMYFUNCTION("""COMPUTED_VALUE"""),"Lao động phổ thông")</f>
        <v>Lao động phổ thông</v>
      </c>
      <c r="R92" s="24">
        <f>IFERROR(__xludf.DUMMYFUNCTION("""COMPUTED_VALUE"""),42849.0)</f>
        <v>42849</v>
      </c>
      <c r="S92" s="24">
        <f>IFERROR(__xludf.DUMMYFUNCTION("""COMPUTED_VALUE"""),43252.0)</f>
        <v>43252</v>
      </c>
      <c r="T92" s="22" t="str">
        <f>IFERROR(__xludf.DUMMYFUNCTION("""COMPUTED_VALUE"""),"Chính thức")</f>
        <v>Chính thức</v>
      </c>
      <c r="U92" s="22"/>
      <c r="V92" s="22"/>
      <c r="W92" s="22" t="str">
        <f>IFERROR(__xludf.DUMMYFUNCTION("""COMPUTED_VALUE"""),"8 năm 8 tháng")</f>
        <v>8 năm 8 tháng</v>
      </c>
      <c r="X92" s="22"/>
      <c r="Y92" s="22"/>
      <c r="Z92" s="22"/>
    </row>
    <row r="93">
      <c r="A93" s="23" t="str">
        <f>IFERROR(__xludf.DUMMYFUNCTION("""COMPUTED_VALUE"""),"10")</f>
        <v>10</v>
      </c>
      <c r="B93" s="22" t="str">
        <f>IFERROR(__xludf.DUMMYFUNCTION("""COMPUTED_VALUE"""),"PXSX1")</f>
        <v>PXSX1</v>
      </c>
      <c r="C93" s="22" t="str">
        <f>IFERROR(__xludf.DUMMYFUNCTION("""COMPUTED_VALUE"""),"Bộ phận nhiên liệu và gia công bán thành phẩm ")</f>
        <v>Bộ phận nhiên liệu và gia công bán thành phẩm </v>
      </c>
      <c r="D93" s="22" t="str">
        <f>IFERROR(__xludf.DUMMYFUNCTION("""COMPUTED_VALUE"""),"Dây chuyền gia công Ca A")</f>
        <v>Dây chuyền gia công Ca A</v>
      </c>
      <c r="E93" s="22" t="str">
        <f>IFERROR(__xludf.DUMMYFUNCTION("""COMPUTED_VALUE"""),"VH Chính tráng men DC2")</f>
        <v>VH Chính tráng men DC2</v>
      </c>
      <c r="F93" s="22" t="str">
        <f>IFERROR(__xludf.DUMMYFUNCTION("""COMPUTED_VALUE"""),"NV2209")</f>
        <v>NV2209</v>
      </c>
      <c r="G93" s="22">
        <f>IFERROR(__xludf.DUMMYFUNCTION("""COMPUTED_VALUE"""),153.0)</f>
        <v>153</v>
      </c>
      <c r="H93" s="22" t="str">
        <f>IFERROR(__xludf.DUMMYFUNCTION("""COMPUTED_VALUE"""),"Trần Văn Dũng")</f>
        <v>Trần Văn Dũng</v>
      </c>
      <c r="I93" s="22" t="str">
        <f>IFERROR(__xludf.DUMMYFUNCTION("""COMPUTED_VALUE"""),"Nam")</f>
        <v>Nam</v>
      </c>
      <c r="J93" s="24">
        <f>IFERROR(__xludf.DUMMYFUNCTION("""COMPUTED_VALUE"""),35014.0)</f>
        <v>35014</v>
      </c>
      <c r="K93" s="22" t="str">
        <f>IFERROR(__xludf.DUMMYFUNCTION("""COMPUTED_VALUE"""),"KP.Tây Nam - Phường Nam Sầm Sơn - Tỉnh Thanh Hóa - ")</f>
        <v>KP.Tây Nam - Phường Nam Sầm Sơn - Tỉnh Thanh Hóa - </v>
      </c>
      <c r="L93" s="22" t="str">
        <f>IFERROR(__xludf.DUMMYFUNCTION("""COMPUTED_VALUE"""),"0989365282")</f>
        <v>0989365282</v>
      </c>
      <c r="M93" s="22" t="str">
        <f>IFERROR(__xludf.DUMMYFUNCTION("""COMPUTED_VALUE"""),"038095040693")</f>
        <v>038095040693</v>
      </c>
      <c r="N93" s="24">
        <f>IFERROR(__xludf.DUMMYFUNCTION("""COMPUTED_VALUE"""),44425.0)</f>
        <v>44425</v>
      </c>
      <c r="O93" s="22" t="str">
        <f>IFERROR(__xludf.DUMMYFUNCTION("""COMPUTED_VALUE"""),"Cục Cảnh sát QLHC về TTXH")</f>
        <v>Cục Cảnh sát QLHC về TTXH</v>
      </c>
      <c r="P93" s="22" t="str">
        <f>IFERROR(__xludf.DUMMYFUNCTION("""COMPUTED_VALUE"""),"LĐPT")</f>
        <v>LĐPT</v>
      </c>
      <c r="Q93" s="22" t="str">
        <f>IFERROR(__xludf.DUMMYFUNCTION("""COMPUTED_VALUE"""),"Lao động phổ thông")</f>
        <v>Lao động phổ thông</v>
      </c>
      <c r="R93" s="24">
        <f>IFERROR(__xludf.DUMMYFUNCTION("""COMPUTED_VALUE"""),43995.0)</f>
        <v>43995</v>
      </c>
      <c r="S93" s="24">
        <f>IFERROR(__xludf.DUMMYFUNCTION("""COMPUTED_VALUE"""),44197.0)</f>
        <v>44197</v>
      </c>
      <c r="T93" s="22" t="str">
        <f>IFERROR(__xludf.DUMMYFUNCTION("""COMPUTED_VALUE"""),"Chính thức")</f>
        <v>Chính thức</v>
      </c>
      <c r="U93" s="22"/>
      <c r="V93" s="22"/>
      <c r="W93" s="22" t="str">
        <f>IFERROR(__xludf.DUMMYFUNCTION("""COMPUTED_VALUE"""),"5 năm 6 tháng")</f>
        <v>5 năm 6 tháng</v>
      </c>
      <c r="X93" s="22"/>
      <c r="Y93" s="22"/>
      <c r="Z93" s="22"/>
    </row>
    <row r="94">
      <c r="A94" s="23" t="str">
        <f>IFERROR(__xludf.DUMMYFUNCTION("""COMPUTED_VALUE"""),"11")</f>
        <v>11</v>
      </c>
      <c r="B94" s="22" t="str">
        <f>IFERROR(__xludf.DUMMYFUNCTION("""COMPUTED_VALUE"""),"PXSX1")</f>
        <v>PXSX1</v>
      </c>
      <c r="C94" s="22" t="str">
        <f>IFERROR(__xludf.DUMMYFUNCTION("""COMPUTED_VALUE"""),"Bộ phận nhiên liệu và gia công bán thành phẩm ")</f>
        <v>Bộ phận nhiên liệu và gia công bán thành phẩm </v>
      </c>
      <c r="D94" s="22" t="str">
        <f>IFERROR(__xludf.DUMMYFUNCTION("""COMPUTED_VALUE"""),"Dây chuyền gia công Ca A")</f>
        <v>Dây chuyền gia công Ca A</v>
      </c>
      <c r="E94" s="22" t="str">
        <f>IFERROR(__xludf.DUMMYFUNCTION("""COMPUTED_VALUE"""),"VH Sấy DC 2")</f>
        <v>VH Sấy DC 2</v>
      </c>
      <c r="F94" s="22" t="str">
        <f>IFERROR(__xludf.DUMMYFUNCTION("""COMPUTED_VALUE"""),"NV4435")</f>
        <v>NV4435</v>
      </c>
      <c r="G94" s="22">
        <f>IFERROR(__xludf.DUMMYFUNCTION("""COMPUTED_VALUE"""),159.0)</f>
        <v>159</v>
      </c>
      <c r="H94" s="22" t="str">
        <f>IFERROR(__xludf.DUMMYFUNCTION("""COMPUTED_VALUE"""),"NGuyễn Văn Anh")</f>
        <v>NGuyễn Văn Anh</v>
      </c>
      <c r="I94" s="22" t="str">
        <f>IFERROR(__xludf.DUMMYFUNCTION("""COMPUTED_VALUE"""),"Nam")</f>
        <v>Nam</v>
      </c>
      <c r="J94" s="24">
        <f>IFERROR(__xludf.DUMMYFUNCTION("""COMPUTED_VALUE"""),35317.0)</f>
        <v>35317</v>
      </c>
      <c r="K94" s="22" t="str">
        <f>IFERROR(__xludf.DUMMYFUNCTION("""COMPUTED_VALUE"""),"Xã Quảng Chính - Tỉnh Thanh Hóa")</f>
        <v>Xã Quảng Chính - Tỉnh Thanh Hóa</v>
      </c>
      <c r="L94" s="22" t="str">
        <f>IFERROR(__xludf.DUMMYFUNCTION("""COMPUTED_VALUE"""),"0374678602")</f>
        <v>0374678602</v>
      </c>
      <c r="M94" s="22" t="str">
        <f>IFERROR(__xludf.DUMMYFUNCTION("""COMPUTED_VALUE"""),"038096020649")</f>
        <v>038096020649</v>
      </c>
      <c r="N94" s="24">
        <f>IFERROR(__xludf.DUMMYFUNCTION("""COMPUTED_VALUE"""),44614.0)</f>
        <v>44614</v>
      </c>
      <c r="O94" s="22" t="str">
        <f>IFERROR(__xludf.DUMMYFUNCTION("""COMPUTED_VALUE"""),"Cục Cảnh sát QLHC về TTXH")</f>
        <v>Cục Cảnh sát QLHC về TTXH</v>
      </c>
      <c r="P94" s="22" t="str">
        <f>IFERROR(__xludf.DUMMYFUNCTION("""COMPUTED_VALUE"""),"LĐPT")</f>
        <v>LĐPT</v>
      </c>
      <c r="Q94" s="22" t="str">
        <f>IFERROR(__xludf.DUMMYFUNCTION("""COMPUTED_VALUE"""),"Lao động phổ thông")</f>
        <v>Lao động phổ thông</v>
      </c>
      <c r="R94" s="24">
        <f>IFERROR(__xludf.DUMMYFUNCTION("""COMPUTED_VALUE"""),45020.0)</f>
        <v>45020</v>
      </c>
      <c r="S94" s="24">
        <f>IFERROR(__xludf.DUMMYFUNCTION("""COMPUTED_VALUE"""),45292.0)</f>
        <v>45292</v>
      </c>
      <c r="T94" s="22" t="str">
        <f>IFERROR(__xludf.DUMMYFUNCTION("""COMPUTED_VALUE"""),"Chính thức")</f>
        <v>Chính thức</v>
      </c>
      <c r="U94" s="22"/>
      <c r="V94" s="22"/>
      <c r="W94" s="22" t="str">
        <f>IFERROR(__xludf.DUMMYFUNCTION("""COMPUTED_VALUE"""),"2 năm 8 tháng")</f>
        <v>2 năm 8 tháng</v>
      </c>
      <c r="X94" s="22"/>
      <c r="Y94" s="22"/>
      <c r="Z94" s="22"/>
    </row>
    <row r="95">
      <c r="A95" s="23" t="str">
        <f>IFERROR(__xludf.DUMMYFUNCTION("""COMPUTED_VALUE"""),"12")</f>
        <v>12</v>
      </c>
      <c r="B95" s="22" t="str">
        <f>IFERROR(__xludf.DUMMYFUNCTION("""COMPUTED_VALUE"""),"PXSX1")</f>
        <v>PXSX1</v>
      </c>
      <c r="C95" s="22" t="str">
        <f>IFERROR(__xludf.DUMMYFUNCTION("""COMPUTED_VALUE"""),"Bộ phận nhiên liệu và gia công bán thành phẩm ")</f>
        <v>Bộ phận nhiên liệu và gia công bán thành phẩm </v>
      </c>
      <c r="D95" s="22" t="str">
        <f>IFERROR(__xludf.DUMMYFUNCTION("""COMPUTED_VALUE"""),"Dây chuyền gia công Ca A")</f>
        <v>Dây chuyền gia công Ca A</v>
      </c>
      <c r="E95" s="22" t="str">
        <f>IFERROR(__xludf.DUMMYFUNCTION("""COMPUTED_VALUE"""),"VH Phụ tráng men DC1")</f>
        <v>VH Phụ tráng men DC1</v>
      </c>
      <c r="F95" s="22" t="str">
        <f>IFERROR(__xludf.DUMMYFUNCTION("""COMPUTED_VALUE"""),"NV5185")</f>
        <v>NV5185</v>
      </c>
      <c r="G95" s="22">
        <f>IFERROR(__xludf.DUMMYFUNCTION("""COMPUTED_VALUE"""),644.0)</f>
        <v>644</v>
      </c>
      <c r="H95" s="22" t="str">
        <f>IFERROR(__xludf.DUMMYFUNCTION("""COMPUTED_VALUE"""),"Đỗ Xuân Lợi")</f>
        <v>Đỗ Xuân Lợi</v>
      </c>
      <c r="I95" s="22" t="str">
        <f>IFERROR(__xludf.DUMMYFUNCTION("""COMPUTED_VALUE"""),"Nam")</f>
        <v>Nam</v>
      </c>
      <c r="J95" s="24">
        <f>IFERROR(__xludf.DUMMYFUNCTION("""COMPUTED_VALUE"""),36606.0)</f>
        <v>36606</v>
      </c>
      <c r="K95" s="22" t="str">
        <f>IFERROR(__xludf.DUMMYFUNCTION("""COMPUTED_VALUE"""),"Xã Quảng Chính - Tỉnh Thanh Hoá ")</f>
        <v>Xã Quảng Chính - Tỉnh Thanh Hoá </v>
      </c>
      <c r="L95" s="22" t="str">
        <f>IFERROR(__xludf.DUMMYFUNCTION("""COMPUTED_VALUE"""),"0985562204")</f>
        <v>0985562204</v>
      </c>
      <c r="M95" s="22" t="str">
        <f>IFERROR(__xludf.DUMMYFUNCTION("""COMPUTED_VALUE"""),"038200024405")</f>
        <v>038200024405</v>
      </c>
      <c r="N95" s="24">
        <f>IFERROR(__xludf.DUMMYFUNCTION("""COMPUTED_VALUE"""),44546.0)</f>
        <v>44546</v>
      </c>
      <c r="O95" s="22" t="str">
        <f>IFERROR(__xludf.DUMMYFUNCTION("""COMPUTED_VALUE"""),"Cục Cảnh sát QLHC về TTXH")</f>
        <v>Cục Cảnh sát QLHC về TTXH</v>
      </c>
      <c r="P95" s="22" t="str">
        <f>IFERROR(__xludf.DUMMYFUNCTION("""COMPUTED_VALUE"""),"LĐPT")</f>
        <v>LĐPT</v>
      </c>
      <c r="Q95" s="22" t="str">
        <f>IFERROR(__xludf.DUMMYFUNCTION("""COMPUTED_VALUE"""),"Lao động phổ thông")</f>
        <v>Lao động phổ thông</v>
      </c>
      <c r="R95" s="24">
        <f>IFERROR(__xludf.DUMMYFUNCTION("""COMPUTED_VALUE"""),45426.0)</f>
        <v>45426</v>
      </c>
      <c r="S95" s="24">
        <f>IFERROR(__xludf.DUMMYFUNCTION("""COMPUTED_VALUE"""),45505.0)</f>
        <v>45505</v>
      </c>
      <c r="T95" s="22" t="str">
        <f>IFERROR(__xludf.DUMMYFUNCTION("""COMPUTED_VALUE"""),"Chính thức")</f>
        <v>Chính thức</v>
      </c>
      <c r="U95" s="22"/>
      <c r="V95" s="22"/>
      <c r="W95" s="22" t="str">
        <f>IFERROR(__xludf.DUMMYFUNCTION("""COMPUTED_VALUE"""),"1 năm 7 tháng")</f>
        <v>1 năm 7 tháng</v>
      </c>
      <c r="X95" s="22"/>
      <c r="Y95" s="22"/>
      <c r="Z95" s="22"/>
    </row>
    <row r="96">
      <c r="A96" s="23" t="str">
        <f>IFERROR(__xludf.DUMMYFUNCTION("""COMPUTED_VALUE"""),"13")</f>
        <v>13</v>
      </c>
      <c r="B96" s="22" t="str">
        <f>IFERROR(__xludf.DUMMYFUNCTION("""COMPUTED_VALUE"""),"PXSX1")</f>
        <v>PXSX1</v>
      </c>
      <c r="C96" s="22" t="str">
        <f>IFERROR(__xludf.DUMMYFUNCTION("""COMPUTED_VALUE"""),"Bộ phận nhiên liệu và gia công bán thành phẩm ")</f>
        <v>Bộ phận nhiên liệu và gia công bán thành phẩm </v>
      </c>
      <c r="D96" s="22" t="str">
        <f>IFERROR(__xludf.DUMMYFUNCTION("""COMPUTED_VALUE"""),"Dây chuyền gia công Ca A")</f>
        <v>Dây chuyền gia công Ca A</v>
      </c>
      <c r="E96" s="22" t="str">
        <f>IFERROR(__xludf.DUMMYFUNCTION("""COMPUTED_VALUE"""),"VH bù DC1")</f>
        <v>VH bù DC1</v>
      </c>
      <c r="F96" s="22" t="str">
        <f>IFERROR(__xludf.DUMMYFUNCTION("""COMPUTED_VALUE"""),"NV5695")</f>
        <v>NV5695</v>
      </c>
      <c r="G96" s="22">
        <f>IFERROR(__xludf.DUMMYFUNCTION("""COMPUTED_VALUE"""),303.0)</f>
        <v>303</v>
      </c>
      <c r="H96" s="22" t="str">
        <f>IFERROR(__xludf.DUMMYFUNCTION("""COMPUTED_VALUE"""),"Lê Công Huấn")</f>
        <v>Lê Công Huấn</v>
      </c>
      <c r="I96" s="22" t="str">
        <f>IFERROR(__xludf.DUMMYFUNCTION("""COMPUTED_VALUE"""),"Nam")</f>
        <v>Nam</v>
      </c>
      <c r="J96" s="24">
        <f>IFERROR(__xludf.DUMMYFUNCTION("""COMPUTED_VALUE"""),33640.0)</f>
        <v>33640</v>
      </c>
      <c r="K96" s="22" t="str">
        <f>IFERROR(__xludf.DUMMYFUNCTION("""COMPUTED_VALUE"""),"Xã Quảng Ninh - Tỉnh Thanh Hóa")</f>
        <v>Xã Quảng Ninh - Tỉnh Thanh Hóa</v>
      </c>
      <c r="L96" s="22" t="str">
        <f>IFERROR(__xludf.DUMMYFUNCTION("""COMPUTED_VALUE"""),"0327987779")</f>
        <v>0327987779</v>
      </c>
      <c r="M96" s="22" t="str">
        <f>IFERROR(__xludf.DUMMYFUNCTION("""COMPUTED_VALUE"""),"038092004765")</f>
        <v>038092004765</v>
      </c>
      <c r="N96" s="24">
        <f>IFERROR(__xludf.DUMMYFUNCTION("""COMPUTED_VALUE"""),44427.0)</f>
        <v>44427</v>
      </c>
      <c r="O96" s="22" t="str">
        <f>IFERROR(__xludf.DUMMYFUNCTION("""COMPUTED_VALUE"""),"Cục Cảnh sát QLHC về TTXH")</f>
        <v>Cục Cảnh sát QLHC về TTXH</v>
      </c>
      <c r="P96" s="22" t="str">
        <f>IFERROR(__xludf.DUMMYFUNCTION("""COMPUTED_VALUE"""),"LĐPT")</f>
        <v>LĐPT</v>
      </c>
      <c r="Q96" s="22" t="str">
        <f>IFERROR(__xludf.DUMMYFUNCTION("""COMPUTED_VALUE"""),"Lao động phổ thông")</f>
        <v>Lao động phổ thông</v>
      </c>
      <c r="R96" s="24">
        <f>IFERROR(__xludf.DUMMYFUNCTION("""COMPUTED_VALUE"""),45908.0)</f>
        <v>45908</v>
      </c>
      <c r="S96" s="22"/>
      <c r="T96" s="22" t="str">
        <f>IFERROR(__xludf.DUMMYFUNCTION("""COMPUTED_VALUE"""),"Thử việc")</f>
        <v>Thử việc</v>
      </c>
      <c r="U96" s="22"/>
      <c r="V96" s="22"/>
      <c r="W96" s="22" t="str">
        <f>IFERROR(__xludf.DUMMYFUNCTION("""COMPUTED_VALUE"""),"0 năm 3 tháng")</f>
        <v>0 năm 3 tháng</v>
      </c>
      <c r="X96" s="22"/>
      <c r="Y96" s="22"/>
      <c r="Z96" s="22"/>
    </row>
    <row r="97">
      <c r="A97" s="23" t="str">
        <f>IFERROR(__xludf.DUMMYFUNCTION("""COMPUTED_VALUE"""),"14")</f>
        <v>14</v>
      </c>
      <c r="B97" s="22" t="str">
        <f>IFERROR(__xludf.DUMMYFUNCTION("""COMPUTED_VALUE"""),"PXSX1")</f>
        <v>PXSX1</v>
      </c>
      <c r="C97" s="22" t="str">
        <f>IFERROR(__xludf.DUMMYFUNCTION("""COMPUTED_VALUE"""),"Bộ phận nhiên liệu và gia công bán thành phẩm ")</f>
        <v>Bộ phận nhiên liệu và gia công bán thành phẩm </v>
      </c>
      <c r="D97" s="22" t="str">
        <f>IFERROR(__xludf.DUMMYFUNCTION("""COMPUTED_VALUE"""),"Dây chuyền gia công Ca A")</f>
        <v>Dây chuyền gia công Ca A</v>
      </c>
      <c r="E97" s="22" t="str">
        <f>IFERROR(__xludf.DUMMYFUNCTION("""COMPUTED_VALUE"""),"VH tráng Men")</f>
        <v>VH tráng Men</v>
      </c>
      <c r="F97" s="22" t="str">
        <f>IFERROR(__xludf.DUMMYFUNCTION("""COMPUTED_VALUE"""),"NV5706")</f>
        <v>NV5706</v>
      </c>
      <c r="G97" s="22">
        <f>IFERROR(__xludf.DUMMYFUNCTION("""COMPUTED_VALUE"""),1197.0)</f>
        <v>1197</v>
      </c>
      <c r="H97" s="22" t="str">
        <f>IFERROR(__xludf.DUMMYFUNCTION("""COMPUTED_VALUE"""),"Phạm Ngọc Khoa")</f>
        <v>Phạm Ngọc Khoa</v>
      </c>
      <c r="I97" s="22" t="str">
        <f>IFERROR(__xludf.DUMMYFUNCTION("""COMPUTED_VALUE"""),"Nam")</f>
        <v>Nam</v>
      </c>
      <c r="J97" s="24">
        <f>IFERROR(__xludf.DUMMYFUNCTION("""COMPUTED_VALUE"""),35259.0)</f>
        <v>35259</v>
      </c>
      <c r="K97" s="22" t="str">
        <f>IFERROR(__xludf.DUMMYFUNCTION("""COMPUTED_VALUE"""),"Châu Sơn - Xã Quảng Chính - Tỉnh Thanh Hóa")</f>
        <v>Châu Sơn - Xã Quảng Chính - Tỉnh Thanh Hóa</v>
      </c>
      <c r="L97" s="22" t="str">
        <f>IFERROR(__xludf.DUMMYFUNCTION("""COMPUTED_VALUE"""),"396240893")</f>
        <v>396240893</v>
      </c>
      <c r="M97" s="22" t="str">
        <f>IFERROR(__xludf.DUMMYFUNCTION("""COMPUTED_VALUE"""),"038096005265")</f>
        <v>038096005265</v>
      </c>
      <c r="N97" s="24">
        <f>IFERROR(__xludf.DUMMYFUNCTION("""COMPUTED_VALUE"""),44812.0)</f>
        <v>44812</v>
      </c>
      <c r="O97" s="22" t="str">
        <f>IFERROR(__xludf.DUMMYFUNCTION("""COMPUTED_VALUE"""),"Cục Cảnh sát QLHC về TTXH")</f>
        <v>Cục Cảnh sát QLHC về TTXH</v>
      </c>
      <c r="P97" s="22" t="str">
        <f>IFERROR(__xludf.DUMMYFUNCTION("""COMPUTED_VALUE"""),"LĐPT")</f>
        <v>LĐPT</v>
      </c>
      <c r="Q97" s="22" t="str">
        <f>IFERROR(__xludf.DUMMYFUNCTION("""COMPUTED_VALUE"""),"Lao động phổ thông")</f>
        <v>Lao động phổ thông</v>
      </c>
      <c r="R97" s="24">
        <f>IFERROR(__xludf.DUMMYFUNCTION("""COMPUTED_VALUE"""),45916.0)</f>
        <v>45916</v>
      </c>
      <c r="S97" s="22"/>
      <c r="T97" s="22" t="str">
        <f>IFERROR(__xludf.DUMMYFUNCTION("""COMPUTED_VALUE"""),"Thử việc")</f>
        <v>Thử việc</v>
      </c>
      <c r="U97" s="22"/>
      <c r="V97" s="22" t="str">
        <f>IFERROR(__xludf.DUMMYFUNCTION("""COMPUTED_VALUE"""),"Thử việc")</f>
        <v>Thử việc</v>
      </c>
      <c r="W97" s="22" t="str">
        <f>IFERROR(__xludf.DUMMYFUNCTION("""COMPUTED_VALUE"""),"0 năm 3 tháng")</f>
        <v>0 năm 3 tháng</v>
      </c>
      <c r="X97" s="22"/>
      <c r="Y97" s="22"/>
      <c r="Z97" s="22"/>
    </row>
    <row r="98">
      <c r="A98" s="23" t="str">
        <f>IFERROR(__xludf.DUMMYFUNCTION("""COMPUTED_VALUE"""),"15")</f>
        <v>15</v>
      </c>
      <c r="B98" s="22" t="str">
        <f>IFERROR(__xludf.DUMMYFUNCTION("""COMPUTED_VALUE"""),"PXSX1")</f>
        <v>PXSX1</v>
      </c>
      <c r="C98" s="22" t="str">
        <f>IFERROR(__xludf.DUMMYFUNCTION("""COMPUTED_VALUE"""),"Bộ phận nhiên liệu và gia công bán thành phẩm ")</f>
        <v>Bộ phận nhiên liệu và gia công bán thành phẩm </v>
      </c>
      <c r="D98" s="22" t="str">
        <f>IFERROR(__xludf.DUMMYFUNCTION("""COMPUTED_VALUE"""),"Dây chuyền gia công Ca A")</f>
        <v>Dây chuyền gia công Ca A</v>
      </c>
      <c r="E98" s="22" t="str">
        <f>IFERROR(__xludf.DUMMYFUNCTION("""COMPUTED_VALUE"""),"VH tráng Men")</f>
        <v>VH tráng Men</v>
      </c>
      <c r="F98" s="22" t="str">
        <f>IFERROR(__xludf.DUMMYFUNCTION("""COMPUTED_VALUE"""),"NV5716")</f>
        <v>NV5716</v>
      </c>
      <c r="G98" s="22">
        <f>IFERROR(__xludf.DUMMYFUNCTION("""COMPUTED_VALUE"""),1207.0)</f>
        <v>1207</v>
      </c>
      <c r="H98" s="22" t="str">
        <f>IFERROR(__xludf.DUMMYFUNCTION("""COMPUTED_VALUE"""),"Trần Văn Phương")</f>
        <v>Trần Văn Phương</v>
      </c>
      <c r="I98" s="22" t="str">
        <f>IFERROR(__xludf.DUMMYFUNCTION("""COMPUTED_VALUE"""),"Nam")</f>
        <v>Nam</v>
      </c>
      <c r="J98" s="24">
        <f>IFERROR(__xludf.DUMMYFUNCTION("""COMPUTED_VALUE"""),30046.0)</f>
        <v>30046</v>
      </c>
      <c r="K98" s="22" t="str">
        <f>IFERROR(__xludf.DUMMYFUNCTION("""COMPUTED_VALUE"""),"TDP Tây Nam - Phường Nam Sầm Sơn - Tỉnh Thanh Hóa")</f>
        <v>TDP Tây Nam - Phường Nam Sầm Sơn - Tỉnh Thanh Hóa</v>
      </c>
      <c r="L98" s="22" t="str">
        <f>IFERROR(__xludf.DUMMYFUNCTION("""COMPUTED_VALUE"""),"0964940787")</f>
        <v>0964940787</v>
      </c>
      <c r="M98" s="22" t="str">
        <f>IFERROR(__xludf.DUMMYFUNCTION("""COMPUTED_VALUE"""),"038082005652")</f>
        <v>038082005652</v>
      </c>
      <c r="N98" s="24">
        <f>IFERROR(__xludf.DUMMYFUNCTION("""COMPUTED_VALUE"""),44418.0)</f>
        <v>44418</v>
      </c>
      <c r="O98" s="22" t="str">
        <f>IFERROR(__xludf.DUMMYFUNCTION("""COMPUTED_VALUE"""),"Cục Cảnh sát QLHC về TTXH")</f>
        <v>Cục Cảnh sát QLHC về TTXH</v>
      </c>
      <c r="P98" s="22" t="str">
        <f>IFERROR(__xludf.DUMMYFUNCTION("""COMPUTED_VALUE"""),"LĐPT")</f>
        <v>LĐPT</v>
      </c>
      <c r="Q98" s="22" t="str">
        <f>IFERROR(__xludf.DUMMYFUNCTION("""COMPUTED_VALUE"""),"Lao động phổ thông")</f>
        <v>Lao động phổ thông</v>
      </c>
      <c r="R98" s="24">
        <f>IFERROR(__xludf.DUMMYFUNCTION("""COMPUTED_VALUE"""),45920.0)</f>
        <v>45920</v>
      </c>
      <c r="S98" s="22"/>
      <c r="T98" s="22" t="str">
        <f>IFERROR(__xludf.DUMMYFUNCTION("""COMPUTED_VALUE"""),"Thử việc")</f>
        <v>Thử việc</v>
      </c>
      <c r="U98" s="22"/>
      <c r="V98" s="22" t="str">
        <f>IFERROR(__xludf.DUMMYFUNCTION("""COMPUTED_VALUE"""),"Thử việc")</f>
        <v>Thử việc</v>
      </c>
      <c r="W98" s="22" t="str">
        <f>IFERROR(__xludf.DUMMYFUNCTION("""COMPUTED_VALUE"""),"0 năm 3 tháng")</f>
        <v>0 năm 3 tháng</v>
      </c>
      <c r="X98" s="22"/>
      <c r="Y98" s="22"/>
      <c r="Z98" s="22"/>
    </row>
    <row r="99">
      <c r="A99" s="23" t="str">
        <f>IFERROR(__xludf.DUMMYFUNCTION("""COMPUTED_VALUE"""),"16")</f>
        <v>16</v>
      </c>
      <c r="B99" s="22" t="str">
        <f>IFERROR(__xludf.DUMMYFUNCTION("""COMPUTED_VALUE"""),"PXSX1")</f>
        <v>PXSX1</v>
      </c>
      <c r="C99" s="22" t="str">
        <f>IFERROR(__xludf.DUMMYFUNCTION("""COMPUTED_VALUE"""),"Bộ phận nhiên liệu và gia công bán thành phẩm ")</f>
        <v>Bộ phận nhiên liệu và gia công bán thành phẩm </v>
      </c>
      <c r="D99" s="22" t="str">
        <f>IFERROR(__xludf.DUMMYFUNCTION("""COMPUTED_VALUE"""),"Dây chuyền gia công Ca A")</f>
        <v>Dây chuyền gia công Ca A</v>
      </c>
      <c r="E99" s="22" t="str">
        <f>IFERROR(__xludf.DUMMYFUNCTION("""COMPUTED_VALUE"""),"VH tráng Men")</f>
        <v>VH tráng Men</v>
      </c>
      <c r="F99" s="22" t="str">
        <f>IFERROR(__xludf.DUMMYFUNCTION("""COMPUTED_VALUE"""),"NV5370")</f>
        <v>NV5370</v>
      </c>
      <c r="G99" s="22">
        <f>IFERROR(__xludf.DUMMYFUNCTION("""COMPUTED_VALUE"""),788.0)</f>
        <v>788</v>
      </c>
      <c r="H99" s="22" t="str">
        <f>IFERROR(__xludf.DUMMYFUNCTION("""COMPUTED_VALUE"""),"Nguyễn Hữu  Sang")</f>
        <v>Nguyễn Hữu  Sang</v>
      </c>
      <c r="I99" s="22" t="str">
        <f>IFERROR(__xludf.DUMMYFUNCTION("""COMPUTED_VALUE"""),"Nam")</f>
        <v>Nam</v>
      </c>
      <c r="J99" s="24">
        <f>IFERROR(__xludf.DUMMYFUNCTION("""COMPUTED_VALUE"""),35219.0)</f>
        <v>35219</v>
      </c>
      <c r="K99" s="22" t="str">
        <f>IFERROR(__xludf.DUMMYFUNCTION("""COMPUTED_VALUE"""),"TDP- Thu Hảo- Phường Sầm Sơn - Tỉnh Thanh Hóa")</f>
        <v>TDP- Thu Hảo- Phường Sầm Sơn - Tỉnh Thanh Hóa</v>
      </c>
      <c r="L99" s="22" t="str">
        <f>IFERROR(__xludf.DUMMYFUNCTION("""COMPUTED_VALUE"""),"0977825173")</f>
        <v>0977825173</v>
      </c>
      <c r="M99" s="22" t="str">
        <f>IFERROR(__xludf.DUMMYFUNCTION("""COMPUTED_VALUE"""),"038096006389")</f>
        <v>038096006389</v>
      </c>
      <c r="N99" s="24">
        <f>IFERROR(__xludf.DUMMYFUNCTION("""COMPUTED_VALUE"""),44435.0)</f>
        <v>44435</v>
      </c>
      <c r="O99" s="22" t="str">
        <f>IFERROR(__xludf.DUMMYFUNCTION("""COMPUTED_VALUE"""),"Cục Cảnh sát QLHC về TTXH")</f>
        <v>Cục Cảnh sát QLHC về TTXH</v>
      </c>
      <c r="P99" s="22" t="str">
        <f>IFERROR(__xludf.DUMMYFUNCTION("""COMPUTED_VALUE"""),"LĐPT")</f>
        <v>LĐPT</v>
      </c>
      <c r="Q99" s="22" t="str">
        <f>IFERROR(__xludf.DUMMYFUNCTION("""COMPUTED_VALUE"""),"Lao động phổ thông")</f>
        <v>Lao động phổ thông</v>
      </c>
      <c r="R99" s="24">
        <f>IFERROR(__xludf.DUMMYFUNCTION("""COMPUTED_VALUE"""),45968.0)</f>
        <v>45968</v>
      </c>
      <c r="S99" s="24">
        <f>IFERROR(__xludf.DUMMYFUNCTION("""COMPUTED_VALUE"""),45968.0)</f>
        <v>45968</v>
      </c>
      <c r="T99" s="22" t="str">
        <f>IFERROR(__xludf.DUMMYFUNCTION("""COMPUTED_VALUE"""),"Chính thức")</f>
        <v>Chính thức</v>
      </c>
      <c r="U99" s="22"/>
      <c r="V99" s="22" t="str">
        <f>IFERROR(__xludf.DUMMYFUNCTION("""COMPUTED_VALUE"""),"Chính thức")</f>
        <v>Chính thức</v>
      </c>
      <c r="W99" s="22" t="str">
        <f>IFERROR(__xludf.DUMMYFUNCTION("""COMPUTED_VALUE"""),"0 năm 1 tháng")</f>
        <v>0 năm 1 tháng</v>
      </c>
      <c r="X99" s="22"/>
      <c r="Y99" s="22"/>
      <c r="Z99" s="22"/>
    </row>
    <row r="100">
      <c r="A100" s="23" t="str">
        <f>IFERROR(__xludf.DUMMYFUNCTION("""COMPUTED_VALUE"""),"17")</f>
        <v>17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3" t="str">
        <f>IFERROR(__xludf.DUMMYFUNCTION("""COMPUTED_VALUE"""),"18")</f>
        <v>18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3" t="str">
        <f>IFERROR(__xludf.DUMMYFUNCTION("""COMPUTED_VALUE"""),"3.9")</f>
        <v>3.9</v>
      </c>
      <c r="B103" s="22" t="str">
        <f>IFERROR(__xludf.DUMMYFUNCTION("""COMPUTED_VALUE"""),"Dây chuyền gia công Ca B")</f>
        <v>Dây chuyền gia công Ca B</v>
      </c>
      <c r="C103" s="22">
        <f>IFERROR(__xludf.DUMMYFUNCTION("""COMPUTED_VALUE"""),15.0)</f>
        <v>15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3" t="str">
        <f>IFERROR(__xludf.DUMMYFUNCTION("""COMPUTED_VALUE"""),"1")</f>
        <v>1</v>
      </c>
      <c r="B104" s="22" t="str">
        <f>IFERROR(__xludf.DUMMYFUNCTION("""COMPUTED_VALUE"""),"PXSX1")</f>
        <v>PXSX1</v>
      </c>
      <c r="C104" s="22" t="str">
        <f>IFERROR(__xludf.DUMMYFUNCTION("""COMPUTED_VALUE"""),"Bộ phận nhiên liệu và gia công bán thành phẩm ")</f>
        <v>Bộ phận nhiên liệu và gia công bán thành phẩm </v>
      </c>
      <c r="D104" s="22" t="str">
        <f>IFERROR(__xludf.DUMMYFUNCTION("""COMPUTED_VALUE"""),"Dây chuyền gia công Ca B")</f>
        <v>Dây chuyền gia công Ca B</v>
      </c>
      <c r="E104" s="22" t="str">
        <f>IFERROR(__xludf.DUMMYFUNCTION("""COMPUTED_VALUE"""),"VH bù DC1")</f>
        <v>VH bù DC1</v>
      </c>
      <c r="F104" s="22" t="str">
        <f>IFERROR(__xludf.DUMMYFUNCTION("""COMPUTED_VALUE"""),"NV0182")</f>
        <v>NV0182</v>
      </c>
      <c r="G104" s="22">
        <f>IFERROR(__xludf.DUMMYFUNCTION("""COMPUTED_VALUE"""),122.0)</f>
        <v>122</v>
      </c>
      <c r="H104" s="22" t="str">
        <f>IFERROR(__xludf.DUMMYFUNCTION("""COMPUTED_VALUE"""),"Lê Như Hoàng")</f>
        <v>Lê Như Hoàng</v>
      </c>
      <c r="I104" s="22" t="str">
        <f>IFERROR(__xludf.DUMMYFUNCTION("""COMPUTED_VALUE"""),"Nam")</f>
        <v>Nam</v>
      </c>
      <c r="J104" s="24">
        <f>IFERROR(__xludf.DUMMYFUNCTION("""COMPUTED_VALUE"""),26726.0)</f>
        <v>26726</v>
      </c>
      <c r="K104" s="22" t="str">
        <f>IFERROR(__xludf.DUMMYFUNCTION("""COMPUTED_VALUE"""),"Xã Lưu Vệ - Tỉnh Thanh Hóa")</f>
        <v>Xã Lưu Vệ - Tỉnh Thanh Hóa</v>
      </c>
      <c r="L104" s="22" t="str">
        <f>IFERROR(__xludf.DUMMYFUNCTION("""COMPUTED_VALUE"""),"0981229172")</f>
        <v>0981229172</v>
      </c>
      <c r="M104" s="22" t="str">
        <f>IFERROR(__xludf.DUMMYFUNCTION("""COMPUTED_VALUE"""),"038073002133")</f>
        <v>038073002133</v>
      </c>
      <c r="N104" s="24">
        <f>IFERROR(__xludf.DUMMYFUNCTION("""COMPUTED_VALUE"""),44325.0)</f>
        <v>44325</v>
      </c>
      <c r="O104" s="22" t="str">
        <f>IFERROR(__xludf.DUMMYFUNCTION("""COMPUTED_VALUE"""),"Cục Cảnh sát QLHC về TTXH")</f>
        <v>Cục Cảnh sát QLHC về TTXH</v>
      </c>
      <c r="P104" s="22" t="str">
        <f>IFERROR(__xludf.DUMMYFUNCTION("""COMPUTED_VALUE"""),"LĐPT")</f>
        <v>LĐPT</v>
      </c>
      <c r="Q104" s="22" t="str">
        <f>IFERROR(__xludf.DUMMYFUNCTION("""COMPUTED_VALUE"""),"Lao động phổ thông")</f>
        <v>Lao động phổ thông</v>
      </c>
      <c r="R104" s="24">
        <f>IFERROR(__xludf.DUMMYFUNCTION("""COMPUTED_VALUE"""),37469.0)</f>
        <v>37469</v>
      </c>
      <c r="S104" s="24">
        <f>IFERROR(__xludf.DUMMYFUNCTION("""COMPUTED_VALUE"""),37469.0)</f>
        <v>37469</v>
      </c>
      <c r="T104" s="22" t="str">
        <f>IFERROR(__xludf.DUMMYFUNCTION("""COMPUTED_VALUE"""),"Chính thức")</f>
        <v>Chính thức</v>
      </c>
      <c r="U104" s="22"/>
      <c r="V104" s="22"/>
      <c r="W104" s="22" t="str">
        <f>IFERROR(__xludf.DUMMYFUNCTION("""COMPUTED_VALUE"""),"23 năm 4 tháng")</f>
        <v>23 năm 4 tháng</v>
      </c>
      <c r="X104" s="22"/>
      <c r="Y104" s="22"/>
      <c r="Z104" s="22"/>
    </row>
    <row r="105">
      <c r="A105" s="23" t="str">
        <f>IFERROR(__xludf.DUMMYFUNCTION("""COMPUTED_VALUE"""),"2")</f>
        <v>2</v>
      </c>
      <c r="B105" s="22" t="str">
        <f>IFERROR(__xludf.DUMMYFUNCTION("""COMPUTED_VALUE"""),"PXSX1")</f>
        <v>PXSX1</v>
      </c>
      <c r="C105" s="22" t="str">
        <f>IFERROR(__xludf.DUMMYFUNCTION("""COMPUTED_VALUE"""),"Bộ phận nhiên liệu và gia công bán thành phẩm ")</f>
        <v>Bộ phận nhiên liệu và gia công bán thành phẩm </v>
      </c>
      <c r="D105" s="22" t="str">
        <f>IFERROR(__xludf.DUMMYFUNCTION("""COMPUTED_VALUE"""),"Dây chuyền gia công Ca B")</f>
        <v>Dây chuyền gia công Ca B</v>
      </c>
      <c r="E105" s="22" t="str">
        <f>IFERROR(__xludf.DUMMYFUNCTION("""COMPUTED_VALUE"""),"VH bù DC2")</f>
        <v>VH bù DC2</v>
      </c>
      <c r="F105" s="22" t="str">
        <f>IFERROR(__xludf.DUMMYFUNCTION("""COMPUTED_VALUE"""),"NV0132")</f>
        <v>NV0132</v>
      </c>
      <c r="G105" s="22">
        <f>IFERROR(__xludf.DUMMYFUNCTION("""COMPUTED_VALUE"""),313.0)</f>
        <v>313</v>
      </c>
      <c r="H105" s="22" t="str">
        <f>IFERROR(__xludf.DUMMYFUNCTION("""COMPUTED_VALUE"""),"Lê Thị Bình")</f>
        <v>Lê Thị Bình</v>
      </c>
      <c r="I105" s="22" t="str">
        <f>IFERROR(__xludf.DUMMYFUNCTION("""COMPUTED_VALUE"""),"Nữ ")</f>
        <v>Nữ </v>
      </c>
      <c r="J105" s="24">
        <f>IFERROR(__xludf.DUMMYFUNCTION("""COMPUTED_VALUE"""),28298.0)</f>
        <v>28298</v>
      </c>
      <c r="K105" s="22" t="str">
        <f>IFERROR(__xludf.DUMMYFUNCTION("""COMPUTED_VALUE"""),"Phường An Hoạch -  Thành phố Thanh Hóa")</f>
        <v>Phường An Hoạch -  Thành phố Thanh Hóa</v>
      </c>
      <c r="L105" s="22" t="str">
        <f>IFERROR(__xludf.DUMMYFUNCTION("""COMPUTED_VALUE"""),"0394820975")</f>
        <v>0394820975</v>
      </c>
      <c r="M105" s="22" t="str">
        <f>IFERROR(__xludf.DUMMYFUNCTION("""COMPUTED_VALUE"""),"038177001338")</f>
        <v>038177001338</v>
      </c>
      <c r="N105" s="24">
        <f>IFERROR(__xludf.DUMMYFUNCTION("""COMPUTED_VALUE"""),42604.0)</f>
        <v>42604</v>
      </c>
      <c r="O105" s="22" t="str">
        <f>IFERROR(__xludf.DUMMYFUNCTION("""COMPUTED_VALUE"""),"Cục Cảnh sát QLHC về TTXH")</f>
        <v>Cục Cảnh sát QLHC về TTXH</v>
      </c>
      <c r="P105" s="22" t="str">
        <f>IFERROR(__xludf.DUMMYFUNCTION("""COMPUTED_VALUE"""),"LĐPT")</f>
        <v>LĐPT</v>
      </c>
      <c r="Q105" s="22" t="str">
        <f>IFERROR(__xludf.DUMMYFUNCTION("""COMPUTED_VALUE"""),"Lao động phổ thông")</f>
        <v>Lao động phổ thông</v>
      </c>
      <c r="R105" s="24">
        <f>IFERROR(__xludf.DUMMYFUNCTION("""COMPUTED_VALUE"""),41951.0)</f>
        <v>41951</v>
      </c>
      <c r="S105" s="24">
        <f>IFERROR(__xludf.DUMMYFUNCTION("""COMPUTED_VALUE"""),41951.0)</f>
        <v>41951</v>
      </c>
      <c r="T105" s="22" t="str">
        <f>IFERROR(__xludf.DUMMYFUNCTION("""COMPUTED_VALUE"""),"Chính thức")</f>
        <v>Chính thức</v>
      </c>
      <c r="U105" s="22"/>
      <c r="V105" s="22"/>
      <c r="W105" s="22" t="str">
        <f>IFERROR(__xludf.DUMMYFUNCTION("""COMPUTED_VALUE"""),"11 năm 1 tháng")</f>
        <v>11 năm 1 tháng</v>
      </c>
      <c r="X105" s="22"/>
      <c r="Y105" s="22"/>
      <c r="Z105" s="22"/>
    </row>
    <row r="106">
      <c r="A106" s="23" t="str">
        <f>IFERROR(__xludf.DUMMYFUNCTION("""COMPUTED_VALUE"""),"3")</f>
        <v>3</v>
      </c>
      <c r="B106" s="22" t="str">
        <f>IFERROR(__xludf.DUMMYFUNCTION("""COMPUTED_VALUE"""),"PXSX1")</f>
        <v>PXSX1</v>
      </c>
      <c r="C106" s="22" t="str">
        <f>IFERROR(__xludf.DUMMYFUNCTION("""COMPUTED_VALUE"""),"Bộ phận nhiên liệu và gia công bán thành phẩm ")</f>
        <v>Bộ phận nhiên liệu và gia công bán thành phẩm </v>
      </c>
      <c r="D106" s="22" t="str">
        <f>IFERROR(__xludf.DUMMYFUNCTION("""COMPUTED_VALUE"""),"Dây chuyền gia công Ca B")</f>
        <v>Dây chuyền gia công Ca B</v>
      </c>
      <c r="E106" s="22" t="str">
        <f>IFERROR(__xludf.DUMMYFUNCTION("""COMPUTED_VALUE"""),"VHC Máy in kỹ thuật số")</f>
        <v>VHC Máy in kỹ thuật số</v>
      </c>
      <c r="F106" s="22" t="str">
        <f>IFERROR(__xludf.DUMMYFUNCTION("""COMPUTED_VALUE"""),"NV2660")</f>
        <v>NV2660</v>
      </c>
      <c r="G106" s="22">
        <f>IFERROR(__xludf.DUMMYFUNCTION("""COMPUTED_VALUE"""),324.0)</f>
        <v>324</v>
      </c>
      <c r="H106" s="22" t="str">
        <f>IFERROR(__xludf.DUMMYFUNCTION("""COMPUTED_VALUE"""),"Nguyễn Trường Giang")</f>
        <v>Nguyễn Trường Giang</v>
      </c>
      <c r="I106" s="22" t="str">
        <f>IFERROR(__xludf.DUMMYFUNCTION("""COMPUTED_VALUE"""),"Nam")</f>
        <v>Nam</v>
      </c>
      <c r="J106" s="24">
        <f>IFERROR(__xludf.DUMMYFUNCTION("""COMPUTED_VALUE"""),28772.0)</f>
        <v>28772</v>
      </c>
      <c r="K106" s="22" t="str">
        <f>IFERROR(__xludf.DUMMYFUNCTION("""COMPUTED_VALUE"""),"Thọ Minh - Xã Trường Văn - Tỉnh Thanh Hóa")</f>
        <v>Thọ Minh - Xã Trường Văn - Tỉnh Thanh Hóa</v>
      </c>
      <c r="L106" s="22" t="str">
        <f>IFERROR(__xludf.DUMMYFUNCTION("""COMPUTED_VALUE"""),"0973288358")</f>
        <v>0973288358</v>
      </c>
      <c r="M106" s="22" t="str">
        <f>IFERROR(__xludf.DUMMYFUNCTION("""COMPUTED_VALUE"""),"038078016049")</f>
        <v>038078016049</v>
      </c>
      <c r="N106" s="24">
        <f>IFERROR(__xludf.DUMMYFUNCTION("""COMPUTED_VALUE"""),44778.0)</f>
        <v>44778</v>
      </c>
      <c r="O106" s="22" t="str">
        <f>IFERROR(__xludf.DUMMYFUNCTION("""COMPUTED_VALUE"""),"Cục Cảnh sát QLHC về TTXH")</f>
        <v>Cục Cảnh sát QLHC về TTXH</v>
      </c>
      <c r="P106" s="22" t="str">
        <f>IFERROR(__xludf.DUMMYFUNCTION("""COMPUTED_VALUE"""),"Trung cấp")</f>
        <v>Trung cấp</v>
      </c>
      <c r="Q106" s="22" t="str">
        <f>IFERROR(__xludf.DUMMYFUNCTION("""COMPUTED_VALUE"""),"CĐ hóa chất")</f>
        <v>CĐ hóa chất</v>
      </c>
      <c r="R106" s="24">
        <f>IFERROR(__xludf.DUMMYFUNCTION("""COMPUTED_VALUE"""),43819.0)</f>
        <v>43819</v>
      </c>
      <c r="S106" s="24">
        <f>IFERROR(__xludf.DUMMYFUNCTION("""COMPUTED_VALUE"""),44105.0)</f>
        <v>44105</v>
      </c>
      <c r="T106" s="22" t="str">
        <f>IFERROR(__xludf.DUMMYFUNCTION("""COMPUTED_VALUE"""),"Chính thức")</f>
        <v>Chính thức</v>
      </c>
      <c r="U106" s="22"/>
      <c r="V106" s="22"/>
      <c r="W106" s="22" t="str">
        <f>IFERROR(__xludf.DUMMYFUNCTION("""COMPUTED_VALUE"""),"6 năm 0 tháng")</f>
        <v>6 năm 0 tháng</v>
      </c>
      <c r="X106" s="22"/>
      <c r="Y106" s="22"/>
      <c r="Z106" s="22"/>
    </row>
    <row r="107">
      <c r="A107" s="23" t="str">
        <f>IFERROR(__xludf.DUMMYFUNCTION("""COMPUTED_VALUE"""),"4")</f>
        <v>4</v>
      </c>
      <c r="B107" s="22" t="str">
        <f>IFERROR(__xludf.DUMMYFUNCTION("""COMPUTED_VALUE"""),"PXSX1")</f>
        <v>PXSX1</v>
      </c>
      <c r="C107" s="22" t="str">
        <f>IFERROR(__xludf.DUMMYFUNCTION("""COMPUTED_VALUE"""),"Bộ phận nhiên liệu và gia công bán thành phẩm ")</f>
        <v>Bộ phận nhiên liệu và gia công bán thành phẩm </v>
      </c>
      <c r="D107" s="22" t="str">
        <f>IFERROR(__xludf.DUMMYFUNCTION("""COMPUTED_VALUE"""),"Dây chuyền gia công Ca B")</f>
        <v>Dây chuyền gia công Ca B</v>
      </c>
      <c r="E107" s="22" t="str">
        <f>IFERROR(__xludf.DUMMYFUNCTION("""COMPUTED_VALUE"""),"Vận hành chính")</f>
        <v>Vận hành chính</v>
      </c>
      <c r="F107" s="22" t="str">
        <f>IFERROR(__xludf.DUMMYFUNCTION("""COMPUTED_VALUE"""),"NV0194")</f>
        <v>NV0194</v>
      </c>
      <c r="G107" s="22">
        <f>IFERROR(__xludf.DUMMYFUNCTION("""COMPUTED_VALUE"""),706.0)</f>
        <v>706</v>
      </c>
      <c r="H107" s="22" t="str">
        <f>IFERROR(__xludf.DUMMYFUNCTION("""COMPUTED_VALUE"""),"Lương Xuân Tùng")</f>
        <v>Lương Xuân Tùng</v>
      </c>
      <c r="I107" s="22" t="str">
        <f>IFERROR(__xludf.DUMMYFUNCTION("""COMPUTED_VALUE"""),"Nam")</f>
        <v>Nam</v>
      </c>
      <c r="J107" s="24">
        <f>IFERROR(__xludf.DUMMYFUNCTION("""COMPUTED_VALUE"""),29298.0)</f>
        <v>29298</v>
      </c>
      <c r="K107" s="22" t="str">
        <f>IFERROR(__xludf.DUMMYFUNCTION("""COMPUTED_VALUE"""),"Xã Hoằng Lộc - Tỉnh Thanh Hóa")</f>
        <v>Xã Hoằng Lộc - Tỉnh Thanh Hóa</v>
      </c>
      <c r="L107" s="22" t="str">
        <f>IFERROR(__xludf.DUMMYFUNCTION("""COMPUTED_VALUE"""),"0949914300")</f>
        <v>0949914300</v>
      </c>
      <c r="M107" s="22" t="str">
        <f>IFERROR(__xludf.DUMMYFUNCTION("""COMPUTED_VALUE"""),"038080002461")</f>
        <v>038080002461</v>
      </c>
      <c r="N107" s="24">
        <f>IFERROR(__xludf.DUMMYFUNCTION("""COMPUTED_VALUE"""),44055.0)</f>
        <v>44055</v>
      </c>
      <c r="O107" s="22" t="str">
        <f>IFERROR(__xludf.DUMMYFUNCTION("""COMPUTED_VALUE"""),"Cục Cảnh sát QLHC về TTXH")</f>
        <v>Cục Cảnh sát QLHC về TTXH</v>
      </c>
      <c r="P107" s="22" t="str">
        <f>IFERROR(__xludf.DUMMYFUNCTION("""COMPUTED_VALUE"""),"LĐPT")</f>
        <v>LĐPT</v>
      </c>
      <c r="Q107" s="22" t="str">
        <f>IFERROR(__xludf.DUMMYFUNCTION("""COMPUTED_VALUE"""),"Lao động phổ thông")</f>
        <v>Lao động phổ thông</v>
      </c>
      <c r="R107" s="24">
        <f>IFERROR(__xludf.DUMMYFUNCTION("""COMPUTED_VALUE"""),39322.0)</f>
        <v>39322</v>
      </c>
      <c r="S107" s="24">
        <f>IFERROR(__xludf.DUMMYFUNCTION("""COMPUTED_VALUE"""),39322.0)</f>
        <v>39322</v>
      </c>
      <c r="T107" s="22" t="str">
        <f>IFERROR(__xludf.DUMMYFUNCTION("""COMPUTED_VALUE"""),"Chính thức")</f>
        <v>Chính thức</v>
      </c>
      <c r="U107" s="22"/>
      <c r="V107" s="22"/>
      <c r="W107" s="22" t="str">
        <f>IFERROR(__xludf.DUMMYFUNCTION("""COMPUTED_VALUE"""),"18 năm 4 tháng")</f>
        <v>18 năm 4 tháng</v>
      </c>
      <c r="X107" s="22"/>
      <c r="Y107" s="22"/>
      <c r="Z107" s="22"/>
    </row>
    <row r="108">
      <c r="A108" s="23" t="str">
        <f>IFERROR(__xludf.DUMMYFUNCTION("""COMPUTED_VALUE"""),"5")</f>
        <v>5</v>
      </c>
      <c r="B108" s="22" t="str">
        <f>IFERROR(__xludf.DUMMYFUNCTION("""COMPUTED_VALUE"""),"PXSX1")</f>
        <v>PXSX1</v>
      </c>
      <c r="C108" s="22" t="str">
        <f>IFERROR(__xludf.DUMMYFUNCTION("""COMPUTED_VALUE"""),"Bộ phận nhiên liệu và gia công bán thành phẩm ")</f>
        <v>Bộ phận nhiên liệu và gia công bán thành phẩm </v>
      </c>
      <c r="D108" s="22" t="str">
        <f>IFERROR(__xludf.DUMMYFUNCTION("""COMPUTED_VALUE"""),"Dây chuyền gia công Ca B")</f>
        <v>Dây chuyền gia công Ca B</v>
      </c>
      <c r="E108" s="22" t="str">
        <f>IFERROR(__xludf.DUMMYFUNCTION("""COMPUTED_VALUE"""),"VH Sấy DC 1")</f>
        <v>VH Sấy DC 1</v>
      </c>
      <c r="F108" s="22" t="str">
        <f>IFERROR(__xludf.DUMMYFUNCTION("""COMPUTED_VALUE"""),"NV2576")</f>
        <v>NV2576</v>
      </c>
      <c r="G108" s="22">
        <f>IFERROR(__xludf.DUMMYFUNCTION("""COMPUTED_VALUE"""),117.0)</f>
        <v>117</v>
      </c>
      <c r="H108" s="22" t="str">
        <f>IFERROR(__xludf.DUMMYFUNCTION("""COMPUTED_VALUE"""),"Nguyễn Đăng Điệp")</f>
        <v>Nguyễn Đăng Điệp</v>
      </c>
      <c r="I108" s="22" t="str">
        <f>IFERROR(__xludf.DUMMYFUNCTION("""COMPUTED_VALUE"""),"Nam")</f>
        <v>Nam</v>
      </c>
      <c r="J108" s="24">
        <f>IFERROR(__xludf.DUMMYFUNCTION("""COMPUTED_VALUE"""),29435.0)</f>
        <v>29435</v>
      </c>
      <c r="K108" s="22" t="str">
        <f>IFERROR(__xludf.DUMMYFUNCTION("""COMPUTED_VALUE"""),"Xã Hoằng Hoá - Tỉnh Thanh Hoá")</f>
        <v>Xã Hoằng Hoá - Tỉnh Thanh Hoá</v>
      </c>
      <c r="L108" s="22" t="str">
        <f>IFERROR(__xludf.DUMMYFUNCTION("""COMPUTED_VALUE"""),"0977514005")</f>
        <v>0977514005</v>
      </c>
      <c r="M108" s="22" t="str">
        <f>IFERROR(__xludf.DUMMYFUNCTION("""COMPUTED_VALUE"""),"038080003622")</f>
        <v>038080003622</v>
      </c>
      <c r="N108" s="24">
        <f>IFERROR(__xludf.DUMMYFUNCTION("""COMPUTED_VALUE"""),42746.0)</f>
        <v>42746</v>
      </c>
      <c r="O108" s="22" t="str">
        <f>IFERROR(__xludf.DUMMYFUNCTION("""COMPUTED_VALUE"""),"Cục Cảnh sát QLHC về TTXH")</f>
        <v>Cục Cảnh sát QLHC về TTXH</v>
      </c>
      <c r="P108" s="22" t="str">
        <f>IFERROR(__xludf.DUMMYFUNCTION("""COMPUTED_VALUE"""),"LĐPT")</f>
        <v>LĐPT</v>
      </c>
      <c r="Q108" s="22" t="str">
        <f>IFERROR(__xludf.DUMMYFUNCTION("""COMPUTED_VALUE"""),"Lao động phổ thông")</f>
        <v>Lao động phổ thông</v>
      </c>
      <c r="R108" s="24">
        <f>IFERROR(__xludf.DUMMYFUNCTION("""COMPUTED_VALUE"""),43735.0)</f>
        <v>43735</v>
      </c>
      <c r="S108" s="24">
        <f>IFERROR(__xludf.DUMMYFUNCTION("""COMPUTED_VALUE"""),44044.0)</f>
        <v>44044</v>
      </c>
      <c r="T108" s="22" t="str">
        <f>IFERROR(__xludf.DUMMYFUNCTION("""COMPUTED_VALUE"""),"Chính thức")</f>
        <v>Chính thức</v>
      </c>
      <c r="U108" s="22"/>
      <c r="V108" s="22"/>
      <c r="W108" s="22" t="str">
        <f>IFERROR(__xludf.DUMMYFUNCTION("""COMPUTED_VALUE"""),"6 năm 3 tháng")</f>
        <v>6 năm 3 tháng</v>
      </c>
      <c r="X108" s="22"/>
      <c r="Y108" s="22"/>
      <c r="Z108" s="22"/>
    </row>
    <row r="109">
      <c r="A109" s="23" t="str">
        <f>IFERROR(__xludf.DUMMYFUNCTION("""COMPUTED_VALUE"""),"6")</f>
        <v>6</v>
      </c>
      <c r="B109" s="22" t="str">
        <f>IFERROR(__xludf.DUMMYFUNCTION("""COMPUTED_VALUE"""),"PXSX1")</f>
        <v>PXSX1</v>
      </c>
      <c r="C109" s="22" t="str">
        <f>IFERROR(__xludf.DUMMYFUNCTION("""COMPUTED_VALUE"""),"Bộ phận nhiên liệu và gia công bán thành phẩm ")</f>
        <v>Bộ phận nhiên liệu và gia công bán thành phẩm </v>
      </c>
      <c r="D109" s="22" t="str">
        <f>IFERROR(__xludf.DUMMYFUNCTION("""COMPUTED_VALUE"""),"Dây chuyền gia công Ca B")</f>
        <v>Dây chuyền gia công Ca B</v>
      </c>
      <c r="E109" s="22" t="str">
        <f>IFERROR(__xludf.DUMMYFUNCTION("""COMPUTED_VALUE"""),"VH chính Máy ép DC 2")</f>
        <v>VH chính Máy ép DC 2</v>
      </c>
      <c r="F109" s="22" t="str">
        <f>IFERROR(__xludf.DUMMYFUNCTION("""COMPUTED_VALUE"""),"NV0181")</f>
        <v>NV0181</v>
      </c>
      <c r="G109" s="22">
        <f>IFERROR(__xludf.DUMMYFUNCTION("""COMPUTED_VALUE"""),338.0)</f>
        <v>338</v>
      </c>
      <c r="H109" s="22" t="str">
        <f>IFERROR(__xludf.DUMMYFUNCTION("""COMPUTED_VALUE"""),"Đào Xuân Hùng")</f>
        <v>Đào Xuân Hùng</v>
      </c>
      <c r="I109" s="22" t="str">
        <f>IFERROR(__xludf.DUMMYFUNCTION("""COMPUTED_VALUE"""),"Nam")</f>
        <v>Nam</v>
      </c>
      <c r="J109" s="24">
        <f>IFERROR(__xludf.DUMMYFUNCTION("""COMPUTED_VALUE"""),30231.0)</f>
        <v>30231</v>
      </c>
      <c r="K109" s="22" t="str">
        <f>IFERROR(__xludf.DUMMYFUNCTION("""COMPUTED_VALUE"""),"Phường Quảng Phú - Tỉnh Thanh Hóa ")</f>
        <v>Phường Quảng Phú - Tỉnh Thanh Hóa </v>
      </c>
      <c r="L109" s="22" t="str">
        <f>IFERROR(__xludf.DUMMYFUNCTION("""COMPUTED_VALUE"""),"0989365282")</f>
        <v>0989365282</v>
      </c>
      <c r="M109" s="22" t="str">
        <f>IFERROR(__xludf.DUMMYFUNCTION("""COMPUTED_VALUE"""),"038082003923")</f>
        <v>038082003923</v>
      </c>
      <c r="N109" s="24">
        <f>IFERROR(__xludf.DUMMYFUNCTION("""COMPUTED_VALUE"""),44545.0)</f>
        <v>44545</v>
      </c>
      <c r="O109" s="22" t="str">
        <f>IFERROR(__xludf.DUMMYFUNCTION("""COMPUTED_VALUE"""),"Cục Cảnh sát QLHC về TTXH")</f>
        <v>Cục Cảnh sát QLHC về TTXH</v>
      </c>
      <c r="P109" s="22" t="str">
        <f>IFERROR(__xludf.DUMMYFUNCTION("""COMPUTED_VALUE"""),"Trung cấp")</f>
        <v>Trung cấp</v>
      </c>
      <c r="Q109" s="22" t="str">
        <f>IFERROR(__xludf.DUMMYFUNCTION("""COMPUTED_VALUE"""),"Điện tử")</f>
        <v>Điện tử</v>
      </c>
      <c r="R109" s="24">
        <f>IFERROR(__xludf.DUMMYFUNCTION("""COMPUTED_VALUE"""),38838.0)</f>
        <v>38838</v>
      </c>
      <c r="S109" s="24">
        <f>IFERROR(__xludf.DUMMYFUNCTION("""COMPUTED_VALUE"""),38838.0)</f>
        <v>38838</v>
      </c>
      <c r="T109" s="22" t="str">
        <f>IFERROR(__xludf.DUMMYFUNCTION("""COMPUTED_VALUE"""),"Chính thức")</f>
        <v>Chính thức</v>
      </c>
      <c r="U109" s="22"/>
      <c r="V109" s="22"/>
      <c r="W109" s="22" t="str">
        <f>IFERROR(__xludf.DUMMYFUNCTION("""COMPUTED_VALUE"""),"19 năm 7 tháng")</f>
        <v>19 năm 7 tháng</v>
      </c>
      <c r="X109" s="22"/>
      <c r="Y109" s="22"/>
      <c r="Z109" s="22"/>
    </row>
    <row r="110">
      <c r="A110" s="23" t="str">
        <f>IFERROR(__xludf.DUMMYFUNCTION("""COMPUTED_VALUE"""),"7")</f>
        <v>7</v>
      </c>
      <c r="B110" s="22" t="str">
        <f>IFERROR(__xludf.DUMMYFUNCTION("""COMPUTED_VALUE"""),"PXSX1")</f>
        <v>PXSX1</v>
      </c>
      <c r="C110" s="22" t="str">
        <f>IFERROR(__xludf.DUMMYFUNCTION("""COMPUTED_VALUE"""),"Bộ phận nhiên liệu và gia công bán thành phẩm ")</f>
        <v>Bộ phận nhiên liệu và gia công bán thành phẩm </v>
      </c>
      <c r="D110" s="22" t="str">
        <f>IFERROR(__xludf.DUMMYFUNCTION("""COMPUTED_VALUE"""),"Dây chuyền gia công Ca B")</f>
        <v>Dây chuyền gia công Ca B</v>
      </c>
      <c r="E110" s="22" t="str">
        <f>IFERROR(__xludf.DUMMYFUNCTION("""COMPUTED_VALUE"""),"VH Sấy DC 2")</f>
        <v>VH Sấy DC 2</v>
      </c>
      <c r="F110" s="22" t="str">
        <f>IFERROR(__xludf.DUMMYFUNCTION("""COMPUTED_VALUE"""),"NV2359")</f>
        <v>NV2359</v>
      </c>
      <c r="G110" s="22">
        <f>IFERROR(__xludf.DUMMYFUNCTION("""COMPUTED_VALUE"""),326.0)</f>
        <v>326</v>
      </c>
      <c r="H110" s="22" t="str">
        <f>IFERROR(__xludf.DUMMYFUNCTION("""COMPUTED_VALUE"""),"Lê Duy Hợp")</f>
        <v>Lê Duy Hợp</v>
      </c>
      <c r="I110" s="22" t="str">
        <f>IFERROR(__xludf.DUMMYFUNCTION("""COMPUTED_VALUE"""),"Nam")</f>
        <v>Nam</v>
      </c>
      <c r="J110" s="24">
        <f>IFERROR(__xludf.DUMMYFUNCTION("""COMPUTED_VALUE"""),31274.0)</f>
        <v>31274</v>
      </c>
      <c r="K110" s="22" t="str">
        <f>IFERROR(__xludf.DUMMYFUNCTION("""COMPUTED_VALUE"""),"Thôn 1 - Xã Quảng Ninh - Tỉnh Thanh Hóa")</f>
        <v>Thôn 1 - Xã Quảng Ninh - Tỉnh Thanh Hóa</v>
      </c>
      <c r="L110" s="22" t="str">
        <f>IFERROR(__xludf.DUMMYFUNCTION("""COMPUTED_VALUE"""),"0363571077")</f>
        <v>0363571077</v>
      </c>
      <c r="M110" s="22" t="str">
        <f>IFERROR(__xludf.DUMMYFUNCTION("""COMPUTED_VALUE"""),"038085031622")</f>
        <v>038085031622</v>
      </c>
      <c r="N110" s="24">
        <f>IFERROR(__xludf.DUMMYFUNCTION("""COMPUTED_VALUE"""),44420.0)</f>
        <v>44420</v>
      </c>
      <c r="O110" s="22" t="str">
        <f>IFERROR(__xludf.DUMMYFUNCTION("""COMPUTED_VALUE"""),"Cục Cảnh sát QLHC về TTXH")</f>
        <v>Cục Cảnh sát QLHC về TTXH</v>
      </c>
      <c r="P110" s="22" t="str">
        <f>IFERROR(__xludf.DUMMYFUNCTION("""COMPUTED_VALUE"""),"LĐPT")</f>
        <v>LĐPT</v>
      </c>
      <c r="Q110" s="22" t="str">
        <f>IFERROR(__xludf.DUMMYFUNCTION("""COMPUTED_VALUE"""),"Lao động phổ thông")</f>
        <v>Lao động phổ thông</v>
      </c>
      <c r="R110" s="24">
        <f>IFERROR(__xludf.DUMMYFUNCTION("""COMPUTED_VALUE"""),43591.0)</f>
        <v>43591</v>
      </c>
      <c r="S110" s="24">
        <f>IFERROR(__xludf.DUMMYFUNCTION("""COMPUTED_VALUE"""),43983.0)</f>
        <v>43983</v>
      </c>
      <c r="T110" s="22" t="str">
        <f>IFERROR(__xludf.DUMMYFUNCTION("""COMPUTED_VALUE"""),"Chính thức")</f>
        <v>Chính thức</v>
      </c>
      <c r="U110" s="22"/>
      <c r="V110" s="22"/>
      <c r="W110" s="22" t="str">
        <f>IFERROR(__xludf.DUMMYFUNCTION("""COMPUTED_VALUE"""),"6 năm 7 tháng")</f>
        <v>6 năm 7 tháng</v>
      </c>
      <c r="X110" s="22"/>
      <c r="Y110" s="22"/>
      <c r="Z110" s="22"/>
    </row>
    <row r="111">
      <c r="A111" s="23" t="str">
        <f>IFERROR(__xludf.DUMMYFUNCTION("""COMPUTED_VALUE"""),"8")</f>
        <v>8</v>
      </c>
      <c r="B111" s="22" t="str">
        <f>IFERROR(__xludf.DUMMYFUNCTION("""COMPUTED_VALUE"""),"PXSX1")</f>
        <v>PXSX1</v>
      </c>
      <c r="C111" s="22" t="str">
        <f>IFERROR(__xludf.DUMMYFUNCTION("""COMPUTED_VALUE"""),"Bộ phận nhiên liệu và gia công bán thành phẩm ")</f>
        <v>Bộ phận nhiên liệu và gia công bán thành phẩm </v>
      </c>
      <c r="D111" s="22" t="str">
        <f>IFERROR(__xludf.DUMMYFUNCTION("""COMPUTED_VALUE"""),"Dây chuyền gia công Ca B")</f>
        <v>Dây chuyền gia công Ca B</v>
      </c>
      <c r="E111" s="22" t="str">
        <f>IFERROR(__xludf.DUMMYFUNCTION("""COMPUTED_VALUE"""),"Tổ trưởng - Phụ trách Dây chuyền gia công")</f>
        <v>Tổ trưởng - Phụ trách Dây chuyền gia công</v>
      </c>
      <c r="F111" s="22" t="str">
        <f>IFERROR(__xludf.DUMMYFUNCTION("""COMPUTED_VALUE"""),"NV0184")</f>
        <v>NV0184</v>
      </c>
      <c r="G111" s="22">
        <f>IFERROR(__xludf.DUMMYFUNCTION("""COMPUTED_VALUE"""),157.0)</f>
        <v>157</v>
      </c>
      <c r="H111" s="22" t="str">
        <f>IFERROR(__xludf.DUMMYFUNCTION("""COMPUTED_VALUE"""),"Hoàng Văn Đại")</f>
        <v>Hoàng Văn Đại</v>
      </c>
      <c r="I111" s="22" t="str">
        <f>IFERROR(__xludf.DUMMYFUNCTION("""COMPUTED_VALUE"""),"Nam")</f>
        <v>Nam</v>
      </c>
      <c r="J111" s="24">
        <f>IFERROR(__xludf.DUMMYFUNCTION("""COMPUTED_VALUE"""),32103.0)</f>
        <v>32103</v>
      </c>
      <c r="K111" s="22" t="str">
        <f>IFERROR(__xludf.DUMMYFUNCTION("""COMPUTED_VALUE"""),"Thôn2 - Phường Quảng Phú - Tỉnh Thanh Hóa")</f>
        <v>Thôn2 - Phường Quảng Phú - Tỉnh Thanh Hóa</v>
      </c>
      <c r="L111" s="22" t="str">
        <f>IFERROR(__xludf.DUMMYFUNCTION("""COMPUTED_VALUE"""),"0985672552")</f>
        <v>0985672552</v>
      </c>
      <c r="M111" s="22" t="str">
        <f>IFERROR(__xludf.DUMMYFUNCTION("""COMPUTED_VALUE"""),"038087008417")</f>
        <v>038087008417</v>
      </c>
      <c r="N111" s="24">
        <f>IFERROR(__xludf.DUMMYFUNCTION("""COMPUTED_VALUE"""),43048.0)</f>
        <v>43048</v>
      </c>
      <c r="O111" s="22" t="str">
        <f>IFERROR(__xludf.DUMMYFUNCTION("""COMPUTED_VALUE"""),"Cục Cảnh sát QLHC về TTXH")</f>
        <v>Cục Cảnh sát QLHC về TTXH</v>
      </c>
      <c r="P111" s="22" t="str">
        <f>IFERROR(__xludf.DUMMYFUNCTION("""COMPUTED_VALUE"""),"Trung cấp")</f>
        <v>Trung cấp</v>
      </c>
      <c r="Q111" s="22" t="str">
        <f>IFERROR(__xludf.DUMMYFUNCTION("""COMPUTED_VALUE"""),"Điện")</f>
        <v>Điện</v>
      </c>
      <c r="R111" s="24">
        <f>IFERROR(__xludf.DUMMYFUNCTION("""COMPUTED_VALUE"""),39908.0)</f>
        <v>39908</v>
      </c>
      <c r="S111" s="24">
        <f>IFERROR(__xludf.DUMMYFUNCTION("""COMPUTED_VALUE"""),44531.0)</f>
        <v>44531</v>
      </c>
      <c r="T111" s="22" t="str">
        <f>IFERROR(__xludf.DUMMYFUNCTION("""COMPUTED_VALUE"""),"Chính thức")</f>
        <v>Chính thức</v>
      </c>
      <c r="U111" s="22"/>
      <c r="V111" s="22"/>
      <c r="W111" s="22" t="str">
        <f>IFERROR(__xludf.DUMMYFUNCTION("""COMPUTED_VALUE"""),"16 năm 8 tháng")</f>
        <v>16 năm 8 tháng</v>
      </c>
      <c r="X111" s="22"/>
      <c r="Y111" s="22"/>
      <c r="Z111" s="22"/>
    </row>
    <row r="112">
      <c r="A112" s="23" t="str">
        <f>IFERROR(__xludf.DUMMYFUNCTION("""COMPUTED_VALUE"""),"9")</f>
        <v>9</v>
      </c>
      <c r="B112" s="22" t="str">
        <f>IFERROR(__xludf.DUMMYFUNCTION("""COMPUTED_VALUE"""),"PXSX1")</f>
        <v>PXSX1</v>
      </c>
      <c r="C112" s="22" t="str">
        <f>IFERROR(__xludf.DUMMYFUNCTION("""COMPUTED_VALUE"""),"Bộ phận nhiên liệu và gia công bán thành phẩm ")</f>
        <v>Bộ phận nhiên liệu và gia công bán thành phẩm </v>
      </c>
      <c r="D112" s="22" t="str">
        <f>IFERROR(__xludf.DUMMYFUNCTION("""COMPUTED_VALUE"""),"Dây chuyền gia công Ca B")</f>
        <v>Dây chuyền gia công Ca B</v>
      </c>
      <c r="E112" s="22" t="str">
        <f>IFERROR(__xludf.DUMMYFUNCTION("""COMPUTED_VALUE"""),"VH Chính tráng Engobe DC1 + DC2")</f>
        <v>VH Chính tráng Engobe DC1 + DC2</v>
      </c>
      <c r="F112" s="22" t="str">
        <f>IFERROR(__xludf.DUMMYFUNCTION("""COMPUTED_VALUE"""),"NV5076")</f>
        <v>NV5076</v>
      </c>
      <c r="G112" s="22">
        <f>IFERROR(__xludf.DUMMYFUNCTION("""COMPUTED_VALUE"""),325.0)</f>
        <v>325</v>
      </c>
      <c r="H112" s="22" t="str">
        <f>IFERROR(__xludf.DUMMYFUNCTION("""COMPUTED_VALUE"""),"Nguyễn Văn Khanh")</f>
        <v>Nguyễn Văn Khanh</v>
      </c>
      <c r="I112" s="22" t="str">
        <f>IFERROR(__xludf.DUMMYFUNCTION("""COMPUTED_VALUE"""),"Nam")</f>
        <v>Nam</v>
      </c>
      <c r="J112" s="24">
        <f>IFERROR(__xludf.DUMMYFUNCTION("""COMPUTED_VALUE"""),33161.0)</f>
        <v>33161</v>
      </c>
      <c r="K112" s="22" t="str">
        <f>IFERROR(__xludf.DUMMYFUNCTION("""COMPUTED_VALUE"""),"Xã Quảng Chính - Tỉnh Thanh Hóa")</f>
        <v>Xã Quảng Chính - Tỉnh Thanh Hóa</v>
      </c>
      <c r="L112" s="22" t="str">
        <f>IFERROR(__xludf.DUMMYFUNCTION("""COMPUTED_VALUE"""),"0362127853")</f>
        <v>0362127853</v>
      </c>
      <c r="M112" s="22" t="str">
        <f>IFERROR(__xludf.DUMMYFUNCTION("""COMPUTED_VALUE"""),"038090013722")</f>
        <v>038090013722</v>
      </c>
      <c r="N112" s="24">
        <f>IFERROR(__xludf.DUMMYFUNCTION("""COMPUTED_VALUE"""),44304.0)</f>
        <v>44304</v>
      </c>
      <c r="O112" s="22" t="str">
        <f>IFERROR(__xludf.DUMMYFUNCTION("""COMPUTED_VALUE"""),"Cục Cảnh sát QLHC về TTXH")</f>
        <v>Cục Cảnh sát QLHC về TTXH</v>
      </c>
      <c r="P112" s="22" t="str">
        <f>IFERROR(__xludf.DUMMYFUNCTION("""COMPUTED_VALUE"""),"LĐPT")</f>
        <v>LĐPT</v>
      </c>
      <c r="Q112" s="22" t="str">
        <f>IFERROR(__xludf.DUMMYFUNCTION("""COMPUTED_VALUE"""),"Lao động phổ thông")</f>
        <v>Lao động phổ thông</v>
      </c>
      <c r="R112" s="24">
        <f>IFERROR(__xludf.DUMMYFUNCTION("""COMPUTED_VALUE"""),45372.0)</f>
        <v>45372</v>
      </c>
      <c r="S112" s="24">
        <f>IFERROR(__xludf.DUMMYFUNCTION("""COMPUTED_VALUE"""),45444.0)</f>
        <v>45444</v>
      </c>
      <c r="T112" s="22" t="str">
        <f>IFERROR(__xludf.DUMMYFUNCTION("""COMPUTED_VALUE"""),"Chính thức")</f>
        <v>Chính thức</v>
      </c>
      <c r="U112" s="22"/>
      <c r="V112" s="22"/>
      <c r="W112" s="22" t="str">
        <f>IFERROR(__xludf.DUMMYFUNCTION("""COMPUTED_VALUE"""),"1 năm 9 tháng")</f>
        <v>1 năm 9 tháng</v>
      </c>
      <c r="X112" s="22"/>
      <c r="Y112" s="22"/>
      <c r="Z112" s="22"/>
    </row>
    <row r="113">
      <c r="A113" s="23" t="str">
        <f>IFERROR(__xludf.DUMMYFUNCTION("""COMPUTED_VALUE"""),"10")</f>
        <v>10</v>
      </c>
      <c r="B113" s="22" t="str">
        <f>IFERROR(__xludf.DUMMYFUNCTION("""COMPUTED_VALUE"""),"PXSX1")</f>
        <v>PXSX1</v>
      </c>
      <c r="C113" s="22" t="str">
        <f>IFERROR(__xludf.DUMMYFUNCTION("""COMPUTED_VALUE"""),"Bộ phận nhiên liệu và gia công bán thành phẩm ")</f>
        <v>Bộ phận nhiên liệu và gia công bán thành phẩm </v>
      </c>
      <c r="D113" s="22" t="str">
        <f>IFERROR(__xludf.DUMMYFUNCTION("""COMPUTED_VALUE"""),"Dây chuyền gia công Ca B")</f>
        <v>Dây chuyền gia công Ca B</v>
      </c>
      <c r="E113" s="22" t="str">
        <f>IFERROR(__xludf.DUMMYFUNCTION("""COMPUTED_VALUE"""),"VH bù DC2")</f>
        <v>VH bù DC2</v>
      </c>
      <c r="F113" s="22" t="str">
        <f>IFERROR(__xludf.DUMMYFUNCTION("""COMPUTED_VALUE"""),"NV1200")</f>
        <v>NV1200</v>
      </c>
      <c r="G113" s="22">
        <f>IFERROR(__xludf.DUMMYFUNCTION("""COMPUTED_VALUE"""),786.0)</f>
        <v>786</v>
      </c>
      <c r="H113" s="22" t="str">
        <f>IFERROR(__xludf.DUMMYFUNCTION("""COMPUTED_VALUE"""),"Trịnh Tuấn Linh")</f>
        <v>Trịnh Tuấn Linh</v>
      </c>
      <c r="I113" s="22" t="str">
        <f>IFERROR(__xludf.DUMMYFUNCTION("""COMPUTED_VALUE"""),"Nam")</f>
        <v>Nam</v>
      </c>
      <c r="J113" s="24">
        <f>IFERROR(__xludf.DUMMYFUNCTION("""COMPUTED_VALUE"""),33677.0)</f>
        <v>33677</v>
      </c>
      <c r="K113" s="22" t="str">
        <f>IFERROR(__xludf.DUMMYFUNCTION("""COMPUTED_VALUE"""),"Phường Sầm Sơn - Tỉnh Thanh Hóa")</f>
        <v>Phường Sầm Sơn - Tỉnh Thanh Hóa</v>
      </c>
      <c r="L113" s="22" t="str">
        <f>IFERROR(__xludf.DUMMYFUNCTION("""COMPUTED_VALUE"""),"0347705567")</f>
        <v>0347705567</v>
      </c>
      <c r="M113" s="22" t="str">
        <f>IFERROR(__xludf.DUMMYFUNCTION("""COMPUTED_VALUE"""),"038092001347")</f>
        <v>038092001347</v>
      </c>
      <c r="N113" s="24">
        <f>IFERROR(__xludf.DUMMYFUNCTION("""COMPUTED_VALUE"""),44424.0)</f>
        <v>44424</v>
      </c>
      <c r="O113" s="22" t="str">
        <f>IFERROR(__xludf.DUMMYFUNCTION("""COMPUTED_VALUE"""),"Cục Cảnh sát QLHC về TTXH")</f>
        <v>Cục Cảnh sát QLHC về TTXH</v>
      </c>
      <c r="P113" s="22" t="str">
        <f>IFERROR(__xludf.DUMMYFUNCTION("""COMPUTED_VALUE"""),"LĐPT")</f>
        <v>LĐPT</v>
      </c>
      <c r="Q113" s="22" t="str">
        <f>IFERROR(__xludf.DUMMYFUNCTION("""COMPUTED_VALUE"""),"Lao động phổ thông")</f>
        <v>Lao động phổ thông</v>
      </c>
      <c r="R113" s="24">
        <f>IFERROR(__xludf.DUMMYFUNCTION("""COMPUTED_VALUE"""),45518.0)</f>
        <v>45518</v>
      </c>
      <c r="S113" s="24">
        <f>IFERROR(__xludf.DUMMYFUNCTION("""COMPUTED_VALUE"""),45597.0)</f>
        <v>45597</v>
      </c>
      <c r="T113" s="22" t="str">
        <f>IFERROR(__xludf.DUMMYFUNCTION("""COMPUTED_VALUE"""),"Chính thức")</f>
        <v>Chính thức</v>
      </c>
      <c r="U113" s="22"/>
      <c r="V113" s="22"/>
      <c r="W113" s="22" t="str">
        <f>IFERROR(__xludf.DUMMYFUNCTION("""COMPUTED_VALUE"""),"1 năm 4 tháng")</f>
        <v>1 năm 4 tháng</v>
      </c>
      <c r="X113" s="22"/>
      <c r="Y113" s="22"/>
      <c r="Z113" s="22"/>
    </row>
    <row r="114">
      <c r="A114" s="23" t="str">
        <f>IFERROR(__xludf.DUMMYFUNCTION("""COMPUTED_VALUE"""),"11")</f>
        <v>11</v>
      </c>
      <c r="B114" s="22" t="str">
        <f>IFERROR(__xludf.DUMMYFUNCTION("""COMPUTED_VALUE"""),"PXSX1")</f>
        <v>PXSX1</v>
      </c>
      <c r="C114" s="22" t="str">
        <f>IFERROR(__xludf.DUMMYFUNCTION("""COMPUTED_VALUE"""),"Bộ phận nhiên liệu và gia công bán thành phẩm ")</f>
        <v>Bộ phận nhiên liệu và gia công bán thành phẩm </v>
      </c>
      <c r="D114" s="22" t="str">
        <f>IFERROR(__xludf.DUMMYFUNCTION("""COMPUTED_VALUE"""),"Dây chuyền gia công Ca B")</f>
        <v>Dây chuyền gia công Ca B</v>
      </c>
      <c r="E114" s="22" t="str">
        <f>IFERROR(__xludf.DUMMYFUNCTION("""COMPUTED_VALUE"""),"VH phụ Máy ép")</f>
        <v>VH phụ Máy ép</v>
      </c>
      <c r="F114" s="22" t="str">
        <f>IFERROR(__xludf.DUMMYFUNCTION("""COMPUTED_VALUE"""),"NV4433")</f>
        <v>NV4433</v>
      </c>
      <c r="G114" s="22">
        <f>IFERROR(__xludf.DUMMYFUNCTION("""COMPUTED_VALUE"""),113.0)</f>
        <v>113</v>
      </c>
      <c r="H114" s="22" t="str">
        <f>IFERROR(__xludf.DUMMYFUNCTION("""COMPUTED_VALUE"""),"Nguyễn Văn Đạt")</f>
        <v>Nguyễn Văn Đạt</v>
      </c>
      <c r="I114" s="22" t="str">
        <f>IFERROR(__xludf.DUMMYFUNCTION("""COMPUTED_VALUE"""),"Nam")</f>
        <v>Nam</v>
      </c>
      <c r="J114" s="24">
        <f>IFERROR(__xludf.DUMMYFUNCTION("""COMPUTED_VALUE"""),34039.0)</f>
        <v>34039</v>
      </c>
      <c r="K114" s="22" t="str">
        <f>IFERROR(__xludf.DUMMYFUNCTION("""COMPUTED_VALUE"""),"Xã Lưu Vệ - Tỉnh Thanh Hóa ")</f>
        <v>Xã Lưu Vệ - Tỉnh Thanh Hóa </v>
      </c>
      <c r="L114" s="22" t="str">
        <f>IFERROR(__xludf.DUMMYFUNCTION("""COMPUTED_VALUE"""),"0947598481")</f>
        <v>0947598481</v>
      </c>
      <c r="M114" s="22" t="str">
        <f>IFERROR(__xludf.DUMMYFUNCTION("""COMPUTED_VALUE"""),"038093033036")</f>
        <v>038093033036</v>
      </c>
      <c r="N114" s="24">
        <f>IFERROR(__xludf.DUMMYFUNCTION("""COMPUTED_VALUE"""),44511.0)</f>
        <v>44511</v>
      </c>
      <c r="O114" s="22" t="str">
        <f>IFERROR(__xludf.DUMMYFUNCTION("""COMPUTED_VALUE"""),"Cục Cảnh sát QLHC về TTXH")</f>
        <v>Cục Cảnh sát QLHC về TTXH</v>
      </c>
      <c r="P114" s="22" t="str">
        <f>IFERROR(__xludf.DUMMYFUNCTION("""COMPUTED_VALUE"""),"LĐPT")</f>
        <v>LĐPT</v>
      </c>
      <c r="Q114" s="22" t="str">
        <f>IFERROR(__xludf.DUMMYFUNCTION("""COMPUTED_VALUE"""),"Lao động phổ thông")</f>
        <v>Lao động phổ thông</v>
      </c>
      <c r="R114" s="24">
        <f>IFERROR(__xludf.DUMMYFUNCTION("""COMPUTED_VALUE"""),44784.0)</f>
        <v>44784</v>
      </c>
      <c r="S114" s="24">
        <f>IFERROR(__xludf.DUMMYFUNCTION("""COMPUTED_VALUE"""),44986.0)</f>
        <v>44986</v>
      </c>
      <c r="T114" s="22" t="str">
        <f>IFERROR(__xludf.DUMMYFUNCTION("""COMPUTED_VALUE"""),"Chính thức")</f>
        <v>Chính thức</v>
      </c>
      <c r="U114" s="22"/>
      <c r="V114" s="22"/>
      <c r="W114" s="22" t="str">
        <f>IFERROR(__xludf.DUMMYFUNCTION("""COMPUTED_VALUE"""),"3 năm 4 tháng")</f>
        <v>3 năm 4 tháng</v>
      </c>
      <c r="X114" s="22"/>
      <c r="Y114" s="22"/>
      <c r="Z114" s="22"/>
    </row>
    <row r="115">
      <c r="A115" s="23" t="str">
        <f>IFERROR(__xludf.DUMMYFUNCTION("""COMPUTED_VALUE"""),"12")</f>
        <v>12</v>
      </c>
      <c r="B115" s="22" t="str">
        <f>IFERROR(__xludf.DUMMYFUNCTION("""COMPUTED_VALUE"""),"PXSX1")</f>
        <v>PXSX1</v>
      </c>
      <c r="C115" s="22" t="str">
        <f>IFERROR(__xludf.DUMMYFUNCTION("""COMPUTED_VALUE"""),"Bộ phận nhiên liệu và gia công bán thành phẩm ")</f>
        <v>Bộ phận nhiên liệu và gia công bán thành phẩm </v>
      </c>
      <c r="D115" s="22" t="str">
        <f>IFERROR(__xludf.DUMMYFUNCTION("""COMPUTED_VALUE"""),"Dây chuyền gia công Ca B")</f>
        <v>Dây chuyền gia công Ca B</v>
      </c>
      <c r="E115" s="22" t="str">
        <f>IFERROR(__xludf.DUMMYFUNCTION("""COMPUTED_VALUE"""),"VH Chính tráng men DC1")</f>
        <v>VH Chính tráng men DC1</v>
      </c>
      <c r="F115" s="22" t="str">
        <f>IFERROR(__xludf.DUMMYFUNCTION("""COMPUTED_VALUE"""),"NV0178")</f>
        <v>NV0178</v>
      </c>
      <c r="G115" s="22">
        <f>IFERROR(__xludf.DUMMYFUNCTION("""COMPUTED_VALUE"""),344.0)</f>
        <v>344</v>
      </c>
      <c r="H115" s="22" t="str">
        <f>IFERROR(__xludf.DUMMYFUNCTION("""COMPUTED_VALUE"""),"Đoàn Văn Sơn")</f>
        <v>Đoàn Văn Sơn</v>
      </c>
      <c r="I115" s="22" t="str">
        <f>IFERROR(__xludf.DUMMYFUNCTION("""COMPUTED_VALUE"""),"Nam")</f>
        <v>Nam</v>
      </c>
      <c r="J115" s="24">
        <f>IFERROR(__xludf.DUMMYFUNCTION("""COMPUTED_VALUE"""),34247.0)</f>
        <v>34247</v>
      </c>
      <c r="K115" s="22" t="str">
        <f>IFERROR(__xludf.DUMMYFUNCTION("""COMPUTED_VALUE"""),"Yên Vực - Phường Nguyệt Viên - Tỉnh Thanh Hóa")</f>
        <v>Yên Vực - Phường Nguyệt Viên - Tỉnh Thanh Hóa</v>
      </c>
      <c r="L115" s="22" t="str">
        <f>IFERROR(__xludf.DUMMYFUNCTION("""COMPUTED_VALUE"""),"0985672552")</f>
        <v>0985672552</v>
      </c>
      <c r="M115" s="22" t="str">
        <f>IFERROR(__xludf.DUMMYFUNCTION("""COMPUTED_VALUE"""),"038093003002")</f>
        <v>038093003002</v>
      </c>
      <c r="N115" s="24">
        <f>IFERROR(__xludf.DUMMYFUNCTION("""COMPUTED_VALUE"""),44516.0)</f>
        <v>44516</v>
      </c>
      <c r="O115" s="22" t="str">
        <f>IFERROR(__xludf.DUMMYFUNCTION("""COMPUTED_VALUE"""),"Cục Cảnh sát QLHC về TTXH")</f>
        <v>Cục Cảnh sát QLHC về TTXH</v>
      </c>
      <c r="P115" s="22" t="str">
        <f>IFERROR(__xludf.DUMMYFUNCTION("""COMPUTED_VALUE"""),"LĐPT")</f>
        <v>LĐPT</v>
      </c>
      <c r="Q115" s="22" t="str">
        <f>IFERROR(__xludf.DUMMYFUNCTION("""COMPUTED_VALUE"""),"Lao động phổ thông")</f>
        <v>Lao động phổ thông</v>
      </c>
      <c r="R115" s="24">
        <f>IFERROR(__xludf.DUMMYFUNCTION("""COMPUTED_VALUE"""),42523.0)</f>
        <v>42523</v>
      </c>
      <c r="S115" s="24">
        <f>IFERROR(__xludf.DUMMYFUNCTION("""COMPUTED_VALUE"""),42948.0)</f>
        <v>42948</v>
      </c>
      <c r="T115" s="22" t="str">
        <f>IFERROR(__xludf.DUMMYFUNCTION("""COMPUTED_VALUE"""),"Chính thức")</f>
        <v>Chính thức</v>
      </c>
      <c r="U115" s="22"/>
      <c r="V115" s="22"/>
      <c r="W115" s="22" t="str">
        <f>IFERROR(__xludf.DUMMYFUNCTION("""COMPUTED_VALUE"""),"9 năm 6 tháng")</f>
        <v>9 năm 6 tháng</v>
      </c>
      <c r="X115" s="22"/>
      <c r="Y115" s="22"/>
      <c r="Z115" s="22"/>
    </row>
    <row r="116">
      <c r="A116" s="23" t="str">
        <f>IFERROR(__xludf.DUMMYFUNCTION("""COMPUTED_VALUE"""),"13")</f>
        <v>13</v>
      </c>
      <c r="B116" s="22" t="str">
        <f>IFERROR(__xludf.DUMMYFUNCTION("""COMPUTED_VALUE"""),"PXSX1")</f>
        <v>PXSX1</v>
      </c>
      <c r="C116" s="22" t="str">
        <f>IFERROR(__xludf.DUMMYFUNCTION("""COMPUTED_VALUE"""),"Bộ phận nhiên liệu và gia công bán thành phẩm ")</f>
        <v>Bộ phận nhiên liệu và gia công bán thành phẩm </v>
      </c>
      <c r="D116" s="22" t="str">
        <f>IFERROR(__xludf.DUMMYFUNCTION("""COMPUTED_VALUE"""),"Dây chuyền gia công Ca B")</f>
        <v>Dây chuyền gia công Ca B</v>
      </c>
      <c r="E116" s="22" t="str">
        <f>IFERROR(__xludf.DUMMYFUNCTION("""COMPUTED_VALUE"""),"VH Chính tráng men DC2")</f>
        <v>VH Chính tráng men DC2</v>
      </c>
      <c r="F116" s="22" t="str">
        <f>IFERROR(__xludf.DUMMYFUNCTION("""COMPUTED_VALUE"""),"NV3113")</f>
        <v>NV3113</v>
      </c>
      <c r="G116" s="22">
        <f>IFERROR(__xludf.DUMMYFUNCTION("""COMPUTED_VALUE"""),345.0)</f>
        <v>345</v>
      </c>
      <c r="H116" s="22" t="str">
        <f>IFERROR(__xludf.DUMMYFUNCTION("""COMPUTED_VALUE"""),"Lã Văn Yêu")</f>
        <v>Lã Văn Yêu</v>
      </c>
      <c r="I116" s="22" t="str">
        <f>IFERROR(__xludf.DUMMYFUNCTION("""COMPUTED_VALUE"""),"Nam")</f>
        <v>Nam</v>
      </c>
      <c r="J116" s="24">
        <f>IFERROR(__xludf.DUMMYFUNCTION("""COMPUTED_VALUE"""),34395.0)</f>
        <v>34395</v>
      </c>
      <c r="K116" s="22" t="str">
        <f>IFERROR(__xludf.DUMMYFUNCTION("""COMPUTED_VALUE"""),"Xã Lục Ngạn - Tỉnh Bắc Ninh")</f>
        <v>Xã Lục Ngạn - Tỉnh Bắc Ninh</v>
      </c>
      <c r="L116" s="22" t="str">
        <f>IFERROR(__xludf.DUMMYFUNCTION("""COMPUTED_VALUE"""),"0349493882")</f>
        <v>0349493882</v>
      </c>
      <c r="M116" s="22" t="str">
        <f>IFERROR(__xludf.DUMMYFUNCTION("""COMPUTED_VALUE"""),"024094014591")</f>
        <v>024094014591</v>
      </c>
      <c r="N116" s="24">
        <f>IFERROR(__xludf.DUMMYFUNCTION("""COMPUTED_VALUE"""),44762.0)</f>
        <v>44762</v>
      </c>
      <c r="O116" s="22" t="str">
        <f>IFERROR(__xludf.DUMMYFUNCTION("""COMPUTED_VALUE"""),"Cục Cảnh sát QLHC về TTXH")</f>
        <v>Cục Cảnh sát QLHC về TTXH</v>
      </c>
      <c r="P116" s="22" t="str">
        <f>IFERROR(__xludf.DUMMYFUNCTION("""COMPUTED_VALUE"""),"LĐPT")</f>
        <v>LĐPT</v>
      </c>
      <c r="Q116" s="22" t="str">
        <f>IFERROR(__xludf.DUMMYFUNCTION("""COMPUTED_VALUE"""),"Lao động phổ thông")</f>
        <v>Lao động phổ thông</v>
      </c>
      <c r="R116" s="24">
        <f>IFERROR(__xludf.DUMMYFUNCTION("""COMPUTED_VALUE"""),44973.0)</f>
        <v>44973</v>
      </c>
      <c r="S116" s="24">
        <f>IFERROR(__xludf.DUMMYFUNCTION("""COMPUTED_VALUE"""),45292.0)</f>
        <v>45292</v>
      </c>
      <c r="T116" s="22" t="str">
        <f>IFERROR(__xludf.DUMMYFUNCTION("""COMPUTED_VALUE"""),"Chính thức")</f>
        <v>Chính thức</v>
      </c>
      <c r="U116" s="22"/>
      <c r="V116" s="22"/>
      <c r="W116" s="22" t="str">
        <f>IFERROR(__xludf.DUMMYFUNCTION("""COMPUTED_VALUE"""),"2 năm 10 tháng")</f>
        <v>2 năm 10 tháng</v>
      </c>
      <c r="X116" s="22"/>
      <c r="Y116" s="22"/>
      <c r="Z116" s="22"/>
    </row>
    <row r="117">
      <c r="A117" s="23" t="str">
        <f>IFERROR(__xludf.DUMMYFUNCTION("""COMPUTED_VALUE"""),"14")</f>
        <v>14</v>
      </c>
      <c r="B117" s="22" t="str">
        <f>IFERROR(__xludf.DUMMYFUNCTION("""COMPUTED_VALUE"""),"PXSX1")</f>
        <v>PXSX1</v>
      </c>
      <c r="C117" s="22" t="str">
        <f>IFERROR(__xludf.DUMMYFUNCTION("""COMPUTED_VALUE"""),"Bộ phận nhiên liệu và gia công bán thành phẩm ")</f>
        <v>Bộ phận nhiên liệu và gia công bán thành phẩm </v>
      </c>
      <c r="D117" s="22" t="str">
        <f>IFERROR(__xludf.DUMMYFUNCTION("""COMPUTED_VALUE"""),"Dây chuyền gia công Ca B")</f>
        <v>Dây chuyền gia công Ca B</v>
      </c>
      <c r="E117" s="22" t="str">
        <f>IFERROR(__xludf.DUMMYFUNCTION("""COMPUTED_VALUE"""),"VH tráng Men")</f>
        <v>VH tráng Men</v>
      </c>
      <c r="F117" s="22" t="str">
        <f>IFERROR(__xludf.DUMMYFUNCTION("""COMPUTED_VALUE"""),"NV5742")</f>
        <v>NV5742</v>
      </c>
      <c r="G117" s="22">
        <f>IFERROR(__xludf.DUMMYFUNCTION("""COMPUTED_VALUE"""),1223.0)</f>
        <v>1223</v>
      </c>
      <c r="H117" s="22" t="str">
        <f>IFERROR(__xludf.DUMMYFUNCTION("""COMPUTED_VALUE"""),"Nguyễn  Mạnh Quyền")</f>
        <v>Nguyễn  Mạnh Quyền</v>
      </c>
      <c r="I117" s="22" t="str">
        <f>IFERROR(__xludf.DUMMYFUNCTION("""COMPUTED_VALUE"""),"Nam")</f>
        <v>Nam</v>
      </c>
      <c r="J117" s="24">
        <f>IFERROR(__xludf.DUMMYFUNCTION("""COMPUTED_VALUE"""),28277.0)</f>
        <v>28277</v>
      </c>
      <c r="K117" s="22" t="str">
        <f>IFERROR(__xludf.DUMMYFUNCTION("""COMPUTED_VALUE"""),"TDP Tây Nam - Phường Nam Sầm Sơn - Tỉnh Thanh Hóa")</f>
        <v>TDP Tây Nam - Phường Nam Sầm Sơn - Tỉnh Thanh Hóa</v>
      </c>
      <c r="L117" s="22" t="str">
        <f>IFERROR(__xludf.DUMMYFUNCTION("""COMPUTED_VALUE"""),"0962811304")</f>
        <v>0962811304</v>
      </c>
      <c r="M117" s="22" t="str">
        <f>IFERROR(__xludf.DUMMYFUNCTION("""COMPUTED_VALUE"""),"035077007863")</f>
        <v>035077007863</v>
      </c>
      <c r="N117" s="24">
        <f>IFERROR(__xludf.DUMMYFUNCTION("""COMPUTED_VALUE"""),44428.0)</f>
        <v>44428</v>
      </c>
      <c r="O117" s="22" t="str">
        <f>IFERROR(__xludf.DUMMYFUNCTION("""COMPUTED_VALUE"""),"Cục Cảnh sát QLHC về TTXH")</f>
        <v>Cục Cảnh sát QLHC về TTXH</v>
      </c>
      <c r="P117" s="22" t="str">
        <f>IFERROR(__xludf.DUMMYFUNCTION("""COMPUTED_VALUE"""),"LĐPT")</f>
        <v>LĐPT</v>
      </c>
      <c r="Q117" s="22" t="str">
        <f>IFERROR(__xludf.DUMMYFUNCTION("""COMPUTED_VALUE"""),"Lao động phổ thông")</f>
        <v>Lao động phổ thông</v>
      </c>
      <c r="R117" s="24">
        <f>IFERROR(__xludf.DUMMYFUNCTION("""COMPUTED_VALUE"""),45933.0)</f>
        <v>45933</v>
      </c>
      <c r="S117" s="22"/>
      <c r="T117" s="22" t="str">
        <f>IFERROR(__xludf.DUMMYFUNCTION("""COMPUTED_VALUE"""),"Thử việc")</f>
        <v>Thử việc</v>
      </c>
      <c r="U117" s="22"/>
      <c r="V117" s="22" t="str">
        <f>IFERROR(__xludf.DUMMYFUNCTION("""COMPUTED_VALUE"""),"Thử việc")</f>
        <v>Thử việc</v>
      </c>
      <c r="W117" s="22" t="str">
        <f>IFERROR(__xludf.DUMMYFUNCTION("""COMPUTED_VALUE"""),"0 năm 2 tháng")</f>
        <v>0 năm 2 tháng</v>
      </c>
      <c r="X117" s="22"/>
      <c r="Y117" s="22"/>
      <c r="Z117" s="22"/>
    </row>
    <row r="118">
      <c r="A118" s="23" t="str">
        <f>IFERROR(__xludf.DUMMYFUNCTION("""COMPUTED_VALUE"""),"15")</f>
        <v>15</v>
      </c>
      <c r="B118" s="22" t="str">
        <f>IFERROR(__xludf.DUMMYFUNCTION("""COMPUTED_VALUE"""),"PXSX1")</f>
        <v>PXSX1</v>
      </c>
      <c r="C118" s="22" t="str">
        <f>IFERROR(__xludf.DUMMYFUNCTION("""COMPUTED_VALUE"""),"Bộ phận nhiên liệu và gia công bán thành phẩm ")</f>
        <v>Bộ phận nhiên liệu và gia công bán thành phẩm </v>
      </c>
      <c r="D118" s="22" t="str">
        <f>IFERROR(__xludf.DUMMYFUNCTION("""COMPUTED_VALUE"""),"Dây chuyền gia công Ca B")</f>
        <v>Dây chuyền gia công Ca B</v>
      </c>
      <c r="E118" s="22" t="str">
        <f>IFERROR(__xludf.DUMMYFUNCTION("""COMPUTED_VALUE"""),"VH tráng Men")</f>
        <v>VH tráng Men</v>
      </c>
      <c r="F118" s="22" t="str">
        <f>IFERROR(__xludf.DUMMYFUNCTION("""COMPUTED_VALUE"""),"NV5813")</f>
        <v>NV5813</v>
      </c>
      <c r="G118" s="22">
        <f>IFERROR(__xludf.DUMMYFUNCTION("""COMPUTED_VALUE"""),1295.0)</f>
        <v>1295</v>
      </c>
      <c r="H118" s="22" t="str">
        <f>IFERROR(__xludf.DUMMYFUNCTION("""COMPUTED_VALUE"""),"Lê Nhất Nam")</f>
        <v>Lê Nhất Nam</v>
      </c>
      <c r="I118" s="22" t="str">
        <f>IFERROR(__xludf.DUMMYFUNCTION("""COMPUTED_VALUE"""),"Nam")</f>
        <v>Nam</v>
      </c>
      <c r="J118" s="24">
        <f>IFERROR(__xludf.DUMMYFUNCTION("""COMPUTED_VALUE"""),37527.0)</f>
        <v>37527</v>
      </c>
      <c r="K118" s="22" t="str">
        <f>IFERROR(__xludf.DUMMYFUNCTION("""COMPUTED_VALUE"""),"Thôn Hưng Đông- Xã Thắng Lợi - Tỉnh Thanh Hóa")</f>
        <v>Thôn Hưng Đông- Xã Thắng Lợi - Tỉnh Thanh Hóa</v>
      </c>
      <c r="L118" s="22" t="str">
        <f>IFERROR(__xludf.DUMMYFUNCTION("""COMPUTED_VALUE"""),"0948825002")</f>
        <v>0948825002</v>
      </c>
      <c r="M118" s="22" t="str">
        <f>IFERROR(__xludf.DUMMYFUNCTION("""COMPUTED_VALUE"""),"038202014065")</f>
        <v>038202014065</v>
      </c>
      <c r="N118" s="24">
        <f>IFERROR(__xludf.DUMMYFUNCTION("""COMPUTED_VALUE"""),44440.0)</f>
        <v>44440</v>
      </c>
      <c r="O118" s="22" t="str">
        <f>IFERROR(__xludf.DUMMYFUNCTION("""COMPUTED_VALUE"""),"Cục Cảnh sát QLHC về TTXH")</f>
        <v>Cục Cảnh sát QLHC về TTXH</v>
      </c>
      <c r="P118" s="22" t="str">
        <f>IFERROR(__xludf.DUMMYFUNCTION("""COMPUTED_VALUE"""),"LĐPT")</f>
        <v>LĐPT</v>
      </c>
      <c r="Q118" s="22" t="str">
        <f>IFERROR(__xludf.DUMMYFUNCTION("""COMPUTED_VALUE"""),"Lao động phổ thông")</f>
        <v>Lao động phổ thông</v>
      </c>
      <c r="R118" s="24">
        <f>IFERROR(__xludf.DUMMYFUNCTION("""COMPUTED_VALUE"""),45981.0)</f>
        <v>45981</v>
      </c>
      <c r="S118" s="22"/>
      <c r="T118" s="22" t="str">
        <f>IFERROR(__xludf.DUMMYFUNCTION("""COMPUTED_VALUE"""),"Thử việc")</f>
        <v>Thử việc</v>
      </c>
      <c r="U118" s="22"/>
      <c r="V118" s="22" t="str">
        <f>IFERROR(__xludf.DUMMYFUNCTION("""COMPUTED_VALUE"""),"Thử việc")</f>
        <v>Thử việc</v>
      </c>
      <c r="W118" s="22" t="str">
        <f>IFERROR(__xludf.DUMMYFUNCTION("""COMPUTED_VALUE"""),"0 năm 1 tháng")</f>
        <v>0 năm 1 tháng</v>
      </c>
      <c r="X118" s="22"/>
      <c r="Y118" s="22"/>
      <c r="Z118" s="22"/>
    </row>
    <row r="119">
      <c r="A119" s="23" t="str">
        <f>IFERROR(__xludf.DUMMYFUNCTION("""COMPUTED_VALUE"""),"16")</f>
        <v>16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3" t="str">
        <f>IFERROR(__xludf.DUMMYFUNCTION("""COMPUTED_VALUE"""),"17")</f>
        <v>17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3" t="str">
        <f>IFERROR(__xludf.DUMMYFUNCTION("""COMPUTED_VALUE"""),"3.10")</f>
        <v>3.10</v>
      </c>
      <c r="B122" s="22" t="str">
        <f>IFERROR(__xludf.DUMMYFUNCTION("""COMPUTED_VALUE"""),"Dây chuyền gia công Ca C")</f>
        <v>Dây chuyền gia công Ca C</v>
      </c>
      <c r="C122" s="22">
        <f>IFERROR(__xludf.DUMMYFUNCTION("""COMPUTED_VALUE"""),0.0)</f>
        <v>0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3" t="str">
        <f>IFERROR(__xludf.DUMMYFUNCTION("""COMPUTED_VALUE"""),"1")</f>
        <v>1</v>
      </c>
      <c r="B123" s="22" t="str">
        <f>IFERROR(__xludf.DUMMYFUNCTION("""COMPUTED_VALUE"""),"#N/A")</f>
        <v>#N/A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3" t="str">
        <f>IFERROR(__xludf.DUMMYFUNCTION("""COMPUTED_VALUE"""),"2")</f>
        <v>2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3" t="str">
        <f>IFERROR(__xludf.DUMMYFUNCTION("""COMPUTED_VALUE"""),"3")</f>
        <v>3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3" t="str">
        <f>IFERROR(__xludf.DUMMYFUNCTION("""COMPUTED_VALUE"""),"4")</f>
        <v>4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3" t="str">
        <f>IFERROR(__xludf.DUMMYFUNCTION("""COMPUTED_VALUE"""),"5")</f>
        <v>5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3" t="str">
        <f>IFERROR(__xludf.DUMMYFUNCTION("""COMPUTED_VALUE"""),"6")</f>
        <v>6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3" t="str">
        <f>IFERROR(__xludf.DUMMYFUNCTION("""COMPUTED_VALUE"""),"7")</f>
        <v>7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3" t="str">
        <f>IFERROR(__xludf.DUMMYFUNCTION("""COMPUTED_VALUE"""),"8")</f>
        <v>8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3" t="str">
        <f>IFERROR(__xludf.DUMMYFUNCTION("""COMPUTED_VALUE"""),"9")</f>
        <v>9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3" t="str">
        <f>IFERROR(__xludf.DUMMYFUNCTION("""COMPUTED_VALUE"""),"10")</f>
        <v>10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3" t="str">
        <f>IFERROR(__xludf.DUMMYFUNCTION("""COMPUTED_VALUE"""),"11")</f>
        <v>11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3" t="str">
        <f>IFERROR(__xludf.DUMMYFUNCTION("""COMPUTED_VALUE"""),"12")</f>
        <v>12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3" t="str">
        <f>IFERROR(__xludf.DUMMYFUNCTION("""COMPUTED_VALUE"""),"13")</f>
        <v>13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3" t="str">
        <f>IFERROR(__xludf.DUMMYFUNCTION("""COMPUTED_VALUE"""),"14")</f>
        <v>14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3" t="str">
        <f>IFERROR(__xludf.DUMMYFUNCTION("""COMPUTED_VALUE"""),"15")</f>
        <v>15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3" t="str">
        <f>IFERROR(__xludf.DUMMYFUNCTION("""COMPUTED_VALUE"""),"4.")</f>
        <v>4.</v>
      </c>
      <c r="B138" s="22" t="str">
        <f>IFERROR(__xludf.DUMMYFUNCTION("""COMPUTED_VALUE"""),"Bộ phận nung và hoàn thiện sản phẩm")</f>
        <v>Bộ phận nung và hoàn thiện sản phẩm</v>
      </c>
      <c r="C138" s="22">
        <f>IFERROR(__xludf.DUMMYFUNCTION("""COMPUTED_VALUE"""),93.0)</f>
        <v>93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3" t="str">
        <f>IFERROR(__xludf.DUMMYFUNCTION("""COMPUTED_VALUE"""),"4.1")</f>
        <v>4.1</v>
      </c>
      <c r="B139" s="22" t="str">
        <f>IFERROR(__xludf.DUMMYFUNCTION("""COMPUTED_VALUE"""),"Quản lý")</f>
        <v>Quản lý</v>
      </c>
      <c r="C139" s="22">
        <f>IFERROR(__xludf.DUMMYFUNCTION("""COMPUTED_VALUE"""),3.0)</f>
        <v>3</v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3" t="str">
        <f>IFERROR(__xludf.DUMMYFUNCTION("""COMPUTED_VALUE"""),"1")</f>
        <v>1</v>
      </c>
      <c r="B140" s="22" t="str">
        <f>IFERROR(__xludf.DUMMYFUNCTION("""COMPUTED_VALUE"""),"PXSX1")</f>
        <v>PXSX1</v>
      </c>
      <c r="C140" s="22" t="str">
        <f>IFERROR(__xludf.DUMMYFUNCTION("""COMPUTED_VALUE"""),"Bộ phận nung và hoàn thiện sản phẩm")</f>
        <v>Bộ phận nung và hoàn thiện sản phẩm</v>
      </c>
      <c r="D140" s="22" t="str">
        <f>IFERROR(__xludf.DUMMYFUNCTION("""COMPUTED_VALUE"""),"Quản lý")</f>
        <v>Quản lý</v>
      </c>
      <c r="E140" s="22" t="str">
        <f>IFERROR(__xludf.DUMMYFUNCTION("""COMPUTED_VALUE"""),"CBKT - Phụ trách Lò nung")</f>
        <v>CBKT - Phụ trách Lò nung</v>
      </c>
      <c r="F140" s="22" t="str">
        <f>IFERROR(__xludf.DUMMYFUNCTION("""COMPUTED_VALUE"""),"NV0627")</f>
        <v>NV0627</v>
      </c>
      <c r="G140" s="22">
        <f>IFERROR(__xludf.DUMMYFUNCTION("""COMPUTED_VALUE"""),160.0)</f>
        <v>160</v>
      </c>
      <c r="H140" s="22" t="str">
        <f>IFERROR(__xludf.DUMMYFUNCTION("""COMPUTED_VALUE"""),"Lê Xuân Viên")</f>
        <v>Lê Xuân Viên</v>
      </c>
      <c r="I140" s="22" t="str">
        <f>IFERROR(__xludf.DUMMYFUNCTION("""COMPUTED_VALUE"""),"Nam")</f>
        <v>Nam</v>
      </c>
      <c r="J140" s="24">
        <f>IFERROR(__xludf.DUMMYFUNCTION("""COMPUTED_VALUE"""),30566.0)</f>
        <v>30566</v>
      </c>
      <c r="K140" s="22" t="str">
        <f>IFERROR(__xludf.DUMMYFUNCTION("""COMPUTED_VALUE"""),"Phú Quý - Phường Quảng Phú - Tỉnh Thanh Hóa ")</f>
        <v>Phú Quý - Phường Quảng Phú - Tỉnh Thanh Hóa </v>
      </c>
      <c r="L140" s="22" t="str">
        <f>IFERROR(__xludf.DUMMYFUNCTION("""COMPUTED_VALUE"""),"0384380976")</f>
        <v>0384380976</v>
      </c>
      <c r="M140" s="22" t="str">
        <f>IFERROR(__xludf.DUMMYFUNCTION("""COMPUTED_VALUE"""),"038083050292")</f>
        <v>038083050292</v>
      </c>
      <c r="N140" s="24">
        <f>IFERROR(__xludf.DUMMYFUNCTION("""COMPUTED_VALUE"""),44435.0)</f>
        <v>44435</v>
      </c>
      <c r="O140" s="22" t="str">
        <f>IFERROR(__xludf.DUMMYFUNCTION("""COMPUTED_VALUE"""),"Cục Cảnh sát QLHC về TTXH")</f>
        <v>Cục Cảnh sát QLHC về TTXH</v>
      </c>
      <c r="P140" s="22" t="str">
        <f>IFERROR(__xludf.DUMMYFUNCTION("""COMPUTED_VALUE"""),"Trung cấp")</f>
        <v>Trung cấp</v>
      </c>
      <c r="Q140" s="22" t="str">
        <f>IFERROR(__xludf.DUMMYFUNCTION("""COMPUTED_VALUE"""),"điện công nghiệp")</f>
        <v>điện công nghiệp</v>
      </c>
      <c r="R140" s="24">
        <f>IFERROR(__xludf.DUMMYFUNCTION("""COMPUTED_VALUE"""),42424.0)</f>
        <v>42424</v>
      </c>
      <c r="S140" s="24">
        <f>IFERROR(__xludf.DUMMYFUNCTION("""COMPUTED_VALUE"""),42856.0)</f>
        <v>42856</v>
      </c>
      <c r="T140" s="22" t="str">
        <f>IFERROR(__xludf.DUMMYFUNCTION("""COMPUTED_VALUE"""),"Chính thức")</f>
        <v>Chính thức</v>
      </c>
      <c r="U140" s="22"/>
      <c r="V140" s="22"/>
      <c r="W140" s="22" t="str">
        <f>IFERROR(__xludf.DUMMYFUNCTION("""COMPUTED_VALUE"""),"9 năm 10 tháng")</f>
        <v>9 năm 10 tháng</v>
      </c>
      <c r="X140" s="22"/>
      <c r="Y140" s="22"/>
      <c r="Z140" s="22"/>
    </row>
    <row r="141">
      <c r="A141" s="23" t="str">
        <f>IFERROR(__xludf.DUMMYFUNCTION("""COMPUTED_VALUE"""),"2")</f>
        <v>2</v>
      </c>
      <c r="B141" s="22" t="str">
        <f>IFERROR(__xludf.DUMMYFUNCTION("""COMPUTED_VALUE"""),"PXSX1")</f>
        <v>PXSX1</v>
      </c>
      <c r="C141" s="22" t="str">
        <f>IFERROR(__xludf.DUMMYFUNCTION("""COMPUTED_VALUE"""),"Bộ phận nung và hoàn thiện sản phẩm")</f>
        <v>Bộ phận nung và hoàn thiện sản phẩm</v>
      </c>
      <c r="D141" s="22" t="str">
        <f>IFERROR(__xludf.DUMMYFUNCTION("""COMPUTED_VALUE"""),"Quản lý")</f>
        <v>Quản lý</v>
      </c>
      <c r="E141" s="22" t="str">
        <f>IFERROR(__xludf.DUMMYFUNCTION("""COMPUTED_VALUE"""),"CBKT - Phụ trách Mài")</f>
        <v>CBKT - Phụ trách Mài</v>
      </c>
      <c r="F141" s="22" t="str">
        <f>IFERROR(__xludf.DUMMYFUNCTION("""COMPUTED_VALUE"""),"NV0665")</f>
        <v>NV0665</v>
      </c>
      <c r="G141" s="22">
        <f>IFERROR(__xludf.DUMMYFUNCTION("""COMPUTED_VALUE"""),297.0)</f>
        <v>297</v>
      </c>
      <c r="H141" s="22" t="str">
        <f>IFERROR(__xludf.DUMMYFUNCTION("""COMPUTED_VALUE"""),"Ngô Văn Minh")</f>
        <v>Ngô Văn Minh</v>
      </c>
      <c r="I141" s="22" t="str">
        <f>IFERROR(__xludf.DUMMYFUNCTION("""COMPUTED_VALUE"""),"Nam")</f>
        <v>Nam</v>
      </c>
      <c r="J141" s="24">
        <f>IFERROR(__xludf.DUMMYFUNCTION("""COMPUTED_VALUE"""),32299.0)</f>
        <v>32299</v>
      </c>
      <c r="K141" s="22" t="str">
        <f>IFERROR(__xludf.DUMMYFUNCTION("""COMPUTED_VALUE"""),"Châu Triều - Xã Hoằng Châu - Tỉnh thanh hóa")</f>
        <v>Châu Triều - Xã Hoằng Châu - Tỉnh thanh hóa</v>
      </c>
      <c r="L141" s="22" t="str">
        <f>IFERROR(__xludf.DUMMYFUNCTION("""COMPUTED_VALUE"""),"0926349766")</f>
        <v>0926349766</v>
      </c>
      <c r="M141" s="22" t="str">
        <f>IFERROR(__xludf.DUMMYFUNCTION("""COMPUTED_VALUE"""),"038088040538")</f>
        <v>038088040538</v>
      </c>
      <c r="N141" s="24">
        <f>IFERROR(__xludf.DUMMYFUNCTION("""COMPUTED_VALUE"""),44670.0)</f>
        <v>44670</v>
      </c>
      <c r="O141" s="22" t="str">
        <f>IFERROR(__xludf.DUMMYFUNCTION("""COMPUTED_VALUE"""),"Cục Cảnh sát QLHC về TTXH")</f>
        <v>Cục Cảnh sát QLHC về TTXH</v>
      </c>
      <c r="P141" s="22" t="str">
        <f>IFERROR(__xludf.DUMMYFUNCTION("""COMPUTED_VALUE"""),"Trung cấp")</f>
        <v>Trung cấp</v>
      </c>
      <c r="Q141" s="22" t="str">
        <f>IFERROR(__xludf.DUMMYFUNCTION("""COMPUTED_VALUE"""),"Nghề hàn")</f>
        <v>Nghề hàn</v>
      </c>
      <c r="R141" s="24">
        <f>IFERROR(__xludf.DUMMYFUNCTION("""COMPUTED_VALUE"""),44876.0)</f>
        <v>44876</v>
      </c>
      <c r="S141" s="24">
        <f>IFERROR(__xludf.DUMMYFUNCTION("""COMPUTED_VALUE"""),45047.0)</f>
        <v>45047</v>
      </c>
      <c r="T141" s="22" t="str">
        <f>IFERROR(__xludf.DUMMYFUNCTION("""COMPUTED_VALUE"""),"Chính thức")</f>
        <v>Chính thức</v>
      </c>
      <c r="U141" s="22"/>
      <c r="V141" s="22"/>
      <c r="W141" s="22" t="str">
        <f>IFERROR(__xludf.DUMMYFUNCTION("""COMPUTED_VALUE"""),"3 năm 1 tháng")</f>
        <v>3 năm 1 tháng</v>
      </c>
      <c r="X141" s="22"/>
      <c r="Y141" s="22"/>
      <c r="Z141" s="22"/>
    </row>
    <row r="142">
      <c r="A142" s="23" t="str">
        <f>IFERROR(__xludf.DUMMYFUNCTION("""COMPUTED_VALUE"""),"3")</f>
        <v>3</v>
      </c>
      <c r="B142" s="22" t="str">
        <f>IFERROR(__xludf.DUMMYFUNCTION("""COMPUTED_VALUE"""),"PXSX1")</f>
        <v>PXSX1</v>
      </c>
      <c r="C142" s="22" t="str">
        <f>IFERROR(__xludf.DUMMYFUNCTION("""COMPUTED_VALUE"""),"Bộ phận nung và hoàn thiện sản phẩm")</f>
        <v>Bộ phận nung và hoàn thiện sản phẩm</v>
      </c>
      <c r="D142" s="22" t="str">
        <f>IFERROR(__xludf.DUMMYFUNCTION("""COMPUTED_VALUE"""),"Quản lý")</f>
        <v>Quản lý</v>
      </c>
      <c r="E142" s="22" t="str">
        <f>IFERROR(__xludf.DUMMYFUNCTION("""COMPUTED_VALUE"""),"CBKT Mài")</f>
        <v>CBKT Mài</v>
      </c>
      <c r="F142" s="22" t="str">
        <f>IFERROR(__xludf.DUMMYFUNCTION("""COMPUTED_VALUE"""),"NV1612")</f>
        <v>NV1612</v>
      </c>
      <c r="G142" s="22">
        <f>IFERROR(__xludf.DUMMYFUNCTION("""COMPUTED_VALUE"""),339.0)</f>
        <v>339</v>
      </c>
      <c r="H142" s="22" t="str">
        <f>IFERROR(__xludf.DUMMYFUNCTION("""COMPUTED_VALUE"""),"Lê Văn Trường")</f>
        <v>Lê Văn Trường</v>
      </c>
      <c r="I142" s="22" t="str">
        <f>IFERROR(__xludf.DUMMYFUNCTION("""COMPUTED_VALUE"""),"Nam")</f>
        <v>Nam</v>
      </c>
      <c r="J142" s="24">
        <f>IFERROR(__xludf.DUMMYFUNCTION("""COMPUTED_VALUE"""),36401.0)</f>
        <v>36401</v>
      </c>
      <c r="K142" s="22" t="str">
        <f>IFERROR(__xludf.DUMMYFUNCTION("""COMPUTED_VALUE"""),"Thôn Phúc Thành - Xã Quảng Ninh - Tỉnh Thanh Hóa")</f>
        <v>Thôn Phúc Thành - Xã Quảng Ninh - Tỉnh Thanh Hóa</v>
      </c>
      <c r="L142" s="22" t="str">
        <f>IFERROR(__xludf.DUMMYFUNCTION("""COMPUTED_VALUE"""),"0362898988")</f>
        <v>0362898988</v>
      </c>
      <c r="M142" s="22" t="str">
        <f>IFERROR(__xludf.DUMMYFUNCTION("""COMPUTED_VALUE"""),"038099011809")</f>
        <v>038099011809</v>
      </c>
      <c r="N142" s="24">
        <f>IFERROR(__xludf.DUMMYFUNCTION("""COMPUTED_VALUE"""),42870.0)</f>
        <v>42870</v>
      </c>
      <c r="O142" s="22" t="str">
        <f>IFERROR(__xludf.DUMMYFUNCTION("""COMPUTED_VALUE"""),"Cục Cảnh sát QLHC về TTXH")</f>
        <v>Cục Cảnh sát QLHC về TTXH</v>
      </c>
      <c r="P142" s="22" t="str">
        <f>IFERROR(__xludf.DUMMYFUNCTION("""COMPUTED_VALUE"""),"LĐPT")</f>
        <v>LĐPT</v>
      </c>
      <c r="Q142" s="22" t="str">
        <f>IFERROR(__xludf.DUMMYFUNCTION("""COMPUTED_VALUE"""),"Lao động phổ thông")</f>
        <v>Lao động phổ thông</v>
      </c>
      <c r="R142" s="24">
        <f>IFERROR(__xludf.DUMMYFUNCTION("""COMPUTED_VALUE"""),43307.0)</f>
        <v>43307</v>
      </c>
      <c r="S142" s="24">
        <f>IFERROR(__xludf.DUMMYFUNCTION("""COMPUTED_VALUE"""),43647.0)</f>
        <v>43647</v>
      </c>
      <c r="T142" s="22" t="str">
        <f>IFERROR(__xludf.DUMMYFUNCTION("""COMPUTED_VALUE"""),"Chính thức")</f>
        <v>Chính thức</v>
      </c>
      <c r="U142" s="22"/>
      <c r="V142" s="22"/>
      <c r="W142" s="22" t="str">
        <f>IFERROR(__xludf.DUMMYFUNCTION("""COMPUTED_VALUE"""),"7 năm 5 tháng")</f>
        <v>7 năm 5 tháng</v>
      </c>
      <c r="X142" s="22"/>
      <c r="Y142" s="22"/>
      <c r="Z142" s="22"/>
    </row>
    <row r="143">
      <c r="A143" s="23" t="str">
        <f>IFERROR(__xludf.DUMMYFUNCTION("""COMPUTED_VALUE"""),"4.2")</f>
        <v>4.2</v>
      </c>
      <c r="B143" s="22" t="str">
        <f>IFERROR(__xludf.DUMMYFUNCTION("""COMPUTED_VALUE"""),"Lò nung Ca A")</f>
        <v>Lò nung Ca A</v>
      </c>
      <c r="C143" s="22">
        <f>IFERROR(__xludf.DUMMYFUNCTION("""COMPUTED_VALUE"""),9.0)</f>
        <v>9</v>
      </c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3" t="str">
        <f>IFERROR(__xludf.DUMMYFUNCTION("""COMPUTED_VALUE"""),"1")</f>
        <v>1</v>
      </c>
      <c r="B144" s="22" t="str">
        <f>IFERROR(__xludf.DUMMYFUNCTION("""COMPUTED_VALUE"""),"PXSX1")</f>
        <v>PXSX1</v>
      </c>
      <c r="C144" s="22" t="str">
        <f>IFERROR(__xludf.DUMMYFUNCTION("""COMPUTED_VALUE"""),"Bộ phận nung và hoàn thiện sản phẩm")</f>
        <v>Bộ phận nung và hoàn thiện sản phẩm</v>
      </c>
      <c r="D144" s="22" t="str">
        <f>IFERROR(__xludf.DUMMYFUNCTION("""COMPUTED_VALUE"""),"Lò nung Ca A")</f>
        <v>Lò nung Ca A</v>
      </c>
      <c r="E144" s="22" t="str">
        <f>IFERROR(__xludf.DUMMYFUNCTION("""COMPUTED_VALUE"""),"Dỡ gạch chính ")</f>
        <v>Dỡ gạch chính </v>
      </c>
      <c r="F144" s="22" t="str">
        <f>IFERROR(__xludf.DUMMYFUNCTION("""COMPUTED_VALUE"""),"NV4955")</f>
        <v>NV4955</v>
      </c>
      <c r="G144" s="22">
        <f>IFERROR(__xludf.DUMMYFUNCTION("""COMPUTED_VALUE"""),134.0)</f>
        <v>134</v>
      </c>
      <c r="H144" s="22" t="str">
        <f>IFERROR(__xludf.DUMMYFUNCTION("""COMPUTED_VALUE"""),"Nguyễn Văn Dũng (81)")</f>
        <v>Nguyễn Văn Dũng (81)</v>
      </c>
      <c r="I144" s="22" t="str">
        <f>IFERROR(__xludf.DUMMYFUNCTION("""COMPUTED_VALUE"""),"Nam")</f>
        <v>Nam</v>
      </c>
      <c r="J144" s="24">
        <f>IFERROR(__xludf.DUMMYFUNCTION("""COMPUTED_VALUE"""),29884.0)</f>
        <v>29884</v>
      </c>
      <c r="K144" s="22" t="str">
        <f>IFERROR(__xludf.DUMMYFUNCTION("""COMPUTED_VALUE"""),"Xã Quảng Yên - Tỉnh Thanh Hóa")</f>
        <v>Xã Quảng Yên - Tỉnh Thanh Hóa</v>
      </c>
      <c r="L144" s="22" t="str">
        <f>IFERROR(__xludf.DUMMYFUNCTION("""COMPUTED_VALUE"""),"0989527394")</f>
        <v>0989527394</v>
      </c>
      <c r="M144" s="22" t="str">
        <f>IFERROR(__xludf.DUMMYFUNCTION("""COMPUTED_VALUE"""),"038081036230")</f>
        <v>038081036230</v>
      </c>
      <c r="N144" s="24">
        <f>IFERROR(__xludf.DUMMYFUNCTION("""COMPUTED_VALUE"""),44419.0)</f>
        <v>44419</v>
      </c>
      <c r="O144" s="22" t="str">
        <f>IFERROR(__xludf.DUMMYFUNCTION("""COMPUTED_VALUE"""),"Cục Cảnh sát QLHC về TTXH")</f>
        <v>Cục Cảnh sát QLHC về TTXH</v>
      </c>
      <c r="P144" s="22" t="str">
        <f>IFERROR(__xludf.DUMMYFUNCTION("""COMPUTED_VALUE"""),"LĐPT")</f>
        <v>LĐPT</v>
      </c>
      <c r="Q144" s="22" t="str">
        <f>IFERROR(__xludf.DUMMYFUNCTION("""COMPUTED_VALUE"""),"Lao động phổ thông")</f>
        <v>Lao động phổ thông</v>
      </c>
      <c r="R144" s="24">
        <f>IFERROR(__xludf.DUMMYFUNCTION("""COMPUTED_VALUE"""),45177.0)</f>
        <v>45177</v>
      </c>
      <c r="S144" s="24">
        <f>IFERROR(__xludf.DUMMYFUNCTION("""COMPUTED_VALUE"""),45292.0)</f>
        <v>45292</v>
      </c>
      <c r="T144" s="22" t="str">
        <f>IFERROR(__xludf.DUMMYFUNCTION("""COMPUTED_VALUE"""),"Chính thức")</f>
        <v>Chính thức</v>
      </c>
      <c r="U144" s="22"/>
      <c r="V144" s="22"/>
      <c r="W144" s="22" t="str">
        <f>IFERROR(__xludf.DUMMYFUNCTION("""COMPUTED_VALUE"""),"2 năm 3 tháng")</f>
        <v>2 năm 3 tháng</v>
      </c>
      <c r="X144" s="22"/>
      <c r="Y144" s="22"/>
      <c r="Z144" s="22"/>
    </row>
    <row r="145">
      <c r="A145" s="23" t="str">
        <f>IFERROR(__xludf.DUMMYFUNCTION("""COMPUTED_VALUE"""),"2")</f>
        <v>2</v>
      </c>
      <c r="B145" s="22" t="str">
        <f>IFERROR(__xludf.DUMMYFUNCTION("""COMPUTED_VALUE"""),"PXSX1")</f>
        <v>PXSX1</v>
      </c>
      <c r="C145" s="22" t="str">
        <f>IFERROR(__xludf.DUMMYFUNCTION("""COMPUTED_VALUE"""),"Bộ phận nung và hoàn thiện sản phẩm")</f>
        <v>Bộ phận nung và hoàn thiện sản phẩm</v>
      </c>
      <c r="D145" s="22" t="str">
        <f>IFERROR(__xludf.DUMMYFUNCTION("""COMPUTED_VALUE"""),"Lò nung Ca A")</f>
        <v>Lò nung Ca A</v>
      </c>
      <c r="E145" s="22" t="str">
        <f>IFERROR(__xludf.DUMMYFUNCTION("""COMPUTED_VALUE"""),"Dỡ gạch chính ")</f>
        <v>Dỡ gạch chính </v>
      </c>
      <c r="F145" s="22" t="str">
        <f>IFERROR(__xludf.DUMMYFUNCTION("""COMPUTED_VALUE"""),"NV0213")</f>
        <v>NV0213</v>
      </c>
      <c r="G145" s="22">
        <f>IFERROR(__xludf.DUMMYFUNCTION("""COMPUTED_VALUE"""),154.0)</f>
        <v>154</v>
      </c>
      <c r="H145" s="22" t="str">
        <f>IFERROR(__xludf.DUMMYFUNCTION("""COMPUTED_VALUE"""),"Lê Duy Cường")</f>
        <v>Lê Duy Cường</v>
      </c>
      <c r="I145" s="22" t="str">
        <f>IFERROR(__xludf.DUMMYFUNCTION("""COMPUTED_VALUE"""),"Nam")</f>
        <v>Nam</v>
      </c>
      <c r="J145" s="24">
        <f>IFERROR(__xludf.DUMMYFUNCTION("""COMPUTED_VALUE"""),30790.0)</f>
        <v>30790</v>
      </c>
      <c r="K145" s="22" t="str">
        <f>IFERROR(__xludf.DUMMYFUNCTION("""COMPUTED_VALUE"""),"Ngọc Khê -  Xã Ngọc Minh -  Huyện Ngọc Lặc -  Tỉnh Thanh Hóa")</f>
        <v>Ngọc Khê -  Xã Ngọc Minh -  Huyện Ngọc Lặc -  Tỉnh Thanh Hóa</v>
      </c>
      <c r="L145" s="22" t="str">
        <f>IFERROR(__xludf.DUMMYFUNCTION("""COMPUTED_VALUE"""),"0967615955")</f>
        <v>0967615955</v>
      </c>
      <c r="M145" s="22" t="str">
        <f>IFERROR(__xludf.DUMMYFUNCTION("""COMPUTED_VALUE"""),"038084034111")</f>
        <v>038084034111</v>
      </c>
      <c r="N145" s="24">
        <f>IFERROR(__xludf.DUMMYFUNCTION("""COMPUTED_VALUE"""),44848.0)</f>
        <v>44848</v>
      </c>
      <c r="O145" s="22" t="str">
        <f>IFERROR(__xludf.DUMMYFUNCTION("""COMPUTED_VALUE"""),"Cục Cảnh sát QLHC về TTXH")</f>
        <v>Cục Cảnh sát QLHC về TTXH</v>
      </c>
      <c r="P145" s="22" t="str">
        <f>IFERROR(__xludf.DUMMYFUNCTION("""COMPUTED_VALUE"""),"LĐPT")</f>
        <v>LĐPT</v>
      </c>
      <c r="Q145" s="22" t="str">
        <f>IFERROR(__xludf.DUMMYFUNCTION("""COMPUTED_VALUE"""),"Lao động phổ thông")</f>
        <v>Lao động phổ thông</v>
      </c>
      <c r="R145" s="24">
        <f>IFERROR(__xludf.DUMMYFUNCTION("""COMPUTED_VALUE"""),42207.0)</f>
        <v>42207</v>
      </c>
      <c r="S145" s="24">
        <f>IFERROR(__xludf.DUMMYFUNCTION("""COMPUTED_VALUE"""),42207.0)</f>
        <v>42207</v>
      </c>
      <c r="T145" s="22" t="str">
        <f>IFERROR(__xludf.DUMMYFUNCTION("""COMPUTED_VALUE"""),"Chính thức")</f>
        <v>Chính thức</v>
      </c>
      <c r="U145" s="22"/>
      <c r="V145" s="22"/>
      <c r="W145" s="22" t="str">
        <f>IFERROR(__xludf.DUMMYFUNCTION("""COMPUTED_VALUE"""),"10 năm 5 tháng")</f>
        <v>10 năm 5 tháng</v>
      </c>
      <c r="X145" s="22"/>
      <c r="Y145" s="22"/>
      <c r="Z145" s="22"/>
    </row>
    <row r="146">
      <c r="A146" s="23" t="str">
        <f>IFERROR(__xludf.DUMMYFUNCTION("""COMPUTED_VALUE"""),"3")</f>
        <v>3</v>
      </c>
      <c r="B146" s="22" t="str">
        <f>IFERROR(__xludf.DUMMYFUNCTION("""COMPUTED_VALUE"""),"PXSX1")</f>
        <v>PXSX1</v>
      </c>
      <c r="C146" s="22" t="str">
        <f>IFERROR(__xludf.DUMMYFUNCTION("""COMPUTED_VALUE"""),"Bộ phận nung và hoàn thiện sản phẩm")</f>
        <v>Bộ phận nung và hoàn thiện sản phẩm</v>
      </c>
      <c r="D146" s="22" t="str">
        <f>IFERROR(__xludf.DUMMYFUNCTION("""COMPUTED_VALUE"""),"Lò nung Ca A")</f>
        <v>Lò nung Ca A</v>
      </c>
      <c r="E146" s="22" t="str">
        <f>IFERROR(__xludf.DUMMYFUNCTION("""COMPUTED_VALUE"""),"Tổ phó")</f>
        <v>Tổ phó</v>
      </c>
      <c r="F146" s="22" t="str">
        <f>IFERROR(__xludf.DUMMYFUNCTION("""COMPUTED_VALUE"""),"NV0208")</f>
        <v>NV0208</v>
      </c>
      <c r="G146" s="22">
        <f>IFERROR(__xludf.DUMMYFUNCTION("""COMPUTED_VALUE"""),192.0)</f>
        <v>192</v>
      </c>
      <c r="H146" s="22" t="str">
        <f>IFERROR(__xludf.DUMMYFUNCTION("""COMPUTED_VALUE"""),"Nguyễn Phú Kiên")</f>
        <v>Nguyễn Phú Kiên</v>
      </c>
      <c r="I146" s="22" t="str">
        <f>IFERROR(__xludf.DUMMYFUNCTION("""COMPUTED_VALUE"""),"Nam")</f>
        <v>Nam</v>
      </c>
      <c r="J146" s="24">
        <f>IFERROR(__xludf.DUMMYFUNCTION("""COMPUTED_VALUE"""),31141.0)</f>
        <v>31141</v>
      </c>
      <c r="K146" s="22" t="str">
        <f>IFERROR(__xludf.DUMMYFUNCTION("""COMPUTED_VALUE"""),"Thôn 8 - Phường Nam Sầm Sơn - Tỉnh Thanh Hóa")</f>
        <v>Thôn 8 - Phường Nam Sầm Sơn - Tỉnh Thanh Hóa</v>
      </c>
      <c r="L146" s="22" t="str">
        <f>IFERROR(__xludf.DUMMYFUNCTION("""COMPUTED_VALUE"""),"0349894897")</f>
        <v>0349894897</v>
      </c>
      <c r="M146" s="22" t="str">
        <f>IFERROR(__xludf.DUMMYFUNCTION("""COMPUTED_VALUE"""),"038085050714")</f>
        <v>038085050714</v>
      </c>
      <c r="N146" s="24">
        <f>IFERROR(__xludf.DUMMYFUNCTION("""COMPUTED_VALUE"""),44386.0)</f>
        <v>44386</v>
      </c>
      <c r="O146" s="22" t="str">
        <f>IFERROR(__xludf.DUMMYFUNCTION("""COMPUTED_VALUE"""),"Cục Cảnh sát QLHC về TTXH")</f>
        <v>Cục Cảnh sát QLHC về TTXH</v>
      </c>
      <c r="P146" s="22" t="str">
        <f>IFERROR(__xludf.DUMMYFUNCTION("""COMPUTED_VALUE"""),"LĐPT")</f>
        <v>LĐPT</v>
      </c>
      <c r="Q146" s="22" t="str">
        <f>IFERROR(__xludf.DUMMYFUNCTION("""COMPUTED_VALUE"""),"Lao động phổ thông")</f>
        <v>Lao động phổ thông</v>
      </c>
      <c r="R146" s="24">
        <f>IFERROR(__xludf.DUMMYFUNCTION("""COMPUTED_VALUE"""),40963.0)</f>
        <v>40963</v>
      </c>
      <c r="S146" s="24">
        <f>IFERROR(__xludf.DUMMYFUNCTION("""COMPUTED_VALUE"""),40963.0)</f>
        <v>40963</v>
      </c>
      <c r="T146" s="22" t="str">
        <f>IFERROR(__xludf.DUMMYFUNCTION("""COMPUTED_VALUE"""),"Chính thức")</f>
        <v>Chính thức</v>
      </c>
      <c r="U146" s="22"/>
      <c r="V146" s="22"/>
      <c r="W146" s="22" t="str">
        <f>IFERROR(__xludf.DUMMYFUNCTION("""COMPUTED_VALUE"""),"13 năm 10 tháng")</f>
        <v>13 năm 10 tháng</v>
      </c>
      <c r="X146" s="22"/>
      <c r="Y146" s="22"/>
      <c r="Z146" s="22"/>
    </row>
    <row r="147">
      <c r="A147" s="23" t="str">
        <f>IFERROR(__xludf.DUMMYFUNCTION("""COMPUTED_VALUE"""),"4")</f>
        <v>4</v>
      </c>
      <c r="B147" s="22" t="str">
        <f>IFERROR(__xludf.DUMMYFUNCTION("""COMPUTED_VALUE"""),"PXSX1")</f>
        <v>PXSX1</v>
      </c>
      <c r="C147" s="22" t="str">
        <f>IFERROR(__xludf.DUMMYFUNCTION("""COMPUTED_VALUE"""),"Bộ phận nung và hoàn thiện sản phẩm")</f>
        <v>Bộ phận nung và hoàn thiện sản phẩm</v>
      </c>
      <c r="D147" s="22" t="str">
        <f>IFERROR(__xludf.DUMMYFUNCTION("""COMPUTED_VALUE"""),"Lò nung Ca A")</f>
        <v>Lò nung Ca A</v>
      </c>
      <c r="E147" s="22" t="str">
        <f>IFERROR(__xludf.DUMMYFUNCTION("""COMPUTED_VALUE"""),"Vận hành chính")</f>
        <v>Vận hành chính</v>
      </c>
      <c r="F147" s="22" t="str">
        <f>IFERROR(__xludf.DUMMYFUNCTION("""COMPUTED_VALUE"""),"NV3496")</f>
        <v>NV3496</v>
      </c>
      <c r="G147" s="22">
        <f>IFERROR(__xludf.DUMMYFUNCTION("""COMPUTED_VALUE"""),302.0)</f>
        <v>302</v>
      </c>
      <c r="H147" s="22" t="str">
        <f>IFERROR(__xludf.DUMMYFUNCTION("""COMPUTED_VALUE"""),"Phạm Văn Minh")</f>
        <v>Phạm Văn Minh</v>
      </c>
      <c r="I147" s="22" t="str">
        <f>IFERROR(__xludf.DUMMYFUNCTION("""COMPUTED_VALUE"""),"Nam")</f>
        <v>Nam</v>
      </c>
      <c r="J147" s="24">
        <f>IFERROR(__xludf.DUMMYFUNCTION("""COMPUTED_VALUE"""),33057.0)</f>
        <v>33057</v>
      </c>
      <c r="K147" s="22" t="str">
        <f>IFERROR(__xludf.DUMMYFUNCTION("""COMPUTED_VALUE"""),"Xã Quảng Chính - Tỉnh Thanh Hóa")</f>
        <v>Xã Quảng Chính - Tỉnh Thanh Hóa</v>
      </c>
      <c r="L147" s="22" t="str">
        <f>IFERROR(__xludf.DUMMYFUNCTION("""COMPUTED_VALUE"""),"0869143108")</f>
        <v>0869143108</v>
      </c>
      <c r="M147" s="22" t="str">
        <f>IFERROR(__xludf.DUMMYFUNCTION("""COMPUTED_VALUE"""),"038090046098")</f>
        <v>038090046098</v>
      </c>
      <c r="N147" s="24">
        <f>IFERROR(__xludf.DUMMYFUNCTION("""COMPUTED_VALUE"""),44430.0)</f>
        <v>44430</v>
      </c>
      <c r="O147" s="22" t="str">
        <f>IFERROR(__xludf.DUMMYFUNCTION("""COMPUTED_VALUE"""),"Cục Cảnh sát QLHC về TTXH")</f>
        <v>Cục Cảnh sát QLHC về TTXH</v>
      </c>
      <c r="P147" s="22" t="str">
        <f>IFERROR(__xludf.DUMMYFUNCTION("""COMPUTED_VALUE"""),"LĐPT")</f>
        <v>LĐPT</v>
      </c>
      <c r="Q147" s="22" t="str">
        <f>IFERROR(__xludf.DUMMYFUNCTION("""COMPUTED_VALUE"""),"Lao động phổ thông")</f>
        <v>Lao động phổ thông</v>
      </c>
      <c r="R147" s="24">
        <f>IFERROR(__xludf.DUMMYFUNCTION("""COMPUTED_VALUE"""),44261.0)</f>
        <v>44261</v>
      </c>
      <c r="S147" s="24">
        <f>IFERROR(__xludf.DUMMYFUNCTION("""COMPUTED_VALUE"""),44562.0)</f>
        <v>44562</v>
      </c>
      <c r="T147" s="22" t="str">
        <f>IFERROR(__xludf.DUMMYFUNCTION("""COMPUTED_VALUE"""),"Chính thức")</f>
        <v>Chính thức</v>
      </c>
      <c r="U147" s="22"/>
      <c r="V147" s="22"/>
      <c r="W147" s="22" t="str">
        <f>IFERROR(__xludf.DUMMYFUNCTION("""COMPUTED_VALUE"""),"4 năm 9 tháng")</f>
        <v>4 năm 9 tháng</v>
      </c>
      <c r="X147" s="22"/>
      <c r="Y147" s="22"/>
      <c r="Z147" s="22"/>
    </row>
    <row r="148">
      <c r="A148" s="23" t="str">
        <f>IFERROR(__xludf.DUMMYFUNCTION("""COMPUTED_VALUE"""),"5")</f>
        <v>5</v>
      </c>
      <c r="B148" s="22" t="str">
        <f>IFERROR(__xludf.DUMMYFUNCTION("""COMPUTED_VALUE"""),"PXSX1")</f>
        <v>PXSX1</v>
      </c>
      <c r="C148" s="22" t="str">
        <f>IFERROR(__xludf.DUMMYFUNCTION("""COMPUTED_VALUE"""),"Bộ phận nung và hoàn thiện sản phẩm")</f>
        <v>Bộ phận nung và hoàn thiện sản phẩm</v>
      </c>
      <c r="D148" s="22" t="str">
        <f>IFERROR(__xludf.DUMMYFUNCTION("""COMPUTED_VALUE"""),"Lò nung Ca A")</f>
        <v>Lò nung Ca A</v>
      </c>
      <c r="E148" s="22" t="str">
        <f>IFERROR(__xludf.DUMMYFUNCTION("""COMPUTED_VALUE"""),"VH Đầu lò chính ")</f>
        <v>VH Đầu lò chính </v>
      </c>
      <c r="F148" s="22" t="str">
        <f>IFERROR(__xludf.DUMMYFUNCTION("""COMPUTED_VALUE"""),"NV0234")</f>
        <v>NV0234</v>
      </c>
      <c r="G148" s="22">
        <f>IFERROR(__xludf.DUMMYFUNCTION("""COMPUTED_VALUE"""),212.0)</f>
        <v>212</v>
      </c>
      <c r="H148" s="22" t="str">
        <f>IFERROR(__xludf.DUMMYFUNCTION("""COMPUTED_VALUE"""),"Vũ Trọng Chung")</f>
        <v>Vũ Trọng Chung</v>
      </c>
      <c r="I148" s="22" t="str">
        <f>IFERROR(__xludf.DUMMYFUNCTION("""COMPUTED_VALUE"""),"Nam")</f>
        <v>Nam</v>
      </c>
      <c r="J148" s="24">
        <f>IFERROR(__xludf.DUMMYFUNCTION("""COMPUTED_VALUE"""),33337.0)</f>
        <v>33337</v>
      </c>
      <c r="K148" s="22" t="str">
        <f>IFERROR(__xludf.DUMMYFUNCTION("""COMPUTED_VALUE"""),"Phường Quảng Phú - Tỉnh Thanh Hóa")</f>
        <v>Phường Quảng Phú - Tỉnh Thanh Hóa</v>
      </c>
      <c r="L148" s="22" t="str">
        <f>IFERROR(__xludf.DUMMYFUNCTION("""COMPUTED_VALUE"""),"0961079405")</f>
        <v>0961079405</v>
      </c>
      <c r="M148" s="22" t="str">
        <f>IFERROR(__xludf.DUMMYFUNCTION("""COMPUTED_VALUE"""),"038091024577")</f>
        <v>038091024577</v>
      </c>
      <c r="N148" s="24">
        <f>IFERROR(__xludf.DUMMYFUNCTION("""COMPUTED_VALUE"""),44317.0)</f>
        <v>44317</v>
      </c>
      <c r="O148" s="22" t="str">
        <f>IFERROR(__xludf.DUMMYFUNCTION("""COMPUTED_VALUE"""),"Cục Cảnh sát QLHC về TTXH")</f>
        <v>Cục Cảnh sát QLHC về TTXH</v>
      </c>
      <c r="P148" s="22" t="str">
        <f>IFERROR(__xludf.DUMMYFUNCTION("""COMPUTED_VALUE"""),"LĐPT")</f>
        <v>LĐPT</v>
      </c>
      <c r="Q148" s="22" t="str">
        <f>IFERROR(__xludf.DUMMYFUNCTION("""COMPUTED_VALUE"""),"Lao động phổ thông")</f>
        <v>Lao động phổ thông</v>
      </c>
      <c r="R148" s="24">
        <f>IFERROR(__xludf.DUMMYFUNCTION("""COMPUTED_VALUE"""),42428.0)</f>
        <v>42428</v>
      </c>
      <c r="S148" s="24">
        <f>IFERROR(__xludf.DUMMYFUNCTION("""COMPUTED_VALUE"""),42856.0)</f>
        <v>42856</v>
      </c>
      <c r="T148" s="22" t="str">
        <f>IFERROR(__xludf.DUMMYFUNCTION("""COMPUTED_VALUE"""),"Chính thức")</f>
        <v>Chính thức</v>
      </c>
      <c r="U148" s="22"/>
      <c r="V148" s="22"/>
      <c r="W148" s="22" t="str">
        <f>IFERROR(__xludf.DUMMYFUNCTION("""COMPUTED_VALUE"""),"9 năm 10 tháng")</f>
        <v>9 năm 10 tháng</v>
      </c>
      <c r="X148" s="22"/>
      <c r="Y148" s="22"/>
      <c r="Z148" s="22"/>
    </row>
    <row r="149">
      <c r="A149" s="23" t="str">
        <f>IFERROR(__xludf.DUMMYFUNCTION("""COMPUTED_VALUE"""),"6")</f>
        <v>6</v>
      </c>
      <c r="B149" s="22" t="str">
        <f>IFERROR(__xludf.DUMMYFUNCTION("""COMPUTED_VALUE"""),"PXSX1")</f>
        <v>PXSX1</v>
      </c>
      <c r="C149" s="22" t="str">
        <f>IFERROR(__xludf.DUMMYFUNCTION("""COMPUTED_VALUE"""),"Bộ phận nung và hoàn thiện sản phẩm")</f>
        <v>Bộ phận nung và hoàn thiện sản phẩm</v>
      </c>
      <c r="D149" s="22" t="str">
        <f>IFERROR(__xludf.DUMMYFUNCTION("""COMPUTED_VALUE"""),"Lò nung Ca A")</f>
        <v>Lò nung Ca A</v>
      </c>
      <c r="E149" s="22" t="str">
        <f>IFERROR(__xludf.DUMMYFUNCTION("""COMPUTED_VALUE"""),"Vận hành chính")</f>
        <v>Vận hành chính</v>
      </c>
      <c r="F149" s="22" t="str">
        <f>IFERROR(__xludf.DUMMYFUNCTION("""COMPUTED_VALUE"""),"NV3296")</f>
        <v>NV3296</v>
      </c>
      <c r="G149" s="22">
        <f>IFERROR(__xludf.DUMMYFUNCTION("""COMPUTED_VALUE"""),640.0)</f>
        <v>640</v>
      </c>
      <c r="H149" s="22" t="str">
        <f>IFERROR(__xludf.DUMMYFUNCTION("""COMPUTED_VALUE"""),"Lê Nhữ Đạt")</f>
        <v>Lê Nhữ Đạt</v>
      </c>
      <c r="I149" s="22" t="str">
        <f>IFERROR(__xludf.DUMMYFUNCTION("""COMPUTED_VALUE"""),"Nam")</f>
        <v>Nam</v>
      </c>
      <c r="J149" s="24">
        <f>IFERROR(__xludf.DUMMYFUNCTION("""COMPUTED_VALUE"""),34608.0)</f>
        <v>34608</v>
      </c>
      <c r="K149" s="22" t="str">
        <f>IFERROR(__xludf.DUMMYFUNCTION("""COMPUTED_VALUE"""),"KP Khanh Tiến - Phường Sầm Sơn - Tỉnh Thanh Hóa")</f>
        <v>KP Khanh Tiến - Phường Sầm Sơn - Tỉnh Thanh Hóa</v>
      </c>
      <c r="L149" s="22" t="str">
        <f>IFERROR(__xludf.DUMMYFUNCTION("""COMPUTED_VALUE"""),"0984273641")</f>
        <v>0984273641</v>
      </c>
      <c r="M149" s="22" t="str">
        <f>IFERROR(__xludf.DUMMYFUNCTION("""COMPUTED_VALUE"""),"038094016825")</f>
        <v>038094016825</v>
      </c>
      <c r="N149" s="24">
        <f>IFERROR(__xludf.DUMMYFUNCTION("""COMPUTED_VALUE"""),44419.0)</f>
        <v>44419</v>
      </c>
      <c r="O149" s="22" t="str">
        <f>IFERROR(__xludf.DUMMYFUNCTION("""COMPUTED_VALUE"""),"Cục Cảnh sát QLHC về TTXH")</f>
        <v>Cục Cảnh sát QLHC về TTXH</v>
      </c>
      <c r="P149" s="22" t="str">
        <f>IFERROR(__xludf.DUMMYFUNCTION("""COMPUTED_VALUE"""),"LĐPT")</f>
        <v>LĐPT</v>
      </c>
      <c r="Q149" s="22" t="str">
        <f>IFERROR(__xludf.DUMMYFUNCTION("""COMPUTED_VALUE"""),"Lao động phổ thông")</f>
        <v>Lao động phổ thông</v>
      </c>
      <c r="R149" s="24">
        <f>IFERROR(__xludf.DUMMYFUNCTION("""COMPUTED_VALUE"""),44108.0)</f>
        <v>44108</v>
      </c>
      <c r="S149" s="24">
        <f>IFERROR(__xludf.DUMMYFUNCTION("""COMPUTED_VALUE"""),44409.0)</f>
        <v>44409</v>
      </c>
      <c r="T149" s="22" t="str">
        <f>IFERROR(__xludf.DUMMYFUNCTION("""COMPUTED_VALUE"""),"Chính thức")</f>
        <v>Chính thức</v>
      </c>
      <c r="U149" s="22"/>
      <c r="V149" s="22"/>
      <c r="W149" s="22" t="str">
        <f>IFERROR(__xludf.DUMMYFUNCTION("""COMPUTED_VALUE"""),"5 năm 2 tháng")</f>
        <v>5 năm 2 tháng</v>
      </c>
      <c r="X149" s="22"/>
      <c r="Y149" s="22"/>
      <c r="Z149" s="22"/>
    </row>
    <row r="150">
      <c r="A150" s="23" t="str">
        <f>IFERROR(__xludf.DUMMYFUNCTION("""COMPUTED_VALUE"""),"7")</f>
        <v>7</v>
      </c>
      <c r="B150" s="22" t="str">
        <f>IFERROR(__xludf.DUMMYFUNCTION("""COMPUTED_VALUE"""),"PXSX1")</f>
        <v>PXSX1</v>
      </c>
      <c r="C150" s="22" t="str">
        <f>IFERROR(__xludf.DUMMYFUNCTION("""COMPUTED_VALUE"""),"Bộ phận nung và hoàn thiện sản phẩm")</f>
        <v>Bộ phận nung và hoàn thiện sản phẩm</v>
      </c>
      <c r="D150" s="22" t="str">
        <f>IFERROR(__xludf.DUMMYFUNCTION("""COMPUTED_VALUE"""),"Lò nung Ca A")</f>
        <v>Lò nung Ca A</v>
      </c>
      <c r="E150" s="22" t="str">
        <f>IFERROR(__xludf.DUMMYFUNCTION("""COMPUTED_VALUE"""),"Vận hành lò")</f>
        <v>Vận hành lò</v>
      </c>
      <c r="F150" s="22" t="str">
        <f>IFERROR(__xludf.DUMMYFUNCTION("""COMPUTED_VALUE"""),"NV4357")</f>
        <v>NV4357</v>
      </c>
      <c r="G150" s="22">
        <f>IFERROR(__xludf.DUMMYFUNCTION("""COMPUTED_VALUE"""),144.0)</f>
        <v>144</v>
      </c>
      <c r="H150" s="22" t="str">
        <f>IFERROR(__xludf.DUMMYFUNCTION("""COMPUTED_VALUE"""),"Nguyễn Tuấn Anh")</f>
        <v>Nguyễn Tuấn Anh</v>
      </c>
      <c r="I150" s="22" t="str">
        <f>IFERROR(__xludf.DUMMYFUNCTION("""COMPUTED_VALUE"""),"Nam")</f>
        <v>Nam</v>
      </c>
      <c r="J150" s="24">
        <f>IFERROR(__xludf.DUMMYFUNCTION("""COMPUTED_VALUE"""),37583.0)</f>
        <v>37583</v>
      </c>
      <c r="K150" s="22" t="str">
        <f>IFERROR(__xludf.DUMMYFUNCTION("""COMPUTED_VALUE"""),"Quân Bình - Xã Thọ Xuân - Tỉnh Thanh Hóa")</f>
        <v>Quân Bình - Xã Thọ Xuân - Tỉnh Thanh Hóa</v>
      </c>
      <c r="L150" s="22" t="str">
        <f>IFERROR(__xludf.DUMMYFUNCTION("""COMPUTED_VALUE"""),"0974450102")</f>
        <v>0974450102</v>
      </c>
      <c r="M150" s="22" t="str">
        <f>IFERROR(__xludf.DUMMYFUNCTION("""COMPUTED_VALUE"""),"038202019294")</f>
        <v>038202019294</v>
      </c>
      <c r="N150" s="24">
        <f>IFERROR(__xludf.DUMMYFUNCTION("""COMPUTED_VALUE"""),44379.0)</f>
        <v>44379</v>
      </c>
      <c r="O150" s="22" t="str">
        <f>IFERROR(__xludf.DUMMYFUNCTION("""COMPUTED_VALUE"""),"Cục Cảnh sát QLHC về TTXH")</f>
        <v>Cục Cảnh sát QLHC về TTXH</v>
      </c>
      <c r="P150" s="22" t="str">
        <f>IFERROR(__xludf.DUMMYFUNCTION("""COMPUTED_VALUE"""),"LĐPT")</f>
        <v>LĐPT</v>
      </c>
      <c r="Q150" s="22" t="str">
        <f>IFERROR(__xludf.DUMMYFUNCTION("""COMPUTED_VALUE"""),"Lao động phổ thông")</f>
        <v>Lao động phổ thông</v>
      </c>
      <c r="R150" s="24">
        <f>IFERROR(__xludf.DUMMYFUNCTION("""COMPUTED_VALUE"""),44741.0)</f>
        <v>44741</v>
      </c>
      <c r="S150" s="24">
        <f>IFERROR(__xludf.DUMMYFUNCTION("""COMPUTED_VALUE"""),44986.0)</f>
        <v>44986</v>
      </c>
      <c r="T150" s="22" t="str">
        <f>IFERROR(__xludf.DUMMYFUNCTION("""COMPUTED_VALUE"""),"Chính thức")</f>
        <v>Chính thức</v>
      </c>
      <c r="U150" s="22"/>
      <c r="V150" s="22" t="str">
        <f>IFERROR(__xludf.DUMMYFUNCTION("""COMPUTED_VALUE"""),"Nghỉ phép")</f>
        <v>Nghỉ phép</v>
      </c>
      <c r="W150" s="22" t="str">
        <f>IFERROR(__xludf.DUMMYFUNCTION("""COMPUTED_VALUE"""),"3 năm 6 tháng")</f>
        <v>3 năm 6 tháng</v>
      </c>
      <c r="X150" s="22"/>
      <c r="Y150" s="22"/>
      <c r="Z150" s="22"/>
    </row>
    <row r="151">
      <c r="A151" s="23" t="str">
        <f>IFERROR(__xludf.DUMMYFUNCTION("""COMPUTED_VALUE"""),"8")</f>
        <v>8</v>
      </c>
      <c r="B151" s="22" t="str">
        <f>IFERROR(__xludf.DUMMYFUNCTION("""COMPUTED_VALUE"""),"PXSX1")</f>
        <v>PXSX1</v>
      </c>
      <c r="C151" s="22" t="str">
        <f>IFERROR(__xludf.DUMMYFUNCTION("""COMPUTED_VALUE"""),"Bộ phận nung và hoàn thiện sản phẩm")</f>
        <v>Bộ phận nung và hoàn thiện sản phẩm</v>
      </c>
      <c r="D151" s="22" t="str">
        <f>IFERROR(__xludf.DUMMYFUNCTION("""COMPUTED_VALUE"""),"Lò nung Ca A")</f>
        <v>Lò nung Ca A</v>
      </c>
      <c r="E151" s="22" t="str">
        <f>IFERROR(__xludf.DUMMYFUNCTION("""COMPUTED_VALUE"""),"Bảo trì lò DC1")</f>
        <v>Bảo trì lò DC1</v>
      </c>
      <c r="F151" s="22" t="str">
        <f>IFERROR(__xludf.DUMMYFUNCTION("""COMPUTED_VALUE"""),"NV5752")</f>
        <v>NV5752</v>
      </c>
      <c r="G151" s="22">
        <f>IFERROR(__xludf.DUMMYFUNCTION("""COMPUTED_VALUE"""),1231.0)</f>
        <v>1231</v>
      </c>
      <c r="H151" s="22" t="str">
        <f>IFERROR(__xludf.DUMMYFUNCTION("""COMPUTED_VALUE"""),"Bùi Sỹ Ích")</f>
        <v>Bùi Sỹ Ích</v>
      </c>
      <c r="I151" s="22" t="str">
        <f>IFERROR(__xludf.DUMMYFUNCTION("""COMPUTED_VALUE"""),"Nam")</f>
        <v>Nam</v>
      </c>
      <c r="J151" s="24">
        <f>IFERROR(__xludf.DUMMYFUNCTION("""COMPUTED_VALUE"""),33759.0)</f>
        <v>33759</v>
      </c>
      <c r="K151" s="22" t="str">
        <f>IFERROR(__xludf.DUMMYFUNCTION("""COMPUTED_VALUE"""),"61 Hoàng Bùi Hoàn - TDP Phú Thọ- Xã Lưu Vệ - Tỉnh Thanh Hóa")</f>
        <v>61 Hoàng Bùi Hoàn - TDP Phú Thọ- Xã Lưu Vệ - Tỉnh Thanh Hóa</v>
      </c>
      <c r="L151" s="22" t="str">
        <f>IFERROR(__xludf.DUMMYFUNCTION("""COMPUTED_VALUE"""),"0964557446")</f>
        <v>0964557446</v>
      </c>
      <c r="M151" s="22" t="str">
        <f>IFERROR(__xludf.DUMMYFUNCTION("""COMPUTED_VALUE"""),"038092049683")</f>
        <v>038092049683</v>
      </c>
      <c r="N151" s="24">
        <f>IFERROR(__xludf.DUMMYFUNCTION("""COMPUTED_VALUE"""),44513.0)</f>
        <v>44513</v>
      </c>
      <c r="O151" s="22" t="str">
        <f>IFERROR(__xludf.DUMMYFUNCTION("""COMPUTED_VALUE"""),"Cục Cảnh sát QLHC về TTXH")</f>
        <v>Cục Cảnh sát QLHC về TTXH</v>
      </c>
      <c r="P151" s="22" t="str">
        <f>IFERROR(__xludf.DUMMYFUNCTION("""COMPUTED_VALUE"""),"LĐPT")</f>
        <v>LĐPT</v>
      </c>
      <c r="Q151" s="22" t="str">
        <f>IFERROR(__xludf.DUMMYFUNCTION("""COMPUTED_VALUE"""),"Lao động phổ thông")</f>
        <v>Lao động phổ thông</v>
      </c>
      <c r="R151" s="24">
        <f>IFERROR(__xludf.DUMMYFUNCTION("""COMPUTED_VALUE"""),45936.0)</f>
        <v>45936</v>
      </c>
      <c r="S151" s="22"/>
      <c r="T151" s="22" t="str">
        <f>IFERROR(__xludf.DUMMYFUNCTION("""COMPUTED_VALUE"""),"Thử việc")</f>
        <v>Thử việc</v>
      </c>
      <c r="U151" s="22"/>
      <c r="V151" s="22" t="str">
        <f>IFERROR(__xludf.DUMMYFUNCTION("""COMPUTED_VALUE"""),"Thử việc")</f>
        <v>Thử việc</v>
      </c>
      <c r="W151" s="22" t="str">
        <f>IFERROR(__xludf.DUMMYFUNCTION("""COMPUTED_VALUE"""),"0 năm 2 tháng")</f>
        <v>0 năm 2 tháng</v>
      </c>
      <c r="X151" s="22"/>
      <c r="Y151" s="22"/>
      <c r="Z151" s="22"/>
    </row>
    <row r="152">
      <c r="A152" s="23" t="str">
        <f>IFERROR(__xludf.DUMMYFUNCTION("""COMPUTED_VALUE"""),"9")</f>
        <v>9</v>
      </c>
      <c r="B152" s="22" t="str">
        <f>IFERROR(__xludf.DUMMYFUNCTION("""COMPUTED_VALUE"""),"PXSX1")</f>
        <v>PXSX1</v>
      </c>
      <c r="C152" s="22" t="str">
        <f>IFERROR(__xludf.DUMMYFUNCTION("""COMPUTED_VALUE"""),"Bộ phận nung và hoàn thiện sản phẩm")</f>
        <v>Bộ phận nung và hoàn thiện sản phẩm</v>
      </c>
      <c r="D152" s="22" t="str">
        <f>IFERROR(__xludf.DUMMYFUNCTION("""COMPUTED_VALUE"""),"Lò nung Ca A")</f>
        <v>Lò nung Ca A</v>
      </c>
      <c r="E152" s="22" t="str">
        <f>IFERROR(__xludf.DUMMYFUNCTION("""COMPUTED_VALUE"""),"Bảo trì lò DC2")</f>
        <v>Bảo trì lò DC2</v>
      </c>
      <c r="F152" s="22" t="str">
        <f>IFERROR(__xludf.DUMMYFUNCTION("""COMPUTED_VALUE"""),"NV5781")</f>
        <v>NV5781</v>
      </c>
      <c r="G152" s="22">
        <f>IFERROR(__xludf.DUMMYFUNCTION("""COMPUTED_VALUE"""),1262.0)</f>
        <v>1262</v>
      </c>
      <c r="H152" s="22" t="str">
        <f>IFERROR(__xludf.DUMMYFUNCTION("""COMPUTED_VALUE"""),"Phạm Văn Trung")</f>
        <v>Phạm Văn Trung</v>
      </c>
      <c r="I152" s="22" t="str">
        <f>IFERROR(__xludf.DUMMYFUNCTION("""COMPUTED_VALUE"""),"Nam")</f>
        <v>Nam</v>
      </c>
      <c r="J152" s="24">
        <f>IFERROR(__xludf.DUMMYFUNCTION("""COMPUTED_VALUE"""),36946.0)</f>
        <v>36946</v>
      </c>
      <c r="K152" s="22" t="str">
        <f>IFERROR(__xludf.DUMMYFUNCTION("""COMPUTED_VALUE"""),"TDP Thủ Phú- Phường Nam Sầm Sơn-Tỉnh Thanh Hóa")</f>
        <v>TDP Thủ Phú- Phường Nam Sầm Sơn-Tỉnh Thanh Hóa</v>
      </c>
      <c r="L152" s="22" t="str">
        <f>IFERROR(__xludf.DUMMYFUNCTION("""COMPUTED_VALUE"""),"0979741683")</f>
        <v>0979741683</v>
      </c>
      <c r="M152" s="22" t="str">
        <f>IFERROR(__xludf.DUMMYFUNCTION("""COMPUTED_VALUE"""),"03820102336")</f>
        <v>03820102336</v>
      </c>
      <c r="N152" s="24">
        <f>IFERROR(__xludf.DUMMYFUNCTION("""COMPUTED_VALUE"""),45069.0)</f>
        <v>45069</v>
      </c>
      <c r="O152" s="22" t="str">
        <f>IFERROR(__xludf.DUMMYFUNCTION("""COMPUTED_VALUE"""),"Cục Cảnh sát QLHC về TTXH")</f>
        <v>Cục Cảnh sát QLHC về TTXH</v>
      </c>
      <c r="P152" s="22" t="str">
        <f>IFERROR(__xludf.DUMMYFUNCTION("""COMPUTED_VALUE"""),"LĐPT")</f>
        <v>LĐPT</v>
      </c>
      <c r="Q152" s="22" t="str">
        <f>IFERROR(__xludf.DUMMYFUNCTION("""COMPUTED_VALUE"""),"Lao động phổ thông")</f>
        <v>Lao động phổ thông</v>
      </c>
      <c r="R152" s="24">
        <f>IFERROR(__xludf.DUMMYFUNCTION("""COMPUTED_VALUE"""),45960.0)</f>
        <v>45960</v>
      </c>
      <c r="S152" s="22"/>
      <c r="T152" s="22" t="str">
        <f>IFERROR(__xludf.DUMMYFUNCTION("""COMPUTED_VALUE"""),"Thử việc")</f>
        <v>Thử việc</v>
      </c>
      <c r="U152" s="22"/>
      <c r="V152" s="22" t="str">
        <f>IFERROR(__xludf.DUMMYFUNCTION("""COMPUTED_VALUE"""),"Thử việc")</f>
        <v>Thử việc</v>
      </c>
      <c r="W152" s="22" t="str">
        <f>IFERROR(__xludf.DUMMYFUNCTION("""COMPUTED_VALUE"""),"0 năm 2 tháng")</f>
        <v>0 năm 2 tháng</v>
      </c>
      <c r="X152" s="22"/>
      <c r="Y152" s="22"/>
      <c r="Z152" s="22"/>
    </row>
    <row r="153">
      <c r="A153" s="23" t="str">
        <f>IFERROR(__xludf.DUMMYFUNCTION("""COMPUTED_VALUE"""),"10")</f>
        <v>10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3" t="str">
        <f>IFERROR(__xludf.DUMMYFUNCTION("""COMPUTED_VALUE"""),"4.3")</f>
        <v>4.3</v>
      </c>
      <c r="B154" s="22" t="str">
        <f>IFERROR(__xludf.DUMMYFUNCTION("""COMPUTED_VALUE"""),"Lò nung Ca B")</f>
        <v>Lò nung Ca B</v>
      </c>
      <c r="C154" s="22">
        <f>IFERROR(__xludf.DUMMYFUNCTION("""COMPUTED_VALUE"""),9.0)</f>
        <v>9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3" t="str">
        <f>IFERROR(__xludf.DUMMYFUNCTION("""COMPUTED_VALUE"""),"1")</f>
        <v>1</v>
      </c>
      <c r="B155" s="22" t="str">
        <f>IFERROR(__xludf.DUMMYFUNCTION("""COMPUTED_VALUE"""),"PXSX1")</f>
        <v>PXSX1</v>
      </c>
      <c r="C155" s="22" t="str">
        <f>IFERROR(__xludf.DUMMYFUNCTION("""COMPUTED_VALUE"""),"Bộ phận nung và hoàn thiện sản phẩm")</f>
        <v>Bộ phận nung và hoàn thiện sản phẩm</v>
      </c>
      <c r="D155" s="22" t="str">
        <f>IFERROR(__xludf.DUMMYFUNCTION("""COMPUTED_VALUE"""),"Lò nung Ca B")</f>
        <v>Lò nung Ca B</v>
      </c>
      <c r="E155" s="22" t="str">
        <f>IFERROR(__xludf.DUMMYFUNCTION("""COMPUTED_VALUE"""),"Dỡ gạch DC1")</f>
        <v>Dỡ gạch DC1</v>
      </c>
      <c r="F155" s="22" t="str">
        <f>IFERROR(__xludf.DUMMYFUNCTION("""COMPUTED_VALUE"""),"NV1596")</f>
        <v>NV1596</v>
      </c>
      <c r="G155" s="22">
        <f>IFERROR(__xludf.DUMMYFUNCTION("""COMPUTED_VALUE"""),133.0)</f>
        <v>133</v>
      </c>
      <c r="H155" s="22" t="str">
        <f>IFERROR(__xludf.DUMMYFUNCTION("""COMPUTED_VALUE"""),"Hoàng Minh Cảnh")</f>
        <v>Hoàng Minh Cảnh</v>
      </c>
      <c r="I155" s="22" t="str">
        <f>IFERROR(__xludf.DUMMYFUNCTION("""COMPUTED_VALUE"""),"Nam")</f>
        <v>Nam</v>
      </c>
      <c r="J155" s="24">
        <f>IFERROR(__xludf.DUMMYFUNCTION("""COMPUTED_VALUE"""),28783.0)</f>
        <v>28783</v>
      </c>
      <c r="K155" s="22" t="str">
        <f>IFERROR(__xludf.DUMMYFUNCTION("""COMPUTED_VALUE"""),"Khu phố 3 - Phường Quang Trung - Tỉnh Thanh Hóa")</f>
        <v>Khu phố 3 - Phường Quang Trung - Tỉnh Thanh Hóa</v>
      </c>
      <c r="L155" s="22" t="str">
        <f>IFERROR(__xludf.DUMMYFUNCTION("""COMPUTED_VALUE"""),"0358055456")</f>
        <v>0358055456</v>
      </c>
      <c r="M155" s="22" t="str">
        <f>IFERROR(__xludf.DUMMYFUNCTION("""COMPUTED_VALUE"""),"038078001218")</f>
        <v>038078001218</v>
      </c>
      <c r="N155" s="24">
        <f>IFERROR(__xludf.DUMMYFUNCTION("""COMPUTED_VALUE"""),42558.0)</f>
        <v>42558</v>
      </c>
      <c r="O155" s="22" t="str">
        <f>IFERROR(__xludf.DUMMYFUNCTION("""COMPUTED_VALUE"""),"Cục Cảnh sát QLHC về TTXH")</f>
        <v>Cục Cảnh sát QLHC về TTXH</v>
      </c>
      <c r="P155" s="22" t="str">
        <f>IFERROR(__xludf.DUMMYFUNCTION("""COMPUTED_VALUE"""),"Sơ cấp nghề")</f>
        <v>Sơ cấp nghề</v>
      </c>
      <c r="Q155" s="22" t="str">
        <f>IFERROR(__xludf.DUMMYFUNCTION("""COMPUTED_VALUE"""),"công nghệ thông tin")</f>
        <v>công nghệ thông tin</v>
      </c>
      <c r="R155" s="24">
        <f>IFERROR(__xludf.DUMMYFUNCTION("""COMPUTED_VALUE"""),43307.0)</f>
        <v>43307</v>
      </c>
      <c r="S155" s="24">
        <f>IFERROR(__xludf.DUMMYFUNCTION("""COMPUTED_VALUE"""),43647.0)</f>
        <v>43647</v>
      </c>
      <c r="T155" s="22" t="str">
        <f>IFERROR(__xludf.DUMMYFUNCTION("""COMPUTED_VALUE"""),"Chính thức")</f>
        <v>Chính thức</v>
      </c>
      <c r="U155" s="22"/>
      <c r="V155" s="22"/>
      <c r="W155" s="22" t="str">
        <f>IFERROR(__xludf.DUMMYFUNCTION("""COMPUTED_VALUE"""),"7 năm 5 tháng")</f>
        <v>7 năm 5 tháng</v>
      </c>
      <c r="X155" s="22"/>
      <c r="Y155" s="22"/>
      <c r="Z155" s="22"/>
    </row>
    <row r="156">
      <c r="A156" s="23" t="str">
        <f>IFERROR(__xludf.DUMMYFUNCTION("""COMPUTED_VALUE"""),"2")</f>
        <v>2</v>
      </c>
      <c r="B156" s="22" t="str">
        <f>IFERROR(__xludf.DUMMYFUNCTION("""COMPUTED_VALUE"""),"PXSX1")</f>
        <v>PXSX1</v>
      </c>
      <c r="C156" s="22" t="str">
        <f>IFERROR(__xludf.DUMMYFUNCTION("""COMPUTED_VALUE"""),"Bộ phận nung và hoàn thiện sản phẩm")</f>
        <v>Bộ phận nung và hoàn thiện sản phẩm</v>
      </c>
      <c r="D156" s="22" t="str">
        <f>IFERROR(__xludf.DUMMYFUNCTION("""COMPUTED_VALUE"""),"Lò nung Ca B")</f>
        <v>Lò nung Ca B</v>
      </c>
      <c r="E156" s="22" t="str">
        <f>IFERROR(__xludf.DUMMYFUNCTION("""COMPUTED_VALUE"""),"Dỡ gạch chính ")</f>
        <v>Dỡ gạch chính </v>
      </c>
      <c r="F156" s="22" t="str">
        <f>IFERROR(__xludf.DUMMYFUNCTION("""COMPUTED_VALUE"""),"NV0216")</f>
        <v>NV0216</v>
      </c>
      <c r="G156" s="22">
        <f>IFERROR(__xludf.DUMMYFUNCTION("""COMPUTED_VALUE"""),131.0)</f>
        <v>131</v>
      </c>
      <c r="H156" s="22" t="str">
        <f>IFERROR(__xludf.DUMMYFUNCTION("""COMPUTED_VALUE"""),"Nguyễn Văn Dũng (84)")</f>
        <v>Nguyễn Văn Dũng (84)</v>
      </c>
      <c r="I156" s="22" t="str">
        <f>IFERROR(__xludf.DUMMYFUNCTION("""COMPUTED_VALUE"""),"Nam")</f>
        <v>Nam</v>
      </c>
      <c r="J156" s="24">
        <f>IFERROR(__xludf.DUMMYFUNCTION("""COMPUTED_VALUE"""),30930.0)</f>
        <v>30930</v>
      </c>
      <c r="K156" s="22" t="str">
        <f>IFERROR(__xludf.DUMMYFUNCTION("""COMPUTED_VALUE"""),"Xã Lưu Vệ - Tỉnh Thanh Hóa ")</f>
        <v>Xã Lưu Vệ - Tỉnh Thanh Hóa </v>
      </c>
      <c r="L156" s="22" t="str">
        <f>IFERROR(__xludf.DUMMYFUNCTION("""COMPUTED_VALUE"""),"0975086833")</f>
        <v>0975086833</v>
      </c>
      <c r="M156" s="22" t="str">
        <f>IFERROR(__xludf.DUMMYFUNCTION("""COMPUTED_VALUE"""),"038084001290")</f>
        <v>038084001290</v>
      </c>
      <c r="N156" s="24">
        <f>IFERROR(__xludf.DUMMYFUNCTION("""COMPUTED_VALUE"""),44423.0)</f>
        <v>44423</v>
      </c>
      <c r="O156" s="22" t="str">
        <f>IFERROR(__xludf.DUMMYFUNCTION("""COMPUTED_VALUE"""),"Cục Cảnh sát QLHC về TTXH")</f>
        <v>Cục Cảnh sát QLHC về TTXH</v>
      </c>
      <c r="P156" s="22" t="str">
        <f>IFERROR(__xludf.DUMMYFUNCTION("""COMPUTED_VALUE"""),"LĐPT")</f>
        <v>LĐPT</v>
      </c>
      <c r="Q156" s="22" t="str">
        <f>IFERROR(__xludf.DUMMYFUNCTION("""COMPUTED_VALUE"""),"Lao động phổ thông")</f>
        <v>Lao động phổ thông</v>
      </c>
      <c r="R156" s="22"/>
      <c r="S156" s="22"/>
      <c r="T156" s="22" t="str">
        <f>IFERROR(__xludf.DUMMYFUNCTION("""COMPUTED_VALUE"""),"Chính thức")</f>
        <v>Chính thức</v>
      </c>
      <c r="U156" s="22"/>
      <c r="V156" s="22"/>
      <c r="W156" s="22"/>
      <c r="X156" s="22"/>
      <c r="Y156" s="22"/>
      <c r="Z156" s="22"/>
    </row>
    <row r="157">
      <c r="A157" s="23" t="str">
        <f>IFERROR(__xludf.DUMMYFUNCTION("""COMPUTED_VALUE"""),"3")</f>
        <v>3</v>
      </c>
      <c r="B157" s="22" t="str">
        <f>IFERROR(__xludf.DUMMYFUNCTION("""COMPUTED_VALUE"""),"PXSX1")</f>
        <v>PXSX1</v>
      </c>
      <c r="C157" s="22" t="str">
        <f>IFERROR(__xludf.DUMMYFUNCTION("""COMPUTED_VALUE"""),"Bộ phận nung và hoàn thiện sản phẩm")</f>
        <v>Bộ phận nung và hoàn thiện sản phẩm</v>
      </c>
      <c r="D157" s="22" t="str">
        <f>IFERROR(__xludf.DUMMYFUNCTION("""COMPUTED_VALUE"""),"Lò nung Ca B")</f>
        <v>Lò nung Ca B</v>
      </c>
      <c r="E157" s="22" t="str">
        <f>IFERROR(__xludf.DUMMYFUNCTION("""COMPUTED_VALUE"""),"Vận hành lò")</f>
        <v>Vận hành lò</v>
      </c>
      <c r="F157" s="22" t="str">
        <f>IFERROR(__xludf.DUMMYFUNCTION("""COMPUTED_VALUE"""),"NV2825")</f>
        <v>NV2825</v>
      </c>
      <c r="G157" s="22">
        <f>IFERROR(__xludf.DUMMYFUNCTION("""COMPUTED_VALUE"""),197.0)</f>
        <v>197</v>
      </c>
      <c r="H157" s="22" t="str">
        <f>IFERROR(__xludf.DUMMYFUNCTION("""COMPUTED_VALUE"""),"Đỗ Văn Tú")</f>
        <v>Đỗ Văn Tú</v>
      </c>
      <c r="I157" s="22" t="str">
        <f>IFERROR(__xludf.DUMMYFUNCTION("""COMPUTED_VALUE"""),"Nam")</f>
        <v>Nam</v>
      </c>
      <c r="J157" s="24">
        <f>IFERROR(__xludf.DUMMYFUNCTION("""COMPUTED_VALUE"""),30960.0)</f>
        <v>30960</v>
      </c>
      <c r="K157" s="22" t="str">
        <f>IFERROR(__xludf.DUMMYFUNCTION("""COMPUTED_VALUE"""),"Xã Vạn Lộc - Tỉnh Thanh Hóa")</f>
        <v>Xã Vạn Lộc - Tỉnh Thanh Hóa</v>
      </c>
      <c r="L157" s="22" t="str">
        <f>IFERROR(__xludf.DUMMYFUNCTION("""COMPUTED_VALUE"""),"0983034490")</f>
        <v>0983034490</v>
      </c>
      <c r="M157" s="22" t="str">
        <f>IFERROR(__xludf.DUMMYFUNCTION("""COMPUTED_VALUE"""),"038084037144")</f>
        <v>038084037144</v>
      </c>
      <c r="N157" s="24">
        <f>IFERROR(__xludf.DUMMYFUNCTION("""COMPUTED_VALUE"""),44941.0)</f>
        <v>44941</v>
      </c>
      <c r="O157" s="22" t="str">
        <f>IFERROR(__xludf.DUMMYFUNCTION("""COMPUTED_VALUE"""),"Cục Cảnh sát QLHC về TTXH")</f>
        <v>Cục Cảnh sát QLHC về TTXH</v>
      </c>
      <c r="P157" s="22" t="str">
        <f>IFERROR(__xludf.DUMMYFUNCTION("""COMPUTED_VALUE"""),"Cao đẳng")</f>
        <v>Cao đẳng</v>
      </c>
      <c r="Q157" s="22" t="str">
        <f>IFERROR(__xludf.DUMMYFUNCTION("""COMPUTED_VALUE"""),"công nghệ thông tin")</f>
        <v>công nghệ thông tin</v>
      </c>
      <c r="R157" s="24">
        <f>IFERROR(__xludf.DUMMYFUNCTION("""COMPUTED_VALUE"""),43886.0)</f>
        <v>43886</v>
      </c>
      <c r="S157" s="24">
        <f>IFERROR(__xludf.DUMMYFUNCTION("""COMPUTED_VALUE"""),44166.0)</f>
        <v>44166</v>
      </c>
      <c r="T157" s="22" t="str">
        <f>IFERROR(__xludf.DUMMYFUNCTION("""COMPUTED_VALUE"""),"Chính thức")</f>
        <v>Chính thức</v>
      </c>
      <c r="U157" s="22"/>
      <c r="V157" s="22"/>
      <c r="W157" s="22" t="str">
        <f>IFERROR(__xludf.DUMMYFUNCTION("""COMPUTED_VALUE"""),"5 năm 10 tháng")</f>
        <v>5 năm 10 tháng</v>
      </c>
      <c r="X157" s="22"/>
      <c r="Y157" s="22"/>
      <c r="Z157" s="22"/>
    </row>
    <row r="158">
      <c r="A158" s="23" t="str">
        <f>IFERROR(__xludf.DUMMYFUNCTION("""COMPUTED_VALUE"""),"4")</f>
        <v>4</v>
      </c>
      <c r="B158" s="22" t="str">
        <f>IFERROR(__xludf.DUMMYFUNCTION("""COMPUTED_VALUE"""),"PXSX1")</f>
        <v>PXSX1</v>
      </c>
      <c r="C158" s="22" t="str">
        <f>IFERROR(__xludf.DUMMYFUNCTION("""COMPUTED_VALUE"""),"Bộ phận nung và hoàn thiện sản phẩm")</f>
        <v>Bộ phận nung và hoàn thiện sản phẩm</v>
      </c>
      <c r="D158" s="22" t="str">
        <f>IFERROR(__xludf.DUMMYFUNCTION("""COMPUTED_VALUE"""),"Lò nung Ca B")</f>
        <v>Lò nung Ca B</v>
      </c>
      <c r="E158" s="22" t="str">
        <f>IFERROR(__xludf.DUMMYFUNCTION("""COMPUTED_VALUE"""),"Công nhân vận hành chính")</f>
        <v>Công nhân vận hành chính</v>
      </c>
      <c r="F158" s="22" t="str">
        <f>IFERROR(__xludf.DUMMYFUNCTION("""COMPUTED_VALUE"""),"NV0210")</f>
        <v>NV0210</v>
      </c>
      <c r="G158" s="22">
        <f>IFERROR(__xludf.DUMMYFUNCTION("""COMPUTED_VALUE"""),151.0)</f>
        <v>151</v>
      </c>
      <c r="H158" s="22" t="str">
        <f>IFERROR(__xludf.DUMMYFUNCTION("""COMPUTED_VALUE"""),"Nguyễn Hữu Thảo")</f>
        <v>Nguyễn Hữu Thảo</v>
      </c>
      <c r="I158" s="22" t="str">
        <f>IFERROR(__xludf.DUMMYFUNCTION("""COMPUTED_VALUE"""),"Nam")</f>
        <v>Nam</v>
      </c>
      <c r="J158" s="24">
        <f>IFERROR(__xludf.DUMMYFUNCTION("""COMPUTED_VALUE"""),31644.0)</f>
        <v>31644</v>
      </c>
      <c r="K158" s="22" t="str">
        <f>IFERROR(__xludf.DUMMYFUNCTION("""COMPUTED_VALUE"""),"Phường Quảng Phú - Tỉnh Thanh Hóa")</f>
        <v>Phường Quảng Phú - Tỉnh Thanh Hóa</v>
      </c>
      <c r="L158" s="22" t="str">
        <f>IFERROR(__xludf.DUMMYFUNCTION("""COMPUTED_VALUE"""),"0936003947")</f>
        <v>0936003947</v>
      </c>
      <c r="M158" s="22" t="str">
        <f>IFERROR(__xludf.DUMMYFUNCTION("""COMPUTED_VALUE"""),"038086048892")</f>
        <v>038086048892</v>
      </c>
      <c r="N158" s="24">
        <f>IFERROR(__xludf.DUMMYFUNCTION("""COMPUTED_VALUE"""),44422.0)</f>
        <v>44422</v>
      </c>
      <c r="O158" s="22" t="str">
        <f>IFERROR(__xludf.DUMMYFUNCTION("""COMPUTED_VALUE"""),"Cục Cảnh sát QLHC về TTXH")</f>
        <v>Cục Cảnh sát QLHC về TTXH</v>
      </c>
      <c r="P158" s="22" t="str">
        <f>IFERROR(__xludf.DUMMYFUNCTION("""COMPUTED_VALUE"""),"Trung cấp")</f>
        <v>Trung cấp</v>
      </c>
      <c r="Q158" s="22" t="str">
        <f>IFERROR(__xludf.DUMMYFUNCTION("""COMPUTED_VALUE"""),"Điện")</f>
        <v>Điện</v>
      </c>
      <c r="R158" s="24">
        <f>IFERROR(__xludf.DUMMYFUNCTION("""COMPUTED_VALUE"""),41204.0)</f>
        <v>41204</v>
      </c>
      <c r="S158" s="24">
        <f>IFERROR(__xludf.DUMMYFUNCTION("""COMPUTED_VALUE"""),41204.0)</f>
        <v>41204</v>
      </c>
      <c r="T158" s="22" t="str">
        <f>IFERROR(__xludf.DUMMYFUNCTION("""COMPUTED_VALUE"""),"Chính thức")</f>
        <v>Chính thức</v>
      </c>
      <c r="U158" s="22"/>
      <c r="V158" s="22"/>
      <c r="W158" s="22" t="str">
        <f>IFERROR(__xludf.DUMMYFUNCTION("""COMPUTED_VALUE"""),"13 năm 2 tháng")</f>
        <v>13 năm 2 tháng</v>
      </c>
      <c r="X158" s="22"/>
      <c r="Y158" s="22"/>
      <c r="Z158" s="22"/>
    </row>
    <row r="159">
      <c r="A159" s="23" t="str">
        <f>IFERROR(__xludf.DUMMYFUNCTION("""COMPUTED_VALUE"""),"5")</f>
        <v>5</v>
      </c>
      <c r="B159" s="22" t="str">
        <f>IFERROR(__xludf.DUMMYFUNCTION("""COMPUTED_VALUE"""),"PXSX1")</f>
        <v>PXSX1</v>
      </c>
      <c r="C159" s="22" t="str">
        <f>IFERROR(__xludf.DUMMYFUNCTION("""COMPUTED_VALUE"""),"Bộ phận nung và hoàn thiện sản phẩm")</f>
        <v>Bộ phận nung và hoàn thiện sản phẩm</v>
      </c>
      <c r="D159" s="22" t="str">
        <f>IFERROR(__xludf.DUMMYFUNCTION("""COMPUTED_VALUE"""),"Lò nung Ca B")</f>
        <v>Lò nung Ca B</v>
      </c>
      <c r="E159" s="22" t="str">
        <f>IFERROR(__xludf.DUMMYFUNCTION("""COMPUTED_VALUE"""),"Tổ phó - Phụ trách Lò nung")</f>
        <v>Tổ phó - Phụ trách Lò nung</v>
      </c>
      <c r="F159" s="22" t="str">
        <f>IFERROR(__xludf.DUMMYFUNCTION("""COMPUTED_VALUE"""),"NV1186")</f>
        <v>NV1186</v>
      </c>
      <c r="G159" s="22">
        <f>IFERROR(__xludf.DUMMYFUNCTION("""COMPUTED_VALUE"""),334.0)</f>
        <v>334</v>
      </c>
      <c r="H159" s="22" t="str">
        <f>IFERROR(__xludf.DUMMYFUNCTION("""COMPUTED_VALUE"""),"Nguyễn Xuân Hải")</f>
        <v>Nguyễn Xuân Hải</v>
      </c>
      <c r="I159" s="22" t="str">
        <f>IFERROR(__xludf.DUMMYFUNCTION("""COMPUTED_VALUE"""),"Nam")</f>
        <v>Nam</v>
      </c>
      <c r="J159" s="24">
        <f>IFERROR(__xludf.DUMMYFUNCTION("""COMPUTED_VALUE"""),31861.0)</f>
        <v>31861</v>
      </c>
      <c r="K159" s="22" t="str">
        <f>IFERROR(__xludf.DUMMYFUNCTION("""COMPUTED_VALUE"""),"01B/32 Phạm Ngủ Lão - Phường Hạc Thành - Tỉnh Thanh Hóa")</f>
        <v>01B/32 Phạm Ngủ Lão - Phường Hạc Thành - Tỉnh Thanh Hóa</v>
      </c>
      <c r="L159" s="22" t="str">
        <f>IFERROR(__xludf.DUMMYFUNCTION("""COMPUTED_VALUE"""),"0337896684")</f>
        <v>0337896684</v>
      </c>
      <c r="M159" s="22" t="str">
        <f>IFERROR(__xludf.DUMMYFUNCTION("""COMPUTED_VALUE"""),"038087036391")</f>
        <v>038087036391</v>
      </c>
      <c r="N159" s="24">
        <f>IFERROR(__xludf.DUMMYFUNCTION("""COMPUTED_VALUE"""),44460.0)</f>
        <v>44460</v>
      </c>
      <c r="O159" s="22" t="str">
        <f>IFERROR(__xludf.DUMMYFUNCTION("""COMPUTED_VALUE"""),"Cục Cảnh sát QLHC về TTXH")</f>
        <v>Cục Cảnh sát QLHC về TTXH</v>
      </c>
      <c r="P159" s="22" t="str">
        <f>IFERROR(__xludf.DUMMYFUNCTION("""COMPUTED_VALUE"""),"Đại học")</f>
        <v>Đại học</v>
      </c>
      <c r="Q159" s="22" t="str">
        <f>IFERROR(__xludf.DUMMYFUNCTION("""COMPUTED_VALUE"""),"Công nghệ chế tạo máy")</f>
        <v>Công nghệ chế tạo máy</v>
      </c>
      <c r="R159" s="24">
        <f>IFERROR(__xludf.DUMMYFUNCTION("""COMPUTED_VALUE"""),43129.0)</f>
        <v>43129</v>
      </c>
      <c r="S159" s="24">
        <f>IFERROR(__xludf.DUMMYFUNCTION("""COMPUTED_VALUE"""),44531.0)</f>
        <v>44531</v>
      </c>
      <c r="T159" s="22" t="str">
        <f>IFERROR(__xludf.DUMMYFUNCTION("""COMPUTED_VALUE"""),"Chính thức")</f>
        <v>Chính thức</v>
      </c>
      <c r="U159" s="22"/>
      <c r="V159" s="22" t="str">
        <f>IFERROR(__xludf.DUMMYFUNCTION("""COMPUTED_VALUE"""),"Nghỉ phép")</f>
        <v>Nghỉ phép</v>
      </c>
      <c r="W159" s="22" t="str">
        <f>IFERROR(__xludf.DUMMYFUNCTION("""COMPUTED_VALUE"""),"7 năm 11 tháng")</f>
        <v>7 năm 11 tháng</v>
      </c>
      <c r="X159" s="22"/>
      <c r="Y159" s="22"/>
      <c r="Z159" s="22"/>
    </row>
    <row r="160">
      <c r="A160" s="23" t="str">
        <f>IFERROR(__xludf.DUMMYFUNCTION("""COMPUTED_VALUE"""),"6")</f>
        <v>6</v>
      </c>
      <c r="B160" s="22" t="str">
        <f>IFERROR(__xludf.DUMMYFUNCTION("""COMPUTED_VALUE"""),"PXSX1")</f>
        <v>PXSX1</v>
      </c>
      <c r="C160" s="22" t="str">
        <f>IFERROR(__xludf.DUMMYFUNCTION("""COMPUTED_VALUE"""),"Bộ phận nung và hoàn thiện sản phẩm")</f>
        <v>Bộ phận nung và hoàn thiện sản phẩm</v>
      </c>
      <c r="D160" s="22" t="str">
        <f>IFERROR(__xludf.DUMMYFUNCTION("""COMPUTED_VALUE"""),"Lò nung Ca B")</f>
        <v>Lò nung Ca B</v>
      </c>
      <c r="E160" s="22" t="str">
        <f>IFERROR(__xludf.DUMMYFUNCTION("""COMPUTED_VALUE"""),"Vận hành chính")</f>
        <v>Vận hành chính</v>
      </c>
      <c r="F160" s="22" t="str">
        <f>IFERROR(__xludf.DUMMYFUNCTION("""COMPUTED_VALUE"""),"NV1092")</f>
        <v>NV1092</v>
      </c>
      <c r="G160" s="22">
        <f>IFERROR(__xludf.DUMMYFUNCTION("""COMPUTED_VALUE"""),272.0)</f>
        <v>272</v>
      </c>
      <c r="H160" s="22" t="str">
        <f>IFERROR(__xludf.DUMMYFUNCTION("""COMPUTED_VALUE"""),"Lê Bá Minh")</f>
        <v>Lê Bá Minh</v>
      </c>
      <c r="I160" s="22" t="str">
        <f>IFERROR(__xludf.DUMMYFUNCTION("""COMPUTED_VALUE"""),"Nam")</f>
        <v>Nam</v>
      </c>
      <c r="J160" s="24">
        <f>IFERROR(__xludf.DUMMYFUNCTION("""COMPUTED_VALUE"""),32764.0)</f>
        <v>32764</v>
      </c>
      <c r="K160" s="22" t="str">
        <f>IFERROR(__xludf.DUMMYFUNCTION("""COMPUTED_VALUE"""),"Thôn 2 - Phường Quảng Phú - Tỉnh Thanh Hóa")</f>
        <v>Thôn 2 - Phường Quảng Phú - Tỉnh Thanh Hóa</v>
      </c>
      <c r="L160" s="22" t="str">
        <f>IFERROR(__xludf.DUMMYFUNCTION("""COMPUTED_VALUE"""),"0868735700")</f>
        <v>0868735700</v>
      </c>
      <c r="M160" s="22" t="str">
        <f>IFERROR(__xludf.DUMMYFUNCTION("""COMPUTED_VALUE"""),"038081049182")</f>
        <v>038081049182</v>
      </c>
      <c r="N160" s="24">
        <f>IFERROR(__xludf.DUMMYFUNCTION("""COMPUTED_VALUE"""),44422.0)</f>
        <v>44422</v>
      </c>
      <c r="O160" s="22" t="str">
        <f>IFERROR(__xludf.DUMMYFUNCTION("""COMPUTED_VALUE"""),"Cục Cảnh sát QLHC về TTXH")</f>
        <v>Cục Cảnh sát QLHC về TTXH</v>
      </c>
      <c r="P160" s="22" t="str">
        <f>IFERROR(__xludf.DUMMYFUNCTION("""COMPUTED_VALUE"""),"LĐPT")</f>
        <v>LĐPT</v>
      </c>
      <c r="Q160" s="22" t="str">
        <f>IFERROR(__xludf.DUMMYFUNCTION("""COMPUTED_VALUE"""),"Lao động phổ thông")</f>
        <v>Lao động phổ thông</v>
      </c>
      <c r="R160" s="24">
        <f>IFERROR(__xludf.DUMMYFUNCTION("""COMPUTED_VALUE"""),43001.0)</f>
        <v>43001</v>
      </c>
      <c r="S160" s="24">
        <f>IFERROR(__xludf.DUMMYFUNCTION("""COMPUTED_VALUE"""),43001.0)</f>
        <v>43001</v>
      </c>
      <c r="T160" s="22" t="str">
        <f>IFERROR(__xludf.DUMMYFUNCTION("""COMPUTED_VALUE"""),"Chính thức")</f>
        <v>Chính thức</v>
      </c>
      <c r="U160" s="22"/>
      <c r="V160" s="22" t="str">
        <f>IFERROR(__xludf.DUMMYFUNCTION("""COMPUTED_VALUE"""),"Nghỉ phép")</f>
        <v>Nghỉ phép</v>
      </c>
      <c r="W160" s="22" t="str">
        <f>IFERROR(__xludf.DUMMYFUNCTION("""COMPUTED_VALUE"""),"8 năm 3 tháng")</f>
        <v>8 năm 3 tháng</v>
      </c>
      <c r="X160" s="22"/>
      <c r="Y160" s="22"/>
      <c r="Z160" s="22"/>
    </row>
    <row r="161">
      <c r="A161" s="23" t="str">
        <f>IFERROR(__xludf.DUMMYFUNCTION("""COMPUTED_VALUE"""),"7")</f>
        <v>7</v>
      </c>
      <c r="B161" s="22" t="str">
        <f>IFERROR(__xludf.DUMMYFUNCTION("""COMPUTED_VALUE"""),"PXSX1")</f>
        <v>PXSX1</v>
      </c>
      <c r="C161" s="22" t="str">
        <f>IFERROR(__xludf.DUMMYFUNCTION("""COMPUTED_VALUE"""),"Bộ phận nung và hoàn thiện sản phẩm")</f>
        <v>Bộ phận nung và hoàn thiện sản phẩm</v>
      </c>
      <c r="D161" s="22" t="str">
        <f>IFERROR(__xludf.DUMMYFUNCTION("""COMPUTED_VALUE"""),"Lò nung Ca B")</f>
        <v>Lò nung Ca B</v>
      </c>
      <c r="E161" s="22" t="str">
        <f>IFERROR(__xludf.DUMMYFUNCTION("""COMPUTED_VALUE"""),"Tổ phó")</f>
        <v>Tổ phó</v>
      </c>
      <c r="F161" s="22" t="str">
        <f>IFERROR(__xludf.DUMMYFUNCTION("""COMPUTED_VALUE"""),"NV0207")</f>
        <v>NV0207</v>
      </c>
      <c r="G161" s="22">
        <f>IFERROR(__xludf.DUMMYFUNCTION("""COMPUTED_VALUE"""),310.0)</f>
        <v>310</v>
      </c>
      <c r="H161" s="22" t="str">
        <f>IFERROR(__xludf.DUMMYFUNCTION("""COMPUTED_VALUE"""),"Nguyễn Phú Thêm")</f>
        <v>Nguyễn Phú Thêm</v>
      </c>
      <c r="I161" s="22" t="str">
        <f>IFERROR(__xludf.DUMMYFUNCTION("""COMPUTED_VALUE"""),"Nam")</f>
        <v>Nam</v>
      </c>
      <c r="J161" s="24">
        <f>IFERROR(__xludf.DUMMYFUNCTION("""COMPUTED_VALUE"""),33395.0)</f>
        <v>33395</v>
      </c>
      <c r="K161" s="22" t="str">
        <f>IFERROR(__xludf.DUMMYFUNCTION("""COMPUTED_VALUE"""),"Phường Nam Sầm Sơn - Tỉnh Thanh Hóa")</f>
        <v>Phường Nam Sầm Sơn - Tỉnh Thanh Hóa</v>
      </c>
      <c r="L161" s="22" t="str">
        <f>IFERROR(__xludf.DUMMYFUNCTION("""COMPUTED_VALUE"""),"0961543233")</f>
        <v>0961543233</v>
      </c>
      <c r="M161" s="22" t="str">
        <f>IFERROR(__xludf.DUMMYFUNCTION("""COMPUTED_VALUE"""),"038091012033")</f>
        <v>038091012033</v>
      </c>
      <c r="N161" s="24">
        <f>IFERROR(__xludf.DUMMYFUNCTION("""COMPUTED_VALUE"""),44418.0)</f>
        <v>44418</v>
      </c>
      <c r="O161" s="22" t="str">
        <f>IFERROR(__xludf.DUMMYFUNCTION("""COMPUTED_VALUE"""),"Cục Cảnh sát QLHC về TTXH")</f>
        <v>Cục Cảnh sát QLHC về TTXH</v>
      </c>
      <c r="P161" s="22" t="str">
        <f>IFERROR(__xludf.DUMMYFUNCTION("""COMPUTED_VALUE"""),"Trung cấp")</f>
        <v>Trung cấp</v>
      </c>
      <c r="Q161" s="22" t="str">
        <f>IFERROR(__xludf.DUMMYFUNCTION("""COMPUTED_VALUE"""),"Công nghệ kỹ thuật Ô tô")</f>
        <v>Công nghệ kỹ thuật Ô tô</v>
      </c>
      <c r="R161" s="24">
        <f>IFERROR(__xludf.DUMMYFUNCTION("""COMPUTED_VALUE"""),41933.0)</f>
        <v>41933</v>
      </c>
      <c r="S161" s="24">
        <f>IFERROR(__xludf.DUMMYFUNCTION("""COMPUTED_VALUE"""),41933.0)</f>
        <v>41933</v>
      </c>
      <c r="T161" s="22" t="str">
        <f>IFERROR(__xludf.DUMMYFUNCTION("""COMPUTED_VALUE"""),"Chính thức")</f>
        <v>Chính thức</v>
      </c>
      <c r="U161" s="22"/>
      <c r="V161" s="22"/>
      <c r="W161" s="22" t="str">
        <f>IFERROR(__xludf.DUMMYFUNCTION("""COMPUTED_VALUE"""),"11 năm 2 tháng")</f>
        <v>11 năm 2 tháng</v>
      </c>
      <c r="X161" s="22"/>
      <c r="Y161" s="22"/>
      <c r="Z161" s="22"/>
    </row>
    <row r="162">
      <c r="A162" s="23" t="str">
        <f>IFERROR(__xludf.DUMMYFUNCTION("""COMPUTED_VALUE"""),"8")</f>
        <v>8</v>
      </c>
      <c r="B162" s="22" t="str">
        <f>IFERROR(__xludf.DUMMYFUNCTION("""COMPUTED_VALUE"""),"PXSX1")</f>
        <v>PXSX1</v>
      </c>
      <c r="C162" s="22" t="str">
        <f>IFERROR(__xludf.DUMMYFUNCTION("""COMPUTED_VALUE"""),"Bộ phận nung và hoàn thiện sản phẩm")</f>
        <v>Bộ phận nung và hoàn thiện sản phẩm</v>
      </c>
      <c r="D162" s="22" t="str">
        <f>IFERROR(__xludf.DUMMYFUNCTION("""COMPUTED_VALUE"""),"Lò nung Ca B")</f>
        <v>Lò nung Ca B</v>
      </c>
      <c r="E162" s="22" t="str">
        <f>IFERROR(__xludf.DUMMYFUNCTION("""COMPUTED_VALUE"""),"Công nhân vận hành")</f>
        <v>Công nhân vận hành</v>
      </c>
      <c r="F162" s="22" t="str">
        <f>IFERROR(__xludf.DUMMYFUNCTION("""COMPUTED_VALUE"""),"NV3382")</f>
        <v>NV3382</v>
      </c>
      <c r="G162" s="22">
        <f>IFERROR(__xludf.DUMMYFUNCTION("""COMPUTED_VALUE"""),311.0)</f>
        <v>311</v>
      </c>
      <c r="H162" s="22" t="str">
        <f>IFERROR(__xludf.DUMMYFUNCTION("""COMPUTED_VALUE"""),"Đặng Đình Hà")</f>
        <v>Đặng Đình Hà</v>
      </c>
      <c r="I162" s="22" t="str">
        <f>IFERROR(__xludf.DUMMYFUNCTION("""COMPUTED_VALUE"""),"Nam")</f>
        <v>Nam</v>
      </c>
      <c r="J162" s="24">
        <f>IFERROR(__xludf.DUMMYFUNCTION("""COMPUTED_VALUE"""),33520.0)</f>
        <v>33520</v>
      </c>
      <c r="K162" s="22" t="str">
        <f>IFERROR(__xludf.DUMMYFUNCTION("""COMPUTED_VALUE"""),"Thôn 9 - Phường Nam Sầm Sơn - Tỉnh Thanh Hóa")</f>
        <v>Thôn 9 - Phường Nam Sầm Sơn - Tỉnh Thanh Hóa</v>
      </c>
      <c r="L162" s="22" t="str">
        <f>IFERROR(__xludf.DUMMYFUNCTION("""COMPUTED_VALUE"""),"0337758313")</f>
        <v>0337758313</v>
      </c>
      <c r="M162" s="22" t="str">
        <f>IFERROR(__xludf.DUMMYFUNCTION("""COMPUTED_VALUE"""),"038091014719")</f>
        <v>038091014719</v>
      </c>
      <c r="N162" s="24">
        <f>IFERROR(__xludf.DUMMYFUNCTION("""COMPUTED_VALUE"""),44418.0)</f>
        <v>44418</v>
      </c>
      <c r="O162" s="22" t="str">
        <f>IFERROR(__xludf.DUMMYFUNCTION("""COMPUTED_VALUE"""),"Cục Cảnh sát QLHC về TTXH")</f>
        <v>Cục Cảnh sát QLHC về TTXH</v>
      </c>
      <c r="P162" s="22" t="str">
        <f>IFERROR(__xludf.DUMMYFUNCTION("""COMPUTED_VALUE"""),"LĐPT")</f>
        <v>LĐPT</v>
      </c>
      <c r="Q162" s="22" t="str">
        <f>IFERROR(__xludf.DUMMYFUNCTION("""COMPUTED_VALUE"""),"Lao động phổ thông")</f>
        <v>Lao động phổ thông</v>
      </c>
      <c r="R162" s="24">
        <f>IFERROR(__xludf.DUMMYFUNCTION("""COMPUTED_VALUE"""),44152.0)</f>
        <v>44152</v>
      </c>
      <c r="S162" s="24">
        <f>IFERROR(__xludf.DUMMYFUNCTION("""COMPUTED_VALUE"""),44440.0)</f>
        <v>44440</v>
      </c>
      <c r="T162" s="22" t="str">
        <f>IFERROR(__xludf.DUMMYFUNCTION("""COMPUTED_VALUE"""),"Chính thức")</f>
        <v>Chính thức</v>
      </c>
      <c r="U162" s="22"/>
      <c r="V162" s="22"/>
      <c r="W162" s="22" t="str">
        <f>IFERROR(__xludf.DUMMYFUNCTION("""COMPUTED_VALUE"""),"5 năm 1 tháng")</f>
        <v>5 năm 1 tháng</v>
      </c>
      <c r="X162" s="22"/>
      <c r="Y162" s="22"/>
      <c r="Z162" s="22"/>
    </row>
    <row r="163">
      <c r="A163" s="23" t="str">
        <f>IFERROR(__xludf.DUMMYFUNCTION("""COMPUTED_VALUE"""),"9")</f>
        <v>9</v>
      </c>
      <c r="B163" s="22" t="str">
        <f>IFERROR(__xludf.DUMMYFUNCTION("""COMPUTED_VALUE"""),"PXSX1")</f>
        <v>PXSX1</v>
      </c>
      <c r="C163" s="22" t="str">
        <f>IFERROR(__xludf.DUMMYFUNCTION("""COMPUTED_VALUE"""),"Bộ phận nung và hoàn thiện sản phẩm")</f>
        <v>Bộ phận nung và hoàn thiện sản phẩm</v>
      </c>
      <c r="D163" s="22" t="str">
        <f>IFERROR(__xludf.DUMMYFUNCTION("""COMPUTED_VALUE"""),"Lò nung Ca B")</f>
        <v>Lò nung Ca B</v>
      </c>
      <c r="E163" s="22" t="str">
        <f>IFERROR(__xludf.DUMMYFUNCTION("""COMPUTED_VALUE"""),"Bảo trì lò DC1")</f>
        <v>Bảo trì lò DC1</v>
      </c>
      <c r="F163" s="22" t="str">
        <f>IFERROR(__xludf.DUMMYFUNCTION("""COMPUTED_VALUE"""),"NV4388")</f>
        <v>NV4388</v>
      </c>
      <c r="G163" s="22">
        <f>IFERROR(__xludf.DUMMYFUNCTION("""COMPUTED_VALUE"""),1265.0)</f>
        <v>1265</v>
      </c>
      <c r="H163" s="22" t="str">
        <f>IFERROR(__xludf.DUMMYFUNCTION("""COMPUTED_VALUE"""),"Đỗ Văn Hùng Anh")</f>
        <v>Đỗ Văn Hùng Anh</v>
      </c>
      <c r="I163" s="22" t="str">
        <f>IFERROR(__xludf.DUMMYFUNCTION("""COMPUTED_VALUE"""),"Nam")</f>
        <v>Nam</v>
      </c>
      <c r="J163" s="24">
        <f>IFERROR(__xludf.DUMMYFUNCTION("""COMPUTED_VALUE"""),36872.0)</f>
        <v>36872</v>
      </c>
      <c r="K163" s="22" t="str">
        <f>IFERROR(__xludf.DUMMYFUNCTION("""COMPUTED_VALUE"""),"TDP Đài Trúc- Phường Sầm Sơn - Tỉnh Thanh Hóa")</f>
        <v>TDP Đài Trúc- Phường Sầm Sơn - Tỉnh Thanh Hóa</v>
      </c>
      <c r="L163" s="22" t="str">
        <f>IFERROR(__xludf.DUMMYFUNCTION("""COMPUTED_VALUE"""),"0347178836")</f>
        <v>0347178836</v>
      </c>
      <c r="M163" s="22" t="str">
        <f>IFERROR(__xludf.DUMMYFUNCTION("""COMPUTED_VALUE"""),"038200019062")</f>
        <v>038200019062</v>
      </c>
      <c r="N163" s="24">
        <f>IFERROR(__xludf.DUMMYFUNCTION("""COMPUTED_VALUE"""),45422.0)</f>
        <v>45422</v>
      </c>
      <c r="O163" s="22" t="str">
        <f>IFERROR(__xludf.DUMMYFUNCTION("""COMPUTED_VALUE"""),"Cục Cảnh sát QLHC về TTXH")</f>
        <v>Cục Cảnh sát QLHC về TTXH</v>
      </c>
      <c r="P163" s="22" t="str">
        <f>IFERROR(__xludf.DUMMYFUNCTION("""COMPUTED_VALUE"""),"LĐPT")</f>
        <v>LĐPT</v>
      </c>
      <c r="Q163" s="22" t="str">
        <f>IFERROR(__xludf.DUMMYFUNCTION("""COMPUTED_VALUE"""),"Lao động phổ thông")</f>
        <v>Lao động phổ thông</v>
      </c>
      <c r="R163" s="24">
        <f>IFERROR(__xludf.DUMMYFUNCTION("""COMPUTED_VALUE"""),45961.0)</f>
        <v>45961</v>
      </c>
      <c r="S163" s="22"/>
      <c r="T163" s="22" t="str">
        <f>IFERROR(__xludf.DUMMYFUNCTION("""COMPUTED_VALUE"""),"Thử việc")</f>
        <v>Thử việc</v>
      </c>
      <c r="U163" s="22"/>
      <c r="V163" s="22" t="str">
        <f>IFERROR(__xludf.DUMMYFUNCTION("""COMPUTED_VALUE"""),"Thử việc")</f>
        <v>Thử việc</v>
      </c>
      <c r="W163" s="22" t="str">
        <f>IFERROR(__xludf.DUMMYFUNCTION("""COMPUTED_VALUE"""),"0 năm 2 tháng")</f>
        <v>0 năm 2 tháng</v>
      </c>
      <c r="X163" s="22"/>
      <c r="Y163" s="22"/>
      <c r="Z163" s="22"/>
    </row>
    <row r="164">
      <c r="A164" s="23" t="str">
        <f>IFERROR(__xludf.DUMMYFUNCTION("""COMPUTED_VALUE"""),"10")</f>
        <v>10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3" t="str">
        <f>IFERROR(__xludf.DUMMYFUNCTION("""COMPUTED_VALUE"""),"4.4")</f>
        <v>4.4</v>
      </c>
      <c r="B165" s="22" t="str">
        <f>IFERROR(__xludf.DUMMYFUNCTION("""COMPUTED_VALUE"""),"Lò nung Ca C")</f>
        <v>Lò nung Ca C</v>
      </c>
      <c r="C165" s="22">
        <f>IFERROR(__xludf.DUMMYFUNCTION("""COMPUTED_VALUE"""),0.0)</f>
        <v>0</v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3" t="str">
        <f>IFERROR(__xludf.DUMMYFUNCTION("""COMPUTED_VALUE"""),"1")</f>
        <v>1</v>
      </c>
      <c r="B166" s="22" t="str">
        <f>IFERROR(__xludf.DUMMYFUNCTION("""COMPUTED_VALUE"""),"#N/A")</f>
        <v>#N/A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3" t="str">
        <f>IFERROR(__xludf.DUMMYFUNCTION("""COMPUTED_VALUE"""),"2")</f>
        <v>2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3" t="str">
        <f>IFERROR(__xludf.DUMMYFUNCTION("""COMPUTED_VALUE"""),"3")</f>
        <v>3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3" t="str">
        <f>IFERROR(__xludf.DUMMYFUNCTION("""COMPUTED_VALUE"""),"4")</f>
        <v>4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3" t="str">
        <f>IFERROR(__xludf.DUMMYFUNCTION("""COMPUTED_VALUE"""),"5")</f>
        <v>5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3" t="str">
        <f>IFERROR(__xludf.DUMMYFUNCTION("""COMPUTED_VALUE"""),"6")</f>
        <v>6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3" t="str">
        <f>IFERROR(__xludf.DUMMYFUNCTION("""COMPUTED_VALUE"""),"7")</f>
        <v>7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3" t="str">
        <f>IFERROR(__xludf.DUMMYFUNCTION("""COMPUTED_VALUE"""),"8")</f>
        <v>8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3" t="str">
        <f>IFERROR(__xludf.DUMMYFUNCTION("""COMPUTED_VALUE"""),"9")</f>
        <v>9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3" t="str">
        <f>IFERROR(__xludf.DUMMYFUNCTION("""COMPUTED_VALUE"""),"10")</f>
        <v>10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3" t="str">
        <f>IFERROR(__xludf.DUMMYFUNCTION("""COMPUTED_VALUE"""),"4.5")</f>
        <v>4.5</v>
      </c>
      <c r="B176" s="22" t="str">
        <f>IFERROR(__xludf.DUMMYFUNCTION("""COMPUTED_VALUE"""),"Dây chuyền Mài Ca A")</f>
        <v>Dây chuyền Mài Ca A</v>
      </c>
      <c r="C176" s="22">
        <f>IFERROR(__xludf.DUMMYFUNCTION("""COMPUTED_VALUE"""),16.0)</f>
        <v>16</v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3" t="str">
        <f>IFERROR(__xludf.DUMMYFUNCTION("""COMPUTED_VALUE"""),"1")</f>
        <v>1</v>
      </c>
      <c r="B177" s="22" t="str">
        <f>IFERROR(__xludf.DUMMYFUNCTION("""COMPUTED_VALUE"""),"PXSX1")</f>
        <v>PXSX1</v>
      </c>
      <c r="C177" s="22" t="str">
        <f>IFERROR(__xludf.DUMMYFUNCTION("""COMPUTED_VALUE"""),"Bộ phận nung và hoàn thiện sản phẩm")</f>
        <v>Bộ phận nung và hoàn thiện sản phẩm</v>
      </c>
      <c r="D177" s="22" t="str">
        <f>IFERROR(__xludf.DUMMYFUNCTION("""COMPUTED_VALUE"""),"Dây chuyền Mài Ca A")</f>
        <v>Dây chuyền Mài Ca A</v>
      </c>
      <c r="E177" s="22" t="str">
        <f>IFERROR(__xludf.DUMMYFUNCTION("""COMPUTED_VALUE"""),"Bốc sót sau máy mài nano DC2")</f>
        <v>Bốc sót sau máy mài nano DC2</v>
      </c>
      <c r="F177" s="22" t="str">
        <f>IFERROR(__xludf.DUMMYFUNCTION("""COMPUTED_VALUE"""),"NV1336")</f>
        <v>NV1336</v>
      </c>
      <c r="G177" s="22">
        <f>IFERROR(__xludf.DUMMYFUNCTION("""COMPUTED_VALUE"""),273.0)</f>
        <v>273</v>
      </c>
      <c r="H177" s="22" t="str">
        <f>IFERROR(__xludf.DUMMYFUNCTION("""COMPUTED_VALUE"""),"Đinh Văn Đô")</f>
        <v>Đinh Văn Đô</v>
      </c>
      <c r="I177" s="22" t="str">
        <f>IFERROR(__xludf.DUMMYFUNCTION("""COMPUTED_VALUE"""),"Nam")</f>
        <v>Nam</v>
      </c>
      <c r="J177" s="24">
        <f>IFERROR(__xludf.DUMMYFUNCTION("""COMPUTED_VALUE"""),27780.0)</f>
        <v>27780</v>
      </c>
      <c r="K177" s="22" t="str">
        <f>IFERROR(__xludf.DUMMYFUNCTION("""COMPUTED_VALUE"""),"Châu Chính - Phường Sầm Sơn - Tỉnh Thanh Hóa")</f>
        <v>Châu Chính - Phường Sầm Sơn - Tỉnh Thanh Hóa</v>
      </c>
      <c r="L177" s="22" t="str">
        <f>IFERROR(__xludf.DUMMYFUNCTION("""COMPUTED_VALUE"""),"0332187499")</f>
        <v>0332187499</v>
      </c>
      <c r="M177" s="22" t="str">
        <f>IFERROR(__xludf.DUMMYFUNCTION("""COMPUTED_VALUE"""),"038076003636")</f>
        <v>038076003636</v>
      </c>
      <c r="N177" s="24">
        <f>IFERROR(__xludf.DUMMYFUNCTION("""COMPUTED_VALUE"""),42801.0)</f>
        <v>42801</v>
      </c>
      <c r="O177" s="22" t="str">
        <f>IFERROR(__xludf.DUMMYFUNCTION("""COMPUTED_VALUE"""),"Cục Cảnh sát QLHC về TTXH")</f>
        <v>Cục Cảnh sát QLHC về TTXH</v>
      </c>
      <c r="P177" s="22" t="str">
        <f>IFERROR(__xludf.DUMMYFUNCTION("""COMPUTED_VALUE"""),"LĐPT")</f>
        <v>LĐPT</v>
      </c>
      <c r="Q177" s="22" t="str">
        <f>IFERROR(__xludf.DUMMYFUNCTION("""COMPUTED_VALUE"""),"Lao động phổ thông")</f>
        <v>Lao động phổ thông</v>
      </c>
      <c r="R177" s="24">
        <f>IFERROR(__xludf.DUMMYFUNCTION("""COMPUTED_VALUE"""),43902.0)</f>
        <v>43902</v>
      </c>
      <c r="S177" s="24">
        <f>IFERROR(__xludf.DUMMYFUNCTION("""COMPUTED_VALUE"""),44197.0)</f>
        <v>44197</v>
      </c>
      <c r="T177" s="22" t="str">
        <f>IFERROR(__xludf.DUMMYFUNCTION("""COMPUTED_VALUE"""),"Chính thức")</f>
        <v>Chính thức</v>
      </c>
      <c r="U177" s="22"/>
      <c r="V177" s="22" t="str">
        <f>IFERROR(__xludf.DUMMYFUNCTION("""COMPUTED_VALUE"""),"Nghỉ phép")</f>
        <v>Nghỉ phép</v>
      </c>
      <c r="W177" s="22" t="str">
        <f>IFERROR(__xludf.DUMMYFUNCTION("""COMPUTED_VALUE"""),"5 năm 9 tháng")</f>
        <v>5 năm 9 tháng</v>
      </c>
      <c r="X177" s="22"/>
      <c r="Y177" s="22"/>
      <c r="Z177" s="22"/>
    </row>
    <row r="178">
      <c r="A178" s="23" t="str">
        <f>IFERROR(__xludf.DUMMYFUNCTION("""COMPUTED_VALUE"""),"2")</f>
        <v>2</v>
      </c>
      <c r="B178" s="22" t="str">
        <f>IFERROR(__xludf.DUMMYFUNCTION("""COMPUTED_VALUE"""),"PXSX1")</f>
        <v>PXSX1</v>
      </c>
      <c r="C178" s="22" t="str">
        <f>IFERROR(__xludf.DUMMYFUNCTION("""COMPUTED_VALUE"""),"Bộ phận nung và hoàn thiện sản phẩm")</f>
        <v>Bộ phận nung và hoàn thiện sản phẩm</v>
      </c>
      <c r="D178" s="22" t="str">
        <f>IFERROR(__xludf.DUMMYFUNCTION("""COMPUTED_VALUE"""),"Dây chuyền Mài Ca A")</f>
        <v>Dây chuyền Mài Ca A</v>
      </c>
      <c r="E178" s="22" t="str">
        <f>IFERROR(__xludf.DUMMYFUNCTION("""COMPUTED_VALUE"""),"VH Chính máy Nano DC1")</f>
        <v>VH Chính máy Nano DC1</v>
      </c>
      <c r="F178" s="22" t="str">
        <f>IFERROR(__xludf.DUMMYFUNCTION("""COMPUTED_VALUE"""),"NV5038")</f>
        <v>NV5038</v>
      </c>
      <c r="G178" s="22">
        <f>IFERROR(__xludf.DUMMYFUNCTION("""COMPUTED_VALUE"""),270.0)</f>
        <v>270</v>
      </c>
      <c r="H178" s="22" t="str">
        <f>IFERROR(__xludf.DUMMYFUNCTION("""COMPUTED_VALUE"""),"Phạm Ngọc Tân")</f>
        <v>Phạm Ngọc Tân</v>
      </c>
      <c r="I178" s="22" t="str">
        <f>IFERROR(__xludf.DUMMYFUNCTION("""COMPUTED_VALUE"""),"Nam")</f>
        <v>Nam</v>
      </c>
      <c r="J178" s="24">
        <f>IFERROR(__xludf.DUMMYFUNCTION("""COMPUTED_VALUE"""),29787.0)</f>
        <v>29787</v>
      </c>
      <c r="K178" s="22" t="str">
        <f>IFERROR(__xludf.DUMMYFUNCTION("""COMPUTED_VALUE"""),"Lê Thánh Tông - Phường Hạc Thành - Tỉnh Thanh Hóa")</f>
        <v>Lê Thánh Tông - Phường Hạc Thành - Tỉnh Thanh Hóa</v>
      </c>
      <c r="L178" s="22" t="str">
        <f>IFERROR(__xludf.DUMMYFUNCTION("""COMPUTED_VALUE"""),"0968603382")</f>
        <v>0968603382</v>
      </c>
      <c r="M178" s="22" t="str">
        <f>IFERROR(__xludf.DUMMYFUNCTION("""COMPUTED_VALUE"""),"038081007176")</f>
        <v>038081007176</v>
      </c>
      <c r="N178" s="24">
        <f>IFERROR(__xludf.DUMMYFUNCTION("""COMPUTED_VALUE"""),44311.0)</f>
        <v>44311</v>
      </c>
      <c r="O178" s="22" t="str">
        <f>IFERROR(__xludf.DUMMYFUNCTION("""COMPUTED_VALUE"""),"Cục Cảnh sát QLHC về TTXH")</f>
        <v>Cục Cảnh sát QLHC về TTXH</v>
      </c>
      <c r="P178" s="22" t="str">
        <f>IFERROR(__xludf.DUMMYFUNCTION("""COMPUTED_VALUE"""),"LĐPT")</f>
        <v>LĐPT</v>
      </c>
      <c r="Q178" s="22" t="str">
        <f>IFERROR(__xludf.DUMMYFUNCTION("""COMPUTED_VALUE"""),"Lao động phổ thông")</f>
        <v>Lao động phổ thông</v>
      </c>
      <c r="R178" s="24">
        <f>IFERROR(__xludf.DUMMYFUNCTION("""COMPUTED_VALUE"""),45356.0)</f>
        <v>45356</v>
      </c>
      <c r="S178" s="24">
        <f>IFERROR(__xludf.DUMMYFUNCTION("""COMPUTED_VALUE"""),45444.0)</f>
        <v>45444</v>
      </c>
      <c r="T178" s="22" t="str">
        <f>IFERROR(__xludf.DUMMYFUNCTION("""COMPUTED_VALUE"""),"Chính thức")</f>
        <v>Chính thức</v>
      </c>
      <c r="U178" s="22"/>
      <c r="V178" s="22"/>
      <c r="W178" s="22" t="str">
        <f>IFERROR(__xludf.DUMMYFUNCTION("""COMPUTED_VALUE"""),"1 năm 9 tháng")</f>
        <v>1 năm 9 tháng</v>
      </c>
      <c r="X178" s="22"/>
      <c r="Y178" s="22"/>
      <c r="Z178" s="22"/>
    </row>
    <row r="179">
      <c r="A179" s="23" t="str">
        <f>IFERROR(__xludf.DUMMYFUNCTION("""COMPUTED_VALUE"""),"3")</f>
        <v>3</v>
      </c>
      <c r="B179" s="22" t="str">
        <f>IFERROR(__xludf.DUMMYFUNCTION("""COMPUTED_VALUE"""),"PXSX1")</f>
        <v>PXSX1</v>
      </c>
      <c r="C179" s="22" t="str">
        <f>IFERROR(__xludf.DUMMYFUNCTION("""COMPUTED_VALUE"""),"Bộ phận nung và hoàn thiện sản phẩm")</f>
        <v>Bộ phận nung và hoàn thiện sản phẩm</v>
      </c>
      <c r="D179" s="22" t="str">
        <f>IFERROR(__xludf.DUMMYFUNCTION("""COMPUTED_VALUE"""),"Dây chuyền Mài Ca A")</f>
        <v>Dây chuyền Mài Ca A</v>
      </c>
      <c r="E179" s="22" t="str">
        <f>IFERROR(__xludf.DUMMYFUNCTION("""COMPUTED_VALUE"""),"Bốc sót sau máy mài nano DC1")</f>
        <v>Bốc sót sau máy mài nano DC1</v>
      </c>
      <c r="F179" s="22" t="str">
        <f>IFERROR(__xludf.DUMMYFUNCTION("""COMPUTED_VALUE"""),"NV4995")</f>
        <v>NV4995</v>
      </c>
      <c r="G179" s="22">
        <f>IFERROR(__xludf.DUMMYFUNCTION("""COMPUTED_VALUE"""),269.0)</f>
        <v>269</v>
      </c>
      <c r="H179" s="22" t="str">
        <f>IFERROR(__xludf.DUMMYFUNCTION("""COMPUTED_VALUE"""),"Phạm Duy Nam")</f>
        <v>Phạm Duy Nam</v>
      </c>
      <c r="I179" s="22" t="str">
        <f>IFERROR(__xludf.DUMMYFUNCTION("""COMPUTED_VALUE"""),"Nam")</f>
        <v>Nam</v>
      </c>
      <c r="J179" s="24">
        <f>IFERROR(__xludf.DUMMYFUNCTION("""COMPUTED_VALUE"""),30209.0)</f>
        <v>30209</v>
      </c>
      <c r="K179" s="22" t="str">
        <f>IFERROR(__xludf.DUMMYFUNCTION("""COMPUTED_VALUE"""),"Xã Quảng Bình - Tỉnh Thanh Hóa")</f>
        <v>Xã Quảng Bình - Tỉnh Thanh Hóa</v>
      </c>
      <c r="L179" s="22" t="str">
        <f>IFERROR(__xludf.DUMMYFUNCTION("""COMPUTED_VALUE"""),"0985278236")</f>
        <v>0985278236</v>
      </c>
      <c r="M179" s="22" t="str">
        <f>IFERROR(__xludf.DUMMYFUNCTION("""COMPUTED_VALUE"""),"038082017220")</f>
        <v>038082017220</v>
      </c>
      <c r="N179" s="24">
        <f>IFERROR(__xludf.DUMMYFUNCTION("""COMPUTED_VALUE"""),45149.0)</f>
        <v>45149</v>
      </c>
      <c r="O179" s="22" t="str">
        <f>IFERROR(__xludf.DUMMYFUNCTION("""COMPUTED_VALUE"""),"Cục Cảnh sát QLHC về TTXH")</f>
        <v>Cục Cảnh sát QLHC về TTXH</v>
      </c>
      <c r="P179" s="22" t="str">
        <f>IFERROR(__xludf.DUMMYFUNCTION("""COMPUTED_VALUE"""),"LĐPT")</f>
        <v>LĐPT</v>
      </c>
      <c r="Q179" s="22" t="str">
        <f>IFERROR(__xludf.DUMMYFUNCTION("""COMPUTED_VALUE"""),"Lao động phổ thông")</f>
        <v>Lao động phổ thông</v>
      </c>
      <c r="R179" s="24">
        <f>IFERROR(__xludf.DUMMYFUNCTION("""COMPUTED_VALUE"""),45342.0)</f>
        <v>45342</v>
      </c>
      <c r="S179" s="24">
        <f>IFERROR(__xludf.DUMMYFUNCTION("""COMPUTED_VALUE"""),45444.0)</f>
        <v>45444</v>
      </c>
      <c r="T179" s="22" t="str">
        <f>IFERROR(__xludf.DUMMYFUNCTION("""COMPUTED_VALUE"""),"Chính thức")</f>
        <v>Chính thức</v>
      </c>
      <c r="U179" s="22"/>
      <c r="V179" s="22"/>
      <c r="W179" s="22" t="str">
        <f>IFERROR(__xludf.DUMMYFUNCTION("""COMPUTED_VALUE"""),"1 năm 10 tháng")</f>
        <v>1 năm 10 tháng</v>
      </c>
      <c r="X179" s="22"/>
      <c r="Y179" s="22"/>
      <c r="Z179" s="22"/>
    </row>
    <row r="180">
      <c r="A180" s="23" t="str">
        <f>IFERROR(__xludf.DUMMYFUNCTION("""COMPUTED_VALUE"""),"4")</f>
        <v>4</v>
      </c>
      <c r="B180" s="22" t="str">
        <f>IFERROR(__xludf.DUMMYFUNCTION("""COMPUTED_VALUE"""),"PXSX1")</f>
        <v>PXSX1</v>
      </c>
      <c r="C180" s="22" t="str">
        <f>IFERROR(__xludf.DUMMYFUNCTION("""COMPUTED_VALUE"""),"Bộ phận nung và hoàn thiện sản phẩm")</f>
        <v>Bộ phận nung và hoàn thiện sản phẩm</v>
      </c>
      <c r="D180" s="22" t="str">
        <f>IFERROR(__xludf.DUMMYFUNCTION("""COMPUTED_VALUE"""),"Dây chuyền Mài Ca A")</f>
        <v>Dây chuyền Mài Ca A</v>
      </c>
      <c r="E180" s="22" t="str">
        <f>IFERROR(__xludf.DUMMYFUNCTION("""COMPUTED_VALUE"""),"Nhóm trưởng đầu rải")</f>
        <v>Nhóm trưởng đầu rải</v>
      </c>
      <c r="F180" s="22" t="str">
        <f>IFERROR(__xludf.DUMMYFUNCTION("""COMPUTED_VALUE"""),"NV0220")</f>
        <v>NV0220</v>
      </c>
      <c r="G180" s="22">
        <f>IFERROR(__xludf.DUMMYFUNCTION("""COMPUTED_VALUE"""),567.0)</f>
        <v>567</v>
      </c>
      <c r="H180" s="22" t="str">
        <f>IFERROR(__xludf.DUMMYFUNCTION("""COMPUTED_VALUE"""),"Lê Minh Tuân")</f>
        <v>Lê Minh Tuân</v>
      </c>
      <c r="I180" s="22" t="str">
        <f>IFERROR(__xludf.DUMMYFUNCTION("""COMPUTED_VALUE"""),"Nam")</f>
        <v>Nam</v>
      </c>
      <c r="J180" s="24">
        <f>IFERROR(__xludf.DUMMYFUNCTION("""COMPUTED_VALUE"""),30796.0)</f>
        <v>30796</v>
      </c>
      <c r="K180" s="22" t="str">
        <f>IFERROR(__xludf.DUMMYFUNCTION("""COMPUTED_VALUE"""),"Xã Hoằng Anh - TP Thanh Hóa")</f>
        <v>Xã Hoằng Anh - TP Thanh Hóa</v>
      </c>
      <c r="L180" s="22" t="str">
        <f>IFERROR(__xludf.DUMMYFUNCTION("""COMPUTED_VALUE"""),"0981096967")</f>
        <v>0981096967</v>
      </c>
      <c r="M180" s="22" t="str">
        <f>IFERROR(__xludf.DUMMYFUNCTION("""COMPUTED_VALUE"""),"038084034842")</f>
        <v>038084034842</v>
      </c>
      <c r="N180" s="24">
        <f>IFERROR(__xludf.DUMMYFUNCTION("""COMPUTED_VALUE"""),44440.0)</f>
        <v>44440</v>
      </c>
      <c r="O180" s="22" t="str">
        <f>IFERROR(__xludf.DUMMYFUNCTION("""COMPUTED_VALUE"""),"Cục Cảnh sát QLHC về TTXH")</f>
        <v>Cục Cảnh sát QLHC về TTXH</v>
      </c>
      <c r="P180" s="22" t="str">
        <f>IFERROR(__xludf.DUMMYFUNCTION("""COMPUTED_VALUE"""),"Cao đẳng")</f>
        <v>Cao đẳng</v>
      </c>
      <c r="Q180" s="22" t="str">
        <f>IFERROR(__xludf.DUMMYFUNCTION("""COMPUTED_VALUE"""),"Hóa dầu")</f>
        <v>Hóa dầu</v>
      </c>
      <c r="R180" s="24">
        <f>IFERROR(__xludf.DUMMYFUNCTION("""COMPUTED_VALUE"""),42444.0)</f>
        <v>42444</v>
      </c>
      <c r="S180" s="24">
        <f>IFERROR(__xludf.DUMMYFUNCTION("""COMPUTED_VALUE"""),42444.0)</f>
        <v>42444</v>
      </c>
      <c r="T180" s="22" t="str">
        <f>IFERROR(__xludf.DUMMYFUNCTION("""COMPUTED_VALUE"""),"Chính thức")</f>
        <v>Chính thức</v>
      </c>
      <c r="U180" s="22"/>
      <c r="V180" s="22"/>
      <c r="W180" s="22" t="str">
        <f>IFERROR(__xludf.DUMMYFUNCTION("""COMPUTED_VALUE"""),"9 năm 9 tháng")</f>
        <v>9 năm 9 tháng</v>
      </c>
      <c r="X180" s="22"/>
      <c r="Y180" s="22"/>
      <c r="Z180" s="22"/>
    </row>
    <row r="181">
      <c r="A181" s="23" t="str">
        <f>IFERROR(__xludf.DUMMYFUNCTION("""COMPUTED_VALUE"""),"5")</f>
        <v>5</v>
      </c>
      <c r="B181" s="22" t="str">
        <f>IFERROR(__xludf.DUMMYFUNCTION("""COMPUTED_VALUE"""),"PXSX1")</f>
        <v>PXSX1</v>
      </c>
      <c r="C181" s="22" t="str">
        <f>IFERROR(__xludf.DUMMYFUNCTION("""COMPUTED_VALUE"""),"Bộ phận nung và hoàn thiện sản phẩm")</f>
        <v>Bộ phận nung và hoàn thiện sản phẩm</v>
      </c>
      <c r="D181" s="22" t="str">
        <f>IFERROR(__xludf.DUMMYFUNCTION("""COMPUTED_VALUE"""),"Dây chuyền Mài Ca A")</f>
        <v>Dây chuyền Mài Ca A</v>
      </c>
      <c r="E181" s="22" t="str">
        <f>IFERROR(__xludf.DUMMYFUNCTION("""COMPUTED_VALUE"""),"Vận hành máy mài cạnh mức 1")</f>
        <v>Vận hành máy mài cạnh mức 1</v>
      </c>
      <c r="F181" s="22" t="str">
        <f>IFERROR(__xludf.DUMMYFUNCTION("""COMPUTED_VALUE"""),"NV3589")</f>
        <v>NV3589</v>
      </c>
      <c r="G181" s="22">
        <f>IFERROR(__xludf.DUMMYFUNCTION("""COMPUTED_VALUE"""),261.0)</f>
        <v>261</v>
      </c>
      <c r="H181" s="22" t="str">
        <f>IFERROR(__xludf.DUMMYFUNCTION("""COMPUTED_VALUE"""),"Lê Văn Biên")</f>
        <v>Lê Văn Biên</v>
      </c>
      <c r="I181" s="22" t="str">
        <f>IFERROR(__xludf.DUMMYFUNCTION("""COMPUTED_VALUE"""),"Nam")</f>
        <v>Nam</v>
      </c>
      <c r="J181" s="24">
        <f>IFERROR(__xludf.DUMMYFUNCTION("""COMPUTED_VALUE"""),31100.0)</f>
        <v>31100</v>
      </c>
      <c r="K181" s="22" t="str">
        <f>IFERROR(__xludf.DUMMYFUNCTION("""COMPUTED_VALUE"""),"Xã Quảng Yên - Tỉnh Thanh Hóa")</f>
        <v>Xã Quảng Yên - Tỉnh Thanh Hóa</v>
      </c>
      <c r="L181" s="22" t="str">
        <f>IFERROR(__xludf.DUMMYFUNCTION("""COMPUTED_VALUE"""),"0387605636")</f>
        <v>0387605636</v>
      </c>
      <c r="M181" s="22" t="str">
        <f>IFERROR(__xludf.DUMMYFUNCTION("""COMPUTED_VALUE"""),"038085040365")</f>
        <v>038085040365</v>
      </c>
      <c r="N181" s="24">
        <f>IFERROR(__xludf.DUMMYFUNCTION("""COMPUTED_VALUE"""),44375.0)</f>
        <v>44375</v>
      </c>
      <c r="O181" s="22" t="str">
        <f>IFERROR(__xludf.DUMMYFUNCTION("""COMPUTED_VALUE"""),"Cục Cảnh sát QLHC về TTXH")</f>
        <v>Cục Cảnh sát QLHC về TTXH</v>
      </c>
      <c r="P181" s="22" t="str">
        <f>IFERROR(__xludf.DUMMYFUNCTION("""COMPUTED_VALUE"""),"LĐPT")</f>
        <v>LĐPT</v>
      </c>
      <c r="Q181" s="22" t="str">
        <f>IFERROR(__xludf.DUMMYFUNCTION("""COMPUTED_VALUE"""),"Lao động phổ thông")</f>
        <v>Lao động phổ thông</v>
      </c>
      <c r="R181" s="24">
        <f>IFERROR(__xludf.DUMMYFUNCTION("""COMPUTED_VALUE"""),44506.0)</f>
        <v>44506</v>
      </c>
      <c r="S181" s="24">
        <f>IFERROR(__xludf.DUMMYFUNCTION("""COMPUTED_VALUE"""),44805.0)</f>
        <v>44805</v>
      </c>
      <c r="T181" s="22" t="str">
        <f>IFERROR(__xludf.DUMMYFUNCTION("""COMPUTED_VALUE"""),"Chính thức")</f>
        <v>Chính thức</v>
      </c>
      <c r="U181" s="22"/>
      <c r="V181" s="22"/>
      <c r="W181" s="22" t="str">
        <f>IFERROR(__xludf.DUMMYFUNCTION("""COMPUTED_VALUE"""),"4 năm 1 tháng")</f>
        <v>4 năm 1 tháng</v>
      </c>
      <c r="X181" s="22"/>
      <c r="Y181" s="22"/>
      <c r="Z181" s="22"/>
    </row>
    <row r="182">
      <c r="A182" s="23" t="str">
        <f>IFERROR(__xludf.DUMMYFUNCTION("""COMPUTED_VALUE"""),"6")</f>
        <v>6</v>
      </c>
      <c r="B182" s="22" t="str">
        <f>IFERROR(__xludf.DUMMYFUNCTION("""COMPUTED_VALUE"""),"PXSX1")</f>
        <v>PXSX1</v>
      </c>
      <c r="C182" s="22" t="str">
        <f>IFERROR(__xludf.DUMMYFUNCTION("""COMPUTED_VALUE"""),"Bộ phận nung và hoàn thiện sản phẩm")</f>
        <v>Bộ phận nung và hoàn thiện sản phẩm</v>
      </c>
      <c r="D182" s="22" t="str">
        <f>IFERROR(__xludf.DUMMYFUNCTION("""COMPUTED_VALUE"""),"Dây chuyền Mài Ca A")</f>
        <v>Dây chuyền Mài Ca A</v>
      </c>
      <c r="E182" s="22" t="str">
        <f>IFERROR(__xludf.DUMMYFUNCTION("""COMPUTED_VALUE"""),"Vận hành máy mài cạnh Mức 2")</f>
        <v>Vận hành máy mài cạnh Mức 2</v>
      </c>
      <c r="F182" s="22" t="str">
        <f>IFERROR(__xludf.DUMMYFUNCTION("""COMPUTED_VALUE"""),"NV4524")</f>
        <v>NV4524</v>
      </c>
      <c r="G182" s="22">
        <f>IFERROR(__xludf.DUMMYFUNCTION("""COMPUTED_VALUE"""),835.0)</f>
        <v>835</v>
      </c>
      <c r="H182" s="22" t="str">
        <f>IFERROR(__xludf.DUMMYFUNCTION("""COMPUTED_VALUE"""),"Nguyễn Hữu Dũng ")</f>
        <v>Nguyễn Hữu Dũng </v>
      </c>
      <c r="I182" s="22" t="str">
        <f>IFERROR(__xludf.DUMMYFUNCTION("""COMPUTED_VALUE"""),"Nam")</f>
        <v>Nam</v>
      </c>
      <c r="J182" s="24">
        <f>IFERROR(__xludf.DUMMYFUNCTION("""COMPUTED_VALUE"""),31420.0)</f>
        <v>31420</v>
      </c>
      <c r="K182" s="22" t="str">
        <f>IFERROR(__xludf.DUMMYFUNCTION("""COMPUTED_VALUE"""),"Xã An Nông - Tỉnh Thanh Hóa ")</f>
        <v>Xã An Nông - Tỉnh Thanh Hóa </v>
      </c>
      <c r="L182" s="22" t="str">
        <f>IFERROR(__xludf.DUMMYFUNCTION("""COMPUTED_VALUE"""),"0973444568")</f>
        <v>0973444568</v>
      </c>
      <c r="M182" s="22" t="str">
        <f>IFERROR(__xludf.DUMMYFUNCTION("""COMPUTED_VALUE"""),"038086004047")</f>
        <v>038086004047</v>
      </c>
      <c r="N182" s="24">
        <f>IFERROR(__xludf.DUMMYFUNCTION("""COMPUTED_VALUE"""),44759.0)</f>
        <v>44759</v>
      </c>
      <c r="O182" s="22" t="str">
        <f>IFERROR(__xludf.DUMMYFUNCTION("""COMPUTED_VALUE"""),"Cục Cảnh sát QLHC về TTXH")</f>
        <v>Cục Cảnh sát QLHC về TTXH</v>
      </c>
      <c r="P182" s="22" t="str">
        <f>IFERROR(__xludf.DUMMYFUNCTION("""COMPUTED_VALUE"""),"LĐPT")</f>
        <v>LĐPT</v>
      </c>
      <c r="Q182" s="22" t="str">
        <f>IFERROR(__xludf.DUMMYFUNCTION("""COMPUTED_VALUE"""),"Lao động phổ thông")</f>
        <v>Lao động phổ thông</v>
      </c>
      <c r="R182" s="24">
        <f>IFERROR(__xludf.DUMMYFUNCTION("""COMPUTED_VALUE"""),45696.0)</f>
        <v>45696</v>
      </c>
      <c r="S182" s="24">
        <f>IFERROR(__xludf.DUMMYFUNCTION("""COMPUTED_VALUE"""),45696.0)</f>
        <v>45696</v>
      </c>
      <c r="T182" s="22" t="str">
        <f>IFERROR(__xludf.DUMMYFUNCTION("""COMPUTED_VALUE"""),"Chính thức")</f>
        <v>Chính thức</v>
      </c>
      <c r="U182" s="22"/>
      <c r="V182" s="22"/>
      <c r="W182" s="22" t="str">
        <f>IFERROR(__xludf.DUMMYFUNCTION("""COMPUTED_VALUE"""),"0 năm 10 tháng")</f>
        <v>0 năm 10 tháng</v>
      </c>
      <c r="X182" s="22"/>
      <c r="Y182" s="22"/>
      <c r="Z182" s="22"/>
    </row>
    <row r="183">
      <c r="A183" s="23" t="str">
        <f>IFERROR(__xludf.DUMMYFUNCTION("""COMPUTED_VALUE"""),"7")</f>
        <v>7</v>
      </c>
      <c r="B183" s="22" t="str">
        <f>IFERROR(__xludf.DUMMYFUNCTION("""COMPUTED_VALUE"""),"PXSX1")</f>
        <v>PXSX1</v>
      </c>
      <c r="C183" s="22" t="str">
        <f>IFERROR(__xludf.DUMMYFUNCTION("""COMPUTED_VALUE"""),"Bộ phận nung và hoàn thiện sản phẩm")</f>
        <v>Bộ phận nung và hoàn thiện sản phẩm</v>
      </c>
      <c r="D183" s="22" t="str">
        <f>IFERROR(__xludf.DUMMYFUNCTION("""COMPUTED_VALUE"""),"Dây chuyền Mài Ca A")</f>
        <v>Dây chuyền Mài Ca A</v>
      </c>
      <c r="E183" s="22" t="str">
        <f>IFERROR(__xludf.DUMMYFUNCTION("""COMPUTED_VALUE"""),"Vận hành chính máy mài cạnh")</f>
        <v>Vận hành chính máy mài cạnh</v>
      </c>
      <c r="F183" s="22" t="str">
        <f>IFERROR(__xludf.DUMMYFUNCTION("""COMPUTED_VALUE"""),"NV3691")</f>
        <v>NV3691</v>
      </c>
      <c r="G183" s="22">
        <f>IFERROR(__xludf.DUMMYFUNCTION("""COMPUTED_VALUE"""),260.0)</f>
        <v>260</v>
      </c>
      <c r="H183" s="22" t="str">
        <f>IFERROR(__xludf.DUMMYFUNCTION("""COMPUTED_VALUE"""),"Nguyễn Duy Quỳnh")</f>
        <v>Nguyễn Duy Quỳnh</v>
      </c>
      <c r="I183" s="22" t="str">
        <f>IFERROR(__xludf.DUMMYFUNCTION("""COMPUTED_VALUE"""),"Nam")</f>
        <v>Nam</v>
      </c>
      <c r="J183" s="24">
        <f>IFERROR(__xludf.DUMMYFUNCTION("""COMPUTED_VALUE"""),31960.0)</f>
        <v>31960</v>
      </c>
      <c r="K183" s="22" t="str">
        <f>IFERROR(__xludf.DUMMYFUNCTION("""COMPUTED_VALUE"""),"Xã Hoằng Châu - Tỉnh Thanh Hóa")</f>
        <v>Xã Hoằng Châu - Tỉnh Thanh Hóa</v>
      </c>
      <c r="L183" s="22" t="str">
        <f>IFERROR(__xludf.DUMMYFUNCTION("""COMPUTED_VALUE"""),"0848316123")</f>
        <v>0848316123</v>
      </c>
      <c r="M183" s="22" t="str">
        <f>IFERROR(__xludf.DUMMYFUNCTION("""COMPUTED_VALUE"""),"038087033297")</f>
        <v>038087033297</v>
      </c>
      <c r="N183" s="24">
        <f>IFERROR(__xludf.DUMMYFUNCTION("""COMPUTED_VALUE"""),44894.0)</f>
        <v>44894</v>
      </c>
      <c r="O183" s="22" t="str">
        <f>IFERROR(__xludf.DUMMYFUNCTION("""COMPUTED_VALUE"""),"Cục Cảnh sát QLHC về TTXH")</f>
        <v>Cục Cảnh sát QLHC về TTXH</v>
      </c>
      <c r="P183" s="22" t="str">
        <f>IFERROR(__xludf.DUMMYFUNCTION("""COMPUTED_VALUE"""),"LĐPT")</f>
        <v>LĐPT</v>
      </c>
      <c r="Q183" s="22" t="str">
        <f>IFERROR(__xludf.DUMMYFUNCTION("""COMPUTED_VALUE"""),"Lao động phổ thông")</f>
        <v>Lao động phổ thông</v>
      </c>
      <c r="R183" s="24">
        <f>IFERROR(__xludf.DUMMYFUNCTION("""COMPUTED_VALUE"""),44350.0)</f>
        <v>44350</v>
      </c>
      <c r="S183" s="24">
        <f>IFERROR(__xludf.DUMMYFUNCTION("""COMPUTED_VALUE"""),44652.0)</f>
        <v>44652</v>
      </c>
      <c r="T183" s="22" t="str">
        <f>IFERROR(__xludf.DUMMYFUNCTION("""COMPUTED_VALUE"""),"Chính thức")</f>
        <v>Chính thức</v>
      </c>
      <c r="U183" s="22"/>
      <c r="V183" s="22"/>
      <c r="W183" s="22" t="str">
        <f>IFERROR(__xludf.DUMMYFUNCTION("""COMPUTED_VALUE"""),"4 năm 6 tháng")</f>
        <v>4 năm 6 tháng</v>
      </c>
      <c r="X183" s="22"/>
      <c r="Y183" s="22"/>
      <c r="Z183" s="22"/>
    </row>
    <row r="184">
      <c r="A184" s="23" t="str">
        <f>IFERROR(__xludf.DUMMYFUNCTION("""COMPUTED_VALUE"""),"8")</f>
        <v>8</v>
      </c>
      <c r="B184" s="22" t="str">
        <f>IFERROR(__xludf.DUMMYFUNCTION("""COMPUTED_VALUE"""),"PXSX1")</f>
        <v>PXSX1</v>
      </c>
      <c r="C184" s="22" t="str">
        <f>IFERROR(__xludf.DUMMYFUNCTION("""COMPUTED_VALUE"""),"Bộ phận nung và hoàn thiện sản phẩm")</f>
        <v>Bộ phận nung và hoàn thiện sản phẩm</v>
      </c>
      <c r="D184" s="22" t="str">
        <f>IFERROR(__xludf.DUMMYFUNCTION("""COMPUTED_VALUE"""),"Dây chuyền Mài Ca A")</f>
        <v>Dây chuyền Mài Ca A</v>
      </c>
      <c r="E184" s="22" t="str">
        <f>IFERROR(__xludf.DUMMYFUNCTION("""COMPUTED_VALUE"""),"Tổ phó")</f>
        <v>Tổ phó</v>
      </c>
      <c r="F184" s="22" t="str">
        <f>IFERROR(__xludf.DUMMYFUNCTION("""COMPUTED_VALUE"""),"NV0257")</f>
        <v>NV0257</v>
      </c>
      <c r="G184" s="22">
        <f>IFERROR(__xludf.DUMMYFUNCTION("""COMPUTED_VALUE"""),257.0)</f>
        <v>257</v>
      </c>
      <c r="H184" s="22" t="str">
        <f>IFERROR(__xludf.DUMMYFUNCTION("""COMPUTED_VALUE"""),"Lê Ngọc Khánh")</f>
        <v>Lê Ngọc Khánh</v>
      </c>
      <c r="I184" s="22" t="str">
        <f>IFERROR(__xludf.DUMMYFUNCTION("""COMPUTED_VALUE"""),"Nam")</f>
        <v>Nam</v>
      </c>
      <c r="J184" s="24">
        <f>IFERROR(__xludf.DUMMYFUNCTION("""COMPUTED_VALUE"""),33895.0)</f>
        <v>33895</v>
      </c>
      <c r="K184" s="22" t="str">
        <f>IFERROR(__xludf.DUMMYFUNCTION("""COMPUTED_VALUE"""),"Phường Quảng Phú - Tỉnh Thanh Hóa")</f>
        <v>Phường Quảng Phú - Tỉnh Thanh Hóa</v>
      </c>
      <c r="L184" s="22" t="str">
        <f>IFERROR(__xludf.DUMMYFUNCTION("""COMPUTED_VALUE"""),"0388264445")</f>
        <v>0388264445</v>
      </c>
      <c r="M184" s="22" t="str">
        <f>IFERROR(__xludf.DUMMYFUNCTION("""COMPUTED_VALUE"""),"038092045978")</f>
        <v>038092045978</v>
      </c>
      <c r="N184" s="24">
        <f>IFERROR(__xludf.DUMMYFUNCTION("""COMPUTED_VALUE"""),44422.0)</f>
        <v>44422</v>
      </c>
      <c r="O184" s="22" t="str">
        <f>IFERROR(__xludf.DUMMYFUNCTION("""COMPUTED_VALUE"""),"Cục Cảnh sát QLHC về TTXH")</f>
        <v>Cục Cảnh sát QLHC về TTXH</v>
      </c>
      <c r="P184" s="22" t="str">
        <f>IFERROR(__xludf.DUMMYFUNCTION("""COMPUTED_VALUE"""),"LĐPT")</f>
        <v>LĐPT</v>
      </c>
      <c r="Q184" s="22" t="str">
        <f>IFERROR(__xludf.DUMMYFUNCTION("""COMPUTED_VALUE"""),"Lao động phổ thông")</f>
        <v>Lao động phổ thông</v>
      </c>
      <c r="R184" s="24">
        <f>IFERROR(__xludf.DUMMYFUNCTION("""COMPUTED_VALUE"""),42063.0)</f>
        <v>42063</v>
      </c>
      <c r="S184" s="24">
        <f>IFERROR(__xludf.DUMMYFUNCTION("""COMPUTED_VALUE"""),42063.0)</f>
        <v>42063</v>
      </c>
      <c r="T184" s="22" t="str">
        <f>IFERROR(__xludf.DUMMYFUNCTION("""COMPUTED_VALUE"""),"Chính thức")</f>
        <v>Chính thức</v>
      </c>
      <c r="U184" s="22"/>
      <c r="V184" s="22"/>
      <c r="W184" s="22" t="str">
        <f>IFERROR(__xludf.DUMMYFUNCTION("""COMPUTED_VALUE"""),"10 năm 10 tháng")</f>
        <v>10 năm 10 tháng</v>
      </c>
      <c r="X184" s="22"/>
      <c r="Y184" s="22"/>
      <c r="Z184" s="22"/>
    </row>
    <row r="185">
      <c r="A185" s="23" t="str">
        <f>IFERROR(__xludf.DUMMYFUNCTION("""COMPUTED_VALUE"""),"9")</f>
        <v>9</v>
      </c>
      <c r="B185" s="22" t="str">
        <f>IFERROR(__xludf.DUMMYFUNCTION("""COMPUTED_VALUE"""),"PXSX1")</f>
        <v>PXSX1</v>
      </c>
      <c r="C185" s="22" t="str">
        <f>IFERROR(__xludf.DUMMYFUNCTION("""COMPUTED_VALUE"""),"Bộ phận nung và hoàn thiện sản phẩm")</f>
        <v>Bộ phận nung và hoàn thiện sản phẩm</v>
      </c>
      <c r="D185" s="22" t="str">
        <f>IFERROR(__xludf.DUMMYFUNCTION("""COMPUTED_VALUE"""),"Dây chuyền Mài Ca A")</f>
        <v>Dây chuyền Mài Ca A</v>
      </c>
      <c r="E185" s="22" t="str">
        <f>IFERROR(__xludf.DUMMYFUNCTION("""COMPUTED_VALUE"""),"Vận hành chính máy mài cạnh")</f>
        <v>Vận hành chính máy mài cạnh</v>
      </c>
      <c r="F185" s="22" t="str">
        <f>IFERROR(__xludf.DUMMYFUNCTION("""COMPUTED_VALUE"""),"NV0258")</f>
        <v>NV0258</v>
      </c>
      <c r="G185" s="22">
        <f>IFERROR(__xludf.DUMMYFUNCTION("""COMPUTED_VALUE"""),253.0)</f>
        <v>253</v>
      </c>
      <c r="H185" s="22" t="str">
        <f>IFERROR(__xludf.DUMMYFUNCTION("""COMPUTED_VALUE"""),"Lê Ngọc Trường")</f>
        <v>Lê Ngọc Trường</v>
      </c>
      <c r="I185" s="22" t="str">
        <f>IFERROR(__xludf.DUMMYFUNCTION("""COMPUTED_VALUE"""),"Nam")</f>
        <v>Nam</v>
      </c>
      <c r="J185" s="24">
        <f>IFERROR(__xludf.DUMMYFUNCTION("""COMPUTED_VALUE"""),33895.0)</f>
        <v>33895</v>
      </c>
      <c r="K185" s="22" t="str">
        <f>IFERROR(__xludf.DUMMYFUNCTION("""COMPUTED_VALUE"""),"Phường Quảng Phú - Tỉnh Thanh Hóa")</f>
        <v>Phường Quảng Phú - Tỉnh Thanh Hóa</v>
      </c>
      <c r="L185" s="22" t="str">
        <f>IFERROR(__xludf.DUMMYFUNCTION("""COMPUTED_VALUE"""),"0345213186")</f>
        <v>0345213186</v>
      </c>
      <c r="M185" s="22" t="str">
        <f>IFERROR(__xludf.DUMMYFUNCTION("""COMPUTED_VALUE"""),"038088013737")</f>
        <v>038088013737</v>
      </c>
      <c r="N185" s="24">
        <f>IFERROR(__xludf.DUMMYFUNCTION("""COMPUTED_VALUE"""),44272.0)</f>
        <v>44272</v>
      </c>
      <c r="O185" s="22" t="str">
        <f>IFERROR(__xludf.DUMMYFUNCTION("""COMPUTED_VALUE"""),"Cục Cảnh sát QLHC về TTXH")</f>
        <v>Cục Cảnh sát QLHC về TTXH</v>
      </c>
      <c r="P185" s="22" t="str">
        <f>IFERROR(__xludf.DUMMYFUNCTION("""COMPUTED_VALUE"""),"LĐPT")</f>
        <v>LĐPT</v>
      </c>
      <c r="Q185" s="22" t="str">
        <f>IFERROR(__xludf.DUMMYFUNCTION("""COMPUTED_VALUE"""),"Lao động phổ thông")</f>
        <v>Lao động phổ thông</v>
      </c>
      <c r="R185" s="24">
        <f>IFERROR(__xludf.DUMMYFUNCTION("""COMPUTED_VALUE"""),42063.0)</f>
        <v>42063</v>
      </c>
      <c r="S185" s="24">
        <f>IFERROR(__xludf.DUMMYFUNCTION("""COMPUTED_VALUE"""),42063.0)</f>
        <v>42063</v>
      </c>
      <c r="T185" s="22" t="str">
        <f>IFERROR(__xludf.DUMMYFUNCTION("""COMPUTED_VALUE"""),"Chính thức")</f>
        <v>Chính thức</v>
      </c>
      <c r="U185" s="22"/>
      <c r="V185" s="22"/>
      <c r="W185" s="22" t="str">
        <f>IFERROR(__xludf.DUMMYFUNCTION("""COMPUTED_VALUE"""),"10 năm 10 tháng")</f>
        <v>10 năm 10 tháng</v>
      </c>
      <c r="X185" s="22"/>
      <c r="Y185" s="22"/>
      <c r="Z185" s="22"/>
    </row>
    <row r="186">
      <c r="A186" s="23" t="str">
        <f>IFERROR(__xludf.DUMMYFUNCTION("""COMPUTED_VALUE"""),"10")</f>
        <v>10</v>
      </c>
      <c r="B186" s="22" t="str">
        <f>IFERROR(__xludf.DUMMYFUNCTION("""COMPUTED_VALUE"""),"PXSX1")</f>
        <v>PXSX1</v>
      </c>
      <c r="C186" s="22" t="str">
        <f>IFERROR(__xludf.DUMMYFUNCTION("""COMPUTED_VALUE"""),"Bộ phận nung và hoàn thiện sản phẩm")</f>
        <v>Bộ phận nung và hoàn thiện sản phẩm</v>
      </c>
      <c r="D186" s="22" t="str">
        <f>IFERROR(__xludf.DUMMYFUNCTION("""COMPUTED_VALUE"""),"Dây chuyền Mài Ca A")</f>
        <v>Dây chuyền Mài Ca A</v>
      </c>
      <c r="E186" s="22" t="str">
        <f>IFERROR(__xludf.DUMMYFUNCTION("""COMPUTED_VALUE"""),"Vận hành máy mài cạnh mức 1")</f>
        <v>Vận hành máy mài cạnh mức 1</v>
      </c>
      <c r="F186" s="22" t="str">
        <f>IFERROR(__xludf.DUMMYFUNCTION("""COMPUTED_VALUE"""),"NV3910")</f>
        <v>NV3910</v>
      </c>
      <c r="G186" s="22">
        <f>IFERROR(__xludf.DUMMYFUNCTION("""COMPUTED_VALUE"""),271.0)</f>
        <v>271</v>
      </c>
      <c r="H186" s="22" t="str">
        <f>IFERROR(__xludf.DUMMYFUNCTION("""COMPUTED_VALUE"""),"Uông Ngọc Quang")</f>
        <v>Uông Ngọc Quang</v>
      </c>
      <c r="I186" s="22" t="str">
        <f>IFERROR(__xludf.DUMMYFUNCTION("""COMPUTED_VALUE"""),"Nam")</f>
        <v>Nam</v>
      </c>
      <c r="J186" s="24">
        <f>IFERROR(__xludf.DUMMYFUNCTION("""COMPUTED_VALUE"""),34627.0)</f>
        <v>34627</v>
      </c>
      <c r="K186" s="22" t="str">
        <f>IFERROR(__xludf.DUMMYFUNCTION("""COMPUTED_VALUE"""),"Xã Quảng Bình - Tỉnh Thanh Hóa")</f>
        <v>Xã Quảng Bình - Tỉnh Thanh Hóa</v>
      </c>
      <c r="L186" s="22" t="str">
        <f>IFERROR(__xludf.DUMMYFUNCTION("""COMPUTED_VALUE"""),"0918408044")</f>
        <v>0918408044</v>
      </c>
      <c r="M186" s="22" t="str">
        <f>IFERROR(__xludf.DUMMYFUNCTION("""COMPUTED_VALUE"""),"038094007868")</f>
        <v>038094007868</v>
      </c>
      <c r="N186" s="24">
        <f>IFERROR(__xludf.DUMMYFUNCTION("""COMPUTED_VALUE"""),43180.0)</f>
        <v>43180</v>
      </c>
      <c r="O186" s="22" t="str">
        <f>IFERROR(__xludf.DUMMYFUNCTION("""COMPUTED_VALUE"""),"Cục Cảnh sát QLHC về TTXH")</f>
        <v>Cục Cảnh sát QLHC về TTXH</v>
      </c>
      <c r="P186" s="22" t="str">
        <f>IFERROR(__xludf.DUMMYFUNCTION("""COMPUTED_VALUE"""),"LĐPT")</f>
        <v>LĐPT</v>
      </c>
      <c r="Q186" s="22" t="str">
        <f>IFERROR(__xludf.DUMMYFUNCTION("""COMPUTED_VALUE"""),"Lao động phổ thông")</f>
        <v>Lao động phổ thông</v>
      </c>
      <c r="R186" s="24">
        <f>IFERROR(__xludf.DUMMYFUNCTION("""COMPUTED_VALUE"""),44205.0)</f>
        <v>44205</v>
      </c>
      <c r="S186" s="24">
        <f>IFERROR(__xludf.DUMMYFUNCTION("""COMPUTED_VALUE"""),44805.0)</f>
        <v>44805</v>
      </c>
      <c r="T186" s="22" t="str">
        <f>IFERROR(__xludf.DUMMYFUNCTION("""COMPUTED_VALUE"""),"Chính thức")</f>
        <v>Chính thức</v>
      </c>
      <c r="U186" s="22"/>
      <c r="V186" s="22"/>
      <c r="W186" s="22" t="str">
        <f>IFERROR(__xludf.DUMMYFUNCTION("""COMPUTED_VALUE"""),"4 năm 11 tháng")</f>
        <v>4 năm 11 tháng</v>
      </c>
      <c r="X186" s="22"/>
      <c r="Y186" s="22"/>
      <c r="Z186" s="22"/>
    </row>
    <row r="187">
      <c r="A187" s="23" t="str">
        <f>IFERROR(__xludf.DUMMYFUNCTION("""COMPUTED_VALUE"""),"11")</f>
        <v>11</v>
      </c>
      <c r="B187" s="22" t="str">
        <f>IFERROR(__xludf.DUMMYFUNCTION("""COMPUTED_VALUE"""),"PXSX1")</f>
        <v>PXSX1</v>
      </c>
      <c r="C187" s="22" t="str">
        <f>IFERROR(__xludf.DUMMYFUNCTION("""COMPUTED_VALUE"""),"Bộ phận nung và hoàn thiện sản phẩm")</f>
        <v>Bộ phận nung và hoàn thiện sản phẩm</v>
      </c>
      <c r="D187" s="22" t="str">
        <f>IFERROR(__xludf.DUMMYFUNCTION("""COMPUTED_VALUE"""),"Dây chuyền Mài Ca A")</f>
        <v>Dây chuyền Mài Ca A</v>
      </c>
      <c r="E187" s="22" t="str">
        <f>IFERROR(__xludf.DUMMYFUNCTION("""COMPUTED_VALUE"""),"Vận hành máy mài mặt Mức 1")</f>
        <v>Vận hành máy mài mặt Mức 1</v>
      </c>
      <c r="F187" s="22" t="str">
        <f>IFERROR(__xludf.DUMMYFUNCTION("""COMPUTED_VALUE"""),"NV1584")</f>
        <v>NV1584</v>
      </c>
      <c r="G187" s="22">
        <f>IFERROR(__xludf.DUMMYFUNCTION("""COMPUTED_VALUE"""),259.0)</f>
        <v>259</v>
      </c>
      <c r="H187" s="22" t="str">
        <f>IFERROR(__xludf.DUMMYFUNCTION("""COMPUTED_VALUE"""),"Phạm Văn Long")</f>
        <v>Phạm Văn Long</v>
      </c>
      <c r="I187" s="22" t="str">
        <f>IFERROR(__xludf.DUMMYFUNCTION("""COMPUTED_VALUE"""),"Nam")</f>
        <v>Nam</v>
      </c>
      <c r="J187" s="24">
        <f>IFERROR(__xludf.DUMMYFUNCTION("""COMPUTED_VALUE"""),35446.0)</f>
        <v>35446</v>
      </c>
      <c r="K187" s="22" t="str">
        <f>IFERROR(__xludf.DUMMYFUNCTION("""COMPUTED_VALUE"""),"Phường Quảng Phú - Tỉnh Thanh Hóa")</f>
        <v>Phường Quảng Phú - Tỉnh Thanh Hóa</v>
      </c>
      <c r="L187" s="22" t="str">
        <f>IFERROR(__xludf.DUMMYFUNCTION("""COMPUTED_VALUE"""),"0354186656")</f>
        <v>0354186656</v>
      </c>
      <c r="M187" s="22" t="str">
        <f>IFERROR(__xludf.DUMMYFUNCTION("""COMPUTED_VALUE"""),"038097011367")</f>
        <v>038097011367</v>
      </c>
      <c r="N187" s="24">
        <f>IFERROR(__xludf.DUMMYFUNCTION("""COMPUTED_VALUE"""),44419.0)</f>
        <v>44419</v>
      </c>
      <c r="O187" s="22" t="str">
        <f>IFERROR(__xludf.DUMMYFUNCTION("""COMPUTED_VALUE"""),"Cục Cảnh sát QLHC về TTXH")</f>
        <v>Cục Cảnh sát QLHC về TTXH</v>
      </c>
      <c r="P187" s="22" t="str">
        <f>IFERROR(__xludf.DUMMYFUNCTION("""COMPUTED_VALUE"""),"LĐPT")</f>
        <v>LĐPT</v>
      </c>
      <c r="Q187" s="22" t="str">
        <f>IFERROR(__xludf.DUMMYFUNCTION("""COMPUTED_VALUE"""),"Lao động phổ thông")</f>
        <v>Lao động phổ thông</v>
      </c>
      <c r="R187" s="24">
        <f>IFERROR(__xludf.DUMMYFUNCTION("""COMPUTED_VALUE"""),44643.0)</f>
        <v>44643</v>
      </c>
      <c r="S187" s="24">
        <f>IFERROR(__xludf.DUMMYFUNCTION("""COMPUTED_VALUE"""),45017.0)</f>
        <v>45017</v>
      </c>
      <c r="T187" s="22" t="str">
        <f>IFERROR(__xludf.DUMMYFUNCTION("""COMPUTED_VALUE"""),"Chính thức")</f>
        <v>Chính thức</v>
      </c>
      <c r="U187" s="22"/>
      <c r="V187" s="22"/>
      <c r="W187" s="22" t="str">
        <f>IFERROR(__xludf.DUMMYFUNCTION("""COMPUTED_VALUE"""),"3 năm 9 tháng")</f>
        <v>3 năm 9 tháng</v>
      </c>
      <c r="X187" s="22"/>
      <c r="Y187" s="22"/>
      <c r="Z187" s="22"/>
    </row>
    <row r="188">
      <c r="A188" s="23" t="str">
        <f>IFERROR(__xludf.DUMMYFUNCTION("""COMPUTED_VALUE"""),"12")</f>
        <v>12</v>
      </c>
      <c r="B188" s="22" t="str">
        <f>IFERROR(__xludf.DUMMYFUNCTION("""COMPUTED_VALUE"""),"PXSX1")</f>
        <v>PXSX1</v>
      </c>
      <c r="C188" s="22" t="str">
        <f>IFERROR(__xludf.DUMMYFUNCTION("""COMPUTED_VALUE"""),"Bộ phận nung và hoàn thiện sản phẩm")</f>
        <v>Bộ phận nung và hoàn thiện sản phẩm</v>
      </c>
      <c r="D188" s="22" t="str">
        <f>IFERROR(__xludf.DUMMYFUNCTION("""COMPUTED_VALUE"""),"Dây chuyền Mài Ca A")</f>
        <v>Dây chuyền Mài Ca A</v>
      </c>
      <c r="E188" s="22" t="str">
        <f>IFERROR(__xludf.DUMMYFUNCTION("""COMPUTED_VALUE"""),"Đầu rải DC1")</f>
        <v>Đầu rải DC1</v>
      </c>
      <c r="F188" s="22" t="str">
        <f>IFERROR(__xludf.DUMMYFUNCTION("""COMPUTED_VALUE"""),"NV2648")</f>
        <v>NV2648</v>
      </c>
      <c r="G188" s="22">
        <f>IFERROR(__xludf.DUMMYFUNCTION("""COMPUTED_VALUE"""),590.0)</f>
        <v>590</v>
      </c>
      <c r="H188" s="22" t="str">
        <f>IFERROR(__xludf.DUMMYFUNCTION("""COMPUTED_VALUE"""),"Nguyễn Thế Dũng")</f>
        <v>Nguyễn Thế Dũng</v>
      </c>
      <c r="I188" s="22" t="str">
        <f>IFERROR(__xludf.DUMMYFUNCTION("""COMPUTED_VALUE"""),"Nam")</f>
        <v>Nam</v>
      </c>
      <c r="J188" s="24">
        <f>IFERROR(__xludf.DUMMYFUNCTION("""COMPUTED_VALUE"""),36413.0)</f>
        <v>36413</v>
      </c>
      <c r="K188" s="22" t="str">
        <f>IFERROR(__xludf.DUMMYFUNCTION("""COMPUTED_VALUE"""),"K26 Chợ Đình - Phường Hàm Rồng - Tỉnh Thanh Hóa")</f>
        <v>K26 Chợ Đình - Phường Hàm Rồng - Tỉnh Thanh Hóa</v>
      </c>
      <c r="L188" s="22" t="str">
        <f>IFERROR(__xludf.DUMMYFUNCTION("""COMPUTED_VALUE"""),"0916943962")</f>
        <v>0916943962</v>
      </c>
      <c r="M188" s="22" t="str">
        <f>IFERROR(__xludf.DUMMYFUNCTION("""COMPUTED_VALUE"""),"038099005537")</f>
        <v>038099005537</v>
      </c>
      <c r="N188" s="24">
        <f>IFERROR(__xludf.DUMMYFUNCTION("""COMPUTED_VALUE"""),44453.0)</f>
        <v>44453</v>
      </c>
      <c r="O188" s="22" t="str">
        <f>IFERROR(__xludf.DUMMYFUNCTION("""COMPUTED_VALUE"""),"Cục Cảnh sát QLHC về TTXH")</f>
        <v>Cục Cảnh sát QLHC về TTXH</v>
      </c>
      <c r="P188" s="22" t="str">
        <f>IFERROR(__xludf.DUMMYFUNCTION("""COMPUTED_VALUE"""),"LĐPT")</f>
        <v>LĐPT</v>
      </c>
      <c r="Q188" s="22" t="str">
        <f>IFERROR(__xludf.DUMMYFUNCTION("""COMPUTED_VALUE"""),"Lao động phổ thông")</f>
        <v>Lao động phổ thông</v>
      </c>
      <c r="R188" s="24">
        <f>IFERROR(__xludf.DUMMYFUNCTION("""COMPUTED_VALUE"""),43791.0)</f>
        <v>43791</v>
      </c>
      <c r="S188" s="24">
        <f>IFERROR(__xludf.DUMMYFUNCTION("""COMPUTED_VALUE"""),44105.0)</f>
        <v>44105</v>
      </c>
      <c r="T188" s="22" t="str">
        <f>IFERROR(__xludf.DUMMYFUNCTION("""COMPUTED_VALUE"""),"Chính thức")</f>
        <v>Chính thức</v>
      </c>
      <c r="U188" s="22"/>
      <c r="V188" s="22"/>
      <c r="W188" s="22" t="str">
        <f>IFERROR(__xludf.DUMMYFUNCTION("""COMPUTED_VALUE"""),"6 năm 1 tháng")</f>
        <v>6 năm 1 tháng</v>
      </c>
      <c r="X188" s="22"/>
      <c r="Y188" s="22"/>
      <c r="Z188" s="22"/>
    </row>
    <row r="189">
      <c r="A189" s="23" t="str">
        <f>IFERROR(__xludf.DUMMYFUNCTION("""COMPUTED_VALUE"""),"13")</f>
        <v>13</v>
      </c>
      <c r="B189" s="22" t="str">
        <f>IFERROR(__xludf.DUMMYFUNCTION("""COMPUTED_VALUE"""),"PXSX1")</f>
        <v>PXSX1</v>
      </c>
      <c r="C189" s="22" t="str">
        <f>IFERROR(__xludf.DUMMYFUNCTION("""COMPUTED_VALUE"""),"Bộ phận nung và hoàn thiện sản phẩm")</f>
        <v>Bộ phận nung và hoàn thiện sản phẩm</v>
      </c>
      <c r="D189" s="22" t="str">
        <f>IFERROR(__xludf.DUMMYFUNCTION("""COMPUTED_VALUE"""),"Dây chuyền Mài Ca A")</f>
        <v>Dây chuyền Mài Ca A</v>
      </c>
      <c r="E189" s="22" t="str">
        <f>IFERROR(__xludf.DUMMYFUNCTION("""COMPUTED_VALUE"""),"VH Chính máy Nano DC2")</f>
        <v>VH Chính máy Nano DC2</v>
      </c>
      <c r="F189" s="22" t="str">
        <f>IFERROR(__xludf.DUMMYFUNCTION("""COMPUTED_VALUE"""),"NV3722")</f>
        <v>NV3722</v>
      </c>
      <c r="G189" s="22">
        <f>IFERROR(__xludf.DUMMYFUNCTION("""COMPUTED_VALUE"""),859.0)</f>
        <v>859</v>
      </c>
      <c r="H189" s="22" t="str">
        <f>IFERROR(__xludf.DUMMYFUNCTION("""COMPUTED_VALUE"""),"HOàng Văn Cường")</f>
        <v>HOàng Văn Cường</v>
      </c>
      <c r="I189" s="22" t="str">
        <f>IFERROR(__xludf.DUMMYFUNCTION("""COMPUTED_VALUE"""),"Nam")</f>
        <v>Nam</v>
      </c>
      <c r="J189" s="24">
        <f>IFERROR(__xludf.DUMMYFUNCTION("""COMPUTED_VALUE"""),36546.0)</f>
        <v>36546</v>
      </c>
      <c r="K189" s="22" t="str">
        <f>IFERROR(__xludf.DUMMYFUNCTION("""COMPUTED_VALUE"""),"Xã Hoằng Sơn - Tỉnh Thanh Hóa")</f>
        <v>Xã Hoằng Sơn - Tỉnh Thanh Hóa</v>
      </c>
      <c r="L189" s="22" t="str">
        <f>IFERROR(__xludf.DUMMYFUNCTION("""COMPUTED_VALUE"""),"0328961698")</f>
        <v>0328961698</v>
      </c>
      <c r="M189" s="22" t="str">
        <f>IFERROR(__xludf.DUMMYFUNCTION("""COMPUTED_VALUE"""),"038200014155")</f>
        <v>038200014155</v>
      </c>
      <c r="N189" s="24">
        <f>IFERROR(__xludf.DUMMYFUNCTION("""COMPUTED_VALUE"""),44568.0)</f>
        <v>44568</v>
      </c>
      <c r="O189" s="22" t="str">
        <f>IFERROR(__xludf.DUMMYFUNCTION("""COMPUTED_VALUE"""),"Cục Cảnh sát QLHC về TTXH")</f>
        <v>Cục Cảnh sát QLHC về TTXH</v>
      </c>
      <c r="P189" s="22" t="str">
        <f>IFERROR(__xludf.DUMMYFUNCTION("""COMPUTED_VALUE"""),"Cao đẳng")</f>
        <v>Cao đẳng</v>
      </c>
      <c r="Q189" s="22" t="str">
        <f>IFERROR(__xludf.DUMMYFUNCTION("""COMPUTED_VALUE"""),"điện công nghiệp")</f>
        <v>điện công nghiệp</v>
      </c>
      <c r="R189" s="24">
        <f>IFERROR(__xludf.DUMMYFUNCTION("""COMPUTED_VALUE"""),44363.0)</f>
        <v>44363</v>
      </c>
      <c r="S189" s="24">
        <f>IFERROR(__xludf.DUMMYFUNCTION("""COMPUTED_VALUE"""),44652.0)</f>
        <v>44652</v>
      </c>
      <c r="T189" s="22" t="str">
        <f>IFERROR(__xludf.DUMMYFUNCTION("""COMPUTED_VALUE"""),"Chính thức")</f>
        <v>Chính thức</v>
      </c>
      <c r="U189" s="22"/>
      <c r="V189" s="22"/>
      <c r="W189" s="22" t="str">
        <f>IFERROR(__xludf.DUMMYFUNCTION("""COMPUTED_VALUE"""),"4 năm 6 tháng")</f>
        <v>4 năm 6 tháng</v>
      </c>
      <c r="X189" s="22"/>
      <c r="Y189" s="22"/>
      <c r="Z189" s="22"/>
    </row>
    <row r="190">
      <c r="A190" s="23" t="str">
        <f>IFERROR(__xludf.DUMMYFUNCTION("""COMPUTED_VALUE"""),"14")</f>
        <v>14</v>
      </c>
      <c r="B190" s="22" t="str">
        <f>IFERROR(__xludf.DUMMYFUNCTION("""COMPUTED_VALUE"""),"PXSX1")</f>
        <v>PXSX1</v>
      </c>
      <c r="C190" s="22" t="str">
        <f>IFERROR(__xludf.DUMMYFUNCTION("""COMPUTED_VALUE"""),"Bộ phận nung và hoàn thiện sản phẩm")</f>
        <v>Bộ phận nung và hoàn thiện sản phẩm</v>
      </c>
      <c r="D190" s="22" t="str">
        <f>IFERROR(__xludf.DUMMYFUNCTION("""COMPUTED_VALUE"""),"Dây chuyền Mài Ca A")</f>
        <v>Dây chuyền Mài Ca A</v>
      </c>
      <c r="E190" s="22" t="str">
        <f>IFERROR(__xludf.DUMMYFUNCTION("""COMPUTED_VALUE"""),"Vận hành máy mài mặt Mức 1")</f>
        <v>Vận hành máy mài mặt Mức 1</v>
      </c>
      <c r="F190" s="22" t="str">
        <f>IFERROR(__xludf.DUMMYFUNCTION("""COMPUTED_VALUE"""),"NV4624")</f>
        <v>NV4624</v>
      </c>
      <c r="G190" s="22">
        <f>IFERROR(__xludf.DUMMYFUNCTION("""COMPUTED_VALUE"""),306.0)</f>
        <v>306</v>
      </c>
      <c r="H190" s="22" t="str">
        <f>IFERROR(__xludf.DUMMYFUNCTION("""COMPUTED_VALUE"""),"Vi Văn Thu")</f>
        <v>Vi Văn Thu</v>
      </c>
      <c r="I190" s="22" t="str">
        <f>IFERROR(__xludf.DUMMYFUNCTION("""COMPUTED_VALUE"""),"Nam")</f>
        <v>Nam</v>
      </c>
      <c r="J190" s="24">
        <f>IFERROR(__xludf.DUMMYFUNCTION("""COMPUTED_VALUE"""),37521.0)</f>
        <v>37521</v>
      </c>
      <c r="K190" s="22" t="str">
        <f>IFERROR(__xludf.DUMMYFUNCTION("""COMPUTED_VALUE"""),"Hữu Kiện- Sơn Kỳ - Nghệ An")</f>
        <v>Hữu Kiện- Sơn Kỳ - Nghệ An</v>
      </c>
      <c r="L190" s="22" t="str">
        <f>IFERROR(__xludf.DUMMYFUNCTION("""COMPUTED_VALUE"""),"0912688102")</f>
        <v>0912688102</v>
      </c>
      <c r="M190" s="22" t="str">
        <f>IFERROR(__xludf.DUMMYFUNCTION("""COMPUTED_VALUE"""),"040202006180")</f>
        <v>040202006180</v>
      </c>
      <c r="N190" s="24">
        <f>IFERROR(__xludf.DUMMYFUNCTION("""COMPUTED_VALUE"""),44379.0)</f>
        <v>44379</v>
      </c>
      <c r="O190" s="22" t="str">
        <f>IFERROR(__xludf.DUMMYFUNCTION("""COMPUTED_VALUE"""),"Cục Cảnh sát QLHC về TTXH")</f>
        <v>Cục Cảnh sát QLHC về TTXH</v>
      </c>
      <c r="P190" s="22" t="str">
        <f>IFERROR(__xludf.DUMMYFUNCTION("""COMPUTED_VALUE"""),"Trung cấp -  nghề")</f>
        <v>Trung cấp -  nghề</v>
      </c>
      <c r="Q190" s="22" t="str">
        <f>IFERROR(__xludf.DUMMYFUNCTION("""COMPUTED_VALUE"""),"khai thác tàu biển")</f>
        <v>khai thác tàu biển</v>
      </c>
      <c r="R190" s="24">
        <f>IFERROR(__xludf.DUMMYFUNCTION("""COMPUTED_VALUE"""),45444.0)</f>
        <v>45444</v>
      </c>
      <c r="S190" s="24">
        <f>IFERROR(__xludf.DUMMYFUNCTION("""COMPUTED_VALUE"""),45047.0)</f>
        <v>45047</v>
      </c>
      <c r="T190" s="22" t="str">
        <f>IFERROR(__xludf.DUMMYFUNCTION("""COMPUTED_VALUE"""),"Chính thức")</f>
        <v>Chính thức</v>
      </c>
      <c r="U190" s="22"/>
      <c r="V190" s="22"/>
      <c r="W190" s="22" t="str">
        <f>IFERROR(__xludf.DUMMYFUNCTION("""COMPUTED_VALUE"""),"1 năm 6 tháng")</f>
        <v>1 năm 6 tháng</v>
      </c>
      <c r="X190" s="22"/>
      <c r="Y190" s="22"/>
      <c r="Z190" s="22"/>
    </row>
    <row r="191">
      <c r="A191" s="23" t="str">
        <f>IFERROR(__xludf.DUMMYFUNCTION("""COMPUTED_VALUE"""),"15")</f>
        <v>15</v>
      </c>
      <c r="B191" s="22" t="str">
        <f>IFERROR(__xludf.DUMMYFUNCTION("""COMPUTED_VALUE"""),"PXSX1")</f>
        <v>PXSX1</v>
      </c>
      <c r="C191" s="22" t="str">
        <f>IFERROR(__xludf.DUMMYFUNCTION("""COMPUTED_VALUE"""),"Bộ phận nung và hoàn thiện sản phẩm")</f>
        <v>Bộ phận nung và hoàn thiện sản phẩm</v>
      </c>
      <c r="D191" s="22" t="str">
        <f>IFERROR(__xludf.DUMMYFUNCTION("""COMPUTED_VALUE"""),"Dây chuyền Mài Ca A")</f>
        <v>Dây chuyền Mài Ca A</v>
      </c>
      <c r="E191" s="22" t="str">
        <f>IFERROR(__xludf.DUMMYFUNCTION("""COMPUTED_VALUE"""),"Đầu rải DC1")</f>
        <v>Đầu rải DC1</v>
      </c>
      <c r="F191" s="22" t="str">
        <f>IFERROR(__xludf.DUMMYFUNCTION("""COMPUTED_VALUE"""),"NV5767")</f>
        <v>NV5767</v>
      </c>
      <c r="G191" s="22">
        <f>IFERROR(__xludf.DUMMYFUNCTION("""COMPUTED_VALUE"""),1248.0)</f>
        <v>1248</v>
      </c>
      <c r="H191" s="22" t="str">
        <f>IFERROR(__xludf.DUMMYFUNCTION("""COMPUTED_VALUE"""),"Nguyễn Bá Nghiêm")</f>
        <v>Nguyễn Bá Nghiêm</v>
      </c>
      <c r="I191" s="22" t="str">
        <f>IFERROR(__xludf.DUMMYFUNCTION("""COMPUTED_VALUE"""),"Nam")</f>
        <v>Nam</v>
      </c>
      <c r="J191" s="24">
        <f>IFERROR(__xludf.DUMMYFUNCTION("""COMPUTED_VALUE"""),32551.0)</f>
        <v>32551</v>
      </c>
      <c r="K191" s="22" t="str">
        <f>IFERROR(__xludf.DUMMYFUNCTION("""COMPUTED_VALUE"""),"Phố Hưng Long - Phường Quảng Phú - Tỉnh Thanh Hóa")</f>
        <v>Phố Hưng Long - Phường Quảng Phú - Tỉnh Thanh Hóa</v>
      </c>
      <c r="L191" s="22" t="str">
        <f>IFERROR(__xludf.DUMMYFUNCTION("""COMPUTED_VALUE"""),"0814616889")</f>
        <v>0814616889</v>
      </c>
      <c r="M191" s="22" t="str">
        <f>IFERROR(__xludf.DUMMYFUNCTION("""COMPUTED_VALUE"""),"038089024240")</f>
        <v>038089024240</v>
      </c>
      <c r="N191" s="24">
        <f>IFERROR(__xludf.DUMMYFUNCTION("""COMPUTED_VALUE"""),44317.0)</f>
        <v>44317</v>
      </c>
      <c r="O191" s="22" t="str">
        <f>IFERROR(__xludf.DUMMYFUNCTION("""COMPUTED_VALUE"""),"Cục Cảnh sát QLHC về TTXH")</f>
        <v>Cục Cảnh sát QLHC về TTXH</v>
      </c>
      <c r="P191" s="22" t="str">
        <f>IFERROR(__xludf.DUMMYFUNCTION("""COMPUTED_VALUE"""),"LĐPT")</f>
        <v>LĐPT</v>
      </c>
      <c r="Q191" s="22" t="str">
        <f>IFERROR(__xludf.DUMMYFUNCTION("""COMPUTED_VALUE"""),"Lao động phổ thông")</f>
        <v>Lao động phổ thông</v>
      </c>
      <c r="R191" s="24">
        <f>IFERROR(__xludf.DUMMYFUNCTION("""COMPUTED_VALUE"""),45947.0)</f>
        <v>45947</v>
      </c>
      <c r="S191" s="22"/>
      <c r="T191" s="22" t="str">
        <f>IFERROR(__xludf.DUMMYFUNCTION("""COMPUTED_VALUE"""),"Thử việc")</f>
        <v>Thử việc</v>
      </c>
      <c r="U191" s="22"/>
      <c r="V191" s="22" t="str">
        <f>IFERROR(__xludf.DUMMYFUNCTION("""COMPUTED_VALUE"""),"Thử việc")</f>
        <v>Thử việc</v>
      </c>
      <c r="W191" s="22" t="str">
        <f>IFERROR(__xludf.DUMMYFUNCTION("""COMPUTED_VALUE"""),"0 năm 2 tháng")</f>
        <v>0 năm 2 tháng</v>
      </c>
      <c r="X191" s="22"/>
      <c r="Y191" s="22"/>
      <c r="Z191" s="22"/>
    </row>
    <row r="192">
      <c r="A192" s="23" t="str">
        <f>IFERROR(__xludf.DUMMYFUNCTION("""COMPUTED_VALUE"""),"16")</f>
        <v>16</v>
      </c>
      <c r="B192" s="22" t="str">
        <f>IFERROR(__xludf.DUMMYFUNCTION("""COMPUTED_VALUE"""),"PXSX1")</f>
        <v>PXSX1</v>
      </c>
      <c r="C192" s="22" t="str">
        <f>IFERROR(__xludf.DUMMYFUNCTION("""COMPUTED_VALUE"""),"Bộ phận nung và hoàn thiện sản phẩm")</f>
        <v>Bộ phận nung và hoàn thiện sản phẩm</v>
      </c>
      <c r="D192" s="22" t="str">
        <f>IFERROR(__xludf.DUMMYFUNCTION("""COMPUTED_VALUE"""),"Dây chuyền Mài Ca A")</f>
        <v>Dây chuyền Mài Ca A</v>
      </c>
      <c r="E192" s="22" t="str">
        <f>IFERROR(__xludf.DUMMYFUNCTION("""COMPUTED_VALUE"""),"Đầu rải DC1")</f>
        <v>Đầu rải DC1</v>
      </c>
      <c r="F192" s="22" t="str">
        <f>IFERROR(__xludf.DUMMYFUNCTION("""COMPUTED_VALUE"""),"NV5804")</f>
        <v>NV5804</v>
      </c>
      <c r="G192" s="22">
        <f>IFERROR(__xludf.DUMMYFUNCTION("""COMPUTED_VALUE"""),1286.0)</f>
        <v>1286</v>
      </c>
      <c r="H192" s="22" t="str">
        <f>IFERROR(__xludf.DUMMYFUNCTION("""COMPUTED_VALUE"""),"Nguyễn Tuấn Anh")</f>
        <v>Nguyễn Tuấn Anh</v>
      </c>
      <c r="I192" s="22" t="str">
        <f>IFERROR(__xludf.DUMMYFUNCTION("""COMPUTED_VALUE"""),"Nam")</f>
        <v>Nam</v>
      </c>
      <c r="J192" s="24">
        <f>IFERROR(__xludf.DUMMYFUNCTION("""COMPUTED_VALUE"""),33739.0)</f>
        <v>33739</v>
      </c>
      <c r="K192" s="22" t="str">
        <f>IFERROR(__xludf.DUMMYFUNCTION("""COMPUTED_VALUE"""),"Phố Tân Hạnh - Phường Đông Sơn - Tỉnh Thanh Hóa")</f>
        <v>Phố Tân Hạnh - Phường Đông Sơn - Tỉnh Thanh Hóa</v>
      </c>
      <c r="L192" s="22" t="str">
        <f>IFERROR(__xludf.DUMMYFUNCTION("""COMPUTED_VALUE"""),"0911631992")</f>
        <v>0911631992</v>
      </c>
      <c r="M192" s="22" t="str">
        <f>IFERROR(__xludf.DUMMYFUNCTION("""COMPUTED_VALUE"""),"038092048028")</f>
        <v>038092048028</v>
      </c>
      <c r="N192" s="24">
        <f>IFERROR(__xludf.DUMMYFUNCTION("""COMPUTED_VALUE"""),44422.0)</f>
        <v>44422</v>
      </c>
      <c r="O192" s="22" t="str">
        <f>IFERROR(__xludf.DUMMYFUNCTION("""COMPUTED_VALUE"""),"Cục Cảnh sát QLHC về TTXH")</f>
        <v>Cục Cảnh sát QLHC về TTXH</v>
      </c>
      <c r="P192" s="22" t="str">
        <f>IFERROR(__xludf.DUMMYFUNCTION("""COMPUTED_VALUE"""),"LĐPT")</f>
        <v>LĐPT</v>
      </c>
      <c r="Q192" s="22" t="str">
        <f>IFERROR(__xludf.DUMMYFUNCTION("""COMPUTED_VALUE"""),"Lao động phổ thông")</f>
        <v>Lao động phổ thông</v>
      </c>
      <c r="R192" s="24">
        <f>IFERROR(__xludf.DUMMYFUNCTION("""COMPUTED_VALUE"""),45973.0)</f>
        <v>45973</v>
      </c>
      <c r="S192" s="22"/>
      <c r="T192" s="22" t="str">
        <f>IFERROR(__xludf.DUMMYFUNCTION("""COMPUTED_VALUE"""),"Thử việc")</f>
        <v>Thử việc</v>
      </c>
      <c r="U192" s="22"/>
      <c r="V192" s="22" t="str">
        <f>IFERROR(__xludf.DUMMYFUNCTION("""COMPUTED_VALUE"""),"Thử việc")</f>
        <v>Thử việc</v>
      </c>
      <c r="W192" s="22" t="str">
        <f>IFERROR(__xludf.DUMMYFUNCTION("""COMPUTED_VALUE"""),"0 năm 1 tháng")</f>
        <v>0 năm 1 tháng</v>
      </c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3" t="str">
        <f>IFERROR(__xludf.DUMMYFUNCTION("""COMPUTED_VALUE"""),"4.6")</f>
        <v>4.6</v>
      </c>
      <c r="B194" s="22" t="str">
        <f>IFERROR(__xludf.DUMMYFUNCTION("""COMPUTED_VALUE"""),"Dây chuyền Mài Ca B")</f>
        <v>Dây chuyền Mài Ca B</v>
      </c>
      <c r="C194" s="22">
        <f>IFERROR(__xludf.DUMMYFUNCTION("""COMPUTED_VALUE"""),16.0)</f>
        <v>16</v>
      </c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3" t="str">
        <f>IFERROR(__xludf.DUMMYFUNCTION("""COMPUTED_VALUE"""),"1")</f>
        <v>1</v>
      </c>
      <c r="B195" s="22" t="str">
        <f>IFERROR(__xludf.DUMMYFUNCTION("""COMPUTED_VALUE"""),"PXSX1")</f>
        <v>PXSX1</v>
      </c>
      <c r="C195" s="22" t="str">
        <f>IFERROR(__xludf.DUMMYFUNCTION("""COMPUTED_VALUE"""),"Bộ phận nung và hoàn thiện sản phẩm")</f>
        <v>Bộ phận nung và hoàn thiện sản phẩm</v>
      </c>
      <c r="D195" s="22" t="str">
        <f>IFERROR(__xludf.DUMMYFUNCTION("""COMPUTED_VALUE"""),"Dây chuyền Mài Ca B")</f>
        <v>Dây chuyền Mài Ca B</v>
      </c>
      <c r="E195" s="22" t="str">
        <f>IFERROR(__xludf.DUMMYFUNCTION("""COMPUTED_VALUE"""),"Vận hành chính máy mài cạnh")</f>
        <v>Vận hành chính máy mài cạnh</v>
      </c>
      <c r="F195" s="22" t="str">
        <f>IFERROR(__xludf.DUMMYFUNCTION("""COMPUTED_VALUE"""),"NV3358")</f>
        <v>NV3358</v>
      </c>
      <c r="G195" s="22">
        <f>IFERROR(__xludf.DUMMYFUNCTION("""COMPUTED_VALUE"""),703.0)</f>
        <v>703</v>
      </c>
      <c r="H195" s="22" t="str">
        <f>IFERROR(__xludf.DUMMYFUNCTION("""COMPUTED_VALUE"""),"Trần Văn Hiệu")</f>
        <v>Trần Văn Hiệu</v>
      </c>
      <c r="I195" s="22" t="str">
        <f>IFERROR(__xludf.DUMMYFUNCTION("""COMPUTED_VALUE"""),"Nam")</f>
        <v>Nam</v>
      </c>
      <c r="J195" s="24">
        <f>IFERROR(__xludf.DUMMYFUNCTION("""COMPUTED_VALUE"""),30242.0)</f>
        <v>30242</v>
      </c>
      <c r="K195" s="22" t="str">
        <f>IFERROR(__xludf.DUMMYFUNCTION("""COMPUTED_VALUE"""),"Xã Quảng Ninh - Tỉnh Thanh Hóa")</f>
        <v>Xã Quảng Ninh - Tỉnh Thanh Hóa</v>
      </c>
      <c r="L195" s="22" t="str">
        <f>IFERROR(__xludf.DUMMYFUNCTION("""COMPUTED_VALUE"""),"0328961698")</f>
        <v>0328961698</v>
      </c>
      <c r="M195" s="22" t="str">
        <f>IFERROR(__xludf.DUMMYFUNCTION("""COMPUTED_VALUE"""),"038082003933")</f>
        <v>038082003933</v>
      </c>
      <c r="N195" s="24">
        <f>IFERROR(__xludf.DUMMYFUNCTION("""COMPUTED_VALUE"""),44419.0)</f>
        <v>44419</v>
      </c>
      <c r="O195" s="22" t="str">
        <f>IFERROR(__xludf.DUMMYFUNCTION("""COMPUTED_VALUE"""),"Cục Cảnh sát QLHC về TTXH")</f>
        <v>Cục Cảnh sát QLHC về TTXH</v>
      </c>
      <c r="P195" s="22" t="str">
        <f>IFERROR(__xludf.DUMMYFUNCTION("""COMPUTED_VALUE"""),"LĐPT")</f>
        <v>LĐPT</v>
      </c>
      <c r="Q195" s="22" t="str">
        <f>IFERROR(__xludf.DUMMYFUNCTION("""COMPUTED_VALUE"""),"Lao động phổ thông")</f>
        <v>Lao động phổ thông</v>
      </c>
      <c r="R195" s="24">
        <f>IFERROR(__xludf.DUMMYFUNCTION("""COMPUTED_VALUE"""),44127.0)</f>
        <v>44127</v>
      </c>
      <c r="S195" s="24">
        <f>IFERROR(__xludf.DUMMYFUNCTION("""COMPUTED_VALUE"""),44409.0)</f>
        <v>44409</v>
      </c>
      <c r="T195" s="22" t="str">
        <f>IFERROR(__xludf.DUMMYFUNCTION("""COMPUTED_VALUE"""),"Chính thức")</f>
        <v>Chính thức</v>
      </c>
      <c r="U195" s="22"/>
      <c r="V195" s="22"/>
      <c r="W195" s="22" t="str">
        <f>IFERROR(__xludf.DUMMYFUNCTION("""COMPUTED_VALUE"""),"5 năm 2 tháng")</f>
        <v>5 năm 2 tháng</v>
      </c>
      <c r="X195" s="22"/>
      <c r="Y195" s="22"/>
      <c r="Z195" s="22"/>
    </row>
    <row r="196">
      <c r="A196" s="23" t="str">
        <f>IFERROR(__xludf.DUMMYFUNCTION("""COMPUTED_VALUE"""),"2")</f>
        <v>2</v>
      </c>
      <c r="B196" s="22" t="str">
        <f>IFERROR(__xludf.DUMMYFUNCTION("""COMPUTED_VALUE"""),"PXSX1")</f>
        <v>PXSX1</v>
      </c>
      <c r="C196" s="22" t="str">
        <f>IFERROR(__xludf.DUMMYFUNCTION("""COMPUTED_VALUE"""),"Bộ phận nung và hoàn thiện sản phẩm")</f>
        <v>Bộ phận nung và hoàn thiện sản phẩm</v>
      </c>
      <c r="D196" s="22" t="str">
        <f>IFERROR(__xludf.DUMMYFUNCTION("""COMPUTED_VALUE"""),"Dây chuyền Mài Ca B")</f>
        <v>Dây chuyền Mài Ca B</v>
      </c>
      <c r="E196" s="22" t="str">
        <f>IFERROR(__xludf.DUMMYFUNCTION("""COMPUTED_VALUE"""),"Vận hành đầu rải")</f>
        <v>Vận hành đầu rải</v>
      </c>
      <c r="F196" s="22" t="str">
        <f>IFERROR(__xludf.DUMMYFUNCTION("""COMPUTED_VALUE"""),"NV3376")</f>
        <v>NV3376</v>
      </c>
      <c r="G196" s="22">
        <f>IFERROR(__xludf.DUMMYFUNCTION("""COMPUTED_VALUE"""),837.0)</f>
        <v>837</v>
      </c>
      <c r="H196" s="22" t="str">
        <f>IFERROR(__xludf.DUMMYFUNCTION("""COMPUTED_VALUE"""),"Lê Vạn Tâm ")</f>
        <v>Lê Vạn Tâm </v>
      </c>
      <c r="I196" s="22" t="str">
        <f>IFERROR(__xludf.DUMMYFUNCTION("""COMPUTED_VALUE"""),"Nam")</f>
        <v>Nam</v>
      </c>
      <c r="J196" s="24">
        <f>IFERROR(__xludf.DUMMYFUNCTION("""COMPUTED_VALUE"""),31041.0)</f>
        <v>31041</v>
      </c>
      <c r="K196" s="22" t="str">
        <f>IFERROR(__xludf.DUMMYFUNCTION("""COMPUTED_VALUE"""),"Thắng Sơn - Phường Sầm Sơn - Tỉnh Thanh Hóa ")</f>
        <v>Thắng Sơn - Phường Sầm Sơn - Tỉnh Thanh Hóa </v>
      </c>
      <c r="L196" s="22" t="str">
        <f>IFERROR(__xludf.DUMMYFUNCTION("""COMPUTED_VALUE"""),"0343251284")</f>
        <v>0343251284</v>
      </c>
      <c r="M196" s="22" t="str">
        <f>IFERROR(__xludf.DUMMYFUNCTION("""COMPUTED_VALUE"""),"038084021761")</f>
        <v>038084021761</v>
      </c>
      <c r="N196" s="24">
        <f>IFERROR(__xludf.DUMMYFUNCTION("""COMPUTED_VALUE"""),45666.0)</f>
        <v>45666</v>
      </c>
      <c r="O196" s="22" t="str">
        <f>IFERROR(__xludf.DUMMYFUNCTION("""COMPUTED_VALUE"""),"Cục Cảnh sát QLHC về TTXH")</f>
        <v>Cục Cảnh sát QLHC về TTXH</v>
      </c>
      <c r="P196" s="22" t="str">
        <f>IFERROR(__xludf.DUMMYFUNCTION("""COMPUTED_VALUE"""),"LĐPT")</f>
        <v>LĐPT</v>
      </c>
      <c r="Q196" s="22" t="str">
        <f>IFERROR(__xludf.DUMMYFUNCTION("""COMPUTED_VALUE"""),"Lao động phổ thông")</f>
        <v>Lao động phổ thông</v>
      </c>
      <c r="R196" s="24">
        <f>IFERROR(__xludf.DUMMYFUNCTION("""COMPUTED_VALUE"""),45698.0)</f>
        <v>45698</v>
      </c>
      <c r="S196" s="22"/>
      <c r="T196" s="22" t="str">
        <f>IFERROR(__xludf.DUMMYFUNCTION("""COMPUTED_VALUE"""),"Chính thức")</f>
        <v>Chính thức</v>
      </c>
      <c r="U196" s="22"/>
      <c r="V196" s="22"/>
      <c r="W196" s="22" t="str">
        <f>IFERROR(__xludf.DUMMYFUNCTION("""COMPUTED_VALUE"""),"0 năm 10 tháng")</f>
        <v>0 năm 10 tháng</v>
      </c>
      <c r="X196" s="22"/>
      <c r="Y196" s="22"/>
      <c r="Z196" s="22"/>
    </row>
    <row r="197">
      <c r="A197" s="23" t="str">
        <f>IFERROR(__xludf.DUMMYFUNCTION("""COMPUTED_VALUE"""),"3")</f>
        <v>3</v>
      </c>
      <c r="B197" s="22" t="str">
        <f>IFERROR(__xludf.DUMMYFUNCTION("""COMPUTED_VALUE"""),"PXSX1")</f>
        <v>PXSX1</v>
      </c>
      <c r="C197" s="22" t="str">
        <f>IFERROR(__xludf.DUMMYFUNCTION("""COMPUTED_VALUE"""),"Bộ phận nung và hoàn thiện sản phẩm")</f>
        <v>Bộ phận nung và hoàn thiện sản phẩm</v>
      </c>
      <c r="D197" s="22" t="str">
        <f>IFERROR(__xludf.DUMMYFUNCTION("""COMPUTED_VALUE"""),"Dây chuyền Mài Ca B")</f>
        <v>Dây chuyền Mài Ca B</v>
      </c>
      <c r="E197" s="22" t="str">
        <f>IFERROR(__xludf.DUMMYFUNCTION("""COMPUTED_VALUE"""),"Vận hành chính máy Nano")</f>
        <v>Vận hành chính máy Nano</v>
      </c>
      <c r="F197" s="22" t="str">
        <f>IFERROR(__xludf.DUMMYFUNCTION("""COMPUTED_VALUE"""),"NV4535")</f>
        <v>NV4535</v>
      </c>
      <c r="G197" s="22">
        <f>IFERROR(__xludf.DUMMYFUNCTION("""COMPUTED_VALUE"""),340.0)</f>
        <v>340</v>
      </c>
      <c r="H197" s="22" t="str">
        <f>IFERROR(__xludf.DUMMYFUNCTION("""COMPUTED_VALUE"""),"Lê Như Hiệp")</f>
        <v>Lê Như Hiệp</v>
      </c>
      <c r="I197" s="22" t="str">
        <f>IFERROR(__xludf.DUMMYFUNCTION("""COMPUTED_VALUE"""),"Nam")</f>
        <v>Nam</v>
      </c>
      <c r="J197" s="24">
        <f>IFERROR(__xludf.DUMMYFUNCTION("""COMPUTED_VALUE"""),31080.0)</f>
        <v>31080</v>
      </c>
      <c r="K197" s="22" t="str">
        <f>IFERROR(__xludf.DUMMYFUNCTION("""COMPUTED_VALUE"""),"Khu Minh Hòa - Xã Vạn Lộc - Tỉnh Thanh Hóa")</f>
        <v>Khu Minh Hòa - Xã Vạn Lộc - Tỉnh Thanh Hóa</v>
      </c>
      <c r="L197" s="22" t="str">
        <f>IFERROR(__xludf.DUMMYFUNCTION("""COMPUTED_VALUE"""),"0931351482")</f>
        <v>0931351482</v>
      </c>
      <c r="M197" s="22" t="str">
        <f>IFERROR(__xludf.DUMMYFUNCTION("""COMPUTED_VALUE"""),"038085000666")</f>
        <v>038085000666</v>
      </c>
      <c r="N197" s="24">
        <f>IFERROR(__xludf.DUMMYFUNCTION("""COMPUTED_VALUE"""),44435.0)</f>
        <v>44435</v>
      </c>
      <c r="O197" s="22" t="str">
        <f>IFERROR(__xludf.DUMMYFUNCTION("""COMPUTED_VALUE"""),"Cục Cảnh sát QLHC về TTXH")</f>
        <v>Cục Cảnh sát QLHC về TTXH</v>
      </c>
      <c r="P197" s="22" t="str">
        <f>IFERROR(__xludf.DUMMYFUNCTION("""COMPUTED_VALUE"""),"Cao đẳng")</f>
        <v>Cao đẳng</v>
      </c>
      <c r="Q197" s="22" t="str">
        <f>IFERROR(__xludf.DUMMYFUNCTION("""COMPUTED_VALUE"""),"Điện tử viễn thông")</f>
        <v>Điện tử viễn thông</v>
      </c>
      <c r="R197" s="24">
        <f>IFERROR(__xludf.DUMMYFUNCTION("""COMPUTED_VALUE"""),44958.0)</f>
        <v>44958</v>
      </c>
      <c r="S197" s="24">
        <f>IFERROR(__xludf.DUMMYFUNCTION("""COMPUTED_VALUE"""),45078.0)</f>
        <v>45078</v>
      </c>
      <c r="T197" s="22" t="str">
        <f>IFERROR(__xludf.DUMMYFUNCTION("""COMPUTED_VALUE"""),"Chính thức")</f>
        <v>Chính thức</v>
      </c>
      <c r="U197" s="22"/>
      <c r="V197" s="22"/>
      <c r="W197" s="22" t="str">
        <f>IFERROR(__xludf.DUMMYFUNCTION("""COMPUTED_VALUE"""),"2 năm 10 tháng")</f>
        <v>2 năm 10 tháng</v>
      </c>
      <c r="X197" s="22"/>
      <c r="Y197" s="22"/>
      <c r="Z197" s="22"/>
    </row>
    <row r="198">
      <c r="A198" s="23" t="str">
        <f>IFERROR(__xludf.DUMMYFUNCTION("""COMPUTED_VALUE"""),"4")</f>
        <v>4</v>
      </c>
      <c r="B198" s="22" t="str">
        <f>IFERROR(__xludf.DUMMYFUNCTION("""COMPUTED_VALUE"""),"PXSX1")</f>
        <v>PXSX1</v>
      </c>
      <c r="C198" s="22" t="str">
        <f>IFERROR(__xludf.DUMMYFUNCTION("""COMPUTED_VALUE"""),"Bộ phận nung và hoàn thiện sản phẩm")</f>
        <v>Bộ phận nung và hoàn thiện sản phẩm</v>
      </c>
      <c r="D198" s="22" t="str">
        <f>IFERROR(__xludf.DUMMYFUNCTION("""COMPUTED_VALUE"""),"Dây chuyền Mài Ca B")</f>
        <v>Dây chuyền Mài Ca B</v>
      </c>
      <c r="E198" s="22" t="str">
        <f>IFERROR(__xludf.DUMMYFUNCTION("""COMPUTED_VALUE"""),"Đầu rải DC2")</f>
        <v>Đầu rải DC2</v>
      </c>
      <c r="F198" s="22" t="str">
        <f>IFERROR(__xludf.DUMMYFUNCTION("""COMPUTED_VALUE"""),"NV5456")</f>
        <v>NV5456</v>
      </c>
      <c r="G198" s="22">
        <f>IFERROR(__xludf.DUMMYFUNCTION("""COMPUTED_VALUE"""),448.0)</f>
        <v>448</v>
      </c>
      <c r="H198" s="22" t="str">
        <f>IFERROR(__xludf.DUMMYFUNCTION("""COMPUTED_VALUE"""),"Nguyễn Văn Cường")</f>
        <v>Nguyễn Văn Cường</v>
      </c>
      <c r="I198" s="22" t="str">
        <f>IFERROR(__xludf.DUMMYFUNCTION("""COMPUTED_VALUE"""),"Nam")</f>
        <v>Nam</v>
      </c>
      <c r="J198" s="24">
        <f>IFERROR(__xludf.DUMMYFUNCTION("""COMPUTED_VALUE"""),31528.0)</f>
        <v>31528</v>
      </c>
      <c r="K198" s="22" t="str">
        <f>IFERROR(__xludf.DUMMYFUNCTION("""COMPUTED_VALUE"""),"Bái Trúc - Xã Lưu Vệ - Tỉnh Thanh Hóa ")</f>
        <v>Bái Trúc - Xã Lưu Vệ - Tỉnh Thanh Hóa </v>
      </c>
      <c r="L198" s="22" t="str">
        <f>IFERROR(__xludf.DUMMYFUNCTION("""COMPUTED_VALUE"""),"0964374489")</f>
        <v>0964374489</v>
      </c>
      <c r="M198" s="22" t="str">
        <f>IFERROR(__xludf.DUMMYFUNCTION("""COMPUTED_VALUE"""),"038086002014")</f>
        <v>038086002014</v>
      </c>
      <c r="N198" s="24">
        <f>IFERROR(__xludf.DUMMYFUNCTION("""COMPUTED_VALUE"""),44420.0)</f>
        <v>44420</v>
      </c>
      <c r="O198" s="22" t="str">
        <f>IFERROR(__xludf.DUMMYFUNCTION("""COMPUTED_VALUE"""),"Cục Cảnh sát QLHC về TTXH")</f>
        <v>Cục Cảnh sát QLHC về TTXH</v>
      </c>
      <c r="P198" s="22" t="str">
        <f>IFERROR(__xludf.DUMMYFUNCTION("""COMPUTED_VALUE"""),"LĐPT")</f>
        <v>LĐPT</v>
      </c>
      <c r="Q198" s="22" t="str">
        <f>IFERROR(__xludf.DUMMYFUNCTION("""COMPUTED_VALUE"""),"Lao động phổ thông")</f>
        <v>Lao động phổ thông</v>
      </c>
      <c r="R198" s="24">
        <f>IFERROR(__xludf.DUMMYFUNCTION("""COMPUTED_VALUE"""),45779.0)</f>
        <v>45779</v>
      </c>
      <c r="S198" s="22"/>
      <c r="T198" s="22" t="str">
        <f>IFERROR(__xludf.DUMMYFUNCTION("""COMPUTED_VALUE"""),"Chính thức")</f>
        <v>Chính thức</v>
      </c>
      <c r="U198" s="22"/>
      <c r="V198" s="22"/>
      <c r="W198" s="22" t="str">
        <f>IFERROR(__xludf.DUMMYFUNCTION("""COMPUTED_VALUE"""),"0 năm 7 tháng")</f>
        <v>0 năm 7 tháng</v>
      </c>
      <c r="X198" s="22"/>
      <c r="Y198" s="22"/>
      <c r="Z198" s="22"/>
    </row>
    <row r="199">
      <c r="A199" s="23" t="str">
        <f>IFERROR(__xludf.DUMMYFUNCTION("""COMPUTED_VALUE"""),"5")</f>
        <v>5</v>
      </c>
      <c r="B199" s="22" t="str">
        <f>IFERROR(__xludf.DUMMYFUNCTION("""COMPUTED_VALUE"""),"PXSX1")</f>
        <v>PXSX1</v>
      </c>
      <c r="C199" s="22" t="str">
        <f>IFERROR(__xludf.DUMMYFUNCTION("""COMPUTED_VALUE"""),"Bộ phận nung và hoàn thiện sản phẩm")</f>
        <v>Bộ phận nung và hoàn thiện sản phẩm</v>
      </c>
      <c r="D199" s="22" t="str">
        <f>IFERROR(__xludf.DUMMYFUNCTION("""COMPUTED_VALUE"""),"Dây chuyền Mài Ca B")</f>
        <v>Dây chuyền Mài Ca B</v>
      </c>
      <c r="E199" s="22" t="str">
        <f>IFERROR(__xludf.DUMMYFUNCTION("""COMPUTED_VALUE"""),"Đầu rải DC2")</f>
        <v>Đầu rải DC2</v>
      </c>
      <c r="F199" s="22" t="str">
        <f>IFERROR(__xludf.DUMMYFUNCTION("""COMPUTED_VALUE"""),"NV5465")</f>
        <v>NV5465</v>
      </c>
      <c r="G199" s="22">
        <f>IFERROR(__xludf.DUMMYFUNCTION("""COMPUTED_VALUE"""),944.0)</f>
        <v>944</v>
      </c>
      <c r="H199" s="22" t="str">
        <f>IFERROR(__xludf.DUMMYFUNCTION("""COMPUTED_VALUE"""),"Phạm Xuân Điệp")</f>
        <v>Phạm Xuân Điệp</v>
      </c>
      <c r="I199" s="22" t="str">
        <f>IFERROR(__xludf.DUMMYFUNCTION("""COMPUTED_VALUE"""),"Nam")</f>
        <v>Nam</v>
      </c>
      <c r="J199" s="24">
        <f>IFERROR(__xludf.DUMMYFUNCTION("""COMPUTED_VALUE"""),31602.0)</f>
        <v>31602</v>
      </c>
      <c r="K199" s="22" t="str">
        <f>IFERROR(__xludf.DUMMYFUNCTION("""COMPUTED_VALUE"""),"Phường Đông Quang - Tỉnh Thanh Hóa")</f>
        <v>Phường Đông Quang - Tỉnh Thanh Hóa</v>
      </c>
      <c r="L199" s="22" t="str">
        <f>IFERROR(__xludf.DUMMYFUNCTION("""COMPUTED_VALUE"""),"0325227948")</f>
        <v>0325227948</v>
      </c>
      <c r="M199" s="22" t="str">
        <f>IFERROR(__xludf.DUMMYFUNCTION("""COMPUTED_VALUE"""),"038086033417")</f>
        <v>038086033417</v>
      </c>
      <c r="N199" s="24">
        <f>IFERROR(__xludf.DUMMYFUNCTION("""COMPUTED_VALUE"""),44467.0)</f>
        <v>44467</v>
      </c>
      <c r="O199" s="22" t="str">
        <f>IFERROR(__xludf.DUMMYFUNCTION("""COMPUTED_VALUE"""),"Cục Cảnh sát QLHC về TTXH")</f>
        <v>Cục Cảnh sát QLHC về TTXH</v>
      </c>
      <c r="P199" s="22" t="str">
        <f>IFERROR(__xludf.DUMMYFUNCTION("""COMPUTED_VALUE"""),"LĐPT")</f>
        <v>LĐPT</v>
      </c>
      <c r="Q199" s="22" t="str">
        <f>IFERROR(__xludf.DUMMYFUNCTION("""COMPUTED_VALUE"""),"Lao động phổ thông")</f>
        <v>Lao động phổ thông</v>
      </c>
      <c r="R199" s="24">
        <f>IFERROR(__xludf.DUMMYFUNCTION("""COMPUTED_VALUE"""),45798.0)</f>
        <v>45798</v>
      </c>
      <c r="S199" s="22"/>
      <c r="T199" s="22" t="str">
        <f>IFERROR(__xludf.DUMMYFUNCTION("""COMPUTED_VALUE"""),"Chính thức")</f>
        <v>Chính thức</v>
      </c>
      <c r="U199" s="22"/>
      <c r="V199" s="22"/>
      <c r="W199" s="22" t="str">
        <f>IFERROR(__xludf.DUMMYFUNCTION("""COMPUTED_VALUE"""),"0 năm 7 tháng")</f>
        <v>0 năm 7 tháng</v>
      </c>
      <c r="X199" s="22"/>
      <c r="Y199" s="22"/>
      <c r="Z199" s="22"/>
    </row>
    <row r="200">
      <c r="A200" s="23" t="str">
        <f>IFERROR(__xludf.DUMMYFUNCTION("""COMPUTED_VALUE"""),"6")</f>
        <v>6</v>
      </c>
      <c r="B200" s="22" t="str">
        <f>IFERROR(__xludf.DUMMYFUNCTION("""COMPUTED_VALUE"""),"PXSX1")</f>
        <v>PXSX1</v>
      </c>
      <c r="C200" s="22" t="str">
        <f>IFERROR(__xludf.DUMMYFUNCTION("""COMPUTED_VALUE"""),"Bộ phận nung và hoàn thiện sản phẩm")</f>
        <v>Bộ phận nung và hoàn thiện sản phẩm</v>
      </c>
      <c r="D200" s="22" t="str">
        <f>IFERROR(__xludf.DUMMYFUNCTION("""COMPUTED_VALUE"""),"Dây chuyền Mài Ca B")</f>
        <v>Dây chuyền Mài Ca B</v>
      </c>
      <c r="E200" s="22" t="str">
        <f>IFERROR(__xludf.DUMMYFUNCTION("""COMPUTED_VALUE"""),"Bốc sót sau máy mài nano")</f>
        <v>Bốc sót sau máy mài nano</v>
      </c>
      <c r="F200" s="22" t="str">
        <f>IFERROR(__xludf.DUMMYFUNCTION("""COMPUTED_VALUE"""),"NV4045")</f>
        <v>NV4045</v>
      </c>
      <c r="G200" s="22">
        <f>IFERROR(__xludf.DUMMYFUNCTION("""COMPUTED_VALUE"""),321.0)</f>
        <v>321</v>
      </c>
      <c r="H200" s="22" t="str">
        <f>IFERROR(__xludf.DUMMYFUNCTION("""COMPUTED_VALUE"""),"Vũ Văn Tuấn")</f>
        <v>Vũ Văn Tuấn</v>
      </c>
      <c r="I200" s="22" t="str">
        <f>IFERROR(__xludf.DUMMYFUNCTION("""COMPUTED_VALUE"""),"Nam")</f>
        <v>Nam</v>
      </c>
      <c r="J200" s="24">
        <f>IFERROR(__xludf.DUMMYFUNCTION("""COMPUTED_VALUE"""),32675.0)</f>
        <v>32675</v>
      </c>
      <c r="K200" s="22" t="str">
        <f>IFERROR(__xludf.DUMMYFUNCTION("""COMPUTED_VALUE"""),"Xã Quảng Ninh - Tỉnh Thanh hóa")</f>
        <v>Xã Quảng Ninh - Tỉnh Thanh hóa</v>
      </c>
      <c r="L200" s="22" t="str">
        <f>IFERROR(__xludf.DUMMYFUNCTION("""COMPUTED_VALUE"""),"0988156765")</f>
        <v>0988156765</v>
      </c>
      <c r="M200" s="22" t="str">
        <f>IFERROR(__xludf.DUMMYFUNCTION("""COMPUTED_VALUE"""),"038089031433")</f>
        <v>038089031433</v>
      </c>
      <c r="N200" s="24">
        <f>IFERROR(__xludf.DUMMYFUNCTION("""COMPUTED_VALUE"""),44419.0)</f>
        <v>44419</v>
      </c>
      <c r="O200" s="22" t="str">
        <f>IFERROR(__xludf.DUMMYFUNCTION("""COMPUTED_VALUE"""),"Cục Cảnh sát QLHC về TTXH")</f>
        <v>Cục Cảnh sát QLHC về TTXH</v>
      </c>
      <c r="P200" s="22" t="str">
        <f>IFERROR(__xludf.DUMMYFUNCTION("""COMPUTED_VALUE"""),"LĐPT")</f>
        <v>LĐPT</v>
      </c>
      <c r="Q200" s="22" t="str">
        <f>IFERROR(__xludf.DUMMYFUNCTION("""COMPUTED_VALUE"""),"Lao động phổ thông")</f>
        <v>Lao động phổ thông</v>
      </c>
      <c r="R200" s="24">
        <f>IFERROR(__xludf.DUMMYFUNCTION("""COMPUTED_VALUE"""),44618.0)</f>
        <v>44618</v>
      </c>
      <c r="S200" s="24">
        <f>IFERROR(__xludf.DUMMYFUNCTION("""COMPUTED_VALUE"""),44986.0)</f>
        <v>44986</v>
      </c>
      <c r="T200" s="22" t="str">
        <f>IFERROR(__xludf.DUMMYFUNCTION("""COMPUTED_VALUE"""),"Chính thức")</f>
        <v>Chính thức</v>
      </c>
      <c r="U200" s="22"/>
      <c r="V200" s="22"/>
      <c r="W200" s="22" t="str">
        <f>IFERROR(__xludf.DUMMYFUNCTION("""COMPUTED_VALUE"""),"3 năm 10 tháng")</f>
        <v>3 năm 10 tháng</v>
      </c>
      <c r="X200" s="22"/>
      <c r="Y200" s="22"/>
      <c r="Z200" s="22"/>
    </row>
    <row r="201">
      <c r="A201" s="23" t="str">
        <f>IFERROR(__xludf.DUMMYFUNCTION("""COMPUTED_VALUE"""),"7")</f>
        <v>7</v>
      </c>
      <c r="B201" s="22" t="str">
        <f>IFERROR(__xludf.DUMMYFUNCTION("""COMPUTED_VALUE"""),"PXSX1")</f>
        <v>PXSX1</v>
      </c>
      <c r="C201" s="22" t="str">
        <f>IFERROR(__xludf.DUMMYFUNCTION("""COMPUTED_VALUE"""),"Bộ phận nung và hoàn thiện sản phẩm")</f>
        <v>Bộ phận nung và hoàn thiện sản phẩm</v>
      </c>
      <c r="D201" s="22" t="str">
        <f>IFERROR(__xludf.DUMMYFUNCTION("""COMPUTED_VALUE"""),"Dây chuyền Mài Ca B")</f>
        <v>Dây chuyền Mài Ca B</v>
      </c>
      <c r="E201" s="22" t="str">
        <f>IFERROR(__xludf.DUMMYFUNCTION("""COMPUTED_VALUE"""),"Vận hành máy mài cạnh mức 1")</f>
        <v>Vận hành máy mài cạnh mức 1</v>
      </c>
      <c r="F201" s="22" t="str">
        <f>IFERROR(__xludf.DUMMYFUNCTION("""COMPUTED_VALUE"""),"NV4978")</f>
        <v>NV4978</v>
      </c>
      <c r="G201" s="22">
        <f>IFERROR(__xludf.DUMMYFUNCTION("""COMPUTED_VALUE"""),305.0)</f>
        <v>305</v>
      </c>
      <c r="H201" s="22" t="str">
        <f>IFERROR(__xludf.DUMMYFUNCTION("""COMPUTED_VALUE"""),"Lê Văn Hưng")</f>
        <v>Lê Văn Hưng</v>
      </c>
      <c r="I201" s="22" t="str">
        <f>IFERROR(__xludf.DUMMYFUNCTION("""COMPUTED_VALUE"""),"Nam")</f>
        <v>Nam</v>
      </c>
      <c r="J201" s="24">
        <f>IFERROR(__xludf.DUMMYFUNCTION("""COMPUTED_VALUE"""),32739.0)</f>
        <v>32739</v>
      </c>
      <c r="K201" s="22" t="str">
        <f>IFERROR(__xludf.DUMMYFUNCTION("""COMPUTED_VALUE"""),"Phường Đông Quang - Tỉnh Thanh Hóa")</f>
        <v>Phường Đông Quang - Tỉnh Thanh Hóa</v>
      </c>
      <c r="L201" s="22" t="str">
        <f>IFERROR(__xludf.DUMMYFUNCTION("""COMPUTED_VALUE"""),"0968976196")</f>
        <v>0968976196</v>
      </c>
      <c r="M201" s="22" t="str">
        <f>IFERROR(__xludf.DUMMYFUNCTION("""COMPUTED_VALUE"""),"038089036583")</f>
        <v>038089036583</v>
      </c>
      <c r="N201" s="24">
        <f>IFERROR(__xludf.DUMMYFUNCTION("""COMPUTED_VALUE"""),44358.0)</f>
        <v>44358</v>
      </c>
      <c r="O201" s="22" t="str">
        <f>IFERROR(__xludf.DUMMYFUNCTION("""COMPUTED_VALUE"""),"Cục Cảnh sát QLHC về TTXH")</f>
        <v>Cục Cảnh sát QLHC về TTXH</v>
      </c>
      <c r="P201" s="22" t="str">
        <f>IFERROR(__xludf.DUMMYFUNCTION("""COMPUTED_VALUE"""),"LĐPT")</f>
        <v>LĐPT</v>
      </c>
      <c r="Q201" s="22" t="str">
        <f>IFERROR(__xludf.DUMMYFUNCTION("""COMPUTED_VALUE"""),"Lao động phổ thông")</f>
        <v>Lao động phổ thông</v>
      </c>
      <c r="R201" s="24">
        <f>IFERROR(__xludf.DUMMYFUNCTION("""COMPUTED_VALUE"""),45285.0)</f>
        <v>45285</v>
      </c>
      <c r="S201" s="24">
        <f>IFERROR(__xludf.DUMMYFUNCTION("""COMPUTED_VALUE"""),45383.0)</f>
        <v>45383</v>
      </c>
      <c r="T201" s="22" t="str">
        <f>IFERROR(__xludf.DUMMYFUNCTION("""COMPUTED_VALUE"""),"Chính thức")</f>
        <v>Chính thức</v>
      </c>
      <c r="U201" s="22"/>
      <c r="V201" s="22"/>
      <c r="W201" s="22" t="str">
        <f>IFERROR(__xludf.DUMMYFUNCTION("""COMPUTED_VALUE"""),"2 năm 0 tháng")</f>
        <v>2 năm 0 tháng</v>
      </c>
      <c r="X201" s="22"/>
      <c r="Y201" s="22"/>
      <c r="Z201" s="22"/>
    </row>
    <row r="202">
      <c r="A202" s="23" t="str">
        <f>IFERROR(__xludf.DUMMYFUNCTION("""COMPUTED_VALUE"""),"8")</f>
        <v>8</v>
      </c>
      <c r="B202" s="22" t="str">
        <f>IFERROR(__xludf.DUMMYFUNCTION("""COMPUTED_VALUE"""),"PXSX1")</f>
        <v>PXSX1</v>
      </c>
      <c r="C202" s="22" t="str">
        <f>IFERROR(__xludf.DUMMYFUNCTION("""COMPUTED_VALUE"""),"Bộ phận nung và hoàn thiện sản phẩm")</f>
        <v>Bộ phận nung và hoàn thiện sản phẩm</v>
      </c>
      <c r="D202" s="22" t="str">
        <f>IFERROR(__xludf.DUMMYFUNCTION("""COMPUTED_VALUE"""),"Dây chuyền Mài Ca B")</f>
        <v>Dây chuyền Mài Ca B</v>
      </c>
      <c r="E202" s="22" t="str">
        <f>IFERROR(__xludf.DUMMYFUNCTION("""COMPUTED_VALUE"""),"Vận hành máy mài cạnh mức 1")</f>
        <v>Vận hành máy mài cạnh mức 1</v>
      </c>
      <c r="F202" s="22" t="str">
        <f>IFERROR(__xludf.DUMMYFUNCTION("""COMPUTED_VALUE"""),"NV4896")</f>
        <v>NV4896</v>
      </c>
      <c r="G202" s="22">
        <f>IFERROR(__xludf.DUMMYFUNCTION("""COMPUTED_VALUE"""),319.0)</f>
        <v>319</v>
      </c>
      <c r="H202" s="22" t="str">
        <f>IFERROR(__xludf.DUMMYFUNCTION("""COMPUTED_VALUE"""),"Nguyễn Văn Gia")</f>
        <v>Nguyễn Văn Gia</v>
      </c>
      <c r="I202" s="22" t="str">
        <f>IFERROR(__xludf.DUMMYFUNCTION("""COMPUTED_VALUE"""),"Nam")</f>
        <v>Nam</v>
      </c>
      <c r="J202" s="24">
        <f>IFERROR(__xludf.DUMMYFUNCTION("""COMPUTED_VALUE"""),33010.0)</f>
        <v>33010</v>
      </c>
      <c r="K202" s="22" t="str">
        <f>IFERROR(__xludf.DUMMYFUNCTION("""COMPUTED_VALUE"""),"Xã Vĩnh Lộc - Tỉnh Thanh Hóa")</f>
        <v>Xã Vĩnh Lộc - Tỉnh Thanh Hóa</v>
      </c>
      <c r="L202" s="22" t="str">
        <f>IFERROR(__xludf.DUMMYFUNCTION("""COMPUTED_VALUE"""),"0983800370")</f>
        <v>0983800370</v>
      </c>
      <c r="M202" s="22" t="str">
        <f>IFERROR(__xludf.DUMMYFUNCTION("""COMPUTED_VALUE"""),"038090016293")</f>
        <v>038090016293</v>
      </c>
      <c r="N202" s="24">
        <f>IFERROR(__xludf.DUMMYFUNCTION("""COMPUTED_VALUE"""),44833.0)</f>
        <v>44833</v>
      </c>
      <c r="O202" s="22" t="str">
        <f>IFERROR(__xludf.DUMMYFUNCTION("""COMPUTED_VALUE"""),"Cục Cảnh sát QLHC về TTXH")</f>
        <v>Cục Cảnh sát QLHC về TTXH</v>
      </c>
      <c r="P202" s="22" t="str">
        <f>IFERROR(__xludf.DUMMYFUNCTION("""COMPUTED_VALUE"""),"LĐPT")</f>
        <v>LĐPT</v>
      </c>
      <c r="Q202" s="22" t="str">
        <f>IFERROR(__xludf.DUMMYFUNCTION("""COMPUTED_VALUE"""),"Lao động phổ thông")</f>
        <v>Lao động phổ thông</v>
      </c>
      <c r="R202" s="24">
        <f>IFERROR(__xludf.DUMMYFUNCTION("""COMPUTED_VALUE"""),45353.0)</f>
        <v>45353</v>
      </c>
      <c r="S202" s="24">
        <f>IFERROR(__xludf.DUMMYFUNCTION("""COMPUTED_VALUE"""),45474.0)</f>
        <v>45474</v>
      </c>
      <c r="T202" s="22" t="str">
        <f>IFERROR(__xludf.DUMMYFUNCTION("""COMPUTED_VALUE"""),"Chính thức")</f>
        <v>Chính thức</v>
      </c>
      <c r="U202" s="22"/>
      <c r="V202" s="22"/>
      <c r="W202" s="22" t="str">
        <f>IFERROR(__xludf.DUMMYFUNCTION("""COMPUTED_VALUE"""),"1 năm 9 tháng")</f>
        <v>1 năm 9 tháng</v>
      </c>
      <c r="X202" s="22"/>
      <c r="Y202" s="22"/>
      <c r="Z202" s="22"/>
    </row>
    <row r="203">
      <c r="A203" s="23" t="str">
        <f>IFERROR(__xludf.DUMMYFUNCTION("""COMPUTED_VALUE"""),"9")</f>
        <v>9</v>
      </c>
      <c r="B203" s="22" t="str">
        <f>IFERROR(__xludf.DUMMYFUNCTION("""COMPUTED_VALUE"""),"PXSX1")</f>
        <v>PXSX1</v>
      </c>
      <c r="C203" s="22" t="str">
        <f>IFERROR(__xludf.DUMMYFUNCTION("""COMPUTED_VALUE"""),"Bộ phận nung và hoàn thiện sản phẩm")</f>
        <v>Bộ phận nung và hoàn thiện sản phẩm</v>
      </c>
      <c r="D203" s="22" t="str">
        <f>IFERROR(__xludf.DUMMYFUNCTION("""COMPUTED_VALUE"""),"Dây chuyền Mài Ca B")</f>
        <v>Dây chuyền Mài Ca B</v>
      </c>
      <c r="E203" s="22" t="str">
        <f>IFERROR(__xludf.DUMMYFUNCTION("""COMPUTED_VALUE"""),"Nhóm trưởng đầu rải")</f>
        <v>Nhóm trưởng đầu rải</v>
      </c>
      <c r="F203" s="22" t="str">
        <f>IFERROR(__xludf.DUMMYFUNCTION("""COMPUTED_VALUE"""),"NV0259")</f>
        <v>NV0259</v>
      </c>
      <c r="G203" s="22">
        <f>IFERROR(__xludf.DUMMYFUNCTION("""COMPUTED_VALUE"""),317.0)</f>
        <v>317</v>
      </c>
      <c r="H203" s="22" t="str">
        <f>IFERROR(__xludf.DUMMYFUNCTION("""COMPUTED_VALUE"""),"Lữ Trọng Nam")</f>
        <v>Lữ Trọng Nam</v>
      </c>
      <c r="I203" s="22" t="str">
        <f>IFERROR(__xludf.DUMMYFUNCTION("""COMPUTED_VALUE"""),"Nam")</f>
        <v>Nam</v>
      </c>
      <c r="J203" s="24">
        <f>IFERROR(__xludf.DUMMYFUNCTION("""COMPUTED_VALUE"""),33366.0)</f>
        <v>33366</v>
      </c>
      <c r="K203" s="22" t="str">
        <f>IFERROR(__xludf.DUMMYFUNCTION("""COMPUTED_VALUE"""),"Xã Quảng Ninh - Tỉnh Thanh Hóa")</f>
        <v>Xã Quảng Ninh - Tỉnh Thanh Hóa</v>
      </c>
      <c r="L203" s="22" t="str">
        <f>IFERROR(__xludf.DUMMYFUNCTION("""COMPUTED_VALUE"""),"0354186656")</f>
        <v>0354186656</v>
      </c>
      <c r="M203" s="22" t="str">
        <f>IFERROR(__xludf.DUMMYFUNCTION("""COMPUTED_VALUE"""),"038091039486")</f>
        <v>038091039486</v>
      </c>
      <c r="N203" s="24">
        <f>IFERROR(__xludf.DUMMYFUNCTION("""COMPUTED_VALUE"""),44427.0)</f>
        <v>44427</v>
      </c>
      <c r="O203" s="22" t="str">
        <f>IFERROR(__xludf.DUMMYFUNCTION("""COMPUTED_VALUE"""),"Cục Cảnh sát QLHC về TTXH")</f>
        <v>Cục Cảnh sát QLHC về TTXH</v>
      </c>
      <c r="P203" s="22" t="str">
        <f>IFERROR(__xludf.DUMMYFUNCTION("""COMPUTED_VALUE"""),"LĐPT")</f>
        <v>LĐPT</v>
      </c>
      <c r="Q203" s="22" t="str">
        <f>IFERROR(__xludf.DUMMYFUNCTION("""COMPUTED_VALUE"""),"Lao động phổ thông")</f>
        <v>Lao động phổ thông</v>
      </c>
      <c r="R203" s="24">
        <f>IFERROR(__xludf.DUMMYFUNCTION("""COMPUTED_VALUE"""),42081.0)</f>
        <v>42081</v>
      </c>
      <c r="S203" s="24">
        <f>IFERROR(__xludf.DUMMYFUNCTION("""COMPUTED_VALUE"""),42081.0)</f>
        <v>42081</v>
      </c>
      <c r="T203" s="22" t="str">
        <f>IFERROR(__xludf.DUMMYFUNCTION("""COMPUTED_VALUE"""),"Chính thức")</f>
        <v>Chính thức</v>
      </c>
      <c r="U203" s="22"/>
      <c r="V203" s="22"/>
      <c r="W203" s="22" t="str">
        <f>IFERROR(__xludf.DUMMYFUNCTION("""COMPUTED_VALUE"""),"10 năm 9 tháng")</f>
        <v>10 năm 9 tháng</v>
      </c>
      <c r="X203" s="22"/>
      <c r="Y203" s="22"/>
      <c r="Z203" s="22"/>
    </row>
    <row r="204">
      <c r="A204" s="23" t="str">
        <f>IFERROR(__xludf.DUMMYFUNCTION("""COMPUTED_VALUE"""),"10")</f>
        <v>10</v>
      </c>
      <c r="B204" s="22" t="str">
        <f>IFERROR(__xludf.DUMMYFUNCTION("""COMPUTED_VALUE"""),"PXSX1")</f>
        <v>PXSX1</v>
      </c>
      <c r="C204" s="22" t="str">
        <f>IFERROR(__xludf.DUMMYFUNCTION("""COMPUTED_VALUE"""),"Bộ phận nung và hoàn thiện sản phẩm")</f>
        <v>Bộ phận nung và hoàn thiện sản phẩm</v>
      </c>
      <c r="D204" s="22" t="str">
        <f>IFERROR(__xludf.DUMMYFUNCTION("""COMPUTED_VALUE"""),"Dây chuyền Mài Ca B")</f>
        <v>Dây chuyền Mài Ca B</v>
      </c>
      <c r="E204" s="22" t="str">
        <f>IFERROR(__xludf.DUMMYFUNCTION("""COMPUTED_VALUE"""),"Vận hành chính máy mài mặt")</f>
        <v>Vận hành chính máy mài mặt</v>
      </c>
      <c r="F204" s="22" t="str">
        <f>IFERROR(__xludf.DUMMYFUNCTION("""COMPUTED_VALUE"""),"NV0224")</f>
        <v>NV0224</v>
      </c>
      <c r="G204" s="22">
        <f>IFERROR(__xludf.DUMMYFUNCTION("""COMPUTED_VALUE"""),296.0)</f>
        <v>296</v>
      </c>
      <c r="H204" s="22" t="str">
        <f>IFERROR(__xludf.DUMMYFUNCTION("""COMPUTED_VALUE"""),"Hà Xuân Đạt")</f>
        <v>Hà Xuân Đạt</v>
      </c>
      <c r="I204" s="22" t="str">
        <f>IFERROR(__xludf.DUMMYFUNCTION("""COMPUTED_VALUE"""),"Nam")</f>
        <v>Nam</v>
      </c>
      <c r="J204" s="24">
        <f>IFERROR(__xludf.DUMMYFUNCTION("""COMPUTED_VALUE"""),33458.0)</f>
        <v>33458</v>
      </c>
      <c r="K204" s="22" t="str">
        <f>IFERROR(__xludf.DUMMYFUNCTION("""COMPUTED_VALUE"""),"Thôn Châu Sơn - Xã Quảng Chính - Tỉnh Thanh Hóa")</f>
        <v>Thôn Châu Sơn - Xã Quảng Chính - Tỉnh Thanh Hóa</v>
      </c>
      <c r="L204" s="22" t="str">
        <f>IFERROR(__xludf.DUMMYFUNCTION("""COMPUTED_VALUE"""),"0848316123")</f>
        <v>0848316123</v>
      </c>
      <c r="M204" s="22" t="str">
        <f>IFERROR(__xludf.DUMMYFUNCTION("""COMPUTED_VALUE"""),"038091019488")</f>
        <v>038091019488</v>
      </c>
      <c r="N204" s="24">
        <f>IFERROR(__xludf.DUMMYFUNCTION("""COMPUTED_VALUE"""),44440.0)</f>
        <v>44440</v>
      </c>
      <c r="O204" s="22" t="str">
        <f>IFERROR(__xludf.DUMMYFUNCTION("""COMPUTED_VALUE"""),"Cục Cảnh sát QLHC về TTXH")</f>
        <v>Cục Cảnh sát QLHC về TTXH</v>
      </c>
      <c r="P204" s="22" t="str">
        <f>IFERROR(__xludf.DUMMYFUNCTION("""COMPUTED_VALUE"""),"LĐPT")</f>
        <v>LĐPT</v>
      </c>
      <c r="Q204" s="22" t="str">
        <f>IFERROR(__xludf.DUMMYFUNCTION("""COMPUTED_VALUE"""),"Lao động phổ thông")</f>
        <v>Lao động phổ thông</v>
      </c>
      <c r="R204" s="24">
        <f>IFERROR(__xludf.DUMMYFUNCTION("""COMPUTED_VALUE"""),44033.0)</f>
        <v>44033</v>
      </c>
      <c r="S204" s="24">
        <f>IFERROR(__xludf.DUMMYFUNCTION("""COMPUTED_VALUE"""),44317.0)</f>
        <v>44317</v>
      </c>
      <c r="T204" s="22" t="str">
        <f>IFERROR(__xludf.DUMMYFUNCTION("""COMPUTED_VALUE"""),"Chính thức")</f>
        <v>Chính thức</v>
      </c>
      <c r="U204" s="22"/>
      <c r="V204" s="22"/>
      <c r="W204" s="22" t="str">
        <f>IFERROR(__xludf.DUMMYFUNCTION("""COMPUTED_VALUE"""),"5 năm 5 tháng")</f>
        <v>5 năm 5 tháng</v>
      </c>
      <c r="X204" s="22"/>
      <c r="Y204" s="22"/>
      <c r="Z204" s="22"/>
    </row>
    <row r="205">
      <c r="A205" s="23" t="str">
        <f>IFERROR(__xludf.DUMMYFUNCTION("""COMPUTED_VALUE"""),"11")</f>
        <v>11</v>
      </c>
      <c r="B205" s="22" t="str">
        <f>IFERROR(__xludf.DUMMYFUNCTION("""COMPUTED_VALUE"""),"PXSX1")</f>
        <v>PXSX1</v>
      </c>
      <c r="C205" s="22" t="str">
        <f>IFERROR(__xludf.DUMMYFUNCTION("""COMPUTED_VALUE"""),"Bộ phận nung và hoàn thiện sản phẩm")</f>
        <v>Bộ phận nung và hoàn thiện sản phẩm</v>
      </c>
      <c r="D205" s="22" t="str">
        <f>IFERROR(__xludf.DUMMYFUNCTION("""COMPUTED_VALUE"""),"Dây chuyền Mài Ca B")</f>
        <v>Dây chuyền Mài Ca B</v>
      </c>
      <c r="E205" s="22" t="str">
        <f>IFERROR(__xludf.DUMMYFUNCTION("""COMPUTED_VALUE"""),"Đầu rải DC2")</f>
        <v>Đầu rải DC2</v>
      </c>
      <c r="F205" s="22" t="str">
        <f>IFERROR(__xludf.DUMMYFUNCTION("""COMPUTED_VALUE"""),"NV5530")</f>
        <v>NV5530</v>
      </c>
      <c r="G205" s="22">
        <f>IFERROR(__xludf.DUMMYFUNCTION("""COMPUTED_VALUE"""),1012.0)</f>
        <v>1012</v>
      </c>
      <c r="H205" s="22" t="str">
        <f>IFERROR(__xludf.DUMMYFUNCTION("""COMPUTED_VALUE"""),"Lê Vạn Long")</f>
        <v>Lê Vạn Long</v>
      </c>
      <c r="I205" s="22" t="str">
        <f>IFERROR(__xludf.DUMMYFUNCTION("""COMPUTED_VALUE"""),"Nam")</f>
        <v>Nam</v>
      </c>
      <c r="J205" s="24">
        <f>IFERROR(__xludf.DUMMYFUNCTION("""COMPUTED_VALUE"""),34099.0)</f>
        <v>34099</v>
      </c>
      <c r="K205" s="22" t="str">
        <f>IFERROR(__xludf.DUMMYFUNCTION("""COMPUTED_VALUE"""),"Xã Hoằng Châu - Tỉnh Thanh Hóa")</f>
        <v>Xã Hoằng Châu - Tỉnh Thanh Hóa</v>
      </c>
      <c r="L205" s="22" t="str">
        <f>IFERROR(__xludf.DUMMYFUNCTION("""COMPUTED_VALUE"""),"0984625236")</f>
        <v>0984625236</v>
      </c>
      <c r="M205" s="22" t="str">
        <f>IFERROR(__xludf.DUMMYFUNCTION("""COMPUTED_VALUE"""),"038093017810")</f>
        <v>038093017810</v>
      </c>
      <c r="N205" s="24">
        <f>IFERROR(__xludf.DUMMYFUNCTION("""COMPUTED_VALUE"""),45344.0)</f>
        <v>45344</v>
      </c>
      <c r="O205" s="22" t="str">
        <f>IFERROR(__xludf.DUMMYFUNCTION("""COMPUTED_VALUE"""),"Cục Cảnh sát QLHC về TTXH")</f>
        <v>Cục Cảnh sát QLHC về TTXH</v>
      </c>
      <c r="P205" s="22" t="str">
        <f>IFERROR(__xludf.DUMMYFUNCTION("""COMPUTED_VALUE"""),"LĐPT")</f>
        <v>LĐPT</v>
      </c>
      <c r="Q205" s="22" t="str">
        <f>IFERROR(__xludf.DUMMYFUNCTION("""COMPUTED_VALUE"""),"Lao động phổ thông")</f>
        <v>Lao động phổ thông</v>
      </c>
      <c r="R205" s="24">
        <f>IFERROR(__xludf.DUMMYFUNCTION("""COMPUTED_VALUE"""),45818.0)</f>
        <v>45818</v>
      </c>
      <c r="S205" s="22"/>
      <c r="T205" s="22" t="str">
        <f>IFERROR(__xludf.DUMMYFUNCTION("""COMPUTED_VALUE"""),"Chính thức")</f>
        <v>Chính thức</v>
      </c>
      <c r="U205" s="22"/>
      <c r="V205" s="22"/>
      <c r="W205" s="22" t="str">
        <f>IFERROR(__xludf.DUMMYFUNCTION("""COMPUTED_VALUE"""),"0 năm 6 tháng")</f>
        <v>0 năm 6 tháng</v>
      </c>
      <c r="X205" s="22"/>
      <c r="Y205" s="22"/>
      <c r="Z205" s="22"/>
    </row>
    <row r="206">
      <c r="A206" s="23" t="str">
        <f>IFERROR(__xludf.DUMMYFUNCTION("""COMPUTED_VALUE"""),"12")</f>
        <v>12</v>
      </c>
      <c r="B206" s="22" t="str">
        <f>IFERROR(__xludf.DUMMYFUNCTION("""COMPUTED_VALUE"""),"PXSX1")</f>
        <v>PXSX1</v>
      </c>
      <c r="C206" s="22" t="str">
        <f>IFERROR(__xludf.DUMMYFUNCTION("""COMPUTED_VALUE"""),"Bộ phận nung và hoàn thiện sản phẩm")</f>
        <v>Bộ phận nung và hoàn thiện sản phẩm</v>
      </c>
      <c r="D206" s="22" t="str">
        <f>IFERROR(__xludf.DUMMYFUNCTION("""COMPUTED_VALUE"""),"Dây chuyền Mài Ca B")</f>
        <v>Dây chuyền Mài Ca B</v>
      </c>
      <c r="E206" s="22" t="str">
        <f>IFERROR(__xludf.DUMMYFUNCTION("""COMPUTED_VALUE"""),"Vận hành máy mài mặt Mức 1")</f>
        <v>Vận hành máy mài mặt Mức 1</v>
      </c>
      <c r="F206" s="22" t="str">
        <f>IFERROR(__xludf.DUMMYFUNCTION("""COMPUTED_VALUE"""),"NV5052")</f>
        <v>NV5052</v>
      </c>
      <c r="G206" s="22">
        <f>IFERROR(__xludf.DUMMYFUNCTION("""COMPUTED_VALUE"""),295.0)</f>
        <v>295</v>
      </c>
      <c r="H206" s="22" t="str">
        <f>IFERROR(__xludf.DUMMYFUNCTION("""COMPUTED_VALUE"""),"Cao Thế Vinh")</f>
        <v>Cao Thế Vinh</v>
      </c>
      <c r="I206" s="22" t="str">
        <f>IFERROR(__xludf.DUMMYFUNCTION("""COMPUTED_VALUE"""),"Nam")</f>
        <v>Nam</v>
      </c>
      <c r="J206" s="24">
        <f>IFERROR(__xludf.DUMMYFUNCTION("""COMPUTED_VALUE"""),34121.0)</f>
        <v>34121</v>
      </c>
      <c r="K206" s="22" t="str">
        <f>IFERROR(__xludf.DUMMYFUNCTION("""COMPUTED_VALUE"""),"Xã Hoằng Châu - Tỉnh Thanh Hóa")</f>
        <v>Xã Hoằng Châu - Tỉnh Thanh Hóa</v>
      </c>
      <c r="L206" s="22" t="str">
        <f>IFERROR(__xludf.DUMMYFUNCTION("""COMPUTED_VALUE"""),"0969215576")</f>
        <v>0969215576</v>
      </c>
      <c r="M206" s="22" t="str">
        <f>IFERROR(__xludf.DUMMYFUNCTION("""COMPUTED_VALUE"""),"038093035753")</f>
        <v>038093035753</v>
      </c>
      <c r="N206" s="24">
        <f>IFERROR(__xludf.DUMMYFUNCTION("""COMPUTED_VALUE"""),44965.0)</f>
        <v>44965</v>
      </c>
      <c r="O206" s="22" t="str">
        <f>IFERROR(__xludf.DUMMYFUNCTION("""COMPUTED_VALUE"""),"Cục Cảnh sát QLHC về TTXH")</f>
        <v>Cục Cảnh sát QLHC về TTXH</v>
      </c>
      <c r="P206" s="22" t="str">
        <f>IFERROR(__xludf.DUMMYFUNCTION("""COMPUTED_VALUE"""),"LĐPT")</f>
        <v>LĐPT</v>
      </c>
      <c r="Q206" s="22" t="str">
        <f>IFERROR(__xludf.DUMMYFUNCTION("""COMPUTED_VALUE"""),"Lao động phổ thông")</f>
        <v>Lao động phổ thông</v>
      </c>
      <c r="R206" s="24">
        <f>IFERROR(__xludf.DUMMYFUNCTION("""COMPUTED_VALUE"""),45364.0)</f>
        <v>45364</v>
      </c>
      <c r="S206" s="24">
        <f>IFERROR(__xludf.DUMMYFUNCTION("""COMPUTED_VALUE"""),45444.0)</f>
        <v>45444</v>
      </c>
      <c r="T206" s="22" t="str">
        <f>IFERROR(__xludf.DUMMYFUNCTION("""COMPUTED_VALUE"""),"Chính thức")</f>
        <v>Chính thức</v>
      </c>
      <c r="U206" s="22"/>
      <c r="V206" s="22"/>
      <c r="W206" s="22" t="str">
        <f>IFERROR(__xludf.DUMMYFUNCTION("""COMPUTED_VALUE"""),"1 năm 9 tháng")</f>
        <v>1 năm 9 tháng</v>
      </c>
      <c r="X206" s="22"/>
      <c r="Y206" s="22"/>
      <c r="Z206" s="22"/>
    </row>
    <row r="207">
      <c r="A207" s="23" t="str">
        <f>IFERROR(__xludf.DUMMYFUNCTION("""COMPUTED_VALUE"""),"13")</f>
        <v>13</v>
      </c>
      <c r="B207" s="22" t="str">
        <f>IFERROR(__xludf.DUMMYFUNCTION("""COMPUTED_VALUE"""),"PXSX1")</f>
        <v>PXSX1</v>
      </c>
      <c r="C207" s="22" t="str">
        <f>IFERROR(__xludf.DUMMYFUNCTION("""COMPUTED_VALUE"""),"Bộ phận nung và hoàn thiện sản phẩm")</f>
        <v>Bộ phận nung và hoàn thiện sản phẩm</v>
      </c>
      <c r="D207" s="22" t="str">
        <f>IFERROR(__xludf.DUMMYFUNCTION("""COMPUTED_VALUE"""),"Dây chuyền Mài Ca B")</f>
        <v>Dây chuyền Mài Ca B</v>
      </c>
      <c r="E207" s="22" t="str">
        <f>IFERROR(__xludf.DUMMYFUNCTION("""COMPUTED_VALUE"""),"Bốc lai phụ + Đóng hộp DC2")</f>
        <v>Bốc lai phụ + Đóng hộp DC2</v>
      </c>
      <c r="F207" s="22" t="str">
        <f>IFERROR(__xludf.DUMMYFUNCTION("""COMPUTED_VALUE"""),"NV0233")</f>
        <v>NV0233</v>
      </c>
      <c r="G207" s="22">
        <f>IFERROR(__xludf.DUMMYFUNCTION("""COMPUTED_VALUE"""),652.0)</f>
        <v>652</v>
      </c>
      <c r="H207" s="22" t="str">
        <f>IFERROR(__xludf.DUMMYFUNCTION("""COMPUTED_VALUE"""),"Trần Văn Thê")</f>
        <v>Trần Văn Thê</v>
      </c>
      <c r="I207" s="22" t="str">
        <f>IFERROR(__xludf.DUMMYFUNCTION("""COMPUTED_VALUE"""),"Nam")</f>
        <v>Nam</v>
      </c>
      <c r="J207" s="24">
        <f>IFERROR(__xludf.DUMMYFUNCTION("""COMPUTED_VALUE"""),34133.0)</f>
        <v>34133</v>
      </c>
      <c r="K207" s="22" t="str">
        <f>IFERROR(__xludf.DUMMYFUNCTION("""COMPUTED_VALUE"""),"KP Tây Nam - Phường Nam Sầm Sơn - Tỉnh Thanh Hóa")</f>
        <v>KP Tây Nam - Phường Nam Sầm Sơn - Tỉnh Thanh Hóa</v>
      </c>
      <c r="L207" s="22" t="str">
        <f>IFERROR(__xludf.DUMMYFUNCTION("""COMPUTED_VALUE"""),"0965435146")</f>
        <v>0965435146</v>
      </c>
      <c r="M207" s="22" t="str">
        <f>IFERROR(__xludf.DUMMYFUNCTION("""COMPUTED_VALUE"""),"038093019515")</f>
        <v>038093019515</v>
      </c>
      <c r="N207" s="24">
        <f>IFERROR(__xludf.DUMMYFUNCTION("""COMPUTED_VALUE"""),44311.0)</f>
        <v>44311</v>
      </c>
      <c r="O207" s="22" t="str">
        <f>IFERROR(__xludf.DUMMYFUNCTION("""COMPUTED_VALUE"""),"Cục Cảnh sát QLHC về TTXH")</f>
        <v>Cục Cảnh sát QLHC về TTXH</v>
      </c>
      <c r="P207" s="22" t="str">
        <f>IFERROR(__xludf.DUMMYFUNCTION("""COMPUTED_VALUE"""),"Chứng chỉ nghề")</f>
        <v>Chứng chỉ nghề</v>
      </c>
      <c r="Q207" s="22" t="str">
        <f>IFERROR(__xludf.DUMMYFUNCTION("""COMPUTED_VALUE"""),"Nghề hàn")</f>
        <v>Nghề hàn</v>
      </c>
      <c r="R207" s="22"/>
      <c r="S207" s="24">
        <f>IFERROR(__xludf.DUMMYFUNCTION("""COMPUTED_VALUE"""),45803.0)</f>
        <v>45803</v>
      </c>
      <c r="T207" s="22" t="str">
        <f>IFERROR(__xludf.DUMMYFUNCTION("""COMPUTED_VALUE"""),"Chính thức")</f>
        <v>Chính thức</v>
      </c>
      <c r="U207" s="22"/>
      <c r="V207" s="22"/>
      <c r="W207" s="22" t="str">
        <f>IFERROR(__xludf.DUMMYFUNCTION("""COMPUTED_VALUE"""),"0 năm 7 tháng")</f>
        <v>0 năm 7 tháng</v>
      </c>
      <c r="X207" s="22"/>
      <c r="Y207" s="22"/>
      <c r="Z207" s="22"/>
    </row>
    <row r="208">
      <c r="A208" s="23" t="str">
        <f>IFERROR(__xludf.DUMMYFUNCTION("""COMPUTED_VALUE"""),"14")</f>
        <v>14</v>
      </c>
      <c r="B208" s="22" t="str">
        <f>IFERROR(__xludf.DUMMYFUNCTION("""COMPUTED_VALUE"""),"PXSX1")</f>
        <v>PXSX1</v>
      </c>
      <c r="C208" s="22" t="str">
        <f>IFERROR(__xludf.DUMMYFUNCTION("""COMPUTED_VALUE"""),"Bộ phận nung và hoàn thiện sản phẩm")</f>
        <v>Bộ phận nung và hoàn thiện sản phẩm</v>
      </c>
      <c r="D208" s="22" t="str">
        <f>IFERROR(__xludf.DUMMYFUNCTION("""COMPUTED_VALUE"""),"Dây chuyền Mài Ca B")</f>
        <v>Dây chuyền Mài Ca B</v>
      </c>
      <c r="E208" s="22" t="str">
        <f>IFERROR(__xludf.DUMMYFUNCTION("""COMPUTED_VALUE"""),"Vận hành chính máy Nano")</f>
        <v>Vận hành chính máy Nano</v>
      </c>
      <c r="F208" s="22" t="str">
        <f>IFERROR(__xludf.DUMMYFUNCTION("""COMPUTED_VALUE"""),"NV3949")</f>
        <v>NV3949</v>
      </c>
      <c r="G208" s="22">
        <f>IFERROR(__xludf.DUMMYFUNCTION("""COMPUTED_VALUE"""),318.0)</f>
        <v>318</v>
      </c>
      <c r="H208" s="22" t="str">
        <f>IFERROR(__xludf.DUMMYFUNCTION("""COMPUTED_VALUE"""),"Lê Văn Nam")</f>
        <v>Lê Văn Nam</v>
      </c>
      <c r="I208" s="22" t="str">
        <f>IFERROR(__xludf.DUMMYFUNCTION("""COMPUTED_VALUE"""),"Nam")</f>
        <v>Nam</v>
      </c>
      <c r="J208" s="24">
        <f>IFERROR(__xludf.DUMMYFUNCTION("""COMPUTED_VALUE"""),34249.0)</f>
        <v>34249</v>
      </c>
      <c r="K208" s="22" t="str">
        <f>IFERROR(__xludf.DUMMYFUNCTION("""COMPUTED_VALUE"""),"13B/90 Lê Thần Tông - Phường Hạc Thành")</f>
        <v>13B/90 Lê Thần Tông - Phường Hạc Thành</v>
      </c>
      <c r="L208" s="22" t="str">
        <f>IFERROR(__xludf.DUMMYFUNCTION("""COMPUTED_VALUE"""),"0387605636")</f>
        <v>0387605636</v>
      </c>
      <c r="M208" s="22" t="str">
        <f>IFERROR(__xludf.DUMMYFUNCTION("""COMPUTED_VALUE"""),"038093026205")</f>
        <v>038093026205</v>
      </c>
      <c r="N208" s="24">
        <f>IFERROR(__xludf.DUMMYFUNCTION("""COMPUTED_VALUE"""),44427.0)</f>
        <v>44427</v>
      </c>
      <c r="O208" s="22" t="str">
        <f>IFERROR(__xludf.DUMMYFUNCTION("""COMPUTED_VALUE"""),"Cục Cảnh sát QLHC về TTXH")</f>
        <v>Cục Cảnh sát QLHC về TTXH</v>
      </c>
      <c r="P208" s="22" t="str">
        <f>IFERROR(__xludf.DUMMYFUNCTION("""COMPUTED_VALUE"""),"Đại học")</f>
        <v>Đại học</v>
      </c>
      <c r="Q208" s="22" t="str">
        <f>IFERROR(__xludf.DUMMYFUNCTION("""COMPUTED_VALUE"""),"Kỹ thuật tài nguyên nước")</f>
        <v>Kỹ thuật tài nguyên nước</v>
      </c>
      <c r="R208" s="24">
        <f>IFERROR(__xludf.DUMMYFUNCTION("""COMPUTED_VALUE"""),44529.0)</f>
        <v>44529</v>
      </c>
      <c r="S208" s="24">
        <f>IFERROR(__xludf.DUMMYFUNCTION("""COMPUTED_VALUE"""),44805.0)</f>
        <v>44805</v>
      </c>
      <c r="T208" s="22" t="str">
        <f>IFERROR(__xludf.DUMMYFUNCTION("""COMPUTED_VALUE"""),"Chính thức")</f>
        <v>Chính thức</v>
      </c>
      <c r="U208" s="22"/>
      <c r="V208" s="22"/>
      <c r="W208" s="22" t="str">
        <f>IFERROR(__xludf.DUMMYFUNCTION("""COMPUTED_VALUE"""),"4 năm 1 tháng")</f>
        <v>4 năm 1 tháng</v>
      </c>
      <c r="X208" s="22"/>
      <c r="Y208" s="22"/>
      <c r="Z208" s="22"/>
    </row>
    <row r="209">
      <c r="A209" s="23" t="str">
        <f>IFERROR(__xludf.DUMMYFUNCTION("""COMPUTED_VALUE"""),"15")</f>
        <v>15</v>
      </c>
      <c r="B209" s="22" t="str">
        <f>IFERROR(__xludf.DUMMYFUNCTION("""COMPUTED_VALUE"""),"PXSX1")</f>
        <v>PXSX1</v>
      </c>
      <c r="C209" s="22" t="str">
        <f>IFERROR(__xludf.DUMMYFUNCTION("""COMPUTED_VALUE"""),"Bộ phận nung và hoàn thiện sản phẩm")</f>
        <v>Bộ phận nung và hoàn thiện sản phẩm</v>
      </c>
      <c r="D209" s="22" t="str">
        <f>IFERROR(__xludf.DUMMYFUNCTION("""COMPUTED_VALUE"""),"Dây chuyền Mài Ca B")</f>
        <v>Dây chuyền Mài Ca B</v>
      </c>
      <c r="E209" s="22" t="str">
        <f>IFERROR(__xludf.DUMMYFUNCTION("""COMPUTED_VALUE"""),"Tổ phó")</f>
        <v>Tổ phó</v>
      </c>
      <c r="F209" s="22" t="str">
        <f>IFERROR(__xludf.DUMMYFUNCTION("""COMPUTED_VALUE"""),"NV4794")</f>
        <v>NV4794</v>
      </c>
      <c r="G209" s="22">
        <f>IFERROR(__xludf.DUMMYFUNCTION("""COMPUTED_VALUE"""),708.0)</f>
        <v>708</v>
      </c>
      <c r="H209" s="22" t="str">
        <f>IFERROR(__xludf.DUMMYFUNCTION("""COMPUTED_VALUE"""),"Bùi Văn Chinh")</f>
        <v>Bùi Văn Chinh</v>
      </c>
      <c r="I209" s="22" t="str">
        <f>IFERROR(__xludf.DUMMYFUNCTION("""COMPUTED_VALUE"""),"Nam")</f>
        <v>Nam</v>
      </c>
      <c r="J209" s="24">
        <f>IFERROR(__xludf.DUMMYFUNCTION("""COMPUTED_VALUE"""),36746.0)</f>
        <v>36746</v>
      </c>
      <c r="K209" s="22" t="str">
        <f>IFERROR(__xludf.DUMMYFUNCTION("""COMPUTED_VALUE"""),"Xã Hoằng Châu - Tỉnh Thanh Hóa")</f>
        <v>Xã Hoằng Châu - Tỉnh Thanh Hóa</v>
      </c>
      <c r="L209" s="22" t="str">
        <f>IFERROR(__xludf.DUMMYFUNCTION("""COMPUTED_VALUE"""),"0399890034")</f>
        <v>0399890034</v>
      </c>
      <c r="M209" s="22" t="str">
        <f>IFERROR(__xludf.DUMMYFUNCTION("""COMPUTED_VALUE"""),"038200007349")</f>
        <v>038200007349</v>
      </c>
      <c r="N209" s="24">
        <f>IFERROR(__xludf.DUMMYFUNCTION("""COMPUTED_VALUE"""),44568.0)</f>
        <v>44568</v>
      </c>
      <c r="O209" s="22" t="str">
        <f>IFERROR(__xludf.DUMMYFUNCTION("""COMPUTED_VALUE"""),"Cục Cảnh sát QLHC về TTXH")</f>
        <v>Cục Cảnh sát QLHC về TTXH</v>
      </c>
      <c r="P209" s="22" t="str">
        <f>IFERROR(__xludf.DUMMYFUNCTION("""COMPUTED_VALUE"""),"Cử nhân")</f>
        <v>Cử nhân</v>
      </c>
      <c r="Q209" s="22" t="str">
        <f>IFERROR(__xludf.DUMMYFUNCTION("""COMPUTED_VALUE"""),"Du lịch")</f>
        <v>Du lịch</v>
      </c>
      <c r="R209" s="24">
        <f>IFERROR(__xludf.DUMMYFUNCTION("""COMPUTED_VALUE"""),45034.0)</f>
        <v>45034</v>
      </c>
      <c r="S209" s="24">
        <f>IFERROR(__xludf.DUMMYFUNCTION("""COMPUTED_VALUE"""),45292.0)</f>
        <v>45292</v>
      </c>
      <c r="T209" s="22" t="str">
        <f>IFERROR(__xludf.DUMMYFUNCTION("""COMPUTED_VALUE"""),"Chính thức")</f>
        <v>Chính thức</v>
      </c>
      <c r="U209" s="22"/>
      <c r="V209" s="22"/>
      <c r="W209" s="22" t="str">
        <f>IFERROR(__xludf.DUMMYFUNCTION("""COMPUTED_VALUE"""),"2 năm 8 tháng")</f>
        <v>2 năm 8 tháng</v>
      </c>
      <c r="X209" s="22"/>
      <c r="Y209" s="22"/>
      <c r="Z209" s="22"/>
    </row>
    <row r="210">
      <c r="A210" s="23" t="str">
        <f>IFERROR(__xludf.DUMMYFUNCTION("""COMPUTED_VALUE"""),"16")</f>
        <v>16</v>
      </c>
      <c r="B210" s="22" t="str">
        <f>IFERROR(__xludf.DUMMYFUNCTION("""COMPUTED_VALUE"""),"PXSX1")</f>
        <v>PXSX1</v>
      </c>
      <c r="C210" s="22" t="str">
        <f>IFERROR(__xludf.DUMMYFUNCTION("""COMPUTED_VALUE"""),"Bộ phận nung và hoàn thiện sản phẩm")</f>
        <v>Bộ phận nung và hoàn thiện sản phẩm</v>
      </c>
      <c r="D210" s="22" t="str">
        <f>IFERROR(__xludf.DUMMYFUNCTION("""COMPUTED_VALUE"""),"Dây chuyền Mài Ca B")</f>
        <v>Dây chuyền Mài Ca B</v>
      </c>
      <c r="E210" s="22" t="str">
        <f>IFERROR(__xludf.DUMMYFUNCTION("""COMPUTED_VALUE"""),"Bốc sót sau máy mài nano DC1")</f>
        <v>Bốc sót sau máy mài nano DC1</v>
      </c>
      <c r="F210" s="22" t="str">
        <f>IFERROR(__xludf.DUMMYFUNCTION("""COMPUTED_VALUE"""),"NV5741")</f>
        <v>NV5741</v>
      </c>
      <c r="G210" s="22">
        <f>IFERROR(__xludf.DUMMYFUNCTION("""COMPUTED_VALUE"""),1221.0)</f>
        <v>1221</v>
      </c>
      <c r="H210" s="22" t="str">
        <f>IFERROR(__xludf.DUMMYFUNCTION("""COMPUTED_VALUE"""),"Lê Văn Đức")</f>
        <v>Lê Văn Đức</v>
      </c>
      <c r="I210" s="22" t="str">
        <f>IFERROR(__xludf.DUMMYFUNCTION("""COMPUTED_VALUE"""),"Nam")</f>
        <v>Nam</v>
      </c>
      <c r="J210" s="24">
        <f>IFERROR(__xludf.DUMMYFUNCTION("""COMPUTED_VALUE"""),34665.0)</f>
        <v>34665</v>
      </c>
      <c r="K210" s="22" t="str">
        <f>IFERROR(__xludf.DUMMYFUNCTION("""COMPUTED_VALUE"""),"Yên Trạch - Phường Sầm Sơn - Tỉnh Thanh Hóa")</f>
        <v>Yên Trạch - Phường Sầm Sơn - Tỉnh Thanh Hóa</v>
      </c>
      <c r="L210" s="22" t="str">
        <f>IFERROR(__xludf.DUMMYFUNCTION("""COMPUTED_VALUE"""),"0328281194")</f>
        <v>0328281194</v>
      </c>
      <c r="M210" s="22" t="str">
        <f>IFERROR(__xludf.DUMMYFUNCTION("""COMPUTED_VALUE"""),"038094009010")</f>
        <v>038094009010</v>
      </c>
      <c r="N210" s="24">
        <f>IFERROR(__xludf.DUMMYFUNCTION("""COMPUTED_VALUE"""),44941.0)</f>
        <v>44941</v>
      </c>
      <c r="O210" s="22" t="str">
        <f>IFERROR(__xludf.DUMMYFUNCTION("""COMPUTED_VALUE"""),"Cục Cảnh sát QLHC về TTXH")</f>
        <v>Cục Cảnh sát QLHC về TTXH</v>
      </c>
      <c r="P210" s="22" t="str">
        <f>IFERROR(__xludf.DUMMYFUNCTION("""COMPUTED_VALUE"""),"LĐPT")</f>
        <v>LĐPT</v>
      </c>
      <c r="Q210" s="22" t="str">
        <f>IFERROR(__xludf.DUMMYFUNCTION("""COMPUTED_VALUE"""),"Lao động phổ thông")</f>
        <v>Lao động phổ thông</v>
      </c>
      <c r="R210" s="24">
        <f>IFERROR(__xludf.DUMMYFUNCTION("""COMPUTED_VALUE"""),45932.0)</f>
        <v>45932</v>
      </c>
      <c r="S210" s="22"/>
      <c r="T210" s="22" t="str">
        <f>IFERROR(__xludf.DUMMYFUNCTION("""COMPUTED_VALUE"""),"Thử việc")</f>
        <v>Thử việc</v>
      </c>
      <c r="U210" s="22"/>
      <c r="V210" s="22" t="str">
        <f>IFERROR(__xludf.DUMMYFUNCTION("""COMPUTED_VALUE"""),"Thử việc")</f>
        <v>Thử việc</v>
      </c>
      <c r="W210" s="22" t="str">
        <f>IFERROR(__xludf.DUMMYFUNCTION("""COMPUTED_VALUE"""),"0 năm 2 tháng")</f>
        <v>0 năm 2 tháng</v>
      </c>
      <c r="X210" s="22"/>
      <c r="Y210" s="22"/>
      <c r="Z210" s="22"/>
    </row>
    <row r="211">
      <c r="A211" s="23" t="str">
        <f>IFERROR(__xludf.DUMMYFUNCTION("""COMPUTED_VALUE"""),"17")</f>
        <v>17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3" t="str">
        <f>IFERROR(__xludf.DUMMYFUNCTION("""COMPUTED_VALUE"""),"4.7")</f>
        <v>4.7</v>
      </c>
      <c r="B213" s="22" t="str">
        <f>IFERROR(__xludf.DUMMYFUNCTION("""COMPUTED_VALUE"""),"Đóng hộp Ca A")</f>
        <v>Đóng hộp Ca A</v>
      </c>
      <c r="C213" s="22">
        <f>IFERROR(__xludf.DUMMYFUNCTION("""COMPUTED_VALUE"""),20.0)</f>
        <v>20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3" t="str">
        <f>IFERROR(__xludf.DUMMYFUNCTION("""COMPUTED_VALUE"""),"1")</f>
        <v>1</v>
      </c>
      <c r="B214" s="22" t="str">
        <f>IFERROR(__xludf.DUMMYFUNCTION("""COMPUTED_VALUE"""),"PXSX1")</f>
        <v>PXSX1</v>
      </c>
      <c r="C214" s="22" t="str">
        <f>IFERROR(__xludf.DUMMYFUNCTION("""COMPUTED_VALUE"""),"Bộ phận nung và hoàn thiện sản phẩm")</f>
        <v>Bộ phận nung và hoàn thiện sản phẩm</v>
      </c>
      <c r="D214" s="22" t="str">
        <f>IFERROR(__xludf.DUMMYFUNCTION("""COMPUTED_VALUE"""),"Đóng hộp Ca A")</f>
        <v>Đóng hộp Ca A</v>
      </c>
      <c r="E214" s="22" t="str">
        <f>IFERROR(__xludf.DUMMYFUNCTION("""COMPUTED_VALUE"""),"Hoàn thiện palet DC1")</f>
        <v>Hoàn thiện palet DC1</v>
      </c>
      <c r="F214" s="22" t="str">
        <f>IFERROR(__xludf.DUMMYFUNCTION("""COMPUTED_VALUE"""),"NV0129")</f>
        <v>NV0129</v>
      </c>
      <c r="G214" s="22">
        <f>IFERROR(__xludf.DUMMYFUNCTION("""COMPUTED_VALUE"""),281.0)</f>
        <v>281</v>
      </c>
      <c r="H214" s="22" t="str">
        <f>IFERROR(__xludf.DUMMYFUNCTION("""COMPUTED_VALUE"""),"Lê Thị Tuyên")</f>
        <v>Lê Thị Tuyên</v>
      </c>
      <c r="I214" s="22" t="str">
        <f>IFERROR(__xludf.DUMMYFUNCTION("""COMPUTED_VALUE"""),"Nữ ")</f>
        <v>Nữ </v>
      </c>
      <c r="J214" s="24">
        <f>IFERROR(__xludf.DUMMYFUNCTION("""COMPUTED_VALUE"""),25534.0)</f>
        <v>25534</v>
      </c>
      <c r="K214" s="22" t="str">
        <f>IFERROR(__xludf.DUMMYFUNCTION("""COMPUTED_VALUE"""),"Tân Hạnh - Phường Đông Sơn - Tỉnh Thanh Hóa")</f>
        <v>Tân Hạnh - Phường Đông Sơn - Tỉnh Thanh Hóa</v>
      </c>
      <c r="L214" s="22" t="str">
        <f>IFERROR(__xludf.DUMMYFUNCTION("""COMPUTED_VALUE"""),"0987508475")</f>
        <v>0987508475</v>
      </c>
      <c r="M214" s="22" t="str">
        <f>IFERROR(__xludf.DUMMYFUNCTION("""COMPUTED_VALUE"""),"038169001613")</f>
        <v>038169001613</v>
      </c>
      <c r="N214" s="24">
        <f>IFERROR(__xludf.DUMMYFUNCTION("""COMPUTED_VALUE"""),42871.0)</f>
        <v>42871</v>
      </c>
      <c r="O214" s="22" t="str">
        <f>IFERROR(__xludf.DUMMYFUNCTION("""COMPUTED_VALUE"""),"Cục Cảnh sát QLHC về TTXH")</f>
        <v>Cục Cảnh sát QLHC về TTXH</v>
      </c>
      <c r="P214" s="22" t="str">
        <f>IFERROR(__xludf.DUMMYFUNCTION("""COMPUTED_VALUE"""),"LĐPT")</f>
        <v>LĐPT</v>
      </c>
      <c r="Q214" s="22" t="str">
        <f>IFERROR(__xludf.DUMMYFUNCTION("""COMPUTED_VALUE"""),"Lao động phổ thông")</f>
        <v>Lao động phổ thông</v>
      </c>
      <c r="R214" s="24">
        <f>IFERROR(__xludf.DUMMYFUNCTION("""COMPUTED_VALUE"""),41951.0)</f>
        <v>41951</v>
      </c>
      <c r="S214" s="24">
        <f>IFERROR(__xludf.DUMMYFUNCTION("""COMPUTED_VALUE"""),41951.0)</f>
        <v>41951</v>
      </c>
      <c r="T214" s="22" t="str">
        <f>IFERROR(__xludf.DUMMYFUNCTION("""COMPUTED_VALUE"""),"Chính thức")</f>
        <v>Chính thức</v>
      </c>
      <c r="U214" s="22"/>
      <c r="V214" s="22"/>
      <c r="W214" s="22" t="str">
        <f>IFERROR(__xludf.DUMMYFUNCTION("""COMPUTED_VALUE"""),"11 năm 1 tháng")</f>
        <v>11 năm 1 tháng</v>
      </c>
      <c r="X214" s="22"/>
      <c r="Y214" s="22"/>
      <c r="Z214" s="22"/>
    </row>
    <row r="215">
      <c r="A215" s="23" t="str">
        <f>IFERROR(__xludf.DUMMYFUNCTION("""COMPUTED_VALUE"""),"2")</f>
        <v>2</v>
      </c>
      <c r="B215" s="22" t="str">
        <f>IFERROR(__xludf.DUMMYFUNCTION("""COMPUTED_VALUE"""),"PXSX1")</f>
        <v>PXSX1</v>
      </c>
      <c r="C215" s="22" t="str">
        <f>IFERROR(__xludf.DUMMYFUNCTION("""COMPUTED_VALUE"""),"Bộ phận nung và hoàn thiện sản phẩm")</f>
        <v>Bộ phận nung và hoàn thiện sản phẩm</v>
      </c>
      <c r="D215" s="22" t="str">
        <f>IFERROR(__xludf.DUMMYFUNCTION("""COMPUTED_VALUE"""),"Đóng hộp Ca A")</f>
        <v>Đóng hộp Ca A</v>
      </c>
      <c r="E215" s="22" t="str">
        <f>IFERROR(__xludf.DUMMYFUNCTION("""COMPUTED_VALUE"""),"VH máy đóng hộp")</f>
        <v>VH máy đóng hộp</v>
      </c>
      <c r="F215" s="22" t="str">
        <f>IFERROR(__xludf.DUMMYFUNCTION("""COMPUTED_VALUE"""),"NV5339")</f>
        <v>NV5339</v>
      </c>
      <c r="G215" s="22">
        <f>IFERROR(__xludf.DUMMYFUNCTION("""COMPUTED_VALUE"""),331.0)</f>
        <v>331</v>
      </c>
      <c r="H215" s="22" t="str">
        <f>IFERROR(__xludf.DUMMYFUNCTION("""COMPUTED_VALUE"""),"Lê Văn Dương")</f>
        <v>Lê Văn Dương</v>
      </c>
      <c r="I215" s="22" t="str">
        <f>IFERROR(__xludf.DUMMYFUNCTION("""COMPUTED_VALUE"""),"Nam")</f>
        <v>Nam</v>
      </c>
      <c r="J215" s="24">
        <f>IFERROR(__xludf.DUMMYFUNCTION("""COMPUTED_VALUE"""),26027.0)</f>
        <v>26027</v>
      </c>
      <c r="K215" s="22" t="str">
        <f>IFERROR(__xludf.DUMMYFUNCTION("""COMPUTED_VALUE"""),"Phường Quàng Phú - Tỉnh Thanh Hóa")</f>
        <v>Phường Quàng Phú - Tỉnh Thanh Hóa</v>
      </c>
      <c r="L215" s="22" t="str">
        <f>IFERROR(__xludf.DUMMYFUNCTION("""COMPUTED_VALUE"""),"0977405893")</f>
        <v>0977405893</v>
      </c>
      <c r="M215" s="22" t="str">
        <f>IFERROR(__xludf.DUMMYFUNCTION("""COMPUTED_VALUE"""),"038071024965")</f>
        <v>038071024965</v>
      </c>
      <c r="N215" s="24">
        <f>IFERROR(__xludf.DUMMYFUNCTION("""COMPUTED_VALUE"""),44419.0)</f>
        <v>44419</v>
      </c>
      <c r="O215" s="22" t="str">
        <f>IFERROR(__xludf.DUMMYFUNCTION("""COMPUTED_VALUE"""),"Cục Cảnh sát QLHC về TTXH")</f>
        <v>Cục Cảnh sát QLHC về TTXH</v>
      </c>
      <c r="P215" s="22" t="str">
        <f>IFERROR(__xludf.DUMMYFUNCTION("""COMPUTED_VALUE"""),"LĐPT")</f>
        <v>LĐPT</v>
      </c>
      <c r="Q215" s="22" t="str">
        <f>IFERROR(__xludf.DUMMYFUNCTION("""COMPUTED_VALUE"""),"Lao động phổ thông")</f>
        <v>Lao động phổ thông</v>
      </c>
      <c r="R215" s="22"/>
      <c r="S215" s="24">
        <f>IFERROR(__xludf.DUMMYFUNCTION("""COMPUTED_VALUE"""),45566.0)</f>
        <v>45566</v>
      </c>
      <c r="T215" s="22" t="str">
        <f>IFERROR(__xludf.DUMMYFUNCTION("""COMPUTED_VALUE"""),"Chính thức")</f>
        <v>Chính thức</v>
      </c>
      <c r="U215" s="22"/>
      <c r="V215" s="22"/>
      <c r="W215" s="22" t="str">
        <f>IFERROR(__xludf.DUMMYFUNCTION("""COMPUTED_VALUE"""),"1 năm 2 tháng")</f>
        <v>1 năm 2 tháng</v>
      </c>
      <c r="X215" s="22"/>
      <c r="Y215" s="22"/>
      <c r="Z215" s="22"/>
    </row>
    <row r="216">
      <c r="A216" s="23" t="str">
        <f>IFERROR(__xludf.DUMMYFUNCTION("""COMPUTED_VALUE"""),"3")</f>
        <v>3</v>
      </c>
      <c r="B216" s="22" t="str">
        <f>IFERROR(__xludf.DUMMYFUNCTION("""COMPUTED_VALUE"""),"PXSX1")</f>
        <v>PXSX1</v>
      </c>
      <c r="C216" s="22" t="str">
        <f>IFERROR(__xludf.DUMMYFUNCTION("""COMPUTED_VALUE"""),"Bộ phận nung và hoàn thiện sản phẩm")</f>
        <v>Bộ phận nung và hoàn thiện sản phẩm</v>
      </c>
      <c r="D216" s="22" t="str">
        <f>IFERROR(__xludf.DUMMYFUNCTION("""COMPUTED_VALUE"""),"Đóng hộp Ca A")</f>
        <v>Đóng hộp Ca A</v>
      </c>
      <c r="E216" s="22" t="str">
        <f>IFERROR(__xludf.DUMMYFUNCTION("""COMPUTED_VALUE"""),"Bốc lai phụ + Đóng hộp DC1")</f>
        <v>Bốc lai phụ + Đóng hộp DC1</v>
      </c>
      <c r="F216" s="22" t="str">
        <f>IFERROR(__xludf.DUMMYFUNCTION("""COMPUTED_VALUE"""),"NV5518")</f>
        <v>NV5518</v>
      </c>
      <c r="G216" s="22">
        <f>IFERROR(__xludf.DUMMYFUNCTION("""COMPUTED_VALUE"""),1001.0)</f>
        <v>1001</v>
      </c>
      <c r="H216" s="22" t="str">
        <f>IFERROR(__xludf.DUMMYFUNCTION("""COMPUTED_VALUE"""),"Đinh Ngọc Tuyên")</f>
        <v>Đinh Ngọc Tuyên</v>
      </c>
      <c r="I216" s="22" t="str">
        <f>IFERROR(__xludf.DUMMYFUNCTION("""COMPUTED_VALUE"""),"Nam")</f>
        <v>Nam</v>
      </c>
      <c r="J216" s="24">
        <f>IFERROR(__xludf.DUMMYFUNCTION("""COMPUTED_VALUE"""),26942.0)</f>
        <v>26942</v>
      </c>
      <c r="K216" s="22" t="str">
        <f>IFERROR(__xludf.DUMMYFUNCTION("""COMPUTED_VALUE"""),"Xã Xuân Hòa – Tỉnh Thanh Hóa")</f>
        <v>Xã Xuân Hòa – Tỉnh Thanh Hóa</v>
      </c>
      <c r="L216" s="22" t="str">
        <f>IFERROR(__xludf.DUMMYFUNCTION("""COMPUTED_VALUE"""),"0857404289")</f>
        <v>0857404289</v>
      </c>
      <c r="M216" s="22" t="str">
        <f>IFERROR(__xludf.DUMMYFUNCTION("""COMPUTED_VALUE"""),"038073009982")</f>
        <v>038073009982</v>
      </c>
      <c r="N216" s="24">
        <f>IFERROR(__xludf.DUMMYFUNCTION("""COMPUTED_VALUE"""),44971.0)</f>
        <v>44971</v>
      </c>
      <c r="O216" s="22" t="str">
        <f>IFERROR(__xludf.DUMMYFUNCTION("""COMPUTED_VALUE"""),"Cục Cảnh sát QLHC về TTXH")</f>
        <v>Cục Cảnh sát QLHC về TTXH</v>
      </c>
      <c r="P216" s="22" t="str">
        <f>IFERROR(__xludf.DUMMYFUNCTION("""COMPUTED_VALUE"""),"LĐPT")</f>
        <v>LĐPT</v>
      </c>
      <c r="Q216" s="22" t="str">
        <f>IFERROR(__xludf.DUMMYFUNCTION("""COMPUTED_VALUE"""),"Lao động phổ thông")</f>
        <v>Lao động phổ thông</v>
      </c>
      <c r="R216" s="24">
        <f>IFERROR(__xludf.DUMMYFUNCTION("""COMPUTED_VALUE"""),45813.0)</f>
        <v>45813</v>
      </c>
      <c r="S216" s="22"/>
      <c r="T216" s="22" t="str">
        <f>IFERROR(__xludf.DUMMYFUNCTION("""COMPUTED_VALUE"""),"Chính thức")</f>
        <v>Chính thức</v>
      </c>
      <c r="U216" s="22"/>
      <c r="V216" s="22"/>
      <c r="W216" s="22" t="str">
        <f>IFERROR(__xludf.DUMMYFUNCTION("""COMPUTED_VALUE"""),"0 năm 6 tháng")</f>
        <v>0 năm 6 tháng</v>
      </c>
      <c r="X216" s="22"/>
      <c r="Y216" s="22"/>
      <c r="Z216" s="22"/>
    </row>
    <row r="217">
      <c r="A217" s="23" t="str">
        <f>IFERROR(__xludf.DUMMYFUNCTION("""COMPUTED_VALUE"""),"4")</f>
        <v>4</v>
      </c>
      <c r="B217" s="22" t="str">
        <f>IFERROR(__xludf.DUMMYFUNCTION("""COMPUTED_VALUE"""),"PXSX1")</f>
        <v>PXSX1</v>
      </c>
      <c r="C217" s="22" t="str">
        <f>IFERROR(__xludf.DUMMYFUNCTION("""COMPUTED_VALUE"""),"Bộ phận nung và hoàn thiện sản phẩm")</f>
        <v>Bộ phận nung và hoàn thiện sản phẩm</v>
      </c>
      <c r="D217" s="22" t="str">
        <f>IFERROR(__xludf.DUMMYFUNCTION("""COMPUTED_VALUE"""),"Đóng hộp Ca A")</f>
        <v>Đóng hộp Ca A</v>
      </c>
      <c r="E217" s="22" t="str">
        <f>IFERROR(__xludf.DUMMYFUNCTION("""COMPUTED_VALUE"""),"CN đóng hộp")</f>
        <v>CN đóng hộp</v>
      </c>
      <c r="F217" s="22" t="str">
        <f>IFERROR(__xludf.DUMMYFUNCTION("""COMPUTED_VALUE"""),"NV0688")</f>
        <v>NV0688</v>
      </c>
      <c r="G217" s="22">
        <f>IFERROR(__xludf.DUMMYFUNCTION("""COMPUTED_VALUE"""),682.0)</f>
        <v>682</v>
      </c>
      <c r="H217" s="22" t="str">
        <f>IFERROR(__xludf.DUMMYFUNCTION("""COMPUTED_VALUE"""),"Trần Thị Sinh")</f>
        <v>Trần Thị Sinh</v>
      </c>
      <c r="I217" s="22" t="str">
        <f>IFERROR(__xludf.DUMMYFUNCTION("""COMPUTED_VALUE"""),"Nữ ")</f>
        <v>Nữ </v>
      </c>
      <c r="J217" s="24">
        <f>IFERROR(__xludf.DUMMYFUNCTION("""COMPUTED_VALUE"""),28176.0)</f>
        <v>28176</v>
      </c>
      <c r="K217" s="22" t="str">
        <f>IFERROR(__xludf.DUMMYFUNCTION("""COMPUTED_VALUE"""),"Phường Hạc Thành - Tỉnh Thanh Hóa")</f>
        <v>Phường Hạc Thành - Tỉnh Thanh Hóa</v>
      </c>
      <c r="L217" s="22" t="str">
        <f>IFERROR(__xludf.DUMMYFUNCTION("""COMPUTED_VALUE"""),"0865001875")</f>
        <v>0865001875</v>
      </c>
      <c r="M217" s="22" t="str">
        <f>IFERROR(__xludf.DUMMYFUNCTION("""COMPUTED_VALUE"""),"038177008327")</f>
        <v>038177008327</v>
      </c>
      <c r="N217" s="24">
        <f>IFERROR(__xludf.DUMMYFUNCTION("""COMPUTED_VALUE"""),43599.0)</f>
        <v>43599</v>
      </c>
      <c r="O217" s="22" t="str">
        <f>IFERROR(__xludf.DUMMYFUNCTION("""COMPUTED_VALUE"""),"Cục Cảnh sát QLHC về TTXH")</f>
        <v>Cục Cảnh sát QLHC về TTXH</v>
      </c>
      <c r="P217" s="22" t="str">
        <f>IFERROR(__xludf.DUMMYFUNCTION("""COMPUTED_VALUE"""),"LĐPT")</f>
        <v>LĐPT</v>
      </c>
      <c r="Q217" s="22" t="str">
        <f>IFERROR(__xludf.DUMMYFUNCTION("""COMPUTED_VALUE"""),"Lao động phổ thông")</f>
        <v>Lao động phổ thông</v>
      </c>
      <c r="R217" s="24">
        <f>IFERROR(__xludf.DUMMYFUNCTION("""COMPUTED_VALUE"""),42461.0)</f>
        <v>42461</v>
      </c>
      <c r="S217" s="24">
        <f>IFERROR(__xludf.DUMMYFUNCTION("""COMPUTED_VALUE"""),42491.0)</f>
        <v>42491</v>
      </c>
      <c r="T217" s="22" t="str">
        <f>IFERROR(__xludf.DUMMYFUNCTION("""COMPUTED_VALUE"""),"Chính thức")</f>
        <v>Chính thức</v>
      </c>
      <c r="U217" s="22"/>
      <c r="V217" s="22"/>
      <c r="W217" s="22" t="str">
        <f>IFERROR(__xludf.DUMMYFUNCTION("""COMPUTED_VALUE"""),"9 năm 8 tháng")</f>
        <v>9 năm 8 tháng</v>
      </c>
      <c r="X217" s="22"/>
      <c r="Y217" s="22"/>
      <c r="Z217" s="22"/>
    </row>
    <row r="218">
      <c r="A218" s="23" t="str">
        <f>IFERROR(__xludf.DUMMYFUNCTION("""COMPUTED_VALUE"""),"5")</f>
        <v>5</v>
      </c>
      <c r="B218" s="22" t="str">
        <f>IFERROR(__xludf.DUMMYFUNCTION("""COMPUTED_VALUE"""),"PXSX1")</f>
        <v>PXSX1</v>
      </c>
      <c r="C218" s="22" t="str">
        <f>IFERROR(__xludf.DUMMYFUNCTION("""COMPUTED_VALUE"""),"Bộ phận nung và hoàn thiện sản phẩm")</f>
        <v>Bộ phận nung và hoàn thiện sản phẩm</v>
      </c>
      <c r="D218" s="22" t="str">
        <f>IFERROR(__xludf.DUMMYFUNCTION("""COMPUTED_VALUE"""),"Đóng hộp Ca A")</f>
        <v>Đóng hộp Ca A</v>
      </c>
      <c r="E218" s="22" t="str">
        <f>IFERROR(__xludf.DUMMYFUNCTION("""COMPUTED_VALUE"""),"Hoàn thiện palet DC2")</f>
        <v>Hoàn thiện palet DC2</v>
      </c>
      <c r="F218" s="22" t="str">
        <f>IFERROR(__xludf.DUMMYFUNCTION("""COMPUTED_VALUE"""),"NV5671")</f>
        <v>NV5671</v>
      </c>
      <c r="G218" s="22">
        <f>IFERROR(__xludf.DUMMYFUNCTION("""COMPUTED_VALUE"""),1165.0)</f>
        <v>1165</v>
      </c>
      <c r="H218" s="22" t="str">
        <f>IFERROR(__xludf.DUMMYFUNCTION("""COMPUTED_VALUE"""),"Tô Thị Lưu")</f>
        <v>Tô Thị Lưu</v>
      </c>
      <c r="I218" s="22" t="str">
        <f>IFERROR(__xludf.DUMMYFUNCTION("""COMPUTED_VALUE"""),"Nữ")</f>
        <v>Nữ</v>
      </c>
      <c r="J218" s="24">
        <f>IFERROR(__xludf.DUMMYFUNCTION("""COMPUTED_VALUE"""),28378.0)</f>
        <v>28378</v>
      </c>
      <c r="K218" s="22" t="str">
        <f>IFERROR(__xludf.DUMMYFUNCTION("""COMPUTED_VALUE"""),"Thôn 3 - Xã Quảng Bình - Tỉnh Thanh Hóa")</f>
        <v>Thôn 3 - Xã Quảng Bình - Tỉnh Thanh Hóa</v>
      </c>
      <c r="L218" s="22" t="str">
        <f>IFERROR(__xludf.DUMMYFUNCTION("""COMPUTED_VALUE"""),"0964752308")</f>
        <v>0964752308</v>
      </c>
      <c r="M218" s="22" t="str">
        <f>IFERROR(__xludf.DUMMYFUNCTION("""COMPUTED_VALUE"""),"038177003644")</f>
        <v>038177003644</v>
      </c>
      <c r="N218" s="24">
        <f>IFERROR(__xludf.DUMMYFUNCTION("""COMPUTED_VALUE"""),44435.0)</f>
        <v>44435</v>
      </c>
      <c r="O218" s="22" t="str">
        <f>IFERROR(__xludf.DUMMYFUNCTION("""COMPUTED_VALUE"""),"Cục Cảnh sát QLHC về TTXH")</f>
        <v>Cục Cảnh sát QLHC về TTXH</v>
      </c>
      <c r="P218" s="22" t="str">
        <f>IFERROR(__xludf.DUMMYFUNCTION("""COMPUTED_VALUE"""),"LĐPT")</f>
        <v>LĐPT</v>
      </c>
      <c r="Q218" s="22" t="str">
        <f>IFERROR(__xludf.DUMMYFUNCTION("""COMPUTED_VALUE"""),"Lao động phổ thông")</f>
        <v>Lao động phổ thông</v>
      </c>
      <c r="R218" s="24">
        <f>IFERROR(__xludf.DUMMYFUNCTION("""COMPUTED_VALUE"""),45898.0)</f>
        <v>45898</v>
      </c>
      <c r="S218" s="24">
        <f>IFERROR(__xludf.DUMMYFUNCTION("""COMPUTED_VALUE"""),45929.0)</f>
        <v>45929</v>
      </c>
      <c r="T218" s="22" t="str">
        <f>IFERROR(__xludf.DUMMYFUNCTION("""COMPUTED_VALUE"""),"Thử việc")</f>
        <v>Thử việc</v>
      </c>
      <c r="U218" s="22"/>
      <c r="V218" s="22" t="str">
        <f>IFERROR(__xludf.DUMMYFUNCTION("""COMPUTED_VALUE"""),"Thử việc")</f>
        <v>Thử việc</v>
      </c>
      <c r="W218" s="22" t="str">
        <f>IFERROR(__xludf.DUMMYFUNCTION("""COMPUTED_VALUE"""),"0 năm 4 tháng")</f>
        <v>0 năm 4 tháng</v>
      </c>
      <c r="X218" s="22"/>
      <c r="Y218" s="22"/>
      <c r="Z218" s="22"/>
    </row>
    <row r="219">
      <c r="A219" s="23" t="str">
        <f>IFERROR(__xludf.DUMMYFUNCTION("""COMPUTED_VALUE"""),"6")</f>
        <v>6</v>
      </c>
      <c r="B219" s="22" t="str">
        <f>IFERROR(__xludf.DUMMYFUNCTION("""COMPUTED_VALUE"""),"PXSX1")</f>
        <v>PXSX1</v>
      </c>
      <c r="C219" s="22" t="str">
        <f>IFERROR(__xludf.DUMMYFUNCTION("""COMPUTED_VALUE"""),"Bộ phận nung và hoàn thiện sản phẩm")</f>
        <v>Bộ phận nung và hoàn thiện sản phẩm</v>
      </c>
      <c r="D219" s="22" t="str">
        <f>IFERROR(__xludf.DUMMYFUNCTION("""COMPUTED_VALUE"""),"Đóng hộp Ca A")</f>
        <v>Đóng hộp Ca A</v>
      </c>
      <c r="E219" s="22" t="str">
        <f>IFERROR(__xludf.DUMMYFUNCTION("""COMPUTED_VALUE"""),"VH máy đóng hộp")</f>
        <v>VH máy đóng hộp</v>
      </c>
      <c r="F219" s="22" t="str">
        <f>IFERROR(__xludf.DUMMYFUNCTION("""COMPUTED_VALUE"""),"NV5089")</f>
        <v>NV5089</v>
      </c>
      <c r="G219" s="22">
        <f>IFERROR(__xludf.DUMMYFUNCTION("""COMPUTED_VALUE"""),925.0)</f>
        <v>925</v>
      </c>
      <c r="H219" s="22" t="str">
        <f>IFERROR(__xludf.DUMMYFUNCTION("""COMPUTED_VALUE"""),"Đỗ Ngọc Tuấn ")</f>
        <v>Đỗ Ngọc Tuấn </v>
      </c>
      <c r="I219" s="22" t="str">
        <f>IFERROR(__xludf.DUMMYFUNCTION("""COMPUTED_VALUE"""),"Nam")</f>
        <v>Nam</v>
      </c>
      <c r="J219" s="24">
        <f>IFERROR(__xludf.DUMMYFUNCTION("""COMPUTED_VALUE"""),29097.0)</f>
        <v>29097</v>
      </c>
      <c r="K219" s="22" t="str">
        <f>IFERROR(__xludf.DUMMYFUNCTION("""COMPUTED_VALUE"""),"Phố Thành Mai - Phường Quảng Phú - Tỉnh Thanh hóa ")</f>
        <v>Phố Thành Mai - Phường Quảng Phú - Tỉnh Thanh hóa </v>
      </c>
      <c r="L219" s="22" t="str">
        <f>IFERROR(__xludf.DUMMYFUNCTION("""COMPUTED_VALUE"""),"0981940131")</f>
        <v>0981940131</v>
      </c>
      <c r="M219" s="22" t="str">
        <f>IFERROR(__xludf.DUMMYFUNCTION("""COMPUTED_VALUE"""),"038079011757")</f>
        <v>038079011757</v>
      </c>
      <c r="N219" s="24">
        <f>IFERROR(__xludf.DUMMYFUNCTION("""COMPUTED_VALUE"""),44992.0)</f>
        <v>44992</v>
      </c>
      <c r="O219" s="22" t="str">
        <f>IFERROR(__xludf.DUMMYFUNCTION("""COMPUTED_VALUE"""),"Cục Cảnh sát QLHC về TTXH")</f>
        <v>Cục Cảnh sát QLHC về TTXH</v>
      </c>
      <c r="P219" s="22" t="str">
        <f>IFERROR(__xludf.DUMMYFUNCTION("""COMPUTED_VALUE"""),"LĐPT")</f>
        <v>LĐPT</v>
      </c>
      <c r="Q219" s="22" t="str">
        <f>IFERROR(__xludf.DUMMYFUNCTION("""COMPUTED_VALUE"""),"Lao động phổ thông")</f>
        <v>Lao động phổ thông</v>
      </c>
      <c r="R219" s="24">
        <f>IFERROR(__xludf.DUMMYFUNCTION("""COMPUTED_VALUE"""),45791.0)</f>
        <v>45791</v>
      </c>
      <c r="S219" s="22"/>
      <c r="T219" s="22" t="str">
        <f>IFERROR(__xludf.DUMMYFUNCTION("""COMPUTED_VALUE"""),"Chính thức")</f>
        <v>Chính thức</v>
      </c>
      <c r="U219" s="22"/>
      <c r="V219" s="22"/>
      <c r="W219" s="22" t="str">
        <f>IFERROR(__xludf.DUMMYFUNCTION("""COMPUTED_VALUE"""),"0 năm 7 tháng")</f>
        <v>0 năm 7 tháng</v>
      </c>
      <c r="X219" s="22"/>
      <c r="Y219" s="22"/>
      <c r="Z219" s="22"/>
    </row>
    <row r="220">
      <c r="A220" s="23" t="str">
        <f>IFERROR(__xludf.DUMMYFUNCTION("""COMPUTED_VALUE"""),"7")</f>
        <v>7</v>
      </c>
      <c r="B220" s="22" t="str">
        <f>IFERROR(__xludf.DUMMYFUNCTION("""COMPUTED_VALUE"""),"PXSX1")</f>
        <v>PXSX1</v>
      </c>
      <c r="C220" s="22" t="str">
        <f>IFERROR(__xludf.DUMMYFUNCTION("""COMPUTED_VALUE"""),"Bộ phận nung và hoàn thiện sản phẩm")</f>
        <v>Bộ phận nung và hoàn thiện sản phẩm</v>
      </c>
      <c r="D220" s="22" t="str">
        <f>IFERROR(__xludf.DUMMYFUNCTION("""COMPUTED_VALUE"""),"Đóng hộp Ca A")</f>
        <v>Đóng hộp Ca A</v>
      </c>
      <c r="E220" s="22" t="str">
        <f>IFERROR(__xludf.DUMMYFUNCTION("""COMPUTED_VALUE"""),"Tổ trưởng - Phụ trách Đóng hộp")</f>
        <v>Tổ trưởng - Phụ trách Đóng hộp</v>
      </c>
      <c r="F220" s="22" t="str">
        <f>IFERROR(__xludf.DUMMYFUNCTION("""COMPUTED_VALUE"""),"NV0269")</f>
        <v>NV0269</v>
      </c>
      <c r="G220" s="22">
        <f>IFERROR(__xludf.DUMMYFUNCTION("""COMPUTED_VALUE"""),637.0)</f>
        <v>637</v>
      </c>
      <c r="H220" s="22" t="str">
        <f>IFERROR(__xludf.DUMMYFUNCTION("""COMPUTED_VALUE"""),"Đoàn Ngọc Thanh")</f>
        <v>Đoàn Ngọc Thanh</v>
      </c>
      <c r="I220" s="22" t="str">
        <f>IFERROR(__xludf.DUMMYFUNCTION("""COMPUTED_VALUE"""),"Nam")</f>
        <v>Nam</v>
      </c>
      <c r="J220" s="24">
        <f>IFERROR(__xludf.DUMMYFUNCTION("""COMPUTED_VALUE"""),29147.0)</f>
        <v>29147</v>
      </c>
      <c r="K220" s="22" t="str">
        <f>IFERROR(__xludf.DUMMYFUNCTION("""COMPUTED_VALUE"""),"Xã Lưu Vệ - Tỉnh Thanh Hóa ")</f>
        <v>Xã Lưu Vệ - Tỉnh Thanh Hóa </v>
      </c>
      <c r="L220" s="22" t="str">
        <f>IFERROR(__xludf.DUMMYFUNCTION("""COMPUTED_VALUE"""),"0946202784")</f>
        <v>0946202784</v>
      </c>
      <c r="M220" s="22" t="str">
        <f>IFERROR(__xludf.DUMMYFUNCTION("""COMPUTED_VALUE"""),"038079003793")</f>
        <v>038079003793</v>
      </c>
      <c r="N220" s="24">
        <f>IFERROR(__xludf.DUMMYFUNCTION("""COMPUTED_VALUE"""),42814.0)</f>
        <v>42814</v>
      </c>
      <c r="O220" s="22" t="str">
        <f>IFERROR(__xludf.DUMMYFUNCTION("""COMPUTED_VALUE"""),"Cục Cảnh sát QLHC về TTXH")</f>
        <v>Cục Cảnh sát QLHC về TTXH</v>
      </c>
      <c r="P220" s="22" t="str">
        <f>IFERROR(__xludf.DUMMYFUNCTION("""COMPUTED_VALUE"""),"Cao đẳng")</f>
        <v>Cao đẳng</v>
      </c>
      <c r="Q220" s="22" t="str">
        <f>IFERROR(__xludf.DUMMYFUNCTION("""COMPUTED_VALUE"""),"điện công nghiệp")</f>
        <v>điện công nghiệp</v>
      </c>
      <c r="R220" s="24">
        <f>IFERROR(__xludf.DUMMYFUNCTION("""COMPUTED_VALUE"""),42570.0)</f>
        <v>42570</v>
      </c>
      <c r="S220" s="24">
        <f>IFERROR(__xludf.DUMMYFUNCTION("""COMPUTED_VALUE"""),42570.0)</f>
        <v>42570</v>
      </c>
      <c r="T220" s="22" t="str">
        <f>IFERROR(__xludf.DUMMYFUNCTION("""COMPUTED_VALUE"""),"Chính thức")</f>
        <v>Chính thức</v>
      </c>
      <c r="U220" s="22"/>
      <c r="V220" s="22"/>
      <c r="W220" s="22" t="str">
        <f>IFERROR(__xludf.DUMMYFUNCTION("""COMPUTED_VALUE"""),"9 năm 5 tháng")</f>
        <v>9 năm 5 tháng</v>
      </c>
      <c r="X220" s="22"/>
      <c r="Y220" s="22"/>
      <c r="Z220" s="22"/>
    </row>
    <row r="221">
      <c r="A221" s="23" t="str">
        <f>IFERROR(__xludf.DUMMYFUNCTION("""COMPUTED_VALUE"""),"8")</f>
        <v>8</v>
      </c>
      <c r="B221" s="22" t="str">
        <f>IFERROR(__xludf.DUMMYFUNCTION("""COMPUTED_VALUE"""),"PXSX1")</f>
        <v>PXSX1</v>
      </c>
      <c r="C221" s="22" t="str">
        <f>IFERROR(__xludf.DUMMYFUNCTION("""COMPUTED_VALUE"""),"Bộ phận nung và hoàn thiện sản phẩm")</f>
        <v>Bộ phận nung và hoàn thiện sản phẩm</v>
      </c>
      <c r="D221" s="22" t="str">
        <f>IFERROR(__xludf.DUMMYFUNCTION("""COMPUTED_VALUE"""),"Đóng hộp Ca A")</f>
        <v>Đóng hộp Ca A</v>
      </c>
      <c r="E221" s="22" t="str">
        <f>IFERROR(__xludf.DUMMYFUNCTION("""COMPUTED_VALUE"""),"Bể nước thải")</f>
        <v>Bể nước thải</v>
      </c>
      <c r="F221" s="22" t="str">
        <f>IFERROR(__xludf.DUMMYFUNCTION("""COMPUTED_VALUE"""),"NV2781")</f>
        <v>NV2781</v>
      </c>
      <c r="G221" s="22">
        <f>IFERROR(__xludf.DUMMYFUNCTION("""COMPUTED_VALUE"""),806.0)</f>
        <v>806</v>
      </c>
      <c r="H221" s="22" t="str">
        <f>IFERROR(__xludf.DUMMYFUNCTION("""COMPUTED_VALUE"""),"Nguyễn Hoàng Kỷ")</f>
        <v>Nguyễn Hoàng Kỷ</v>
      </c>
      <c r="I221" s="22" t="str">
        <f>IFERROR(__xludf.DUMMYFUNCTION("""COMPUTED_VALUE"""),"Nam")</f>
        <v>Nam</v>
      </c>
      <c r="J221" s="24">
        <f>IFERROR(__xludf.DUMMYFUNCTION("""COMPUTED_VALUE"""),29397.0)</f>
        <v>29397</v>
      </c>
      <c r="K221" s="22" t="str">
        <f>IFERROR(__xludf.DUMMYFUNCTION("""COMPUTED_VALUE"""),"SN 399 Đường Yết Kiêu - Phường Quảng Phú - Tỉnh Thanh hóa ")</f>
        <v>SN 399 Đường Yết Kiêu - Phường Quảng Phú - Tỉnh Thanh hóa </v>
      </c>
      <c r="L221" s="22" t="str">
        <f>IFERROR(__xludf.DUMMYFUNCTION("""COMPUTED_VALUE"""),"0337758313")</f>
        <v>0337758313</v>
      </c>
      <c r="M221" s="22" t="str">
        <f>IFERROR(__xludf.DUMMYFUNCTION("""COMPUTED_VALUE"""),"038080040025")</f>
        <v>038080040025</v>
      </c>
      <c r="N221" s="24">
        <f>IFERROR(__xludf.DUMMYFUNCTION("""COMPUTED_VALUE"""),44459.0)</f>
        <v>44459</v>
      </c>
      <c r="O221" s="22" t="str">
        <f>IFERROR(__xludf.DUMMYFUNCTION("""COMPUTED_VALUE"""),"Cục Cảnh sát QLHC về TTXH")</f>
        <v>Cục Cảnh sát QLHC về TTXH</v>
      </c>
      <c r="P221" s="22" t="str">
        <f>IFERROR(__xludf.DUMMYFUNCTION("""COMPUTED_VALUE"""),"LĐPT")</f>
        <v>LĐPT</v>
      </c>
      <c r="Q221" s="22" t="str">
        <f>IFERROR(__xludf.DUMMYFUNCTION("""COMPUTED_VALUE"""),"Lao động phổ thông")</f>
        <v>Lao động phổ thông</v>
      </c>
      <c r="R221" s="24">
        <f>IFERROR(__xludf.DUMMYFUNCTION("""COMPUTED_VALUE"""),44033.0)</f>
        <v>44033</v>
      </c>
      <c r="S221" s="24">
        <f>IFERROR(__xludf.DUMMYFUNCTION("""COMPUTED_VALUE"""),44317.0)</f>
        <v>44317</v>
      </c>
      <c r="T221" s="22" t="str">
        <f>IFERROR(__xludf.DUMMYFUNCTION("""COMPUTED_VALUE"""),"Chính thức")</f>
        <v>Chính thức</v>
      </c>
      <c r="U221" s="22"/>
      <c r="V221" s="22"/>
      <c r="W221" s="22" t="str">
        <f>IFERROR(__xludf.DUMMYFUNCTION("""COMPUTED_VALUE"""),"5 năm 5 tháng")</f>
        <v>5 năm 5 tháng</v>
      </c>
      <c r="X221" s="22"/>
      <c r="Y221" s="22"/>
      <c r="Z221" s="22"/>
    </row>
    <row r="222">
      <c r="A222" s="23" t="str">
        <f>IFERROR(__xludf.DUMMYFUNCTION("""COMPUTED_VALUE"""),"9")</f>
        <v>9</v>
      </c>
      <c r="B222" s="22" t="str">
        <f>IFERROR(__xludf.DUMMYFUNCTION("""COMPUTED_VALUE"""),"PXSX1")</f>
        <v>PXSX1</v>
      </c>
      <c r="C222" s="22" t="str">
        <f>IFERROR(__xludf.DUMMYFUNCTION("""COMPUTED_VALUE"""),"Bộ phận nung và hoàn thiện sản phẩm")</f>
        <v>Bộ phận nung và hoàn thiện sản phẩm</v>
      </c>
      <c r="D222" s="22" t="str">
        <f>IFERROR(__xludf.DUMMYFUNCTION("""COMPUTED_VALUE"""),"Đóng hộp Ca A")</f>
        <v>Đóng hộp Ca A</v>
      </c>
      <c r="E222" s="22" t="str">
        <f>IFERROR(__xludf.DUMMYFUNCTION("""COMPUTED_VALUE"""),"Hoàn thiện palet mức 1")</f>
        <v>Hoàn thiện palet mức 1</v>
      </c>
      <c r="F222" s="22" t="str">
        <f>IFERROR(__xludf.DUMMYFUNCTION("""COMPUTED_VALUE"""),"NV1838")</f>
        <v>NV1838</v>
      </c>
      <c r="G222" s="22">
        <f>IFERROR(__xludf.DUMMYFUNCTION("""COMPUTED_VALUE"""),779.0)</f>
        <v>779</v>
      </c>
      <c r="H222" s="22" t="str">
        <f>IFERROR(__xludf.DUMMYFUNCTION("""COMPUTED_VALUE"""),"Cao Thị Oanh")</f>
        <v>Cao Thị Oanh</v>
      </c>
      <c r="I222" s="22" t="str">
        <f>IFERROR(__xludf.DUMMYFUNCTION("""COMPUTED_VALUE"""),"Nữ ")</f>
        <v>Nữ </v>
      </c>
      <c r="J222" s="24">
        <f>IFERROR(__xludf.DUMMYFUNCTION("""COMPUTED_VALUE"""),29409.0)</f>
        <v>29409</v>
      </c>
      <c r="K222" s="22" t="str">
        <f>IFERROR(__xludf.DUMMYFUNCTION("""COMPUTED_VALUE"""),"Thôn Thắng Phú - Xã Quảng Ngọc - Tỉnh Thanh Hóa")</f>
        <v>Thôn Thắng Phú - Xã Quảng Ngọc - Tỉnh Thanh Hóa</v>
      </c>
      <c r="L222" s="22" t="str">
        <f>IFERROR(__xludf.DUMMYFUNCTION("""COMPUTED_VALUE"""),"0369749036")</f>
        <v>0369749036</v>
      </c>
      <c r="M222" s="22" t="str">
        <f>IFERROR(__xludf.DUMMYFUNCTION("""COMPUTED_VALUE"""),"038180010725")</f>
        <v>038180010725</v>
      </c>
      <c r="N222" s="24">
        <f>IFERROR(__xludf.DUMMYFUNCTION("""COMPUTED_VALUE"""),44419.0)</f>
        <v>44419</v>
      </c>
      <c r="O222" s="22" t="str">
        <f>IFERROR(__xludf.DUMMYFUNCTION("""COMPUTED_VALUE"""),"Cục Cảnh sát QLHC về TTXH")</f>
        <v>Cục Cảnh sát QLHC về TTXH</v>
      </c>
      <c r="P222" s="22" t="str">
        <f>IFERROR(__xludf.DUMMYFUNCTION("""COMPUTED_VALUE"""),"LĐPT")</f>
        <v>LĐPT</v>
      </c>
      <c r="Q222" s="22" t="str">
        <f>IFERROR(__xludf.DUMMYFUNCTION("""COMPUTED_VALUE"""),"Lao động phổ thông")</f>
        <v>Lao động phổ thông</v>
      </c>
      <c r="R222" s="24">
        <f>IFERROR(__xludf.DUMMYFUNCTION("""COMPUTED_VALUE"""),43364.0)</f>
        <v>43364</v>
      </c>
      <c r="S222" s="24">
        <f>IFERROR(__xludf.DUMMYFUNCTION("""COMPUTED_VALUE"""),43678.0)</f>
        <v>43678</v>
      </c>
      <c r="T222" s="22" t="str">
        <f>IFERROR(__xludf.DUMMYFUNCTION("""COMPUTED_VALUE"""),"Chính thức")</f>
        <v>Chính thức</v>
      </c>
      <c r="U222" s="22"/>
      <c r="V222" s="22"/>
      <c r="W222" s="22" t="str">
        <f>IFERROR(__xludf.DUMMYFUNCTION("""COMPUTED_VALUE"""),"7 năm 3 tháng")</f>
        <v>7 năm 3 tháng</v>
      </c>
      <c r="X222" s="22"/>
      <c r="Y222" s="22"/>
      <c r="Z222" s="22"/>
    </row>
    <row r="223">
      <c r="A223" s="23" t="str">
        <f>IFERROR(__xludf.DUMMYFUNCTION("""COMPUTED_VALUE"""),"10")</f>
        <v>10</v>
      </c>
      <c r="B223" s="22" t="str">
        <f>IFERROR(__xludf.DUMMYFUNCTION("""COMPUTED_VALUE"""),"PXSX1")</f>
        <v>PXSX1</v>
      </c>
      <c r="C223" s="22" t="str">
        <f>IFERROR(__xludf.DUMMYFUNCTION("""COMPUTED_VALUE"""),"Bộ phận nung và hoàn thiện sản phẩm")</f>
        <v>Bộ phận nung và hoàn thiện sản phẩm</v>
      </c>
      <c r="D223" s="22" t="str">
        <f>IFERROR(__xludf.DUMMYFUNCTION("""COMPUTED_VALUE"""),"Đóng hộp Ca A")</f>
        <v>Đóng hộp Ca A</v>
      </c>
      <c r="E223" s="22" t="str">
        <f>IFERROR(__xludf.DUMMYFUNCTION("""COMPUTED_VALUE"""),"VH máy đóng hộp")</f>
        <v>VH máy đóng hộp</v>
      </c>
      <c r="F223" s="22" t="str">
        <f>IFERROR(__xludf.DUMMYFUNCTION("""COMPUTED_VALUE"""),"NV5017")</f>
        <v>NV5017</v>
      </c>
      <c r="G223" s="22">
        <f>IFERROR(__xludf.DUMMYFUNCTION("""COMPUTED_VALUE"""),797.0)</f>
        <v>797</v>
      </c>
      <c r="H223" s="22" t="str">
        <f>IFERROR(__xludf.DUMMYFUNCTION("""COMPUTED_VALUE"""),"Tạ Hữu Sơn")</f>
        <v>Tạ Hữu Sơn</v>
      </c>
      <c r="I223" s="22" t="str">
        <f>IFERROR(__xludf.DUMMYFUNCTION("""COMPUTED_VALUE"""),"Nam")</f>
        <v>Nam</v>
      </c>
      <c r="J223" s="24">
        <f>IFERROR(__xludf.DUMMYFUNCTION("""COMPUTED_VALUE"""),30187.0)</f>
        <v>30187</v>
      </c>
      <c r="K223" s="22" t="str">
        <f>IFERROR(__xludf.DUMMYFUNCTION("""COMPUTED_VALUE"""),"Xã Hoằng Hóa - Tỉnh Thanh Hóa")</f>
        <v>Xã Hoằng Hóa - Tỉnh Thanh Hóa</v>
      </c>
      <c r="L223" s="22" t="str">
        <f>IFERROR(__xludf.DUMMYFUNCTION("""COMPUTED_VALUE"""),"0378454075")</f>
        <v>0378454075</v>
      </c>
      <c r="M223" s="22" t="str">
        <f>IFERROR(__xludf.DUMMYFUNCTION("""COMPUTED_VALUE"""),"038082031002")</f>
        <v>038082031002</v>
      </c>
      <c r="N223" s="24">
        <f>IFERROR(__xludf.DUMMYFUNCTION("""COMPUTED_VALUE"""),44656.0)</f>
        <v>44656</v>
      </c>
      <c r="O223" s="22" t="str">
        <f>IFERROR(__xludf.DUMMYFUNCTION("""COMPUTED_VALUE"""),"Cục Cảnh sát QLHC về TTXH")</f>
        <v>Cục Cảnh sát QLHC về TTXH</v>
      </c>
      <c r="P223" s="22" t="str">
        <f>IFERROR(__xludf.DUMMYFUNCTION("""COMPUTED_VALUE"""),"LĐPT")</f>
        <v>LĐPT</v>
      </c>
      <c r="Q223" s="22" t="str">
        <f>IFERROR(__xludf.DUMMYFUNCTION("""COMPUTED_VALUE"""),"Lao động phổ thông")</f>
        <v>Lao động phổ thông</v>
      </c>
      <c r="R223" s="24">
        <f>IFERROR(__xludf.DUMMYFUNCTION("""COMPUTED_VALUE"""),45349.0)</f>
        <v>45349</v>
      </c>
      <c r="S223" s="24">
        <f>IFERROR(__xludf.DUMMYFUNCTION("""COMPUTED_VALUE"""),45505.0)</f>
        <v>45505</v>
      </c>
      <c r="T223" s="22" t="str">
        <f>IFERROR(__xludf.DUMMYFUNCTION("""COMPUTED_VALUE"""),"Chính thức")</f>
        <v>Chính thức</v>
      </c>
      <c r="U223" s="22"/>
      <c r="V223" s="22"/>
      <c r="W223" s="22" t="str">
        <f>IFERROR(__xludf.DUMMYFUNCTION("""COMPUTED_VALUE"""),"1 năm 10 tháng")</f>
        <v>1 năm 10 tháng</v>
      </c>
      <c r="X223" s="22"/>
      <c r="Y223" s="22"/>
      <c r="Z223" s="22"/>
    </row>
    <row r="224">
      <c r="A224" s="23" t="str">
        <f>IFERROR(__xludf.DUMMYFUNCTION("""COMPUTED_VALUE"""),"11")</f>
        <v>11</v>
      </c>
      <c r="B224" s="22" t="str">
        <f>IFERROR(__xludf.DUMMYFUNCTION("""COMPUTED_VALUE"""),"PXSX1")</f>
        <v>PXSX1</v>
      </c>
      <c r="C224" s="22" t="str">
        <f>IFERROR(__xludf.DUMMYFUNCTION("""COMPUTED_VALUE"""),"Bộ phận nung và hoàn thiện sản phẩm")</f>
        <v>Bộ phận nung và hoàn thiện sản phẩm</v>
      </c>
      <c r="D224" s="22" t="str">
        <f>IFERROR(__xludf.DUMMYFUNCTION("""COMPUTED_VALUE"""),"Đóng hộp Ca A")</f>
        <v>Đóng hộp Ca A</v>
      </c>
      <c r="E224" s="22" t="str">
        <f>IFERROR(__xludf.DUMMYFUNCTION("""COMPUTED_VALUE"""),"Bốc lai")</f>
        <v>Bốc lai</v>
      </c>
      <c r="F224" s="22" t="str">
        <f>IFERROR(__xludf.DUMMYFUNCTION("""COMPUTED_VALUE"""),"NV5633")</f>
        <v>NV5633</v>
      </c>
      <c r="G224" s="22">
        <f>IFERROR(__xludf.DUMMYFUNCTION("""COMPUTED_VALUE"""),1123.0)</f>
        <v>1123</v>
      </c>
      <c r="H224" s="22" t="str">
        <f>IFERROR(__xludf.DUMMYFUNCTION("""COMPUTED_VALUE"""),"Dương Thị Nhã")</f>
        <v>Dương Thị Nhã</v>
      </c>
      <c r="I224" s="22" t="str">
        <f>IFERROR(__xludf.DUMMYFUNCTION("""COMPUTED_VALUE"""),"Nữ")</f>
        <v>Nữ</v>
      </c>
      <c r="J224" s="24">
        <f>IFERROR(__xludf.DUMMYFUNCTION("""COMPUTED_VALUE"""),30393.0)</f>
        <v>30393</v>
      </c>
      <c r="K224" s="22" t="str">
        <f>IFERROR(__xludf.DUMMYFUNCTION("""COMPUTED_VALUE"""),"Thôn Linh Nga - Xã Quảng Bình - Tỉnh Thanh Hóa")</f>
        <v>Thôn Linh Nga - Xã Quảng Bình - Tỉnh Thanh Hóa</v>
      </c>
      <c r="L224" s="22" t="str">
        <f>IFERROR(__xludf.DUMMYFUNCTION("""COMPUTED_VALUE"""),"0568165239")</f>
        <v>0568165239</v>
      </c>
      <c r="M224" s="22" t="str">
        <f>IFERROR(__xludf.DUMMYFUNCTION("""COMPUTED_VALUE"""),"092183008752")</f>
        <v>092183008752</v>
      </c>
      <c r="N224" s="24">
        <f>IFERROR(__xludf.DUMMYFUNCTION("""COMPUTED_VALUE"""),44522.0)</f>
        <v>44522</v>
      </c>
      <c r="O224" s="22" t="str">
        <f>IFERROR(__xludf.DUMMYFUNCTION("""COMPUTED_VALUE"""),"Cục Cảnh sát QLHC về TTXH")</f>
        <v>Cục Cảnh sát QLHC về TTXH</v>
      </c>
      <c r="P224" s="22" t="str">
        <f>IFERROR(__xludf.DUMMYFUNCTION("""COMPUTED_VALUE"""),"LĐPT")</f>
        <v>LĐPT</v>
      </c>
      <c r="Q224" s="22" t="str">
        <f>IFERROR(__xludf.DUMMYFUNCTION("""COMPUTED_VALUE"""),"Lao động phổ thông")</f>
        <v>Lao động phổ thông</v>
      </c>
      <c r="R224" s="24">
        <f>IFERROR(__xludf.DUMMYFUNCTION("""COMPUTED_VALUE"""),45863.0)</f>
        <v>45863</v>
      </c>
      <c r="S224" s="22"/>
      <c r="T224" s="22" t="str">
        <f>IFERROR(__xludf.DUMMYFUNCTION("""COMPUTED_VALUE"""),"Thử việc")</f>
        <v>Thử việc</v>
      </c>
      <c r="U224" s="22"/>
      <c r="V224" s="22"/>
      <c r="W224" s="22" t="str">
        <f>IFERROR(__xludf.DUMMYFUNCTION("""COMPUTED_VALUE"""),"0 năm 5 tháng")</f>
        <v>0 năm 5 tháng</v>
      </c>
      <c r="X224" s="22"/>
      <c r="Y224" s="22"/>
      <c r="Z224" s="22"/>
    </row>
    <row r="225">
      <c r="A225" s="23" t="str">
        <f>IFERROR(__xludf.DUMMYFUNCTION("""COMPUTED_VALUE"""),"12")</f>
        <v>12</v>
      </c>
      <c r="B225" s="22" t="str">
        <f>IFERROR(__xludf.DUMMYFUNCTION("""COMPUTED_VALUE"""),"PXSX1")</f>
        <v>PXSX1</v>
      </c>
      <c r="C225" s="22" t="str">
        <f>IFERROR(__xludf.DUMMYFUNCTION("""COMPUTED_VALUE"""),"Bộ phận nung và hoàn thiện sản phẩm")</f>
        <v>Bộ phận nung và hoàn thiện sản phẩm</v>
      </c>
      <c r="D225" s="22" t="str">
        <f>IFERROR(__xludf.DUMMYFUNCTION("""COMPUTED_VALUE"""),"Đóng hộp Ca A")</f>
        <v>Đóng hộp Ca A</v>
      </c>
      <c r="E225" s="22" t="str">
        <f>IFERROR(__xludf.DUMMYFUNCTION("""COMPUTED_VALUE"""),"Xe nâng")</f>
        <v>Xe nâng</v>
      </c>
      <c r="F225" s="22" t="str">
        <f>IFERROR(__xludf.DUMMYFUNCTION("""COMPUTED_VALUE"""),"NV5494")</f>
        <v>NV5494</v>
      </c>
      <c r="G225" s="22">
        <f>IFERROR(__xludf.DUMMYFUNCTION("""COMPUTED_VALUE"""),977.0)</f>
        <v>977</v>
      </c>
      <c r="H225" s="22" t="str">
        <f>IFERROR(__xludf.DUMMYFUNCTION("""COMPUTED_VALUE"""),"Nguyễn Văn Long")</f>
        <v>Nguyễn Văn Long</v>
      </c>
      <c r="I225" s="22" t="str">
        <f>IFERROR(__xludf.DUMMYFUNCTION("""COMPUTED_VALUE"""),"Nam")</f>
        <v>Nam</v>
      </c>
      <c r="J225" s="24">
        <f>IFERROR(__xludf.DUMMYFUNCTION("""COMPUTED_VALUE"""),31356.0)</f>
        <v>31356</v>
      </c>
      <c r="K225" s="22" t="str">
        <f>IFERROR(__xludf.DUMMYFUNCTION("""COMPUTED_VALUE"""),"Thôn Phú Cường- Phường Quảng Phú - Tỉnh Thanh Hóa")</f>
        <v>Thôn Phú Cường- Phường Quảng Phú - Tỉnh Thanh Hóa</v>
      </c>
      <c r="L225" s="22" t="str">
        <f>IFERROR(__xludf.DUMMYFUNCTION("""COMPUTED_VALUE"""),"0983297889")</f>
        <v>0983297889</v>
      </c>
      <c r="M225" s="22" t="str">
        <f>IFERROR(__xludf.DUMMYFUNCTION("""COMPUTED_VALUE"""),"038085012518")</f>
        <v>038085012518</v>
      </c>
      <c r="N225" s="24">
        <f>IFERROR(__xludf.DUMMYFUNCTION("""COMPUTED_VALUE"""),44553.0)</f>
        <v>44553</v>
      </c>
      <c r="O225" s="22" t="str">
        <f>IFERROR(__xludf.DUMMYFUNCTION("""COMPUTED_VALUE"""),"Cục Cảnh sát QLHC về TTXH")</f>
        <v>Cục Cảnh sát QLHC về TTXH</v>
      </c>
      <c r="P225" s="22" t="str">
        <f>IFERROR(__xludf.DUMMYFUNCTION("""COMPUTED_VALUE"""),"LĐPT")</f>
        <v>LĐPT</v>
      </c>
      <c r="Q225" s="22" t="str">
        <f>IFERROR(__xludf.DUMMYFUNCTION("""COMPUTED_VALUE"""),"Lao động phổ thông")</f>
        <v>Lao động phổ thông</v>
      </c>
      <c r="R225" s="22"/>
      <c r="S225" s="24">
        <f>IFERROR(__xludf.DUMMYFUNCTION("""COMPUTED_VALUE"""),45838.0)</f>
        <v>45838</v>
      </c>
      <c r="T225" s="22" t="str">
        <f>IFERROR(__xludf.DUMMYFUNCTION("""COMPUTED_VALUE"""),"Chính thức")</f>
        <v>Chính thức</v>
      </c>
      <c r="U225" s="22"/>
      <c r="V225" s="22"/>
      <c r="W225" s="22" t="str">
        <f>IFERROR(__xludf.DUMMYFUNCTION("""COMPUTED_VALUE"""),"0 năm 6 tháng")</f>
        <v>0 năm 6 tháng</v>
      </c>
      <c r="X225" s="22"/>
      <c r="Y225" s="22"/>
      <c r="Z225" s="22"/>
    </row>
    <row r="226">
      <c r="A226" s="23" t="str">
        <f>IFERROR(__xludf.DUMMYFUNCTION("""COMPUTED_VALUE"""),"13")</f>
        <v>13</v>
      </c>
      <c r="B226" s="22" t="str">
        <f>IFERROR(__xludf.DUMMYFUNCTION("""COMPUTED_VALUE"""),"PXSX1")</f>
        <v>PXSX1</v>
      </c>
      <c r="C226" s="22" t="str">
        <f>IFERROR(__xludf.DUMMYFUNCTION("""COMPUTED_VALUE"""),"Bộ phận nung và hoàn thiện sản phẩm")</f>
        <v>Bộ phận nung và hoàn thiện sản phẩm</v>
      </c>
      <c r="D226" s="22" t="str">
        <f>IFERROR(__xludf.DUMMYFUNCTION("""COMPUTED_VALUE"""),"Đóng hộp Ca A")</f>
        <v>Đóng hộp Ca A</v>
      </c>
      <c r="E226" s="22" t="str">
        <f>IFERROR(__xludf.DUMMYFUNCTION("""COMPUTED_VALUE"""),"Nhóm trưởng")</f>
        <v>Nhóm trưởng</v>
      </c>
      <c r="F226" s="22" t="str">
        <f>IFERROR(__xludf.DUMMYFUNCTION("""COMPUTED_VALUE"""),"NV0228")</f>
        <v>NV0228</v>
      </c>
      <c r="G226" s="22">
        <f>IFERROR(__xludf.DUMMYFUNCTION("""COMPUTED_VALUE"""),697.0)</f>
        <v>697</v>
      </c>
      <c r="H226" s="22" t="str">
        <f>IFERROR(__xludf.DUMMYFUNCTION("""COMPUTED_VALUE"""),"Lê Văn Tình")</f>
        <v>Lê Văn Tình</v>
      </c>
      <c r="I226" s="22" t="str">
        <f>IFERROR(__xludf.DUMMYFUNCTION("""COMPUTED_VALUE"""),"Nam")</f>
        <v>Nam</v>
      </c>
      <c r="J226" s="24">
        <f>IFERROR(__xludf.DUMMYFUNCTION("""COMPUTED_VALUE"""),32668.0)</f>
        <v>32668</v>
      </c>
      <c r="K226" s="22" t="str">
        <f>IFERROR(__xludf.DUMMYFUNCTION("""COMPUTED_VALUE"""),"Xã Lưu Vệ - Tỉnh Thanh Hóa ")</f>
        <v>Xã Lưu Vệ - Tỉnh Thanh Hóa </v>
      </c>
      <c r="L226" s="22" t="str">
        <f>IFERROR(__xludf.DUMMYFUNCTION("""COMPUTED_VALUE"""),"0865001875")</f>
        <v>0865001875</v>
      </c>
      <c r="M226" s="22" t="str">
        <f>IFERROR(__xludf.DUMMYFUNCTION("""COMPUTED_VALUE"""),"038089025928")</f>
        <v>038089025928</v>
      </c>
      <c r="N226" s="24">
        <f>IFERROR(__xludf.DUMMYFUNCTION("""COMPUTED_VALUE"""),44375.0)</f>
        <v>44375</v>
      </c>
      <c r="O226" s="22" t="str">
        <f>IFERROR(__xludf.DUMMYFUNCTION("""COMPUTED_VALUE"""),"Cục Cảnh sát QLHC về TTXH")</f>
        <v>Cục Cảnh sát QLHC về TTXH</v>
      </c>
      <c r="P226" s="22" t="str">
        <f>IFERROR(__xludf.DUMMYFUNCTION("""COMPUTED_VALUE"""),"LĐPT")</f>
        <v>LĐPT</v>
      </c>
      <c r="Q226" s="22" t="str">
        <f>IFERROR(__xludf.DUMMYFUNCTION("""COMPUTED_VALUE"""),"Lao động phổ thông")</f>
        <v>Lao động phổ thông</v>
      </c>
      <c r="R226" s="24">
        <f>IFERROR(__xludf.DUMMYFUNCTION("""COMPUTED_VALUE"""),42067.0)</f>
        <v>42067</v>
      </c>
      <c r="S226" s="24">
        <f>IFERROR(__xludf.DUMMYFUNCTION("""COMPUTED_VALUE"""),42067.0)</f>
        <v>42067</v>
      </c>
      <c r="T226" s="22" t="str">
        <f>IFERROR(__xludf.DUMMYFUNCTION("""COMPUTED_VALUE"""),"Chính thức")</f>
        <v>Chính thức</v>
      </c>
      <c r="U226" s="22"/>
      <c r="V226" s="22"/>
      <c r="W226" s="22" t="str">
        <f>IFERROR(__xludf.DUMMYFUNCTION("""COMPUTED_VALUE"""),"10 năm 9 tháng")</f>
        <v>10 năm 9 tháng</v>
      </c>
      <c r="X226" s="22"/>
      <c r="Y226" s="22"/>
      <c r="Z226" s="22"/>
    </row>
    <row r="227">
      <c r="A227" s="23" t="str">
        <f>IFERROR(__xludf.DUMMYFUNCTION("""COMPUTED_VALUE"""),"14")</f>
        <v>14</v>
      </c>
      <c r="B227" s="22" t="str">
        <f>IFERROR(__xludf.DUMMYFUNCTION("""COMPUTED_VALUE"""),"PXSX1")</f>
        <v>PXSX1</v>
      </c>
      <c r="C227" s="22" t="str">
        <f>IFERROR(__xludf.DUMMYFUNCTION("""COMPUTED_VALUE"""),"Bộ phận nung và hoàn thiện sản phẩm")</f>
        <v>Bộ phận nung và hoàn thiện sản phẩm</v>
      </c>
      <c r="D227" s="22" t="str">
        <f>IFERROR(__xludf.DUMMYFUNCTION("""COMPUTED_VALUE"""),"Đóng hộp Ca A")</f>
        <v>Đóng hộp Ca A</v>
      </c>
      <c r="E227" s="22" t="str">
        <f>IFERROR(__xludf.DUMMYFUNCTION("""COMPUTED_VALUE"""),"Xe nâng")</f>
        <v>Xe nâng</v>
      </c>
      <c r="F227" s="22" t="str">
        <f>IFERROR(__xludf.DUMMYFUNCTION("""COMPUTED_VALUE"""),"NV1801")</f>
        <v>NV1801</v>
      </c>
      <c r="G227" s="22">
        <f>IFERROR(__xludf.DUMMYFUNCTION("""COMPUTED_VALUE"""),168.0)</f>
        <v>168</v>
      </c>
      <c r="H227" s="22" t="str">
        <f>IFERROR(__xludf.DUMMYFUNCTION("""COMPUTED_VALUE"""),"Nguyễn Anh Dũng")</f>
        <v>Nguyễn Anh Dũng</v>
      </c>
      <c r="I227" s="22" t="str">
        <f>IFERROR(__xludf.DUMMYFUNCTION("""COMPUTED_VALUE"""),"Nam")</f>
        <v>Nam</v>
      </c>
      <c r="J227" s="24">
        <f>IFERROR(__xludf.DUMMYFUNCTION("""COMPUTED_VALUE"""),33062.0)</f>
        <v>33062</v>
      </c>
      <c r="K227" s="22" t="str">
        <f>IFERROR(__xludf.DUMMYFUNCTION("""COMPUTED_VALUE"""),"Số Nhà 32 - Lương Đắc Bằng - Phường Hạc Thành - Tỉnh Thanh Hóa")</f>
        <v>Số Nhà 32 - Lương Đắc Bằng - Phường Hạc Thành - Tỉnh Thanh Hóa</v>
      </c>
      <c r="L227" s="22" t="str">
        <f>IFERROR(__xludf.DUMMYFUNCTION("""COMPUTED_VALUE"""),"0917283228")</f>
        <v>0917283228</v>
      </c>
      <c r="M227" s="22" t="str">
        <f>IFERROR(__xludf.DUMMYFUNCTION("""COMPUTED_VALUE"""),"038090021606")</f>
        <v>038090021606</v>
      </c>
      <c r="N227" s="24">
        <f>IFERROR(__xludf.DUMMYFUNCTION("""COMPUTED_VALUE"""),43945.0)</f>
        <v>43945</v>
      </c>
      <c r="O227" s="22" t="str">
        <f>IFERROR(__xludf.DUMMYFUNCTION("""COMPUTED_VALUE"""),"Cục Cảnh sát QLHC về TTXH")</f>
        <v>Cục Cảnh sát QLHC về TTXH</v>
      </c>
      <c r="P227" s="22" t="str">
        <f>IFERROR(__xludf.DUMMYFUNCTION("""COMPUTED_VALUE"""),"Bằng nghề")</f>
        <v>Bằng nghề</v>
      </c>
      <c r="Q227" s="22" t="str">
        <f>IFERROR(__xludf.DUMMYFUNCTION("""COMPUTED_VALUE"""),"Lái xe Hạng B2")</f>
        <v>Lái xe Hạng B2</v>
      </c>
      <c r="R227" s="24">
        <f>IFERROR(__xludf.DUMMYFUNCTION("""COMPUTED_VALUE"""),43356.0)</f>
        <v>43356</v>
      </c>
      <c r="S227" s="24">
        <f>IFERROR(__xludf.DUMMYFUNCTION("""COMPUTED_VALUE"""),43678.0)</f>
        <v>43678</v>
      </c>
      <c r="T227" s="22" t="str">
        <f>IFERROR(__xludf.DUMMYFUNCTION("""COMPUTED_VALUE"""),"Chính thức")</f>
        <v>Chính thức</v>
      </c>
      <c r="U227" s="22"/>
      <c r="V227" s="22"/>
      <c r="W227" s="22" t="str">
        <f>IFERROR(__xludf.DUMMYFUNCTION("""COMPUTED_VALUE"""),"7 năm 3 tháng")</f>
        <v>7 năm 3 tháng</v>
      </c>
      <c r="X227" s="22"/>
      <c r="Y227" s="22"/>
      <c r="Z227" s="22"/>
    </row>
    <row r="228">
      <c r="A228" s="23" t="str">
        <f>IFERROR(__xludf.DUMMYFUNCTION("""COMPUTED_VALUE"""),"15")</f>
        <v>15</v>
      </c>
      <c r="B228" s="22" t="str">
        <f>IFERROR(__xludf.DUMMYFUNCTION("""COMPUTED_VALUE"""),"PXSX1")</f>
        <v>PXSX1</v>
      </c>
      <c r="C228" s="22" t="str">
        <f>IFERROR(__xludf.DUMMYFUNCTION("""COMPUTED_VALUE"""),"Bộ phận nung và hoàn thiện sản phẩm")</f>
        <v>Bộ phận nung và hoàn thiện sản phẩm</v>
      </c>
      <c r="D228" s="22" t="str">
        <f>IFERROR(__xludf.DUMMYFUNCTION("""COMPUTED_VALUE"""),"Đóng hộp Ca A")</f>
        <v>Đóng hộp Ca A</v>
      </c>
      <c r="E228" s="22" t="str">
        <f>IFERROR(__xludf.DUMMYFUNCTION("""COMPUTED_VALUE"""),"Tổ trưởng - Phụ trách Đóng hộp")</f>
        <v>Tổ trưởng - Phụ trách Đóng hộp</v>
      </c>
      <c r="F228" s="22" t="str">
        <f>IFERROR(__xludf.DUMMYFUNCTION("""COMPUTED_VALUE"""),"NV0980")</f>
        <v>NV0980</v>
      </c>
      <c r="G228" s="22">
        <f>IFERROR(__xludf.DUMMYFUNCTION("""COMPUTED_VALUE"""),702.0)</f>
        <v>702</v>
      </c>
      <c r="H228" s="22" t="str">
        <f>IFERROR(__xludf.DUMMYFUNCTION("""COMPUTED_VALUE"""),"Cao Văn Mùi")</f>
        <v>Cao Văn Mùi</v>
      </c>
      <c r="I228" s="22" t="str">
        <f>IFERROR(__xludf.DUMMYFUNCTION("""COMPUTED_VALUE"""),"Nam")</f>
        <v>Nam</v>
      </c>
      <c r="J228" s="24">
        <f>IFERROR(__xludf.DUMMYFUNCTION("""COMPUTED_VALUE"""),33719.0)</f>
        <v>33719</v>
      </c>
      <c r="K228" s="22" t="str">
        <f>IFERROR(__xludf.DUMMYFUNCTION("""COMPUTED_VALUE"""),"Thôn 8 - Phường Nam Sầm Sơn - Tỉnh Thanh Hóa")</f>
        <v>Thôn 8 - Phường Nam Sầm Sơn - Tỉnh Thanh Hóa</v>
      </c>
      <c r="L228" s="22" t="str">
        <f>IFERROR(__xludf.DUMMYFUNCTION("""COMPUTED_VALUE"""),"0367417918")</f>
        <v>0367417918</v>
      </c>
      <c r="M228" s="22" t="str">
        <f>IFERROR(__xludf.DUMMYFUNCTION("""COMPUTED_VALUE"""),"038092035376")</f>
        <v>038092035376</v>
      </c>
      <c r="N228" s="22"/>
      <c r="O228" s="22" t="str">
        <f>IFERROR(__xludf.DUMMYFUNCTION("""COMPUTED_VALUE"""),"Cục Cảnh sát QLHC về TTXH")</f>
        <v>Cục Cảnh sát QLHC về TTXH</v>
      </c>
      <c r="P228" s="22" t="str">
        <f>IFERROR(__xludf.DUMMYFUNCTION("""COMPUTED_VALUE"""),"LĐPT")</f>
        <v>LĐPT</v>
      </c>
      <c r="Q228" s="22" t="str">
        <f>IFERROR(__xludf.DUMMYFUNCTION("""COMPUTED_VALUE"""),"Lao động phổ thông")</f>
        <v>Lao động phổ thông</v>
      </c>
      <c r="R228" s="24">
        <f>IFERROR(__xludf.DUMMYFUNCTION("""COMPUTED_VALUE"""),42884.0)</f>
        <v>42884</v>
      </c>
      <c r="S228" s="24">
        <f>IFERROR(__xludf.DUMMYFUNCTION("""COMPUTED_VALUE"""),42884.0)</f>
        <v>42884</v>
      </c>
      <c r="T228" s="22" t="str">
        <f>IFERROR(__xludf.DUMMYFUNCTION("""COMPUTED_VALUE"""),"Chính thức")</f>
        <v>Chính thức</v>
      </c>
      <c r="U228" s="22"/>
      <c r="V228" s="22"/>
      <c r="W228" s="22" t="str">
        <f>IFERROR(__xludf.DUMMYFUNCTION("""COMPUTED_VALUE"""),"8 năm 7 tháng")</f>
        <v>8 năm 7 tháng</v>
      </c>
      <c r="X228" s="22"/>
      <c r="Y228" s="22"/>
      <c r="Z228" s="22"/>
    </row>
    <row r="229">
      <c r="A229" s="23" t="str">
        <f>IFERROR(__xludf.DUMMYFUNCTION("""COMPUTED_VALUE"""),"16")</f>
        <v>16</v>
      </c>
      <c r="B229" s="22" t="str">
        <f>IFERROR(__xludf.DUMMYFUNCTION("""COMPUTED_VALUE"""),"PXSX1")</f>
        <v>PXSX1</v>
      </c>
      <c r="C229" s="22" t="str">
        <f>IFERROR(__xludf.DUMMYFUNCTION("""COMPUTED_VALUE"""),"Bộ phận nung và hoàn thiện sản phẩm")</f>
        <v>Bộ phận nung và hoàn thiện sản phẩm</v>
      </c>
      <c r="D229" s="22" t="str">
        <f>IFERROR(__xludf.DUMMYFUNCTION("""COMPUTED_VALUE"""),"Đóng hộp Ca A")</f>
        <v>Đóng hộp Ca A</v>
      </c>
      <c r="E229" s="22" t="str">
        <f>IFERROR(__xludf.DUMMYFUNCTION("""COMPUTED_VALUE"""),"Hoàn thiện palet DC2")</f>
        <v>Hoàn thiện palet DC2</v>
      </c>
      <c r="F229" s="22" t="str">
        <f>IFERROR(__xludf.DUMMYFUNCTION("""COMPUTED_VALUE"""),"NV5657")</f>
        <v>NV5657</v>
      </c>
      <c r="G229" s="22">
        <f>IFERROR(__xludf.DUMMYFUNCTION("""COMPUTED_VALUE"""),1150.0)</f>
        <v>1150</v>
      </c>
      <c r="H229" s="22" t="str">
        <f>IFERROR(__xludf.DUMMYFUNCTION("""COMPUTED_VALUE"""),"Vũ Đức Bền")</f>
        <v>Vũ Đức Bền</v>
      </c>
      <c r="I229" s="22" t="str">
        <f>IFERROR(__xludf.DUMMYFUNCTION("""COMPUTED_VALUE"""),"Nam")</f>
        <v>Nam</v>
      </c>
      <c r="J229" s="24">
        <f>IFERROR(__xludf.DUMMYFUNCTION("""COMPUTED_VALUE"""),34509.0)</f>
        <v>34509</v>
      </c>
      <c r="K229" s="22" t="str">
        <f>IFERROR(__xludf.DUMMYFUNCTION("""COMPUTED_VALUE"""),"KP Phúc Đức - Phường Sầm Sơn - Tỉnh Thanh Hóa")</f>
        <v>KP Phúc Đức - Phường Sầm Sơn - Tỉnh Thanh Hóa</v>
      </c>
      <c r="L229" s="22" t="str">
        <f>IFERROR(__xludf.DUMMYFUNCTION("""COMPUTED_VALUE"""),"0777635595")</f>
        <v>0777635595</v>
      </c>
      <c r="M229" s="22" t="str">
        <f>IFERROR(__xludf.DUMMYFUNCTION("""COMPUTED_VALUE"""),"038094011287")</f>
        <v>038094011287</v>
      </c>
      <c r="N229" s="24">
        <f>IFERROR(__xludf.DUMMYFUNCTION("""COMPUTED_VALUE"""),44928.0)</f>
        <v>44928</v>
      </c>
      <c r="O229" s="22" t="str">
        <f>IFERROR(__xludf.DUMMYFUNCTION("""COMPUTED_VALUE"""),"Cục Cảnh sát QLHC về TTXH")</f>
        <v>Cục Cảnh sát QLHC về TTXH</v>
      </c>
      <c r="P229" s="22" t="str">
        <f>IFERROR(__xludf.DUMMYFUNCTION("""COMPUTED_VALUE"""),"LĐPT")</f>
        <v>LĐPT</v>
      </c>
      <c r="Q229" s="22" t="str">
        <f>IFERROR(__xludf.DUMMYFUNCTION("""COMPUTED_VALUE"""),"Lao động phổ thông")</f>
        <v>Lao động phổ thông</v>
      </c>
      <c r="R229" s="24">
        <f>IFERROR(__xludf.DUMMYFUNCTION("""COMPUTED_VALUE"""),45880.0)</f>
        <v>45880</v>
      </c>
      <c r="S229" s="24">
        <f>IFERROR(__xludf.DUMMYFUNCTION("""COMPUTED_VALUE"""),45911.0)</f>
        <v>45911</v>
      </c>
      <c r="T229" s="22" t="str">
        <f>IFERROR(__xludf.DUMMYFUNCTION("""COMPUTED_VALUE"""),"Thử việc")</f>
        <v>Thử việc</v>
      </c>
      <c r="U229" s="22"/>
      <c r="V229" s="22" t="str">
        <f>IFERROR(__xludf.DUMMYFUNCTION("""COMPUTED_VALUE"""),"Thử việc")</f>
        <v>Thử việc</v>
      </c>
      <c r="W229" s="22" t="str">
        <f>IFERROR(__xludf.DUMMYFUNCTION("""COMPUTED_VALUE"""),"0 năm 4 tháng")</f>
        <v>0 năm 4 tháng</v>
      </c>
      <c r="X229" s="22"/>
      <c r="Y229" s="22"/>
      <c r="Z229" s="22"/>
    </row>
    <row r="230">
      <c r="A230" s="23" t="str">
        <f>IFERROR(__xludf.DUMMYFUNCTION("""COMPUTED_VALUE"""),"17")</f>
        <v>17</v>
      </c>
      <c r="B230" s="22" t="str">
        <f>IFERROR(__xludf.DUMMYFUNCTION("""COMPUTED_VALUE"""),"PXSX1")</f>
        <v>PXSX1</v>
      </c>
      <c r="C230" s="22" t="str">
        <f>IFERROR(__xludf.DUMMYFUNCTION("""COMPUTED_VALUE"""),"Bộ phận nung và hoàn thiện sản phẩm")</f>
        <v>Bộ phận nung và hoàn thiện sản phẩm</v>
      </c>
      <c r="D230" s="22" t="str">
        <f>IFERROR(__xludf.DUMMYFUNCTION("""COMPUTED_VALUE"""),"Đóng hộp Ca A")</f>
        <v>Đóng hộp Ca A</v>
      </c>
      <c r="E230" s="22" t="str">
        <f>IFERROR(__xludf.DUMMYFUNCTION("""COMPUTED_VALUE"""),"Xe nâng")</f>
        <v>Xe nâng</v>
      </c>
      <c r="F230" s="22" t="str">
        <f>IFERROR(__xludf.DUMMYFUNCTION("""COMPUTED_VALUE"""),"NV1391")</f>
        <v>NV1391</v>
      </c>
      <c r="G230" s="22">
        <f>IFERROR(__xludf.DUMMYFUNCTION("""COMPUTED_VALUE"""),347.0)</f>
        <v>347</v>
      </c>
      <c r="H230" s="22" t="str">
        <f>IFERROR(__xludf.DUMMYFUNCTION("""COMPUTED_VALUE"""),"Lê Văn Dinh")</f>
        <v>Lê Văn Dinh</v>
      </c>
      <c r="I230" s="22" t="str">
        <f>IFERROR(__xludf.DUMMYFUNCTION("""COMPUTED_VALUE"""),"Nam")</f>
        <v>Nam</v>
      </c>
      <c r="J230" s="24">
        <f>IFERROR(__xludf.DUMMYFUNCTION("""COMPUTED_VALUE"""),34765.0)</f>
        <v>34765</v>
      </c>
      <c r="K230" s="22" t="str">
        <f>IFERROR(__xludf.DUMMYFUNCTION("""COMPUTED_VALUE"""),"Thôn Xuân Thắng - Xã Quảng Ngọc - Tỉnh Thanh Hóa ")</f>
        <v>Thôn Xuân Thắng - Xã Quảng Ngọc - Tỉnh Thanh Hóa </v>
      </c>
      <c r="L230" s="22" t="str">
        <f>IFERROR(__xludf.DUMMYFUNCTION("""COMPUTED_VALUE"""),"376447636")</f>
        <v>376447636</v>
      </c>
      <c r="M230" s="22" t="str">
        <f>IFERROR(__xludf.DUMMYFUNCTION("""COMPUTED_VALUE"""),"038095032137")</f>
        <v>038095032137</v>
      </c>
      <c r="N230" s="24">
        <f>IFERROR(__xludf.DUMMYFUNCTION("""COMPUTED_VALUE"""),44724.0)</f>
        <v>44724</v>
      </c>
      <c r="O230" s="22" t="str">
        <f>IFERROR(__xludf.DUMMYFUNCTION("""COMPUTED_VALUE"""),"Cục Cảnh sát QLHC về TTXH")</f>
        <v>Cục Cảnh sát QLHC về TTXH</v>
      </c>
      <c r="P230" s="22" t="str">
        <f>IFERROR(__xludf.DUMMYFUNCTION("""COMPUTED_VALUE"""),"LĐPT")</f>
        <v>LĐPT</v>
      </c>
      <c r="Q230" s="22" t="str">
        <f>IFERROR(__xludf.DUMMYFUNCTION("""COMPUTED_VALUE"""),"Lao động phổ thông")</f>
        <v>Lao động phổ thông</v>
      </c>
      <c r="R230" s="22"/>
      <c r="S230" s="24">
        <f>IFERROR(__xludf.DUMMYFUNCTION("""COMPUTED_VALUE"""),45426.0)</f>
        <v>45426</v>
      </c>
      <c r="T230" s="22" t="str">
        <f>IFERROR(__xludf.DUMMYFUNCTION("""COMPUTED_VALUE"""),"Chính thức")</f>
        <v>Chính thức</v>
      </c>
      <c r="U230" s="22"/>
      <c r="V230" s="22" t="str">
        <f>IFERROR(__xludf.DUMMYFUNCTION("""COMPUTED_VALUE"""),"Chính thức")</f>
        <v>Chính thức</v>
      </c>
      <c r="W230" s="22" t="str">
        <f>IFERROR(__xludf.DUMMYFUNCTION("""COMPUTED_VALUE"""),"1 năm 7 tháng")</f>
        <v>1 năm 7 tháng</v>
      </c>
      <c r="X230" s="22"/>
      <c r="Y230" s="22"/>
      <c r="Z230" s="22"/>
    </row>
    <row r="231">
      <c r="A231" s="23" t="str">
        <f>IFERROR(__xludf.DUMMYFUNCTION("""COMPUTED_VALUE"""),"18")</f>
        <v>18</v>
      </c>
      <c r="B231" s="22" t="str">
        <f>IFERROR(__xludf.DUMMYFUNCTION("""COMPUTED_VALUE"""),"PXSX1")</f>
        <v>PXSX1</v>
      </c>
      <c r="C231" s="22" t="str">
        <f>IFERROR(__xludf.DUMMYFUNCTION("""COMPUTED_VALUE"""),"Bộ phận nung và hoàn thiện sản phẩm")</f>
        <v>Bộ phận nung và hoàn thiện sản phẩm</v>
      </c>
      <c r="D231" s="22" t="str">
        <f>IFERROR(__xludf.DUMMYFUNCTION("""COMPUTED_VALUE"""),"Đóng hộp Ca A")</f>
        <v>Đóng hộp Ca A</v>
      </c>
      <c r="E231" s="22" t="str">
        <f>IFERROR(__xludf.DUMMYFUNCTION("""COMPUTED_VALUE"""),"Hoàn thiện palet DC1")</f>
        <v>Hoàn thiện palet DC1</v>
      </c>
      <c r="F231" s="22" t="str">
        <f>IFERROR(__xludf.DUMMYFUNCTION("""COMPUTED_VALUE"""),"NV5631")</f>
        <v>NV5631</v>
      </c>
      <c r="G231" s="22">
        <f>IFERROR(__xludf.DUMMYFUNCTION("""COMPUTED_VALUE"""),1121.0)</f>
        <v>1121</v>
      </c>
      <c r="H231" s="22" t="str">
        <f>IFERROR(__xludf.DUMMYFUNCTION("""COMPUTED_VALUE"""),"Lê Văn Tuân")</f>
        <v>Lê Văn Tuân</v>
      </c>
      <c r="I231" s="22" t="str">
        <f>IFERROR(__xludf.DUMMYFUNCTION("""COMPUTED_VALUE"""),"Nam")</f>
        <v>Nam</v>
      </c>
      <c r="J231" s="24">
        <f>IFERROR(__xludf.DUMMYFUNCTION("""COMPUTED_VALUE"""),35954.0)</f>
        <v>35954</v>
      </c>
      <c r="K231" s="22" t="str">
        <f>IFERROR(__xludf.DUMMYFUNCTION("""COMPUTED_VALUE"""),"Tổ DP Bái Trúc - Xã Lưu Vệ -Tỉnh Thanh Hóa")</f>
        <v>Tổ DP Bái Trúc - Xã Lưu Vệ -Tỉnh Thanh Hóa</v>
      </c>
      <c r="L231" s="22" t="str">
        <f>IFERROR(__xludf.DUMMYFUNCTION("""COMPUTED_VALUE"""),"0899991583")</f>
        <v>0899991583</v>
      </c>
      <c r="M231" s="22" t="str">
        <f>IFERROR(__xludf.DUMMYFUNCTION("""COMPUTED_VALUE"""),"038098030667")</f>
        <v>038098030667</v>
      </c>
      <c r="N231" s="24">
        <f>IFERROR(__xludf.DUMMYFUNCTION("""COMPUTED_VALUE"""),44622.0)</f>
        <v>44622</v>
      </c>
      <c r="O231" s="22" t="str">
        <f>IFERROR(__xludf.DUMMYFUNCTION("""COMPUTED_VALUE"""),"Cục Cảnh sát QLHC về TTXH")</f>
        <v>Cục Cảnh sát QLHC về TTXH</v>
      </c>
      <c r="P231" s="22" t="str">
        <f>IFERROR(__xludf.DUMMYFUNCTION("""COMPUTED_VALUE"""),"LĐPT")</f>
        <v>LĐPT</v>
      </c>
      <c r="Q231" s="22" t="str">
        <f>IFERROR(__xludf.DUMMYFUNCTION("""COMPUTED_VALUE"""),"Lao động phổ thông")</f>
        <v>Lao động phổ thông</v>
      </c>
      <c r="R231" s="24">
        <f>IFERROR(__xludf.DUMMYFUNCTION("""COMPUTED_VALUE"""),45856.0)</f>
        <v>45856</v>
      </c>
      <c r="S231" s="22"/>
      <c r="T231" s="22" t="str">
        <f>IFERROR(__xludf.DUMMYFUNCTION("""COMPUTED_VALUE"""),"Thử việc")</f>
        <v>Thử việc</v>
      </c>
      <c r="U231" s="22"/>
      <c r="V231" s="22"/>
      <c r="W231" s="22" t="str">
        <f>IFERROR(__xludf.DUMMYFUNCTION("""COMPUTED_VALUE"""),"0 năm 5 tháng")</f>
        <v>0 năm 5 tháng</v>
      </c>
      <c r="X231" s="22"/>
      <c r="Y231" s="22"/>
      <c r="Z231" s="22"/>
    </row>
    <row r="232">
      <c r="A232" s="23" t="str">
        <f>IFERROR(__xludf.DUMMYFUNCTION("""COMPUTED_VALUE"""),"19")</f>
        <v>19</v>
      </c>
      <c r="B232" s="22" t="str">
        <f>IFERROR(__xludf.DUMMYFUNCTION("""COMPUTED_VALUE"""),"PXSX1")</f>
        <v>PXSX1</v>
      </c>
      <c r="C232" s="22" t="str">
        <f>IFERROR(__xludf.DUMMYFUNCTION("""COMPUTED_VALUE"""),"Bộ phận nung và hoàn thiện sản phẩm")</f>
        <v>Bộ phận nung và hoàn thiện sản phẩm</v>
      </c>
      <c r="D232" s="22" t="str">
        <f>IFERROR(__xludf.DUMMYFUNCTION("""COMPUTED_VALUE"""),"Đóng hộp Ca A")</f>
        <v>Đóng hộp Ca A</v>
      </c>
      <c r="E232" s="22" t="str">
        <f>IFERROR(__xludf.DUMMYFUNCTION("""COMPUTED_VALUE"""),"Bốc lai phụ + Đóng hộp DC1")</f>
        <v>Bốc lai phụ + Đóng hộp DC1</v>
      </c>
      <c r="F232" s="22" t="str">
        <f>IFERROR(__xludf.DUMMYFUNCTION("""COMPUTED_VALUE"""),"NV5486")</f>
        <v>NV5486</v>
      </c>
      <c r="G232" s="22">
        <f>IFERROR(__xludf.DUMMYFUNCTION("""COMPUTED_VALUE"""),967.0)</f>
        <v>967</v>
      </c>
      <c r="H232" s="22" t="str">
        <f>IFERROR(__xludf.DUMMYFUNCTION("""COMPUTED_VALUE"""),"Vũ Đức Trắc")</f>
        <v>Vũ Đức Trắc</v>
      </c>
      <c r="I232" s="22" t="str">
        <f>IFERROR(__xludf.DUMMYFUNCTION("""COMPUTED_VALUE"""),"Nam")</f>
        <v>Nam</v>
      </c>
      <c r="J232" s="24">
        <f>IFERROR(__xludf.DUMMYFUNCTION("""COMPUTED_VALUE"""),38457.0)</f>
        <v>38457</v>
      </c>
      <c r="K232" s="22" t="str">
        <f>IFERROR(__xludf.DUMMYFUNCTION("""COMPUTED_VALUE"""),"Phường Sầm Sơn- Tỉnh Thanh Hóa ")</f>
        <v>Phường Sầm Sơn- Tỉnh Thanh Hóa </v>
      </c>
      <c r="L232" s="22" t="str">
        <f>IFERROR(__xludf.DUMMYFUNCTION("""COMPUTED_VALUE"""),"0963407543")</f>
        <v>0963407543</v>
      </c>
      <c r="M232" s="22" t="str">
        <f>IFERROR(__xludf.DUMMYFUNCTION("""COMPUTED_VALUE"""),"038205003441")</f>
        <v>038205003441</v>
      </c>
      <c r="N232" s="24">
        <f>IFERROR(__xludf.DUMMYFUNCTION("""COMPUTED_VALUE"""),44979.0)</f>
        <v>44979</v>
      </c>
      <c r="O232" s="22" t="str">
        <f>IFERROR(__xludf.DUMMYFUNCTION("""COMPUTED_VALUE"""),"Cục Cảnh sát QLHC về TTXH")</f>
        <v>Cục Cảnh sát QLHC về TTXH</v>
      </c>
      <c r="P232" s="22" t="str">
        <f>IFERROR(__xludf.DUMMYFUNCTION("""COMPUTED_VALUE"""),"LĐPT")</f>
        <v>LĐPT</v>
      </c>
      <c r="Q232" s="22" t="str">
        <f>IFERROR(__xludf.DUMMYFUNCTION("""COMPUTED_VALUE"""),"Lao động phổ thông")</f>
        <v>Lao động phổ thông</v>
      </c>
      <c r="R232" s="24">
        <f>IFERROR(__xludf.DUMMYFUNCTION("""COMPUTED_VALUE"""),45805.0)</f>
        <v>45805</v>
      </c>
      <c r="S232" s="22"/>
      <c r="T232" s="22" t="str">
        <f>IFERROR(__xludf.DUMMYFUNCTION("""COMPUTED_VALUE"""),"Chính thức")</f>
        <v>Chính thức</v>
      </c>
      <c r="U232" s="22"/>
      <c r="V232" s="22"/>
      <c r="W232" s="22" t="str">
        <f>IFERROR(__xludf.DUMMYFUNCTION("""COMPUTED_VALUE"""),"0 năm 7 tháng")</f>
        <v>0 năm 7 tháng</v>
      </c>
      <c r="X232" s="22"/>
      <c r="Y232" s="22"/>
      <c r="Z232" s="22"/>
    </row>
    <row r="233">
      <c r="A233" s="23" t="str">
        <f>IFERROR(__xludf.DUMMYFUNCTION("""COMPUTED_VALUE"""),"20")</f>
        <v>20</v>
      </c>
      <c r="B233" s="22" t="str">
        <f>IFERROR(__xludf.DUMMYFUNCTION("""COMPUTED_VALUE"""),"PXSX1")</f>
        <v>PXSX1</v>
      </c>
      <c r="C233" s="22" t="str">
        <f>IFERROR(__xludf.DUMMYFUNCTION("""COMPUTED_VALUE"""),"Bộ phận nung và hoàn thiện sản phẩm")</f>
        <v>Bộ phận nung và hoàn thiện sản phẩm</v>
      </c>
      <c r="D233" s="22" t="str">
        <f>IFERROR(__xludf.DUMMYFUNCTION("""COMPUTED_VALUE"""),"Đóng hộp Ca A")</f>
        <v>Đóng hộp Ca A</v>
      </c>
      <c r="E233" s="22" t="str">
        <f>IFERROR(__xludf.DUMMYFUNCTION("""COMPUTED_VALUE"""),"Hoàn thiện palet DC1")</f>
        <v>Hoàn thiện palet DC1</v>
      </c>
      <c r="F233" s="22" t="str">
        <f>IFERROR(__xludf.DUMMYFUNCTION("""COMPUTED_VALUE"""),"NV5712")</f>
        <v>NV5712</v>
      </c>
      <c r="G233" s="22">
        <f>IFERROR(__xludf.DUMMYFUNCTION("""COMPUTED_VALUE"""),1203.0)</f>
        <v>1203</v>
      </c>
      <c r="H233" s="22" t="str">
        <f>IFERROR(__xludf.DUMMYFUNCTION("""COMPUTED_VALUE"""),"Phạm Thị Hà")</f>
        <v>Phạm Thị Hà</v>
      </c>
      <c r="I233" s="22" t="str">
        <f>IFERROR(__xludf.DUMMYFUNCTION("""COMPUTED_VALUE"""),"Nữ")</f>
        <v>Nữ</v>
      </c>
      <c r="J233" s="24">
        <f>IFERROR(__xludf.DUMMYFUNCTION("""COMPUTED_VALUE"""),27529.0)</f>
        <v>27529</v>
      </c>
      <c r="K233" s="22" t="str">
        <f>IFERROR(__xludf.DUMMYFUNCTION("""COMPUTED_VALUE"""),"Thôn Trung Đình - Xã Lưu Vệ - Tỉnh Thanh Hóa")</f>
        <v>Thôn Trung Đình - Xã Lưu Vệ - Tỉnh Thanh Hóa</v>
      </c>
      <c r="L233" s="22" t="str">
        <f>IFERROR(__xludf.DUMMYFUNCTION("""COMPUTED_VALUE"""),"0963491174")</f>
        <v>0963491174</v>
      </c>
      <c r="M233" s="22" t="str">
        <f>IFERROR(__xludf.DUMMYFUNCTION("""COMPUTED_VALUE"""),"038179020708")</f>
        <v>038179020708</v>
      </c>
      <c r="N233" s="24">
        <f>IFERROR(__xludf.DUMMYFUNCTION("""COMPUTED_VALUE"""),44375.0)</f>
        <v>44375</v>
      </c>
      <c r="O233" s="22" t="str">
        <f>IFERROR(__xludf.DUMMYFUNCTION("""COMPUTED_VALUE"""),"Cục Cảnh sát QLHC về TTXH")</f>
        <v>Cục Cảnh sát QLHC về TTXH</v>
      </c>
      <c r="P233" s="22" t="str">
        <f>IFERROR(__xludf.DUMMYFUNCTION("""COMPUTED_VALUE"""),"LĐPT")</f>
        <v>LĐPT</v>
      </c>
      <c r="Q233" s="22" t="str">
        <f>IFERROR(__xludf.DUMMYFUNCTION("""COMPUTED_VALUE"""),"Lao động phổ thông")</f>
        <v>Lao động phổ thông</v>
      </c>
      <c r="R233" s="24">
        <f>IFERROR(__xludf.DUMMYFUNCTION("""COMPUTED_VALUE"""),45917.0)</f>
        <v>45917</v>
      </c>
      <c r="S233" s="24">
        <f>IFERROR(__xludf.DUMMYFUNCTION("""COMPUTED_VALUE"""),45947.0)</f>
        <v>45947</v>
      </c>
      <c r="T233" s="22" t="str">
        <f>IFERROR(__xludf.DUMMYFUNCTION("""COMPUTED_VALUE"""),"Chính thức")</f>
        <v>Chính thức</v>
      </c>
      <c r="U233" s="22"/>
      <c r="V233" s="22" t="str">
        <f>IFERROR(__xludf.DUMMYFUNCTION("""COMPUTED_VALUE"""),"Chính thức")</f>
        <v>Chính thức</v>
      </c>
      <c r="W233" s="22" t="str">
        <f>IFERROR(__xludf.DUMMYFUNCTION("""COMPUTED_VALUE"""),"0 năm 3 tháng")</f>
        <v>0 năm 3 tháng</v>
      </c>
      <c r="X233" s="22"/>
      <c r="Y233" s="22"/>
      <c r="Z233" s="22"/>
    </row>
    <row r="234">
      <c r="A234" s="23" t="str">
        <f>IFERROR(__xludf.DUMMYFUNCTION("""COMPUTED_VALUE"""),"21")</f>
        <v>21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3" t="str">
        <f>IFERROR(__xludf.DUMMYFUNCTION("""COMPUTED_VALUE"""),"22")</f>
        <v>22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3" t="str">
        <f>IFERROR(__xludf.DUMMYFUNCTION("""COMPUTED_VALUE"""),"23")</f>
        <v>23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3" t="str">
        <f>IFERROR(__xludf.DUMMYFUNCTION("""COMPUTED_VALUE"""),"24")</f>
        <v>24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3" t="str">
        <f>IFERROR(__xludf.DUMMYFUNCTION("""COMPUTED_VALUE"""),"25")</f>
        <v>25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3" t="str">
        <f>IFERROR(__xludf.DUMMYFUNCTION("""COMPUTED_VALUE"""),"4.8")</f>
        <v>4.8</v>
      </c>
      <c r="B239" s="22" t="str">
        <f>IFERROR(__xludf.DUMMYFUNCTION("""COMPUTED_VALUE"""),"Đóng hộp Ca B")</f>
        <v>Đóng hộp Ca B</v>
      </c>
      <c r="C239" s="22">
        <f>IFERROR(__xludf.DUMMYFUNCTION("""COMPUTED_VALUE"""),20.0)</f>
        <v>20</v>
      </c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3" t="str">
        <f>IFERROR(__xludf.DUMMYFUNCTION("""COMPUTED_VALUE"""),"1")</f>
        <v>1</v>
      </c>
      <c r="B240" s="22" t="str">
        <f>IFERROR(__xludf.DUMMYFUNCTION("""COMPUTED_VALUE"""),"PXSX1")</f>
        <v>PXSX1</v>
      </c>
      <c r="C240" s="22" t="str">
        <f>IFERROR(__xludf.DUMMYFUNCTION("""COMPUTED_VALUE"""),"Bộ phận nung và hoàn thiện sản phẩm")</f>
        <v>Bộ phận nung và hoàn thiện sản phẩm</v>
      </c>
      <c r="D240" s="22" t="str">
        <f>IFERROR(__xludf.DUMMYFUNCTION("""COMPUTED_VALUE"""),"Đóng hộp Ca B")</f>
        <v>Đóng hộp Ca B</v>
      </c>
      <c r="E240" s="22" t="str">
        <f>IFERROR(__xludf.DUMMYFUNCTION("""COMPUTED_VALUE"""),"Xe nâng")</f>
        <v>Xe nâng</v>
      </c>
      <c r="F240" s="22" t="str">
        <f>IFERROR(__xludf.DUMMYFUNCTION("""COMPUTED_VALUE"""),"NV5637")</f>
        <v>NV5637</v>
      </c>
      <c r="G240" s="22">
        <f>IFERROR(__xludf.DUMMYFUNCTION("""COMPUTED_VALUE"""),1127.0)</f>
        <v>1127</v>
      </c>
      <c r="H240" s="22" t="str">
        <f>IFERROR(__xludf.DUMMYFUNCTION("""COMPUTED_VALUE"""),"Đào Đình Quyết")</f>
        <v>Đào Đình Quyết</v>
      </c>
      <c r="I240" s="22" t="str">
        <f>IFERROR(__xludf.DUMMYFUNCTION("""COMPUTED_VALUE"""),"Nam")</f>
        <v>Nam</v>
      </c>
      <c r="J240" s="24">
        <f>IFERROR(__xludf.DUMMYFUNCTION("""COMPUTED_VALUE"""),27142.0)</f>
        <v>27142</v>
      </c>
      <c r="K240" s="22" t="str">
        <f>IFERROR(__xludf.DUMMYFUNCTION("""COMPUTED_VALUE"""),"Tổ dân phố 5- Phường Quảng Phú- Tỉnh Thanh hóa")</f>
        <v>Tổ dân phố 5- Phường Quảng Phú- Tỉnh Thanh hóa</v>
      </c>
      <c r="L240" s="22" t="str">
        <f>IFERROR(__xludf.DUMMYFUNCTION("""COMPUTED_VALUE"""),"0385558639")</f>
        <v>0385558639</v>
      </c>
      <c r="M240" s="22" t="str">
        <f>IFERROR(__xludf.DUMMYFUNCTION("""COMPUTED_VALUE"""),"038074026313")</f>
        <v>038074026313</v>
      </c>
      <c r="N240" s="24">
        <f>IFERROR(__xludf.DUMMYFUNCTION("""COMPUTED_VALUE"""),44746.0)</f>
        <v>44746</v>
      </c>
      <c r="O240" s="22" t="str">
        <f>IFERROR(__xludf.DUMMYFUNCTION("""COMPUTED_VALUE"""),"Cục Cảnh sát QLHC về TTXH")</f>
        <v>Cục Cảnh sát QLHC về TTXH</v>
      </c>
      <c r="P240" s="22" t="str">
        <f>IFERROR(__xludf.DUMMYFUNCTION("""COMPUTED_VALUE"""),"LĐPT")</f>
        <v>LĐPT</v>
      </c>
      <c r="Q240" s="22" t="str">
        <f>IFERROR(__xludf.DUMMYFUNCTION("""COMPUTED_VALUE"""),"Lao động phổ thông")</f>
        <v>Lao động phổ thông</v>
      </c>
      <c r="R240" s="24">
        <f>IFERROR(__xludf.DUMMYFUNCTION("""COMPUTED_VALUE"""),45867.0)</f>
        <v>45867</v>
      </c>
      <c r="S240" s="22"/>
      <c r="T240" s="22" t="str">
        <f>IFERROR(__xludf.DUMMYFUNCTION("""COMPUTED_VALUE"""),"Thử việc")</f>
        <v>Thử việc</v>
      </c>
      <c r="U240" s="22"/>
      <c r="V240" s="22" t="str">
        <f>IFERROR(__xludf.DUMMYFUNCTION("""COMPUTED_VALUE"""),"Thử việc")</f>
        <v>Thử việc</v>
      </c>
      <c r="W240" s="22" t="str">
        <f>IFERROR(__xludf.DUMMYFUNCTION("""COMPUTED_VALUE"""),"0 năm 5 tháng")</f>
        <v>0 năm 5 tháng</v>
      </c>
      <c r="X240" s="22"/>
      <c r="Y240" s="22"/>
      <c r="Z240" s="22"/>
    </row>
    <row r="241">
      <c r="A241" s="23" t="str">
        <f>IFERROR(__xludf.DUMMYFUNCTION("""COMPUTED_VALUE"""),"2")</f>
        <v>2</v>
      </c>
      <c r="B241" s="22" t="str">
        <f>IFERROR(__xludf.DUMMYFUNCTION("""COMPUTED_VALUE"""),"PXSX1")</f>
        <v>PXSX1</v>
      </c>
      <c r="C241" s="22" t="str">
        <f>IFERROR(__xludf.DUMMYFUNCTION("""COMPUTED_VALUE"""),"Bộ phận nung và hoàn thiện sản phẩm")</f>
        <v>Bộ phận nung và hoàn thiện sản phẩm</v>
      </c>
      <c r="D241" s="22" t="str">
        <f>IFERROR(__xludf.DUMMYFUNCTION("""COMPUTED_VALUE"""),"Đóng hộp Ca B")</f>
        <v>Đóng hộp Ca B</v>
      </c>
      <c r="E241" s="22" t="str">
        <f>IFERROR(__xludf.DUMMYFUNCTION("""COMPUTED_VALUE"""),"Xe nâng")</f>
        <v>Xe nâng</v>
      </c>
      <c r="F241" s="22" t="str">
        <f>IFERROR(__xludf.DUMMYFUNCTION("""COMPUTED_VALUE"""),"NV1559")</f>
        <v>NV1559</v>
      </c>
      <c r="G241" s="22">
        <f>IFERROR(__xludf.DUMMYFUNCTION("""COMPUTED_VALUE"""),696.0)</f>
        <v>696</v>
      </c>
      <c r="H241" s="22" t="str">
        <f>IFERROR(__xludf.DUMMYFUNCTION("""COMPUTED_VALUE"""),"Bùi Quang Hải")</f>
        <v>Bùi Quang Hải</v>
      </c>
      <c r="I241" s="22" t="str">
        <f>IFERROR(__xludf.DUMMYFUNCTION("""COMPUTED_VALUE"""),"Nam")</f>
        <v>Nam</v>
      </c>
      <c r="J241" s="24">
        <f>IFERROR(__xludf.DUMMYFUNCTION("""COMPUTED_VALUE"""),27313.0)</f>
        <v>27313</v>
      </c>
      <c r="K241" s="22" t="str">
        <f>IFERROR(__xludf.DUMMYFUNCTION("""COMPUTED_VALUE"""),"SN 83 Ngô Từ - Phường Hạc Thành - Tỉnh Thanh Hóa")</f>
        <v>SN 83 Ngô Từ - Phường Hạc Thành - Tỉnh Thanh Hóa</v>
      </c>
      <c r="L241" s="22" t="str">
        <f>IFERROR(__xludf.DUMMYFUNCTION("""COMPUTED_VALUE"""),"0347967745")</f>
        <v>0347967745</v>
      </c>
      <c r="M241" s="22" t="str">
        <f>IFERROR(__xludf.DUMMYFUNCTION("""COMPUTED_VALUE"""),"038074021196")</f>
        <v>038074021196</v>
      </c>
      <c r="N241" s="24">
        <f>IFERROR(__xludf.DUMMYFUNCTION("""COMPUTED_VALUE"""),44435.0)</f>
        <v>44435</v>
      </c>
      <c r="O241" s="22" t="str">
        <f>IFERROR(__xludf.DUMMYFUNCTION("""COMPUTED_VALUE"""),"Cục Cảnh sát QLHC về TTXH")</f>
        <v>Cục Cảnh sát QLHC về TTXH</v>
      </c>
      <c r="P241" s="22" t="str">
        <f>IFERROR(__xludf.DUMMYFUNCTION("""COMPUTED_VALUE"""),"Bằng nghề")</f>
        <v>Bằng nghề</v>
      </c>
      <c r="Q241" s="22" t="str">
        <f>IFERROR(__xludf.DUMMYFUNCTION("""COMPUTED_VALUE"""),"Lái máy xúc")</f>
        <v>Lái máy xúc</v>
      </c>
      <c r="R241" s="24">
        <f>IFERROR(__xludf.DUMMYFUNCTION("""COMPUTED_VALUE"""),43288.0)</f>
        <v>43288</v>
      </c>
      <c r="S241" s="24">
        <f>IFERROR(__xludf.DUMMYFUNCTION("""COMPUTED_VALUE"""),43647.0)</f>
        <v>43647</v>
      </c>
      <c r="T241" s="22" t="str">
        <f>IFERROR(__xludf.DUMMYFUNCTION("""COMPUTED_VALUE"""),"Chính thức")</f>
        <v>Chính thức</v>
      </c>
      <c r="U241" s="22"/>
      <c r="V241" s="22"/>
      <c r="W241" s="22" t="str">
        <f>IFERROR(__xludf.DUMMYFUNCTION("""COMPUTED_VALUE"""),"7 năm 5 tháng")</f>
        <v>7 năm 5 tháng</v>
      </c>
      <c r="X241" s="22"/>
      <c r="Y241" s="22"/>
      <c r="Z241" s="22"/>
    </row>
    <row r="242">
      <c r="A242" s="23" t="str">
        <f>IFERROR(__xludf.DUMMYFUNCTION("""COMPUTED_VALUE"""),"3")</f>
        <v>3</v>
      </c>
      <c r="B242" s="22" t="str">
        <f>IFERROR(__xludf.DUMMYFUNCTION("""COMPUTED_VALUE"""),"PXSX1")</f>
        <v>PXSX1</v>
      </c>
      <c r="C242" s="22" t="str">
        <f>IFERROR(__xludf.DUMMYFUNCTION("""COMPUTED_VALUE"""),"Bộ phận nung và hoàn thiện sản phẩm")</f>
        <v>Bộ phận nung và hoàn thiện sản phẩm</v>
      </c>
      <c r="D242" s="22" t="str">
        <f>IFERROR(__xludf.DUMMYFUNCTION("""COMPUTED_VALUE"""),"Đóng hộp Ca B")</f>
        <v>Đóng hộp Ca B</v>
      </c>
      <c r="E242" s="22" t="str">
        <f>IFERROR(__xludf.DUMMYFUNCTION("""COMPUTED_VALUE"""),"Bể nước thải")</f>
        <v>Bể nước thải</v>
      </c>
      <c r="F242" s="22" t="str">
        <f>IFERROR(__xludf.DUMMYFUNCTION("""COMPUTED_VALUE"""),"NV1007")</f>
        <v>NV1007</v>
      </c>
      <c r="G242" s="22">
        <f>IFERROR(__xludf.DUMMYFUNCTION("""COMPUTED_VALUE"""),700.0)</f>
        <v>700</v>
      </c>
      <c r="H242" s="22" t="str">
        <f>IFERROR(__xludf.DUMMYFUNCTION("""COMPUTED_VALUE"""),"Đào Văn Tính")</f>
        <v>Đào Văn Tính</v>
      </c>
      <c r="I242" s="22" t="str">
        <f>IFERROR(__xludf.DUMMYFUNCTION("""COMPUTED_VALUE"""),"Nam")</f>
        <v>Nam</v>
      </c>
      <c r="J242" s="24">
        <f>IFERROR(__xludf.DUMMYFUNCTION("""COMPUTED_VALUE"""),27577.0)</f>
        <v>27577</v>
      </c>
      <c r="K242" s="22" t="str">
        <f>IFERROR(__xludf.DUMMYFUNCTION("""COMPUTED_VALUE"""),"Thôn 5 - Phường Quảng Phú - Tỉnh Thanh Hóa")</f>
        <v>Thôn 5 - Phường Quảng Phú - Tỉnh Thanh Hóa</v>
      </c>
      <c r="L242" s="22" t="str">
        <f>IFERROR(__xludf.DUMMYFUNCTION("""COMPUTED_VALUE"""),"0899630986")</f>
        <v>0899630986</v>
      </c>
      <c r="M242" s="22" t="str">
        <f>IFERROR(__xludf.DUMMYFUNCTION("""COMPUTED_VALUE"""),"038075010617")</f>
        <v>038075010617</v>
      </c>
      <c r="N242" s="24">
        <f>IFERROR(__xludf.DUMMYFUNCTION("""COMPUTED_VALUE"""),44375.0)</f>
        <v>44375</v>
      </c>
      <c r="O242" s="22" t="str">
        <f>IFERROR(__xludf.DUMMYFUNCTION("""COMPUTED_VALUE"""),"Cục Cảnh sát QLHC về TTXH")</f>
        <v>Cục Cảnh sát QLHC về TTXH</v>
      </c>
      <c r="P242" s="22" t="str">
        <f>IFERROR(__xludf.DUMMYFUNCTION("""COMPUTED_VALUE"""),"LĐPT")</f>
        <v>LĐPT</v>
      </c>
      <c r="Q242" s="22" t="str">
        <f>IFERROR(__xludf.DUMMYFUNCTION("""COMPUTED_VALUE"""),"Lao động phổ thông")</f>
        <v>Lao động phổ thông</v>
      </c>
      <c r="R242" s="24">
        <f>IFERROR(__xludf.DUMMYFUNCTION("""COMPUTED_VALUE"""),42913.0)</f>
        <v>42913</v>
      </c>
      <c r="S242" s="24">
        <f>IFERROR(__xludf.DUMMYFUNCTION("""COMPUTED_VALUE"""),42913.0)</f>
        <v>42913</v>
      </c>
      <c r="T242" s="22" t="str">
        <f>IFERROR(__xludf.DUMMYFUNCTION("""COMPUTED_VALUE"""),"Chính thức")</f>
        <v>Chính thức</v>
      </c>
      <c r="U242" s="22"/>
      <c r="V242" s="22"/>
      <c r="W242" s="22" t="str">
        <f>IFERROR(__xludf.DUMMYFUNCTION("""COMPUTED_VALUE"""),"8 năm 6 tháng")</f>
        <v>8 năm 6 tháng</v>
      </c>
      <c r="X242" s="22"/>
      <c r="Y242" s="22"/>
      <c r="Z242" s="22"/>
    </row>
    <row r="243">
      <c r="A243" s="23" t="str">
        <f>IFERROR(__xludf.DUMMYFUNCTION("""COMPUTED_VALUE"""),"4")</f>
        <v>4</v>
      </c>
      <c r="B243" s="22" t="str">
        <f>IFERROR(__xludf.DUMMYFUNCTION("""COMPUTED_VALUE"""),"PXSX1")</f>
        <v>PXSX1</v>
      </c>
      <c r="C243" s="22" t="str">
        <f>IFERROR(__xludf.DUMMYFUNCTION("""COMPUTED_VALUE"""),"Bộ phận nung và hoàn thiện sản phẩm")</f>
        <v>Bộ phận nung và hoàn thiện sản phẩm</v>
      </c>
      <c r="D243" s="22" t="str">
        <f>IFERROR(__xludf.DUMMYFUNCTION("""COMPUTED_VALUE"""),"Đóng hộp Ca B")</f>
        <v>Đóng hộp Ca B</v>
      </c>
      <c r="E243" s="22" t="str">
        <f>IFERROR(__xludf.DUMMYFUNCTION("""COMPUTED_VALUE"""),"CN đóng hộp")</f>
        <v>CN đóng hộp</v>
      </c>
      <c r="F243" s="22" t="str">
        <f>IFERROR(__xludf.DUMMYFUNCTION("""COMPUTED_VALUE"""),"NV0495")</f>
        <v>NV0495</v>
      </c>
      <c r="G243" s="22">
        <f>IFERROR(__xludf.DUMMYFUNCTION("""COMPUTED_VALUE"""),343.0)</f>
        <v>343</v>
      </c>
      <c r="H243" s="22" t="str">
        <f>IFERROR(__xludf.DUMMYFUNCTION("""COMPUTED_VALUE"""),"Nguyễn Thị Huệ")</f>
        <v>Nguyễn Thị Huệ</v>
      </c>
      <c r="I243" s="22" t="str">
        <f>IFERROR(__xludf.DUMMYFUNCTION("""COMPUTED_VALUE"""),"Nữ ")</f>
        <v>Nữ </v>
      </c>
      <c r="J243" s="24">
        <f>IFERROR(__xludf.DUMMYFUNCTION("""COMPUTED_VALUE"""),29358.0)</f>
        <v>29358</v>
      </c>
      <c r="K243" s="22" t="str">
        <f>IFERROR(__xludf.DUMMYFUNCTION("""COMPUTED_VALUE"""),"Phố Đông Lễ - Phường Hạc Thành - Tỉnh Thanh Hóa")</f>
        <v>Phố Đông Lễ - Phường Hạc Thành - Tỉnh Thanh Hóa</v>
      </c>
      <c r="L243" s="22" t="str">
        <f>IFERROR(__xludf.DUMMYFUNCTION("""COMPUTED_VALUE"""),"0333392367")</f>
        <v>0333392367</v>
      </c>
      <c r="M243" s="22" t="str">
        <f>IFERROR(__xludf.DUMMYFUNCTION("""COMPUTED_VALUE"""),"038180002649")</f>
        <v>038180002649</v>
      </c>
      <c r="N243" s="24">
        <f>IFERROR(__xludf.DUMMYFUNCTION("""COMPUTED_VALUE"""),44311.0)</f>
        <v>44311</v>
      </c>
      <c r="O243" s="22" t="str">
        <f>IFERROR(__xludf.DUMMYFUNCTION("""COMPUTED_VALUE"""),"Cục Cảnh sát QLHC về TTXH")</f>
        <v>Cục Cảnh sát QLHC về TTXH</v>
      </c>
      <c r="P243" s="22" t="str">
        <f>IFERROR(__xludf.DUMMYFUNCTION("""COMPUTED_VALUE"""),"LĐPT")</f>
        <v>LĐPT</v>
      </c>
      <c r="Q243" s="22" t="str">
        <f>IFERROR(__xludf.DUMMYFUNCTION("""COMPUTED_VALUE"""),"Lao động phổ thông")</f>
        <v>Lao động phổ thông</v>
      </c>
      <c r="R243" s="24">
        <f>IFERROR(__xludf.DUMMYFUNCTION("""COMPUTED_VALUE"""),40807.0)</f>
        <v>40807</v>
      </c>
      <c r="S243" s="24">
        <f>IFERROR(__xludf.DUMMYFUNCTION("""COMPUTED_VALUE"""),40807.0)</f>
        <v>40807</v>
      </c>
      <c r="T243" s="22" t="str">
        <f>IFERROR(__xludf.DUMMYFUNCTION("""COMPUTED_VALUE"""),"Chính thức")</f>
        <v>Chính thức</v>
      </c>
      <c r="U243" s="22"/>
      <c r="V243" s="22"/>
      <c r="W243" s="22" t="str">
        <f>IFERROR(__xludf.DUMMYFUNCTION("""COMPUTED_VALUE"""),"14 năm 3 tháng")</f>
        <v>14 năm 3 tháng</v>
      </c>
      <c r="X243" s="22"/>
      <c r="Y243" s="22"/>
      <c r="Z243" s="22"/>
    </row>
    <row r="244">
      <c r="A244" s="23" t="str">
        <f>IFERROR(__xludf.DUMMYFUNCTION("""COMPUTED_VALUE"""),"5")</f>
        <v>5</v>
      </c>
      <c r="B244" s="22" t="str">
        <f>IFERROR(__xludf.DUMMYFUNCTION("""COMPUTED_VALUE"""),"PXSX1")</f>
        <v>PXSX1</v>
      </c>
      <c r="C244" s="22" t="str">
        <f>IFERROR(__xludf.DUMMYFUNCTION("""COMPUTED_VALUE"""),"Bộ phận nung và hoàn thiện sản phẩm")</f>
        <v>Bộ phận nung và hoàn thiện sản phẩm</v>
      </c>
      <c r="D244" s="22" t="str">
        <f>IFERROR(__xludf.DUMMYFUNCTION("""COMPUTED_VALUE"""),"Đóng hộp Ca B")</f>
        <v>Đóng hộp Ca B</v>
      </c>
      <c r="E244" s="22" t="str">
        <f>IFERROR(__xludf.DUMMYFUNCTION("""COMPUTED_VALUE"""),"Hoàn thiện palet mức 1")</f>
        <v>Hoàn thiện palet mức 1</v>
      </c>
      <c r="F244" s="22" t="str">
        <f>IFERROR(__xludf.DUMMYFUNCTION("""COMPUTED_VALUE"""),"NV1881")</f>
        <v>NV1881</v>
      </c>
      <c r="G244" s="22">
        <f>IFERROR(__xludf.DUMMYFUNCTION("""COMPUTED_VALUE"""),332.0)</f>
        <v>332</v>
      </c>
      <c r="H244" s="22" t="str">
        <f>IFERROR(__xludf.DUMMYFUNCTION("""COMPUTED_VALUE"""),"Nguyễn Thị Nhung")</f>
        <v>Nguyễn Thị Nhung</v>
      </c>
      <c r="I244" s="22" t="str">
        <f>IFERROR(__xludf.DUMMYFUNCTION("""COMPUTED_VALUE"""),"Nữ ")</f>
        <v>Nữ </v>
      </c>
      <c r="J244" s="24">
        <f>IFERROR(__xludf.DUMMYFUNCTION("""COMPUTED_VALUE"""),29540.0)</f>
        <v>29540</v>
      </c>
      <c r="K244" s="22" t="str">
        <f>IFERROR(__xludf.DUMMYFUNCTION("""COMPUTED_VALUE"""),"Thôn Tri Hòa - Xã Lưu Vệ - Tỉnh Thanh Hóa Hóa")</f>
        <v>Thôn Tri Hòa - Xã Lưu Vệ - Tỉnh Thanh Hóa Hóa</v>
      </c>
      <c r="L244" s="22" t="str">
        <f>IFERROR(__xludf.DUMMYFUNCTION("""COMPUTED_VALUE"""),"0339881604")</f>
        <v>0339881604</v>
      </c>
      <c r="M244" s="22" t="str">
        <f>IFERROR(__xludf.DUMMYFUNCTION("""COMPUTED_VALUE"""),"038180011439")</f>
        <v>038180011439</v>
      </c>
      <c r="N244" s="24">
        <f>IFERROR(__xludf.DUMMYFUNCTION("""COMPUTED_VALUE"""),44375.0)</f>
        <v>44375</v>
      </c>
      <c r="O244" s="22" t="str">
        <f>IFERROR(__xludf.DUMMYFUNCTION("""COMPUTED_VALUE"""),"Cục Cảnh sát QLHC về TTXH")</f>
        <v>Cục Cảnh sát QLHC về TTXH</v>
      </c>
      <c r="P244" s="22" t="str">
        <f>IFERROR(__xludf.DUMMYFUNCTION("""COMPUTED_VALUE"""),"LĐPT")</f>
        <v>LĐPT</v>
      </c>
      <c r="Q244" s="22" t="str">
        <f>IFERROR(__xludf.DUMMYFUNCTION("""COMPUTED_VALUE"""),"Lao động phổ thông")</f>
        <v>Lao động phổ thông</v>
      </c>
      <c r="R244" s="24">
        <f>IFERROR(__xludf.DUMMYFUNCTION("""COMPUTED_VALUE"""),43389.0)</f>
        <v>43389</v>
      </c>
      <c r="S244" s="24">
        <f>IFERROR(__xludf.DUMMYFUNCTION("""COMPUTED_VALUE"""),43739.0)</f>
        <v>43739</v>
      </c>
      <c r="T244" s="22" t="str">
        <f>IFERROR(__xludf.DUMMYFUNCTION("""COMPUTED_VALUE"""),"Chính thức")</f>
        <v>Chính thức</v>
      </c>
      <c r="U244" s="22"/>
      <c r="V244" s="22"/>
      <c r="W244" s="22" t="str">
        <f>IFERROR(__xludf.DUMMYFUNCTION("""COMPUTED_VALUE"""),"7 năm 2 tháng")</f>
        <v>7 năm 2 tháng</v>
      </c>
      <c r="X244" s="22"/>
      <c r="Y244" s="22"/>
      <c r="Z244" s="22"/>
    </row>
    <row r="245">
      <c r="A245" s="23" t="str">
        <f>IFERROR(__xludf.DUMMYFUNCTION("""COMPUTED_VALUE"""),"6")</f>
        <v>6</v>
      </c>
      <c r="B245" s="22" t="str">
        <f>IFERROR(__xludf.DUMMYFUNCTION("""COMPUTED_VALUE"""),"PXSX1")</f>
        <v>PXSX1</v>
      </c>
      <c r="C245" s="22" t="str">
        <f>IFERROR(__xludf.DUMMYFUNCTION("""COMPUTED_VALUE"""),"Bộ phận nung và hoàn thiện sản phẩm")</f>
        <v>Bộ phận nung và hoàn thiện sản phẩm</v>
      </c>
      <c r="D245" s="22" t="str">
        <f>IFERROR(__xludf.DUMMYFUNCTION("""COMPUTED_VALUE"""),"Đóng hộp Ca B")</f>
        <v>Đóng hộp Ca B</v>
      </c>
      <c r="E245" s="22" t="str">
        <f>IFERROR(__xludf.DUMMYFUNCTION("""COMPUTED_VALUE"""),"Xe nâng")</f>
        <v>Xe nâng</v>
      </c>
      <c r="F245" s="22" t="str">
        <f>IFERROR(__xludf.DUMMYFUNCTION("""COMPUTED_VALUE"""),"NV1648")</f>
        <v>NV1648</v>
      </c>
      <c r="G245" s="22">
        <f>IFERROR(__xludf.DUMMYFUNCTION("""COMPUTED_VALUE"""),477.0)</f>
        <v>477</v>
      </c>
      <c r="H245" s="22" t="str">
        <f>IFERROR(__xludf.DUMMYFUNCTION("""COMPUTED_VALUE"""),"Nguyễn Văn Cầu")</f>
        <v>Nguyễn Văn Cầu</v>
      </c>
      <c r="I245" s="22" t="str">
        <f>IFERROR(__xludf.DUMMYFUNCTION("""COMPUTED_VALUE"""),"Nam")</f>
        <v>Nam</v>
      </c>
      <c r="J245" s="24">
        <f>IFERROR(__xludf.DUMMYFUNCTION("""COMPUTED_VALUE"""),29629.0)</f>
        <v>29629</v>
      </c>
      <c r="K245" s="22" t="str">
        <f>IFERROR(__xludf.DUMMYFUNCTION("""COMPUTED_VALUE"""),"Phố 8 - Phường Quảng Phú - Tỉnh Thanh Hóa ")</f>
        <v>Phố 8 - Phường Quảng Phú - Tỉnh Thanh Hóa </v>
      </c>
      <c r="L245" s="22" t="str">
        <f>IFERROR(__xludf.DUMMYFUNCTION("""COMPUTED_VALUE"""),"0349819615")</f>
        <v>0349819615</v>
      </c>
      <c r="M245" s="22" t="str">
        <f>IFERROR(__xludf.DUMMYFUNCTION("""COMPUTED_VALUE"""),"038080036651")</f>
        <v>038080036651</v>
      </c>
      <c r="N245" s="24">
        <f>IFERROR(__xludf.DUMMYFUNCTION("""COMPUTED_VALUE"""),44422.0)</f>
        <v>44422</v>
      </c>
      <c r="O245" s="22" t="str">
        <f>IFERROR(__xludf.DUMMYFUNCTION("""COMPUTED_VALUE"""),"Cục Cảnh sát QLHC về TTXH")</f>
        <v>Cục Cảnh sát QLHC về TTXH</v>
      </c>
      <c r="P245" s="22" t="str">
        <f>IFERROR(__xludf.DUMMYFUNCTION("""COMPUTED_VALUE"""),"Sơ cấp nghề")</f>
        <v>Sơ cấp nghề</v>
      </c>
      <c r="Q245" s="22" t="str">
        <f>IFERROR(__xludf.DUMMYFUNCTION("""COMPUTED_VALUE"""),"Nghề hàn")</f>
        <v>Nghề hàn</v>
      </c>
      <c r="R245" s="22"/>
      <c r="S245" s="24">
        <f>IFERROR(__xludf.DUMMYFUNCTION("""COMPUTED_VALUE"""),43678.0)</f>
        <v>43678</v>
      </c>
      <c r="T245" s="22" t="str">
        <f>IFERROR(__xludf.DUMMYFUNCTION("""COMPUTED_VALUE"""),"Chính thức")</f>
        <v>Chính thức</v>
      </c>
      <c r="U245" s="22"/>
      <c r="V245" s="22"/>
      <c r="W245" s="22" t="str">
        <f>IFERROR(__xludf.DUMMYFUNCTION("""COMPUTED_VALUE"""),"6 năm 4 tháng")</f>
        <v>6 năm 4 tháng</v>
      </c>
      <c r="X245" s="22"/>
      <c r="Y245" s="22"/>
      <c r="Z245" s="22"/>
    </row>
    <row r="246">
      <c r="A246" s="23" t="str">
        <f>IFERROR(__xludf.DUMMYFUNCTION("""COMPUTED_VALUE"""),"7")</f>
        <v>7</v>
      </c>
      <c r="B246" s="22" t="str">
        <f>IFERROR(__xludf.DUMMYFUNCTION("""COMPUTED_VALUE"""),"PXSX1")</f>
        <v>PXSX1</v>
      </c>
      <c r="C246" s="22" t="str">
        <f>IFERROR(__xludf.DUMMYFUNCTION("""COMPUTED_VALUE"""),"Bộ phận nung và hoàn thiện sản phẩm")</f>
        <v>Bộ phận nung và hoàn thiện sản phẩm</v>
      </c>
      <c r="D246" s="22" t="str">
        <f>IFERROR(__xludf.DUMMYFUNCTION("""COMPUTED_VALUE"""),"Đóng hộp Ca B")</f>
        <v>Đóng hộp Ca B</v>
      </c>
      <c r="E246" s="22" t="str">
        <f>IFERROR(__xludf.DUMMYFUNCTION("""COMPUTED_VALUE"""),"Hoàn thiện Palet mức 1")</f>
        <v>Hoàn thiện Palet mức 1</v>
      </c>
      <c r="F246" s="22" t="str">
        <f>IFERROR(__xludf.DUMMYFUNCTION("""COMPUTED_VALUE"""),"NV0874")</f>
        <v>NV0874</v>
      </c>
      <c r="G246" s="22">
        <f>IFERROR(__xludf.DUMMYFUNCTION("""COMPUTED_VALUE"""),701.0)</f>
        <v>701</v>
      </c>
      <c r="H246" s="22" t="str">
        <f>IFERROR(__xludf.DUMMYFUNCTION("""COMPUTED_VALUE"""),"Trần Công Phú")</f>
        <v>Trần Công Phú</v>
      </c>
      <c r="I246" s="22" t="str">
        <f>IFERROR(__xludf.DUMMYFUNCTION("""COMPUTED_VALUE"""),"Nam")</f>
        <v>Nam</v>
      </c>
      <c r="J246" s="24">
        <f>IFERROR(__xludf.DUMMYFUNCTION("""COMPUTED_VALUE"""),30534.0)</f>
        <v>30534</v>
      </c>
      <c r="K246" s="22" t="str">
        <f>IFERROR(__xludf.DUMMYFUNCTION("""COMPUTED_VALUE"""),"Thôn 2 - Phường Quảng Phú - Tỉnh Thanh Hóa ")</f>
        <v>Thôn 2 - Phường Quảng Phú - Tỉnh Thanh Hóa </v>
      </c>
      <c r="L246" s="22" t="str">
        <f>IFERROR(__xludf.DUMMYFUNCTION("""COMPUTED_VALUE"""),"0912470616")</f>
        <v>0912470616</v>
      </c>
      <c r="M246" s="22" t="str">
        <f>IFERROR(__xludf.DUMMYFUNCTION("""COMPUTED_VALUE"""),"038083032991")</f>
        <v>038083032991</v>
      </c>
      <c r="N246" s="24">
        <f>IFERROR(__xludf.DUMMYFUNCTION("""COMPUTED_VALUE"""),44422.0)</f>
        <v>44422</v>
      </c>
      <c r="O246" s="22" t="str">
        <f>IFERROR(__xludf.DUMMYFUNCTION("""COMPUTED_VALUE"""),"Cục Cảnh sát QLHC về TTXH")</f>
        <v>Cục Cảnh sát QLHC về TTXH</v>
      </c>
      <c r="P246" s="22" t="str">
        <f>IFERROR(__xludf.DUMMYFUNCTION("""COMPUTED_VALUE"""),"LĐPT")</f>
        <v>LĐPT</v>
      </c>
      <c r="Q246" s="22" t="str">
        <f>IFERROR(__xludf.DUMMYFUNCTION("""COMPUTED_VALUE"""),"Lao động phổ thông")</f>
        <v>Lao động phổ thông</v>
      </c>
      <c r="R246" s="24">
        <f>IFERROR(__xludf.DUMMYFUNCTION("""COMPUTED_VALUE"""),42790.0)</f>
        <v>42790</v>
      </c>
      <c r="S246" s="24">
        <f>IFERROR(__xludf.DUMMYFUNCTION("""COMPUTED_VALUE"""),42790.0)</f>
        <v>42790</v>
      </c>
      <c r="T246" s="22" t="str">
        <f>IFERROR(__xludf.DUMMYFUNCTION("""COMPUTED_VALUE"""),"Chính thức")</f>
        <v>Chính thức</v>
      </c>
      <c r="U246" s="22"/>
      <c r="V246" s="22"/>
      <c r="W246" s="22" t="str">
        <f>IFERROR(__xludf.DUMMYFUNCTION("""COMPUTED_VALUE"""),"8 năm 10 tháng")</f>
        <v>8 năm 10 tháng</v>
      </c>
      <c r="X246" s="22"/>
      <c r="Y246" s="22"/>
      <c r="Z246" s="22"/>
    </row>
    <row r="247">
      <c r="A247" s="23" t="str">
        <f>IFERROR(__xludf.DUMMYFUNCTION("""COMPUTED_VALUE"""),"8")</f>
        <v>8</v>
      </c>
      <c r="B247" s="22" t="str">
        <f>IFERROR(__xludf.DUMMYFUNCTION("""COMPUTED_VALUE"""),"PXSX1")</f>
        <v>PXSX1</v>
      </c>
      <c r="C247" s="22" t="str">
        <f>IFERROR(__xludf.DUMMYFUNCTION("""COMPUTED_VALUE"""),"Bộ phận nung và hoàn thiện sản phẩm")</f>
        <v>Bộ phận nung và hoàn thiện sản phẩm</v>
      </c>
      <c r="D247" s="22" t="str">
        <f>IFERROR(__xludf.DUMMYFUNCTION("""COMPUTED_VALUE"""),"Đóng hộp Ca B")</f>
        <v>Đóng hộp Ca B</v>
      </c>
      <c r="E247" s="22" t="str">
        <f>IFERROR(__xludf.DUMMYFUNCTION("""COMPUTED_VALUE"""),"Hoàn thiện palet mức 1")</f>
        <v>Hoàn thiện palet mức 1</v>
      </c>
      <c r="F247" s="22" t="str">
        <f>IFERROR(__xludf.DUMMYFUNCTION("""COMPUTED_VALUE"""),"NV0352")</f>
        <v>NV0352</v>
      </c>
      <c r="G247" s="22">
        <f>IFERROR(__xludf.DUMMYFUNCTION("""COMPUTED_VALUE"""),341.0)</f>
        <v>341</v>
      </c>
      <c r="H247" s="22" t="str">
        <f>IFERROR(__xludf.DUMMYFUNCTION("""COMPUTED_VALUE"""),"Nguyễn Thị Vân")</f>
        <v>Nguyễn Thị Vân</v>
      </c>
      <c r="I247" s="22" t="str">
        <f>IFERROR(__xludf.DUMMYFUNCTION("""COMPUTED_VALUE"""),"Nữ ")</f>
        <v>Nữ </v>
      </c>
      <c r="J247" s="24">
        <f>IFERROR(__xludf.DUMMYFUNCTION("""COMPUTED_VALUE"""),30916.0)</f>
        <v>30916</v>
      </c>
      <c r="K247" s="22" t="str">
        <f>IFERROR(__xludf.DUMMYFUNCTION("""COMPUTED_VALUE"""),"Xã Hoằng Giang - Tỉnh Thanh Hóa")</f>
        <v>Xã Hoằng Giang - Tỉnh Thanh Hóa</v>
      </c>
      <c r="L247" s="22" t="str">
        <f>IFERROR(__xludf.DUMMYFUNCTION("""COMPUTED_VALUE"""),"0387874699")</f>
        <v>0387874699</v>
      </c>
      <c r="M247" s="22" t="str">
        <f>IFERROR(__xludf.DUMMYFUNCTION("""COMPUTED_VALUE"""),"038184005795")</f>
        <v>038184005795</v>
      </c>
      <c r="N247" s="24">
        <f>IFERROR(__xludf.DUMMYFUNCTION("""COMPUTED_VALUE"""),42753.0)</f>
        <v>42753</v>
      </c>
      <c r="O247" s="22" t="str">
        <f>IFERROR(__xludf.DUMMYFUNCTION("""COMPUTED_VALUE"""),"Cục Cảnh sát QLHC về TTXH")</f>
        <v>Cục Cảnh sát QLHC về TTXH</v>
      </c>
      <c r="P247" s="22" t="str">
        <f>IFERROR(__xludf.DUMMYFUNCTION("""COMPUTED_VALUE"""),"LĐPT")</f>
        <v>LĐPT</v>
      </c>
      <c r="Q247" s="22" t="str">
        <f>IFERROR(__xludf.DUMMYFUNCTION("""COMPUTED_VALUE"""),"Lao động phổ thông")</f>
        <v>Lao động phổ thông</v>
      </c>
      <c r="R247" s="24">
        <f>IFERROR(__xludf.DUMMYFUNCTION("""COMPUTED_VALUE"""),39341.0)</f>
        <v>39341</v>
      </c>
      <c r="S247" s="24">
        <f>IFERROR(__xludf.DUMMYFUNCTION("""COMPUTED_VALUE"""),39341.0)</f>
        <v>39341</v>
      </c>
      <c r="T247" s="22" t="str">
        <f>IFERROR(__xludf.DUMMYFUNCTION("""COMPUTED_VALUE"""),"Chính thức")</f>
        <v>Chính thức</v>
      </c>
      <c r="U247" s="22"/>
      <c r="V247" s="22"/>
      <c r="W247" s="22" t="str">
        <f>IFERROR(__xludf.DUMMYFUNCTION("""COMPUTED_VALUE"""),"18 năm 3 tháng")</f>
        <v>18 năm 3 tháng</v>
      </c>
      <c r="X247" s="22"/>
      <c r="Y247" s="22"/>
      <c r="Z247" s="22"/>
    </row>
    <row r="248">
      <c r="A248" s="23" t="str">
        <f>IFERROR(__xludf.DUMMYFUNCTION("""COMPUTED_VALUE"""),"9")</f>
        <v>9</v>
      </c>
      <c r="B248" s="22" t="str">
        <f>IFERROR(__xludf.DUMMYFUNCTION("""COMPUTED_VALUE"""),"PXSX1")</f>
        <v>PXSX1</v>
      </c>
      <c r="C248" s="22" t="str">
        <f>IFERROR(__xludf.DUMMYFUNCTION("""COMPUTED_VALUE"""),"Bộ phận nung và hoàn thiện sản phẩm")</f>
        <v>Bộ phận nung và hoàn thiện sản phẩm</v>
      </c>
      <c r="D248" s="22" t="str">
        <f>IFERROR(__xludf.DUMMYFUNCTION("""COMPUTED_VALUE"""),"Đóng hộp Ca B")</f>
        <v>Đóng hộp Ca B</v>
      </c>
      <c r="E248" s="22" t="str">
        <f>IFERROR(__xludf.DUMMYFUNCTION("""COMPUTED_VALUE"""),"VH máy đóng hộp")</f>
        <v>VH máy đóng hộp</v>
      </c>
      <c r="F248" s="22" t="str">
        <f>IFERROR(__xludf.DUMMYFUNCTION("""COMPUTED_VALUE"""),"NV2563")</f>
        <v>NV2563</v>
      </c>
      <c r="G248" s="22">
        <f>IFERROR(__xludf.DUMMYFUNCTION("""COMPUTED_VALUE"""),892.0)</f>
        <v>892</v>
      </c>
      <c r="H248" s="22" t="str">
        <f>IFERROR(__xludf.DUMMYFUNCTION("""COMPUTED_VALUE"""),"Nguyễn Trọng Chung")</f>
        <v>Nguyễn Trọng Chung</v>
      </c>
      <c r="I248" s="22" t="str">
        <f>IFERROR(__xludf.DUMMYFUNCTION("""COMPUTED_VALUE"""),"Nam")</f>
        <v>Nam</v>
      </c>
      <c r="J248" s="24">
        <f>IFERROR(__xludf.DUMMYFUNCTION("""COMPUTED_VALUE"""),31021.0)</f>
        <v>31021</v>
      </c>
      <c r="K248" s="22" t="str">
        <f>IFERROR(__xludf.DUMMYFUNCTION("""COMPUTED_VALUE"""),"Thôn 1- Xã Hoằng Lộc - Tỉnh Thanh Hóa")</f>
        <v>Thôn 1- Xã Hoằng Lộc - Tỉnh Thanh Hóa</v>
      </c>
      <c r="L248" s="22" t="str">
        <f>IFERROR(__xludf.DUMMYFUNCTION("""COMPUTED_VALUE"""),"0983789952")</f>
        <v>0983789952</v>
      </c>
      <c r="M248" s="22" t="str">
        <f>IFERROR(__xludf.DUMMYFUNCTION("""COMPUTED_VALUE"""),"038084042695")</f>
        <v>038084042695</v>
      </c>
      <c r="N248" s="24">
        <f>IFERROR(__xludf.DUMMYFUNCTION("""COMPUTED_VALUE"""),44554.0)</f>
        <v>44554</v>
      </c>
      <c r="O248" s="22" t="str">
        <f>IFERROR(__xludf.DUMMYFUNCTION("""COMPUTED_VALUE"""),"Cục Cảnh sát QLHC về TTXH")</f>
        <v>Cục Cảnh sát QLHC về TTXH</v>
      </c>
      <c r="P248" s="22" t="str">
        <f>IFERROR(__xludf.DUMMYFUNCTION("""COMPUTED_VALUE"""),"LĐPT")</f>
        <v>LĐPT</v>
      </c>
      <c r="Q248" s="22" t="str">
        <f>IFERROR(__xludf.DUMMYFUNCTION("""COMPUTED_VALUE"""),"Lao động phổ thông")</f>
        <v>Lao động phổ thông</v>
      </c>
      <c r="R248" s="24">
        <f>IFERROR(__xludf.DUMMYFUNCTION("""COMPUTED_VALUE"""),45733.0)</f>
        <v>45733</v>
      </c>
      <c r="S248" s="22"/>
      <c r="T248" s="22" t="str">
        <f>IFERROR(__xludf.DUMMYFUNCTION("""COMPUTED_VALUE"""),"Chính thức")</f>
        <v>Chính thức</v>
      </c>
      <c r="U248" s="22"/>
      <c r="V248" s="22"/>
      <c r="W248" s="22" t="str">
        <f>IFERROR(__xludf.DUMMYFUNCTION("""COMPUTED_VALUE"""),"0 năm 9 tháng")</f>
        <v>0 năm 9 tháng</v>
      </c>
      <c r="X248" s="22"/>
      <c r="Y248" s="22"/>
      <c r="Z248" s="22"/>
    </row>
    <row r="249">
      <c r="A249" s="23" t="str">
        <f>IFERROR(__xludf.DUMMYFUNCTION("""COMPUTED_VALUE"""),"10")</f>
        <v>10</v>
      </c>
      <c r="B249" s="22" t="str">
        <f>IFERROR(__xludf.DUMMYFUNCTION("""COMPUTED_VALUE"""),"PXSX1")</f>
        <v>PXSX1</v>
      </c>
      <c r="C249" s="22" t="str">
        <f>IFERROR(__xludf.DUMMYFUNCTION("""COMPUTED_VALUE"""),"Bộ phận nung và hoàn thiện sản phẩm")</f>
        <v>Bộ phận nung và hoàn thiện sản phẩm</v>
      </c>
      <c r="D249" s="22" t="str">
        <f>IFERROR(__xludf.DUMMYFUNCTION("""COMPUTED_VALUE"""),"Đóng hộp Ca B")</f>
        <v>Đóng hộp Ca B</v>
      </c>
      <c r="E249" s="22" t="str">
        <f>IFERROR(__xludf.DUMMYFUNCTION("""COMPUTED_VALUE"""),"VH chính đóng hộp DC1")</f>
        <v>VH chính đóng hộp DC1</v>
      </c>
      <c r="F249" s="22" t="str">
        <f>IFERROR(__xludf.DUMMYFUNCTION("""COMPUTED_VALUE"""),"NV3371")</f>
        <v>NV3371</v>
      </c>
      <c r="G249" s="22">
        <f>IFERROR(__xludf.DUMMYFUNCTION("""COMPUTED_VALUE"""),348.0)</f>
        <v>348</v>
      </c>
      <c r="H249" s="22" t="str">
        <f>IFERROR(__xludf.DUMMYFUNCTION("""COMPUTED_VALUE"""),"Lê Văn Dũng")</f>
        <v>Lê Văn Dũng</v>
      </c>
      <c r="I249" s="22" t="str">
        <f>IFERROR(__xludf.DUMMYFUNCTION("""COMPUTED_VALUE"""),"Nam")</f>
        <v>Nam</v>
      </c>
      <c r="J249" s="24">
        <f>IFERROR(__xludf.DUMMYFUNCTION("""COMPUTED_VALUE"""),31499.0)</f>
        <v>31499</v>
      </c>
      <c r="K249" s="22" t="str">
        <f>IFERROR(__xludf.DUMMYFUNCTION("""COMPUTED_VALUE"""),"Thôn 10 - Xã Điền Quang - Tỉnh Thanh Hóa")</f>
        <v>Thôn 10 - Xã Điền Quang - Tỉnh Thanh Hóa</v>
      </c>
      <c r="L249" s="22" t="str">
        <f>IFERROR(__xludf.DUMMYFUNCTION("""COMPUTED_VALUE"""),"0934427326")</f>
        <v>0934427326</v>
      </c>
      <c r="M249" s="22" t="str">
        <f>IFERROR(__xludf.DUMMYFUNCTION("""COMPUTED_VALUE"""),"038086045414")</f>
        <v>038086045414</v>
      </c>
      <c r="N249" s="24">
        <f>IFERROR(__xludf.DUMMYFUNCTION("""COMPUTED_VALUE"""),44465.0)</f>
        <v>44465</v>
      </c>
      <c r="O249" s="22" t="str">
        <f>IFERROR(__xludf.DUMMYFUNCTION("""COMPUTED_VALUE"""),"Cục Cảnh sát QLHC về TTXH")</f>
        <v>Cục Cảnh sát QLHC về TTXH</v>
      </c>
      <c r="P249" s="22" t="str">
        <f>IFERROR(__xludf.DUMMYFUNCTION("""COMPUTED_VALUE"""),"LĐPT")</f>
        <v>LĐPT</v>
      </c>
      <c r="Q249" s="22" t="str">
        <f>IFERROR(__xludf.DUMMYFUNCTION("""COMPUTED_VALUE"""),"Lao động phổ thông")</f>
        <v>Lao động phổ thông</v>
      </c>
      <c r="R249" s="24">
        <f>IFERROR(__xludf.DUMMYFUNCTION("""COMPUTED_VALUE"""),44133.0)</f>
        <v>44133</v>
      </c>
      <c r="S249" s="24">
        <f>IFERROR(__xludf.DUMMYFUNCTION("""COMPUTED_VALUE"""),44409.0)</f>
        <v>44409</v>
      </c>
      <c r="T249" s="22" t="str">
        <f>IFERROR(__xludf.DUMMYFUNCTION("""COMPUTED_VALUE"""),"Chính thức")</f>
        <v>Chính thức</v>
      </c>
      <c r="U249" s="22"/>
      <c r="V249" s="22"/>
      <c r="W249" s="22" t="str">
        <f>IFERROR(__xludf.DUMMYFUNCTION("""COMPUTED_VALUE"""),"5 năm 2 tháng")</f>
        <v>5 năm 2 tháng</v>
      </c>
      <c r="X249" s="22"/>
      <c r="Y249" s="22"/>
      <c r="Z249" s="22"/>
    </row>
    <row r="250">
      <c r="A250" s="23" t="str">
        <f>IFERROR(__xludf.DUMMYFUNCTION("""COMPUTED_VALUE"""),"11")</f>
        <v>11</v>
      </c>
      <c r="B250" s="22" t="str">
        <f>IFERROR(__xludf.DUMMYFUNCTION("""COMPUTED_VALUE"""),"PXSX1")</f>
        <v>PXSX1</v>
      </c>
      <c r="C250" s="22" t="str">
        <f>IFERROR(__xludf.DUMMYFUNCTION("""COMPUTED_VALUE"""),"Bộ phận nung và hoàn thiện sản phẩm")</f>
        <v>Bộ phận nung và hoàn thiện sản phẩm</v>
      </c>
      <c r="D250" s="22" t="str">
        <f>IFERROR(__xludf.DUMMYFUNCTION("""COMPUTED_VALUE"""),"Đóng hộp Ca B")</f>
        <v>Đóng hộp Ca B</v>
      </c>
      <c r="E250" s="22" t="str">
        <f>IFERROR(__xludf.DUMMYFUNCTION("""COMPUTED_VALUE"""),"Tổ trưởng - Phụ trách Đóng hộp")</f>
        <v>Tổ trưởng - Phụ trách Đóng hộp</v>
      </c>
      <c r="F250" s="22" t="str">
        <f>IFERROR(__xludf.DUMMYFUNCTION("""COMPUTED_VALUE"""),"NV0264")</f>
        <v>NV0264</v>
      </c>
      <c r="G250" s="22">
        <f>IFERROR(__xludf.DUMMYFUNCTION("""COMPUTED_VALUE"""),327.0)</f>
        <v>327</v>
      </c>
      <c r="H250" s="22" t="str">
        <f>IFERROR(__xludf.DUMMYFUNCTION("""COMPUTED_VALUE"""),"Vương Huy Trường")</f>
        <v>Vương Huy Trường</v>
      </c>
      <c r="I250" s="22" t="str">
        <f>IFERROR(__xludf.DUMMYFUNCTION("""COMPUTED_VALUE"""),"Nam")</f>
        <v>Nam</v>
      </c>
      <c r="J250" s="24">
        <f>IFERROR(__xludf.DUMMYFUNCTION("""COMPUTED_VALUE"""),32790.0)</f>
        <v>32790</v>
      </c>
      <c r="K250" s="22" t="str">
        <f>IFERROR(__xludf.DUMMYFUNCTION("""COMPUTED_VALUE"""),"Xã Quảng Ngọc - Tỉnh Thanh Hóa")</f>
        <v>Xã Quảng Ngọc - Tỉnh Thanh Hóa</v>
      </c>
      <c r="L250" s="22" t="str">
        <f>IFERROR(__xludf.DUMMYFUNCTION("""COMPUTED_VALUE"""),"0337228517")</f>
        <v>0337228517</v>
      </c>
      <c r="M250" s="22" t="str">
        <f>IFERROR(__xludf.DUMMYFUNCTION("""COMPUTED_VALUE"""),"038089030962")</f>
        <v>038089030962</v>
      </c>
      <c r="N250" s="24">
        <f>IFERROR(__xludf.DUMMYFUNCTION("""COMPUTED_VALUE"""),44418.0)</f>
        <v>44418</v>
      </c>
      <c r="O250" s="22" t="str">
        <f>IFERROR(__xludf.DUMMYFUNCTION("""COMPUTED_VALUE"""),"Cục Cảnh sát QLHC về TTXH")</f>
        <v>Cục Cảnh sát QLHC về TTXH</v>
      </c>
      <c r="P250" s="22" t="str">
        <f>IFERROR(__xludf.DUMMYFUNCTION("""COMPUTED_VALUE"""),"LĐPT")</f>
        <v>LĐPT</v>
      </c>
      <c r="Q250" s="22" t="str">
        <f>IFERROR(__xludf.DUMMYFUNCTION("""COMPUTED_VALUE"""),"Lao động phổ thông")</f>
        <v>Lao động phổ thông</v>
      </c>
      <c r="R250" s="24">
        <f>IFERROR(__xludf.DUMMYFUNCTION("""COMPUTED_VALUE"""),42196.0)</f>
        <v>42196</v>
      </c>
      <c r="S250" s="24">
        <f>IFERROR(__xludf.DUMMYFUNCTION("""COMPUTED_VALUE"""),42196.0)</f>
        <v>42196</v>
      </c>
      <c r="T250" s="22" t="str">
        <f>IFERROR(__xludf.DUMMYFUNCTION("""COMPUTED_VALUE"""),"Chính thức")</f>
        <v>Chính thức</v>
      </c>
      <c r="U250" s="22"/>
      <c r="V250" s="22"/>
      <c r="W250" s="22" t="str">
        <f>IFERROR(__xludf.DUMMYFUNCTION("""COMPUTED_VALUE"""),"10 năm 5 tháng")</f>
        <v>10 năm 5 tháng</v>
      </c>
      <c r="X250" s="22"/>
      <c r="Y250" s="22"/>
      <c r="Z250" s="22"/>
    </row>
    <row r="251">
      <c r="A251" s="23" t="str">
        <f>IFERROR(__xludf.DUMMYFUNCTION("""COMPUTED_VALUE"""),"12")</f>
        <v>12</v>
      </c>
      <c r="B251" s="22" t="str">
        <f>IFERROR(__xludf.DUMMYFUNCTION("""COMPUTED_VALUE"""),"PXSX1")</f>
        <v>PXSX1</v>
      </c>
      <c r="C251" s="22" t="str">
        <f>IFERROR(__xludf.DUMMYFUNCTION("""COMPUTED_VALUE"""),"Bộ phận nung và hoàn thiện sản phẩm")</f>
        <v>Bộ phận nung và hoàn thiện sản phẩm</v>
      </c>
      <c r="D251" s="22" t="str">
        <f>IFERROR(__xludf.DUMMYFUNCTION("""COMPUTED_VALUE"""),"Đóng hộp Ca B")</f>
        <v>Đóng hộp Ca B</v>
      </c>
      <c r="E251" s="22" t="str">
        <f>IFERROR(__xludf.DUMMYFUNCTION("""COMPUTED_VALUE"""),"Nhóm trưởng đóng hộp")</f>
        <v>Nhóm trưởng đóng hộp</v>
      </c>
      <c r="F251" s="22" t="str">
        <f>IFERROR(__xludf.DUMMYFUNCTION("""COMPUTED_VALUE"""),"NV3746")</f>
        <v>NV3746</v>
      </c>
      <c r="G251" s="22">
        <f>IFERROR(__xludf.DUMMYFUNCTION("""COMPUTED_VALUE"""),699.0)</f>
        <v>699</v>
      </c>
      <c r="H251" s="22" t="str">
        <f>IFERROR(__xludf.DUMMYFUNCTION("""COMPUTED_VALUE"""),"Vũ Ngọc Kiên")</f>
        <v>Vũ Ngọc Kiên</v>
      </c>
      <c r="I251" s="22" t="str">
        <f>IFERROR(__xludf.DUMMYFUNCTION("""COMPUTED_VALUE"""),"Nam")</f>
        <v>Nam</v>
      </c>
      <c r="J251" s="24">
        <f>IFERROR(__xludf.DUMMYFUNCTION("""COMPUTED_VALUE"""),33465.0)</f>
        <v>33465</v>
      </c>
      <c r="K251" s="22" t="str">
        <f>IFERROR(__xludf.DUMMYFUNCTION("""COMPUTED_VALUE"""),"Đồng Tâm - Xã Quảng Chính - Tỉnh Thanh Hóa")</f>
        <v>Đồng Tâm - Xã Quảng Chính - Tỉnh Thanh Hóa</v>
      </c>
      <c r="L251" s="22" t="str">
        <f>IFERROR(__xludf.DUMMYFUNCTION("""COMPUTED_VALUE"""),"0353524001")</f>
        <v>0353524001</v>
      </c>
      <c r="M251" s="22" t="str">
        <f>IFERROR(__xludf.DUMMYFUNCTION("""COMPUTED_VALUE"""),"038091033064")</f>
        <v>038091033064</v>
      </c>
      <c r="N251" s="24">
        <f>IFERROR(__xludf.DUMMYFUNCTION("""COMPUTED_VALUE"""),44325.0)</f>
        <v>44325</v>
      </c>
      <c r="O251" s="22" t="str">
        <f>IFERROR(__xludf.DUMMYFUNCTION("""COMPUTED_VALUE"""),"Cục Cảnh sát QLHC về TTXH")</f>
        <v>Cục Cảnh sát QLHC về TTXH</v>
      </c>
      <c r="P251" s="22" t="str">
        <f>IFERROR(__xludf.DUMMYFUNCTION("""COMPUTED_VALUE"""),"LĐPT")</f>
        <v>LĐPT</v>
      </c>
      <c r="Q251" s="22" t="str">
        <f>IFERROR(__xludf.DUMMYFUNCTION("""COMPUTED_VALUE"""),"Lao động phổ thông")</f>
        <v>Lao động phổ thông</v>
      </c>
      <c r="R251" s="24">
        <f>IFERROR(__xludf.DUMMYFUNCTION("""COMPUTED_VALUE"""),45377.0)</f>
        <v>45377</v>
      </c>
      <c r="S251" s="24">
        <f>IFERROR(__xludf.DUMMYFUNCTION("""COMPUTED_VALUE"""),45444.0)</f>
        <v>45444</v>
      </c>
      <c r="T251" s="22" t="str">
        <f>IFERROR(__xludf.DUMMYFUNCTION("""COMPUTED_VALUE"""),"Chính thức")</f>
        <v>Chính thức</v>
      </c>
      <c r="U251" s="22"/>
      <c r="V251" s="22" t="str">
        <f>IFERROR(__xludf.DUMMYFUNCTION("""COMPUTED_VALUE"""),"Nghỉ phép")</f>
        <v>Nghỉ phép</v>
      </c>
      <c r="W251" s="22" t="str">
        <f>IFERROR(__xludf.DUMMYFUNCTION("""COMPUTED_VALUE"""),"1 năm 9 tháng")</f>
        <v>1 năm 9 tháng</v>
      </c>
      <c r="X251" s="22"/>
      <c r="Y251" s="22"/>
      <c r="Z251" s="22"/>
    </row>
    <row r="252">
      <c r="A252" s="23" t="str">
        <f>IFERROR(__xludf.DUMMYFUNCTION("""COMPUTED_VALUE"""),"13")</f>
        <v>13</v>
      </c>
      <c r="B252" s="22" t="str">
        <f>IFERROR(__xludf.DUMMYFUNCTION("""COMPUTED_VALUE"""),"PXSX1")</f>
        <v>PXSX1</v>
      </c>
      <c r="C252" s="22" t="str">
        <f>IFERROR(__xludf.DUMMYFUNCTION("""COMPUTED_VALUE"""),"Bộ phận nung và hoàn thiện sản phẩm")</f>
        <v>Bộ phận nung và hoàn thiện sản phẩm</v>
      </c>
      <c r="D252" s="22" t="str">
        <f>IFERROR(__xludf.DUMMYFUNCTION("""COMPUTED_VALUE"""),"Đóng hộp Ca B")</f>
        <v>Đóng hộp Ca B</v>
      </c>
      <c r="E252" s="22" t="str">
        <f>IFERROR(__xludf.DUMMYFUNCTION("""COMPUTED_VALUE"""),"Hoàn thiện Palet mức 1")</f>
        <v>Hoàn thiện Palet mức 1</v>
      </c>
      <c r="F252" s="22" t="str">
        <f>IFERROR(__xludf.DUMMYFUNCTION("""COMPUTED_VALUE"""),"NV5400")</f>
        <v>NV5400</v>
      </c>
      <c r="G252" s="22">
        <f>IFERROR(__xludf.DUMMYFUNCTION("""COMPUTED_VALUE"""),840.0)</f>
        <v>840</v>
      </c>
      <c r="H252" s="22" t="str">
        <f>IFERROR(__xludf.DUMMYFUNCTION("""COMPUTED_VALUE"""),"Lê Thị Tuyết ")</f>
        <v>Lê Thị Tuyết </v>
      </c>
      <c r="I252" s="22" t="str">
        <f>IFERROR(__xludf.DUMMYFUNCTION("""COMPUTED_VALUE"""),"Nữ ")</f>
        <v>Nữ </v>
      </c>
      <c r="J252" s="24">
        <f>IFERROR(__xludf.DUMMYFUNCTION("""COMPUTED_VALUE"""),33583.0)</f>
        <v>33583</v>
      </c>
      <c r="K252" s="22" t="str">
        <f>IFERROR(__xludf.DUMMYFUNCTION("""COMPUTED_VALUE"""),"Xã Thượng Ninh - Tỉnh Thanh hóa ")</f>
        <v>Xã Thượng Ninh - Tỉnh Thanh hóa </v>
      </c>
      <c r="L252" s="22" t="str">
        <f>IFERROR(__xludf.DUMMYFUNCTION("""COMPUTED_VALUE"""),"0839440559")</f>
        <v>0839440559</v>
      </c>
      <c r="M252" s="22" t="str">
        <f>IFERROR(__xludf.DUMMYFUNCTION("""COMPUTED_VALUE"""),"038191000713")</f>
        <v>038191000713</v>
      </c>
      <c r="N252" s="24">
        <f>IFERROR(__xludf.DUMMYFUNCTION("""COMPUTED_VALUE"""),44458.0)</f>
        <v>44458</v>
      </c>
      <c r="O252" s="22" t="str">
        <f>IFERROR(__xludf.DUMMYFUNCTION("""COMPUTED_VALUE"""),"Cục Cảnh sát QLHC về TTXH")</f>
        <v>Cục Cảnh sát QLHC về TTXH</v>
      </c>
      <c r="P252" s="22" t="str">
        <f>IFERROR(__xludf.DUMMYFUNCTION("""COMPUTED_VALUE"""),"LĐPT")</f>
        <v>LĐPT</v>
      </c>
      <c r="Q252" s="22" t="str">
        <f>IFERROR(__xludf.DUMMYFUNCTION("""COMPUTED_VALUE"""),"Lao động phổ thông")</f>
        <v>Lao động phổ thông</v>
      </c>
      <c r="R252" s="24">
        <f>IFERROR(__xludf.DUMMYFUNCTION("""COMPUTED_VALUE"""),45700.0)</f>
        <v>45700</v>
      </c>
      <c r="S252" s="22"/>
      <c r="T252" s="22" t="str">
        <f>IFERROR(__xludf.DUMMYFUNCTION("""COMPUTED_VALUE"""),"Chính thức")</f>
        <v>Chính thức</v>
      </c>
      <c r="U252" s="22"/>
      <c r="V252" s="22"/>
      <c r="W252" s="22" t="str">
        <f>IFERROR(__xludf.DUMMYFUNCTION("""COMPUTED_VALUE"""),"0 năm 10 tháng")</f>
        <v>0 năm 10 tháng</v>
      </c>
      <c r="X252" s="22"/>
      <c r="Y252" s="22"/>
      <c r="Z252" s="22"/>
    </row>
    <row r="253">
      <c r="A253" s="23" t="str">
        <f>IFERROR(__xludf.DUMMYFUNCTION("""COMPUTED_VALUE"""),"14")</f>
        <v>14</v>
      </c>
      <c r="B253" s="22" t="str">
        <f>IFERROR(__xludf.DUMMYFUNCTION("""COMPUTED_VALUE"""),"PXSX1")</f>
        <v>PXSX1</v>
      </c>
      <c r="C253" s="22" t="str">
        <f>IFERROR(__xludf.DUMMYFUNCTION("""COMPUTED_VALUE"""),"Bộ phận nung và hoàn thiện sản phẩm")</f>
        <v>Bộ phận nung và hoàn thiện sản phẩm</v>
      </c>
      <c r="D253" s="22" t="str">
        <f>IFERROR(__xludf.DUMMYFUNCTION("""COMPUTED_VALUE"""),"Đóng hộp Ca B")</f>
        <v>Đóng hộp Ca B</v>
      </c>
      <c r="E253" s="22" t="str">
        <f>IFERROR(__xludf.DUMMYFUNCTION("""COMPUTED_VALUE"""),"Bốc lai phụ + Đóng hộp DC1")</f>
        <v>Bốc lai phụ + Đóng hộp DC1</v>
      </c>
      <c r="F253" s="22" t="str">
        <f>IFERROR(__xludf.DUMMYFUNCTION("""COMPUTED_VALUE"""),"NV5642")</f>
        <v>NV5642</v>
      </c>
      <c r="G253" s="22">
        <f>IFERROR(__xludf.DUMMYFUNCTION("""COMPUTED_VALUE"""),1133.0)</f>
        <v>1133</v>
      </c>
      <c r="H253" s="22" t="str">
        <f>IFERROR(__xludf.DUMMYFUNCTION("""COMPUTED_VALUE"""),"Nguyễn Xuân Hòa")</f>
        <v>Nguyễn Xuân Hòa</v>
      </c>
      <c r="I253" s="22" t="str">
        <f>IFERROR(__xludf.DUMMYFUNCTION("""COMPUTED_VALUE"""),"Nam")</f>
        <v>Nam</v>
      </c>
      <c r="J253" s="24">
        <f>IFERROR(__xludf.DUMMYFUNCTION("""COMPUTED_VALUE"""),35330.0)</f>
        <v>35330</v>
      </c>
      <c r="K253" s="22" t="str">
        <f>IFERROR(__xludf.DUMMYFUNCTION("""COMPUTED_VALUE"""),"Thôn Xuân Thắng- Xã Quảng Ngọc - Tỉnh Thanh Hóa")</f>
        <v>Thôn Xuân Thắng- Xã Quảng Ngọc - Tỉnh Thanh Hóa</v>
      </c>
      <c r="L253" s="22" t="str">
        <f>IFERROR(__xludf.DUMMYFUNCTION("""COMPUTED_VALUE"""),"0907065900")</f>
        <v>0907065900</v>
      </c>
      <c r="M253" s="22" t="str">
        <f>IFERROR(__xludf.DUMMYFUNCTION("""COMPUTED_VALUE"""),"038096034142")</f>
        <v>038096034142</v>
      </c>
      <c r="N253" s="24">
        <f>IFERROR(__xludf.DUMMYFUNCTION("""COMPUTED_VALUE"""),44325.0)</f>
        <v>44325</v>
      </c>
      <c r="O253" s="22" t="str">
        <f>IFERROR(__xludf.DUMMYFUNCTION("""COMPUTED_VALUE"""),"Cục Cảnh sát QLHC về TTXH")</f>
        <v>Cục Cảnh sát QLHC về TTXH</v>
      </c>
      <c r="P253" s="22" t="str">
        <f>IFERROR(__xludf.DUMMYFUNCTION("""COMPUTED_VALUE"""),"LĐPT")</f>
        <v>LĐPT</v>
      </c>
      <c r="Q253" s="22" t="str">
        <f>IFERROR(__xludf.DUMMYFUNCTION("""COMPUTED_VALUE"""),"Lao động phổ thông")</f>
        <v>Lao động phổ thông</v>
      </c>
      <c r="R253" s="24">
        <f>IFERROR(__xludf.DUMMYFUNCTION("""COMPUTED_VALUE"""),45870.0)</f>
        <v>45870</v>
      </c>
      <c r="S253" s="24">
        <f>IFERROR(__xludf.DUMMYFUNCTION("""COMPUTED_VALUE"""),45901.0)</f>
        <v>45901</v>
      </c>
      <c r="T253" s="22" t="str">
        <f>IFERROR(__xludf.DUMMYFUNCTION("""COMPUTED_VALUE"""),"Thử việc")</f>
        <v>Thử việc</v>
      </c>
      <c r="U253" s="22"/>
      <c r="V253" s="22" t="str">
        <f>IFERROR(__xludf.DUMMYFUNCTION("""COMPUTED_VALUE"""),"Thử việc")</f>
        <v>Thử việc</v>
      </c>
      <c r="W253" s="22" t="str">
        <f>IFERROR(__xludf.DUMMYFUNCTION("""COMPUTED_VALUE"""),"0 năm 4 tháng")</f>
        <v>0 năm 4 tháng</v>
      </c>
      <c r="X253" s="22"/>
      <c r="Y253" s="22"/>
      <c r="Z253" s="22"/>
    </row>
    <row r="254">
      <c r="A254" s="23" t="str">
        <f>IFERROR(__xludf.DUMMYFUNCTION("""COMPUTED_VALUE"""),"15")</f>
        <v>15</v>
      </c>
      <c r="B254" s="22" t="str">
        <f>IFERROR(__xludf.DUMMYFUNCTION("""COMPUTED_VALUE"""),"PXSX1")</f>
        <v>PXSX1</v>
      </c>
      <c r="C254" s="22" t="str">
        <f>IFERROR(__xludf.DUMMYFUNCTION("""COMPUTED_VALUE"""),"Bộ phận nung và hoàn thiện sản phẩm")</f>
        <v>Bộ phận nung và hoàn thiện sản phẩm</v>
      </c>
      <c r="D254" s="22" t="str">
        <f>IFERROR(__xludf.DUMMYFUNCTION("""COMPUTED_VALUE"""),"Đóng hộp Ca B")</f>
        <v>Đóng hộp Ca B</v>
      </c>
      <c r="E254" s="22" t="str">
        <f>IFERROR(__xludf.DUMMYFUNCTION("""COMPUTED_VALUE"""),"Bốc lai phụ + Đóng hộp DC1")</f>
        <v>Bốc lai phụ + Đóng hộp DC1</v>
      </c>
      <c r="F254" s="22" t="str">
        <f>IFERROR(__xludf.DUMMYFUNCTION("""COMPUTED_VALUE"""),"NV5066")</f>
        <v>NV5066</v>
      </c>
      <c r="G254" s="22">
        <f>IFERROR(__xludf.DUMMYFUNCTION("""COMPUTED_VALUE"""),350.0)</f>
        <v>350</v>
      </c>
      <c r="H254" s="22" t="str">
        <f>IFERROR(__xludf.DUMMYFUNCTION("""COMPUTED_VALUE"""),"Phạm Văn Dũng")</f>
        <v>Phạm Văn Dũng</v>
      </c>
      <c r="I254" s="22" t="str">
        <f>IFERROR(__xludf.DUMMYFUNCTION("""COMPUTED_VALUE"""),"Nam")</f>
        <v>Nam</v>
      </c>
      <c r="J254" s="24">
        <f>IFERROR(__xludf.DUMMYFUNCTION("""COMPUTED_VALUE"""),35472.0)</f>
        <v>35472</v>
      </c>
      <c r="K254" s="22" t="str">
        <f>IFERROR(__xludf.DUMMYFUNCTION("""COMPUTED_VALUE"""),"Xã Quảng Ninh - Tỉnh Thanh Hóa")</f>
        <v>Xã Quảng Ninh - Tỉnh Thanh Hóa</v>
      </c>
      <c r="L254" s="22" t="str">
        <f>IFERROR(__xludf.DUMMYFUNCTION("""COMPUTED_VALUE"""),"0347830467")</f>
        <v>0347830467</v>
      </c>
      <c r="M254" s="22" t="str">
        <f>IFERROR(__xludf.DUMMYFUNCTION("""COMPUTED_VALUE"""),"038097001833")</f>
        <v>038097001833</v>
      </c>
      <c r="N254" s="24">
        <f>IFERROR(__xludf.DUMMYFUNCTION("""COMPUTED_VALUE"""),44746.0)</f>
        <v>44746</v>
      </c>
      <c r="O254" s="22" t="str">
        <f>IFERROR(__xludf.DUMMYFUNCTION("""COMPUTED_VALUE"""),"Cục Cảnh sát QLHC về TTXH")</f>
        <v>Cục Cảnh sát QLHC về TTXH</v>
      </c>
      <c r="P254" s="22" t="str">
        <f>IFERROR(__xludf.DUMMYFUNCTION("""COMPUTED_VALUE"""),"LĐPT")</f>
        <v>LĐPT</v>
      </c>
      <c r="Q254" s="22" t="str">
        <f>IFERROR(__xludf.DUMMYFUNCTION("""COMPUTED_VALUE"""),"Lao động phổ thông")</f>
        <v>Lao động phổ thông</v>
      </c>
      <c r="R254" s="24">
        <f>IFERROR(__xludf.DUMMYFUNCTION("""COMPUTED_VALUE"""),45822.0)</f>
        <v>45822</v>
      </c>
      <c r="S254" s="22"/>
      <c r="T254" s="22" t="str">
        <f>IFERROR(__xludf.DUMMYFUNCTION("""COMPUTED_VALUE"""),"Chính thức")</f>
        <v>Chính thức</v>
      </c>
      <c r="U254" s="22"/>
      <c r="V254" s="22"/>
      <c r="W254" s="22" t="str">
        <f>IFERROR(__xludf.DUMMYFUNCTION("""COMPUTED_VALUE"""),"0 năm 6 tháng")</f>
        <v>0 năm 6 tháng</v>
      </c>
      <c r="X254" s="22"/>
      <c r="Y254" s="22"/>
      <c r="Z254" s="22"/>
    </row>
    <row r="255">
      <c r="A255" s="23" t="str">
        <f>IFERROR(__xludf.DUMMYFUNCTION("""COMPUTED_VALUE"""),"16")</f>
        <v>16</v>
      </c>
      <c r="B255" s="22" t="str">
        <f>IFERROR(__xludf.DUMMYFUNCTION("""COMPUTED_VALUE"""),"PXSX1")</f>
        <v>PXSX1</v>
      </c>
      <c r="C255" s="22" t="str">
        <f>IFERROR(__xludf.DUMMYFUNCTION("""COMPUTED_VALUE"""),"Bộ phận nung và hoàn thiện sản phẩm")</f>
        <v>Bộ phận nung và hoàn thiện sản phẩm</v>
      </c>
      <c r="D255" s="22" t="str">
        <f>IFERROR(__xludf.DUMMYFUNCTION("""COMPUTED_VALUE"""),"Đóng hộp Ca B")</f>
        <v>Đóng hộp Ca B</v>
      </c>
      <c r="E255" s="22" t="str">
        <f>IFERROR(__xludf.DUMMYFUNCTION("""COMPUTED_VALUE"""),"CN đóng hộp")</f>
        <v>CN đóng hộp</v>
      </c>
      <c r="F255" s="22" t="str">
        <f>IFERROR(__xludf.DUMMYFUNCTION("""COMPUTED_VALUE"""),"NV1406")</f>
        <v>NV1406</v>
      </c>
      <c r="G255" s="22">
        <f>IFERROR(__xludf.DUMMYFUNCTION("""COMPUTED_VALUE"""),330.0)</f>
        <v>330</v>
      </c>
      <c r="H255" s="22" t="str">
        <f>IFERROR(__xludf.DUMMYFUNCTION("""COMPUTED_VALUE"""),"Trịnh Đình Dũng")</f>
        <v>Trịnh Đình Dũng</v>
      </c>
      <c r="I255" s="22" t="str">
        <f>IFERROR(__xludf.DUMMYFUNCTION("""COMPUTED_VALUE"""),"Nam")</f>
        <v>Nam</v>
      </c>
      <c r="J255" s="24">
        <f>IFERROR(__xludf.DUMMYFUNCTION("""COMPUTED_VALUE"""),35902.0)</f>
        <v>35902</v>
      </c>
      <c r="K255" s="22" t="str">
        <f>IFERROR(__xludf.DUMMYFUNCTION("""COMPUTED_VALUE"""),"65 Ngô Từ - Phường Hạc Thành - Tỉnh Thanh Hóa")</f>
        <v>65 Ngô Từ - Phường Hạc Thành - Tỉnh Thanh Hóa</v>
      </c>
      <c r="L255" s="22" t="str">
        <f>IFERROR(__xludf.DUMMYFUNCTION("""COMPUTED_VALUE"""),"0983227655")</f>
        <v>0983227655</v>
      </c>
      <c r="M255" s="22" t="str">
        <f>IFERROR(__xludf.DUMMYFUNCTION("""COMPUTED_VALUE"""),"038098022770")</f>
        <v>038098022770</v>
      </c>
      <c r="N255" s="24">
        <f>IFERROR(__xludf.DUMMYFUNCTION("""COMPUTED_VALUE"""),44375.0)</f>
        <v>44375</v>
      </c>
      <c r="O255" s="22" t="str">
        <f>IFERROR(__xludf.DUMMYFUNCTION("""COMPUTED_VALUE"""),"Cục Cảnh sát QLHC về TTXH")</f>
        <v>Cục Cảnh sát QLHC về TTXH</v>
      </c>
      <c r="P255" s="22" t="str">
        <f>IFERROR(__xludf.DUMMYFUNCTION("""COMPUTED_VALUE"""),"Trung cấp")</f>
        <v>Trung cấp</v>
      </c>
      <c r="Q255" s="22" t="str">
        <f>IFERROR(__xludf.DUMMYFUNCTION("""COMPUTED_VALUE"""),"Công nghệ hàn")</f>
        <v>Công nghệ hàn</v>
      </c>
      <c r="R255" s="24">
        <f>IFERROR(__xludf.DUMMYFUNCTION("""COMPUTED_VALUE"""),43238.0)</f>
        <v>43238</v>
      </c>
      <c r="S255" s="24">
        <f>IFERROR(__xludf.DUMMYFUNCTION("""COMPUTED_VALUE"""),43586.0)</f>
        <v>43586</v>
      </c>
      <c r="T255" s="22" t="str">
        <f>IFERROR(__xludf.DUMMYFUNCTION("""COMPUTED_VALUE"""),"Chính thức")</f>
        <v>Chính thức</v>
      </c>
      <c r="U255" s="22"/>
      <c r="V255" s="22"/>
      <c r="W255" s="22" t="str">
        <f>IFERROR(__xludf.DUMMYFUNCTION("""COMPUTED_VALUE"""),"7 năm 7 tháng")</f>
        <v>7 năm 7 tháng</v>
      </c>
      <c r="X255" s="22"/>
      <c r="Y255" s="22"/>
      <c r="Z255" s="22"/>
    </row>
    <row r="256">
      <c r="A256" s="23" t="str">
        <f>IFERROR(__xludf.DUMMYFUNCTION("""COMPUTED_VALUE"""),"17")</f>
        <v>17</v>
      </c>
      <c r="B256" s="22" t="str">
        <f>IFERROR(__xludf.DUMMYFUNCTION("""COMPUTED_VALUE"""),"PXSX1")</f>
        <v>PXSX1</v>
      </c>
      <c r="C256" s="22" t="str">
        <f>IFERROR(__xludf.DUMMYFUNCTION("""COMPUTED_VALUE"""),"Bộ phận nung và hoàn thiện sản phẩm")</f>
        <v>Bộ phận nung và hoàn thiện sản phẩm</v>
      </c>
      <c r="D256" s="22" t="str">
        <f>IFERROR(__xludf.DUMMYFUNCTION("""COMPUTED_VALUE"""),"Đóng hộp Ca B")</f>
        <v>Đóng hộp Ca B</v>
      </c>
      <c r="E256" s="22" t="str">
        <f>IFERROR(__xludf.DUMMYFUNCTION("""COMPUTED_VALUE"""),"VH máy đóng hộp")</f>
        <v>VH máy đóng hộp</v>
      </c>
      <c r="F256" s="22" t="str">
        <f>IFERROR(__xludf.DUMMYFUNCTION("""COMPUTED_VALUE"""),"NV5459")</f>
        <v>NV5459</v>
      </c>
      <c r="G256" s="22">
        <f>IFERROR(__xludf.DUMMYFUNCTION("""COMPUTED_VALUE"""),921.0)</f>
        <v>921</v>
      </c>
      <c r="H256" s="22" t="str">
        <f>IFERROR(__xludf.DUMMYFUNCTION("""COMPUTED_VALUE"""),"Vương Huy Sự ")</f>
        <v>Vương Huy Sự </v>
      </c>
      <c r="I256" s="22" t="str">
        <f>IFERROR(__xludf.DUMMYFUNCTION("""COMPUTED_VALUE"""),"Nam")</f>
        <v>Nam</v>
      </c>
      <c r="J256" s="24">
        <f>IFERROR(__xludf.DUMMYFUNCTION("""COMPUTED_VALUE"""),37149.0)</f>
        <v>37149</v>
      </c>
      <c r="K256" s="22" t="str">
        <f>IFERROR(__xludf.DUMMYFUNCTION("""COMPUTED_VALUE"""),"Xã Quảng Ngọc - Tỉnh Thanh Hóa ")</f>
        <v>Xã Quảng Ngọc - Tỉnh Thanh Hóa </v>
      </c>
      <c r="L256" s="22" t="str">
        <f>IFERROR(__xludf.DUMMYFUNCTION("""COMPUTED_VALUE"""),"0392078247")</f>
        <v>0392078247</v>
      </c>
      <c r="M256" s="22" t="str">
        <f>IFERROR(__xludf.DUMMYFUNCTION("""COMPUTED_VALUE"""),"038201013707")</f>
        <v>038201013707</v>
      </c>
      <c r="N256" s="24">
        <f>IFERROR(__xludf.DUMMYFUNCTION("""COMPUTED_VALUE"""),44964.0)</f>
        <v>44964</v>
      </c>
      <c r="O256" s="22" t="str">
        <f>IFERROR(__xludf.DUMMYFUNCTION("""COMPUTED_VALUE"""),"Cục Cảnh sát QLHC về TTXH")</f>
        <v>Cục Cảnh sát QLHC về TTXH</v>
      </c>
      <c r="P256" s="22" t="str">
        <f>IFERROR(__xludf.DUMMYFUNCTION("""COMPUTED_VALUE"""),"LĐPT")</f>
        <v>LĐPT</v>
      </c>
      <c r="Q256" s="22" t="str">
        <f>IFERROR(__xludf.DUMMYFUNCTION("""COMPUTED_VALUE"""),"Lao động phổ thông")</f>
        <v>Lao động phổ thông</v>
      </c>
      <c r="R256" s="24">
        <f>IFERROR(__xludf.DUMMYFUNCTION("""COMPUTED_VALUE"""),45783.0)</f>
        <v>45783</v>
      </c>
      <c r="S256" s="22"/>
      <c r="T256" s="22" t="str">
        <f>IFERROR(__xludf.DUMMYFUNCTION("""COMPUTED_VALUE"""),"Chính thức")</f>
        <v>Chính thức</v>
      </c>
      <c r="U256" s="22"/>
      <c r="V256" s="22"/>
      <c r="W256" s="22" t="str">
        <f>IFERROR(__xludf.DUMMYFUNCTION("""COMPUTED_VALUE"""),"0 năm 7 tháng")</f>
        <v>0 năm 7 tháng</v>
      </c>
      <c r="X256" s="22"/>
      <c r="Y256" s="22"/>
      <c r="Z256" s="22"/>
    </row>
    <row r="257">
      <c r="A257" s="23" t="str">
        <f>IFERROR(__xludf.DUMMYFUNCTION("""COMPUTED_VALUE"""),"18")</f>
        <v>18</v>
      </c>
      <c r="B257" s="22" t="str">
        <f>IFERROR(__xludf.DUMMYFUNCTION("""COMPUTED_VALUE"""),"PXSX1")</f>
        <v>PXSX1</v>
      </c>
      <c r="C257" s="22" t="str">
        <f>IFERROR(__xludf.DUMMYFUNCTION("""COMPUTED_VALUE"""),"Bộ phận nung và hoàn thiện sản phẩm")</f>
        <v>Bộ phận nung và hoàn thiện sản phẩm</v>
      </c>
      <c r="D257" s="22" t="str">
        <f>IFERROR(__xludf.DUMMYFUNCTION("""COMPUTED_VALUE"""),"Đóng hộp Ca B")</f>
        <v>Đóng hộp Ca B</v>
      </c>
      <c r="E257" s="22" t="str">
        <f>IFERROR(__xludf.DUMMYFUNCTION("""COMPUTED_VALUE"""),"Hoàn thiện palet DC1")</f>
        <v>Hoàn thiện palet DC1</v>
      </c>
      <c r="F257" s="22" t="str">
        <f>IFERROR(__xludf.DUMMYFUNCTION("""COMPUTED_VALUE"""),"NV5709")</f>
        <v>NV5709</v>
      </c>
      <c r="G257" s="22">
        <f>IFERROR(__xludf.DUMMYFUNCTION("""COMPUTED_VALUE"""),1200.0)</f>
        <v>1200</v>
      </c>
      <c r="H257" s="22" t="str">
        <f>IFERROR(__xludf.DUMMYFUNCTION("""COMPUTED_VALUE"""),"Lê Thị Nga")</f>
        <v>Lê Thị Nga</v>
      </c>
      <c r="I257" s="22" t="str">
        <f>IFERROR(__xludf.DUMMYFUNCTION("""COMPUTED_VALUE"""),"Nữ")</f>
        <v>Nữ</v>
      </c>
      <c r="J257" s="24">
        <f>IFERROR(__xludf.DUMMYFUNCTION("""COMPUTED_VALUE"""),28481.0)</f>
        <v>28481</v>
      </c>
      <c r="K257" s="22" t="str">
        <f>IFERROR(__xludf.DUMMYFUNCTION("""COMPUTED_VALUE"""),"94 Nguyễn Trãi - Phường Sầm Sơn -Thanh Hóa")</f>
        <v>94 Nguyễn Trãi - Phường Sầm Sơn -Thanh Hóa</v>
      </c>
      <c r="L257" s="22" t="str">
        <f>IFERROR(__xludf.DUMMYFUNCTION("""COMPUTED_VALUE"""),"0387706197")</f>
        <v>0387706197</v>
      </c>
      <c r="M257" s="22" t="str">
        <f>IFERROR(__xludf.DUMMYFUNCTION("""COMPUTED_VALUE"""),"038177010993")</f>
        <v>038177010993</v>
      </c>
      <c r="N257" s="24">
        <f>IFERROR(__xludf.DUMMYFUNCTION("""COMPUTED_VALUE"""),44418.0)</f>
        <v>44418</v>
      </c>
      <c r="O257" s="22" t="str">
        <f>IFERROR(__xludf.DUMMYFUNCTION("""COMPUTED_VALUE"""),"Cục Cảnh sát QLHC về TTXH")</f>
        <v>Cục Cảnh sát QLHC về TTXH</v>
      </c>
      <c r="P257" s="22" t="str">
        <f>IFERROR(__xludf.DUMMYFUNCTION("""COMPUTED_VALUE"""),"LĐPT")</f>
        <v>LĐPT</v>
      </c>
      <c r="Q257" s="22" t="str">
        <f>IFERROR(__xludf.DUMMYFUNCTION("""COMPUTED_VALUE"""),"Lao động phổ thông")</f>
        <v>Lao động phổ thông</v>
      </c>
      <c r="R257" s="24">
        <f>IFERROR(__xludf.DUMMYFUNCTION("""COMPUTED_VALUE"""),45916.0)</f>
        <v>45916</v>
      </c>
      <c r="S257" s="22"/>
      <c r="T257" s="22" t="str">
        <f>IFERROR(__xludf.DUMMYFUNCTION("""COMPUTED_VALUE"""),"Thử việc")</f>
        <v>Thử việc</v>
      </c>
      <c r="U257" s="22"/>
      <c r="V257" s="22" t="str">
        <f>IFERROR(__xludf.DUMMYFUNCTION("""COMPUTED_VALUE"""),"Thử việc")</f>
        <v>Thử việc</v>
      </c>
      <c r="W257" s="22" t="str">
        <f>IFERROR(__xludf.DUMMYFUNCTION("""COMPUTED_VALUE"""),"0 năm 3 tháng")</f>
        <v>0 năm 3 tháng</v>
      </c>
      <c r="X257" s="22"/>
      <c r="Y257" s="22"/>
      <c r="Z257" s="22"/>
    </row>
    <row r="258">
      <c r="A258" s="23" t="str">
        <f>IFERROR(__xludf.DUMMYFUNCTION("""COMPUTED_VALUE"""),"19")</f>
        <v>19</v>
      </c>
      <c r="B258" s="22" t="str">
        <f>IFERROR(__xludf.DUMMYFUNCTION("""COMPUTED_VALUE"""),"PXSX1")</f>
        <v>PXSX1</v>
      </c>
      <c r="C258" s="22" t="str">
        <f>IFERROR(__xludf.DUMMYFUNCTION("""COMPUTED_VALUE"""),"Bộ phận nung và hoàn thiện sản phẩm")</f>
        <v>Bộ phận nung và hoàn thiện sản phẩm</v>
      </c>
      <c r="D258" s="22" t="str">
        <f>IFERROR(__xludf.DUMMYFUNCTION("""COMPUTED_VALUE"""),"Đóng hộp Ca B")</f>
        <v>Đóng hộp Ca B</v>
      </c>
      <c r="E258" s="22" t="str">
        <f>IFERROR(__xludf.DUMMYFUNCTION("""COMPUTED_VALUE"""),"Hoàn thiện palet DC1")</f>
        <v>Hoàn thiện palet DC1</v>
      </c>
      <c r="F258" s="22" t="str">
        <f>IFERROR(__xludf.DUMMYFUNCTION("""COMPUTED_VALUE"""),"NV5419")</f>
        <v>NV5419</v>
      </c>
      <c r="G258" s="22">
        <f>IFERROR(__xludf.DUMMYFUNCTION("""COMPUTED_VALUE"""),869.0)</f>
        <v>869</v>
      </c>
      <c r="H258" s="22" t="str">
        <f>IFERROR(__xludf.DUMMYFUNCTION("""COMPUTED_VALUE"""),"Vương Huy Phúc")</f>
        <v>Vương Huy Phúc</v>
      </c>
      <c r="I258" s="22" t="str">
        <f>IFERROR(__xludf.DUMMYFUNCTION("""COMPUTED_VALUE"""),"Nam")</f>
        <v>Nam</v>
      </c>
      <c r="J258" s="24">
        <f>IFERROR(__xludf.DUMMYFUNCTION("""COMPUTED_VALUE"""),35557.0)</f>
        <v>35557</v>
      </c>
      <c r="K258" s="22" t="str">
        <f>IFERROR(__xludf.DUMMYFUNCTION("""COMPUTED_VALUE"""),"Thôn Yên Hưng - Xã Quảng Ngọc - Tỉnh Thanh Hóa")</f>
        <v>Thôn Yên Hưng - Xã Quảng Ngọc - Tỉnh Thanh Hóa</v>
      </c>
      <c r="L258" s="22" t="str">
        <f>IFERROR(__xludf.DUMMYFUNCTION("""COMPUTED_VALUE"""),"0961887557")</f>
        <v>0961887557</v>
      </c>
      <c r="M258" s="22" t="str">
        <f>IFERROR(__xludf.DUMMYFUNCTION("""COMPUTED_VALUE"""),"038097027204")</f>
        <v>038097027204</v>
      </c>
      <c r="N258" s="24">
        <f>IFERROR(__xludf.DUMMYFUNCTION("""COMPUTED_VALUE"""),44418.0)</f>
        <v>44418</v>
      </c>
      <c r="O258" s="22" t="str">
        <f>IFERROR(__xludf.DUMMYFUNCTION("""COMPUTED_VALUE"""),"Cục Cảnh sát QLHC về TTXH")</f>
        <v>Cục Cảnh sát QLHC về TTXH</v>
      </c>
      <c r="P258" s="22" t="str">
        <f>IFERROR(__xludf.DUMMYFUNCTION("""COMPUTED_VALUE"""),"LĐPT")</f>
        <v>LĐPT</v>
      </c>
      <c r="Q258" s="22" t="str">
        <f>IFERROR(__xludf.DUMMYFUNCTION("""COMPUTED_VALUE"""),"Lao động phổ thông")</f>
        <v>Lao động phổ thông</v>
      </c>
      <c r="R258" s="22"/>
      <c r="S258" s="24">
        <f>IFERROR(__xludf.DUMMYFUNCTION("""COMPUTED_VALUE"""),45947.0)</f>
        <v>45947</v>
      </c>
      <c r="T258" s="22" t="str">
        <f>IFERROR(__xludf.DUMMYFUNCTION("""COMPUTED_VALUE"""),"Chính thức")</f>
        <v>Chính thức</v>
      </c>
      <c r="U258" s="22"/>
      <c r="V258" s="22" t="str">
        <f>IFERROR(__xludf.DUMMYFUNCTION("""COMPUTED_VALUE"""),"Chính thức")</f>
        <v>Chính thức</v>
      </c>
      <c r="W258" s="22" t="str">
        <f>IFERROR(__xludf.DUMMYFUNCTION("""COMPUTED_VALUE"""),"0 năm 2 tháng")</f>
        <v>0 năm 2 tháng</v>
      </c>
      <c r="X258" s="22"/>
      <c r="Y258" s="22"/>
      <c r="Z258" s="22"/>
    </row>
    <row r="259">
      <c r="A259" s="23" t="str">
        <f>IFERROR(__xludf.DUMMYFUNCTION("""COMPUTED_VALUE"""),"20")</f>
        <v>20</v>
      </c>
      <c r="B259" s="22" t="str">
        <f>IFERROR(__xludf.DUMMYFUNCTION("""COMPUTED_VALUE"""),"PXSX1")</f>
        <v>PXSX1</v>
      </c>
      <c r="C259" s="22" t="str">
        <f>IFERROR(__xludf.DUMMYFUNCTION("""COMPUTED_VALUE"""),"Bộ phận nung và hoàn thiện sản phẩm")</f>
        <v>Bộ phận nung và hoàn thiện sản phẩm</v>
      </c>
      <c r="D259" s="22" t="str">
        <f>IFERROR(__xludf.DUMMYFUNCTION("""COMPUTED_VALUE"""),"Đóng hộp Ca B")</f>
        <v>Đóng hộp Ca B</v>
      </c>
      <c r="E259" s="22" t="str">
        <f>IFERROR(__xludf.DUMMYFUNCTION("""COMPUTED_VALUE"""),"Hoàn thiện palet DC1")</f>
        <v>Hoàn thiện palet DC1</v>
      </c>
      <c r="F259" s="22" t="str">
        <f>IFERROR(__xludf.DUMMYFUNCTION("""COMPUTED_VALUE"""),"NV5418")</f>
        <v>NV5418</v>
      </c>
      <c r="G259" s="22">
        <f>IFERROR(__xludf.DUMMYFUNCTION("""COMPUTED_VALUE"""),868.0)</f>
        <v>868</v>
      </c>
      <c r="H259" s="22" t="str">
        <f>IFERROR(__xludf.DUMMYFUNCTION("""COMPUTED_VALUE"""),"Vương Huy Tân")</f>
        <v>Vương Huy Tân</v>
      </c>
      <c r="I259" s="22" t="str">
        <f>IFERROR(__xludf.DUMMYFUNCTION("""COMPUTED_VALUE"""),"Nam")</f>
        <v>Nam</v>
      </c>
      <c r="J259" s="24">
        <f>IFERROR(__xludf.DUMMYFUNCTION("""COMPUTED_VALUE"""),34895.0)</f>
        <v>34895</v>
      </c>
      <c r="K259" s="22" t="str">
        <f>IFERROR(__xludf.DUMMYFUNCTION("""COMPUTED_VALUE"""),"Thôn Yên Hưng - Xã Quảng Ngọc - Tỉnh Thanh Hóa")</f>
        <v>Thôn Yên Hưng - Xã Quảng Ngọc - Tỉnh Thanh Hóa</v>
      </c>
      <c r="L259" s="22" t="str">
        <f>IFERROR(__xludf.DUMMYFUNCTION("""COMPUTED_VALUE"""),"0842451636")</f>
        <v>0842451636</v>
      </c>
      <c r="M259" s="22" t="str">
        <f>IFERROR(__xludf.DUMMYFUNCTION("""COMPUTED_VALUE"""),"038095010774")</f>
        <v>038095010774</v>
      </c>
      <c r="N259" s="24">
        <f>IFERROR(__xludf.DUMMYFUNCTION("""COMPUTED_VALUE"""),44308.0)</f>
        <v>44308</v>
      </c>
      <c r="O259" s="22" t="str">
        <f>IFERROR(__xludf.DUMMYFUNCTION("""COMPUTED_VALUE"""),"Cục Cảnh sát QLHC về TTXH")</f>
        <v>Cục Cảnh sát QLHC về TTXH</v>
      </c>
      <c r="P259" s="22" t="str">
        <f>IFERROR(__xludf.DUMMYFUNCTION("""COMPUTED_VALUE"""),"LĐPT")</f>
        <v>LĐPT</v>
      </c>
      <c r="Q259" s="22" t="str">
        <f>IFERROR(__xludf.DUMMYFUNCTION("""COMPUTED_VALUE"""),"Lao động phổ thông")</f>
        <v>Lao động phổ thông</v>
      </c>
      <c r="R259" s="24">
        <f>IFERROR(__xludf.DUMMYFUNCTION("""COMPUTED_VALUE"""),45950.0)</f>
        <v>45950</v>
      </c>
      <c r="S259" s="24">
        <f>IFERROR(__xludf.DUMMYFUNCTION("""COMPUTED_VALUE"""),45950.0)</f>
        <v>45950</v>
      </c>
      <c r="T259" s="22" t="str">
        <f>IFERROR(__xludf.DUMMYFUNCTION("""COMPUTED_VALUE"""),"Chính thức")</f>
        <v>Chính thức</v>
      </c>
      <c r="U259" s="22"/>
      <c r="V259" s="22" t="str">
        <f>IFERROR(__xludf.DUMMYFUNCTION("""COMPUTED_VALUE"""),"Chính thức")</f>
        <v>Chính thức</v>
      </c>
      <c r="W259" s="22" t="str">
        <f>IFERROR(__xludf.DUMMYFUNCTION("""COMPUTED_VALUE"""),"0 năm 2 tháng")</f>
        <v>0 năm 2 tháng</v>
      </c>
      <c r="X259" s="22"/>
      <c r="Y259" s="22"/>
      <c r="Z259" s="22"/>
    </row>
    <row r="260">
      <c r="A260" s="23" t="str">
        <f>IFERROR(__xludf.DUMMYFUNCTION("""COMPUTED_VALUE"""),"21")</f>
        <v>21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3" t="str">
        <f>IFERROR(__xludf.DUMMYFUNCTION("""COMPUTED_VALUE"""),"22")</f>
        <v>22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3" t="str">
        <f>IFERROR(__xludf.DUMMYFUNCTION("""COMPUTED_VALUE"""),"23")</f>
        <v>23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3" t="str">
        <f>IFERROR(__xludf.DUMMYFUNCTION("""COMPUTED_VALUE"""),"4.9")</f>
        <v>4.9</v>
      </c>
      <c r="B264" s="22" t="str">
        <f>IFERROR(__xludf.DUMMYFUNCTION("""COMPUTED_VALUE"""),"Đóng hộp Ca C")</f>
        <v>Đóng hộp Ca C</v>
      </c>
      <c r="C264" s="22">
        <f>IFERROR(__xludf.DUMMYFUNCTION("""COMPUTED_VALUE"""),0.0)</f>
        <v>0</v>
      </c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3" t="str">
        <f>IFERROR(__xludf.DUMMYFUNCTION("""COMPUTED_VALUE"""),"1")</f>
        <v>1</v>
      </c>
      <c r="B265" s="22" t="str">
        <f>IFERROR(__xludf.DUMMYFUNCTION("""COMPUTED_VALUE"""),"#N/A")</f>
        <v>#N/A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3" t="str">
        <f>IFERROR(__xludf.DUMMYFUNCTION("""COMPUTED_VALUE"""),"4")</f>
        <v>4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3" t="str">
        <f>IFERROR(__xludf.DUMMYFUNCTION("""COMPUTED_VALUE"""),"5")</f>
        <v>5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3" t="str">
        <f>IFERROR(__xludf.DUMMYFUNCTION("""COMPUTED_VALUE"""),"6")</f>
        <v>6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3" t="str">
        <f>IFERROR(__xludf.DUMMYFUNCTION("""COMPUTED_VALUE"""),"7")</f>
        <v>7</v>
      </c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3" t="str">
        <f>IFERROR(__xludf.DUMMYFUNCTION("""COMPUTED_VALUE"""),"8")</f>
        <v>8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3" t="str">
        <f>IFERROR(__xludf.DUMMYFUNCTION("""COMPUTED_VALUE"""),"9")</f>
        <v>9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3" t="str">
        <f>IFERROR(__xludf.DUMMYFUNCTION("""COMPUTED_VALUE"""),"10")</f>
        <v>10</v>
      </c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3" t="str">
        <f>IFERROR(__xludf.DUMMYFUNCTION("""COMPUTED_VALUE"""),"5.")</f>
        <v>5.</v>
      </c>
      <c r="B273" s="22" t="str">
        <f>IFERROR(__xludf.DUMMYFUNCTION("""COMPUTED_VALUE"""),"Phòng Kỹ thuật")</f>
        <v>Phòng Kỹ thuật</v>
      </c>
      <c r="C273" s="22">
        <f>IFERROR(__xludf.DUMMYFUNCTION("""COMPUTED_VALUE"""),45.0)</f>
        <v>45</v>
      </c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3" t="str">
        <f>IFERROR(__xludf.DUMMYFUNCTION("""COMPUTED_VALUE"""),"5.1")</f>
        <v>5.1</v>
      </c>
      <c r="B274" s="22" t="str">
        <f>IFERROR(__xludf.DUMMYFUNCTION("""COMPUTED_VALUE"""),"Bộ phận Kỹ thuật - hành chính")</f>
        <v>Bộ phận Kỹ thuật - hành chính</v>
      </c>
      <c r="C274" s="22">
        <f>IFERROR(__xludf.DUMMYFUNCTION("""COMPUTED_VALUE"""),7.0)</f>
        <v>7</v>
      </c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3" t="str">
        <f>IFERROR(__xludf.DUMMYFUNCTION("""COMPUTED_VALUE"""),"1")</f>
        <v>1</v>
      </c>
      <c r="B275" s="22" t="str">
        <f>IFERROR(__xludf.DUMMYFUNCTION("""COMPUTED_VALUE"""),"PXSX1")</f>
        <v>PXSX1</v>
      </c>
      <c r="C275" s="22" t="str">
        <f>IFERROR(__xludf.DUMMYFUNCTION("""COMPUTED_VALUE"""),"Phòng Kỹ thuật")</f>
        <v>Phòng Kỹ thuật</v>
      </c>
      <c r="D275" s="22" t="str">
        <f>IFERROR(__xludf.DUMMYFUNCTION("""COMPUTED_VALUE"""),"Bộ phận Kỹ thuật - hành chính")</f>
        <v>Bộ phận Kỹ thuật - hành chính</v>
      </c>
      <c r="E275" s="22" t="str">
        <f>IFERROR(__xludf.DUMMYFUNCTION("""COMPUTED_VALUE"""),"Trưởng phòng Kỹ thuật")</f>
        <v>Trưởng phòng Kỹ thuật</v>
      </c>
      <c r="F275" s="22" t="str">
        <f>IFERROR(__xludf.DUMMYFUNCTION("""COMPUTED_VALUE"""),"NV0451")</f>
        <v>NV0451</v>
      </c>
      <c r="G275" s="22">
        <f>IFERROR(__xludf.DUMMYFUNCTION("""COMPUTED_VALUE"""),519.0)</f>
        <v>519</v>
      </c>
      <c r="H275" s="22" t="str">
        <f>IFERROR(__xludf.DUMMYFUNCTION("""COMPUTED_VALUE"""),"Hồ Xuân Tùng")</f>
        <v>Hồ Xuân Tùng</v>
      </c>
      <c r="I275" s="22" t="str">
        <f>IFERROR(__xludf.DUMMYFUNCTION("""COMPUTED_VALUE"""),"Nam")</f>
        <v>Nam</v>
      </c>
      <c r="J275" s="24">
        <f>IFERROR(__xludf.DUMMYFUNCTION("""COMPUTED_VALUE"""),28439.0)</f>
        <v>28439</v>
      </c>
      <c r="K275" s="22" t="str">
        <f>IFERROR(__xludf.DUMMYFUNCTION("""COMPUTED_VALUE"""),"14 Đường Bùi Sỹ Lâm -  Tổ dân phố 2 - Xã Lưu Vệ - Tỉnh Thanh Hóa")</f>
        <v>14 Đường Bùi Sỹ Lâm -  Tổ dân phố 2 - Xã Lưu Vệ - Tỉnh Thanh Hóa</v>
      </c>
      <c r="L275" s="22" t="str">
        <f>IFERROR(__xludf.DUMMYFUNCTION("""COMPUTED_VALUE"""),"0949018386")</f>
        <v>0949018386</v>
      </c>
      <c r="M275" s="22" t="str">
        <f>IFERROR(__xludf.DUMMYFUNCTION("""COMPUTED_VALUE"""),"038077009075")</f>
        <v>038077009075</v>
      </c>
      <c r="N275" s="24">
        <f>IFERROR(__xludf.DUMMYFUNCTION("""COMPUTED_VALUE"""),44420.0)</f>
        <v>44420</v>
      </c>
      <c r="O275" s="22" t="str">
        <f>IFERROR(__xludf.DUMMYFUNCTION("""COMPUTED_VALUE"""),"Cục Cảnh sát QLHC về TTXH")</f>
        <v>Cục Cảnh sát QLHC về TTXH</v>
      </c>
      <c r="P275" s="22" t="str">
        <f>IFERROR(__xludf.DUMMYFUNCTION("""COMPUTED_VALUE"""),"Đại học")</f>
        <v>Đại học</v>
      </c>
      <c r="Q275" s="22" t="str">
        <f>IFERROR(__xludf.DUMMYFUNCTION("""COMPUTED_VALUE"""),"Kỹ sư điện")</f>
        <v>Kỹ sư điện</v>
      </c>
      <c r="R275" s="24">
        <f>IFERROR(__xludf.DUMMYFUNCTION("""COMPUTED_VALUE"""),37483.0)</f>
        <v>37483</v>
      </c>
      <c r="S275" s="24">
        <f>IFERROR(__xludf.DUMMYFUNCTION("""COMPUTED_VALUE"""),37483.0)</f>
        <v>37483</v>
      </c>
      <c r="T275" s="22" t="str">
        <f>IFERROR(__xludf.DUMMYFUNCTION("""COMPUTED_VALUE"""),"Chính thức")</f>
        <v>Chính thức</v>
      </c>
      <c r="U275" s="22"/>
      <c r="V275" s="22" t="str">
        <f>IFERROR(__xludf.DUMMYFUNCTION("""COMPUTED_VALUE"""),"Nghỉ phép")</f>
        <v>Nghỉ phép</v>
      </c>
      <c r="W275" s="22" t="str">
        <f>IFERROR(__xludf.DUMMYFUNCTION("""COMPUTED_VALUE"""),"23 năm 4 tháng")</f>
        <v>23 năm 4 tháng</v>
      </c>
      <c r="X275" s="22"/>
      <c r="Y275" s="22"/>
      <c r="Z275" s="22"/>
    </row>
    <row r="276">
      <c r="A276" s="23" t="str">
        <f>IFERROR(__xludf.DUMMYFUNCTION("""COMPUTED_VALUE"""),"2")</f>
        <v>2</v>
      </c>
      <c r="B276" s="22" t="str">
        <f>IFERROR(__xludf.DUMMYFUNCTION("""COMPUTED_VALUE"""),"PXSX1")</f>
        <v>PXSX1</v>
      </c>
      <c r="C276" s="22" t="str">
        <f>IFERROR(__xludf.DUMMYFUNCTION("""COMPUTED_VALUE"""),"Phòng Kỹ thuật")</f>
        <v>Phòng Kỹ thuật</v>
      </c>
      <c r="D276" s="22" t="str">
        <f>IFERROR(__xludf.DUMMYFUNCTION("""COMPUTED_VALUE"""),"Bộ phận Kỹ thuật - hành chính")</f>
        <v>Bộ phận Kỹ thuật - hành chính</v>
      </c>
      <c r="E276" s="22" t="str">
        <f>IFERROR(__xludf.DUMMYFUNCTION("""COMPUTED_VALUE"""),"Phó phòng Kỹ thuật")</f>
        <v>Phó phòng Kỹ thuật</v>
      </c>
      <c r="F276" s="22" t="str">
        <f>IFERROR(__xludf.DUMMYFUNCTION("""COMPUTED_VALUE"""),"NV0090")</f>
        <v>NV0090</v>
      </c>
      <c r="G276" s="22">
        <f>IFERROR(__xludf.DUMMYFUNCTION("""COMPUTED_VALUE"""),173.0)</f>
        <v>173</v>
      </c>
      <c r="H276" s="22" t="str">
        <f>IFERROR(__xludf.DUMMYFUNCTION("""COMPUTED_VALUE"""),"Vũ Xuân Lân")</f>
        <v>Vũ Xuân Lân</v>
      </c>
      <c r="I276" s="22" t="str">
        <f>IFERROR(__xludf.DUMMYFUNCTION("""COMPUTED_VALUE"""),"Nam")</f>
        <v>Nam</v>
      </c>
      <c r="J276" s="24">
        <f>IFERROR(__xludf.DUMMYFUNCTION("""COMPUTED_VALUE"""),29160.0)</f>
        <v>29160</v>
      </c>
      <c r="K276" s="22" t="str">
        <f>IFERROR(__xludf.DUMMYFUNCTION("""COMPUTED_VALUE"""),"SN - 302 - Bà Triệu - Phường Hạc Thành - Tỉnh Thanh Hóa")</f>
        <v>SN - 302 - Bà Triệu - Phường Hạc Thành - Tỉnh Thanh Hóa</v>
      </c>
      <c r="L276" s="22" t="str">
        <f>IFERROR(__xludf.DUMMYFUNCTION("""COMPUTED_VALUE"""),"0973028656")</f>
        <v>0973028656</v>
      </c>
      <c r="M276" s="22" t="str">
        <f>IFERROR(__xludf.DUMMYFUNCTION("""COMPUTED_VALUE"""),"038079023367")</f>
        <v>038079023367</v>
      </c>
      <c r="N276" s="24">
        <f>IFERROR(__xludf.DUMMYFUNCTION("""COMPUTED_VALUE"""),44375.0)</f>
        <v>44375</v>
      </c>
      <c r="O276" s="22" t="str">
        <f>IFERROR(__xludf.DUMMYFUNCTION("""COMPUTED_VALUE"""),"Cục Cảnh sát QLHC về TTXH")</f>
        <v>Cục Cảnh sát QLHC về TTXH</v>
      </c>
      <c r="P276" s="22" t="str">
        <f>IFERROR(__xludf.DUMMYFUNCTION("""COMPUTED_VALUE"""),"Trung cấp")</f>
        <v>Trung cấp</v>
      </c>
      <c r="Q276" s="22" t="str">
        <f>IFERROR(__xludf.DUMMYFUNCTION("""COMPUTED_VALUE"""),"Điện tử")</f>
        <v>Điện tử</v>
      </c>
      <c r="R276" s="24">
        <f>IFERROR(__xludf.DUMMYFUNCTION("""COMPUTED_VALUE"""),36892.0)</f>
        <v>36892</v>
      </c>
      <c r="S276" s="24">
        <f>IFERROR(__xludf.DUMMYFUNCTION("""COMPUTED_VALUE"""),36892.0)</f>
        <v>36892</v>
      </c>
      <c r="T276" s="22" t="str">
        <f>IFERROR(__xludf.DUMMYFUNCTION("""COMPUTED_VALUE"""),"Chính thức")</f>
        <v>Chính thức</v>
      </c>
      <c r="U276" s="22"/>
      <c r="V276" s="22"/>
      <c r="W276" s="22" t="str">
        <f>IFERROR(__xludf.DUMMYFUNCTION("""COMPUTED_VALUE"""),"24 năm 11 tháng")</f>
        <v>24 năm 11 tháng</v>
      </c>
      <c r="X276" s="22"/>
      <c r="Y276" s="22"/>
      <c r="Z276" s="22"/>
    </row>
    <row r="277">
      <c r="A277" s="23" t="str">
        <f>IFERROR(__xludf.DUMMYFUNCTION("""COMPUTED_VALUE"""),"3")</f>
        <v>3</v>
      </c>
      <c r="B277" s="22" t="str">
        <f>IFERROR(__xludf.DUMMYFUNCTION("""COMPUTED_VALUE"""),"PXSX1")</f>
        <v>PXSX1</v>
      </c>
      <c r="C277" s="22" t="str">
        <f>IFERROR(__xludf.DUMMYFUNCTION("""COMPUTED_VALUE"""),"Phòng Kỹ thuật")</f>
        <v>Phòng Kỹ thuật</v>
      </c>
      <c r="D277" s="22" t="str">
        <f>IFERROR(__xludf.DUMMYFUNCTION("""COMPUTED_VALUE"""),"Bộ phận Kỹ thuật - hành chính")</f>
        <v>Bộ phận Kỹ thuật - hành chính</v>
      </c>
      <c r="E277" s="22" t="str">
        <f>IFERROR(__xludf.DUMMYFUNCTION("""COMPUTED_VALUE"""),"Nhân viên kỹ thuật")</f>
        <v>Nhân viên kỹ thuật</v>
      </c>
      <c r="F277" s="22" t="str">
        <f>IFERROR(__xludf.DUMMYFUNCTION("""COMPUTED_VALUE"""),"NV0111")</f>
        <v>NV0111</v>
      </c>
      <c r="G277" s="22">
        <f>IFERROR(__xludf.DUMMYFUNCTION("""COMPUTED_VALUE"""),566.0)</f>
        <v>566</v>
      </c>
      <c r="H277" s="22" t="str">
        <f>IFERROR(__xludf.DUMMYFUNCTION("""COMPUTED_VALUE"""),"Vũ Hoàng Long")</f>
        <v>Vũ Hoàng Long</v>
      </c>
      <c r="I277" s="22" t="str">
        <f>IFERROR(__xludf.DUMMYFUNCTION("""COMPUTED_VALUE"""),"Nam")</f>
        <v>Nam</v>
      </c>
      <c r="J277" s="24">
        <f>IFERROR(__xludf.DUMMYFUNCTION("""COMPUTED_VALUE"""),31208.0)</f>
        <v>31208</v>
      </c>
      <c r="K277" s="22" t="str">
        <f>IFERROR(__xludf.DUMMYFUNCTION("""COMPUTED_VALUE"""),"Xã Cẩm Vân - Tỉnh Thanh Hóa")</f>
        <v>Xã Cẩm Vân - Tỉnh Thanh Hóa</v>
      </c>
      <c r="L277" s="22" t="str">
        <f>IFERROR(__xludf.DUMMYFUNCTION("""COMPUTED_VALUE"""),"0986728142")</f>
        <v>0986728142</v>
      </c>
      <c r="M277" s="22" t="str">
        <f>IFERROR(__xludf.DUMMYFUNCTION("""COMPUTED_VALUE"""),"038085037218")</f>
        <v>038085037218</v>
      </c>
      <c r="N277" s="24">
        <f>IFERROR(__xludf.DUMMYFUNCTION("""COMPUTED_VALUE"""),44445.0)</f>
        <v>44445</v>
      </c>
      <c r="O277" s="22" t="str">
        <f>IFERROR(__xludf.DUMMYFUNCTION("""COMPUTED_VALUE"""),"Cục Cảnh sát QLHC về TTXH")</f>
        <v>Cục Cảnh sát QLHC về TTXH</v>
      </c>
      <c r="P277" s="22" t="str">
        <f>IFERROR(__xludf.DUMMYFUNCTION("""COMPUTED_VALUE"""),"Trung cấp")</f>
        <v>Trung cấp</v>
      </c>
      <c r="Q277" s="22" t="str">
        <f>IFERROR(__xludf.DUMMYFUNCTION("""COMPUTED_VALUE"""),"Cơ khí cắt gọt")</f>
        <v>Cơ khí cắt gọt</v>
      </c>
      <c r="R277" s="24">
        <f>IFERROR(__xludf.DUMMYFUNCTION("""COMPUTED_VALUE"""),42062.0)</f>
        <v>42062</v>
      </c>
      <c r="S277" s="24">
        <f>IFERROR(__xludf.DUMMYFUNCTION("""COMPUTED_VALUE"""),42062.0)</f>
        <v>42062</v>
      </c>
      <c r="T277" s="22" t="str">
        <f>IFERROR(__xludf.DUMMYFUNCTION("""COMPUTED_VALUE"""),"Chính thức")</f>
        <v>Chính thức</v>
      </c>
      <c r="U277" s="22"/>
      <c r="V277" s="22"/>
      <c r="W277" s="22" t="str">
        <f>IFERROR(__xludf.DUMMYFUNCTION("""COMPUTED_VALUE"""),"10 năm 10 tháng")</f>
        <v>10 năm 10 tháng</v>
      </c>
      <c r="X277" s="22"/>
      <c r="Y277" s="22"/>
      <c r="Z277" s="22"/>
    </row>
    <row r="278">
      <c r="A278" s="23" t="str">
        <f>IFERROR(__xludf.DUMMYFUNCTION("""COMPUTED_VALUE"""),"4")</f>
        <v>4</v>
      </c>
      <c r="B278" s="22" t="str">
        <f>IFERROR(__xludf.DUMMYFUNCTION("""COMPUTED_VALUE"""),"PXSX1")</f>
        <v>PXSX1</v>
      </c>
      <c r="C278" s="22" t="str">
        <f>IFERROR(__xludf.DUMMYFUNCTION("""COMPUTED_VALUE"""),"Phòng Kỹ thuật")</f>
        <v>Phòng Kỹ thuật</v>
      </c>
      <c r="D278" s="22" t="str">
        <f>IFERROR(__xludf.DUMMYFUNCTION("""COMPUTED_VALUE"""),"Bộ phận Kỹ thuật - hành chính")</f>
        <v>Bộ phận Kỹ thuật - hành chính</v>
      </c>
      <c r="E278" s="22" t="str">
        <f>IFERROR(__xludf.DUMMYFUNCTION("""COMPUTED_VALUE"""),"Phó phòng Kỹ thuật")</f>
        <v>Phó phòng Kỹ thuật</v>
      </c>
      <c r="F278" s="22" t="str">
        <f>IFERROR(__xludf.DUMMYFUNCTION("""COMPUTED_VALUE"""),"NV0321")</f>
        <v>NV0321</v>
      </c>
      <c r="G278" s="22">
        <f>IFERROR(__xludf.DUMMYFUNCTION("""COMPUTED_VALUE"""),209.0)</f>
        <v>209</v>
      </c>
      <c r="H278" s="22" t="str">
        <f>IFERROR(__xludf.DUMMYFUNCTION("""COMPUTED_VALUE"""),"Trần Văn Chung")</f>
        <v>Trần Văn Chung</v>
      </c>
      <c r="I278" s="22" t="str">
        <f>IFERROR(__xludf.DUMMYFUNCTION("""COMPUTED_VALUE"""),"Nam")</f>
        <v>Nam</v>
      </c>
      <c r="J278" s="24">
        <f>IFERROR(__xludf.DUMMYFUNCTION("""COMPUTED_VALUE"""),31536.0)</f>
        <v>31536</v>
      </c>
      <c r="K278" s="22" t="str">
        <f>IFERROR(__xludf.DUMMYFUNCTION("""COMPUTED_VALUE"""),"Xã Thắng Lợi - Tỉnh Thanh Hóa")</f>
        <v>Xã Thắng Lợi - Tỉnh Thanh Hóa</v>
      </c>
      <c r="L278" s="22" t="str">
        <f>IFERROR(__xludf.DUMMYFUNCTION("""COMPUTED_VALUE"""),"0982493658")</f>
        <v>0982493658</v>
      </c>
      <c r="M278" s="22" t="str">
        <f>IFERROR(__xludf.DUMMYFUNCTION("""COMPUTED_VALUE"""),"038086003022")</f>
        <v>038086003022</v>
      </c>
      <c r="N278" s="24">
        <f>IFERROR(__xludf.DUMMYFUNCTION("""COMPUTED_VALUE"""),42663.0)</f>
        <v>42663</v>
      </c>
      <c r="O278" s="22" t="str">
        <f>IFERROR(__xludf.DUMMYFUNCTION("""COMPUTED_VALUE"""),"Cục Cảnh sát QLHC về TTXH")</f>
        <v>Cục Cảnh sát QLHC về TTXH</v>
      </c>
      <c r="P278" s="22" t="str">
        <f>IFERROR(__xludf.DUMMYFUNCTION("""COMPUTED_VALUE"""),"Đại học")</f>
        <v>Đại học</v>
      </c>
      <c r="Q278" s="22" t="str">
        <f>IFERROR(__xludf.DUMMYFUNCTION("""COMPUTED_VALUE"""),"Cơ điện tử")</f>
        <v>Cơ điện tử</v>
      </c>
      <c r="R278" s="24">
        <f>IFERROR(__xludf.DUMMYFUNCTION("""COMPUTED_VALUE"""),41943.0)</f>
        <v>41943</v>
      </c>
      <c r="S278" s="24">
        <f>IFERROR(__xludf.DUMMYFUNCTION("""COMPUTED_VALUE"""),41713.0)</f>
        <v>41713</v>
      </c>
      <c r="T278" s="22" t="str">
        <f>IFERROR(__xludf.DUMMYFUNCTION("""COMPUTED_VALUE"""),"Chính thức")</f>
        <v>Chính thức</v>
      </c>
      <c r="U278" s="22"/>
      <c r="V278" s="22"/>
      <c r="W278" s="22" t="str">
        <f>IFERROR(__xludf.DUMMYFUNCTION("""COMPUTED_VALUE"""),"11 năm 2 tháng")</f>
        <v>11 năm 2 tháng</v>
      </c>
      <c r="X278" s="22"/>
      <c r="Y278" s="22"/>
      <c r="Z278" s="22"/>
    </row>
    <row r="279">
      <c r="A279" s="23" t="str">
        <f>IFERROR(__xludf.DUMMYFUNCTION("""COMPUTED_VALUE"""),"5")</f>
        <v>5</v>
      </c>
      <c r="B279" s="22" t="str">
        <f>IFERROR(__xludf.DUMMYFUNCTION("""COMPUTED_VALUE"""),"PXSX1")</f>
        <v>PXSX1</v>
      </c>
      <c r="C279" s="22" t="str">
        <f>IFERROR(__xludf.DUMMYFUNCTION("""COMPUTED_VALUE"""),"Phòng Kỹ thuật")</f>
        <v>Phòng Kỹ thuật</v>
      </c>
      <c r="D279" s="22" t="str">
        <f>IFERROR(__xludf.DUMMYFUNCTION("""COMPUTED_VALUE"""),"Bộ phận Kỹ thuật - hành chính")</f>
        <v>Bộ phận Kỹ thuật - hành chính</v>
      </c>
      <c r="E279" s="22" t="str">
        <f>IFERROR(__xludf.DUMMYFUNCTION("""COMPUTED_VALUE"""),"Nhân viên kỹ thuật")</f>
        <v>Nhân viên kỹ thuật</v>
      </c>
      <c r="F279" s="22" t="str">
        <f>IFERROR(__xludf.DUMMYFUNCTION("""COMPUTED_VALUE"""),"NV0102")</f>
        <v>NV0102</v>
      </c>
      <c r="G279" s="22">
        <f>IFERROR(__xludf.DUMMYFUNCTION("""COMPUTED_VALUE"""),213.0)</f>
        <v>213</v>
      </c>
      <c r="H279" s="22" t="str">
        <f>IFERROR(__xludf.DUMMYFUNCTION("""COMPUTED_VALUE"""),"Lê Mạnh Cường")</f>
        <v>Lê Mạnh Cường</v>
      </c>
      <c r="I279" s="22" t="str">
        <f>IFERROR(__xludf.DUMMYFUNCTION("""COMPUTED_VALUE"""),"Nam")</f>
        <v>Nam</v>
      </c>
      <c r="J279" s="24">
        <f>IFERROR(__xludf.DUMMYFUNCTION("""COMPUTED_VALUE"""),33271.0)</f>
        <v>33271</v>
      </c>
      <c r="K279" s="22" t="str">
        <f>IFERROR(__xludf.DUMMYFUNCTION("""COMPUTED_VALUE"""),"Xã Lưu Vệ - Tỉnh Thanh Hóa ")</f>
        <v>Xã Lưu Vệ - Tỉnh Thanh Hóa </v>
      </c>
      <c r="L279" s="22" t="str">
        <f>IFERROR(__xludf.DUMMYFUNCTION("""COMPUTED_VALUE"""),"0911525983")</f>
        <v>0911525983</v>
      </c>
      <c r="M279" s="22" t="str">
        <f>IFERROR(__xludf.DUMMYFUNCTION("""COMPUTED_VALUE"""),"038091043801")</f>
        <v>038091043801</v>
      </c>
      <c r="N279" s="24">
        <f>IFERROR(__xludf.DUMMYFUNCTION("""COMPUTED_VALUE"""),44418.0)</f>
        <v>44418</v>
      </c>
      <c r="O279" s="22" t="str">
        <f>IFERROR(__xludf.DUMMYFUNCTION("""COMPUTED_VALUE"""),"Cục Cảnh sát QLHC về TTXH")</f>
        <v>Cục Cảnh sát QLHC về TTXH</v>
      </c>
      <c r="P279" s="22" t="str">
        <f>IFERROR(__xludf.DUMMYFUNCTION("""COMPUTED_VALUE"""),"Cao đẳng nghề")</f>
        <v>Cao đẳng nghề</v>
      </c>
      <c r="Q279" s="22" t="str">
        <f>IFERROR(__xludf.DUMMYFUNCTION("""COMPUTED_VALUE"""),"Công nghệ cơ khí chế tạo máy")</f>
        <v>Công nghệ cơ khí chế tạo máy</v>
      </c>
      <c r="R279" s="24">
        <f>IFERROR(__xludf.DUMMYFUNCTION("""COMPUTED_VALUE"""),41713.0)</f>
        <v>41713</v>
      </c>
      <c r="S279" s="24">
        <f>IFERROR(__xludf.DUMMYFUNCTION("""COMPUTED_VALUE"""),41713.0)</f>
        <v>41713</v>
      </c>
      <c r="T279" s="22" t="str">
        <f>IFERROR(__xludf.DUMMYFUNCTION("""COMPUTED_VALUE"""),"Chính thức")</f>
        <v>Chính thức</v>
      </c>
      <c r="U279" s="22"/>
      <c r="V279" s="22" t="str">
        <f>IFERROR(__xludf.DUMMYFUNCTION("""COMPUTED_VALUE"""),"Nghỉ phép")</f>
        <v>Nghỉ phép</v>
      </c>
      <c r="W279" s="22" t="str">
        <f>IFERROR(__xludf.DUMMYFUNCTION("""COMPUTED_VALUE"""),"11 năm 9 tháng")</f>
        <v>11 năm 9 tháng</v>
      </c>
      <c r="X279" s="22"/>
      <c r="Y279" s="22"/>
      <c r="Z279" s="22"/>
    </row>
    <row r="280">
      <c r="A280" s="23" t="str">
        <f>IFERROR(__xludf.DUMMYFUNCTION("""COMPUTED_VALUE"""),"6")</f>
        <v>6</v>
      </c>
      <c r="B280" s="22" t="str">
        <f>IFERROR(__xludf.DUMMYFUNCTION("""COMPUTED_VALUE"""),"PXSX1")</f>
        <v>PXSX1</v>
      </c>
      <c r="C280" s="22" t="str">
        <f>IFERROR(__xludf.DUMMYFUNCTION("""COMPUTED_VALUE"""),"Phòng Kỹ thuật")</f>
        <v>Phòng Kỹ thuật</v>
      </c>
      <c r="D280" s="22" t="str">
        <f>IFERROR(__xludf.DUMMYFUNCTION("""COMPUTED_VALUE"""),"Bộ phận Kỹ thuật - hành chính")</f>
        <v>Bộ phận Kỹ thuật - hành chính</v>
      </c>
      <c r="E280" s="22" t="str">
        <f>IFERROR(__xludf.DUMMYFUNCTION("""COMPUTED_VALUE"""),"Nhân viên kỹ thuật")</f>
        <v>Nhân viên kỹ thuật</v>
      </c>
      <c r="F280" s="22" t="str">
        <f>IFERROR(__xludf.DUMMYFUNCTION("""COMPUTED_VALUE"""),"NV3557")</f>
        <v>NV3557</v>
      </c>
      <c r="G280" s="22">
        <f>IFERROR(__xludf.DUMMYFUNCTION("""COMPUTED_VALUE"""),277.0)</f>
        <v>277</v>
      </c>
      <c r="H280" s="22" t="str">
        <f>IFERROR(__xludf.DUMMYFUNCTION("""COMPUTED_VALUE"""),"Nguyễn Xuân Vũ")</f>
        <v>Nguyễn Xuân Vũ</v>
      </c>
      <c r="I280" s="22" t="str">
        <f>IFERROR(__xludf.DUMMYFUNCTION("""COMPUTED_VALUE"""),"Nam")</f>
        <v>Nam</v>
      </c>
      <c r="J280" s="24">
        <f>IFERROR(__xludf.DUMMYFUNCTION("""COMPUTED_VALUE"""),35560.0)</f>
        <v>35560</v>
      </c>
      <c r="K280" s="22" t="str">
        <f>IFERROR(__xludf.DUMMYFUNCTION("""COMPUTED_VALUE"""),"Xã Hoằng Lộc - Tỉnh Thanh Hóa")</f>
        <v>Xã Hoằng Lộc - Tỉnh Thanh Hóa</v>
      </c>
      <c r="L280" s="22" t="str">
        <f>IFERROR(__xludf.DUMMYFUNCTION("""COMPUTED_VALUE"""),"0337885437")</f>
        <v>0337885437</v>
      </c>
      <c r="M280" s="22" t="str">
        <f>IFERROR(__xludf.DUMMYFUNCTION("""COMPUTED_VALUE"""),"038097017957")</f>
        <v>038097017957</v>
      </c>
      <c r="N280" s="24">
        <f>IFERROR(__xludf.DUMMYFUNCTION("""COMPUTED_VALUE"""),44568.0)</f>
        <v>44568</v>
      </c>
      <c r="O280" s="22" t="str">
        <f>IFERROR(__xludf.DUMMYFUNCTION("""COMPUTED_VALUE"""),"Cục Cảnh sát QLHC về TTXH")</f>
        <v>Cục Cảnh sát QLHC về TTXH</v>
      </c>
      <c r="P280" s="22" t="str">
        <f>IFERROR(__xludf.DUMMYFUNCTION("""COMPUTED_VALUE"""),"Kỹ sư")</f>
        <v>Kỹ sư</v>
      </c>
      <c r="Q280" s="22" t="str">
        <f>IFERROR(__xludf.DUMMYFUNCTION("""COMPUTED_VALUE"""),"Công nghệ kỹ thuật điện -  điện tử")</f>
        <v>Công nghệ kỹ thuật điện -  điện tử</v>
      </c>
      <c r="R280" s="24">
        <f>IFERROR(__xludf.DUMMYFUNCTION("""COMPUTED_VALUE"""),44440.0)</f>
        <v>44440</v>
      </c>
      <c r="S280" s="24">
        <f>IFERROR(__xludf.DUMMYFUNCTION("""COMPUTED_VALUE"""),44501.0)</f>
        <v>44501</v>
      </c>
      <c r="T280" s="22" t="str">
        <f>IFERROR(__xludf.DUMMYFUNCTION("""COMPUTED_VALUE"""),"Chính thức")</f>
        <v>Chính thức</v>
      </c>
      <c r="U280" s="22"/>
      <c r="V280" s="22"/>
      <c r="W280" s="22" t="str">
        <f>IFERROR(__xludf.DUMMYFUNCTION("""COMPUTED_VALUE"""),"4 năm 3 tháng")</f>
        <v>4 năm 3 tháng</v>
      </c>
      <c r="X280" s="22"/>
      <c r="Y280" s="22"/>
      <c r="Z280" s="22"/>
    </row>
    <row r="281">
      <c r="A281" s="23" t="str">
        <f>IFERROR(__xludf.DUMMYFUNCTION("""COMPUTED_VALUE"""),"7")</f>
        <v>7</v>
      </c>
      <c r="B281" s="22" t="str">
        <f>IFERROR(__xludf.DUMMYFUNCTION("""COMPUTED_VALUE"""),"PXSX1")</f>
        <v>PXSX1</v>
      </c>
      <c r="C281" s="22" t="str">
        <f>IFERROR(__xludf.DUMMYFUNCTION("""COMPUTED_VALUE"""),"Phòng Kỹ thuật")</f>
        <v>Phòng Kỹ thuật</v>
      </c>
      <c r="D281" s="22" t="str">
        <f>IFERROR(__xludf.DUMMYFUNCTION("""COMPUTED_VALUE"""),"Bộ phận Kỹ thuật - hành chính")</f>
        <v>Bộ phận Kỹ thuật - hành chính</v>
      </c>
      <c r="E281" s="22" t="str">
        <f>IFERROR(__xludf.DUMMYFUNCTION("""COMPUTED_VALUE"""),"Nhân viên kỹ thuật")</f>
        <v>Nhân viên kỹ thuật</v>
      </c>
      <c r="F281" s="22" t="str">
        <f>IFERROR(__xludf.DUMMYFUNCTION("""COMPUTED_VALUE"""),"NV5784")</f>
        <v>NV5784</v>
      </c>
      <c r="G281" s="22">
        <f>IFERROR(__xludf.DUMMYFUNCTION("""COMPUTED_VALUE"""),1266.0)</f>
        <v>1266</v>
      </c>
      <c r="H281" s="22" t="str">
        <f>IFERROR(__xludf.DUMMYFUNCTION("""COMPUTED_VALUE"""),"Hoàng Lê Cường ")</f>
        <v>Hoàng Lê Cường </v>
      </c>
      <c r="I281" s="22" t="str">
        <f>IFERROR(__xludf.DUMMYFUNCTION("""COMPUTED_VALUE"""),"Nam")</f>
        <v>Nam</v>
      </c>
      <c r="J281" s="24">
        <f>IFERROR(__xludf.DUMMYFUNCTION("""COMPUTED_VALUE"""),45916.0)</f>
        <v>45916</v>
      </c>
      <c r="K281" s="22" t="str">
        <f>IFERROR(__xludf.DUMMYFUNCTION("""COMPUTED_VALUE"""),"Phố 3- Phường Nguyệt Viên - Tỉnh Thanh Hóa")</f>
        <v>Phố 3- Phường Nguyệt Viên - Tỉnh Thanh Hóa</v>
      </c>
      <c r="L281" s="22" t="str">
        <f>IFERROR(__xludf.DUMMYFUNCTION("""COMPUTED_VALUE"""),"0349778749")</f>
        <v>0349778749</v>
      </c>
      <c r="M281" s="22" t="str">
        <f>IFERROR(__xludf.DUMMYFUNCTION("""COMPUTED_VALUE"""),"038092049350")</f>
        <v>038092049350</v>
      </c>
      <c r="N281" s="24">
        <f>IFERROR(__xludf.DUMMYFUNCTION("""COMPUTED_VALUE"""),45306.0)</f>
        <v>45306</v>
      </c>
      <c r="O281" s="22" t="str">
        <f>IFERROR(__xludf.DUMMYFUNCTION("""COMPUTED_VALUE"""),"Cục Cảnh sát QLHC về TTXH")</f>
        <v>Cục Cảnh sát QLHC về TTXH</v>
      </c>
      <c r="P281" s="22" t="str">
        <f>IFERROR(__xludf.DUMMYFUNCTION("""COMPUTED_VALUE"""),"Đại học")</f>
        <v>Đại học</v>
      </c>
      <c r="Q281" s="22" t="str">
        <f>IFERROR(__xludf.DUMMYFUNCTION("""COMPUTED_VALUE"""),"Kỹ sư cơ khí")</f>
        <v>Kỹ sư cơ khí</v>
      </c>
      <c r="R281" s="24">
        <f>IFERROR(__xludf.DUMMYFUNCTION("""COMPUTED_VALUE"""),45962.0)</f>
        <v>45962</v>
      </c>
      <c r="S281" s="22"/>
      <c r="T281" s="22" t="str">
        <f>IFERROR(__xludf.DUMMYFUNCTION("""COMPUTED_VALUE"""),"Thử việc")</f>
        <v>Thử việc</v>
      </c>
      <c r="U281" s="22"/>
      <c r="V281" s="22" t="str">
        <f>IFERROR(__xludf.DUMMYFUNCTION("""COMPUTED_VALUE"""),"Thử việc")</f>
        <v>Thử việc</v>
      </c>
      <c r="W281" s="22" t="str">
        <f>IFERROR(__xludf.DUMMYFUNCTION("""COMPUTED_VALUE"""),"0 năm 1 tháng")</f>
        <v>0 năm 1 tháng</v>
      </c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3" t="str">
        <f>IFERROR(__xludf.DUMMYFUNCTION("""COMPUTED_VALUE"""),"5.2")</f>
        <v>5.2</v>
      </c>
      <c r="B283" s="22" t="str">
        <f>IFERROR(__xludf.DUMMYFUNCTION("""COMPUTED_VALUE"""),"Bảo dưỡng Dây chuyền mài PXSX1")</f>
        <v>Bảo dưỡng Dây chuyền mài PXSX1</v>
      </c>
      <c r="C283" s="22">
        <f>IFERROR(__xludf.DUMMYFUNCTION("""COMPUTED_VALUE"""),9.0)</f>
        <v>9</v>
      </c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3" t="str">
        <f>IFERROR(__xludf.DUMMYFUNCTION("""COMPUTED_VALUE"""),"1")</f>
        <v>1</v>
      </c>
      <c r="B284" s="22" t="str">
        <f>IFERROR(__xludf.DUMMYFUNCTION("""COMPUTED_VALUE"""),"PXSX1")</f>
        <v>PXSX1</v>
      </c>
      <c r="C284" s="22" t="str">
        <f>IFERROR(__xludf.DUMMYFUNCTION("""COMPUTED_VALUE"""),"Phòng Kỹ thuật")</f>
        <v>Phòng Kỹ thuật</v>
      </c>
      <c r="D284" s="22" t="str">
        <f>IFERROR(__xludf.DUMMYFUNCTION("""COMPUTED_VALUE"""),"Bảo dưỡng Dây chuyền mài PXSX1")</f>
        <v>Bảo dưỡng Dây chuyền mài PXSX1</v>
      </c>
      <c r="E284" s="22" t="str">
        <f>IFERROR(__xludf.DUMMYFUNCTION("""COMPUTED_VALUE"""),"Bảo dưỡng vật tư mức 1")</f>
        <v>Bảo dưỡng vật tư mức 1</v>
      </c>
      <c r="F284" s="22" t="str">
        <f>IFERROR(__xludf.DUMMYFUNCTION("""COMPUTED_VALUE"""),"NV2399")</f>
        <v>NV2399</v>
      </c>
      <c r="G284" s="22">
        <f>IFERROR(__xludf.DUMMYFUNCTION("""COMPUTED_VALUE"""),170.0)</f>
        <v>170</v>
      </c>
      <c r="H284" s="22" t="str">
        <f>IFERROR(__xludf.DUMMYFUNCTION("""COMPUTED_VALUE"""),"Hoàng Ngọc Quang")</f>
        <v>Hoàng Ngọc Quang</v>
      </c>
      <c r="I284" s="22" t="str">
        <f>IFERROR(__xludf.DUMMYFUNCTION("""COMPUTED_VALUE"""),"Nam")</f>
        <v>Nam</v>
      </c>
      <c r="J284" s="24">
        <f>IFERROR(__xludf.DUMMYFUNCTION("""COMPUTED_VALUE"""),28326.0)</f>
        <v>28326</v>
      </c>
      <c r="K284" s="22" t="str">
        <f>IFERROR(__xludf.DUMMYFUNCTION("""COMPUTED_VALUE"""),"Phố 8 - Phường Quảng Phú - Tỉnh Thanh Hóa")</f>
        <v>Phố 8 - Phường Quảng Phú - Tỉnh Thanh Hóa</v>
      </c>
      <c r="L284" s="22" t="str">
        <f>IFERROR(__xludf.DUMMYFUNCTION("""COMPUTED_VALUE"""),"0904435399")</f>
        <v>0904435399</v>
      </c>
      <c r="M284" s="22" t="str">
        <f>IFERROR(__xludf.DUMMYFUNCTION("""COMPUTED_VALUE"""),"038077016657")</f>
        <v>038077016657</v>
      </c>
      <c r="N284" s="24">
        <f>IFERROR(__xludf.DUMMYFUNCTION("""COMPUTED_VALUE"""),44568.0)</f>
        <v>44568</v>
      </c>
      <c r="O284" s="22" t="str">
        <f>IFERROR(__xludf.DUMMYFUNCTION("""COMPUTED_VALUE"""),"Cục Cảnh sát QLHC về TTXH")</f>
        <v>Cục Cảnh sát QLHC về TTXH</v>
      </c>
      <c r="P284" s="22" t="str">
        <f>IFERROR(__xludf.DUMMYFUNCTION("""COMPUTED_VALUE"""),"Bằng nghề")</f>
        <v>Bằng nghề</v>
      </c>
      <c r="Q284" s="22" t="str">
        <f>IFERROR(__xludf.DUMMYFUNCTION("""COMPUTED_VALUE"""),"Vận hành sửa chữa điện")</f>
        <v>Vận hành sửa chữa điện</v>
      </c>
      <c r="R284" s="24">
        <f>IFERROR(__xludf.DUMMYFUNCTION("""COMPUTED_VALUE"""),43634.0)</f>
        <v>43634</v>
      </c>
      <c r="S284" s="24">
        <f>IFERROR(__xludf.DUMMYFUNCTION("""COMPUTED_VALUE"""),43739.0)</f>
        <v>43739</v>
      </c>
      <c r="T284" s="22" t="str">
        <f>IFERROR(__xludf.DUMMYFUNCTION("""COMPUTED_VALUE"""),"Chính thức")</f>
        <v>Chính thức</v>
      </c>
      <c r="U284" s="22"/>
      <c r="V284" s="22"/>
      <c r="W284" s="22" t="str">
        <f>IFERROR(__xludf.DUMMYFUNCTION("""COMPUTED_VALUE"""),"6 năm 6 tháng")</f>
        <v>6 năm 6 tháng</v>
      </c>
      <c r="X284" s="22"/>
      <c r="Y284" s="22"/>
      <c r="Z284" s="22"/>
    </row>
    <row r="285">
      <c r="A285" s="23" t="str">
        <f>IFERROR(__xludf.DUMMYFUNCTION("""COMPUTED_VALUE"""),"2")</f>
        <v>2</v>
      </c>
      <c r="B285" s="22" t="str">
        <f>IFERROR(__xludf.DUMMYFUNCTION("""COMPUTED_VALUE"""),"PXSX1")</f>
        <v>PXSX1</v>
      </c>
      <c r="C285" s="22" t="str">
        <f>IFERROR(__xludf.DUMMYFUNCTION("""COMPUTED_VALUE"""),"Phòng Kỹ thuật")</f>
        <v>Phòng Kỹ thuật</v>
      </c>
      <c r="D285" s="22" t="str">
        <f>IFERROR(__xludf.DUMMYFUNCTION("""COMPUTED_VALUE"""),"Bảo dưỡng Dây chuyền mài PXSX1")</f>
        <v>Bảo dưỡng Dây chuyền mài PXSX1</v>
      </c>
      <c r="E285" s="22" t="str">
        <f>IFERROR(__xludf.DUMMYFUNCTION("""COMPUTED_VALUE"""),"Bảo dưỡng vật tư mức 1")</f>
        <v>Bảo dưỡng vật tư mức 1</v>
      </c>
      <c r="F285" s="22" t="str">
        <f>IFERROR(__xludf.DUMMYFUNCTION("""COMPUTED_VALUE"""),"NV4622")</f>
        <v>NV4622</v>
      </c>
      <c r="G285" s="22">
        <f>IFERROR(__xludf.DUMMYFUNCTION("""COMPUTED_VALUE"""),262.0)</f>
        <v>262</v>
      </c>
      <c r="H285" s="22" t="str">
        <f>IFERROR(__xludf.DUMMYFUNCTION("""COMPUTED_VALUE"""),"Mai Văn Tiến")</f>
        <v>Mai Văn Tiến</v>
      </c>
      <c r="I285" s="22" t="str">
        <f>IFERROR(__xludf.DUMMYFUNCTION("""COMPUTED_VALUE"""),"Nam")</f>
        <v>Nam</v>
      </c>
      <c r="J285" s="24">
        <f>IFERROR(__xludf.DUMMYFUNCTION("""COMPUTED_VALUE"""),29777.0)</f>
        <v>29777</v>
      </c>
      <c r="K285" s="22" t="str">
        <f>IFERROR(__xludf.DUMMYFUNCTION("""COMPUTED_VALUE"""),"Phường Đông Sơn - Tỉnh Thanh Hóa")</f>
        <v>Phường Đông Sơn - Tỉnh Thanh Hóa</v>
      </c>
      <c r="L285" s="22" t="str">
        <f>IFERROR(__xludf.DUMMYFUNCTION("""COMPUTED_VALUE"""),"0971808741")</f>
        <v>0971808741</v>
      </c>
      <c r="M285" s="22" t="str">
        <f>IFERROR(__xludf.DUMMYFUNCTION("""COMPUTED_VALUE"""),"038081035660")</f>
        <v>038081035660</v>
      </c>
      <c r="N285" s="24">
        <f>IFERROR(__xludf.DUMMYFUNCTION("""COMPUTED_VALUE"""),44423.0)</f>
        <v>44423</v>
      </c>
      <c r="O285" s="22" t="str">
        <f>IFERROR(__xludf.DUMMYFUNCTION("""COMPUTED_VALUE"""),"Cục Cảnh sát QLHC về TTXH")</f>
        <v>Cục Cảnh sát QLHC về TTXH</v>
      </c>
      <c r="P285" s="22" t="str">
        <f>IFERROR(__xludf.DUMMYFUNCTION("""COMPUTED_VALUE"""),"LĐPT")</f>
        <v>LĐPT</v>
      </c>
      <c r="Q285" s="22" t="str">
        <f>IFERROR(__xludf.DUMMYFUNCTION("""COMPUTED_VALUE"""),"Lao động phổ thông")</f>
        <v>Lao động phổ thông</v>
      </c>
      <c r="R285" s="24">
        <f>IFERROR(__xludf.DUMMYFUNCTION("""COMPUTED_VALUE"""),44958.0)</f>
        <v>44958</v>
      </c>
      <c r="S285" s="24">
        <f>IFERROR(__xludf.DUMMYFUNCTION("""COMPUTED_VALUE"""),45047.0)</f>
        <v>45047</v>
      </c>
      <c r="T285" s="22" t="str">
        <f>IFERROR(__xludf.DUMMYFUNCTION("""COMPUTED_VALUE"""),"Chính thức")</f>
        <v>Chính thức</v>
      </c>
      <c r="U285" s="22"/>
      <c r="V285" s="22"/>
      <c r="W285" s="22" t="str">
        <f>IFERROR(__xludf.DUMMYFUNCTION("""COMPUTED_VALUE"""),"2 năm 10 tháng")</f>
        <v>2 năm 10 tháng</v>
      </c>
      <c r="X285" s="22"/>
      <c r="Y285" s="22"/>
      <c r="Z285" s="22"/>
    </row>
    <row r="286">
      <c r="A286" s="23" t="str">
        <f>IFERROR(__xludf.DUMMYFUNCTION("""COMPUTED_VALUE"""),"3")</f>
        <v>3</v>
      </c>
      <c r="B286" s="22" t="str">
        <f>IFERROR(__xludf.DUMMYFUNCTION("""COMPUTED_VALUE"""),"PXSX1")</f>
        <v>PXSX1</v>
      </c>
      <c r="C286" s="22" t="str">
        <f>IFERROR(__xludf.DUMMYFUNCTION("""COMPUTED_VALUE"""),"Phòng Kỹ thuật")</f>
        <v>Phòng Kỹ thuật</v>
      </c>
      <c r="D286" s="22" t="str">
        <f>IFERROR(__xludf.DUMMYFUNCTION("""COMPUTED_VALUE"""),"Bảo dưỡng Dây chuyền mài PXSX1")</f>
        <v>Bảo dưỡng Dây chuyền mài PXSX1</v>
      </c>
      <c r="E286" s="22" t="str">
        <f>IFERROR(__xludf.DUMMYFUNCTION("""COMPUTED_VALUE"""),"Tổ Phó bảo dưỡng mài")</f>
        <v>Tổ Phó bảo dưỡng mài</v>
      </c>
      <c r="F286" s="22" t="str">
        <f>IFERROR(__xludf.DUMMYFUNCTION("""COMPUTED_VALUE"""),"NV4627")</f>
        <v>NV4627</v>
      </c>
      <c r="G286" s="22">
        <f>IFERROR(__xludf.DUMMYFUNCTION("""COMPUTED_VALUE"""),285.0)</f>
        <v>285</v>
      </c>
      <c r="H286" s="22" t="str">
        <f>IFERROR(__xludf.DUMMYFUNCTION("""COMPUTED_VALUE"""),"Mai Văn Tới")</f>
        <v>Mai Văn Tới</v>
      </c>
      <c r="I286" s="22" t="str">
        <f>IFERROR(__xludf.DUMMYFUNCTION("""COMPUTED_VALUE"""),"Nam")</f>
        <v>Nam</v>
      </c>
      <c r="J286" s="24">
        <f>IFERROR(__xludf.DUMMYFUNCTION("""COMPUTED_VALUE"""),31340.0)</f>
        <v>31340</v>
      </c>
      <c r="K286" s="22" t="str">
        <f>IFERROR(__xludf.DUMMYFUNCTION("""COMPUTED_VALUE"""),"Phường Đông Sơn - Tỉnh Thanh Hóa")</f>
        <v>Phường Đông Sơn - Tỉnh Thanh Hóa</v>
      </c>
      <c r="L286" s="22" t="str">
        <f>IFERROR(__xludf.DUMMYFUNCTION("""COMPUTED_VALUE"""),"0347967745")</f>
        <v>0347967745</v>
      </c>
      <c r="M286" s="22" t="str">
        <f>IFERROR(__xludf.DUMMYFUNCTION("""COMPUTED_VALUE"""),"038085010728")</f>
        <v>038085010728</v>
      </c>
      <c r="N286" s="24">
        <f>IFERROR(__xludf.DUMMYFUNCTION("""COMPUTED_VALUE"""),44546.0)</f>
        <v>44546</v>
      </c>
      <c r="O286" s="22" t="str">
        <f>IFERROR(__xludf.DUMMYFUNCTION("""COMPUTED_VALUE"""),"Cục Cảnh sát QLHC về TTXH")</f>
        <v>Cục Cảnh sát QLHC về TTXH</v>
      </c>
      <c r="P286" s="22" t="str">
        <f>IFERROR(__xludf.DUMMYFUNCTION("""COMPUTED_VALUE"""),"LĐPT")</f>
        <v>LĐPT</v>
      </c>
      <c r="Q286" s="22" t="str">
        <f>IFERROR(__xludf.DUMMYFUNCTION("""COMPUTED_VALUE"""),"Lao động phổ thông")</f>
        <v>Lao động phổ thông</v>
      </c>
      <c r="R286" s="24">
        <f>IFERROR(__xludf.DUMMYFUNCTION("""COMPUTED_VALUE"""),44958.0)</f>
        <v>44958</v>
      </c>
      <c r="S286" s="24">
        <f>IFERROR(__xludf.DUMMYFUNCTION("""COMPUTED_VALUE"""),45047.0)</f>
        <v>45047</v>
      </c>
      <c r="T286" s="22" t="str">
        <f>IFERROR(__xludf.DUMMYFUNCTION("""COMPUTED_VALUE"""),"Chính thức")</f>
        <v>Chính thức</v>
      </c>
      <c r="U286" s="22"/>
      <c r="V286" s="22"/>
      <c r="W286" s="22" t="str">
        <f>IFERROR(__xludf.DUMMYFUNCTION("""COMPUTED_VALUE"""),"2 năm 10 tháng")</f>
        <v>2 năm 10 tháng</v>
      </c>
      <c r="X286" s="22"/>
      <c r="Y286" s="22"/>
      <c r="Z286" s="22"/>
    </row>
    <row r="287">
      <c r="A287" s="23" t="str">
        <f>IFERROR(__xludf.DUMMYFUNCTION("""COMPUTED_VALUE"""),"4")</f>
        <v>4</v>
      </c>
      <c r="B287" s="22" t="str">
        <f>IFERROR(__xludf.DUMMYFUNCTION("""COMPUTED_VALUE"""),"PXSX1")</f>
        <v>PXSX1</v>
      </c>
      <c r="C287" s="22" t="str">
        <f>IFERROR(__xludf.DUMMYFUNCTION("""COMPUTED_VALUE"""),"Phòng Kỹ thuật")</f>
        <v>Phòng Kỹ thuật</v>
      </c>
      <c r="D287" s="22" t="str">
        <f>IFERROR(__xludf.DUMMYFUNCTION("""COMPUTED_VALUE"""),"Bảo dưỡng Dây chuyền mài PXSX1")</f>
        <v>Bảo dưỡng Dây chuyền mài PXSX1</v>
      </c>
      <c r="E287" s="22" t="str">
        <f>IFERROR(__xludf.DUMMYFUNCTION("""COMPUTED_VALUE"""),"Bảo dưỡng vật tư mức 1")</f>
        <v>Bảo dưỡng vật tư mức 1</v>
      </c>
      <c r="F287" s="22" t="str">
        <f>IFERROR(__xludf.DUMMYFUNCTION("""COMPUTED_VALUE"""),"NV2261")</f>
        <v>NV2261</v>
      </c>
      <c r="G287" s="22">
        <f>IFERROR(__xludf.DUMMYFUNCTION("""COMPUTED_VALUE"""),255.0)</f>
        <v>255</v>
      </c>
      <c r="H287" s="22" t="str">
        <f>IFERROR(__xludf.DUMMYFUNCTION("""COMPUTED_VALUE"""),"Nguyễn Văn Danh")</f>
        <v>Nguyễn Văn Danh</v>
      </c>
      <c r="I287" s="22" t="str">
        <f>IFERROR(__xludf.DUMMYFUNCTION("""COMPUTED_VALUE"""),"Nam")</f>
        <v>Nam</v>
      </c>
      <c r="J287" s="24">
        <f>IFERROR(__xludf.DUMMYFUNCTION("""COMPUTED_VALUE"""),31344.0)</f>
        <v>31344</v>
      </c>
      <c r="K287" s="22" t="str">
        <f>IFERROR(__xludf.DUMMYFUNCTION("""COMPUTED_VALUE"""),"Thôn 8 - Phường Quảng Phú - Tỉnh Thanh Hóa")</f>
        <v>Thôn 8 - Phường Quảng Phú - Tỉnh Thanh Hóa</v>
      </c>
      <c r="L287" s="22" t="str">
        <f>IFERROR(__xludf.DUMMYFUNCTION("""COMPUTED_VALUE"""),"0784206232")</f>
        <v>0784206232</v>
      </c>
      <c r="M287" s="22" t="str">
        <f>IFERROR(__xludf.DUMMYFUNCTION("""COMPUTED_VALUE"""),"038085014207")</f>
        <v>038085014207</v>
      </c>
      <c r="N287" s="24">
        <f>IFERROR(__xludf.DUMMYFUNCTION("""COMPUTED_VALUE"""),43510.0)</f>
        <v>43510</v>
      </c>
      <c r="O287" s="22" t="str">
        <f>IFERROR(__xludf.DUMMYFUNCTION("""COMPUTED_VALUE"""),"Cục Cảnh sát QLHC về TTXH")</f>
        <v>Cục Cảnh sát QLHC về TTXH</v>
      </c>
      <c r="P287" s="22" t="str">
        <f>IFERROR(__xludf.DUMMYFUNCTION("""COMPUTED_VALUE"""),"Bằng nghề")</f>
        <v>Bằng nghề</v>
      </c>
      <c r="Q287" s="22" t="str">
        <f>IFERROR(__xludf.DUMMYFUNCTION("""COMPUTED_VALUE"""),"Hàn điện nâng cao 3G")</f>
        <v>Hàn điện nâng cao 3G</v>
      </c>
      <c r="R287" s="24">
        <f>IFERROR(__xludf.DUMMYFUNCTION("""COMPUTED_VALUE"""),44031.0)</f>
        <v>44031</v>
      </c>
      <c r="S287" s="24">
        <f>IFERROR(__xludf.DUMMYFUNCTION("""COMPUTED_VALUE"""),44317.0)</f>
        <v>44317</v>
      </c>
      <c r="T287" s="22" t="str">
        <f>IFERROR(__xludf.DUMMYFUNCTION("""COMPUTED_VALUE"""),"Chính thức")</f>
        <v>Chính thức</v>
      </c>
      <c r="U287" s="22"/>
      <c r="V287" s="22"/>
      <c r="W287" s="22" t="str">
        <f>IFERROR(__xludf.DUMMYFUNCTION("""COMPUTED_VALUE"""),"5 năm 5 tháng")</f>
        <v>5 năm 5 tháng</v>
      </c>
      <c r="X287" s="22"/>
      <c r="Y287" s="22"/>
      <c r="Z287" s="22"/>
    </row>
    <row r="288">
      <c r="A288" s="23" t="str">
        <f>IFERROR(__xludf.DUMMYFUNCTION("""COMPUTED_VALUE"""),"5")</f>
        <v>5</v>
      </c>
      <c r="B288" s="22" t="str">
        <f>IFERROR(__xludf.DUMMYFUNCTION("""COMPUTED_VALUE"""),"PXSX1")</f>
        <v>PXSX1</v>
      </c>
      <c r="C288" s="22" t="str">
        <f>IFERROR(__xludf.DUMMYFUNCTION("""COMPUTED_VALUE"""),"Phòng Kỹ thuật")</f>
        <v>Phòng Kỹ thuật</v>
      </c>
      <c r="D288" s="22" t="str">
        <f>IFERROR(__xludf.DUMMYFUNCTION("""COMPUTED_VALUE"""),"Bảo dưỡng Dây chuyền mài PXSX1")</f>
        <v>Bảo dưỡng Dây chuyền mài PXSX1</v>
      </c>
      <c r="E288" s="22" t="str">
        <f>IFERROR(__xludf.DUMMYFUNCTION("""COMPUTED_VALUE"""),"Bảo dưỡng vật tư mức 1")</f>
        <v>Bảo dưỡng vật tư mức 1</v>
      </c>
      <c r="F288" s="22" t="str">
        <f>IFERROR(__xludf.DUMMYFUNCTION("""COMPUTED_VALUE"""),"NV0248")</f>
        <v>NV0248</v>
      </c>
      <c r="G288" s="22">
        <f>IFERROR(__xludf.DUMMYFUNCTION("""COMPUTED_VALUE"""),286.0)</f>
        <v>286</v>
      </c>
      <c r="H288" s="22" t="str">
        <f>IFERROR(__xludf.DUMMYFUNCTION("""COMPUTED_VALUE"""),"Hoàng Kim Thảo")</f>
        <v>Hoàng Kim Thảo</v>
      </c>
      <c r="I288" s="22" t="str">
        <f>IFERROR(__xludf.DUMMYFUNCTION("""COMPUTED_VALUE"""),"Nam")</f>
        <v>Nam</v>
      </c>
      <c r="J288" s="24">
        <f>IFERROR(__xludf.DUMMYFUNCTION("""COMPUTED_VALUE"""),31972.0)</f>
        <v>31972</v>
      </c>
      <c r="K288" s="22" t="str">
        <f>IFERROR(__xludf.DUMMYFUNCTION("""COMPUTED_VALUE"""),"Xã Quảng Yên - Tỉnh Thanh Hóa")</f>
        <v>Xã Quảng Yên - Tỉnh Thanh Hóa</v>
      </c>
      <c r="L288" s="22" t="str">
        <f>IFERROR(__xludf.DUMMYFUNCTION("""COMPUTED_VALUE"""),"0899630986")</f>
        <v>0899630986</v>
      </c>
      <c r="M288" s="22" t="str">
        <f>IFERROR(__xludf.DUMMYFUNCTION("""COMPUTED_VALUE"""),"038087039603")</f>
        <v>038087039603</v>
      </c>
      <c r="N288" s="24">
        <f>IFERROR(__xludf.DUMMYFUNCTION("""COMPUTED_VALUE"""),44412.0)</f>
        <v>44412</v>
      </c>
      <c r="O288" s="22" t="str">
        <f>IFERROR(__xludf.DUMMYFUNCTION("""COMPUTED_VALUE"""),"Cục Cảnh sát QLHC về TTXH")</f>
        <v>Cục Cảnh sát QLHC về TTXH</v>
      </c>
      <c r="P288" s="22" t="str">
        <f>IFERROR(__xludf.DUMMYFUNCTION("""COMPUTED_VALUE"""),"LĐPT")</f>
        <v>LĐPT</v>
      </c>
      <c r="Q288" s="22" t="str">
        <f>IFERROR(__xludf.DUMMYFUNCTION("""COMPUTED_VALUE"""),"Lao động phổ thông")</f>
        <v>Lao động phổ thông</v>
      </c>
      <c r="R288" s="24">
        <f>IFERROR(__xludf.DUMMYFUNCTION("""COMPUTED_VALUE"""),41430.0)</f>
        <v>41430</v>
      </c>
      <c r="S288" s="24">
        <f>IFERROR(__xludf.DUMMYFUNCTION("""COMPUTED_VALUE"""),41430.0)</f>
        <v>41430</v>
      </c>
      <c r="T288" s="22" t="str">
        <f>IFERROR(__xludf.DUMMYFUNCTION("""COMPUTED_VALUE"""),"Chính thức")</f>
        <v>Chính thức</v>
      </c>
      <c r="U288" s="22"/>
      <c r="V288" s="22"/>
      <c r="W288" s="22" t="str">
        <f>IFERROR(__xludf.DUMMYFUNCTION("""COMPUTED_VALUE"""),"12 năm 6 tháng")</f>
        <v>12 năm 6 tháng</v>
      </c>
      <c r="X288" s="22"/>
      <c r="Y288" s="22"/>
      <c r="Z288" s="22"/>
    </row>
    <row r="289">
      <c r="A289" s="23" t="str">
        <f>IFERROR(__xludf.DUMMYFUNCTION("""COMPUTED_VALUE"""),"6")</f>
        <v>6</v>
      </c>
      <c r="B289" s="22" t="str">
        <f>IFERROR(__xludf.DUMMYFUNCTION("""COMPUTED_VALUE"""),"PXSX1")</f>
        <v>PXSX1</v>
      </c>
      <c r="C289" s="22" t="str">
        <f>IFERROR(__xludf.DUMMYFUNCTION("""COMPUTED_VALUE"""),"Phòng Kỹ thuật")</f>
        <v>Phòng Kỹ thuật</v>
      </c>
      <c r="D289" s="22" t="str">
        <f>IFERROR(__xludf.DUMMYFUNCTION("""COMPUTED_VALUE"""),"Bảo dưỡng Dây chuyền mài PXSX1")</f>
        <v>Bảo dưỡng Dây chuyền mài PXSX1</v>
      </c>
      <c r="E289" s="22" t="str">
        <f>IFERROR(__xludf.DUMMYFUNCTION("""COMPUTED_VALUE"""),"Bảo dưỡng vật tư mức 1")</f>
        <v>Bảo dưỡng vật tư mức 1</v>
      </c>
      <c r="F289" s="22" t="str">
        <f>IFERROR(__xludf.DUMMYFUNCTION("""COMPUTED_VALUE"""),"NV4626")</f>
        <v>NV4626</v>
      </c>
      <c r="G289" s="22">
        <f>IFERROR(__xludf.DUMMYFUNCTION("""COMPUTED_VALUE"""),256.0)</f>
        <v>256</v>
      </c>
      <c r="H289" s="22" t="str">
        <f>IFERROR(__xludf.DUMMYFUNCTION("""COMPUTED_VALUE"""),"Lê Nguyên Trường")</f>
        <v>Lê Nguyên Trường</v>
      </c>
      <c r="I289" s="22" t="str">
        <f>IFERROR(__xludf.DUMMYFUNCTION("""COMPUTED_VALUE"""),"Nam")</f>
        <v>Nam</v>
      </c>
      <c r="J289" s="24">
        <f>IFERROR(__xludf.DUMMYFUNCTION("""COMPUTED_VALUE"""),33533.0)</f>
        <v>33533</v>
      </c>
      <c r="K289" s="22" t="str">
        <f>IFERROR(__xludf.DUMMYFUNCTION("""COMPUTED_VALUE"""),"Xã Trung Chính - Tỉnh Thanh Hóa")</f>
        <v>Xã Trung Chính - Tỉnh Thanh Hóa</v>
      </c>
      <c r="L289" s="22" t="str">
        <f>IFERROR(__xludf.DUMMYFUNCTION("""COMPUTED_VALUE"""),"0362944929")</f>
        <v>0362944929</v>
      </c>
      <c r="M289" s="22" t="str">
        <f>IFERROR(__xludf.DUMMYFUNCTION("""COMPUTED_VALUE"""),"038091006374")</f>
        <v>038091006374</v>
      </c>
      <c r="N289" s="24">
        <f>IFERROR(__xludf.DUMMYFUNCTION("""COMPUTED_VALUE"""),44439.0)</f>
        <v>44439</v>
      </c>
      <c r="O289" s="22" t="str">
        <f>IFERROR(__xludf.DUMMYFUNCTION("""COMPUTED_VALUE"""),"Cục Cảnh sát QLHC về TTXH")</f>
        <v>Cục Cảnh sát QLHC về TTXH</v>
      </c>
      <c r="P289" s="22" t="str">
        <f>IFERROR(__xludf.DUMMYFUNCTION("""COMPUTED_VALUE"""),"LĐPT")</f>
        <v>LĐPT</v>
      </c>
      <c r="Q289" s="22" t="str">
        <f>IFERROR(__xludf.DUMMYFUNCTION("""COMPUTED_VALUE"""),"Lao động phổ thông")</f>
        <v>Lao động phổ thông</v>
      </c>
      <c r="R289" s="24">
        <f>IFERROR(__xludf.DUMMYFUNCTION("""COMPUTED_VALUE"""),44958.0)</f>
        <v>44958</v>
      </c>
      <c r="S289" s="24">
        <f>IFERROR(__xludf.DUMMYFUNCTION("""COMPUTED_VALUE"""),45047.0)</f>
        <v>45047</v>
      </c>
      <c r="T289" s="22" t="str">
        <f>IFERROR(__xludf.DUMMYFUNCTION("""COMPUTED_VALUE"""),"Chính thức")</f>
        <v>Chính thức</v>
      </c>
      <c r="U289" s="22"/>
      <c r="V289" s="22"/>
      <c r="W289" s="22" t="str">
        <f>IFERROR(__xludf.DUMMYFUNCTION("""COMPUTED_VALUE"""),"2 năm 10 tháng")</f>
        <v>2 năm 10 tháng</v>
      </c>
      <c r="X289" s="22"/>
      <c r="Y289" s="22"/>
      <c r="Z289" s="22"/>
    </row>
    <row r="290">
      <c r="A290" s="23" t="str">
        <f>IFERROR(__xludf.DUMMYFUNCTION("""COMPUTED_VALUE"""),"7")</f>
        <v>7</v>
      </c>
      <c r="B290" s="22" t="str">
        <f>IFERROR(__xludf.DUMMYFUNCTION("""COMPUTED_VALUE"""),"PXSX1")</f>
        <v>PXSX1</v>
      </c>
      <c r="C290" s="22" t="str">
        <f>IFERROR(__xludf.DUMMYFUNCTION("""COMPUTED_VALUE"""),"Phòng Kỹ thuật")</f>
        <v>Phòng Kỹ thuật</v>
      </c>
      <c r="D290" s="22" t="str">
        <f>IFERROR(__xludf.DUMMYFUNCTION("""COMPUTED_VALUE"""),"Bảo dưỡng Dây chuyền mài PXSX1")</f>
        <v>Bảo dưỡng Dây chuyền mài PXSX1</v>
      </c>
      <c r="E290" s="22" t="str">
        <f>IFERROR(__xludf.DUMMYFUNCTION("""COMPUTED_VALUE"""),"Bảo dưỡng vật tư mức 1")</f>
        <v>Bảo dưỡng vật tư mức 1</v>
      </c>
      <c r="F290" s="22" t="str">
        <f>IFERROR(__xludf.DUMMYFUNCTION("""COMPUTED_VALUE"""),"NV4148")</f>
        <v>NV4148</v>
      </c>
      <c r="G290" s="22">
        <f>IFERROR(__xludf.DUMMYFUNCTION("""COMPUTED_VALUE"""),686.0)</f>
        <v>686</v>
      </c>
      <c r="H290" s="22" t="str">
        <f>IFERROR(__xludf.DUMMYFUNCTION("""COMPUTED_VALUE"""),"Nguyễn Huy Tuyên")</f>
        <v>Nguyễn Huy Tuyên</v>
      </c>
      <c r="I290" s="22" t="str">
        <f>IFERROR(__xludf.DUMMYFUNCTION("""COMPUTED_VALUE"""),"Nam")</f>
        <v>Nam</v>
      </c>
      <c r="J290" s="24">
        <f>IFERROR(__xludf.DUMMYFUNCTION("""COMPUTED_VALUE"""),33659.0)</f>
        <v>33659</v>
      </c>
      <c r="K290" s="22" t="str">
        <f>IFERROR(__xludf.DUMMYFUNCTION("""COMPUTED_VALUE"""),"Ba Đình - Xã Hoằng Sơn - Tỉnh Thanh Hóa")</f>
        <v>Ba Đình - Xã Hoằng Sơn - Tỉnh Thanh Hóa</v>
      </c>
      <c r="L290" s="22" t="str">
        <f>IFERROR(__xludf.DUMMYFUNCTION("""COMPUTED_VALUE"""),"0353524001")</f>
        <v>0353524001</v>
      </c>
      <c r="M290" s="22" t="str">
        <f>IFERROR(__xludf.DUMMYFUNCTION("""COMPUTED_VALUE"""),"038092044958")</f>
        <v>038092044958</v>
      </c>
      <c r="N290" s="24">
        <f>IFERROR(__xludf.DUMMYFUNCTION("""COMPUTED_VALUE"""),44428.0)</f>
        <v>44428</v>
      </c>
      <c r="O290" s="22" t="str">
        <f>IFERROR(__xludf.DUMMYFUNCTION("""COMPUTED_VALUE"""),"Cục Cảnh sát QLHC về TTXH")</f>
        <v>Cục Cảnh sát QLHC về TTXH</v>
      </c>
      <c r="P290" s="22" t="str">
        <f>IFERROR(__xludf.DUMMYFUNCTION("""COMPUTED_VALUE"""),"Trung cấp")</f>
        <v>Trung cấp</v>
      </c>
      <c r="Q290" s="22" t="str">
        <f>IFERROR(__xludf.DUMMYFUNCTION("""COMPUTED_VALUE"""),"Nghề hàn")</f>
        <v>Nghề hàn</v>
      </c>
      <c r="R290" s="24">
        <f>IFERROR(__xludf.DUMMYFUNCTION("""COMPUTED_VALUE"""),44672.0)</f>
        <v>44672</v>
      </c>
      <c r="S290" s="24">
        <f>IFERROR(__xludf.DUMMYFUNCTION("""COMPUTED_VALUE"""),44986.0)</f>
        <v>44986</v>
      </c>
      <c r="T290" s="22" t="str">
        <f>IFERROR(__xludf.DUMMYFUNCTION("""COMPUTED_VALUE"""),"Chính thức")</f>
        <v>Chính thức</v>
      </c>
      <c r="U290" s="22"/>
      <c r="V290" s="22"/>
      <c r="W290" s="22" t="str">
        <f>IFERROR(__xludf.DUMMYFUNCTION("""COMPUTED_VALUE"""),"3 năm 8 tháng")</f>
        <v>3 năm 8 tháng</v>
      </c>
      <c r="X290" s="22"/>
      <c r="Y290" s="22"/>
      <c r="Z290" s="22"/>
    </row>
    <row r="291">
      <c r="A291" s="23" t="str">
        <f>IFERROR(__xludf.DUMMYFUNCTION("""COMPUTED_VALUE"""),"8")</f>
        <v>8</v>
      </c>
      <c r="B291" s="22" t="str">
        <f>IFERROR(__xludf.DUMMYFUNCTION("""COMPUTED_VALUE"""),"PXSX1")</f>
        <v>PXSX1</v>
      </c>
      <c r="C291" s="22" t="str">
        <f>IFERROR(__xludf.DUMMYFUNCTION("""COMPUTED_VALUE"""),"Phòng Kỹ thuật")</f>
        <v>Phòng Kỹ thuật</v>
      </c>
      <c r="D291" s="22" t="str">
        <f>IFERROR(__xludf.DUMMYFUNCTION("""COMPUTED_VALUE"""),"Bảo dưỡng Dây chuyền mài PXSX1")</f>
        <v>Bảo dưỡng Dây chuyền mài PXSX1</v>
      </c>
      <c r="E291" s="22" t="str">
        <f>IFERROR(__xludf.DUMMYFUNCTION("""COMPUTED_VALUE"""),"Bảo dưỡng vật tư mức 1")</f>
        <v>Bảo dưỡng vật tư mức 1</v>
      </c>
      <c r="F291" s="22" t="str">
        <f>IFERROR(__xludf.DUMMYFUNCTION("""COMPUTED_VALUE"""),"NV5002")</f>
        <v>NV5002</v>
      </c>
      <c r="G291" s="22">
        <f>IFERROR(__xludf.DUMMYFUNCTION("""COMPUTED_VALUE"""),274.0)</f>
        <v>274</v>
      </c>
      <c r="H291" s="22" t="str">
        <f>IFERROR(__xludf.DUMMYFUNCTION("""COMPUTED_VALUE"""),"Nguyễn Doãn Anh")</f>
        <v>Nguyễn Doãn Anh</v>
      </c>
      <c r="I291" s="22" t="str">
        <f>IFERROR(__xludf.DUMMYFUNCTION("""COMPUTED_VALUE"""),"Nam")</f>
        <v>Nam</v>
      </c>
      <c r="J291" s="24">
        <f>IFERROR(__xludf.DUMMYFUNCTION("""COMPUTED_VALUE"""),33880.0)</f>
        <v>33880</v>
      </c>
      <c r="K291" s="22" t="str">
        <f>IFERROR(__xludf.DUMMYFUNCTION("""COMPUTED_VALUE"""),"Xã An Nông - Tỉnh Thanh hóa")</f>
        <v>Xã An Nông - Tỉnh Thanh hóa</v>
      </c>
      <c r="L291" s="22" t="str">
        <f>IFERROR(__xludf.DUMMYFUNCTION("""COMPUTED_VALUE"""),"0965197125")</f>
        <v>0965197125</v>
      </c>
      <c r="M291" s="22" t="str">
        <f>IFERROR(__xludf.DUMMYFUNCTION("""COMPUTED_VALUE"""),"038090031991")</f>
        <v>038090031991</v>
      </c>
      <c r="N291" s="24">
        <f>IFERROR(__xludf.DUMMYFUNCTION("""COMPUTED_VALUE"""),44546.0)</f>
        <v>44546</v>
      </c>
      <c r="O291" s="22" t="str">
        <f>IFERROR(__xludf.DUMMYFUNCTION("""COMPUTED_VALUE"""),"Cục Cảnh sát QLHC về TTXH")</f>
        <v>Cục Cảnh sát QLHC về TTXH</v>
      </c>
      <c r="P291" s="22" t="str">
        <f>IFERROR(__xludf.DUMMYFUNCTION("""COMPUTED_VALUE"""),"Trung cấp, nghề")</f>
        <v>Trung cấp, nghề</v>
      </c>
      <c r="Q291" s="22" t="str">
        <f>IFERROR(__xludf.DUMMYFUNCTION("""COMPUTED_VALUE"""),"Nghề hàn")</f>
        <v>Nghề hàn</v>
      </c>
      <c r="R291" s="24">
        <f>IFERROR(__xludf.DUMMYFUNCTION("""COMPUTED_VALUE"""),45341.0)</f>
        <v>45341</v>
      </c>
      <c r="S291" s="24">
        <f>IFERROR(__xludf.DUMMYFUNCTION("""COMPUTED_VALUE"""),45444.0)</f>
        <v>45444</v>
      </c>
      <c r="T291" s="22" t="str">
        <f>IFERROR(__xludf.DUMMYFUNCTION("""COMPUTED_VALUE"""),"Chính thức")</f>
        <v>Chính thức</v>
      </c>
      <c r="U291" s="22"/>
      <c r="V291" s="22"/>
      <c r="W291" s="22" t="str">
        <f>IFERROR(__xludf.DUMMYFUNCTION("""COMPUTED_VALUE"""),"1 năm 10 tháng")</f>
        <v>1 năm 10 tháng</v>
      </c>
      <c r="X291" s="22"/>
      <c r="Y291" s="22"/>
      <c r="Z291" s="22"/>
    </row>
    <row r="292">
      <c r="A292" s="23" t="str">
        <f>IFERROR(__xludf.DUMMYFUNCTION("""COMPUTED_VALUE"""),"9")</f>
        <v>9</v>
      </c>
      <c r="B292" s="22" t="str">
        <f>IFERROR(__xludf.DUMMYFUNCTION("""COMPUTED_VALUE"""),"PXSX1")</f>
        <v>PXSX1</v>
      </c>
      <c r="C292" s="22" t="str">
        <f>IFERROR(__xludf.DUMMYFUNCTION("""COMPUTED_VALUE"""),"Phòng Kỹ thuật")</f>
        <v>Phòng Kỹ thuật</v>
      </c>
      <c r="D292" s="22" t="str">
        <f>IFERROR(__xludf.DUMMYFUNCTION("""COMPUTED_VALUE"""),"Bảo dưỡng Dây chuyền mài PXSX1")</f>
        <v>Bảo dưỡng Dây chuyền mài PXSX1</v>
      </c>
      <c r="E292" s="22" t="str">
        <f>IFERROR(__xludf.DUMMYFUNCTION("""COMPUTED_VALUE"""),"Bảo dưỡng vật tư mức 2")</f>
        <v>Bảo dưỡng vật tư mức 2</v>
      </c>
      <c r="F292" s="22" t="str">
        <f>IFERROR(__xludf.DUMMYFUNCTION("""COMPUTED_VALUE"""),"NV5511")</f>
        <v>NV5511</v>
      </c>
      <c r="G292" s="22">
        <f>IFERROR(__xludf.DUMMYFUNCTION("""COMPUTED_VALUE"""),994.0)</f>
        <v>994</v>
      </c>
      <c r="H292" s="22" t="str">
        <f>IFERROR(__xludf.DUMMYFUNCTION("""COMPUTED_VALUE"""),"Lê Bá Hiệu")</f>
        <v>Lê Bá Hiệu</v>
      </c>
      <c r="I292" s="22" t="str">
        <f>IFERROR(__xludf.DUMMYFUNCTION("""COMPUTED_VALUE"""),"Nam")</f>
        <v>Nam</v>
      </c>
      <c r="J292" s="24">
        <f>IFERROR(__xludf.DUMMYFUNCTION("""COMPUTED_VALUE"""),34025.0)</f>
        <v>34025</v>
      </c>
      <c r="K292" s="22" t="str">
        <f>IFERROR(__xludf.DUMMYFUNCTION("""COMPUTED_VALUE"""),"Phường Đông Sơn - Tỉnh Thanh Hóa")</f>
        <v>Phường Đông Sơn - Tỉnh Thanh Hóa</v>
      </c>
      <c r="L292" s="22" t="str">
        <f>IFERROR(__xludf.DUMMYFUNCTION("""COMPUTED_VALUE"""),"0334827697")</f>
        <v>0334827697</v>
      </c>
      <c r="M292" s="22" t="str">
        <f>IFERROR(__xludf.DUMMYFUNCTION("""COMPUTED_VALUE"""),"038093036007")</f>
        <v>038093036007</v>
      </c>
      <c r="N292" s="24">
        <f>IFERROR(__xludf.DUMMYFUNCTION("""COMPUTED_VALUE"""),44972.0)</f>
        <v>44972</v>
      </c>
      <c r="O292" s="22" t="str">
        <f>IFERROR(__xludf.DUMMYFUNCTION("""COMPUTED_VALUE"""),"Cục Cảnh sát QLHC về TTXH")</f>
        <v>Cục Cảnh sát QLHC về TTXH</v>
      </c>
      <c r="P292" s="22" t="str">
        <f>IFERROR(__xludf.DUMMYFUNCTION("""COMPUTED_VALUE"""),"LĐPT")</f>
        <v>LĐPT</v>
      </c>
      <c r="Q292" s="22" t="str">
        <f>IFERROR(__xludf.DUMMYFUNCTION("""COMPUTED_VALUE"""),"Lao động phổ thông")</f>
        <v>Lao động phổ thông</v>
      </c>
      <c r="R292" s="24">
        <f>IFERROR(__xludf.DUMMYFUNCTION("""COMPUTED_VALUE"""),45812.0)</f>
        <v>45812</v>
      </c>
      <c r="S292" s="22"/>
      <c r="T292" s="22" t="str">
        <f>IFERROR(__xludf.DUMMYFUNCTION("""COMPUTED_VALUE"""),"Chính thức")</f>
        <v>Chính thức</v>
      </c>
      <c r="U292" s="22"/>
      <c r="V292" s="22"/>
      <c r="W292" s="22" t="str">
        <f>IFERROR(__xludf.DUMMYFUNCTION("""COMPUTED_VALUE"""),"0 năm 6 tháng")</f>
        <v>0 năm 6 tháng</v>
      </c>
      <c r="X292" s="22"/>
      <c r="Y292" s="22"/>
      <c r="Z292" s="22"/>
    </row>
    <row r="293">
      <c r="A293" s="23" t="str">
        <f>IFERROR(__xludf.DUMMYFUNCTION("""COMPUTED_VALUE"""),"10")</f>
        <v>10</v>
      </c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3" t="str">
        <f>IFERROR(__xludf.DUMMYFUNCTION("""COMPUTED_VALUE"""),"5.3")</f>
        <v>5.3</v>
      </c>
      <c r="B294" s="22" t="str">
        <f>IFERROR(__xludf.DUMMYFUNCTION("""COMPUTED_VALUE"""),"Cơ điện hành chính")</f>
        <v>Cơ điện hành chính</v>
      </c>
      <c r="C294" s="22">
        <f>IFERROR(__xludf.DUMMYFUNCTION("""COMPUTED_VALUE"""),10.0)</f>
        <v>10</v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3" t="str">
        <f>IFERROR(__xludf.DUMMYFUNCTION("""COMPUTED_VALUE"""),"1")</f>
        <v>1</v>
      </c>
      <c r="B295" s="22" t="str">
        <f>IFERROR(__xludf.DUMMYFUNCTION("""COMPUTED_VALUE"""),"PXSX1")</f>
        <v>PXSX1</v>
      </c>
      <c r="C295" s="22" t="str">
        <f>IFERROR(__xludf.DUMMYFUNCTION("""COMPUTED_VALUE"""),"Phòng Kỹ thuật")</f>
        <v>Phòng Kỹ thuật</v>
      </c>
      <c r="D295" s="22" t="str">
        <f>IFERROR(__xludf.DUMMYFUNCTION("""COMPUTED_VALUE"""),"Cơ điện hành chính")</f>
        <v>Cơ điện hành chính</v>
      </c>
      <c r="E295" s="22" t="str">
        <f>IFERROR(__xludf.DUMMYFUNCTION("""COMPUTED_VALUE"""),"Cơ điện hành chính")</f>
        <v>Cơ điện hành chính</v>
      </c>
      <c r="F295" s="22" t="str">
        <f>IFERROR(__xludf.DUMMYFUNCTION("""COMPUTED_VALUE"""),"NV5176")</f>
        <v>NV5176</v>
      </c>
      <c r="G295" s="22">
        <f>IFERROR(__xludf.DUMMYFUNCTION("""COMPUTED_VALUE"""),653.0)</f>
        <v>653</v>
      </c>
      <c r="H295" s="22" t="str">
        <f>IFERROR(__xludf.DUMMYFUNCTION("""COMPUTED_VALUE"""),"Nguyễn Quốc Huy")</f>
        <v>Nguyễn Quốc Huy</v>
      </c>
      <c r="I295" s="22" t="str">
        <f>IFERROR(__xludf.DUMMYFUNCTION("""COMPUTED_VALUE"""),"Nam")</f>
        <v>Nam</v>
      </c>
      <c r="J295" s="24">
        <f>IFERROR(__xludf.DUMMYFUNCTION("""COMPUTED_VALUE"""),26398.0)</f>
        <v>26398</v>
      </c>
      <c r="K295" s="22" t="str">
        <f>IFERROR(__xludf.DUMMYFUNCTION("""COMPUTED_VALUE"""),"467 Nguyễn Trãi - Phường Hạc Thành - Tỉnh Thanh Hóa")</f>
        <v>467 Nguyễn Trãi - Phường Hạc Thành - Tỉnh Thanh Hóa</v>
      </c>
      <c r="L295" s="22" t="str">
        <f>IFERROR(__xludf.DUMMYFUNCTION("""COMPUTED_VALUE"""),"0975946979")</f>
        <v>0975946979</v>
      </c>
      <c r="M295" s="22" t="str">
        <f>IFERROR(__xludf.DUMMYFUNCTION("""COMPUTED_VALUE"""),"038072004243")</f>
        <v>038072004243</v>
      </c>
      <c r="N295" s="24">
        <f>IFERROR(__xludf.DUMMYFUNCTION("""COMPUTED_VALUE"""),44901.0)</f>
        <v>44901</v>
      </c>
      <c r="O295" s="22" t="str">
        <f>IFERROR(__xludf.DUMMYFUNCTION("""COMPUTED_VALUE"""),"Cục Cảnh sát QLHC về TTXH")</f>
        <v>Cục Cảnh sát QLHC về TTXH</v>
      </c>
      <c r="P295" s="22" t="str">
        <f>IFERROR(__xludf.DUMMYFUNCTION("""COMPUTED_VALUE"""),"Bằng nghề")</f>
        <v>Bằng nghề</v>
      </c>
      <c r="Q295" s="22" t="str">
        <f>IFERROR(__xludf.DUMMYFUNCTION("""COMPUTED_VALUE"""),"Thợ lắp đặt máy")</f>
        <v>Thợ lắp đặt máy</v>
      </c>
      <c r="R295" s="24">
        <f>IFERROR(__xludf.DUMMYFUNCTION("""COMPUTED_VALUE"""),45482.0)</f>
        <v>45482</v>
      </c>
      <c r="S295" s="24">
        <f>IFERROR(__xludf.DUMMYFUNCTION("""COMPUTED_VALUE"""),45597.0)</f>
        <v>45597</v>
      </c>
      <c r="T295" s="22" t="str">
        <f>IFERROR(__xludf.DUMMYFUNCTION("""COMPUTED_VALUE"""),"Chính thức")</f>
        <v>Chính thức</v>
      </c>
      <c r="U295" s="22"/>
      <c r="V295" s="22"/>
      <c r="W295" s="22" t="str">
        <f>IFERROR(__xludf.DUMMYFUNCTION("""COMPUTED_VALUE"""),"1 năm 5 tháng")</f>
        <v>1 năm 5 tháng</v>
      </c>
      <c r="X295" s="22"/>
      <c r="Y295" s="22"/>
      <c r="Z295" s="22"/>
    </row>
    <row r="296">
      <c r="A296" s="23" t="str">
        <f>IFERROR(__xludf.DUMMYFUNCTION("""COMPUTED_VALUE"""),"2")</f>
        <v>2</v>
      </c>
      <c r="B296" s="22" t="str">
        <f>IFERROR(__xludf.DUMMYFUNCTION("""COMPUTED_VALUE"""),"PXSX1")</f>
        <v>PXSX1</v>
      </c>
      <c r="C296" s="22" t="str">
        <f>IFERROR(__xludf.DUMMYFUNCTION("""COMPUTED_VALUE"""),"Phòng Kỹ thuật")</f>
        <v>Phòng Kỹ thuật</v>
      </c>
      <c r="D296" s="22" t="str">
        <f>IFERROR(__xludf.DUMMYFUNCTION("""COMPUTED_VALUE"""),"Cơ điện hành chính")</f>
        <v>Cơ điện hành chính</v>
      </c>
      <c r="E296" s="22" t="str">
        <f>IFERROR(__xludf.DUMMYFUNCTION("""COMPUTED_VALUE"""),"Cơ điện hành chính")</f>
        <v>Cơ điện hành chính</v>
      </c>
      <c r="F296" s="22" t="str">
        <f>IFERROR(__xludf.DUMMYFUNCTION("""COMPUTED_VALUE"""),"NV5113")</f>
        <v>NV5113</v>
      </c>
      <c r="G296" s="22">
        <f>IFERROR(__xludf.DUMMYFUNCTION("""COMPUTED_VALUE"""),205.0)</f>
        <v>205</v>
      </c>
      <c r="H296" s="22" t="str">
        <f>IFERROR(__xludf.DUMMYFUNCTION("""COMPUTED_VALUE"""),"Mai Đình Tiến")</f>
        <v>Mai Đình Tiến</v>
      </c>
      <c r="I296" s="22" t="str">
        <f>IFERROR(__xludf.DUMMYFUNCTION("""COMPUTED_VALUE"""),"Nam")</f>
        <v>Nam</v>
      </c>
      <c r="J296" s="24">
        <f>IFERROR(__xludf.DUMMYFUNCTION("""COMPUTED_VALUE"""),28600.0)</f>
        <v>28600</v>
      </c>
      <c r="K296" s="22" t="str">
        <f>IFERROR(__xludf.DUMMYFUNCTION("""COMPUTED_VALUE"""),"Xã Lưu Vệ - Tỉnh Thanh Hóa")</f>
        <v>Xã Lưu Vệ - Tỉnh Thanh Hóa</v>
      </c>
      <c r="L296" s="22"/>
      <c r="M296" s="22" t="str">
        <f>IFERROR(__xludf.DUMMYFUNCTION("""COMPUTED_VALUE"""),"038078005837")</f>
        <v>038078005837</v>
      </c>
      <c r="N296" s="24">
        <f>IFERROR(__xludf.DUMMYFUNCTION("""COMPUTED_VALUE"""),44375.0)</f>
        <v>44375</v>
      </c>
      <c r="O296" s="22" t="str">
        <f>IFERROR(__xludf.DUMMYFUNCTION("""COMPUTED_VALUE"""),"Cục Cảnh sát QLHC về TTXH")</f>
        <v>Cục Cảnh sát QLHC về TTXH</v>
      </c>
      <c r="P296" s="22" t="str">
        <f>IFERROR(__xludf.DUMMYFUNCTION("""COMPUTED_VALUE"""),"Bằng nghề")</f>
        <v>Bằng nghề</v>
      </c>
      <c r="Q296" s="22" t="str">
        <f>IFERROR(__xludf.DUMMYFUNCTION("""COMPUTED_VALUE"""),"Nghề hàn")</f>
        <v>Nghề hàn</v>
      </c>
      <c r="R296" s="24">
        <f>IFERROR(__xludf.DUMMYFUNCTION("""COMPUTED_VALUE"""),45385.0)</f>
        <v>45385</v>
      </c>
      <c r="S296" s="24">
        <f>IFERROR(__xludf.DUMMYFUNCTION("""COMPUTED_VALUE"""),45474.0)</f>
        <v>45474</v>
      </c>
      <c r="T296" s="22" t="str">
        <f>IFERROR(__xludf.DUMMYFUNCTION("""COMPUTED_VALUE"""),"Chính thức")</f>
        <v>Chính thức</v>
      </c>
      <c r="U296" s="22"/>
      <c r="V296" s="22" t="str">
        <f>IFERROR(__xludf.DUMMYFUNCTION("""COMPUTED_VALUE"""),"Nghỉ phép")</f>
        <v>Nghỉ phép</v>
      </c>
      <c r="W296" s="22" t="str">
        <f>IFERROR(__xludf.DUMMYFUNCTION("""COMPUTED_VALUE"""),"1 năm 8 tháng")</f>
        <v>1 năm 8 tháng</v>
      </c>
      <c r="X296" s="22"/>
      <c r="Y296" s="22"/>
      <c r="Z296" s="22"/>
    </row>
    <row r="297">
      <c r="A297" s="23" t="str">
        <f>IFERROR(__xludf.DUMMYFUNCTION("""COMPUTED_VALUE"""),"3")</f>
        <v>3</v>
      </c>
      <c r="B297" s="22" t="str">
        <f>IFERROR(__xludf.DUMMYFUNCTION("""COMPUTED_VALUE"""),"PXSX1")</f>
        <v>PXSX1</v>
      </c>
      <c r="C297" s="22" t="str">
        <f>IFERROR(__xludf.DUMMYFUNCTION("""COMPUTED_VALUE"""),"Phòng Kỹ thuật")</f>
        <v>Phòng Kỹ thuật</v>
      </c>
      <c r="D297" s="22" t="str">
        <f>IFERROR(__xludf.DUMMYFUNCTION("""COMPUTED_VALUE"""),"Cơ điện hành chính")</f>
        <v>Cơ điện hành chính</v>
      </c>
      <c r="E297" s="22" t="str">
        <f>IFERROR(__xludf.DUMMYFUNCTION("""COMPUTED_VALUE"""),"TT cơ điện - kỹ thuật")</f>
        <v>TT cơ điện - kỹ thuật</v>
      </c>
      <c r="F297" s="22" t="str">
        <f>IFERROR(__xludf.DUMMYFUNCTION("""COMPUTED_VALUE"""),"NV0718")</f>
        <v>NV0718</v>
      </c>
      <c r="G297" s="22">
        <f>IFERROR(__xludf.DUMMYFUNCTION("""COMPUTED_VALUE"""),164.0)</f>
        <v>164</v>
      </c>
      <c r="H297" s="22" t="str">
        <f>IFERROR(__xludf.DUMMYFUNCTION("""COMPUTED_VALUE"""),"Nguyễn Đình Phương")</f>
        <v>Nguyễn Đình Phương</v>
      </c>
      <c r="I297" s="22" t="str">
        <f>IFERROR(__xludf.DUMMYFUNCTION("""COMPUTED_VALUE"""),"Nam")</f>
        <v>Nam</v>
      </c>
      <c r="J297" s="24">
        <f>IFERROR(__xludf.DUMMYFUNCTION("""COMPUTED_VALUE"""),29402.0)</f>
        <v>29402</v>
      </c>
      <c r="K297" s="22" t="str">
        <f>IFERROR(__xludf.DUMMYFUNCTION("""COMPUTED_VALUE"""),"KP.Phúc Đức - Phường Sầm Sơn - Tỉnh Thanh Hóa - ")</f>
        <v>KP.Phúc Đức - Phường Sầm Sơn - Tỉnh Thanh Hóa - </v>
      </c>
      <c r="L297" s="22" t="str">
        <f>IFERROR(__xludf.DUMMYFUNCTION("""COMPUTED_VALUE"""),"0374281478")</f>
        <v>0374281478</v>
      </c>
      <c r="M297" s="22" t="str">
        <f>IFERROR(__xludf.DUMMYFUNCTION("""COMPUTED_VALUE"""),"038080039040")</f>
        <v>038080039040</v>
      </c>
      <c r="N297" s="24">
        <f>IFERROR(__xludf.DUMMYFUNCTION("""COMPUTED_VALUE"""),44364.0)</f>
        <v>44364</v>
      </c>
      <c r="O297" s="22" t="str">
        <f>IFERROR(__xludf.DUMMYFUNCTION("""COMPUTED_VALUE"""),"Cục Cảnh sát QLHC về TTXH")</f>
        <v>Cục Cảnh sát QLHC về TTXH</v>
      </c>
      <c r="P297" s="22" t="str">
        <f>IFERROR(__xludf.DUMMYFUNCTION("""COMPUTED_VALUE"""),"Trung cấp")</f>
        <v>Trung cấp</v>
      </c>
      <c r="Q297" s="22" t="str">
        <f>IFERROR(__xludf.DUMMYFUNCTION("""COMPUTED_VALUE"""),"Thợ nguội sửa chữa xe máy")</f>
        <v>Thợ nguội sửa chữa xe máy</v>
      </c>
      <c r="R297" s="24">
        <f>IFERROR(__xludf.DUMMYFUNCTION("""COMPUTED_VALUE"""),39322.0)</f>
        <v>39322</v>
      </c>
      <c r="S297" s="24">
        <f>IFERROR(__xludf.DUMMYFUNCTION("""COMPUTED_VALUE"""),39322.0)</f>
        <v>39322</v>
      </c>
      <c r="T297" s="22" t="str">
        <f>IFERROR(__xludf.DUMMYFUNCTION("""COMPUTED_VALUE"""),"Chính thức")</f>
        <v>Chính thức</v>
      </c>
      <c r="U297" s="22"/>
      <c r="V297" s="22"/>
      <c r="W297" s="22" t="str">
        <f>IFERROR(__xludf.DUMMYFUNCTION("""COMPUTED_VALUE"""),"18 năm 4 tháng")</f>
        <v>18 năm 4 tháng</v>
      </c>
      <c r="X297" s="22"/>
      <c r="Y297" s="22"/>
      <c r="Z297" s="22"/>
    </row>
    <row r="298">
      <c r="A298" s="23" t="str">
        <f>IFERROR(__xludf.DUMMYFUNCTION("""COMPUTED_VALUE"""),"4")</f>
        <v>4</v>
      </c>
      <c r="B298" s="22" t="str">
        <f>IFERROR(__xludf.DUMMYFUNCTION("""COMPUTED_VALUE"""),"PXSX1")</f>
        <v>PXSX1</v>
      </c>
      <c r="C298" s="22" t="str">
        <f>IFERROR(__xludf.DUMMYFUNCTION("""COMPUTED_VALUE"""),"Phòng Kỹ thuật")</f>
        <v>Phòng Kỹ thuật</v>
      </c>
      <c r="D298" s="22" t="str">
        <f>IFERROR(__xludf.DUMMYFUNCTION("""COMPUTED_VALUE"""),"Cơ điện hành chính")</f>
        <v>Cơ điện hành chính</v>
      </c>
      <c r="E298" s="22" t="str">
        <f>IFERROR(__xludf.DUMMYFUNCTION("""COMPUTED_VALUE"""),"Tổ phó cơ điện")</f>
        <v>Tổ phó cơ điện</v>
      </c>
      <c r="F298" s="22" t="str">
        <f>IFERROR(__xludf.DUMMYFUNCTION("""COMPUTED_VALUE"""),"NV0116")</f>
        <v>NV0116</v>
      </c>
      <c r="G298" s="22">
        <f>IFERROR(__xludf.DUMMYFUNCTION("""COMPUTED_VALUE"""),214.0)</f>
        <v>214</v>
      </c>
      <c r="H298" s="22" t="str">
        <f>IFERROR(__xludf.DUMMYFUNCTION("""COMPUTED_VALUE"""),"Lê Viết Hùng")</f>
        <v>Lê Viết Hùng</v>
      </c>
      <c r="I298" s="22" t="str">
        <f>IFERROR(__xludf.DUMMYFUNCTION("""COMPUTED_VALUE"""),"Nam")</f>
        <v>Nam</v>
      </c>
      <c r="J298" s="24">
        <f>IFERROR(__xludf.DUMMYFUNCTION("""COMPUTED_VALUE"""),29596.0)</f>
        <v>29596</v>
      </c>
      <c r="K298" s="22" t="str">
        <f>IFERROR(__xludf.DUMMYFUNCTION("""COMPUTED_VALUE"""),"Xã Hoằng Hóa - Tỉnh Thanh Hóa")</f>
        <v>Xã Hoằng Hóa - Tỉnh Thanh Hóa</v>
      </c>
      <c r="L298" s="22" t="str">
        <f>IFERROR(__xludf.DUMMYFUNCTION("""COMPUTED_VALUE"""),"0347051515")</f>
        <v>0347051515</v>
      </c>
      <c r="M298" s="22" t="str">
        <f>IFERROR(__xludf.DUMMYFUNCTION("""COMPUTED_VALUE"""),"038081031390")</f>
        <v>038081031390</v>
      </c>
      <c r="N298" s="24">
        <f>IFERROR(__xludf.DUMMYFUNCTION("""COMPUTED_VALUE"""),44244.0)</f>
        <v>44244</v>
      </c>
      <c r="O298" s="22" t="str">
        <f>IFERROR(__xludf.DUMMYFUNCTION("""COMPUTED_VALUE"""),"Cục Cảnh sát QLHC về TTXH")</f>
        <v>Cục Cảnh sát QLHC về TTXH</v>
      </c>
      <c r="P298" s="22" t="str">
        <f>IFERROR(__xludf.DUMMYFUNCTION("""COMPUTED_VALUE"""),"Trung cấp")</f>
        <v>Trung cấp</v>
      </c>
      <c r="Q298" s="22" t="str">
        <f>IFERROR(__xludf.DUMMYFUNCTION("""COMPUTED_VALUE"""),"Xây lắp điện")</f>
        <v>Xây lắp điện</v>
      </c>
      <c r="R298" s="24">
        <f>IFERROR(__xludf.DUMMYFUNCTION("""COMPUTED_VALUE"""),42423.0)</f>
        <v>42423</v>
      </c>
      <c r="S298" s="24">
        <f>IFERROR(__xludf.DUMMYFUNCTION("""COMPUTED_VALUE"""),42423.0)</f>
        <v>42423</v>
      </c>
      <c r="T298" s="22" t="str">
        <f>IFERROR(__xludf.DUMMYFUNCTION("""COMPUTED_VALUE"""),"Chính thức")</f>
        <v>Chính thức</v>
      </c>
      <c r="U298" s="22"/>
      <c r="V298" s="22"/>
      <c r="W298" s="22" t="str">
        <f>IFERROR(__xludf.DUMMYFUNCTION("""COMPUTED_VALUE"""),"9 năm 10 tháng")</f>
        <v>9 năm 10 tháng</v>
      </c>
      <c r="X298" s="22"/>
      <c r="Y298" s="22"/>
      <c r="Z298" s="22"/>
    </row>
    <row r="299">
      <c r="A299" s="23" t="str">
        <f>IFERROR(__xludf.DUMMYFUNCTION("""COMPUTED_VALUE"""),"5")</f>
        <v>5</v>
      </c>
      <c r="B299" s="22" t="str">
        <f>IFERROR(__xludf.DUMMYFUNCTION("""COMPUTED_VALUE"""),"PXSX1")</f>
        <v>PXSX1</v>
      </c>
      <c r="C299" s="22" t="str">
        <f>IFERROR(__xludf.DUMMYFUNCTION("""COMPUTED_VALUE"""),"Phòng Kỹ thuật")</f>
        <v>Phòng Kỹ thuật</v>
      </c>
      <c r="D299" s="22" t="str">
        <f>IFERROR(__xludf.DUMMYFUNCTION("""COMPUTED_VALUE"""),"Cơ điện hành chính")</f>
        <v>Cơ điện hành chính</v>
      </c>
      <c r="E299" s="22" t="str">
        <f>IFERROR(__xludf.DUMMYFUNCTION("""COMPUTED_VALUE"""),"Cơ điện hành chính")</f>
        <v>Cơ điện hành chính</v>
      </c>
      <c r="F299" s="22" t="str">
        <f>IFERROR(__xludf.DUMMYFUNCTION("""COMPUTED_VALUE"""),"NV1243")</f>
        <v>NV1243</v>
      </c>
      <c r="G299" s="22">
        <f>IFERROR(__xludf.DUMMYFUNCTION("""COMPUTED_VALUE"""),216.0)</f>
        <v>216</v>
      </c>
      <c r="H299" s="22" t="str">
        <f>IFERROR(__xludf.DUMMYFUNCTION("""COMPUTED_VALUE"""),"Nguyễn Quý Hoạt")</f>
        <v>Nguyễn Quý Hoạt</v>
      </c>
      <c r="I299" s="22" t="str">
        <f>IFERROR(__xludf.DUMMYFUNCTION("""COMPUTED_VALUE"""),"Nam")</f>
        <v>Nam</v>
      </c>
      <c r="J299" s="24">
        <f>IFERROR(__xludf.DUMMYFUNCTION("""COMPUTED_VALUE"""),31266.0)</f>
        <v>31266</v>
      </c>
      <c r="K299" s="22" t="str">
        <f>IFERROR(__xludf.DUMMYFUNCTION("""COMPUTED_VALUE"""),"Thôn Nịnh Dụ - Xã Quảng Ninh - Tỉnh Thanh Hóa")</f>
        <v>Thôn Nịnh Dụ - Xã Quảng Ninh - Tỉnh Thanh Hóa</v>
      </c>
      <c r="L299" s="22" t="str">
        <f>IFERROR(__xludf.DUMMYFUNCTION("""COMPUTED_VALUE"""),"0986732530")</f>
        <v>0986732530</v>
      </c>
      <c r="M299" s="22" t="str">
        <f>IFERROR(__xludf.DUMMYFUNCTION("""COMPUTED_VALUE"""),"038085011515")</f>
        <v>038085011515</v>
      </c>
      <c r="N299" s="24">
        <f>IFERROR(__xludf.DUMMYFUNCTION("""COMPUTED_VALUE"""),43193.0)</f>
        <v>43193</v>
      </c>
      <c r="O299" s="22" t="str">
        <f>IFERROR(__xludf.DUMMYFUNCTION("""COMPUTED_VALUE"""),"Cục Cảnh sát QLHC về TTXH")</f>
        <v>Cục Cảnh sát QLHC về TTXH</v>
      </c>
      <c r="P299" s="22" t="str">
        <f>IFERROR(__xludf.DUMMYFUNCTION("""COMPUTED_VALUE"""),"Sơ cấp nghề")</f>
        <v>Sơ cấp nghề</v>
      </c>
      <c r="Q299" s="22" t="str">
        <f>IFERROR(__xludf.DUMMYFUNCTION("""COMPUTED_VALUE"""),"điện công nghiệp")</f>
        <v>điện công nghiệp</v>
      </c>
      <c r="R299" s="24">
        <f>IFERROR(__xludf.DUMMYFUNCTION("""COMPUTED_VALUE"""),43174.0)</f>
        <v>43174</v>
      </c>
      <c r="S299" s="24">
        <f>IFERROR(__xludf.DUMMYFUNCTION("""COMPUTED_VALUE"""),43174.0)</f>
        <v>43174</v>
      </c>
      <c r="T299" s="22" t="str">
        <f>IFERROR(__xludf.DUMMYFUNCTION("""COMPUTED_VALUE"""),"Chính thức")</f>
        <v>Chính thức</v>
      </c>
      <c r="U299" s="22"/>
      <c r="V299" s="22"/>
      <c r="W299" s="22" t="str">
        <f>IFERROR(__xludf.DUMMYFUNCTION("""COMPUTED_VALUE"""),"7 năm 9 tháng")</f>
        <v>7 năm 9 tháng</v>
      </c>
      <c r="X299" s="22"/>
      <c r="Y299" s="22"/>
      <c r="Z299" s="22"/>
    </row>
    <row r="300">
      <c r="A300" s="23" t="str">
        <f>IFERROR(__xludf.DUMMYFUNCTION("""COMPUTED_VALUE"""),"6")</f>
        <v>6</v>
      </c>
      <c r="B300" s="22" t="str">
        <f>IFERROR(__xludf.DUMMYFUNCTION("""COMPUTED_VALUE"""),"PXSX1")</f>
        <v>PXSX1</v>
      </c>
      <c r="C300" s="22" t="str">
        <f>IFERROR(__xludf.DUMMYFUNCTION("""COMPUTED_VALUE"""),"Phòng Kỹ thuật")</f>
        <v>Phòng Kỹ thuật</v>
      </c>
      <c r="D300" s="22" t="str">
        <f>IFERROR(__xludf.DUMMYFUNCTION("""COMPUTED_VALUE"""),"Cơ điện hành chính")</f>
        <v>Cơ điện hành chính</v>
      </c>
      <c r="E300" s="22" t="str">
        <f>IFERROR(__xludf.DUMMYFUNCTION("""COMPUTED_VALUE"""),"Cơ điện hành chính")</f>
        <v>Cơ điện hành chính</v>
      </c>
      <c r="F300" s="22" t="str">
        <f>IFERROR(__xludf.DUMMYFUNCTION("""COMPUTED_VALUE"""),"NV0117")</f>
        <v>NV0117</v>
      </c>
      <c r="G300" s="22">
        <f>IFERROR(__xludf.DUMMYFUNCTION("""COMPUTED_VALUE"""),188.0)</f>
        <v>188</v>
      </c>
      <c r="H300" s="22" t="str">
        <f>IFERROR(__xludf.DUMMYFUNCTION("""COMPUTED_VALUE"""),"Văn Như Hùng")</f>
        <v>Văn Như Hùng</v>
      </c>
      <c r="I300" s="22" t="str">
        <f>IFERROR(__xludf.DUMMYFUNCTION("""COMPUTED_VALUE"""),"Nam")</f>
        <v>Nam</v>
      </c>
      <c r="J300" s="24">
        <f>IFERROR(__xludf.DUMMYFUNCTION("""COMPUTED_VALUE"""),33533.0)</f>
        <v>33533</v>
      </c>
      <c r="K300" s="22" t="str">
        <f>IFERROR(__xludf.DUMMYFUNCTION("""COMPUTED_VALUE"""),"Xã Hà Trung - Tỉnh Thanh Hóa")</f>
        <v>Xã Hà Trung - Tỉnh Thanh Hóa</v>
      </c>
      <c r="L300" s="22" t="str">
        <f>IFERROR(__xludf.DUMMYFUNCTION("""COMPUTED_VALUE"""),"0917942024")</f>
        <v>0917942024</v>
      </c>
      <c r="M300" s="22" t="str">
        <f>IFERROR(__xludf.DUMMYFUNCTION("""COMPUTED_VALUE"""),"038091040483")</f>
        <v>038091040483</v>
      </c>
      <c r="N300" s="24">
        <f>IFERROR(__xludf.DUMMYFUNCTION("""COMPUTED_VALUE"""),44440.0)</f>
        <v>44440</v>
      </c>
      <c r="O300" s="22" t="str">
        <f>IFERROR(__xludf.DUMMYFUNCTION("""COMPUTED_VALUE"""),"Cục Cảnh sát QLHC về TTXH")</f>
        <v>Cục Cảnh sát QLHC về TTXH</v>
      </c>
      <c r="P300" s="22" t="str">
        <f>IFERROR(__xludf.DUMMYFUNCTION("""COMPUTED_VALUE"""),"Cao đẳng")</f>
        <v>Cao đẳng</v>
      </c>
      <c r="Q300" s="22" t="str">
        <f>IFERROR(__xludf.DUMMYFUNCTION("""COMPUTED_VALUE"""),"điện công nghiệp")</f>
        <v>điện công nghiệp</v>
      </c>
      <c r="R300" s="24">
        <f>IFERROR(__xludf.DUMMYFUNCTION("""COMPUTED_VALUE"""),42486.0)</f>
        <v>42486</v>
      </c>
      <c r="S300" s="24">
        <f>IFERROR(__xludf.DUMMYFUNCTION("""COMPUTED_VALUE"""),42486.0)</f>
        <v>42486</v>
      </c>
      <c r="T300" s="22" t="str">
        <f>IFERROR(__xludf.DUMMYFUNCTION("""COMPUTED_VALUE"""),"Chính thức")</f>
        <v>Chính thức</v>
      </c>
      <c r="U300" s="22"/>
      <c r="V300" s="22"/>
      <c r="W300" s="22" t="str">
        <f>IFERROR(__xludf.DUMMYFUNCTION("""COMPUTED_VALUE"""),"9 năm 8 tháng")</f>
        <v>9 năm 8 tháng</v>
      </c>
      <c r="X300" s="22"/>
      <c r="Y300" s="22"/>
      <c r="Z300" s="22"/>
    </row>
    <row r="301">
      <c r="A301" s="23" t="str">
        <f>IFERROR(__xludf.DUMMYFUNCTION("""COMPUTED_VALUE"""),"7")</f>
        <v>7</v>
      </c>
      <c r="B301" s="22" t="str">
        <f>IFERROR(__xludf.DUMMYFUNCTION("""COMPUTED_VALUE"""),"PXSX1")</f>
        <v>PXSX1</v>
      </c>
      <c r="C301" s="22" t="str">
        <f>IFERROR(__xludf.DUMMYFUNCTION("""COMPUTED_VALUE"""),"Phòng Kỹ thuật")</f>
        <v>Phòng Kỹ thuật</v>
      </c>
      <c r="D301" s="22" t="str">
        <f>IFERROR(__xludf.DUMMYFUNCTION("""COMPUTED_VALUE"""),"Cơ điện hành chính")</f>
        <v>Cơ điện hành chính</v>
      </c>
      <c r="E301" s="22" t="str">
        <f>IFERROR(__xludf.DUMMYFUNCTION("""COMPUTED_VALUE"""),"Cơ điện hành chính")</f>
        <v>Cơ điện hành chính</v>
      </c>
      <c r="F301" s="22" t="str">
        <f>IFERROR(__xludf.DUMMYFUNCTION("""COMPUTED_VALUE"""),"NV2367")</f>
        <v>NV2367</v>
      </c>
      <c r="G301" s="22">
        <f>IFERROR(__xludf.DUMMYFUNCTION("""COMPUTED_VALUE"""),171.0)</f>
        <v>171</v>
      </c>
      <c r="H301" s="22" t="str">
        <f>IFERROR(__xludf.DUMMYFUNCTION("""COMPUTED_VALUE"""),"Nguyễn Danh Vinh")</f>
        <v>Nguyễn Danh Vinh</v>
      </c>
      <c r="I301" s="22" t="str">
        <f>IFERROR(__xludf.DUMMYFUNCTION("""COMPUTED_VALUE"""),"Nam")</f>
        <v>Nam</v>
      </c>
      <c r="J301" s="24">
        <f>IFERROR(__xludf.DUMMYFUNCTION("""COMPUTED_VALUE"""),34842.0)</f>
        <v>34842</v>
      </c>
      <c r="K301" s="22" t="str">
        <f>IFERROR(__xludf.DUMMYFUNCTION("""COMPUTED_VALUE"""),"Xã Hóa Quỳ - Tỉnh Thanh Hóa")</f>
        <v>Xã Hóa Quỳ - Tỉnh Thanh Hóa</v>
      </c>
      <c r="L301" s="22" t="str">
        <f>IFERROR(__xludf.DUMMYFUNCTION("""COMPUTED_VALUE"""),"0976376279")</f>
        <v>0976376279</v>
      </c>
      <c r="M301" s="22" t="str">
        <f>IFERROR(__xludf.DUMMYFUNCTION("""COMPUTED_VALUE"""),"038095020567")</f>
        <v>038095020567</v>
      </c>
      <c r="N301" s="24">
        <f>IFERROR(__xludf.DUMMYFUNCTION("""COMPUTED_VALUE"""),44389.0)</f>
        <v>44389</v>
      </c>
      <c r="O301" s="22" t="str">
        <f>IFERROR(__xludf.DUMMYFUNCTION("""COMPUTED_VALUE"""),"Cục Cảnh sát QLHC về TTXH")</f>
        <v>Cục Cảnh sát QLHC về TTXH</v>
      </c>
      <c r="P301" s="22" t="str">
        <f>IFERROR(__xludf.DUMMYFUNCTION("""COMPUTED_VALUE"""),"Cao đẳng")</f>
        <v>Cao đẳng</v>
      </c>
      <c r="Q301" s="22" t="str">
        <f>IFERROR(__xludf.DUMMYFUNCTION("""COMPUTED_VALUE"""),"Hệ thống điện")</f>
        <v>Hệ thống điện</v>
      </c>
      <c r="R301" s="24">
        <f>IFERROR(__xludf.DUMMYFUNCTION("""COMPUTED_VALUE"""),43594.0)</f>
        <v>43594</v>
      </c>
      <c r="S301" s="24">
        <f>IFERROR(__xludf.DUMMYFUNCTION("""COMPUTED_VALUE"""),43983.0)</f>
        <v>43983</v>
      </c>
      <c r="T301" s="22" t="str">
        <f>IFERROR(__xludf.DUMMYFUNCTION("""COMPUTED_VALUE"""),"Chính thức")</f>
        <v>Chính thức</v>
      </c>
      <c r="U301" s="22"/>
      <c r="V301" s="22"/>
      <c r="W301" s="22" t="str">
        <f>IFERROR(__xludf.DUMMYFUNCTION("""COMPUTED_VALUE"""),"6 năm 7 tháng")</f>
        <v>6 năm 7 tháng</v>
      </c>
      <c r="X301" s="22"/>
      <c r="Y301" s="22"/>
      <c r="Z301" s="22"/>
    </row>
    <row r="302">
      <c r="A302" s="23" t="str">
        <f>IFERROR(__xludf.DUMMYFUNCTION("""COMPUTED_VALUE"""),"8")</f>
        <v>8</v>
      </c>
      <c r="B302" s="22" t="str">
        <f>IFERROR(__xludf.DUMMYFUNCTION("""COMPUTED_VALUE"""),"PXSX1")</f>
        <v>PXSX1</v>
      </c>
      <c r="C302" s="22" t="str">
        <f>IFERROR(__xludf.DUMMYFUNCTION("""COMPUTED_VALUE"""),"Phòng Kỹ thuật")</f>
        <v>Phòng Kỹ thuật</v>
      </c>
      <c r="D302" s="22" t="str">
        <f>IFERROR(__xludf.DUMMYFUNCTION("""COMPUTED_VALUE"""),"Cơ điện hành chính")</f>
        <v>Cơ điện hành chính</v>
      </c>
      <c r="E302" s="22" t="str">
        <f>IFERROR(__xludf.DUMMYFUNCTION("""COMPUTED_VALUE"""),"Cơ điện")</f>
        <v>Cơ điện</v>
      </c>
      <c r="F302" s="22" t="str">
        <f>IFERROR(__xludf.DUMMYFUNCTION("""COMPUTED_VALUE"""),"NV3619")</f>
        <v>NV3619</v>
      </c>
      <c r="G302" s="22">
        <f>IFERROR(__xludf.DUMMYFUNCTION("""COMPUTED_VALUE"""),162.0)</f>
        <v>162</v>
      </c>
      <c r="H302" s="22" t="str">
        <f>IFERROR(__xludf.DUMMYFUNCTION("""COMPUTED_VALUE"""),"Trần Quang Huynh")</f>
        <v>Trần Quang Huynh</v>
      </c>
      <c r="I302" s="22" t="str">
        <f>IFERROR(__xludf.DUMMYFUNCTION("""COMPUTED_VALUE"""),"Nam")</f>
        <v>Nam</v>
      </c>
      <c r="J302" s="24">
        <f>IFERROR(__xludf.DUMMYFUNCTION("""COMPUTED_VALUE"""),35753.0)</f>
        <v>35753</v>
      </c>
      <c r="K302" s="22" t="str">
        <f>IFERROR(__xludf.DUMMYFUNCTION("""COMPUTED_VALUE"""),"Xã Quảng Ninh - Tỉnh Thanh Hóa")</f>
        <v>Xã Quảng Ninh - Tỉnh Thanh Hóa</v>
      </c>
      <c r="L302" s="22" t="str">
        <f>IFERROR(__xludf.DUMMYFUNCTION("""COMPUTED_VALUE"""),"0977326982")</f>
        <v>0977326982</v>
      </c>
      <c r="M302" s="22" t="str">
        <f>IFERROR(__xludf.DUMMYFUNCTION("""COMPUTED_VALUE"""),"038097030277")</f>
        <v>038097030277</v>
      </c>
      <c r="N302" s="24">
        <f>IFERROR(__xludf.DUMMYFUNCTION("""COMPUTED_VALUE"""),44419.0)</f>
        <v>44419</v>
      </c>
      <c r="O302" s="22" t="str">
        <f>IFERROR(__xludf.DUMMYFUNCTION("""COMPUTED_VALUE"""),"Cục Cảnh sát QLHC về TTXH")</f>
        <v>Cục Cảnh sát QLHC về TTXH</v>
      </c>
      <c r="P302" s="22" t="str">
        <f>IFERROR(__xludf.DUMMYFUNCTION("""COMPUTED_VALUE"""),"Cao đẳng nghề")</f>
        <v>Cao đẳng nghề</v>
      </c>
      <c r="Q302" s="22" t="str">
        <f>IFERROR(__xludf.DUMMYFUNCTION("""COMPUTED_VALUE"""),"Cơ điện tử")</f>
        <v>Cơ điện tử</v>
      </c>
      <c r="R302" s="24">
        <f>IFERROR(__xludf.DUMMYFUNCTION("""COMPUTED_VALUE"""),44308.0)</f>
        <v>44308</v>
      </c>
      <c r="S302" s="24">
        <f>IFERROR(__xludf.DUMMYFUNCTION("""COMPUTED_VALUE"""),44621.0)</f>
        <v>44621</v>
      </c>
      <c r="T302" s="22" t="str">
        <f>IFERROR(__xludf.DUMMYFUNCTION("""COMPUTED_VALUE"""),"Chính thức")</f>
        <v>Chính thức</v>
      </c>
      <c r="U302" s="22"/>
      <c r="V302" s="22"/>
      <c r="W302" s="22" t="str">
        <f>IFERROR(__xludf.DUMMYFUNCTION("""COMPUTED_VALUE"""),"4 năm 8 tháng")</f>
        <v>4 năm 8 tháng</v>
      </c>
      <c r="X302" s="22"/>
      <c r="Y302" s="22"/>
      <c r="Z302" s="22"/>
    </row>
    <row r="303">
      <c r="A303" s="23" t="str">
        <f>IFERROR(__xludf.DUMMYFUNCTION("""COMPUTED_VALUE"""),"9")</f>
        <v>9</v>
      </c>
      <c r="B303" s="22" t="str">
        <f>IFERROR(__xludf.DUMMYFUNCTION("""COMPUTED_VALUE"""),"PXSX1")</f>
        <v>PXSX1</v>
      </c>
      <c r="C303" s="22" t="str">
        <f>IFERROR(__xludf.DUMMYFUNCTION("""COMPUTED_VALUE"""),"Phòng Kỹ thuật")</f>
        <v>Phòng Kỹ thuật</v>
      </c>
      <c r="D303" s="22" t="str">
        <f>IFERROR(__xludf.DUMMYFUNCTION("""COMPUTED_VALUE"""),"Cơ điện hành chính")</f>
        <v>Cơ điện hành chính</v>
      </c>
      <c r="E303" s="22" t="str">
        <f>IFERROR(__xludf.DUMMYFUNCTION("""COMPUTED_VALUE"""),"CĐHC mức 5")</f>
        <v>CĐHC mức 5</v>
      </c>
      <c r="F303" s="22" t="str">
        <f>IFERROR(__xludf.DUMMYFUNCTION("""COMPUTED_VALUE"""),"NV5765")</f>
        <v>NV5765</v>
      </c>
      <c r="G303" s="22">
        <f>IFERROR(__xludf.DUMMYFUNCTION("""COMPUTED_VALUE"""),1246.0)</f>
        <v>1246</v>
      </c>
      <c r="H303" s="22" t="str">
        <f>IFERROR(__xludf.DUMMYFUNCTION("""COMPUTED_VALUE"""),"Lê Văn Tư")</f>
        <v>Lê Văn Tư</v>
      </c>
      <c r="I303" s="22" t="str">
        <f>IFERROR(__xludf.DUMMYFUNCTION("""COMPUTED_VALUE"""),"Nam")</f>
        <v>Nam</v>
      </c>
      <c r="J303" s="24">
        <f>IFERROR(__xludf.DUMMYFUNCTION("""COMPUTED_VALUE"""),29627.0)</f>
        <v>29627</v>
      </c>
      <c r="K303" s="22" t="str">
        <f>IFERROR(__xludf.DUMMYFUNCTION("""COMPUTED_VALUE"""),"Thôn Hà Nội - Xã Hoàng Sơn - Tỉnh Thanh Hóa")</f>
        <v>Thôn Hà Nội - Xã Hoàng Sơn - Tỉnh Thanh Hóa</v>
      </c>
      <c r="L303" s="22" t="str">
        <f>IFERROR(__xludf.DUMMYFUNCTION("""COMPUTED_VALUE"""),"0363013234")</f>
        <v>0363013234</v>
      </c>
      <c r="M303" s="22" t="str">
        <f>IFERROR(__xludf.DUMMYFUNCTION("""COMPUTED_VALUE"""),"038081029763")</f>
        <v>038081029763</v>
      </c>
      <c r="N303" s="24">
        <f>IFERROR(__xludf.DUMMYFUNCTION("""COMPUTED_VALUE"""),44425.0)</f>
        <v>44425</v>
      </c>
      <c r="O303" s="22" t="str">
        <f>IFERROR(__xludf.DUMMYFUNCTION("""COMPUTED_VALUE"""),"Cục Cảnh sát QLHC về TTXH")</f>
        <v>Cục Cảnh sát QLHC về TTXH</v>
      </c>
      <c r="P303" s="22" t="str">
        <f>IFERROR(__xludf.DUMMYFUNCTION("""COMPUTED_VALUE"""),"Lao động có tay nghề")</f>
        <v>Lao động có tay nghề</v>
      </c>
      <c r="Q303" s="22" t="str">
        <f>IFERROR(__xludf.DUMMYFUNCTION("""COMPUTED_VALUE"""),"Bằng Nghề điện")</f>
        <v>Bằng Nghề điện</v>
      </c>
      <c r="R303" s="24">
        <f>IFERROR(__xludf.DUMMYFUNCTION("""COMPUTED_VALUE"""),45947.0)</f>
        <v>45947</v>
      </c>
      <c r="S303" s="22"/>
      <c r="T303" s="22" t="str">
        <f>IFERROR(__xludf.DUMMYFUNCTION("""COMPUTED_VALUE"""),"Thử việc")</f>
        <v>Thử việc</v>
      </c>
      <c r="U303" s="22"/>
      <c r="V303" s="22" t="str">
        <f>IFERROR(__xludf.DUMMYFUNCTION("""COMPUTED_VALUE"""),"Thử việc")</f>
        <v>Thử việc</v>
      </c>
      <c r="W303" s="22" t="str">
        <f>IFERROR(__xludf.DUMMYFUNCTION("""COMPUTED_VALUE"""),"0 năm 2 tháng")</f>
        <v>0 năm 2 tháng</v>
      </c>
      <c r="X303" s="22"/>
      <c r="Y303" s="22"/>
      <c r="Z303" s="22"/>
    </row>
    <row r="304">
      <c r="A304" s="23" t="str">
        <f>IFERROR(__xludf.DUMMYFUNCTION("""COMPUTED_VALUE"""),"10")</f>
        <v>10</v>
      </c>
      <c r="B304" s="22" t="str">
        <f>IFERROR(__xludf.DUMMYFUNCTION("""COMPUTED_VALUE"""),"PXSX1")</f>
        <v>PXSX1</v>
      </c>
      <c r="C304" s="22" t="str">
        <f>IFERROR(__xludf.DUMMYFUNCTION("""COMPUTED_VALUE"""),"Phòng Kỹ thuật")</f>
        <v>Phòng Kỹ thuật</v>
      </c>
      <c r="D304" s="22" t="str">
        <f>IFERROR(__xludf.DUMMYFUNCTION("""COMPUTED_VALUE"""),"Cơ điện hành chính")</f>
        <v>Cơ điện hành chính</v>
      </c>
      <c r="E304" s="22" t="str">
        <f>IFERROR(__xludf.DUMMYFUNCTION("""COMPUTED_VALUE"""),"CĐHC mức 5")</f>
        <v>CĐHC mức 5</v>
      </c>
      <c r="F304" s="22" t="str">
        <f>IFERROR(__xludf.DUMMYFUNCTION("""COMPUTED_VALUE"""),"NV5415")</f>
        <v>NV5415</v>
      </c>
      <c r="G304" s="22">
        <f>IFERROR(__xludf.DUMMYFUNCTION("""COMPUTED_VALUE"""),865.0)</f>
        <v>865</v>
      </c>
      <c r="H304" s="22" t="str">
        <f>IFERROR(__xludf.DUMMYFUNCTION("""COMPUTED_VALUE"""),"Lê Đình Hùng ")</f>
        <v>Lê Đình Hùng </v>
      </c>
      <c r="I304" s="22" t="str">
        <f>IFERROR(__xludf.DUMMYFUNCTION("""COMPUTED_VALUE"""),"Nam")</f>
        <v>Nam</v>
      </c>
      <c r="J304" s="24">
        <f>IFERROR(__xludf.DUMMYFUNCTION("""COMPUTED_VALUE"""),32685.0)</f>
        <v>32685</v>
      </c>
      <c r="K304" s="22" t="str">
        <f>IFERROR(__xludf.DUMMYFUNCTION("""COMPUTED_VALUE"""),"TDP Thành Huy -  Phường Đông Sơn - Tỉnh Thanh Hóa")</f>
        <v>TDP Thành Huy -  Phường Đông Sơn - Tỉnh Thanh Hóa</v>
      </c>
      <c r="L304" s="22" t="str">
        <f>IFERROR(__xludf.DUMMYFUNCTION("""COMPUTED_VALUE"""),"0394614700")</f>
        <v>0394614700</v>
      </c>
      <c r="M304" s="22" t="str">
        <f>IFERROR(__xludf.DUMMYFUNCTION("""COMPUTED_VALUE"""),"038089046640")</f>
        <v>038089046640</v>
      </c>
      <c r="N304" s="24">
        <f>IFERROR(__xludf.DUMMYFUNCTION("""COMPUTED_VALUE"""),44524.0)</f>
        <v>44524</v>
      </c>
      <c r="O304" s="22" t="str">
        <f>IFERROR(__xludf.DUMMYFUNCTION("""COMPUTED_VALUE"""),"Cục Cảnh sát QLHC về TTXH")</f>
        <v>Cục Cảnh sát QLHC về TTXH</v>
      </c>
      <c r="P304" s="22" t="str">
        <f>IFERROR(__xludf.DUMMYFUNCTION("""COMPUTED_VALUE"""),"Cao đẳng")</f>
        <v>Cao đẳng</v>
      </c>
      <c r="Q304" s="22" t="str">
        <f>IFERROR(__xludf.DUMMYFUNCTION("""COMPUTED_VALUE"""),"Công nghệ Ô tô")</f>
        <v>Công nghệ Ô tô</v>
      </c>
      <c r="R304" s="22"/>
      <c r="S304" s="24">
        <f>IFERROR(__xludf.DUMMYFUNCTION("""COMPUTED_VALUE"""),45966.0)</f>
        <v>45966</v>
      </c>
      <c r="T304" s="22" t="str">
        <f>IFERROR(__xludf.DUMMYFUNCTION("""COMPUTED_VALUE"""),"Chính thức")</f>
        <v>Chính thức</v>
      </c>
      <c r="U304" s="22"/>
      <c r="V304" s="22" t="str">
        <f>IFERROR(__xludf.DUMMYFUNCTION("""COMPUTED_VALUE"""),"Chính thức")</f>
        <v>Chính thức</v>
      </c>
      <c r="W304" s="22" t="str">
        <f>IFERROR(__xludf.DUMMYFUNCTION("""COMPUTED_VALUE"""),"0 năm 1 tháng")</f>
        <v>0 năm 1 tháng</v>
      </c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3" t="str">
        <f>IFERROR(__xludf.DUMMYFUNCTION("""COMPUTED_VALUE"""),"5.4")</f>
        <v>5.4</v>
      </c>
      <c r="B306" s="22" t="str">
        <f>IFERROR(__xludf.DUMMYFUNCTION("""COMPUTED_VALUE"""),"Cơ điện Ca A")</f>
        <v>Cơ điện Ca A</v>
      </c>
      <c r="C306" s="22">
        <f>IFERROR(__xludf.DUMMYFUNCTION("""COMPUTED_VALUE"""),4.0)</f>
        <v>4</v>
      </c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3" t="str">
        <f>IFERROR(__xludf.DUMMYFUNCTION("""COMPUTED_VALUE"""),"1")</f>
        <v>1</v>
      </c>
      <c r="B307" s="22" t="str">
        <f>IFERROR(__xludf.DUMMYFUNCTION("""COMPUTED_VALUE"""),"PXSX1")</f>
        <v>PXSX1</v>
      </c>
      <c r="C307" s="22" t="str">
        <f>IFERROR(__xludf.DUMMYFUNCTION("""COMPUTED_VALUE"""),"Phòng Kỹ thuật")</f>
        <v>Phòng Kỹ thuật</v>
      </c>
      <c r="D307" s="22" t="str">
        <f>IFERROR(__xludf.DUMMYFUNCTION("""COMPUTED_VALUE"""),"Cơ điện Ca A")</f>
        <v>Cơ điện Ca A</v>
      </c>
      <c r="E307" s="22" t="str">
        <f>IFERROR(__xludf.DUMMYFUNCTION("""COMPUTED_VALUE"""),"Cơ điện đi ca")</f>
        <v>Cơ điện đi ca</v>
      </c>
      <c r="F307" s="22" t="str">
        <f>IFERROR(__xludf.DUMMYFUNCTION("""COMPUTED_VALUE"""),"NV5006")</f>
        <v>NV5006</v>
      </c>
      <c r="G307" s="22">
        <f>IFERROR(__xludf.DUMMYFUNCTION("""COMPUTED_VALUE"""),664.0)</f>
        <v>664</v>
      </c>
      <c r="H307" s="22" t="str">
        <f>IFERROR(__xludf.DUMMYFUNCTION("""COMPUTED_VALUE"""),"Lê Công Dụng")</f>
        <v>Lê Công Dụng</v>
      </c>
      <c r="I307" s="22" t="str">
        <f>IFERROR(__xludf.DUMMYFUNCTION("""COMPUTED_VALUE"""),"Nam")</f>
        <v>Nam</v>
      </c>
      <c r="J307" s="24">
        <f>IFERROR(__xludf.DUMMYFUNCTION("""COMPUTED_VALUE"""),32336.0)</f>
        <v>32336</v>
      </c>
      <c r="K307" s="22" t="str">
        <f>IFERROR(__xludf.DUMMYFUNCTION("""COMPUTED_VALUE"""),"Xã Quảng Ninh - Tỉnh Thanh Hóa")</f>
        <v>Xã Quảng Ninh - Tỉnh Thanh Hóa</v>
      </c>
      <c r="L307" s="22"/>
      <c r="M307" s="22" t="str">
        <f>IFERROR(__xludf.DUMMYFUNCTION("""COMPUTED_VALUE"""),"038088007571")</f>
        <v>038088007571</v>
      </c>
      <c r="N307" s="24">
        <f>IFERROR(__xludf.DUMMYFUNCTION("""COMPUTED_VALUE"""),44983.0)</f>
        <v>44983</v>
      </c>
      <c r="O307" s="22" t="str">
        <f>IFERROR(__xludf.DUMMYFUNCTION("""COMPUTED_VALUE"""),"Cục Cảnh sát QLHC về TTXH")</f>
        <v>Cục Cảnh sát QLHC về TTXH</v>
      </c>
      <c r="P307" s="22" t="str">
        <f>IFERROR(__xludf.DUMMYFUNCTION("""COMPUTED_VALUE"""),"Cao đẳng nghề")</f>
        <v>Cao đẳng nghề</v>
      </c>
      <c r="Q307" s="22" t="str">
        <f>IFERROR(__xludf.DUMMYFUNCTION("""COMPUTED_VALUE"""),"Nghề hàn")</f>
        <v>Nghề hàn</v>
      </c>
      <c r="R307" s="24">
        <f>IFERROR(__xludf.DUMMYFUNCTION("""COMPUTED_VALUE"""),45348.0)</f>
        <v>45348</v>
      </c>
      <c r="S307" s="24">
        <f>IFERROR(__xludf.DUMMYFUNCTION("""COMPUTED_VALUE"""),45444.0)</f>
        <v>45444</v>
      </c>
      <c r="T307" s="22" t="str">
        <f>IFERROR(__xludf.DUMMYFUNCTION("""COMPUTED_VALUE"""),"Chính thức")</f>
        <v>Chính thức</v>
      </c>
      <c r="U307" s="22"/>
      <c r="V307" s="22"/>
      <c r="W307" s="22" t="str">
        <f>IFERROR(__xludf.DUMMYFUNCTION("""COMPUTED_VALUE"""),"1 năm 10 tháng")</f>
        <v>1 năm 10 tháng</v>
      </c>
      <c r="X307" s="22"/>
      <c r="Y307" s="22"/>
      <c r="Z307" s="22"/>
    </row>
    <row r="308">
      <c r="A308" s="23" t="str">
        <f>IFERROR(__xludf.DUMMYFUNCTION("""COMPUTED_VALUE"""),"2")</f>
        <v>2</v>
      </c>
      <c r="B308" s="22" t="str">
        <f>IFERROR(__xludf.DUMMYFUNCTION("""COMPUTED_VALUE"""),"PXSX1")</f>
        <v>PXSX1</v>
      </c>
      <c r="C308" s="22" t="str">
        <f>IFERROR(__xludf.DUMMYFUNCTION("""COMPUTED_VALUE"""),"Phòng Kỹ thuật")</f>
        <v>Phòng Kỹ thuật</v>
      </c>
      <c r="D308" s="22" t="str">
        <f>IFERROR(__xludf.DUMMYFUNCTION("""COMPUTED_VALUE"""),"Cơ điện Ca A")</f>
        <v>Cơ điện Ca A</v>
      </c>
      <c r="E308" s="22" t="str">
        <f>IFERROR(__xludf.DUMMYFUNCTION("""COMPUTED_VALUE"""),"NT cơ điện đi ca")</f>
        <v>NT cơ điện đi ca</v>
      </c>
      <c r="F308" s="22" t="str">
        <f>IFERROR(__xludf.DUMMYFUNCTION("""COMPUTED_VALUE"""),"NV0960")</f>
        <v>NV0960</v>
      </c>
      <c r="G308" s="22">
        <f>IFERROR(__xludf.DUMMYFUNCTION("""COMPUTED_VALUE"""),584.0)</f>
        <v>584</v>
      </c>
      <c r="H308" s="22" t="str">
        <f>IFERROR(__xludf.DUMMYFUNCTION("""COMPUTED_VALUE"""),"Lê Văn Nam")</f>
        <v>Lê Văn Nam</v>
      </c>
      <c r="I308" s="22" t="str">
        <f>IFERROR(__xludf.DUMMYFUNCTION("""COMPUTED_VALUE"""),"Nam")</f>
        <v>Nam</v>
      </c>
      <c r="J308" s="24">
        <f>IFERROR(__xludf.DUMMYFUNCTION("""COMPUTED_VALUE"""),32883.0)</f>
        <v>32883</v>
      </c>
      <c r="K308" s="22" t="str">
        <f>IFERROR(__xludf.DUMMYFUNCTION("""COMPUTED_VALUE"""),"20/438 Phú Liên - Phường Hạc Thành - Tỉnh Thanh Hóa")</f>
        <v>20/438 Phú Liên - Phường Hạc Thành - Tỉnh Thanh Hóa</v>
      </c>
      <c r="L308" s="22" t="str">
        <f>IFERROR(__xludf.DUMMYFUNCTION("""COMPUTED_VALUE"""),"0964923636")</f>
        <v>0964923636</v>
      </c>
      <c r="M308" s="22" t="str">
        <f>IFERROR(__xludf.DUMMYFUNCTION("""COMPUTED_VALUE"""),"038090038478")</f>
        <v>038090038478</v>
      </c>
      <c r="N308" s="24">
        <f>IFERROR(__xludf.DUMMYFUNCTION("""COMPUTED_VALUE"""),44418.0)</f>
        <v>44418</v>
      </c>
      <c r="O308" s="22" t="str">
        <f>IFERROR(__xludf.DUMMYFUNCTION("""COMPUTED_VALUE"""),"Cục Cảnh sát QLHC về TTXH")</f>
        <v>Cục Cảnh sát QLHC về TTXH</v>
      </c>
      <c r="P308" s="22" t="str">
        <f>IFERROR(__xludf.DUMMYFUNCTION("""COMPUTED_VALUE"""),"Trung cấp")</f>
        <v>Trung cấp</v>
      </c>
      <c r="Q308" s="22" t="str">
        <f>IFERROR(__xludf.DUMMYFUNCTION("""COMPUTED_VALUE"""),"Cơ khí")</f>
        <v>Cơ khí</v>
      </c>
      <c r="R308" s="24">
        <f>IFERROR(__xludf.DUMMYFUNCTION("""COMPUTED_VALUE"""),42864.0)</f>
        <v>42864</v>
      </c>
      <c r="S308" s="24">
        <f>IFERROR(__xludf.DUMMYFUNCTION("""COMPUTED_VALUE"""),42864.0)</f>
        <v>42864</v>
      </c>
      <c r="T308" s="22" t="str">
        <f>IFERROR(__xludf.DUMMYFUNCTION("""COMPUTED_VALUE"""),"Chính thức")</f>
        <v>Chính thức</v>
      </c>
      <c r="U308" s="22"/>
      <c r="V308" s="22"/>
      <c r="W308" s="22" t="str">
        <f>IFERROR(__xludf.DUMMYFUNCTION("""COMPUTED_VALUE"""),"8 năm 7 tháng")</f>
        <v>8 năm 7 tháng</v>
      </c>
      <c r="X308" s="22"/>
      <c r="Y308" s="22"/>
      <c r="Z308" s="22"/>
    </row>
    <row r="309">
      <c r="A309" s="23" t="str">
        <f>IFERROR(__xludf.DUMMYFUNCTION("""COMPUTED_VALUE"""),"3")</f>
        <v>3</v>
      </c>
      <c r="B309" s="22" t="str">
        <f>IFERROR(__xludf.DUMMYFUNCTION("""COMPUTED_VALUE"""),"PXSX1")</f>
        <v>PXSX1</v>
      </c>
      <c r="C309" s="22" t="str">
        <f>IFERROR(__xludf.DUMMYFUNCTION("""COMPUTED_VALUE"""),"Phòng Kỹ thuật")</f>
        <v>Phòng Kỹ thuật</v>
      </c>
      <c r="D309" s="22" t="str">
        <f>IFERROR(__xludf.DUMMYFUNCTION("""COMPUTED_VALUE"""),"Cơ điện Ca A")</f>
        <v>Cơ điện Ca A</v>
      </c>
      <c r="E309" s="22" t="str">
        <f>IFERROR(__xludf.DUMMYFUNCTION("""COMPUTED_VALUE"""),"Cơ điện đi ca")</f>
        <v>Cơ điện đi ca</v>
      </c>
      <c r="F309" s="22" t="str">
        <f>IFERROR(__xludf.DUMMYFUNCTION("""COMPUTED_VALUE"""),"NV1264")</f>
        <v>NV1264</v>
      </c>
      <c r="G309" s="22">
        <f>IFERROR(__xludf.DUMMYFUNCTION("""COMPUTED_VALUE"""),293.0)</f>
        <v>293</v>
      </c>
      <c r="H309" s="22" t="str">
        <f>IFERROR(__xludf.DUMMYFUNCTION("""COMPUTED_VALUE"""),"Mai Đình Tư")</f>
        <v>Mai Đình Tư</v>
      </c>
      <c r="I309" s="22" t="str">
        <f>IFERROR(__xludf.DUMMYFUNCTION("""COMPUTED_VALUE"""),"Nam")</f>
        <v>Nam</v>
      </c>
      <c r="J309" s="24">
        <f>IFERROR(__xludf.DUMMYFUNCTION("""COMPUTED_VALUE"""),33628.0)</f>
        <v>33628</v>
      </c>
      <c r="K309" s="22" t="str">
        <f>IFERROR(__xludf.DUMMYFUNCTION("""COMPUTED_VALUE"""),"Đồng Võng - Xã Lưu Vệ - Tỉnh Thanh Hóa")</f>
        <v>Đồng Võng - Xã Lưu Vệ - Tỉnh Thanh Hóa</v>
      </c>
      <c r="L309" s="22" t="str">
        <f>IFERROR(__xludf.DUMMYFUNCTION("""COMPUTED_VALUE"""),"0986290832")</f>
        <v>0986290832</v>
      </c>
      <c r="M309" s="22" t="str">
        <f>IFERROR(__xludf.DUMMYFUNCTION("""COMPUTED_VALUE"""),"038092010179")</f>
        <v>038092010179</v>
      </c>
      <c r="N309" s="24">
        <f>IFERROR(__xludf.DUMMYFUNCTION("""COMPUTED_VALUE"""),44375.0)</f>
        <v>44375</v>
      </c>
      <c r="O309" s="22" t="str">
        <f>IFERROR(__xludf.DUMMYFUNCTION("""COMPUTED_VALUE"""),"Cục Cảnh sát QLHC về TTXH")</f>
        <v>Cục Cảnh sát QLHC về TTXH</v>
      </c>
      <c r="P309" s="22" t="str">
        <f>IFERROR(__xludf.DUMMYFUNCTION("""COMPUTED_VALUE"""),"Trung cấp, nghề")</f>
        <v>Trung cấp, nghề</v>
      </c>
      <c r="Q309" s="22" t="str">
        <f>IFERROR(__xludf.DUMMYFUNCTION("""COMPUTED_VALUE"""),"Điện công nghiệp")</f>
        <v>Điện công nghiệp</v>
      </c>
      <c r="R309" s="24">
        <f>IFERROR(__xludf.DUMMYFUNCTION("""COMPUTED_VALUE"""),44169.0)</f>
        <v>44169</v>
      </c>
      <c r="S309" s="24">
        <f>IFERROR(__xludf.DUMMYFUNCTION("""COMPUTED_VALUE"""),44169.0)</f>
        <v>44169</v>
      </c>
      <c r="T309" s="22" t="str">
        <f>IFERROR(__xludf.DUMMYFUNCTION("""COMPUTED_VALUE"""),"Chính thức")</f>
        <v>Chính thức</v>
      </c>
      <c r="U309" s="22"/>
      <c r="V309" s="22"/>
      <c r="W309" s="22" t="str">
        <f>IFERROR(__xludf.DUMMYFUNCTION("""COMPUTED_VALUE"""),"5 năm 0 tháng")</f>
        <v>5 năm 0 tháng</v>
      </c>
      <c r="X309" s="22"/>
      <c r="Y309" s="22"/>
      <c r="Z309" s="22"/>
    </row>
    <row r="310">
      <c r="A310" s="23" t="str">
        <f>IFERROR(__xludf.DUMMYFUNCTION("""COMPUTED_VALUE"""),"4")</f>
        <v>4</v>
      </c>
      <c r="B310" s="22" t="str">
        <f>IFERROR(__xludf.DUMMYFUNCTION("""COMPUTED_VALUE"""),"PXSX1")</f>
        <v>PXSX1</v>
      </c>
      <c r="C310" s="22" t="str">
        <f>IFERROR(__xludf.DUMMYFUNCTION("""COMPUTED_VALUE"""),"Phòng Kỹ thuật")</f>
        <v>Phòng Kỹ thuật</v>
      </c>
      <c r="D310" s="22" t="str">
        <f>IFERROR(__xludf.DUMMYFUNCTION("""COMPUTED_VALUE"""),"Cơ điện Ca A")</f>
        <v>Cơ điện Ca A</v>
      </c>
      <c r="E310" s="22" t="str">
        <f>IFERROR(__xludf.DUMMYFUNCTION("""COMPUTED_VALUE"""),"Cơ điện đi ca")</f>
        <v>Cơ điện đi ca</v>
      </c>
      <c r="F310" s="22" t="str">
        <f>IFERROR(__xludf.DUMMYFUNCTION("""COMPUTED_VALUE"""),"NV4979")</f>
        <v>NV4979</v>
      </c>
      <c r="G310" s="22">
        <f>IFERROR(__xludf.DUMMYFUNCTION("""COMPUTED_VALUE"""),694.0)</f>
        <v>694</v>
      </c>
      <c r="H310" s="22" t="str">
        <f>IFERROR(__xludf.DUMMYFUNCTION("""COMPUTED_VALUE"""),"Lê Thanh Anh")</f>
        <v>Lê Thanh Anh</v>
      </c>
      <c r="I310" s="22" t="str">
        <f>IFERROR(__xludf.DUMMYFUNCTION("""COMPUTED_VALUE"""),"Nam")</f>
        <v>Nam</v>
      </c>
      <c r="J310" s="24">
        <f>IFERROR(__xludf.DUMMYFUNCTION("""COMPUTED_VALUE"""),34933.0)</f>
        <v>34933</v>
      </c>
      <c r="K310" s="22" t="str">
        <f>IFERROR(__xludf.DUMMYFUNCTION("""COMPUTED_VALUE"""),"Xã Quảng Ngọc - Tỉnh Thanh Hóa ")</f>
        <v>Xã Quảng Ngọc - Tỉnh Thanh Hóa </v>
      </c>
      <c r="L310" s="22" t="str">
        <f>IFERROR(__xludf.DUMMYFUNCTION("""COMPUTED_VALUE"""),"0344256558")</f>
        <v>0344256558</v>
      </c>
      <c r="M310" s="22" t="str">
        <f>IFERROR(__xludf.DUMMYFUNCTION("""COMPUTED_VALUE"""),"038095023407")</f>
        <v>038095023407</v>
      </c>
      <c r="N310" s="24">
        <f>IFERROR(__xludf.DUMMYFUNCTION("""COMPUTED_VALUE"""),44779.0)</f>
        <v>44779</v>
      </c>
      <c r="O310" s="22" t="str">
        <f>IFERROR(__xludf.DUMMYFUNCTION("""COMPUTED_VALUE"""),"Cục Cảnh sát QLHC về TTXH")</f>
        <v>Cục Cảnh sát QLHC về TTXH</v>
      </c>
      <c r="P310" s="22" t="str">
        <f>IFERROR(__xludf.DUMMYFUNCTION("""COMPUTED_VALUE"""),"Đại học")</f>
        <v>Đại học</v>
      </c>
      <c r="Q310" s="22" t="str">
        <f>IFERROR(__xludf.DUMMYFUNCTION("""COMPUTED_VALUE"""),"Công nghệ kỹ thuật điện -  điện tử")</f>
        <v>Công nghệ kỹ thuật điện -  điện tử</v>
      </c>
      <c r="R310" s="24">
        <f>IFERROR(__xludf.DUMMYFUNCTION("""COMPUTED_VALUE"""),45285.0)</f>
        <v>45285</v>
      </c>
      <c r="S310" s="24">
        <f>IFERROR(__xludf.DUMMYFUNCTION("""COMPUTED_VALUE"""),45383.0)</f>
        <v>45383</v>
      </c>
      <c r="T310" s="22" t="str">
        <f>IFERROR(__xludf.DUMMYFUNCTION("""COMPUTED_VALUE"""),"Chính thức")</f>
        <v>Chính thức</v>
      </c>
      <c r="U310" s="22"/>
      <c r="V310" s="22" t="str">
        <f>IFERROR(__xludf.DUMMYFUNCTION("""COMPUTED_VALUE"""),"Nghỉ phép")</f>
        <v>Nghỉ phép</v>
      </c>
      <c r="W310" s="22" t="str">
        <f>IFERROR(__xludf.DUMMYFUNCTION("""COMPUTED_VALUE"""),"2 năm 0 tháng")</f>
        <v>2 năm 0 tháng</v>
      </c>
      <c r="X310" s="22"/>
      <c r="Y310" s="22"/>
      <c r="Z310" s="22"/>
    </row>
    <row r="311">
      <c r="A311" s="23" t="str">
        <f>IFERROR(__xludf.DUMMYFUNCTION("""COMPUTED_VALUE"""),"5")</f>
        <v>5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3" t="str">
        <f>IFERROR(__xludf.DUMMYFUNCTION("""COMPUTED_VALUE"""),"5.5")</f>
        <v>5.5</v>
      </c>
      <c r="B312" s="22" t="str">
        <f>IFERROR(__xludf.DUMMYFUNCTION("""COMPUTED_VALUE"""),"Cơ điện Ca B")</f>
        <v>Cơ điện Ca B</v>
      </c>
      <c r="C312" s="22">
        <f>IFERROR(__xludf.DUMMYFUNCTION("""COMPUTED_VALUE"""),4.0)</f>
        <v>4</v>
      </c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3" t="str">
        <f>IFERROR(__xludf.DUMMYFUNCTION("""COMPUTED_VALUE"""),"1")</f>
        <v>1</v>
      </c>
      <c r="B313" s="22" t="str">
        <f>IFERROR(__xludf.DUMMYFUNCTION("""COMPUTED_VALUE"""),"PXSX1")</f>
        <v>PXSX1</v>
      </c>
      <c r="C313" s="22" t="str">
        <f>IFERROR(__xludf.DUMMYFUNCTION("""COMPUTED_VALUE"""),"Phòng Kỹ thuật")</f>
        <v>Phòng Kỹ thuật</v>
      </c>
      <c r="D313" s="22" t="str">
        <f>IFERROR(__xludf.DUMMYFUNCTION("""COMPUTED_VALUE"""),"Cơ điện Ca B")</f>
        <v>Cơ điện Ca B</v>
      </c>
      <c r="E313" s="22" t="str">
        <f>IFERROR(__xludf.DUMMYFUNCTION("""COMPUTED_VALUE"""),"Cơ điện đi ca")</f>
        <v>Cơ điện đi ca</v>
      </c>
      <c r="F313" s="22" t="str">
        <f>IFERROR(__xludf.DUMMYFUNCTION("""COMPUTED_VALUE"""),"NV5500")</f>
        <v>NV5500</v>
      </c>
      <c r="G313" s="22">
        <f>IFERROR(__xludf.DUMMYFUNCTION("""COMPUTED_VALUE"""),983.0)</f>
        <v>983</v>
      </c>
      <c r="H313" s="22" t="str">
        <f>IFERROR(__xludf.DUMMYFUNCTION("""COMPUTED_VALUE"""),"Hồ Xuân Khải")</f>
        <v>Hồ Xuân Khải</v>
      </c>
      <c r="I313" s="22" t="str">
        <f>IFERROR(__xludf.DUMMYFUNCTION("""COMPUTED_VALUE"""),"Nam")</f>
        <v>Nam</v>
      </c>
      <c r="J313" s="24">
        <f>IFERROR(__xludf.DUMMYFUNCTION("""COMPUTED_VALUE"""),31104.0)</f>
        <v>31104</v>
      </c>
      <c r="K313" s="22" t="str">
        <f>IFERROR(__xludf.DUMMYFUNCTION("""COMPUTED_VALUE"""),"Xã Tiên Trang - Tỉnh Thanh Hóa")</f>
        <v>Xã Tiên Trang - Tỉnh Thanh Hóa</v>
      </c>
      <c r="L313" s="22" t="str">
        <f>IFERROR(__xludf.DUMMYFUNCTION("""COMPUTED_VALUE"""),"0356273745")</f>
        <v>0356273745</v>
      </c>
      <c r="M313" s="22" t="str">
        <f>IFERROR(__xludf.DUMMYFUNCTION("""COMPUTED_VALUE"""),"038085016548")</f>
        <v>038085016548</v>
      </c>
      <c r="N313" s="24">
        <f>IFERROR(__xludf.DUMMYFUNCTION("""COMPUTED_VALUE"""),45733.0)</f>
        <v>45733</v>
      </c>
      <c r="O313" s="22" t="str">
        <f>IFERROR(__xludf.DUMMYFUNCTION("""COMPUTED_VALUE"""),"Bộ công an")</f>
        <v>Bộ công an</v>
      </c>
      <c r="P313" s="22" t="str">
        <f>IFERROR(__xludf.DUMMYFUNCTION("""COMPUTED_VALUE"""),"Đại học")</f>
        <v>Đại học</v>
      </c>
      <c r="Q313" s="22" t="str">
        <f>IFERROR(__xludf.DUMMYFUNCTION("""COMPUTED_VALUE"""),"Kỹ sư điện")</f>
        <v>Kỹ sư điện</v>
      </c>
      <c r="R313" s="24">
        <f>IFERROR(__xludf.DUMMYFUNCTION("""COMPUTED_VALUE"""),45810.0)</f>
        <v>45810</v>
      </c>
      <c r="S313" s="22"/>
      <c r="T313" s="22" t="str">
        <f>IFERROR(__xludf.DUMMYFUNCTION("""COMPUTED_VALUE"""),"Chính thức")</f>
        <v>Chính thức</v>
      </c>
      <c r="U313" s="22"/>
      <c r="V313" s="22"/>
      <c r="W313" s="22" t="str">
        <f>IFERROR(__xludf.DUMMYFUNCTION("""COMPUTED_VALUE"""),"0 năm 6 tháng")</f>
        <v>0 năm 6 tháng</v>
      </c>
      <c r="X313" s="22"/>
      <c r="Y313" s="22"/>
      <c r="Z313" s="22"/>
    </row>
    <row r="314">
      <c r="A314" s="23" t="str">
        <f>IFERROR(__xludf.DUMMYFUNCTION("""COMPUTED_VALUE"""),"2")</f>
        <v>2</v>
      </c>
      <c r="B314" s="22" t="str">
        <f>IFERROR(__xludf.DUMMYFUNCTION("""COMPUTED_VALUE"""),"PXSX1")</f>
        <v>PXSX1</v>
      </c>
      <c r="C314" s="22" t="str">
        <f>IFERROR(__xludf.DUMMYFUNCTION("""COMPUTED_VALUE"""),"Phòng Kỹ thuật")</f>
        <v>Phòng Kỹ thuật</v>
      </c>
      <c r="D314" s="22" t="str">
        <f>IFERROR(__xludf.DUMMYFUNCTION("""COMPUTED_VALUE"""),"Cơ điện Ca B")</f>
        <v>Cơ điện Ca B</v>
      </c>
      <c r="E314" s="22" t="str">
        <f>IFERROR(__xludf.DUMMYFUNCTION("""COMPUTED_VALUE"""),"Kỹ thuật đi ca")</f>
        <v>Kỹ thuật đi ca</v>
      </c>
      <c r="F314" s="22" t="str">
        <f>IFERROR(__xludf.DUMMYFUNCTION("""COMPUTED_VALUE"""),"NV0105")</f>
        <v>NV0105</v>
      </c>
      <c r="G314" s="22">
        <f>IFERROR(__xludf.DUMMYFUNCTION("""COMPUTED_VALUE"""),278.0)</f>
        <v>278</v>
      </c>
      <c r="H314" s="22" t="str">
        <f>IFERROR(__xludf.DUMMYFUNCTION("""COMPUTED_VALUE"""),"Trần Văn Luân")</f>
        <v>Trần Văn Luân</v>
      </c>
      <c r="I314" s="22" t="str">
        <f>IFERROR(__xludf.DUMMYFUNCTION("""COMPUTED_VALUE"""),"Nam")</f>
        <v>Nam</v>
      </c>
      <c r="J314" s="24">
        <f>IFERROR(__xludf.DUMMYFUNCTION("""COMPUTED_VALUE"""),32146.0)</f>
        <v>32146</v>
      </c>
      <c r="K314" s="22" t="str">
        <f>IFERROR(__xludf.DUMMYFUNCTION("""COMPUTED_VALUE"""),"Phố Thành Yên - Phường Quảng Phú - Tỉnh Thanh Hóa")</f>
        <v>Phố Thành Yên - Phường Quảng Phú - Tỉnh Thanh Hóa</v>
      </c>
      <c r="L314" s="22" t="str">
        <f>IFERROR(__xludf.DUMMYFUNCTION("""COMPUTED_VALUE"""),"0936313345")</f>
        <v>0936313345</v>
      </c>
      <c r="M314" s="22" t="str">
        <f>IFERROR(__xludf.DUMMYFUNCTION("""COMPUTED_VALUE"""),"038088042659")</f>
        <v>038088042659</v>
      </c>
      <c r="N314" s="24">
        <f>IFERROR(__xludf.DUMMYFUNCTION("""COMPUTED_VALUE"""),44375.0)</f>
        <v>44375</v>
      </c>
      <c r="O314" s="22" t="str">
        <f>IFERROR(__xludf.DUMMYFUNCTION("""COMPUTED_VALUE"""),"Cục Cảnh sát QLHC về TTXH")</f>
        <v>Cục Cảnh sát QLHC về TTXH</v>
      </c>
      <c r="P314" s="22" t="str">
        <f>IFERROR(__xludf.DUMMYFUNCTION("""COMPUTED_VALUE"""),"Cao đẳng")</f>
        <v>Cao đẳng</v>
      </c>
      <c r="Q314" s="22" t="str">
        <f>IFERROR(__xludf.DUMMYFUNCTION("""COMPUTED_VALUE"""),"điện công nghiệp")</f>
        <v>điện công nghiệp</v>
      </c>
      <c r="R314" s="24">
        <f>IFERROR(__xludf.DUMMYFUNCTION("""COMPUTED_VALUE"""),41754.0)</f>
        <v>41754</v>
      </c>
      <c r="S314" s="24">
        <f>IFERROR(__xludf.DUMMYFUNCTION("""COMPUTED_VALUE"""),41754.0)</f>
        <v>41754</v>
      </c>
      <c r="T314" s="22" t="str">
        <f>IFERROR(__xludf.DUMMYFUNCTION("""COMPUTED_VALUE"""),"Chính thức")</f>
        <v>Chính thức</v>
      </c>
      <c r="U314" s="22"/>
      <c r="V314" s="22"/>
      <c r="W314" s="22" t="str">
        <f>IFERROR(__xludf.DUMMYFUNCTION("""COMPUTED_VALUE"""),"11 năm 8 tháng")</f>
        <v>11 năm 8 tháng</v>
      </c>
      <c r="X314" s="22"/>
      <c r="Y314" s="22"/>
      <c r="Z314" s="22"/>
    </row>
    <row r="315">
      <c r="A315" s="23" t="str">
        <f>IFERROR(__xludf.DUMMYFUNCTION("""COMPUTED_VALUE"""),"3")</f>
        <v>3</v>
      </c>
      <c r="B315" s="22" t="str">
        <f>IFERROR(__xludf.DUMMYFUNCTION("""COMPUTED_VALUE"""),"PXSX1")</f>
        <v>PXSX1</v>
      </c>
      <c r="C315" s="22" t="str">
        <f>IFERROR(__xludf.DUMMYFUNCTION("""COMPUTED_VALUE"""),"Phòng Kỹ thuật")</f>
        <v>Phòng Kỹ thuật</v>
      </c>
      <c r="D315" s="22" t="str">
        <f>IFERROR(__xludf.DUMMYFUNCTION("""COMPUTED_VALUE"""),"Cơ điện Ca B")</f>
        <v>Cơ điện Ca B</v>
      </c>
      <c r="E315" s="22" t="str">
        <f>IFERROR(__xludf.DUMMYFUNCTION("""COMPUTED_VALUE"""),"NT cơ điện đi ca")</f>
        <v>NT cơ điện đi ca</v>
      </c>
      <c r="F315" s="22" t="str">
        <f>IFERROR(__xludf.DUMMYFUNCTION("""COMPUTED_VALUE"""),"NV0866")</f>
        <v>NV0866</v>
      </c>
      <c r="G315" s="22">
        <f>IFERROR(__xludf.DUMMYFUNCTION("""COMPUTED_VALUE"""),280.0)</f>
        <v>280</v>
      </c>
      <c r="H315" s="22" t="str">
        <f>IFERROR(__xludf.DUMMYFUNCTION("""COMPUTED_VALUE"""),"Lê Công Dương")</f>
        <v>Lê Công Dương</v>
      </c>
      <c r="I315" s="22" t="str">
        <f>IFERROR(__xludf.DUMMYFUNCTION("""COMPUTED_VALUE"""),"Nam")</f>
        <v>Nam</v>
      </c>
      <c r="J315" s="24">
        <f>IFERROR(__xludf.DUMMYFUNCTION("""COMPUTED_VALUE"""),33803.0)</f>
        <v>33803</v>
      </c>
      <c r="K315" s="22" t="str">
        <f>IFERROR(__xludf.DUMMYFUNCTION("""COMPUTED_VALUE"""),"Xã Quảng Ninh - Tỉnh Thanh Hóa")</f>
        <v>Xã Quảng Ninh - Tỉnh Thanh Hóa</v>
      </c>
      <c r="L315" s="22" t="str">
        <f>IFERROR(__xludf.DUMMYFUNCTION("""COMPUTED_VALUE"""),"0373071831")</f>
        <v>0373071831</v>
      </c>
      <c r="M315" s="22" t="str">
        <f>IFERROR(__xludf.DUMMYFUNCTION("""COMPUTED_VALUE"""),"038092018206")</f>
        <v>038092018206</v>
      </c>
      <c r="N315" s="24">
        <f>IFERROR(__xludf.DUMMYFUNCTION("""COMPUTED_VALUE"""),44419.0)</f>
        <v>44419</v>
      </c>
      <c r="O315" s="22" t="str">
        <f>IFERROR(__xludf.DUMMYFUNCTION("""COMPUTED_VALUE"""),"Cục Cảnh sát QLHC về TTXH")</f>
        <v>Cục Cảnh sát QLHC về TTXH</v>
      </c>
      <c r="P315" s="22" t="str">
        <f>IFERROR(__xludf.DUMMYFUNCTION("""COMPUTED_VALUE"""),"Cao đẳng")</f>
        <v>Cao đẳng</v>
      </c>
      <c r="Q315" s="22" t="str">
        <f>IFERROR(__xludf.DUMMYFUNCTION("""COMPUTED_VALUE"""),"Kỹ thuật máy lạnh - điều hòa không khí")</f>
        <v>Kỹ thuật máy lạnh - điều hòa không khí</v>
      </c>
      <c r="R315" s="24">
        <f>IFERROR(__xludf.DUMMYFUNCTION("""COMPUTED_VALUE"""),42822.0)</f>
        <v>42822</v>
      </c>
      <c r="S315" s="24">
        <f>IFERROR(__xludf.DUMMYFUNCTION("""COMPUTED_VALUE"""),42822.0)</f>
        <v>42822</v>
      </c>
      <c r="T315" s="22" t="str">
        <f>IFERROR(__xludf.DUMMYFUNCTION("""COMPUTED_VALUE"""),"Chính thức")</f>
        <v>Chính thức</v>
      </c>
      <c r="U315" s="22"/>
      <c r="V315" s="22"/>
      <c r="W315" s="22" t="str">
        <f>IFERROR(__xludf.DUMMYFUNCTION("""COMPUTED_VALUE"""),"8 năm 9 tháng")</f>
        <v>8 năm 9 tháng</v>
      </c>
      <c r="X315" s="22"/>
      <c r="Y315" s="22"/>
      <c r="Z315" s="22"/>
    </row>
    <row r="316">
      <c r="A316" s="23" t="str">
        <f>IFERROR(__xludf.DUMMYFUNCTION("""COMPUTED_VALUE"""),"4")</f>
        <v>4</v>
      </c>
      <c r="B316" s="22" t="str">
        <f>IFERROR(__xludf.DUMMYFUNCTION("""COMPUTED_VALUE"""),"PXSX1")</f>
        <v>PXSX1</v>
      </c>
      <c r="C316" s="22" t="str">
        <f>IFERROR(__xludf.DUMMYFUNCTION("""COMPUTED_VALUE"""),"Phòng Kỹ thuật")</f>
        <v>Phòng Kỹ thuật</v>
      </c>
      <c r="D316" s="22" t="str">
        <f>IFERROR(__xludf.DUMMYFUNCTION("""COMPUTED_VALUE"""),"Cơ điện Ca B")</f>
        <v>Cơ điện Ca B</v>
      </c>
      <c r="E316" s="22" t="str">
        <f>IFERROR(__xludf.DUMMYFUNCTION("""COMPUTED_VALUE"""),"Cơ điện đi ca")</f>
        <v>Cơ điện đi ca</v>
      </c>
      <c r="F316" s="22" t="str">
        <f>IFERROR(__xludf.DUMMYFUNCTION("""COMPUTED_VALUE"""),"NV4537")</f>
        <v>NV4537</v>
      </c>
      <c r="G316" s="22">
        <f>IFERROR(__xludf.DUMMYFUNCTION("""COMPUTED_VALUE"""),299.0)</f>
        <v>299</v>
      </c>
      <c r="H316" s="22" t="str">
        <f>IFERROR(__xludf.DUMMYFUNCTION("""COMPUTED_VALUE"""),"Phạm Hùng Tráng")</f>
        <v>Phạm Hùng Tráng</v>
      </c>
      <c r="I316" s="22" t="str">
        <f>IFERROR(__xludf.DUMMYFUNCTION("""COMPUTED_VALUE"""),"Nam")</f>
        <v>Nam</v>
      </c>
      <c r="J316" s="24">
        <f>IFERROR(__xludf.DUMMYFUNCTION("""COMPUTED_VALUE"""),34026.0)</f>
        <v>34026</v>
      </c>
      <c r="K316" s="22" t="str">
        <f>IFERROR(__xludf.DUMMYFUNCTION("""COMPUTED_VALUE"""),"Phường Sầm Sơn - Tỉnh Thanh Hóa")</f>
        <v>Phường Sầm Sơn - Tỉnh Thanh Hóa</v>
      </c>
      <c r="L316" s="22" t="str">
        <f>IFERROR(__xludf.DUMMYFUNCTION("""COMPUTED_VALUE"""),"0967449105")</f>
        <v>0967449105</v>
      </c>
      <c r="M316" s="22" t="str">
        <f>IFERROR(__xludf.DUMMYFUNCTION("""COMPUTED_VALUE"""),"394702995")</f>
        <v>394702995</v>
      </c>
      <c r="N316" s="24">
        <f>IFERROR(__xludf.DUMMYFUNCTION("""COMPUTED_VALUE"""),44436.0)</f>
        <v>44436</v>
      </c>
      <c r="O316" s="22" t="str">
        <f>IFERROR(__xludf.DUMMYFUNCTION("""COMPUTED_VALUE"""),"Cục Cảnh sát QLHC về TTXH")</f>
        <v>Cục Cảnh sát QLHC về TTXH</v>
      </c>
      <c r="P316" s="22" t="str">
        <f>IFERROR(__xludf.DUMMYFUNCTION("""COMPUTED_VALUE"""),"Cao đẳng")</f>
        <v>Cao đẳng</v>
      </c>
      <c r="Q316" s="22" t="str">
        <f>IFERROR(__xludf.DUMMYFUNCTION("""COMPUTED_VALUE"""),"Công nghệ kỹ thuật điiện")</f>
        <v>Công nghệ kỹ thuật điiện</v>
      </c>
      <c r="R316" s="24">
        <f>IFERROR(__xludf.DUMMYFUNCTION("""COMPUTED_VALUE"""),44959.0)</f>
        <v>44959</v>
      </c>
      <c r="S316" s="24">
        <f>IFERROR(__xludf.DUMMYFUNCTION("""COMPUTED_VALUE"""),45292.0)</f>
        <v>45292</v>
      </c>
      <c r="T316" s="22" t="str">
        <f>IFERROR(__xludf.DUMMYFUNCTION("""COMPUTED_VALUE"""),"Chính thức")</f>
        <v>Chính thức</v>
      </c>
      <c r="U316" s="22"/>
      <c r="V316" s="22" t="str">
        <f>IFERROR(__xludf.DUMMYFUNCTION("""COMPUTED_VALUE"""),"Nghỉ phép")</f>
        <v>Nghỉ phép</v>
      </c>
      <c r="W316" s="22" t="str">
        <f>IFERROR(__xludf.DUMMYFUNCTION("""COMPUTED_VALUE"""),"2 năm 10 tháng")</f>
        <v>2 năm 10 tháng</v>
      </c>
      <c r="X316" s="22"/>
      <c r="Y316" s="22"/>
      <c r="Z316" s="22"/>
    </row>
    <row r="317">
      <c r="A317" s="23" t="str">
        <f>IFERROR(__xludf.DUMMYFUNCTION("""COMPUTED_VALUE"""),"5")</f>
        <v>5</v>
      </c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3" t="str">
        <f>IFERROR(__xludf.DUMMYFUNCTION("""COMPUTED_VALUE"""),"5.6")</f>
        <v>5.6</v>
      </c>
      <c r="B318" s="22" t="str">
        <f>IFERROR(__xludf.DUMMYFUNCTION("""COMPUTED_VALUE"""),"Cơ điện Ca C")</f>
        <v>Cơ điện Ca C</v>
      </c>
      <c r="C318" s="22">
        <f>IFERROR(__xludf.DUMMYFUNCTION("""COMPUTED_VALUE"""),4.0)</f>
        <v>4</v>
      </c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3" t="str">
        <f>IFERROR(__xludf.DUMMYFUNCTION("""COMPUTED_VALUE"""),"1")</f>
        <v>1</v>
      </c>
      <c r="B319" s="22" t="str">
        <f>IFERROR(__xludf.DUMMYFUNCTION("""COMPUTED_VALUE"""),"PXSX1")</f>
        <v>PXSX1</v>
      </c>
      <c r="C319" s="22" t="str">
        <f>IFERROR(__xludf.DUMMYFUNCTION("""COMPUTED_VALUE"""),"Phòng Kỹ thuật")</f>
        <v>Phòng Kỹ thuật</v>
      </c>
      <c r="D319" s="22" t="str">
        <f>IFERROR(__xludf.DUMMYFUNCTION("""COMPUTED_VALUE"""),"Cơ điện Ca C")</f>
        <v>Cơ điện Ca C</v>
      </c>
      <c r="E319" s="22" t="str">
        <f>IFERROR(__xludf.DUMMYFUNCTION("""COMPUTED_VALUE"""),"Nhóm trưởng")</f>
        <v>Nhóm trưởng</v>
      </c>
      <c r="F319" s="22" t="str">
        <f>IFERROR(__xludf.DUMMYFUNCTION("""COMPUTED_VALUE"""),"NV0119")</f>
        <v>NV0119</v>
      </c>
      <c r="G319" s="22">
        <f>IFERROR(__xludf.DUMMYFUNCTION("""COMPUTED_VALUE"""),688.0)</f>
        <v>688</v>
      </c>
      <c r="H319" s="22" t="str">
        <f>IFERROR(__xludf.DUMMYFUNCTION("""COMPUTED_VALUE"""),"Nguyễn Văn Học")</f>
        <v>Nguyễn Văn Học</v>
      </c>
      <c r="I319" s="22" t="str">
        <f>IFERROR(__xludf.DUMMYFUNCTION("""COMPUTED_VALUE"""),"Nam")</f>
        <v>Nam</v>
      </c>
      <c r="J319" s="24">
        <f>IFERROR(__xludf.DUMMYFUNCTION("""COMPUTED_VALUE"""),30179.0)</f>
        <v>30179</v>
      </c>
      <c r="K319" s="22" t="str">
        <f>IFERROR(__xludf.DUMMYFUNCTION("""COMPUTED_VALUE"""),"Phường Hạc Thành - Tỉnh Thanh Hóa")</f>
        <v>Phường Hạc Thành - Tỉnh Thanh Hóa</v>
      </c>
      <c r="L319" s="22" t="str">
        <f>IFERROR(__xludf.DUMMYFUNCTION("""COMPUTED_VALUE"""),"0825736685")</f>
        <v>0825736685</v>
      </c>
      <c r="M319" s="22" t="str">
        <f>IFERROR(__xludf.DUMMYFUNCTION("""COMPUTED_VALUE"""),"038082016703")</f>
        <v>038082016703</v>
      </c>
      <c r="N319" s="24">
        <f>IFERROR(__xludf.DUMMYFUNCTION("""COMPUTED_VALUE"""),43705.0)</f>
        <v>43705</v>
      </c>
      <c r="O319" s="22" t="str">
        <f>IFERROR(__xludf.DUMMYFUNCTION("""COMPUTED_VALUE"""),"Cục Cảnh sát QLHC về TTXH")</f>
        <v>Cục Cảnh sát QLHC về TTXH</v>
      </c>
      <c r="P319" s="22" t="str">
        <f>IFERROR(__xludf.DUMMYFUNCTION("""COMPUTED_VALUE"""),"Trung cấp")</f>
        <v>Trung cấp</v>
      </c>
      <c r="Q319" s="22" t="str">
        <f>IFERROR(__xludf.DUMMYFUNCTION("""COMPUTED_VALUE"""),"Điện xí nghiệp")</f>
        <v>Điện xí nghiệp</v>
      </c>
      <c r="R319" s="24">
        <f>IFERROR(__xludf.DUMMYFUNCTION("""COMPUTED_VALUE"""),42517.0)</f>
        <v>42517</v>
      </c>
      <c r="S319" s="24">
        <f>IFERROR(__xludf.DUMMYFUNCTION("""COMPUTED_VALUE"""),42517.0)</f>
        <v>42517</v>
      </c>
      <c r="T319" s="22" t="str">
        <f>IFERROR(__xludf.DUMMYFUNCTION("""COMPUTED_VALUE"""),"Chính thức")</f>
        <v>Chính thức</v>
      </c>
      <c r="U319" s="22"/>
      <c r="V319" s="22"/>
      <c r="W319" s="22" t="str">
        <f>IFERROR(__xludf.DUMMYFUNCTION("""COMPUTED_VALUE"""),"9 năm 7 tháng")</f>
        <v>9 năm 7 tháng</v>
      </c>
      <c r="X319" s="22"/>
      <c r="Y319" s="22"/>
      <c r="Z319" s="22"/>
    </row>
    <row r="320">
      <c r="A320" s="23" t="str">
        <f>IFERROR(__xludf.DUMMYFUNCTION("""COMPUTED_VALUE"""),"2")</f>
        <v>2</v>
      </c>
      <c r="B320" s="22" t="str">
        <f>IFERROR(__xludf.DUMMYFUNCTION("""COMPUTED_VALUE"""),"PXSX1")</f>
        <v>PXSX1</v>
      </c>
      <c r="C320" s="22" t="str">
        <f>IFERROR(__xludf.DUMMYFUNCTION("""COMPUTED_VALUE"""),"Phòng Kỹ thuật")</f>
        <v>Phòng Kỹ thuật</v>
      </c>
      <c r="D320" s="22" t="str">
        <f>IFERROR(__xludf.DUMMYFUNCTION("""COMPUTED_VALUE"""),"Cơ điện Ca C")</f>
        <v>Cơ điện Ca C</v>
      </c>
      <c r="E320" s="22" t="str">
        <f>IFERROR(__xludf.DUMMYFUNCTION("""COMPUTED_VALUE"""),"Cơ điện đi ca")</f>
        <v>Cơ điện đi ca</v>
      </c>
      <c r="F320" s="22" t="str">
        <f>IFERROR(__xludf.DUMMYFUNCTION("""COMPUTED_VALUE"""),"NV4423")</f>
        <v>NV4423</v>
      </c>
      <c r="G320" s="22">
        <f>IFERROR(__xludf.DUMMYFUNCTION("""COMPUTED_VALUE"""),252.0)</f>
        <v>252</v>
      </c>
      <c r="H320" s="22" t="str">
        <f>IFERROR(__xludf.DUMMYFUNCTION("""COMPUTED_VALUE"""),"Bùi Văn Tuấn")</f>
        <v>Bùi Văn Tuấn</v>
      </c>
      <c r="I320" s="22" t="str">
        <f>IFERROR(__xludf.DUMMYFUNCTION("""COMPUTED_VALUE"""),"Nam")</f>
        <v>Nam</v>
      </c>
      <c r="J320" s="24">
        <f>IFERROR(__xludf.DUMMYFUNCTION("""COMPUTED_VALUE"""),32606.0)</f>
        <v>32606</v>
      </c>
      <c r="K320" s="22" t="str">
        <f>IFERROR(__xludf.DUMMYFUNCTION("""COMPUTED_VALUE"""),"Xã Lưu Vệ - Tỉnh Thanh Hóa ")</f>
        <v>Xã Lưu Vệ - Tỉnh Thanh Hóa </v>
      </c>
      <c r="L320" s="22" t="str">
        <f>IFERROR(__xludf.DUMMYFUNCTION("""COMPUTED_VALUE"""),"0978453186")</f>
        <v>0978453186</v>
      </c>
      <c r="M320" s="22" t="str">
        <f>IFERROR(__xludf.DUMMYFUNCTION("""COMPUTED_VALUE"""),"038089025961")</f>
        <v>038089025961</v>
      </c>
      <c r="N320" s="24">
        <f>IFERROR(__xludf.DUMMYFUNCTION("""COMPUTED_VALUE"""),44791.0)</f>
        <v>44791</v>
      </c>
      <c r="O320" s="22" t="str">
        <f>IFERROR(__xludf.DUMMYFUNCTION("""COMPUTED_VALUE"""),"Cục Cảnh sát QLHC về TTXH")</f>
        <v>Cục Cảnh sát QLHC về TTXH</v>
      </c>
      <c r="P320" s="22" t="str">
        <f>IFERROR(__xludf.DUMMYFUNCTION("""COMPUTED_VALUE"""),"Cao đẳng")</f>
        <v>Cao đẳng</v>
      </c>
      <c r="Q320" s="22" t="str">
        <f>IFERROR(__xludf.DUMMYFUNCTION("""COMPUTED_VALUE"""),"Nghề hàn")</f>
        <v>Nghề hàn</v>
      </c>
      <c r="R320" s="24">
        <f>IFERROR(__xludf.DUMMYFUNCTION("""COMPUTED_VALUE"""),44776.0)</f>
        <v>44776</v>
      </c>
      <c r="S320" s="24">
        <f>IFERROR(__xludf.DUMMYFUNCTION("""COMPUTED_VALUE"""),44986.0)</f>
        <v>44986</v>
      </c>
      <c r="T320" s="22" t="str">
        <f>IFERROR(__xludf.DUMMYFUNCTION("""COMPUTED_VALUE"""),"Chính thức")</f>
        <v>Chính thức</v>
      </c>
      <c r="U320" s="22"/>
      <c r="V320" s="22"/>
      <c r="W320" s="22" t="str">
        <f>IFERROR(__xludf.DUMMYFUNCTION("""COMPUTED_VALUE"""),"3 năm 4 tháng")</f>
        <v>3 năm 4 tháng</v>
      </c>
      <c r="X320" s="22"/>
      <c r="Y320" s="22"/>
      <c r="Z320" s="22"/>
    </row>
    <row r="321">
      <c r="A321" s="23" t="str">
        <f>IFERROR(__xludf.DUMMYFUNCTION("""COMPUTED_VALUE"""),"3")</f>
        <v>3</v>
      </c>
      <c r="B321" s="22" t="str">
        <f>IFERROR(__xludf.DUMMYFUNCTION("""COMPUTED_VALUE"""),"PXSX1")</f>
        <v>PXSX1</v>
      </c>
      <c r="C321" s="22" t="str">
        <f>IFERROR(__xludf.DUMMYFUNCTION("""COMPUTED_VALUE"""),"Phòng Kỹ thuật")</f>
        <v>Phòng Kỹ thuật</v>
      </c>
      <c r="D321" s="22" t="str">
        <f>IFERROR(__xludf.DUMMYFUNCTION("""COMPUTED_VALUE"""),"Cơ điện Ca C")</f>
        <v>Cơ điện Ca C</v>
      </c>
      <c r="E321" s="22" t="str">
        <f>IFERROR(__xludf.DUMMYFUNCTION("""COMPUTED_VALUE"""),"Kỹ thuật đi ca")</f>
        <v>Kỹ thuật đi ca</v>
      </c>
      <c r="F321" s="22" t="str">
        <f>IFERROR(__xludf.DUMMYFUNCTION("""COMPUTED_VALUE"""),"NV0986")</f>
        <v>NV0986</v>
      </c>
      <c r="G321" s="22">
        <f>IFERROR(__xludf.DUMMYFUNCTION("""COMPUTED_VALUE"""),161.0)</f>
        <v>161</v>
      </c>
      <c r="H321" s="22" t="str">
        <f>IFERROR(__xludf.DUMMYFUNCTION("""COMPUTED_VALUE"""),"Nguyễn Bá Quân")</f>
        <v>Nguyễn Bá Quân</v>
      </c>
      <c r="I321" s="22" t="str">
        <f>IFERROR(__xludf.DUMMYFUNCTION("""COMPUTED_VALUE"""),"Nam")</f>
        <v>Nam</v>
      </c>
      <c r="J321" s="24">
        <f>IFERROR(__xludf.DUMMYFUNCTION("""COMPUTED_VALUE"""),33966.0)</f>
        <v>33966</v>
      </c>
      <c r="K321" s="22" t="str">
        <f>IFERROR(__xludf.DUMMYFUNCTION("""COMPUTED_VALUE"""),"SN 04/68 Ái Sơn - Phường Hạc Thành - Tỉnh Thanh Hóa")</f>
        <v>SN 04/68 Ái Sơn - Phường Hạc Thành - Tỉnh Thanh Hóa</v>
      </c>
      <c r="L321" s="22" t="str">
        <f>IFERROR(__xludf.DUMMYFUNCTION("""COMPUTED_VALUE"""),"0333022566")</f>
        <v>0333022566</v>
      </c>
      <c r="M321" s="22" t="str">
        <f>IFERROR(__xludf.DUMMYFUNCTION("""COMPUTED_VALUE"""),"038092006705")</f>
        <v>038092006705</v>
      </c>
      <c r="N321" s="24">
        <f>IFERROR(__xludf.DUMMYFUNCTION("""COMPUTED_VALUE"""),43705.0)</f>
        <v>43705</v>
      </c>
      <c r="O321" s="22" t="str">
        <f>IFERROR(__xludf.DUMMYFUNCTION("""COMPUTED_VALUE"""),"Cục Cảnh sát QLHC về TTXH")</f>
        <v>Cục Cảnh sát QLHC về TTXH</v>
      </c>
      <c r="P321" s="22" t="str">
        <f>IFERROR(__xludf.DUMMYFUNCTION("""COMPUTED_VALUE"""),"Đại học")</f>
        <v>Đại học</v>
      </c>
      <c r="Q321" s="22" t="str">
        <f>IFERROR(__xludf.DUMMYFUNCTION("""COMPUTED_VALUE"""),"Công nghệ kỹ thuật điện -  điện tử")</f>
        <v>Công nghệ kỹ thuật điện -  điện tử</v>
      </c>
      <c r="R321" s="24">
        <f>IFERROR(__xludf.DUMMYFUNCTION("""COMPUTED_VALUE"""),42892.0)</f>
        <v>42892</v>
      </c>
      <c r="S321" s="24">
        <f>IFERROR(__xludf.DUMMYFUNCTION("""COMPUTED_VALUE"""),42892.0)</f>
        <v>42892</v>
      </c>
      <c r="T321" s="22" t="str">
        <f>IFERROR(__xludf.DUMMYFUNCTION("""COMPUTED_VALUE"""),"Chính thức")</f>
        <v>Chính thức</v>
      </c>
      <c r="U321" s="22"/>
      <c r="V321" s="22"/>
      <c r="W321" s="22" t="str">
        <f>IFERROR(__xludf.DUMMYFUNCTION("""COMPUTED_VALUE"""),"8 năm 6 tháng")</f>
        <v>8 năm 6 tháng</v>
      </c>
      <c r="X321" s="22"/>
      <c r="Y321" s="22"/>
      <c r="Z321" s="22"/>
    </row>
    <row r="322">
      <c r="A322" s="23" t="str">
        <f>IFERROR(__xludf.DUMMYFUNCTION("""COMPUTED_VALUE"""),"4")</f>
        <v>4</v>
      </c>
      <c r="B322" s="22" t="str">
        <f>IFERROR(__xludf.DUMMYFUNCTION("""COMPUTED_VALUE"""),"PXSX1")</f>
        <v>PXSX1</v>
      </c>
      <c r="C322" s="22" t="str">
        <f>IFERROR(__xludf.DUMMYFUNCTION("""COMPUTED_VALUE"""),"Phòng Kỹ thuật")</f>
        <v>Phòng Kỹ thuật</v>
      </c>
      <c r="D322" s="22" t="str">
        <f>IFERROR(__xludf.DUMMYFUNCTION("""COMPUTED_VALUE"""),"Cơ điện Ca C")</f>
        <v>Cơ điện Ca C</v>
      </c>
      <c r="E322" s="22" t="str">
        <f>IFERROR(__xludf.DUMMYFUNCTION("""COMPUTED_VALUE"""),"Cơ điện")</f>
        <v>Cơ điện</v>
      </c>
      <c r="F322" s="22" t="str">
        <f>IFERROR(__xludf.DUMMYFUNCTION("""COMPUTED_VALUE"""),"NV5118")</f>
        <v>NV5118</v>
      </c>
      <c r="G322" s="22">
        <f>IFERROR(__xludf.DUMMYFUNCTION("""COMPUTED_VALUE"""),287.0)</f>
        <v>287</v>
      </c>
      <c r="H322" s="22" t="str">
        <f>IFERROR(__xludf.DUMMYFUNCTION("""COMPUTED_VALUE"""),"La Văn Long")</f>
        <v>La Văn Long</v>
      </c>
      <c r="I322" s="22" t="str">
        <f>IFERROR(__xludf.DUMMYFUNCTION("""COMPUTED_VALUE"""),"Nam")</f>
        <v>Nam</v>
      </c>
      <c r="J322" s="24">
        <f>IFERROR(__xludf.DUMMYFUNCTION("""COMPUTED_VALUE"""),34583.0)</f>
        <v>34583</v>
      </c>
      <c r="K322" s="22" t="str">
        <f>IFERROR(__xludf.DUMMYFUNCTION("""COMPUTED_VALUE"""),"Xã Triệu Lộc - Tỉnh Thanh Hóa")</f>
        <v>Xã Triệu Lộc - Tỉnh Thanh Hóa</v>
      </c>
      <c r="L322" s="22" t="str">
        <f>IFERROR(__xludf.DUMMYFUNCTION("""COMPUTED_VALUE"""),"0329730677")</f>
        <v>0329730677</v>
      </c>
      <c r="M322" s="22" t="str">
        <f>IFERROR(__xludf.DUMMYFUNCTION("""COMPUTED_VALUE"""),"038094043176")</f>
        <v>038094043176</v>
      </c>
      <c r="N322" s="24">
        <f>IFERROR(__xludf.DUMMYFUNCTION("""COMPUTED_VALUE"""),44427.0)</f>
        <v>44427</v>
      </c>
      <c r="O322" s="22" t="str">
        <f>IFERROR(__xludf.DUMMYFUNCTION("""COMPUTED_VALUE"""),"Cục Cảnh sát QLHC về TTXH")</f>
        <v>Cục Cảnh sát QLHC về TTXH</v>
      </c>
      <c r="P322" s="22" t="str">
        <f>IFERROR(__xludf.DUMMYFUNCTION("""COMPUTED_VALUE"""),"Cao đẳng nghề")</f>
        <v>Cao đẳng nghề</v>
      </c>
      <c r="Q322" s="22" t="str">
        <f>IFERROR(__xludf.DUMMYFUNCTION("""COMPUTED_VALUE"""),"Điện công nghiệp")</f>
        <v>Điện công nghiệp</v>
      </c>
      <c r="R322" s="24">
        <f>IFERROR(__xludf.DUMMYFUNCTION("""COMPUTED_VALUE"""),45387.0)</f>
        <v>45387</v>
      </c>
      <c r="S322" s="24">
        <f>IFERROR(__xludf.DUMMYFUNCTION("""COMPUTED_VALUE"""),45474.0)</f>
        <v>45474</v>
      </c>
      <c r="T322" s="22" t="str">
        <f>IFERROR(__xludf.DUMMYFUNCTION("""COMPUTED_VALUE"""),"Chính thức")</f>
        <v>Chính thức</v>
      </c>
      <c r="U322" s="22"/>
      <c r="V322" s="22"/>
      <c r="W322" s="22" t="str">
        <f>IFERROR(__xludf.DUMMYFUNCTION("""COMPUTED_VALUE"""),"1 năm 8 tháng")</f>
        <v>1 năm 8 tháng</v>
      </c>
      <c r="X322" s="22"/>
      <c r="Y322" s="22"/>
      <c r="Z322" s="22"/>
    </row>
    <row r="323">
      <c r="A323" s="23" t="str">
        <f>IFERROR(__xludf.DUMMYFUNCTION("""COMPUTED_VALUE"""),"5")</f>
        <v>5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3" t="str">
        <f>IFERROR(__xludf.DUMMYFUNCTION("""COMPUTED_VALUE"""),"5.7")</f>
        <v>5.7</v>
      </c>
      <c r="B324" s="22" t="str">
        <f>IFERROR(__xludf.DUMMYFUNCTION("""COMPUTED_VALUE"""),"Gia công - Quấn động cơ")</f>
        <v>Gia công - Quấn động cơ</v>
      </c>
      <c r="C324" s="22">
        <f>IFERROR(__xludf.DUMMYFUNCTION("""COMPUTED_VALUE"""),7.0)</f>
        <v>7</v>
      </c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3" t="str">
        <f>IFERROR(__xludf.DUMMYFUNCTION("""COMPUTED_VALUE"""),"1")</f>
        <v>1</v>
      </c>
      <c r="B325" s="22" t="str">
        <f>IFERROR(__xludf.DUMMYFUNCTION("""COMPUTED_VALUE"""),"PXSX1")</f>
        <v>PXSX1</v>
      </c>
      <c r="C325" s="22" t="str">
        <f>IFERROR(__xludf.DUMMYFUNCTION("""COMPUTED_VALUE"""),"Phòng Kỹ thuật")</f>
        <v>Phòng Kỹ thuật</v>
      </c>
      <c r="D325" s="22" t="str">
        <f>IFERROR(__xludf.DUMMYFUNCTION("""COMPUTED_VALUE"""),"Gia công - Quấn động cơ")</f>
        <v>Gia công - Quấn động cơ</v>
      </c>
      <c r="E325" s="22" t="str">
        <f>IFERROR(__xludf.DUMMYFUNCTION("""COMPUTED_VALUE"""),"Tổ phó Gia công")</f>
        <v>Tổ phó Gia công</v>
      </c>
      <c r="F325" s="22" t="str">
        <f>IFERROR(__xludf.DUMMYFUNCTION("""COMPUTED_VALUE"""),"NV0471")</f>
        <v>NV0471</v>
      </c>
      <c r="G325" s="22">
        <f>IFERROR(__xludf.DUMMYFUNCTION("""COMPUTED_VALUE"""),250.0)</f>
        <v>250</v>
      </c>
      <c r="H325" s="22" t="str">
        <f>IFERROR(__xludf.DUMMYFUNCTION("""COMPUTED_VALUE"""),"Lê Bật Kiên")</f>
        <v>Lê Bật Kiên</v>
      </c>
      <c r="I325" s="22" t="str">
        <f>IFERROR(__xludf.DUMMYFUNCTION("""COMPUTED_VALUE"""),"Nam")</f>
        <v>Nam</v>
      </c>
      <c r="J325" s="24">
        <f>IFERROR(__xludf.DUMMYFUNCTION("""COMPUTED_VALUE"""),26803.0)</f>
        <v>26803</v>
      </c>
      <c r="K325" s="22" t="str">
        <f>IFERROR(__xludf.DUMMYFUNCTION("""COMPUTED_VALUE"""),"Tổ Dân Phố 10 - Xã Tân Ninh - Tỉnh Thanh Hóa")</f>
        <v>Tổ Dân Phố 10 - Xã Tân Ninh - Tỉnh Thanh Hóa</v>
      </c>
      <c r="L325" s="22" t="str">
        <f>IFERROR(__xludf.DUMMYFUNCTION("""COMPUTED_VALUE"""),"0373888579")</f>
        <v>0373888579</v>
      </c>
      <c r="M325" s="22" t="str">
        <f>IFERROR(__xludf.DUMMYFUNCTION("""COMPUTED_VALUE"""),"038073001264")</f>
        <v>038073001264</v>
      </c>
      <c r="N325" s="24">
        <f>IFERROR(__xludf.DUMMYFUNCTION("""COMPUTED_VALUE"""),42585.0)</f>
        <v>42585</v>
      </c>
      <c r="O325" s="22" t="str">
        <f>IFERROR(__xludf.DUMMYFUNCTION("""COMPUTED_VALUE"""),"Cục Cảnh sát QLHC về TTXH")</f>
        <v>Cục Cảnh sát QLHC về TTXH</v>
      </c>
      <c r="P325" s="22" t="str">
        <f>IFERROR(__xludf.DUMMYFUNCTION("""COMPUTED_VALUE"""),"Công nhân kỹ thuật")</f>
        <v>Công nhân kỹ thuật</v>
      </c>
      <c r="Q325" s="22" t="str">
        <f>IFERROR(__xludf.DUMMYFUNCTION("""COMPUTED_VALUE"""),"Nghề tiện")</f>
        <v>Nghề tiện</v>
      </c>
      <c r="R325" s="24">
        <f>IFERROR(__xludf.DUMMYFUNCTION("""COMPUTED_VALUE"""),42661.0)</f>
        <v>42661</v>
      </c>
      <c r="S325" s="24">
        <f>IFERROR(__xludf.DUMMYFUNCTION("""COMPUTED_VALUE"""),42661.0)</f>
        <v>42661</v>
      </c>
      <c r="T325" s="22" t="str">
        <f>IFERROR(__xludf.DUMMYFUNCTION("""COMPUTED_VALUE"""),"Chính thức")</f>
        <v>Chính thức</v>
      </c>
      <c r="U325" s="22"/>
      <c r="V325" s="22"/>
      <c r="W325" s="22" t="str">
        <f>IFERROR(__xludf.DUMMYFUNCTION("""COMPUTED_VALUE"""),"9 năm 2 tháng")</f>
        <v>9 năm 2 tháng</v>
      </c>
      <c r="X325" s="22"/>
      <c r="Y325" s="22"/>
      <c r="Z325" s="22"/>
    </row>
    <row r="326">
      <c r="A326" s="23" t="str">
        <f>IFERROR(__xludf.DUMMYFUNCTION("""COMPUTED_VALUE"""),"2")</f>
        <v>2</v>
      </c>
      <c r="B326" s="22" t="str">
        <f>IFERROR(__xludf.DUMMYFUNCTION("""COMPUTED_VALUE"""),"PXSX1")</f>
        <v>PXSX1</v>
      </c>
      <c r="C326" s="22" t="str">
        <f>IFERROR(__xludf.DUMMYFUNCTION("""COMPUTED_VALUE"""),"Phòng Kỹ thuật")</f>
        <v>Phòng Kỹ thuật</v>
      </c>
      <c r="D326" s="22" t="str">
        <f>IFERROR(__xludf.DUMMYFUNCTION("""COMPUTED_VALUE"""),"Gia công - Quấn động cơ")</f>
        <v>Gia công - Quấn động cơ</v>
      </c>
      <c r="E326" s="22" t="str">
        <f>IFERROR(__xludf.DUMMYFUNCTION("""COMPUTED_VALUE"""),"CN gia công mức 1")</f>
        <v>CN gia công mức 1</v>
      </c>
      <c r="F326" s="22" t="str">
        <f>IFERROR(__xludf.DUMMYFUNCTION("""COMPUTED_VALUE"""),"NV4008")</f>
        <v>NV4008</v>
      </c>
      <c r="G326" s="22">
        <f>IFERROR(__xludf.DUMMYFUNCTION("""COMPUTED_VALUE"""),145.0)</f>
        <v>145</v>
      </c>
      <c r="H326" s="22" t="str">
        <f>IFERROR(__xludf.DUMMYFUNCTION("""COMPUTED_VALUE"""),"Cao Viết Kiên")</f>
        <v>Cao Viết Kiên</v>
      </c>
      <c r="I326" s="22" t="str">
        <f>IFERROR(__xludf.DUMMYFUNCTION("""COMPUTED_VALUE"""),"Nam")</f>
        <v>Nam</v>
      </c>
      <c r="J326" s="24">
        <f>IFERROR(__xludf.DUMMYFUNCTION("""COMPUTED_VALUE"""),28402.0)</f>
        <v>28402</v>
      </c>
      <c r="K326" s="22" t="str">
        <f>IFERROR(__xludf.DUMMYFUNCTION("""COMPUTED_VALUE"""),"Phố 8 - Phường Quảng Phú - Tỉnh Thanh Hóa")</f>
        <v>Phố 8 - Phường Quảng Phú - Tỉnh Thanh Hóa</v>
      </c>
      <c r="L326" s="22" t="str">
        <f>IFERROR(__xludf.DUMMYFUNCTION("""COMPUTED_VALUE"""),"0868086091")</f>
        <v>0868086091</v>
      </c>
      <c r="M326" s="22" t="str">
        <f>IFERROR(__xludf.DUMMYFUNCTION("""COMPUTED_VALUE"""),"038077016220")</f>
        <v>038077016220</v>
      </c>
      <c r="N326" s="24">
        <f>IFERROR(__xludf.DUMMYFUNCTION("""COMPUTED_VALUE"""),44636.0)</f>
        <v>44636</v>
      </c>
      <c r="O326" s="22" t="str">
        <f>IFERROR(__xludf.DUMMYFUNCTION("""COMPUTED_VALUE"""),"Cục Cảnh sát QLHC về TTXH")</f>
        <v>Cục Cảnh sát QLHC về TTXH</v>
      </c>
      <c r="P326" s="22" t="str">
        <f>IFERROR(__xludf.DUMMYFUNCTION("""COMPUTED_VALUE"""),"Bằng nghề")</f>
        <v>Bằng nghề</v>
      </c>
      <c r="Q326" s="22" t="str">
        <f>IFERROR(__xludf.DUMMYFUNCTION("""COMPUTED_VALUE"""),"Điện sửa chữa")</f>
        <v>Điện sửa chữa</v>
      </c>
      <c r="R326" s="24">
        <f>IFERROR(__xludf.DUMMYFUNCTION("""COMPUTED_VALUE"""),44609.0)</f>
        <v>44609</v>
      </c>
      <c r="S326" s="24">
        <f>IFERROR(__xludf.DUMMYFUNCTION("""COMPUTED_VALUE"""),44986.0)</f>
        <v>44986</v>
      </c>
      <c r="T326" s="22" t="str">
        <f>IFERROR(__xludf.DUMMYFUNCTION("""COMPUTED_VALUE"""),"Chính thức")</f>
        <v>Chính thức</v>
      </c>
      <c r="U326" s="22"/>
      <c r="V326" s="22"/>
      <c r="W326" s="22" t="str">
        <f>IFERROR(__xludf.DUMMYFUNCTION("""COMPUTED_VALUE"""),"3 năm 10 tháng")</f>
        <v>3 năm 10 tháng</v>
      </c>
      <c r="X326" s="22"/>
      <c r="Y326" s="22"/>
      <c r="Z326" s="22"/>
    </row>
    <row r="327">
      <c r="A327" s="23" t="str">
        <f>IFERROR(__xludf.DUMMYFUNCTION("""COMPUTED_VALUE"""),"3")</f>
        <v>3</v>
      </c>
      <c r="B327" s="22" t="str">
        <f>IFERROR(__xludf.DUMMYFUNCTION("""COMPUTED_VALUE"""),"PXSX1")</f>
        <v>PXSX1</v>
      </c>
      <c r="C327" s="22" t="str">
        <f>IFERROR(__xludf.DUMMYFUNCTION("""COMPUTED_VALUE"""),"Phòng Kỹ thuật")</f>
        <v>Phòng Kỹ thuật</v>
      </c>
      <c r="D327" s="22" t="str">
        <f>IFERROR(__xludf.DUMMYFUNCTION("""COMPUTED_VALUE"""),"Gia công - Quấn động cơ")</f>
        <v>Gia công - Quấn động cơ</v>
      </c>
      <c r="E327" s="22" t="str">
        <f>IFERROR(__xludf.DUMMYFUNCTION("""COMPUTED_VALUE"""),"Nhóm trưởng quấn động cơ")</f>
        <v>Nhóm trưởng quấn động cơ</v>
      </c>
      <c r="F327" s="22" t="str">
        <f>IFERROR(__xludf.DUMMYFUNCTION("""COMPUTED_VALUE"""),"NV1196")</f>
        <v>NV1196</v>
      </c>
      <c r="G327" s="22">
        <f>IFERROR(__xludf.DUMMYFUNCTION("""COMPUTED_VALUE"""),146.0)</f>
        <v>146</v>
      </c>
      <c r="H327" s="22" t="str">
        <f>IFERROR(__xludf.DUMMYFUNCTION("""COMPUTED_VALUE"""),"Lê Thanh Đường")</f>
        <v>Lê Thanh Đường</v>
      </c>
      <c r="I327" s="22" t="str">
        <f>IFERROR(__xludf.DUMMYFUNCTION("""COMPUTED_VALUE"""),"Nam")</f>
        <v>Nam</v>
      </c>
      <c r="J327" s="24">
        <f>IFERROR(__xludf.DUMMYFUNCTION("""COMPUTED_VALUE"""),28464.0)</f>
        <v>28464</v>
      </c>
      <c r="K327" s="22" t="str">
        <f>IFERROR(__xludf.DUMMYFUNCTION("""COMPUTED_VALUE"""),"Thôn Bình Tây - Xã Hoằng Lộc - Tỉnh Thanh Hóa")</f>
        <v>Thôn Bình Tây - Xã Hoằng Lộc - Tỉnh Thanh Hóa</v>
      </c>
      <c r="L327" s="22" t="str">
        <f>IFERROR(__xludf.DUMMYFUNCTION("""COMPUTED_VALUE"""),"0347636568")</f>
        <v>0347636568</v>
      </c>
      <c r="M327" s="22" t="str">
        <f>IFERROR(__xludf.DUMMYFUNCTION("""COMPUTED_VALUE"""),"038077027798")</f>
        <v>038077027798</v>
      </c>
      <c r="N327" s="24">
        <f>IFERROR(__xludf.DUMMYFUNCTION("""COMPUTED_VALUE"""),44435.0)</f>
        <v>44435</v>
      </c>
      <c r="O327" s="22" t="str">
        <f>IFERROR(__xludf.DUMMYFUNCTION("""COMPUTED_VALUE"""),"Cục Cảnh sát QLHC về TTXH")</f>
        <v>Cục Cảnh sát QLHC về TTXH</v>
      </c>
      <c r="P327" s="22" t="str">
        <f>IFERROR(__xludf.DUMMYFUNCTION("""COMPUTED_VALUE"""),"Lao động có tay nghề")</f>
        <v>Lao động có tay nghề</v>
      </c>
      <c r="Q327" s="22" t="str">
        <f>IFERROR(__xludf.DUMMYFUNCTION("""COMPUTED_VALUE"""),"Cuốn động cơ")</f>
        <v>Cuốn động cơ</v>
      </c>
      <c r="R327" s="24">
        <f>IFERROR(__xludf.DUMMYFUNCTION("""COMPUTED_VALUE"""),42822.0)</f>
        <v>42822</v>
      </c>
      <c r="S327" s="24">
        <f>IFERROR(__xludf.DUMMYFUNCTION("""COMPUTED_VALUE"""),43154.0)</f>
        <v>43154</v>
      </c>
      <c r="T327" s="22" t="str">
        <f>IFERROR(__xludf.DUMMYFUNCTION("""COMPUTED_VALUE"""),"Chính thức")</f>
        <v>Chính thức</v>
      </c>
      <c r="U327" s="22"/>
      <c r="V327" s="22"/>
      <c r="W327" s="22" t="str">
        <f>IFERROR(__xludf.DUMMYFUNCTION("""COMPUTED_VALUE"""),"8 năm 9 tháng")</f>
        <v>8 năm 9 tháng</v>
      </c>
      <c r="X327" s="22"/>
      <c r="Y327" s="22"/>
      <c r="Z327" s="22"/>
    </row>
    <row r="328">
      <c r="A328" s="23" t="str">
        <f>IFERROR(__xludf.DUMMYFUNCTION("""COMPUTED_VALUE"""),"4")</f>
        <v>4</v>
      </c>
      <c r="B328" s="22" t="str">
        <f>IFERROR(__xludf.DUMMYFUNCTION("""COMPUTED_VALUE"""),"PXSX1")</f>
        <v>PXSX1</v>
      </c>
      <c r="C328" s="22" t="str">
        <f>IFERROR(__xludf.DUMMYFUNCTION("""COMPUTED_VALUE"""),"Phòng Kỹ thuật")</f>
        <v>Phòng Kỹ thuật</v>
      </c>
      <c r="D328" s="22" t="str">
        <f>IFERROR(__xludf.DUMMYFUNCTION("""COMPUTED_VALUE"""),"Gia công - Quấn động cơ")</f>
        <v>Gia công - Quấn động cơ</v>
      </c>
      <c r="E328" s="22" t="str">
        <f>IFERROR(__xludf.DUMMYFUNCTION("""COMPUTED_VALUE"""),"CN gia công mức 3")</f>
        <v>CN gia công mức 3</v>
      </c>
      <c r="F328" s="22" t="str">
        <f>IFERROR(__xludf.DUMMYFUNCTION("""COMPUTED_VALUE"""),"NV5398")</f>
        <v>NV5398</v>
      </c>
      <c r="G328" s="22">
        <f>IFERROR(__xludf.DUMMYFUNCTION("""COMPUTED_VALUE"""),836.0)</f>
        <v>836</v>
      </c>
      <c r="H328" s="22" t="str">
        <f>IFERROR(__xludf.DUMMYFUNCTION("""COMPUTED_VALUE"""),"Lại Hữu Lâm ")</f>
        <v>Lại Hữu Lâm </v>
      </c>
      <c r="I328" s="22" t="str">
        <f>IFERROR(__xludf.DUMMYFUNCTION("""COMPUTED_VALUE"""),"Nam")</f>
        <v>Nam</v>
      </c>
      <c r="J328" s="24">
        <f>IFERROR(__xludf.DUMMYFUNCTION("""COMPUTED_VALUE"""),28830.0)</f>
        <v>28830</v>
      </c>
      <c r="K328" s="22" t="str">
        <f>IFERROR(__xludf.DUMMYFUNCTION("""COMPUTED_VALUE"""),"Linh Hưng - Xã Quảng Ngọc - Tỉnh Thanh Hóa")</f>
        <v>Linh Hưng - Xã Quảng Ngọc - Tỉnh Thanh Hóa</v>
      </c>
      <c r="L328" s="22" t="str">
        <f>IFERROR(__xludf.DUMMYFUNCTION("""COMPUTED_VALUE"""),"0368586001")</f>
        <v>0368586001</v>
      </c>
      <c r="M328" s="22" t="str">
        <f>IFERROR(__xludf.DUMMYFUNCTION("""COMPUTED_VALUE"""),"038078029222")</f>
        <v>038078029222</v>
      </c>
      <c r="N328" s="24">
        <f>IFERROR(__xludf.DUMMYFUNCTION("""COMPUTED_VALUE"""),45642.0)</f>
        <v>45642</v>
      </c>
      <c r="O328" s="22" t="str">
        <f>IFERROR(__xludf.DUMMYFUNCTION("""COMPUTED_VALUE"""),"Cục Cảnh sát QLHC về TTXH")</f>
        <v>Cục Cảnh sát QLHC về TTXH</v>
      </c>
      <c r="P328" s="22" t="str">
        <f>IFERROR(__xludf.DUMMYFUNCTION("""COMPUTED_VALUE"""),"Trung cấp")</f>
        <v>Trung cấp</v>
      </c>
      <c r="Q328" s="22" t="str">
        <f>IFERROR(__xludf.DUMMYFUNCTION("""COMPUTED_VALUE"""),"Trung cấp Sửa chữa điện xí nghiệp")</f>
        <v>Trung cấp Sửa chữa điện xí nghiệp</v>
      </c>
      <c r="R328" s="24">
        <f>IFERROR(__xludf.DUMMYFUNCTION("""COMPUTED_VALUE"""),45698.0)</f>
        <v>45698</v>
      </c>
      <c r="S328" s="22"/>
      <c r="T328" s="22" t="str">
        <f>IFERROR(__xludf.DUMMYFUNCTION("""COMPUTED_VALUE"""),"Chính thức")</f>
        <v>Chính thức</v>
      </c>
      <c r="U328" s="22"/>
      <c r="V328" s="22"/>
      <c r="W328" s="22" t="str">
        <f>IFERROR(__xludf.DUMMYFUNCTION("""COMPUTED_VALUE"""),"0 năm 10 tháng")</f>
        <v>0 năm 10 tháng</v>
      </c>
      <c r="X328" s="22"/>
      <c r="Y328" s="22"/>
      <c r="Z328" s="22"/>
    </row>
    <row r="329">
      <c r="A329" s="23" t="str">
        <f>IFERROR(__xludf.DUMMYFUNCTION("""COMPUTED_VALUE"""),"5")</f>
        <v>5</v>
      </c>
      <c r="B329" s="22" t="str">
        <f>IFERROR(__xludf.DUMMYFUNCTION("""COMPUTED_VALUE"""),"PXSX1")</f>
        <v>PXSX1</v>
      </c>
      <c r="C329" s="22" t="str">
        <f>IFERROR(__xludf.DUMMYFUNCTION("""COMPUTED_VALUE"""),"Phòng Kỹ thuật")</f>
        <v>Phòng Kỹ thuật</v>
      </c>
      <c r="D329" s="22" t="str">
        <f>IFERROR(__xludf.DUMMYFUNCTION("""COMPUTED_VALUE"""),"Gia công - Quấn động cơ")</f>
        <v>Gia công - Quấn động cơ</v>
      </c>
      <c r="E329" s="22" t="str">
        <f>IFERROR(__xludf.DUMMYFUNCTION("""COMPUTED_VALUE"""),"CBKT kiêm Tổ trưởng gia công")</f>
        <v>CBKT kiêm Tổ trưởng gia công</v>
      </c>
      <c r="F329" s="22" t="str">
        <f>IFERROR(__xludf.DUMMYFUNCTION("""COMPUTED_VALUE"""),"NV0110")</f>
        <v>NV0110</v>
      </c>
      <c r="G329" s="22">
        <f>IFERROR(__xludf.DUMMYFUNCTION("""COMPUTED_VALUE"""),247.0)</f>
        <v>247</v>
      </c>
      <c r="H329" s="22" t="str">
        <f>IFERROR(__xludf.DUMMYFUNCTION("""COMPUTED_VALUE"""),"Lê Bá Hữu")</f>
        <v>Lê Bá Hữu</v>
      </c>
      <c r="I329" s="22" t="str">
        <f>IFERROR(__xludf.DUMMYFUNCTION("""COMPUTED_VALUE"""),"Nam")</f>
        <v>Nam</v>
      </c>
      <c r="J329" s="24">
        <f>IFERROR(__xludf.DUMMYFUNCTION("""COMPUTED_VALUE"""),28900.0)</f>
        <v>28900</v>
      </c>
      <c r="K329" s="22" t="str">
        <f>IFERROR(__xludf.DUMMYFUNCTION("""COMPUTED_VALUE"""),"Thôn 8 - Xã Hoằng Lộc - Tỉnh Thanh Hóa")</f>
        <v>Thôn 8 - Xã Hoằng Lộc - Tỉnh Thanh Hóa</v>
      </c>
      <c r="L329" s="22" t="str">
        <f>IFERROR(__xludf.DUMMYFUNCTION("""COMPUTED_VALUE"""),"0353418938")</f>
        <v>0353418938</v>
      </c>
      <c r="M329" s="22" t="str">
        <f>IFERROR(__xludf.DUMMYFUNCTION("""COMPUTED_VALUE"""),"038079019221")</f>
        <v>038079019221</v>
      </c>
      <c r="N329" s="24">
        <f>IFERROR(__xludf.DUMMYFUNCTION("""COMPUTED_VALUE"""),44428.0)</f>
        <v>44428</v>
      </c>
      <c r="O329" s="22" t="str">
        <f>IFERROR(__xludf.DUMMYFUNCTION("""COMPUTED_VALUE"""),"Cục Cảnh sát QLHC về TTXH")</f>
        <v>Cục Cảnh sát QLHC về TTXH</v>
      </c>
      <c r="P329" s="22" t="str">
        <f>IFERROR(__xludf.DUMMYFUNCTION("""COMPUTED_VALUE"""),"Trung cấp")</f>
        <v>Trung cấp</v>
      </c>
      <c r="Q329" s="22" t="str">
        <f>IFERROR(__xludf.DUMMYFUNCTION("""COMPUTED_VALUE"""),"Cơ khí cắt gọt")</f>
        <v>Cơ khí cắt gọt</v>
      </c>
      <c r="R329" s="24">
        <f>IFERROR(__xludf.DUMMYFUNCTION("""COMPUTED_VALUE"""),42062.0)</f>
        <v>42062</v>
      </c>
      <c r="S329" s="24">
        <f>IFERROR(__xludf.DUMMYFUNCTION("""COMPUTED_VALUE"""),42365.0)</f>
        <v>42365</v>
      </c>
      <c r="T329" s="22" t="str">
        <f>IFERROR(__xludf.DUMMYFUNCTION("""COMPUTED_VALUE"""),"Chính thức")</f>
        <v>Chính thức</v>
      </c>
      <c r="U329" s="22"/>
      <c r="V329" s="22"/>
      <c r="W329" s="22" t="str">
        <f>IFERROR(__xludf.DUMMYFUNCTION("""COMPUTED_VALUE"""),"10 năm 10 tháng")</f>
        <v>10 năm 10 tháng</v>
      </c>
      <c r="X329" s="22"/>
      <c r="Y329" s="22"/>
      <c r="Z329" s="22"/>
    </row>
    <row r="330">
      <c r="A330" s="23" t="str">
        <f>IFERROR(__xludf.DUMMYFUNCTION("""COMPUTED_VALUE"""),"6")</f>
        <v>6</v>
      </c>
      <c r="B330" s="22" t="str">
        <f>IFERROR(__xludf.DUMMYFUNCTION("""COMPUTED_VALUE"""),"PXSX1")</f>
        <v>PXSX1</v>
      </c>
      <c r="C330" s="22" t="str">
        <f>IFERROR(__xludf.DUMMYFUNCTION("""COMPUTED_VALUE"""),"Phòng Kỹ thuật")</f>
        <v>Phòng Kỹ thuật</v>
      </c>
      <c r="D330" s="22" t="str">
        <f>IFERROR(__xludf.DUMMYFUNCTION("""COMPUTED_VALUE"""),"Gia công - Quấn động cơ")</f>
        <v>Gia công - Quấn động cơ</v>
      </c>
      <c r="E330" s="22" t="str">
        <f>IFERROR(__xludf.DUMMYFUNCTION("""COMPUTED_VALUE"""),"CN gia công mức 2")</f>
        <v>CN gia công mức 2</v>
      </c>
      <c r="F330" s="22" t="str">
        <f>IFERROR(__xludf.DUMMYFUNCTION("""COMPUTED_VALUE"""),"NV2329")</f>
        <v>NV2329</v>
      </c>
      <c r="G330" s="22">
        <f>IFERROR(__xludf.DUMMYFUNCTION("""COMPUTED_VALUE"""),249.0)</f>
        <v>249</v>
      </c>
      <c r="H330" s="22" t="str">
        <f>IFERROR(__xludf.DUMMYFUNCTION("""COMPUTED_VALUE"""),"Trịnh Văn Tới")</f>
        <v>Trịnh Văn Tới</v>
      </c>
      <c r="I330" s="22" t="str">
        <f>IFERROR(__xludf.DUMMYFUNCTION("""COMPUTED_VALUE"""),"Nam")</f>
        <v>Nam</v>
      </c>
      <c r="J330" s="24">
        <f>IFERROR(__xludf.DUMMYFUNCTION("""COMPUTED_VALUE"""),32511.0)</f>
        <v>32511</v>
      </c>
      <c r="K330" s="22" t="str">
        <f>IFERROR(__xludf.DUMMYFUNCTION("""COMPUTED_VALUE"""),"SN 40 Thôn Hàm Ninh - Xã Hoằng Lộc - Tỉnh Thanh Hóa")</f>
        <v>SN 40 Thôn Hàm Ninh - Xã Hoằng Lộc - Tỉnh Thanh Hóa</v>
      </c>
      <c r="L330" s="22" t="str">
        <f>IFERROR(__xludf.DUMMYFUNCTION("""COMPUTED_VALUE"""),"0368613269")</f>
        <v>0368613269</v>
      </c>
      <c r="M330" s="22" t="str">
        <f>IFERROR(__xludf.DUMMYFUNCTION("""COMPUTED_VALUE"""),"038089049032")</f>
        <v>038089049032</v>
      </c>
      <c r="N330" s="24">
        <f>IFERROR(__xludf.DUMMYFUNCTION("""COMPUTED_VALUE"""),44428.0)</f>
        <v>44428</v>
      </c>
      <c r="O330" s="22" t="str">
        <f>IFERROR(__xludf.DUMMYFUNCTION("""COMPUTED_VALUE"""),"Cục Cảnh sát QLHC về TTXH")</f>
        <v>Cục Cảnh sát QLHC về TTXH</v>
      </c>
      <c r="P330" s="22" t="str">
        <f>IFERROR(__xludf.DUMMYFUNCTION("""COMPUTED_VALUE"""),"Cao đẳng nghề")</f>
        <v>Cao đẳng nghề</v>
      </c>
      <c r="Q330" s="22" t="str">
        <f>IFERROR(__xludf.DUMMYFUNCTION("""COMPUTED_VALUE"""),"Cắt gọt kim loại")</f>
        <v>Cắt gọt kim loại</v>
      </c>
      <c r="R330" s="24">
        <f>IFERROR(__xludf.DUMMYFUNCTION("""COMPUTED_VALUE"""),43577.0)</f>
        <v>43577</v>
      </c>
      <c r="S330" s="24">
        <f>IFERROR(__xludf.DUMMYFUNCTION("""COMPUTED_VALUE"""),43983.0)</f>
        <v>43983</v>
      </c>
      <c r="T330" s="22" t="str">
        <f>IFERROR(__xludf.DUMMYFUNCTION("""COMPUTED_VALUE"""),"Chính thức")</f>
        <v>Chính thức</v>
      </c>
      <c r="U330" s="22"/>
      <c r="V330" s="22"/>
      <c r="W330" s="22" t="str">
        <f>IFERROR(__xludf.DUMMYFUNCTION("""COMPUTED_VALUE"""),"6 năm 8 tháng")</f>
        <v>6 năm 8 tháng</v>
      </c>
      <c r="X330" s="22"/>
      <c r="Y330" s="22"/>
      <c r="Z330" s="22"/>
    </row>
    <row r="331">
      <c r="A331" s="23" t="str">
        <f>IFERROR(__xludf.DUMMYFUNCTION("""COMPUTED_VALUE"""),"7")</f>
        <v>7</v>
      </c>
      <c r="B331" s="22" t="str">
        <f>IFERROR(__xludf.DUMMYFUNCTION("""COMPUTED_VALUE"""),"PXSX1")</f>
        <v>PXSX1</v>
      </c>
      <c r="C331" s="22" t="str">
        <f>IFERROR(__xludf.DUMMYFUNCTION("""COMPUTED_VALUE"""),"Phòng Kỹ thuật")</f>
        <v>Phòng Kỹ thuật</v>
      </c>
      <c r="D331" s="22" t="str">
        <f>IFERROR(__xludf.DUMMYFUNCTION("""COMPUTED_VALUE"""),"Gia công - Quấn động cơ")</f>
        <v>Gia công - Quấn động cơ</v>
      </c>
      <c r="E331" s="22" t="str">
        <f>IFERROR(__xludf.DUMMYFUNCTION("""COMPUTED_VALUE"""),"CN gia công mức 4")</f>
        <v>CN gia công mức 4</v>
      </c>
      <c r="F331" s="22" t="str">
        <f>IFERROR(__xludf.DUMMYFUNCTION("""COMPUTED_VALUE"""),"NV5401")</f>
        <v>NV5401</v>
      </c>
      <c r="G331" s="22">
        <f>IFERROR(__xludf.DUMMYFUNCTION("""COMPUTED_VALUE"""),841.0)</f>
        <v>841</v>
      </c>
      <c r="H331" s="22" t="str">
        <f>IFERROR(__xludf.DUMMYFUNCTION("""COMPUTED_VALUE"""),"Lê Đình Tuấn Anh ")</f>
        <v>Lê Đình Tuấn Anh </v>
      </c>
      <c r="I331" s="22" t="str">
        <f>IFERROR(__xludf.DUMMYFUNCTION("""COMPUTED_VALUE"""),"Nam")</f>
        <v>Nam</v>
      </c>
      <c r="J331" s="24">
        <f>IFERROR(__xludf.DUMMYFUNCTION("""COMPUTED_VALUE"""),33887.0)</f>
        <v>33887</v>
      </c>
      <c r="K331" s="22" t="str">
        <f>IFERROR(__xludf.DUMMYFUNCTION("""COMPUTED_VALUE"""),"Phường Nguyệt Viên - Tỉnh Thanh Hóa")</f>
        <v>Phường Nguyệt Viên - Tỉnh Thanh Hóa</v>
      </c>
      <c r="L331" s="22" t="str">
        <f>IFERROR(__xludf.DUMMYFUNCTION("""COMPUTED_VALUE"""),"0971345937")</f>
        <v>0971345937</v>
      </c>
      <c r="M331" s="22" t="str">
        <f>IFERROR(__xludf.DUMMYFUNCTION("""COMPUTED_VALUE"""),"038092009355")</f>
        <v>038092009355</v>
      </c>
      <c r="N331" s="24">
        <f>IFERROR(__xludf.DUMMYFUNCTION("""COMPUTED_VALUE"""),44922.0)</f>
        <v>44922</v>
      </c>
      <c r="O331" s="22" t="str">
        <f>IFERROR(__xludf.DUMMYFUNCTION("""COMPUTED_VALUE"""),"Cục Cảnh sát QLHC về TTXH")</f>
        <v>Cục Cảnh sát QLHC về TTXH</v>
      </c>
      <c r="P331" s="22" t="str">
        <f>IFERROR(__xludf.DUMMYFUNCTION("""COMPUTED_VALUE"""),"Kỹ sư")</f>
        <v>Kỹ sư</v>
      </c>
      <c r="Q331" s="22" t="str">
        <f>IFERROR(__xludf.DUMMYFUNCTION("""COMPUTED_VALUE"""),"Kỹ sư Công nghệ Kỹ thuật cơ - điện tử")</f>
        <v>Kỹ sư Công nghệ Kỹ thuật cơ - điện tử</v>
      </c>
      <c r="R331" s="24">
        <f>IFERROR(__xludf.DUMMYFUNCTION("""COMPUTED_VALUE"""),45700.0)</f>
        <v>45700</v>
      </c>
      <c r="S331" s="22"/>
      <c r="T331" s="22" t="str">
        <f>IFERROR(__xludf.DUMMYFUNCTION("""COMPUTED_VALUE"""),"Chính thức")</f>
        <v>Chính thức</v>
      </c>
      <c r="U331" s="22"/>
      <c r="V331" s="22"/>
      <c r="W331" s="22" t="str">
        <f>IFERROR(__xludf.DUMMYFUNCTION("""COMPUTED_VALUE"""),"0 năm 10 tháng")</f>
        <v>0 năm 10 tháng</v>
      </c>
      <c r="X331" s="22"/>
      <c r="Y331" s="22"/>
      <c r="Z331" s="22"/>
    </row>
    <row r="332">
      <c r="A332" s="23" t="str">
        <f>IFERROR(__xludf.DUMMYFUNCTION("""COMPUTED_VALUE"""),"8")</f>
        <v>8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3" t="str">
        <f>IFERROR(__xludf.DUMMYFUNCTION("""COMPUTED_VALUE"""),"6.")</f>
        <v>6.</v>
      </c>
      <c r="B333" s="22" t="str">
        <f>IFERROR(__xludf.DUMMYFUNCTION("""COMPUTED_VALUE"""),"Nhóm Hậu cần nội vụ PXSX1")</f>
        <v>Nhóm Hậu cần nội vụ PXSX1</v>
      </c>
      <c r="C333" s="22">
        <f>IFERROR(__xludf.DUMMYFUNCTION("""COMPUTED_VALUE"""),4.0)</f>
        <v>4</v>
      </c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3" t="str">
        <f>IFERROR(__xludf.DUMMYFUNCTION("""COMPUTED_VALUE"""),"1")</f>
        <v>1</v>
      </c>
      <c r="B334" s="22" t="str">
        <f>IFERROR(__xludf.DUMMYFUNCTION("""COMPUTED_VALUE"""),"PXSX1")</f>
        <v>PXSX1</v>
      </c>
      <c r="C334" s="22" t="str">
        <f>IFERROR(__xludf.DUMMYFUNCTION("""COMPUTED_VALUE"""),"Nhóm Hậu cần nội vụ PXSX1")</f>
        <v>Nhóm Hậu cần nội vụ PXSX1</v>
      </c>
      <c r="D334" s="22" t="str">
        <f>IFERROR(__xludf.DUMMYFUNCTION("""COMPUTED_VALUE"""),"Bộ phận hành chính")</f>
        <v>Bộ phận hành chính</v>
      </c>
      <c r="E334" s="22" t="str">
        <f>IFERROR(__xludf.DUMMYFUNCTION("""COMPUTED_VALUE"""),"Xe nâng")</f>
        <v>Xe nâng</v>
      </c>
      <c r="F334" s="22" t="str">
        <f>IFERROR(__xludf.DUMMYFUNCTION("""COMPUTED_VALUE"""),"NV0756")</f>
        <v>NV0756</v>
      </c>
      <c r="G334" s="22">
        <f>IFERROR(__xludf.DUMMYFUNCTION("""COMPUTED_VALUE"""),39.0)</f>
        <v>39</v>
      </c>
      <c r="H334" s="22" t="str">
        <f>IFERROR(__xludf.DUMMYFUNCTION("""COMPUTED_VALUE"""),"Hoàng Huy Tuấn")</f>
        <v>Hoàng Huy Tuấn</v>
      </c>
      <c r="I334" s="22" t="str">
        <f>IFERROR(__xludf.DUMMYFUNCTION("""COMPUTED_VALUE"""),"Nam")</f>
        <v>Nam</v>
      </c>
      <c r="J334" s="24">
        <f>IFERROR(__xludf.DUMMYFUNCTION("""COMPUTED_VALUE"""),31006.0)</f>
        <v>31006</v>
      </c>
      <c r="K334" s="22" t="str">
        <f>IFERROR(__xludf.DUMMYFUNCTION("""COMPUTED_VALUE"""),"Minh Thái - Xã Hoằng Châu - Tỉnh Thanh Hóa")</f>
        <v>Minh Thái - Xã Hoằng Châu - Tỉnh Thanh Hóa</v>
      </c>
      <c r="L334" s="22" t="str">
        <f>IFERROR(__xludf.DUMMYFUNCTION("""COMPUTED_VALUE"""),"0799155975")</f>
        <v>0799155975</v>
      </c>
      <c r="M334" s="22" t="str">
        <f>IFERROR(__xludf.DUMMYFUNCTION("""COMPUTED_VALUE"""),"038084003510")</f>
        <v>038084003510</v>
      </c>
      <c r="N334" s="24">
        <f>IFERROR(__xludf.DUMMYFUNCTION("""COMPUTED_VALUE"""),44427.0)</f>
        <v>44427</v>
      </c>
      <c r="O334" s="22" t="str">
        <f>IFERROR(__xludf.DUMMYFUNCTION("""COMPUTED_VALUE"""),"Cục Cảnh sát QLHC về TTXH")</f>
        <v>Cục Cảnh sát QLHC về TTXH</v>
      </c>
      <c r="P334" s="22" t="str">
        <f>IFERROR(__xludf.DUMMYFUNCTION("""COMPUTED_VALUE"""),"Công nhân kỹ thuật")</f>
        <v>Công nhân kỹ thuật</v>
      </c>
      <c r="Q334" s="22" t="str">
        <f>IFERROR(__xludf.DUMMYFUNCTION("""COMPUTED_VALUE"""),"Vận hành xe nâng")</f>
        <v>Vận hành xe nâng</v>
      </c>
      <c r="R334" s="24">
        <f>IFERROR(__xludf.DUMMYFUNCTION("""COMPUTED_VALUE"""),39234.0)</f>
        <v>39234</v>
      </c>
      <c r="S334" s="24">
        <f>IFERROR(__xludf.DUMMYFUNCTION("""COMPUTED_VALUE"""),39234.0)</f>
        <v>39234</v>
      </c>
      <c r="T334" s="22" t="str">
        <f>IFERROR(__xludf.DUMMYFUNCTION("""COMPUTED_VALUE"""),"Chính thức")</f>
        <v>Chính thức</v>
      </c>
      <c r="U334" s="22"/>
      <c r="V334" s="22"/>
      <c r="W334" s="22" t="str">
        <f>IFERROR(__xludf.DUMMYFUNCTION("""COMPUTED_VALUE"""),"18 năm 6 tháng")</f>
        <v>18 năm 6 tháng</v>
      </c>
      <c r="X334" s="22"/>
      <c r="Y334" s="22"/>
      <c r="Z334" s="22"/>
    </row>
    <row r="335">
      <c r="A335" s="23" t="str">
        <f>IFERROR(__xludf.DUMMYFUNCTION("""COMPUTED_VALUE"""),"2")</f>
        <v>2</v>
      </c>
      <c r="B335" s="22" t="str">
        <f>IFERROR(__xludf.DUMMYFUNCTION("""COMPUTED_VALUE"""),"PXSX1")</f>
        <v>PXSX1</v>
      </c>
      <c r="C335" s="22" t="str">
        <f>IFERROR(__xludf.DUMMYFUNCTION("""COMPUTED_VALUE"""),"Nhóm Hậu cần nội vụ PXSX1")</f>
        <v>Nhóm Hậu cần nội vụ PXSX1</v>
      </c>
      <c r="D335" s="22" t="str">
        <f>IFERROR(__xludf.DUMMYFUNCTION("""COMPUTED_VALUE"""),"Bộ phận hành chính")</f>
        <v>Bộ phận hành chính</v>
      </c>
      <c r="E335" s="22" t="str">
        <f>IFERROR(__xludf.DUMMYFUNCTION("""COMPUTED_VALUE"""),"Xúc lật")</f>
        <v>Xúc lật</v>
      </c>
      <c r="F335" s="22" t="str">
        <f>IFERROR(__xludf.DUMMYFUNCTION("""COMPUTED_VALUE"""),"NV0131")</f>
        <v>NV0131</v>
      </c>
      <c r="G335" s="22">
        <f>IFERROR(__xludf.DUMMYFUNCTION("""COMPUTED_VALUE"""),275.0)</f>
        <v>275</v>
      </c>
      <c r="H335" s="22" t="str">
        <f>IFERROR(__xludf.DUMMYFUNCTION("""COMPUTED_VALUE"""),"Nguyễn Viết Thanh")</f>
        <v>Nguyễn Viết Thanh</v>
      </c>
      <c r="I335" s="22" t="str">
        <f>IFERROR(__xludf.DUMMYFUNCTION("""COMPUTED_VALUE"""),"Nam")</f>
        <v>Nam</v>
      </c>
      <c r="J335" s="24">
        <f>IFERROR(__xludf.DUMMYFUNCTION("""COMPUTED_VALUE"""),31253.0)</f>
        <v>31253</v>
      </c>
      <c r="K335" s="22" t="str">
        <f>IFERROR(__xludf.DUMMYFUNCTION("""COMPUTED_VALUE"""),"Phố 5 - Phường Quảng Phú - Tỉnh Thanh Hóa")</f>
        <v>Phố 5 - Phường Quảng Phú - Tỉnh Thanh Hóa</v>
      </c>
      <c r="L335" s="22" t="str">
        <f>IFERROR(__xludf.DUMMYFUNCTION("""COMPUTED_VALUE"""),"0773373110")</f>
        <v>0773373110</v>
      </c>
      <c r="M335" s="22" t="str">
        <f>IFERROR(__xludf.DUMMYFUNCTION("""COMPUTED_VALUE"""),"038085037272")</f>
        <v>038085037272</v>
      </c>
      <c r="N335" s="24">
        <f>IFERROR(__xludf.DUMMYFUNCTION("""COMPUTED_VALUE"""),44422.0)</f>
        <v>44422</v>
      </c>
      <c r="O335" s="22" t="str">
        <f>IFERROR(__xludf.DUMMYFUNCTION("""COMPUTED_VALUE"""),"Cục Cảnh sát QLHC về TTXH")</f>
        <v>Cục Cảnh sát QLHC về TTXH</v>
      </c>
      <c r="P335" s="22" t="str">
        <f>IFERROR(__xludf.DUMMYFUNCTION("""COMPUTED_VALUE"""),"Công nhân kỹ thuật")</f>
        <v>Công nhân kỹ thuật</v>
      </c>
      <c r="Q335" s="22" t="str">
        <f>IFERROR(__xludf.DUMMYFUNCTION("""COMPUTED_VALUE"""),"Lái máy xúc")</f>
        <v>Lái máy xúc</v>
      </c>
      <c r="R335" s="24">
        <f>IFERROR(__xludf.DUMMYFUNCTION("""COMPUTED_VALUE"""),41942.0)</f>
        <v>41942</v>
      </c>
      <c r="S335" s="24">
        <f>IFERROR(__xludf.DUMMYFUNCTION("""COMPUTED_VALUE"""),41942.0)</f>
        <v>41942</v>
      </c>
      <c r="T335" s="22" t="str">
        <f>IFERROR(__xludf.DUMMYFUNCTION("""COMPUTED_VALUE"""),"Chính thức")</f>
        <v>Chính thức</v>
      </c>
      <c r="U335" s="22"/>
      <c r="V335" s="22"/>
      <c r="W335" s="22" t="str">
        <f>IFERROR(__xludf.DUMMYFUNCTION("""COMPUTED_VALUE"""),"11 năm 2 tháng")</f>
        <v>11 năm 2 tháng</v>
      </c>
      <c r="X335" s="22"/>
      <c r="Y335" s="22"/>
      <c r="Z335" s="22"/>
    </row>
    <row r="336">
      <c r="A336" s="23" t="str">
        <f>IFERROR(__xludf.DUMMYFUNCTION("""COMPUTED_VALUE"""),"3")</f>
        <v>3</v>
      </c>
      <c r="B336" s="22" t="str">
        <f>IFERROR(__xludf.DUMMYFUNCTION("""COMPUTED_VALUE"""),"PXSX1")</f>
        <v>PXSX1</v>
      </c>
      <c r="C336" s="22" t="str">
        <f>IFERROR(__xludf.DUMMYFUNCTION("""COMPUTED_VALUE"""),"Nhóm Hậu cần nội vụ PXSX1")</f>
        <v>Nhóm Hậu cần nội vụ PXSX1</v>
      </c>
      <c r="D336" s="22" t="str">
        <f>IFERROR(__xludf.DUMMYFUNCTION("""COMPUTED_VALUE"""),"Bộ phận hành chính")</f>
        <v>Bộ phận hành chính</v>
      </c>
      <c r="E336" s="22" t="str">
        <f>IFERROR(__xludf.DUMMYFUNCTION("""COMPUTED_VALUE"""),"Nhóm trưởng xúc lật")</f>
        <v>Nhóm trưởng xúc lật</v>
      </c>
      <c r="F336" s="22" t="str">
        <f>IFERROR(__xludf.DUMMYFUNCTION("""COMPUTED_VALUE"""),"NV0135")</f>
        <v>NV0135</v>
      </c>
      <c r="G336" s="22">
        <f>IFERROR(__xludf.DUMMYFUNCTION("""COMPUTED_VALUE"""),246.0)</f>
        <v>246</v>
      </c>
      <c r="H336" s="22" t="str">
        <f>IFERROR(__xludf.DUMMYFUNCTION("""COMPUTED_VALUE"""),"Nguyễn Khắc Thành")</f>
        <v>Nguyễn Khắc Thành</v>
      </c>
      <c r="I336" s="22" t="str">
        <f>IFERROR(__xludf.DUMMYFUNCTION("""COMPUTED_VALUE"""),"Nam")</f>
        <v>Nam</v>
      </c>
      <c r="J336" s="24">
        <f>IFERROR(__xludf.DUMMYFUNCTION("""COMPUTED_VALUE"""),32572.0)</f>
        <v>32572</v>
      </c>
      <c r="K336" s="22" t="str">
        <f>IFERROR(__xludf.DUMMYFUNCTION("""COMPUTED_VALUE"""),"Thôn Phúc Cường - Phường Quảng Phú - Tỉnh Thanh Hóa")</f>
        <v>Thôn Phúc Cường - Phường Quảng Phú - Tỉnh Thanh Hóa</v>
      </c>
      <c r="L336" s="22" t="str">
        <f>IFERROR(__xludf.DUMMYFUNCTION("""COMPUTED_VALUE"""),"0967063828")</f>
        <v>0967063828</v>
      </c>
      <c r="M336" s="22" t="str">
        <f>IFERROR(__xludf.DUMMYFUNCTION("""COMPUTED_VALUE"""),"038089016919")</f>
        <v>038089016919</v>
      </c>
      <c r="N336" s="24">
        <f>IFERROR(__xludf.DUMMYFUNCTION("""COMPUTED_VALUE"""),44422.0)</f>
        <v>44422</v>
      </c>
      <c r="O336" s="22" t="str">
        <f>IFERROR(__xludf.DUMMYFUNCTION("""COMPUTED_VALUE"""),"Cục Cảnh sát QLHC về TTXH")</f>
        <v>Cục Cảnh sát QLHC về TTXH</v>
      </c>
      <c r="P336" s="22" t="str">
        <f>IFERROR(__xludf.DUMMYFUNCTION("""COMPUTED_VALUE"""),"LĐPT")</f>
        <v>LĐPT</v>
      </c>
      <c r="Q336" s="22" t="str">
        <f>IFERROR(__xludf.DUMMYFUNCTION("""COMPUTED_VALUE"""),"Lao động phổ thông")</f>
        <v>Lao động phổ thông</v>
      </c>
      <c r="R336" s="24">
        <f>IFERROR(__xludf.DUMMYFUNCTION("""COMPUTED_VALUE"""),41787.0)</f>
        <v>41787</v>
      </c>
      <c r="S336" s="24">
        <f>IFERROR(__xludf.DUMMYFUNCTION("""COMPUTED_VALUE"""),41767.0)</f>
        <v>41767</v>
      </c>
      <c r="T336" s="22" t="str">
        <f>IFERROR(__xludf.DUMMYFUNCTION("""COMPUTED_VALUE"""),"Chính thức")</f>
        <v>Chính thức</v>
      </c>
      <c r="U336" s="22"/>
      <c r="V336" s="22"/>
      <c r="W336" s="22" t="str">
        <f>IFERROR(__xludf.DUMMYFUNCTION("""COMPUTED_VALUE"""),"11 năm 7 tháng")</f>
        <v>11 năm 7 tháng</v>
      </c>
      <c r="X336" s="22"/>
      <c r="Y336" s="22"/>
      <c r="Z336" s="22"/>
    </row>
    <row r="337">
      <c r="A337" s="23" t="str">
        <f>IFERROR(__xludf.DUMMYFUNCTION("""COMPUTED_VALUE"""),"4")</f>
        <v>4</v>
      </c>
      <c r="B337" s="22" t="str">
        <f>IFERROR(__xludf.DUMMYFUNCTION("""COMPUTED_VALUE"""),"PXSX1")</f>
        <v>PXSX1</v>
      </c>
      <c r="C337" s="22" t="str">
        <f>IFERROR(__xludf.DUMMYFUNCTION("""COMPUTED_VALUE"""),"Nhóm Hậu cần nội vụ PXSX1")</f>
        <v>Nhóm Hậu cần nội vụ PXSX1</v>
      </c>
      <c r="D337" s="22" t="str">
        <f>IFERROR(__xludf.DUMMYFUNCTION("""COMPUTED_VALUE"""),"Bộ phận hành chính")</f>
        <v>Bộ phận hành chính</v>
      </c>
      <c r="E337" s="22" t="str">
        <f>IFERROR(__xludf.DUMMYFUNCTION("""COMPUTED_VALUE"""),"Xúc lật")</f>
        <v>Xúc lật</v>
      </c>
      <c r="F337" s="22" t="str">
        <f>IFERROR(__xludf.DUMMYFUNCTION("""COMPUTED_VALUE"""),"NV1618")</f>
        <v>NV1618</v>
      </c>
      <c r="G337" s="22">
        <f>IFERROR(__xludf.DUMMYFUNCTION("""COMPUTED_VALUE"""),762.0)</f>
        <v>762</v>
      </c>
      <c r="H337" s="22" t="str">
        <f>IFERROR(__xludf.DUMMYFUNCTION("""COMPUTED_VALUE"""),"Nguyễn Khắc Thảo")</f>
        <v>Nguyễn Khắc Thảo</v>
      </c>
      <c r="I337" s="22" t="str">
        <f>IFERROR(__xludf.DUMMYFUNCTION("""COMPUTED_VALUE"""),"Nam")</f>
        <v>Nam</v>
      </c>
      <c r="J337" s="24">
        <f>IFERROR(__xludf.DUMMYFUNCTION("""COMPUTED_VALUE"""),34495.0)</f>
        <v>34495</v>
      </c>
      <c r="K337" s="22" t="str">
        <f>IFERROR(__xludf.DUMMYFUNCTION("""COMPUTED_VALUE"""),"Thôn Đình Cương - Phường Quảng Phú - Tỉnh Thanh Hóa")</f>
        <v>Thôn Đình Cương - Phường Quảng Phú - Tỉnh Thanh Hóa</v>
      </c>
      <c r="L337" s="22" t="str">
        <f>IFERROR(__xludf.DUMMYFUNCTION("""COMPUTED_VALUE"""),"0333000869")</f>
        <v>0333000869</v>
      </c>
      <c r="M337" s="22" t="str">
        <f>IFERROR(__xludf.DUMMYFUNCTION("""COMPUTED_VALUE"""),"173839689")</f>
        <v>173839689</v>
      </c>
      <c r="N337" s="22"/>
      <c r="O337" s="22" t="str">
        <f>IFERROR(__xludf.DUMMYFUNCTION("""COMPUTED_VALUE"""),"Cục Cảnh sát QLHC về TTXH")</f>
        <v>Cục Cảnh sát QLHC về TTXH</v>
      </c>
      <c r="P337" s="22" t="str">
        <f>IFERROR(__xludf.DUMMYFUNCTION("""COMPUTED_VALUE"""),"Sơ cấp nghề")</f>
        <v>Sơ cấp nghề</v>
      </c>
      <c r="Q337" s="22" t="str">
        <f>IFERROR(__xludf.DUMMYFUNCTION("""COMPUTED_VALUE"""),"Vận hành máy xúc lật")</f>
        <v>Vận hành máy xúc lật</v>
      </c>
      <c r="R337" s="24">
        <f>IFERROR(__xludf.DUMMYFUNCTION("""COMPUTED_VALUE"""),45817.0)</f>
        <v>45817</v>
      </c>
      <c r="S337" s="22"/>
      <c r="T337" s="22" t="str">
        <f>IFERROR(__xludf.DUMMYFUNCTION("""COMPUTED_VALUE"""),"Chính thức")</f>
        <v>Chính thức</v>
      </c>
      <c r="U337" s="22"/>
      <c r="V337" s="22"/>
      <c r="W337" s="22" t="str">
        <f>IFERROR(__xludf.DUMMYFUNCTION("""COMPUTED_VALUE"""),"0 năm 6 tháng")</f>
        <v>0 năm 6 tháng</v>
      </c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3" t="str">
        <f>IFERROR(__xludf.DUMMYFUNCTION("""COMPUTED_VALUE"""),"5")</f>
        <v>5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3" t="str">
        <f>IFERROR(__xludf.DUMMYFUNCTION("""COMPUTED_VALUE"""),"7.")</f>
        <v>7.</v>
      </c>
      <c r="B340" s="22" t="str">
        <f>IFERROR(__xludf.DUMMYFUNCTION("""COMPUTED_VALUE"""),"Test mẫu PXSX1")</f>
        <v>Test mẫu PXSX1</v>
      </c>
      <c r="C340" s="22">
        <f>IFERROR(__xludf.DUMMYFUNCTION("""COMPUTED_VALUE"""),3.0)</f>
        <v>3</v>
      </c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3" t="str">
        <f>IFERROR(__xludf.DUMMYFUNCTION("""COMPUTED_VALUE"""),"1")</f>
        <v>1</v>
      </c>
      <c r="B341" s="22" t="str">
        <f>IFERROR(__xludf.DUMMYFUNCTION("""COMPUTED_VALUE"""),"PXSX1")</f>
        <v>PXSX1</v>
      </c>
      <c r="C341" s="22" t="str">
        <f>IFERROR(__xludf.DUMMYFUNCTION("""COMPUTED_VALUE"""),"Test mẫu PXSX1")</f>
        <v>Test mẫu PXSX1</v>
      </c>
      <c r="D341" s="22" t="str">
        <f>IFERROR(__xludf.DUMMYFUNCTION("""COMPUTED_VALUE"""),"Test mẫu ")</f>
        <v>Test mẫu </v>
      </c>
      <c r="E341" s="22" t="str">
        <f>IFERROR(__xludf.DUMMYFUNCTION("""COMPUTED_VALUE"""),"Nhóm trưởng Test mẫu")</f>
        <v>Nhóm trưởng Test mẫu</v>
      </c>
      <c r="F341" s="22" t="str">
        <f>IFERROR(__xludf.DUMMYFUNCTION("""COMPUTED_VALUE"""),"NV2325")</f>
        <v>NV2325</v>
      </c>
      <c r="G341" s="22">
        <f>IFERROR(__xludf.DUMMYFUNCTION("""COMPUTED_VALUE"""),138.0)</f>
        <v>138</v>
      </c>
      <c r="H341" s="22" t="str">
        <f>IFERROR(__xludf.DUMMYFUNCTION("""COMPUTED_VALUE"""),"Nguyễn Duy Chiến")</f>
        <v>Nguyễn Duy Chiến</v>
      </c>
      <c r="I341" s="22" t="str">
        <f>IFERROR(__xludf.DUMMYFUNCTION("""COMPUTED_VALUE"""),"Nam")</f>
        <v>Nam</v>
      </c>
      <c r="J341" s="24">
        <f>IFERROR(__xludf.DUMMYFUNCTION("""COMPUTED_VALUE"""),31476.0)</f>
        <v>31476</v>
      </c>
      <c r="K341" s="22" t="str">
        <f>IFERROR(__xludf.DUMMYFUNCTION("""COMPUTED_VALUE"""),"Thôn 5 - Phường Nam Sầm Sơn - Tỉnh Thanh Hóa")</f>
        <v>Thôn 5 - Phường Nam Sầm Sơn - Tỉnh Thanh Hóa</v>
      </c>
      <c r="L341" s="22" t="str">
        <f>IFERROR(__xludf.DUMMYFUNCTION("""COMPUTED_VALUE"""),"0826783616")</f>
        <v>0826783616</v>
      </c>
      <c r="M341" s="22" t="str">
        <f>IFERROR(__xludf.DUMMYFUNCTION("""COMPUTED_VALUE"""),"038086040202")</f>
        <v>038086040202</v>
      </c>
      <c r="N341" s="24">
        <f>IFERROR(__xludf.DUMMYFUNCTION("""COMPUTED_VALUE"""),44375.0)</f>
        <v>44375</v>
      </c>
      <c r="O341" s="22" t="str">
        <f>IFERROR(__xludf.DUMMYFUNCTION("""COMPUTED_VALUE"""),"Cục Cảnh sát QLHC về TTXH")</f>
        <v>Cục Cảnh sát QLHC về TTXH</v>
      </c>
      <c r="P341" s="22" t="str">
        <f>IFERROR(__xludf.DUMMYFUNCTION("""COMPUTED_VALUE"""),"Cao đẳng")</f>
        <v>Cao đẳng</v>
      </c>
      <c r="Q341" s="22" t="str">
        <f>IFERROR(__xludf.DUMMYFUNCTION("""COMPUTED_VALUE"""),"công nghệ thông tin")</f>
        <v>công nghệ thông tin</v>
      </c>
      <c r="R341" s="24">
        <f>IFERROR(__xludf.DUMMYFUNCTION("""COMPUTED_VALUE"""),43575.0)</f>
        <v>43575</v>
      </c>
      <c r="S341" s="24">
        <f>IFERROR(__xludf.DUMMYFUNCTION("""COMPUTED_VALUE"""),43983.0)</f>
        <v>43983</v>
      </c>
      <c r="T341" s="22" t="str">
        <f>IFERROR(__xludf.DUMMYFUNCTION("""COMPUTED_VALUE"""),"Chính thức")</f>
        <v>Chính thức</v>
      </c>
      <c r="U341" s="22"/>
      <c r="V341" s="22"/>
      <c r="W341" s="22" t="str">
        <f>IFERROR(__xludf.DUMMYFUNCTION("""COMPUTED_VALUE"""),"6 năm 8 tháng")</f>
        <v>6 năm 8 tháng</v>
      </c>
      <c r="X341" s="22"/>
      <c r="Y341" s="22"/>
      <c r="Z341" s="22"/>
    </row>
    <row r="342">
      <c r="A342" s="23" t="str">
        <f>IFERROR(__xludf.DUMMYFUNCTION("""COMPUTED_VALUE"""),"2")</f>
        <v>2</v>
      </c>
      <c r="B342" s="22" t="str">
        <f>IFERROR(__xludf.DUMMYFUNCTION("""COMPUTED_VALUE"""),"PXSX1")</f>
        <v>PXSX1</v>
      </c>
      <c r="C342" s="22" t="str">
        <f>IFERROR(__xludf.DUMMYFUNCTION("""COMPUTED_VALUE"""),"Test mẫu PXSX1")</f>
        <v>Test mẫu PXSX1</v>
      </c>
      <c r="D342" s="22" t="str">
        <f>IFERROR(__xludf.DUMMYFUNCTION("""COMPUTED_VALUE"""),"Test mẫu ")</f>
        <v>Test mẫu </v>
      </c>
      <c r="E342" s="22" t="str">
        <f>IFERROR(__xludf.DUMMYFUNCTION("""COMPUTED_VALUE"""),"NV Test mẫu")</f>
        <v>NV Test mẫu</v>
      </c>
      <c r="F342" s="22" t="str">
        <f>IFERROR(__xludf.DUMMYFUNCTION("""COMPUTED_VALUE"""),"NV2733")</f>
        <v>NV2733</v>
      </c>
      <c r="G342" s="22">
        <f>IFERROR(__xludf.DUMMYFUNCTION("""COMPUTED_VALUE"""),125.0)</f>
        <v>125</v>
      </c>
      <c r="H342" s="22" t="str">
        <f>IFERROR(__xludf.DUMMYFUNCTION("""COMPUTED_VALUE"""),"Lê Văn Quân")</f>
        <v>Lê Văn Quân</v>
      </c>
      <c r="I342" s="22" t="str">
        <f>IFERROR(__xludf.DUMMYFUNCTION("""COMPUTED_VALUE"""),"Nam")</f>
        <v>Nam</v>
      </c>
      <c r="J342" s="24">
        <f>IFERROR(__xludf.DUMMYFUNCTION("""COMPUTED_VALUE"""),33423.0)</f>
        <v>33423</v>
      </c>
      <c r="K342" s="22" t="str">
        <f>IFERROR(__xludf.DUMMYFUNCTION("""COMPUTED_VALUE"""),"Xã Đồng Tiến - Tỉnh Thanh Hóa")</f>
        <v>Xã Đồng Tiến - Tỉnh Thanh Hóa</v>
      </c>
      <c r="L342" s="22" t="str">
        <f>IFERROR(__xludf.DUMMYFUNCTION("""COMPUTED_VALUE"""),"0818710791")</f>
        <v>0818710791</v>
      </c>
      <c r="M342" s="22" t="str">
        <f>IFERROR(__xludf.DUMMYFUNCTION("""COMPUTED_VALUE"""),"038091018918")</f>
        <v>038091018918</v>
      </c>
      <c r="N342" s="24">
        <f>IFERROR(__xludf.DUMMYFUNCTION("""COMPUTED_VALUE"""),44389.0)</f>
        <v>44389</v>
      </c>
      <c r="O342" s="22" t="str">
        <f>IFERROR(__xludf.DUMMYFUNCTION("""COMPUTED_VALUE"""),"Cục Cảnh sát QLHC về TTXH")</f>
        <v>Cục Cảnh sát QLHC về TTXH</v>
      </c>
      <c r="P342" s="22" t="str">
        <f>IFERROR(__xludf.DUMMYFUNCTION("""COMPUTED_VALUE"""),"Cao đẳng")</f>
        <v>Cao đẳng</v>
      </c>
      <c r="Q342" s="22" t="str">
        <f>IFERROR(__xludf.DUMMYFUNCTION("""COMPUTED_VALUE"""),"Công nghệ kỹ thuật môi trường")</f>
        <v>Công nghệ kỹ thuật môi trường</v>
      </c>
      <c r="R342" s="24">
        <f>IFERROR(__xludf.DUMMYFUNCTION("""COMPUTED_VALUE"""),43871.0)</f>
        <v>43871</v>
      </c>
      <c r="S342" s="24">
        <f>IFERROR(__xludf.DUMMYFUNCTION("""COMPUTED_VALUE"""),44166.0)</f>
        <v>44166</v>
      </c>
      <c r="T342" s="22" t="str">
        <f>IFERROR(__xludf.DUMMYFUNCTION("""COMPUTED_VALUE"""),"Chính thức")</f>
        <v>Chính thức</v>
      </c>
      <c r="U342" s="22"/>
      <c r="V342" s="22"/>
      <c r="W342" s="22" t="str">
        <f>IFERROR(__xludf.DUMMYFUNCTION("""COMPUTED_VALUE"""),"5 năm 10 tháng")</f>
        <v>5 năm 10 tháng</v>
      </c>
      <c r="X342" s="22"/>
      <c r="Y342" s="22"/>
      <c r="Z342" s="22"/>
    </row>
    <row r="343">
      <c r="A343" s="23" t="str">
        <f>IFERROR(__xludf.DUMMYFUNCTION("""COMPUTED_VALUE"""),"3")</f>
        <v>3</v>
      </c>
      <c r="B343" s="22" t="str">
        <f>IFERROR(__xludf.DUMMYFUNCTION("""COMPUTED_VALUE"""),"PXSX1")</f>
        <v>PXSX1</v>
      </c>
      <c r="C343" s="22" t="str">
        <f>IFERROR(__xludf.DUMMYFUNCTION("""COMPUTED_VALUE"""),"Test mẫu PXSX1")</f>
        <v>Test mẫu PXSX1</v>
      </c>
      <c r="D343" s="22" t="str">
        <f>IFERROR(__xludf.DUMMYFUNCTION("""COMPUTED_VALUE"""),"Test mẫu ")</f>
        <v>Test mẫu </v>
      </c>
      <c r="E343" s="22" t="str">
        <f>IFERROR(__xludf.DUMMYFUNCTION("""COMPUTED_VALUE"""),"NV Test mẫu")</f>
        <v>NV Test mẫu</v>
      </c>
      <c r="F343" s="22" t="str">
        <f>IFERROR(__xludf.DUMMYFUNCTION("""COMPUTED_VALUE"""),"NV2737")</f>
        <v>NV2737</v>
      </c>
      <c r="G343" s="22">
        <f>IFERROR(__xludf.DUMMYFUNCTION("""COMPUTED_VALUE"""),775.0)</f>
        <v>775</v>
      </c>
      <c r="H343" s="22" t="str">
        <f>IFERROR(__xludf.DUMMYFUNCTION("""COMPUTED_VALUE"""),"Phạm Văn Thùy")</f>
        <v>Phạm Văn Thùy</v>
      </c>
      <c r="I343" s="22" t="str">
        <f>IFERROR(__xludf.DUMMYFUNCTION("""COMPUTED_VALUE"""),"Nam")</f>
        <v>Nam</v>
      </c>
      <c r="J343" s="24">
        <f>IFERROR(__xludf.DUMMYFUNCTION("""COMPUTED_VALUE"""),34931.0)</f>
        <v>34931</v>
      </c>
      <c r="K343" s="22" t="str">
        <f>IFERROR(__xludf.DUMMYFUNCTION("""COMPUTED_VALUE"""),"Phường Quảng Phú - Tỉnh Thanh Hóa")</f>
        <v>Phường Quảng Phú - Tỉnh Thanh Hóa</v>
      </c>
      <c r="L343" s="22" t="str">
        <f>IFERROR(__xludf.DUMMYFUNCTION("""COMPUTED_VALUE"""),"0943929313")</f>
        <v>0943929313</v>
      </c>
      <c r="M343" s="22" t="str">
        <f>IFERROR(__xludf.DUMMYFUNCTION("""COMPUTED_VALUE"""),"038095013205")</f>
        <v>038095013205</v>
      </c>
      <c r="N343" s="24">
        <f>IFERROR(__xludf.DUMMYFUNCTION("""COMPUTED_VALUE"""),44530.0)</f>
        <v>44530</v>
      </c>
      <c r="O343" s="22" t="str">
        <f>IFERROR(__xludf.DUMMYFUNCTION("""COMPUTED_VALUE"""),"Cục Cảnh sát QLHC về TTXH")</f>
        <v>Cục Cảnh sát QLHC về TTXH</v>
      </c>
      <c r="P343" s="22" t="str">
        <f>IFERROR(__xludf.DUMMYFUNCTION("""COMPUTED_VALUE"""),"Cao đẳng")</f>
        <v>Cao đẳng</v>
      </c>
      <c r="Q343" s="22" t="str">
        <f>IFERROR(__xludf.DUMMYFUNCTION("""COMPUTED_VALUE"""),"Công nghệ kỹ thuật hóa học")</f>
        <v>Công nghệ kỹ thuật hóa học</v>
      </c>
      <c r="R343" s="24">
        <f>IFERROR(__xludf.DUMMYFUNCTION("""COMPUTED_VALUE"""),43871.0)</f>
        <v>43871</v>
      </c>
      <c r="S343" s="24">
        <f>IFERROR(__xludf.DUMMYFUNCTION("""COMPUTED_VALUE"""),45108.0)</f>
        <v>45108</v>
      </c>
      <c r="T343" s="22" t="str">
        <f>IFERROR(__xludf.DUMMYFUNCTION("""COMPUTED_VALUE"""),"Chính thức")</f>
        <v>Chính thức</v>
      </c>
      <c r="U343" s="22"/>
      <c r="V343" s="22"/>
      <c r="W343" s="22" t="str">
        <f>IFERROR(__xludf.DUMMYFUNCTION("""COMPUTED_VALUE"""),"5 năm 10 tháng")</f>
        <v>5 năm 10 tháng</v>
      </c>
      <c r="X343" s="22"/>
      <c r="Y343" s="22"/>
      <c r="Z343" s="22"/>
    </row>
    <row r="344">
      <c r="A344" s="23" t="str">
        <f>IFERROR(__xludf.DUMMYFUNCTION("""COMPUTED_VALUE"""),"8")</f>
        <v>8</v>
      </c>
      <c r="B344" s="22" t="str">
        <f>IFERROR(__xludf.DUMMYFUNCTION("""COMPUTED_VALUE"""),"Bộ phận dự án")</f>
        <v>Bộ phận dự án</v>
      </c>
      <c r="C344" s="22">
        <f>IFERROR(__xludf.DUMMYFUNCTION("""COMPUTED_VALUE"""),2.0)</f>
        <v>2</v>
      </c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3" t="str">
        <f>IFERROR(__xludf.DUMMYFUNCTION("""COMPUTED_VALUE"""),"1")</f>
        <v>1</v>
      </c>
      <c r="B345" s="22" t="str">
        <f>IFERROR(__xludf.DUMMYFUNCTION("""COMPUTED_VALUE"""),"PXSX1")</f>
        <v>PXSX1</v>
      </c>
      <c r="C345" s="22" t="str">
        <f>IFERROR(__xludf.DUMMYFUNCTION("""COMPUTED_VALUE"""),"Bộ phận dự án")</f>
        <v>Bộ phận dự án</v>
      </c>
      <c r="D345" s="22" t="str">
        <f>IFERROR(__xludf.DUMMYFUNCTION("""COMPUTED_VALUE"""),"Bộ phận hành chính")</f>
        <v>Bộ phận hành chính</v>
      </c>
      <c r="E345" s="22" t="str">
        <f>IFERROR(__xludf.DUMMYFUNCTION("""COMPUTED_VALUE"""),"Cơ điện")</f>
        <v>Cơ điện</v>
      </c>
      <c r="F345" s="22" t="str">
        <f>IFERROR(__xludf.DUMMYFUNCTION("""COMPUTED_VALUE"""),"NV0460")</f>
        <v>NV0460</v>
      </c>
      <c r="G345" s="22">
        <f>IFERROR(__xludf.DUMMYFUNCTION("""COMPUTED_VALUE"""),147.0)</f>
        <v>147</v>
      </c>
      <c r="H345" s="22" t="str">
        <f>IFERROR(__xludf.DUMMYFUNCTION("""COMPUTED_VALUE"""),"Nguyễn Trọng Hợp")</f>
        <v>Nguyễn Trọng Hợp</v>
      </c>
      <c r="I345" s="22" t="str">
        <f>IFERROR(__xludf.DUMMYFUNCTION("""COMPUTED_VALUE"""),"Nam")</f>
        <v>Nam</v>
      </c>
      <c r="J345" s="24">
        <f>IFERROR(__xludf.DUMMYFUNCTION("""COMPUTED_VALUE"""),30200.0)</f>
        <v>30200</v>
      </c>
      <c r="K345" s="22" t="str">
        <f>IFERROR(__xludf.DUMMYFUNCTION("""COMPUTED_VALUE"""),"Xã Hoằng Hóa - Tỉnh Thanh Hóa")</f>
        <v>Xã Hoằng Hóa - Tỉnh Thanh Hóa</v>
      </c>
      <c r="L345" s="22" t="str">
        <f>IFERROR(__xludf.DUMMYFUNCTION("""COMPUTED_VALUE"""),"0965864300")</f>
        <v>0965864300</v>
      </c>
      <c r="M345" s="22" t="str">
        <f>IFERROR(__xludf.DUMMYFUNCTION("""COMPUTED_VALUE"""),"038082008338")</f>
        <v>038082008338</v>
      </c>
      <c r="N345" s="22"/>
      <c r="O345" s="22" t="str">
        <f>IFERROR(__xludf.DUMMYFUNCTION("""COMPUTED_VALUE"""),"Cục Cảnh sát QLHC về TTXH")</f>
        <v>Cục Cảnh sát QLHC về TTXH</v>
      </c>
      <c r="P345" s="22" t="str">
        <f>IFERROR(__xludf.DUMMYFUNCTION("""COMPUTED_VALUE"""),"LĐPT")</f>
        <v>LĐPT</v>
      </c>
      <c r="Q345" s="22" t="str">
        <f>IFERROR(__xludf.DUMMYFUNCTION("""COMPUTED_VALUE"""),"Lao động phổ thông")</f>
        <v>Lao động phổ thông</v>
      </c>
      <c r="R345" s="24">
        <f>IFERROR(__xludf.DUMMYFUNCTION("""COMPUTED_VALUE"""),39959.0)</f>
        <v>39959</v>
      </c>
      <c r="S345" s="24">
        <f>IFERROR(__xludf.DUMMYFUNCTION("""COMPUTED_VALUE"""),39959.0)</f>
        <v>39959</v>
      </c>
      <c r="T345" s="22" t="str">
        <f>IFERROR(__xludf.DUMMYFUNCTION("""COMPUTED_VALUE"""),"Chính thức")</f>
        <v>Chính thức</v>
      </c>
      <c r="U345" s="22"/>
      <c r="V345" s="22"/>
      <c r="W345" s="22" t="str">
        <f>IFERROR(__xludf.DUMMYFUNCTION("""COMPUTED_VALUE"""),"16 năm 7 tháng")</f>
        <v>16 năm 7 tháng</v>
      </c>
      <c r="X345" s="22"/>
      <c r="Y345" s="22"/>
      <c r="Z345" s="22"/>
    </row>
    <row r="346">
      <c r="A346" s="23" t="str">
        <f>IFERROR(__xludf.DUMMYFUNCTION("""COMPUTED_VALUE"""),"2")</f>
        <v>2</v>
      </c>
      <c r="B346" s="22" t="str">
        <f>IFERROR(__xludf.DUMMYFUNCTION("""COMPUTED_VALUE"""),"PXSX1")</f>
        <v>PXSX1</v>
      </c>
      <c r="C346" s="22" t="str">
        <f>IFERROR(__xludf.DUMMYFUNCTION("""COMPUTED_VALUE"""),"Bộ phận dự án")</f>
        <v>Bộ phận dự án</v>
      </c>
      <c r="D346" s="22" t="str">
        <f>IFERROR(__xludf.DUMMYFUNCTION("""COMPUTED_VALUE"""),"Bộ phận hành chính")</f>
        <v>Bộ phận hành chính</v>
      </c>
      <c r="E346" s="22" t="str">
        <f>IFERROR(__xludf.DUMMYFUNCTION("""COMPUTED_VALUE"""),"Cơ điện")</f>
        <v>Cơ điện</v>
      </c>
      <c r="F346" s="22" t="str">
        <f>IFERROR(__xludf.DUMMYFUNCTION("""COMPUTED_VALUE"""),"NV0104")</f>
        <v>NV0104</v>
      </c>
      <c r="G346" s="22">
        <f>IFERROR(__xludf.DUMMYFUNCTION("""COMPUTED_VALUE"""),818.0)</f>
        <v>818</v>
      </c>
      <c r="H346" s="22" t="str">
        <f>IFERROR(__xludf.DUMMYFUNCTION("""COMPUTED_VALUE"""),"Phạm Văn Hiệu")</f>
        <v>Phạm Văn Hiệu</v>
      </c>
      <c r="I346" s="22" t="str">
        <f>IFERROR(__xludf.DUMMYFUNCTION("""COMPUTED_VALUE"""),"Nam")</f>
        <v>Nam</v>
      </c>
      <c r="J346" s="24">
        <f>IFERROR(__xludf.DUMMYFUNCTION("""COMPUTED_VALUE"""),30487.0)</f>
        <v>30487</v>
      </c>
      <c r="K346" s="22" t="str">
        <f>IFERROR(__xludf.DUMMYFUNCTION("""COMPUTED_VALUE"""),"Xã Lưu Vệ - Tỉnh Thanh Hóa ")</f>
        <v>Xã Lưu Vệ - Tỉnh Thanh Hóa </v>
      </c>
      <c r="L346" s="22" t="str">
        <f>IFERROR(__xludf.DUMMYFUNCTION("""COMPUTED_VALUE"""),"0934367344")</f>
        <v>0934367344</v>
      </c>
      <c r="M346" s="22" t="str">
        <f>IFERROR(__xludf.DUMMYFUNCTION("""COMPUTED_VALUE"""),"038083017433")</f>
        <v>038083017433</v>
      </c>
      <c r="N346" s="24">
        <f>IFERROR(__xludf.DUMMYFUNCTION("""COMPUTED_VALUE"""),44375.0)</f>
        <v>44375</v>
      </c>
      <c r="O346" s="22" t="str">
        <f>IFERROR(__xludf.DUMMYFUNCTION("""COMPUTED_VALUE"""),"Cục Cảnh sát QLHC về TTXH")</f>
        <v>Cục Cảnh sát QLHC về TTXH</v>
      </c>
      <c r="P346" s="22" t="str">
        <f>IFERROR(__xludf.DUMMYFUNCTION("""COMPUTED_VALUE"""),"LĐPT")</f>
        <v>LĐPT</v>
      </c>
      <c r="Q346" s="22" t="str">
        <f>IFERROR(__xludf.DUMMYFUNCTION("""COMPUTED_VALUE"""),"Lao động phổ thông")</f>
        <v>Lao động phổ thông</v>
      </c>
      <c r="R346" s="24">
        <f>IFERROR(__xludf.DUMMYFUNCTION("""COMPUTED_VALUE"""),41731.0)</f>
        <v>41731</v>
      </c>
      <c r="S346" s="24">
        <f>IFERROR(__xludf.DUMMYFUNCTION("""COMPUTED_VALUE"""),41731.0)</f>
        <v>41731</v>
      </c>
      <c r="T346" s="22" t="str">
        <f>IFERROR(__xludf.DUMMYFUNCTION("""COMPUTED_VALUE"""),"Chính thức")</f>
        <v>Chính thức</v>
      </c>
      <c r="U346" s="22"/>
      <c r="V346" s="22"/>
      <c r="W346" s="22" t="str">
        <f>IFERROR(__xludf.DUMMYFUNCTION("""COMPUTED_VALUE"""),"11 năm 8 tháng")</f>
        <v>11 năm 8 tháng</v>
      </c>
      <c r="X346" s="22"/>
      <c r="Y346" s="22"/>
      <c r="Z346" s="22"/>
    </row>
    <row r="347">
      <c r="A347" s="23" t="str">
        <f>IFERROR(__xludf.DUMMYFUNCTION("""COMPUTED_VALUE"""),"1.")</f>
        <v>1.</v>
      </c>
      <c r="B347" s="22" t="str">
        <f>IFERROR(__xludf.DUMMYFUNCTION("""COMPUTED_VALUE"""),"Phòng công nghệ")</f>
        <v>Phòng công nghệ</v>
      </c>
      <c r="C347" s="22">
        <f>IFERROR(__xludf.DUMMYFUNCTION("""COMPUTED_VALUE"""),18.0)</f>
        <v>18</v>
      </c>
      <c r="D347" s="22"/>
      <c r="E347" s="22">
        <f>IFERROR(__xludf.DUMMYFUNCTION("""COMPUTED_VALUE"""),18.0)</f>
        <v>18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3" t="str">
        <f>IFERROR(__xludf.DUMMYFUNCTION("""COMPUTED_VALUE"""),"1.1")</f>
        <v>1.1</v>
      </c>
      <c r="B348" s="22" t="str">
        <f>IFERROR(__xludf.DUMMYFUNCTION("""COMPUTED_VALUE"""),"Bộ phận hành chính")</f>
        <v>Bộ phận hành chính</v>
      </c>
      <c r="C348" s="22">
        <f>IFERROR(__xludf.DUMMYFUNCTION("""COMPUTED_VALUE"""),3.0)</f>
        <v>3</v>
      </c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3" t="str">
        <f>IFERROR(__xludf.DUMMYFUNCTION("""COMPUTED_VALUE"""),"1")</f>
        <v>1</v>
      </c>
      <c r="B349" s="22" t="str">
        <f>IFERROR(__xludf.DUMMYFUNCTION("""COMPUTED_VALUE"""),"PXSX1")</f>
        <v>PXSX1</v>
      </c>
      <c r="C349" s="22" t="str">
        <f>IFERROR(__xludf.DUMMYFUNCTION("""COMPUTED_VALUE"""),"Phòng công nghệ")</f>
        <v>Phòng công nghệ</v>
      </c>
      <c r="D349" s="22" t="str">
        <f>IFERROR(__xludf.DUMMYFUNCTION("""COMPUTED_VALUE"""),"Bộ phận hành chính")</f>
        <v>Bộ phận hành chính</v>
      </c>
      <c r="E349" s="22" t="str">
        <f>IFERROR(__xludf.DUMMYFUNCTION("""COMPUTED_VALUE"""),"Giám đốc công nghệ")</f>
        <v>Giám đốc công nghệ</v>
      </c>
      <c r="F349" s="22"/>
      <c r="G349" s="22"/>
      <c r="H349" s="22" t="str">
        <f>IFERROR(__xludf.DUMMYFUNCTION("""COMPUTED_VALUE"""),"Vankateswarlu")</f>
        <v>Vankateswarlu</v>
      </c>
      <c r="I349" s="22" t="str">
        <f>IFERROR(__xludf.DUMMYFUNCTION("""COMPUTED_VALUE"""),"Nam")</f>
        <v>Nam</v>
      </c>
      <c r="J349" s="24">
        <f>IFERROR(__xludf.DUMMYFUNCTION("""COMPUTED_VALUE"""),28356.0)</f>
        <v>28356</v>
      </c>
      <c r="K349" s="22" t="str">
        <f>IFERROR(__xludf.DUMMYFUNCTION("""COMPUTED_VALUE"""),"Phường Hạc Thành - Tỉnh Thanh Hóa")</f>
        <v>Phường Hạc Thành - Tỉnh Thanh Hóa</v>
      </c>
      <c r="L349" s="22"/>
      <c r="M349" s="22"/>
      <c r="N349" s="22"/>
      <c r="O349" s="22" t="str">
        <f>IFERROR(__xludf.DUMMYFUNCTION("""COMPUTED_VALUE"""),"Cục Cảnh sát QLHC về TTXH")</f>
        <v>Cục Cảnh sát QLHC về TTXH</v>
      </c>
      <c r="P349" s="22" t="str">
        <f>IFERROR(__xludf.DUMMYFUNCTION("""COMPUTED_VALUE"""),"Đại học")</f>
        <v>Đại học</v>
      </c>
      <c r="Q349" s="22" t="str">
        <f>IFERROR(__xludf.DUMMYFUNCTION("""COMPUTED_VALUE"""),"Kỹ sư chuyên ngành gốm sứ")</f>
        <v>Kỹ sư chuyên ngành gốm sứ</v>
      </c>
      <c r="R349" s="24">
        <f>IFERROR(__xludf.DUMMYFUNCTION("""COMPUTED_VALUE"""),45828.0)</f>
        <v>45828</v>
      </c>
      <c r="S349" s="24">
        <f>IFERROR(__xludf.DUMMYFUNCTION("""COMPUTED_VALUE"""),45828.0)</f>
        <v>45828</v>
      </c>
      <c r="T349" s="22" t="str">
        <f>IFERROR(__xludf.DUMMYFUNCTION("""COMPUTED_VALUE"""),"Chính thức")</f>
        <v>Chính thức</v>
      </c>
      <c r="U349" s="22"/>
      <c r="V349" s="22" t="str">
        <f>IFERROR(__xludf.DUMMYFUNCTION("""COMPUTED_VALUE"""),"Chính thức")</f>
        <v>Chính thức</v>
      </c>
      <c r="W349" s="22" t="str">
        <f>IFERROR(__xludf.DUMMYFUNCTION("""COMPUTED_VALUE"""),"0 năm 6 tháng")</f>
        <v>0 năm 6 tháng</v>
      </c>
      <c r="X349" s="22"/>
      <c r="Y349" s="22"/>
      <c r="Z349" s="22"/>
    </row>
    <row r="350">
      <c r="A350" s="23" t="str">
        <f>IFERROR(__xludf.DUMMYFUNCTION("""COMPUTED_VALUE"""),"2")</f>
        <v>2</v>
      </c>
      <c r="B350" s="22" t="str">
        <f>IFERROR(__xludf.DUMMYFUNCTION("""COMPUTED_VALUE"""),"PXSX1")</f>
        <v>PXSX1</v>
      </c>
      <c r="C350" s="22" t="str">
        <f>IFERROR(__xludf.DUMMYFUNCTION("""COMPUTED_VALUE"""),"Phòng công nghệ")</f>
        <v>Phòng công nghệ</v>
      </c>
      <c r="D350" s="22" t="str">
        <f>IFERROR(__xludf.DUMMYFUNCTION("""COMPUTED_VALUE"""),"Bộ phận hành chính")</f>
        <v>Bộ phận hành chính</v>
      </c>
      <c r="E350" s="22" t="str">
        <f>IFERROR(__xludf.DUMMYFUNCTION("""COMPUTED_VALUE"""),"Trợ lý giám đốc công nghệ")</f>
        <v>Trợ lý giám đốc công nghệ</v>
      </c>
      <c r="F350" s="22" t="str">
        <f>IFERROR(__xludf.DUMMYFUNCTION("""COMPUTED_VALUE"""),"NV0443")</f>
        <v>NV0443</v>
      </c>
      <c r="G350" s="22">
        <f>IFERROR(__xludf.DUMMYFUNCTION("""COMPUTED_VALUE"""),182.0)</f>
        <v>182</v>
      </c>
      <c r="H350" s="22" t="str">
        <f>IFERROR(__xludf.DUMMYFUNCTION("""COMPUTED_VALUE"""),"Lê Văn Bình")</f>
        <v>Lê Văn Bình</v>
      </c>
      <c r="I350" s="22" t="str">
        <f>IFERROR(__xludf.DUMMYFUNCTION("""COMPUTED_VALUE"""),"Nam")</f>
        <v>Nam</v>
      </c>
      <c r="J350" s="24">
        <f>IFERROR(__xludf.DUMMYFUNCTION("""COMPUTED_VALUE"""),29299.0)</f>
        <v>29299</v>
      </c>
      <c r="K350" s="22" t="str">
        <f>IFERROR(__xludf.DUMMYFUNCTION("""COMPUTED_VALUE"""),"03/11/103 Đường Bạch Đằng - Phường Quảng Phú - Tỉnh Thanh hóa ")</f>
        <v>03/11/103 Đường Bạch Đằng - Phường Quảng Phú - Tỉnh Thanh hóa </v>
      </c>
      <c r="L350" s="22" t="str">
        <f>IFERROR(__xludf.DUMMYFUNCTION("""COMPUTED_VALUE"""),"0914351407")</f>
        <v>0914351407</v>
      </c>
      <c r="M350" s="22" t="str">
        <f>IFERROR(__xludf.DUMMYFUNCTION("""COMPUTED_VALUE"""),"038080034257")</f>
        <v>038080034257</v>
      </c>
      <c r="N350" s="24">
        <f>IFERROR(__xludf.DUMMYFUNCTION("""COMPUTED_VALUE"""),44445.0)</f>
        <v>44445</v>
      </c>
      <c r="O350" s="22" t="str">
        <f>IFERROR(__xludf.DUMMYFUNCTION("""COMPUTED_VALUE"""),"Cục Cảnh sát QLHC về TTXH")</f>
        <v>Cục Cảnh sát QLHC về TTXH</v>
      </c>
      <c r="P350" s="22" t="str">
        <f>IFERROR(__xludf.DUMMYFUNCTION("""COMPUTED_VALUE"""),"Đại học")</f>
        <v>Đại học</v>
      </c>
      <c r="Q350" s="22" t="str">
        <f>IFERROR(__xludf.DUMMYFUNCTION("""COMPUTED_VALUE"""),"Công nghệ hóa học")</f>
        <v>Công nghệ hóa học</v>
      </c>
      <c r="R350" s="24">
        <f>IFERROR(__xludf.DUMMYFUNCTION("""COMPUTED_VALUE"""),39264.0)</f>
        <v>39264</v>
      </c>
      <c r="S350" s="24">
        <f>IFERROR(__xludf.DUMMYFUNCTION("""COMPUTED_VALUE"""),39264.0)</f>
        <v>39264</v>
      </c>
      <c r="T350" s="22" t="str">
        <f>IFERROR(__xludf.DUMMYFUNCTION("""COMPUTED_VALUE"""),"Chính thức")</f>
        <v>Chính thức</v>
      </c>
      <c r="U350" s="22"/>
      <c r="V350" s="22" t="str">
        <f>IFERROR(__xludf.DUMMYFUNCTION("""COMPUTED_VALUE"""),"Chính thức")</f>
        <v>Chính thức</v>
      </c>
      <c r="W350" s="22" t="str">
        <f>IFERROR(__xludf.DUMMYFUNCTION("""COMPUTED_VALUE"""),"18 năm 5 tháng")</f>
        <v>18 năm 5 tháng</v>
      </c>
      <c r="X350" s="22"/>
      <c r="Y350" s="22"/>
      <c r="Z350" s="22"/>
    </row>
    <row r="351">
      <c r="A351" s="23" t="str">
        <f>IFERROR(__xludf.DUMMYFUNCTION("""COMPUTED_VALUE"""),"3")</f>
        <v>3</v>
      </c>
      <c r="B351" s="22" t="str">
        <f>IFERROR(__xludf.DUMMYFUNCTION("""COMPUTED_VALUE"""),"PXSX1")</f>
        <v>PXSX1</v>
      </c>
      <c r="C351" s="22" t="str">
        <f>IFERROR(__xludf.DUMMYFUNCTION("""COMPUTED_VALUE"""),"Phòng công nghệ")</f>
        <v>Phòng công nghệ</v>
      </c>
      <c r="D351" s="22" t="str">
        <f>IFERROR(__xludf.DUMMYFUNCTION("""COMPUTED_VALUE"""),"Bộ phận hành chính")</f>
        <v>Bộ phận hành chính</v>
      </c>
      <c r="E351" s="22" t="str">
        <f>IFERROR(__xludf.DUMMYFUNCTION("""COMPUTED_VALUE"""),"Phiên dịch")</f>
        <v>Phiên dịch</v>
      </c>
      <c r="F351" s="22" t="str">
        <f>IFERROR(__xludf.DUMMYFUNCTION("""COMPUTED_VALUE"""),"NV5617")</f>
        <v>NV5617</v>
      </c>
      <c r="G351" s="22">
        <f>IFERROR(__xludf.DUMMYFUNCTION("""COMPUTED_VALUE"""),1013.0)</f>
        <v>1013</v>
      </c>
      <c r="H351" s="22" t="str">
        <f>IFERROR(__xludf.DUMMYFUNCTION("""COMPUTED_VALUE"""),"Lê Bá Long")</f>
        <v>Lê Bá Long</v>
      </c>
      <c r="I351" s="22" t="str">
        <f>IFERROR(__xludf.DUMMYFUNCTION("""COMPUTED_VALUE"""),"Nam")</f>
        <v>Nam</v>
      </c>
      <c r="J351" s="24">
        <f>IFERROR(__xludf.DUMMYFUNCTION("""COMPUTED_VALUE"""),37013.0)</f>
        <v>37013</v>
      </c>
      <c r="K351" s="22" t="str">
        <f>IFERROR(__xludf.DUMMYFUNCTION("""COMPUTED_VALUE"""),"153/Nguyễn Trãi - Phường Hạc Thành - Tỉnh Thanh Hóa")</f>
        <v>153/Nguyễn Trãi - Phường Hạc Thành - Tỉnh Thanh Hóa</v>
      </c>
      <c r="L351" s="22" t="str">
        <f>IFERROR(__xludf.DUMMYFUNCTION("""COMPUTED_VALUE"""),"0815103636")</f>
        <v>0815103636</v>
      </c>
      <c r="M351" s="22" t="str">
        <f>IFERROR(__xludf.DUMMYFUNCTION("""COMPUTED_VALUE"""),"038201000702")</f>
        <v>038201000702</v>
      </c>
      <c r="N351" s="24">
        <f>IFERROR(__xludf.DUMMYFUNCTION("""COMPUTED_VALUE"""),44375.0)</f>
        <v>44375</v>
      </c>
      <c r="O351" s="22" t="str">
        <f>IFERROR(__xludf.DUMMYFUNCTION("""COMPUTED_VALUE"""),"Cục Cảnh sát QLHC về TTXH")</f>
        <v>Cục Cảnh sát QLHC về TTXH</v>
      </c>
      <c r="P351" s="22" t="str">
        <f>IFERROR(__xludf.DUMMYFUNCTION("""COMPUTED_VALUE"""),"Đại học")</f>
        <v>Đại học</v>
      </c>
      <c r="Q351" s="22" t="str">
        <f>IFERROR(__xludf.DUMMYFUNCTION("""COMPUTED_VALUE"""),"Cử nhân ngôn ngữ Anh")</f>
        <v>Cử nhân ngôn ngữ Anh</v>
      </c>
      <c r="R351" s="24">
        <f>IFERROR(__xludf.DUMMYFUNCTION("""COMPUTED_VALUE"""),45849.0)</f>
        <v>45849</v>
      </c>
      <c r="S351" s="24">
        <f>IFERROR(__xludf.DUMMYFUNCTION("""COMPUTED_VALUE"""),45880.0)</f>
        <v>45880</v>
      </c>
      <c r="T351" s="22" t="str">
        <f>IFERROR(__xludf.DUMMYFUNCTION("""COMPUTED_VALUE"""),"Thử việc")</f>
        <v>Thử việc</v>
      </c>
      <c r="U351" s="22"/>
      <c r="V351" s="22" t="str">
        <f>IFERROR(__xludf.DUMMYFUNCTION("""COMPUTED_VALUE"""),"Thử việc")</f>
        <v>Thử việc</v>
      </c>
      <c r="W351" s="22" t="str">
        <f>IFERROR(__xludf.DUMMYFUNCTION("""COMPUTED_VALUE"""),"0 năm 5 tháng")</f>
        <v>0 năm 5 tháng</v>
      </c>
      <c r="X351" s="22"/>
      <c r="Y351" s="22"/>
      <c r="Z351" s="22"/>
    </row>
    <row r="352">
      <c r="A352" s="23" t="str">
        <f>IFERROR(__xludf.DUMMYFUNCTION("""COMPUTED_VALUE"""),"1.2")</f>
        <v>1.2</v>
      </c>
      <c r="B352" s="22" t="str">
        <f>IFERROR(__xludf.DUMMYFUNCTION("""COMPUTED_VALUE"""),"Bộ phận Công nghệ PXSX1")</f>
        <v>Bộ phận Công nghệ PXSX1</v>
      </c>
      <c r="C352" s="22">
        <f>IFERROR(__xludf.DUMMYFUNCTION("""COMPUTED_VALUE"""),15.0)</f>
        <v>15</v>
      </c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3" t="str">
        <f>IFERROR(__xludf.DUMMYFUNCTION("""COMPUTED_VALUE"""),"a.")</f>
        <v>a.</v>
      </c>
      <c r="B353" s="22" t="str">
        <f>IFERROR(__xludf.DUMMYFUNCTION("""COMPUTED_VALUE"""),"Tổ kỹ thuật PXSX1")</f>
        <v>Tổ kỹ thuật PXSX1</v>
      </c>
      <c r="C353" s="22">
        <f>IFERROR(__xludf.DUMMYFUNCTION("""COMPUTED_VALUE"""),7.0)</f>
        <v>7</v>
      </c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3" t="str">
        <f>IFERROR(__xludf.DUMMYFUNCTION("""COMPUTED_VALUE"""),"1")</f>
        <v>1</v>
      </c>
      <c r="B354" s="22" t="str">
        <f>IFERROR(__xludf.DUMMYFUNCTION("""COMPUTED_VALUE"""),"PXSX1")</f>
        <v>PXSX1</v>
      </c>
      <c r="C354" s="22" t="str">
        <f>IFERROR(__xludf.DUMMYFUNCTION("""COMPUTED_VALUE"""),"Phòng công nghệ")</f>
        <v>Phòng công nghệ</v>
      </c>
      <c r="D354" s="22" t="str">
        <f>IFERROR(__xludf.DUMMYFUNCTION("""COMPUTED_VALUE"""),"Tổ kỹ thuật PXSX1")</f>
        <v>Tổ kỹ thuật PXSX1</v>
      </c>
      <c r="E354" s="22" t="str">
        <f>IFERROR(__xludf.DUMMYFUNCTION("""COMPUTED_VALUE"""),"CBKT Công nghệ")</f>
        <v>CBKT Công nghệ</v>
      </c>
      <c r="F354" s="22" t="str">
        <f>IFERROR(__xludf.DUMMYFUNCTION("""COMPUTED_VALUE"""),"NV0057")</f>
        <v>NV0057</v>
      </c>
      <c r="G354" s="22">
        <f>IFERROR(__xludf.DUMMYFUNCTION("""COMPUTED_VALUE"""),175.0)</f>
        <v>175</v>
      </c>
      <c r="H354" s="22" t="str">
        <f>IFERROR(__xludf.DUMMYFUNCTION("""COMPUTED_VALUE"""),"Phạm Hồng Như")</f>
        <v>Phạm Hồng Như</v>
      </c>
      <c r="I354" s="22" t="str">
        <f>IFERROR(__xludf.DUMMYFUNCTION("""COMPUTED_VALUE"""),"Nữ ")</f>
        <v>Nữ </v>
      </c>
      <c r="J354" s="24">
        <f>IFERROR(__xludf.DUMMYFUNCTION("""COMPUTED_VALUE"""),29122.0)</f>
        <v>29122</v>
      </c>
      <c r="K354" s="22" t="str">
        <f>IFERROR(__xludf.DUMMYFUNCTION("""COMPUTED_VALUE"""),"Phường Quảng Phú - Tỉnh Thanh hóa ")</f>
        <v>Phường Quảng Phú - Tỉnh Thanh hóa </v>
      </c>
      <c r="L354" s="22" t="str">
        <f>IFERROR(__xludf.DUMMYFUNCTION("""COMPUTED_VALUE"""),"0337885437")</f>
        <v>0337885437</v>
      </c>
      <c r="M354" s="22" t="str">
        <f>IFERROR(__xludf.DUMMYFUNCTION("""COMPUTED_VALUE"""),"038179029009")</f>
        <v>038179029009</v>
      </c>
      <c r="N354" s="24">
        <f>IFERROR(__xludf.DUMMYFUNCTION("""COMPUTED_VALUE"""),44447.0)</f>
        <v>44447</v>
      </c>
      <c r="O354" s="22" t="str">
        <f>IFERROR(__xludf.DUMMYFUNCTION("""COMPUTED_VALUE"""),"Cục Cảnh sát QLHC về TTXH")</f>
        <v>Cục Cảnh sát QLHC về TTXH</v>
      </c>
      <c r="P354" s="22" t="str">
        <f>IFERROR(__xludf.DUMMYFUNCTION("""COMPUTED_VALUE"""),"Đại học")</f>
        <v>Đại học</v>
      </c>
      <c r="Q354" s="22" t="str">
        <f>IFERROR(__xludf.DUMMYFUNCTION("""COMPUTED_VALUE"""),"Kỹ sư hóa Sillcat")</f>
        <v>Kỹ sư hóa Sillcat</v>
      </c>
      <c r="R354" s="24">
        <f>IFERROR(__xludf.DUMMYFUNCTION("""COMPUTED_VALUE"""),37803.0)</f>
        <v>37803</v>
      </c>
      <c r="S354" s="24">
        <f>IFERROR(__xludf.DUMMYFUNCTION("""COMPUTED_VALUE"""),37803.0)</f>
        <v>37803</v>
      </c>
      <c r="T354" s="22" t="str">
        <f>IFERROR(__xludf.DUMMYFUNCTION("""COMPUTED_VALUE"""),"Chính thức")</f>
        <v>Chính thức</v>
      </c>
      <c r="U354" s="22"/>
      <c r="V354" s="22"/>
      <c r="W354" s="22" t="str">
        <f>IFERROR(__xludf.DUMMYFUNCTION("""COMPUTED_VALUE"""),"22 năm 5 tháng")</f>
        <v>22 năm 5 tháng</v>
      </c>
      <c r="X354" s="22"/>
      <c r="Y354" s="22"/>
      <c r="Z354" s="22"/>
    </row>
    <row r="355">
      <c r="A355" s="23" t="str">
        <f>IFERROR(__xludf.DUMMYFUNCTION("""COMPUTED_VALUE"""),"2")</f>
        <v>2</v>
      </c>
      <c r="B355" s="22" t="str">
        <f>IFERROR(__xludf.DUMMYFUNCTION("""COMPUTED_VALUE"""),"PXSX1")</f>
        <v>PXSX1</v>
      </c>
      <c r="C355" s="22" t="str">
        <f>IFERROR(__xludf.DUMMYFUNCTION("""COMPUTED_VALUE"""),"Phòng công nghệ")</f>
        <v>Phòng công nghệ</v>
      </c>
      <c r="D355" s="22" t="str">
        <f>IFERROR(__xludf.DUMMYFUNCTION("""COMPUTED_VALUE"""),"Tổ kỹ thuật PXSX1")</f>
        <v>Tổ kỹ thuật PXSX1</v>
      </c>
      <c r="E355" s="22" t="str">
        <f>IFERROR(__xludf.DUMMYFUNCTION("""COMPUTED_VALUE"""),"Trưởng bộ phận công nghệ")</f>
        <v>Trưởng bộ phận công nghệ</v>
      </c>
      <c r="F355" s="22" t="str">
        <f>IFERROR(__xludf.DUMMYFUNCTION("""COMPUTED_VALUE"""),"NV0426")</f>
        <v>NV0426</v>
      </c>
      <c r="G355" s="22">
        <f>IFERROR(__xludf.DUMMYFUNCTION("""COMPUTED_VALUE"""),543.0)</f>
        <v>543</v>
      </c>
      <c r="H355" s="22" t="str">
        <f>IFERROR(__xludf.DUMMYFUNCTION("""COMPUTED_VALUE"""),"Đặng Ngọc Điệp")</f>
        <v>Đặng Ngọc Điệp</v>
      </c>
      <c r="I355" s="22" t="str">
        <f>IFERROR(__xludf.DUMMYFUNCTION("""COMPUTED_VALUE"""),"Nam")</f>
        <v>Nam</v>
      </c>
      <c r="J355" s="24">
        <f>IFERROR(__xludf.DUMMYFUNCTION("""COMPUTED_VALUE"""),30196.0)</f>
        <v>30196</v>
      </c>
      <c r="K355" s="22" t="str">
        <f>IFERROR(__xludf.DUMMYFUNCTION("""COMPUTED_VALUE"""),"Quảng Xá - Xã Thiệu QuangTỉnh - Tỉnh Thanh Hóa")</f>
        <v>Quảng Xá - Xã Thiệu QuangTỉnh - Tỉnh Thanh Hóa</v>
      </c>
      <c r="L355" s="22" t="str">
        <f>IFERROR(__xludf.DUMMYFUNCTION("""COMPUTED_VALUE"""),"0978936168")</f>
        <v>0978936168</v>
      </c>
      <c r="M355" s="22" t="str">
        <f>IFERROR(__xludf.DUMMYFUNCTION("""COMPUTED_VALUE"""),"038082007688")</f>
        <v>038082007688</v>
      </c>
      <c r="N355" s="24">
        <f>IFERROR(__xludf.DUMMYFUNCTION("""COMPUTED_VALUE"""),44428.0)</f>
        <v>44428</v>
      </c>
      <c r="O355" s="22" t="str">
        <f>IFERROR(__xludf.DUMMYFUNCTION("""COMPUTED_VALUE"""),"Cục Cảnh sát QLHC về TTXH")</f>
        <v>Cục Cảnh sát QLHC về TTXH</v>
      </c>
      <c r="P355" s="22" t="str">
        <f>IFERROR(__xludf.DUMMYFUNCTION("""COMPUTED_VALUE"""),"Kỹ sư")</f>
        <v>Kỹ sư</v>
      </c>
      <c r="Q355" s="22" t="str">
        <f>IFERROR(__xludf.DUMMYFUNCTION("""COMPUTED_VALUE"""),"Hóa học")</f>
        <v>Hóa học</v>
      </c>
      <c r="R355" s="24">
        <f>IFERROR(__xludf.DUMMYFUNCTION("""COMPUTED_VALUE"""),39246.0)</f>
        <v>39246</v>
      </c>
      <c r="S355" s="24">
        <f>IFERROR(__xludf.DUMMYFUNCTION("""COMPUTED_VALUE"""),39246.0)</f>
        <v>39246</v>
      </c>
      <c r="T355" s="22" t="str">
        <f>IFERROR(__xludf.DUMMYFUNCTION("""COMPUTED_VALUE"""),"Chính thức")</f>
        <v>Chính thức</v>
      </c>
      <c r="U355" s="22"/>
      <c r="V355" s="22" t="str">
        <f>IFERROR(__xludf.DUMMYFUNCTION("""COMPUTED_VALUE"""),"Chính thức")</f>
        <v>Chính thức</v>
      </c>
      <c r="W355" s="22" t="str">
        <f>IFERROR(__xludf.DUMMYFUNCTION("""COMPUTED_VALUE"""),"18 năm 6 tháng")</f>
        <v>18 năm 6 tháng</v>
      </c>
      <c r="X355" s="22"/>
      <c r="Y355" s="22"/>
      <c r="Z355" s="22"/>
    </row>
    <row r="356">
      <c r="A356" s="23" t="str">
        <f>IFERROR(__xludf.DUMMYFUNCTION("""COMPUTED_VALUE"""),"3")</f>
        <v>3</v>
      </c>
      <c r="B356" s="22" t="str">
        <f>IFERROR(__xludf.DUMMYFUNCTION("""COMPUTED_VALUE"""),"PXSX1")</f>
        <v>PXSX1</v>
      </c>
      <c r="C356" s="22" t="str">
        <f>IFERROR(__xludf.DUMMYFUNCTION("""COMPUTED_VALUE"""),"Phòng công nghệ")</f>
        <v>Phòng công nghệ</v>
      </c>
      <c r="D356" s="22" t="str">
        <f>IFERROR(__xludf.DUMMYFUNCTION("""COMPUTED_VALUE"""),"Tổ kỹ thuật PXSX1")</f>
        <v>Tổ kỹ thuật PXSX1</v>
      </c>
      <c r="E356" s="22" t="str">
        <f>IFERROR(__xludf.DUMMYFUNCTION("""COMPUTED_VALUE"""),"Nhân viên Công nghệ")</f>
        <v>Nhân viên Công nghệ</v>
      </c>
      <c r="F356" s="22" t="str">
        <f>IFERROR(__xludf.DUMMYFUNCTION("""COMPUTED_VALUE"""),"NV5578")</f>
        <v>NV5578</v>
      </c>
      <c r="G356" s="22">
        <f>IFERROR(__xludf.DUMMYFUNCTION("""COMPUTED_VALUE"""),1064.0)</f>
        <v>1064</v>
      </c>
      <c r="H356" s="22" t="str">
        <f>IFERROR(__xludf.DUMMYFUNCTION("""COMPUTED_VALUE"""),"Lê Thanh Tiến")</f>
        <v>Lê Thanh Tiến</v>
      </c>
      <c r="I356" s="22" t="str">
        <f>IFERROR(__xludf.DUMMYFUNCTION("""COMPUTED_VALUE"""),"Nam")</f>
        <v>Nam</v>
      </c>
      <c r="J356" s="24">
        <f>IFERROR(__xludf.DUMMYFUNCTION("""COMPUTED_VALUE"""),30541.0)</f>
        <v>30541</v>
      </c>
      <c r="K356" s="22" t="str">
        <f>IFERROR(__xludf.DUMMYFUNCTION("""COMPUTED_VALUE"""),"Xã Nông Cống - Tỉnh Thanh Hóa")</f>
        <v>Xã Nông Cống - Tỉnh Thanh Hóa</v>
      </c>
      <c r="L356" s="22" t="str">
        <f>IFERROR(__xludf.DUMMYFUNCTION("""COMPUTED_VALUE"""),"0936363686")</f>
        <v>0936363686</v>
      </c>
      <c r="M356" s="22" t="str">
        <f>IFERROR(__xludf.DUMMYFUNCTION("""COMPUTED_VALUE"""),"038083007998")</f>
        <v>038083007998</v>
      </c>
      <c r="N356" s="24">
        <f>IFERROR(__xludf.DUMMYFUNCTION("""COMPUTED_VALUE"""),45059.0)</f>
        <v>45059</v>
      </c>
      <c r="O356" s="22" t="str">
        <f>IFERROR(__xludf.DUMMYFUNCTION("""COMPUTED_VALUE"""),"Cục Cảnh sát QLHC về TTXH")</f>
        <v>Cục Cảnh sát QLHC về TTXH</v>
      </c>
      <c r="P356" s="22" t="str">
        <f>IFERROR(__xludf.DUMMYFUNCTION("""COMPUTED_VALUE"""),"Kỹ sư")</f>
        <v>Kỹ sư</v>
      </c>
      <c r="Q356" s="22" t="str">
        <f>IFERROR(__xludf.DUMMYFUNCTION("""COMPUTED_VALUE"""),"Kỹ sư Hóa học")</f>
        <v>Kỹ sư Hóa học</v>
      </c>
      <c r="R356" s="24">
        <f>IFERROR(__xludf.DUMMYFUNCTION("""COMPUTED_VALUE"""),45838.0)</f>
        <v>45838</v>
      </c>
      <c r="S356" s="22"/>
      <c r="T356" s="22" t="str">
        <f>IFERROR(__xludf.DUMMYFUNCTION("""COMPUTED_VALUE"""),"Chính thức")</f>
        <v>Chính thức</v>
      </c>
      <c r="U356" s="22"/>
      <c r="V356" s="22"/>
      <c r="W356" s="22" t="str">
        <f>IFERROR(__xludf.DUMMYFUNCTION("""COMPUTED_VALUE"""),"0 năm 6 tháng")</f>
        <v>0 năm 6 tháng</v>
      </c>
      <c r="X356" s="22"/>
      <c r="Y356" s="22"/>
      <c r="Z356" s="22"/>
    </row>
    <row r="357">
      <c r="A357" s="23" t="str">
        <f>IFERROR(__xludf.DUMMYFUNCTION("""COMPUTED_VALUE"""),"4")</f>
        <v>4</v>
      </c>
      <c r="B357" s="22" t="str">
        <f>IFERROR(__xludf.DUMMYFUNCTION("""COMPUTED_VALUE"""),"PXSX1")</f>
        <v>PXSX1</v>
      </c>
      <c r="C357" s="22" t="str">
        <f>IFERROR(__xludf.DUMMYFUNCTION("""COMPUTED_VALUE"""),"Phòng công nghệ")</f>
        <v>Phòng công nghệ</v>
      </c>
      <c r="D357" s="22" t="str">
        <f>IFERROR(__xludf.DUMMYFUNCTION("""COMPUTED_VALUE"""),"Tổ kỹ thuật PXSX1")</f>
        <v>Tổ kỹ thuật PXSX1</v>
      </c>
      <c r="E357" s="22" t="str">
        <f>IFERROR(__xludf.DUMMYFUNCTION("""COMPUTED_VALUE"""),"NV phòng hoá")</f>
        <v>NV phòng hoá</v>
      </c>
      <c r="F357" s="22" t="str">
        <f>IFERROR(__xludf.DUMMYFUNCTION("""COMPUTED_VALUE"""),"NV0062")</f>
        <v>NV0062</v>
      </c>
      <c r="G357" s="22">
        <f>IFERROR(__xludf.DUMMYFUNCTION("""COMPUTED_VALUE"""),200.0)</f>
        <v>200</v>
      </c>
      <c r="H357" s="22" t="str">
        <f>IFERROR(__xludf.DUMMYFUNCTION("""COMPUTED_VALUE"""),"Trần Văn Toàn")</f>
        <v>Trần Văn Toàn</v>
      </c>
      <c r="I357" s="22" t="str">
        <f>IFERROR(__xludf.DUMMYFUNCTION("""COMPUTED_VALUE"""),"Nam")</f>
        <v>Nam</v>
      </c>
      <c r="J357" s="24">
        <f>IFERROR(__xludf.DUMMYFUNCTION("""COMPUTED_VALUE"""),31978.0)</f>
        <v>31978</v>
      </c>
      <c r="K357" s="22" t="str">
        <f>IFERROR(__xludf.DUMMYFUNCTION("""COMPUTED_VALUE"""),"Phường Quảng Phú - Tỉnh Thanh Hóa")</f>
        <v>Phường Quảng Phú - Tỉnh Thanh Hóa</v>
      </c>
      <c r="L357" s="22" t="str">
        <f>IFERROR(__xludf.DUMMYFUNCTION("""COMPUTED_VALUE"""),"0987554698")</f>
        <v>0987554698</v>
      </c>
      <c r="M357" s="22" t="str">
        <f>IFERROR(__xludf.DUMMYFUNCTION("""COMPUTED_VALUE"""),"038089013219")</f>
        <v>038089013219</v>
      </c>
      <c r="N357" s="24">
        <f>IFERROR(__xludf.DUMMYFUNCTION("""COMPUTED_VALUE"""),44418.0)</f>
        <v>44418</v>
      </c>
      <c r="O357" s="22" t="str">
        <f>IFERROR(__xludf.DUMMYFUNCTION("""COMPUTED_VALUE"""),"Cục Cảnh sát QLHC về TTXH")</f>
        <v>Cục Cảnh sát QLHC về TTXH</v>
      </c>
      <c r="P357" s="22" t="str">
        <f>IFERROR(__xludf.DUMMYFUNCTION("""COMPUTED_VALUE"""),"Cử nhân")</f>
        <v>Cử nhân</v>
      </c>
      <c r="Q357" s="22" t="str">
        <f>IFERROR(__xludf.DUMMYFUNCTION("""COMPUTED_VALUE"""),"Công nghệ hóa học")</f>
        <v>Công nghệ hóa học</v>
      </c>
      <c r="R357" s="24">
        <f>IFERROR(__xludf.DUMMYFUNCTION("""COMPUTED_VALUE"""),42213.0)</f>
        <v>42213</v>
      </c>
      <c r="S357" s="24">
        <f>IFERROR(__xludf.DUMMYFUNCTION("""COMPUTED_VALUE"""),42523.0)</f>
        <v>42523</v>
      </c>
      <c r="T357" s="22" t="str">
        <f>IFERROR(__xludf.DUMMYFUNCTION("""COMPUTED_VALUE"""),"Chính thức")</f>
        <v>Chính thức</v>
      </c>
      <c r="U357" s="22"/>
      <c r="V357" s="22"/>
      <c r="W357" s="22" t="str">
        <f>IFERROR(__xludf.DUMMYFUNCTION("""COMPUTED_VALUE"""),"10 năm 5 tháng")</f>
        <v>10 năm 5 tháng</v>
      </c>
      <c r="X357" s="22"/>
      <c r="Y357" s="22"/>
      <c r="Z357" s="22"/>
    </row>
    <row r="358">
      <c r="A358" s="23" t="str">
        <f>IFERROR(__xludf.DUMMYFUNCTION("""COMPUTED_VALUE"""),"5")</f>
        <v>5</v>
      </c>
      <c r="B358" s="22" t="str">
        <f>IFERROR(__xludf.DUMMYFUNCTION("""COMPUTED_VALUE"""),"PXSX1")</f>
        <v>PXSX1</v>
      </c>
      <c r="C358" s="22" t="str">
        <f>IFERROR(__xludf.DUMMYFUNCTION("""COMPUTED_VALUE"""),"Phòng công nghệ")</f>
        <v>Phòng công nghệ</v>
      </c>
      <c r="D358" s="22" t="str">
        <f>IFERROR(__xludf.DUMMYFUNCTION("""COMPUTED_VALUE"""),"Tổ kỹ thuật PXSX1")</f>
        <v>Tổ kỹ thuật PXSX1</v>
      </c>
      <c r="E358" s="22" t="str">
        <f>IFERROR(__xludf.DUMMYFUNCTION("""COMPUTED_VALUE"""),"NV kiểm tra nguyên liệu xương")</f>
        <v>NV kiểm tra nguyên liệu xương</v>
      </c>
      <c r="F358" s="22" t="str">
        <f>IFERROR(__xludf.DUMMYFUNCTION("""COMPUTED_VALUE"""),"NV0773")</f>
        <v>NV0773</v>
      </c>
      <c r="G358" s="22">
        <f>IFERROR(__xludf.DUMMYFUNCTION("""COMPUTED_VALUE"""),248.0)</f>
        <v>248</v>
      </c>
      <c r="H358" s="22" t="str">
        <f>IFERROR(__xludf.DUMMYFUNCTION("""COMPUTED_VALUE"""),"Cao Thị Loan")</f>
        <v>Cao Thị Loan</v>
      </c>
      <c r="I358" s="22" t="str">
        <f>IFERROR(__xludf.DUMMYFUNCTION("""COMPUTED_VALUE"""),"Nữ ")</f>
        <v>Nữ </v>
      </c>
      <c r="J358" s="24">
        <f>IFERROR(__xludf.DUMMYFUNCTION("""COMPUTED_VALUE"""),32973.0)</f>
        <v>32973</v>
      </c>
      <c r="K358" s="22" t="str">
        <f>IFERROR(__xludf.DUMMYFUNCTION("""COMPUTED_VALUE"""),"Xã Lưu Vệ - Tỉnh Thanh Hóa ")</f>
        <v>Xã Lưu Vệ - Tỉnh Thanh Hóa </v>
      </c>
      <c r="L358" s="22" t="str">
        <f>IFERROR(__xludf.DUMMYFUNCTION("""COMPUTED_VALUE"""),"0988595663")</f>
        <v>0988595663</v>
      </c>
      <c r="M358" s="22" t="str">
        <f>IFERROR(__xludf.DUMMYFUNCTION("""COMPUTED_VALUE"""),"038190019831")</f>
        <v>038190019831</v>
      </c>
      <c r="N358" s="24">
        <f>IFERROR(__xludf.DUMMYFUNCTION("""COMPUTED_VALUE"""),44195.0)</f>
        <v>44195</v>
      </c>
      <c r="O358" s="22" t="str">
        <f>IFERROR(__xludf.DUMMYFUNCTION("""COMPUTED_VALUE"""),"Cục Cảnh sát QLHC về TTXH")</f>
        <v>Cục Cảnh sát QLHC về TTXH</v>
      </c>
      <c r="P358" s="22" t="str">
        <f>IFERROR(__xludf.DUMMYFUNCTION("""COMPUTED_VALUE"""),"Cử nhân")</f>
        <v>Cử nhân</v>
      </c>
      <c r="Q358" s="22" t="str">
        <f>IFERROR(__xludf.DUMMYFUNCTION("""COMPUTED_VALUE"""),"Công nghệ kỹ thuật hóa học")</f>
        <v>Công nghệ kỹ thuật hóa học</v>
      </c>
      <c r="R358" s="24">
        <f>IFERROR(__xludf.DUMMYFUNCTION("""COMPUTED_VALUE"""),44256.0)</f>
        <v>44256</v>
      </c>
      <c r="S358" s="24">
        <f>IFERROR(__xludf.DUMMYFUNCTION("""COMPUTED_VALUE"""),44562.0)</f>
        <v>44562</v>
      </c>
      <c r="T358" s="22" t="str">
        <f>IFERROR(__xludf.DUMMYFUNCTION("""COMPUTED_VALUE"""),"Chính thức")</f>
        <v>Chính thức</v>
      </c>
      <c r="U358" s="22"/>
      <c r="V358" s="22"/>
      <c r="W358" s="22" t="str">
        <f>IFERROR(__xludf.DUMMYFUNCTION("""COMPUTED_VALUE"""),"4 năm 9 tháng")</f>
        <v>4 năm 9 tháng</v>
      </c>
      <c r="X358" s="22"/>
      <c r="Y358" s="22"/>
      <c r="Z358" s="22"/>
    </row>
    <row r="359">
      <c r="A359" s="23" t="str">
        <f>IFERROR(__xludf.DUMMYFUNCTION("""COMPUTED_VALUE"""),"6")</f>
        <v>6</v>
      </c>
      <c r="B359" s="22" t="str">
        <f>IFERROR(__xludf.DUMMYFUNCTION("""COMPUTED_VALUE"""),"PXSX1")</f>
        <v>PXSX1</v>
      </c>
      <c r="C359" s="22" t="str">
        <f>IFERROR(__xludf.DUMMYFUNCTION("""COMPUTED_VALUE"""),"Phòng công nghệ")</f>
        <v>Phòng công nghệ</v>
      </c>
      <c r="D359" s="22" t="str">
        <f>IFERROR(__xludf.DUMMYFUNCTION("""COMPUTED_VALUE"""),"Tổ kỹ thuật PXSX1")</f>
        <v>Tổ kỹ thuật PXSX1</v>
      </c>
      <c r="E359" s="22" t="str">
        <f>IFERROR(__xludf.DUMMYFUNCTION("""COMPUTED_VALUE"""),"NV kiểm tra nguyên liệu xương")</f>
        <v>NV kiểm tra nguyên liệu xương</v>
      </c>
      <c r="F359" s="22" t="str">
        <f>IFERROR(__xludf.DUMMYFUNCTION("""COMPUTED_VALUE"""),"NV0311")</f>
        <v>NV0311</v>
      </c>
      <c r="G359" s="22">
        <f>IFERROR(__xludf.DUMMYFUNCTION("""COMPUTED_VALUE"""),208.0)</f>
        <v>208</v>
      </c>
      <c r="H359" s="22" t="str">
        <f>IFERROR(__xludf.DUMMYFUNCTION("""COMPUTED_VALUE"""),"Lê Đình Ngà")</f>
        <v>Lê Đình Ngà</v>
      </c>
      <c r="I359" s="22" t="str">
        <f>IFERROR(__xludf.DUMMYFUNCTION("""COMPUTED_VALUE"""),"Nam")</f>
        <v>Nam</v>
      </c>
      <c r="J359" s="24">
        <f>IFERROR(__xludf.DUMMYFUNCTION("""COMPUTED_VALUE"""),33161.0)</f>
        <v>33161</v>
      </c>
      <c r="K359" s="22" t="str">
        <f>IFERROR(__xludf.DUMMYFUNCTION("""COMPUTED_VALUE"""),"Xã Thiệu Toán - Tỉnh Thanh Hóa")</f>
        <v>Xã Thiệu Toán - Tỉnh Thanh Hóa</v>
      </c>
      <c r="L359" s="22" t="str">
        <f>IFERROR(__xludf.DUMMYFUNCTION("""COMPUTED_VALUE"""),"0356282658")</f>
        <v>0356282658</v>
      </c>
      <c r="M359" s="22" t="str">
        <f>IFERROR(__xludf.DUMMYFUNCTION("""COMPUTED_VALUE"""),"038090012691")</f>
        <v>038090012691</v>
      </c>
      <c r="N359" s="24">
        <f>IFERROR(__xludf.DUMMYFUNCTION("""COMPUTED_VALUE"""),43271.0)</f>
        <v>43271</v>
      </c>
      <c r="O359" s="22" t="str">
        <f>IFERROR(__xludf.DUMMYFUNCTION("""COMPUTED_VALUE"""),"Cục Cảnh sát QLHC về TTXH")</f>
        <v>Cục Cảnh sát QLHC về TTXH</v>
      </c>
      <c r="P359" s="22" t="str">
        <f>IFERROR(__xludf.DUMMYFUNCTION("""COMPUTED_VALUE"""),"Đại học")</f>
        <v>Đại học</v>
      </c>
      <c r="Q359" s="22" t="str">
        <f>IFERROR(__xludf.DUMMYFUNCTION("""COMPUTED_VALUE"""),"Công nghệ hóa học")</f>
        <v>Công nghệ hóa học</v>
      </c>
      <c r="R359" s="24">
        <f>IFERROR(__xludf.DUMMYFUNCTION("""COMPUTED_VALUE"""),41716.0)</f>
        <v>41716</v>
      </c>
      <c r="S359" s="24">
        <f>IFERROR(__xludf.DUMMYFUNCTION("""COMPUTED_VALUE"""),41716.0)</f>
        <v>41716</v>
      </c>
      <c r="T359" s="22" t="str">
        <f>IFERROR(__xludf.DUMMYFUNCTION("""COMPUTED_VALUE"""),"Chính thức")</f>
        <v>Chính thức</v>
      </c>
      <c r="U359" s="22"/>
      <c r="V359" s="22"/>
      <c r="W359" s="22" t="str">
        <f>IFERROR(__xludf.DUMMYFUNCTION("""COMPUTED_VALUE"""),"11 năm 9 tháng")</f>
        <v>11 năm 9 tháng</v>
      </c>
      <c r="X359" s="22"/>
      <c r="Y359" s="22"/>
      <c r="Z359" s="22"/>
    </row>
    <row r="360">
      <c r="A360" s="23" t="str">
        <f>IFERROR(__xludf.DUMMYFUNCTION("""COMPUTED_VALUE"""),"7")</f>
        <v>7</v>
      </c>
      <c r="B360" s="22" t="str">
        <f>IFERROR(__xludf.DUMMYFUNCTION("""COMPUTED_VALUE"""),"PXSX1")</f>
        <v>PXSX1</v>
      </c>
      <c r="C360" s="22" t="str">
        <f>IFERROR(__xludf.DUMMYFUNCTION("""COMPUTED_VALUE"""),"Phòng công nghệ")</f>
        <v>Phòng công nghệ</v>
      </c>
      <c r="D360" s="22" t="str">
        <f>IFERROR(__xludf.DUMMYFUNCTION("""COMPUTED_VALUE"""),"Tổ kỹ thuật PXSX1")</f>
        <v>Tổ kỹ thuật PXSX1</v>
      </c>
      <c r="E360" s="22" t="str">
        <f>IFERROR(__xludf.DUMMYFUNCTION("""COMPUTED_VALUE"""),"Nhân viên Công nghệ")</f>
        <v>Nhân viên Công nghệ</v>
      </c>
      <c r="F360" s="22" t="str">
        <f>IFERROR(__xludf.DUMMYFUNCTION("""COMPUTED_VALUE"""),"NV5647")</f>
        <v>NV5647</v>
      </c>
      <c r="G360" s="22">
        <f>IFERROR(__xludf.DUMMYFUNCTION("""COMPUTED_VALUE"""),1140.0)</f>
        <v>1140</v>
      </c>
      <c r="H360" s="22" t="str">
        <f>IFERROR(__xludf.DUMMYFUNCTION("""COMPUTED_VALUE"""),"Trịnh Lưu Lan Hương")</f>
        <v>Trịnh Lưu Lan Hương</v>
      </c>
      <c r="I360" s="22" t="str">
        <f>IFERROR(__xludf.DUMMYFUNCTION("""COMPUTED_VALUE"""),"Nữ")</f>
        <v>Nữ</v>
      </c>
      <c r="J360" s="24">
        <f>IFERROR(__xludf.DUMMYFUNCTION("""COMPUTED_VALUE"""),37648.0)</f>
        <v>37648</v>
      </c>
      <c r="K360" s="22" t="str">
        <f>IFERROR(__xludf.DUMMYFUNCTION("""COMPUTED_VALUE"""),"Phường An Hội Tây - Thành phố Hồ Chí Minh")</f>
        <v>Phường An Hội Tây - Thành phố Hồ Chí Minh</v>
      </c>
      <c r="L360" s="27" t="str">
        <f>IFERROR(__xludf.DUMMYFUNCTION("""COMPUTED_VALUE"""),"0903606472")</f>
        <v>0903606472</v>
      </c>
      <c r="M360" s="22" t="str">
        <f>IFERROR(__xludf.DUMMYFUNCTION("""COMPUTED_VALUE"""),"066303000054")</f>
        <v>066303000054</v>
      </c>
      <c r="N360" s="24">
        <f>IFERROR(__xludf.DUMMYFUNCTION("""COMPUTED_VALUE"""),44551.0)</f>
        <v>44551</v>
      </c>
      <c r="O360" s="22" t="str">
        <f>IFERROR(__xludf.DUMMYFUNCTION("""COMPUTED_VALUE"""),"Cục Cảnh sát QLHC về TTXH")</f>
        <v>Cục Cảnh sát QLHC về TTXH</v>
      </c>
      <c r="P360" s="22" t="str">
        <f>IFERROR(__xludf.DUMMYFUNCTION("""COMPUTED_VALUE"""),"Đại học")</f>
        <v>Đại học</v>
      </c>
      <c r="Q360" s="22" t="str">
        <f>IFERROR(__xludf.DUMMYFUNCTION("""COMPUTED_VALUE"""),"Cử nhân hóa học")</f>
        <v>Cử nhân hóa học</v>
      </c>
      <c r="R360" s="24">
        <f>IFERROR(__xludf.DUMMYFUNCTION("""COMPUTED_VALUE"""),45875.0)</f>
        <v>45875</v>
      </c>
      <c r="S360" s="24">
        <f>IFERROR(__xludf.DUMMYFUNCTION("""COMPUTED_VALUE"""),45906.0)</f>
        <v>45906</v>
      </c>
      <c r="T360" s="22" t="str">
        <f>IFERROR(__xludf.DUMMYFUNCTION("""COMPUTED_VALUE"""),"Thử việc")</f>
        <v>Thử việc</v>
      </c>
      <c r="U360" s="22"/>
      <c r="V360" s="22" t="str">
        <f>IFERROR(__xludf.DUMMYFUNCTION("""COMPUTED_VALUE"""),"Thử việc")</f>
        <v>Thử việc</v>
      </c>
      <c r="W360" s="22" t="str">
        <f>IFERROR(__xludf.DUMMYFUNCTION("""COMPUTED_VALUE"""),"0 năm 4 tháng")</f>
        <v>0 năm 4 tháng</v>
      </c>
      <c r="X360" s="22"/>
      <c r="Y360" s="22"/>
      <c r="Z360" s="22"/>
    </row>
    <row r="361">
      <c r="A361" s="23" t="str">
        <f>IFERROR(__xludf.DUMMYFUNCTION("""COMPUTED_VALUE"""),"8")</f>
        <v>8</v>
      </c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3" t="str">
        <f>IFERROR(__xludf.DUMMYFUNCTION("""COMPUTED_VALUE"""),"b.")</f>
        <v>b.</v>
      </c>
      <c r="B362" s="22" t="str">
        <f>IFERROR(__xludf.DUMMYFUNCTION("""COMPUTED_VALUE"""),"Kiểm soát công nghệ")</f>
        <v>Kiểm soát công nghệ</v>
      </c>
      <c r="C362" s="22">
        <f>IFERROR(__xludf.DUMMYFUNCTION("""COMPUTED_VALUE"""),3.0)</f>
        <v>3</v>
      </c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3" t="str">
        <f>IFERROR(__xludf.DUMMYFUNCTION("""COMPUTED_VALUE"""),"1")</f>
        <v>1</v>
      </c>
      <c r="B363" s="22" t="str">
        <f>IFERROR(__xludf.DUMMYFUNCTION("""COMPUTED_VALUE"""),"PXSX1")</f>
        <v>PXSX1</v>
      </c>
      <c r="C363" s="22" t="str">
        <f>IFERROR(__xludf.DUMMYFUNCTION("""COMPUTED_VALUE"""),"Phòng công nghệ")</f>
        <v>Phòng công nghệ</v>
      </c>
      <c r="D363" s="22" t="str">
        <f>IFERROR(__xludf.DUMMYFUNCTION("""COMPUTED_VALUE"""),"Kiểm soát công nghệ")</f>
        <v>Kiểm soát công nghệ</v>
      </c>
      <c r="E363" s="22" t="str">
        <f>IFERROR(__xludf.DUMMYFUNCTION("""COMPUTED_VALUE"""),"NV kiểm soát công nghệ Ca A")</f>
        <v>NV kiểm soát công nghệ Ca A</v>
      </c>
      <c r="F363" s="22" t="str">
        <f>IFERROR(__xludf.DUMMYFUNCTION("""COMPUTED_VALUE"""),"NV0068")</f>
        <v>NV0068</v>
      </c>
      <c r="G363" s="22">
        <f>IFERROR(__xludf.DUMMYFUNCTION("""COMPUTED_VALUE"""),203.0)</f>
        <v>203</v>
      </c>
      <c r="H363" s="22" t="str">
        <f>IFERROR(__xludf.DUMMYFUNCTION("""COMPUTED_VALUE"""),"Lê Duy Nam")</f>
        <v>Lê Duy Nam</v>
      </c>
      <c r="I363" s="22" t="str">
        <f>IFERROR(__xludf.DUMMYFUNCTION("""COMPUTED_VALUE"""),"Nam")</f>
        <v>Nam</v>
      </c>
      <c r="J363" s="24">
        <f>IFERROR(__xludf.DUMMYFUNCTION("""COMPUTED_VALUE"""),30722.0)</f>
        <v>30722</v>
      </c>
      <c r="K363" s="22" t="str">
        <f>IFERROR(__xludf.DUMMYFUNCTION("""COMPUTED_VALUE"""),"Phường Đông Quang - Tỉnh Thanh Hóa")</f>
        <v>Phường Đông Quang - Tỉnh Thanh Hóa</v>
      </c>
      <c r="L363" s="27" t="str">
        <f>IFERROR(__xludf.DUMMYFUNCTION("""COMPUTED_VALUE"""),"0921636163")</f>
        <v>0921636163</v>
      </c>
      <c r="M363" s="22" t="str">
        <f>IFERROR(__xludf.DUMMYFUNCTION("""COMPUTED_VALUE"""),"038084030080")</f>
        <v>038084030080</v>
      </c>
      <c r="N363" s="24">
        <f>IFERROR(__xludf.DUMMYFUNCTION("""COMPUTED_VALUE"""),44440.0)</f>
        <v>44440</v>
      </c>
      <c r="O363" s="22" t="str">
        <f>IFERROR(__xludf.DUMMYFUNCTION("""COMPUTED_VALUE"""),"Cục Cảnh sát QLHC về TTXH")</f>
        <v>Cục Cảnh sát QLHC về TTXH</v>
      </c>
      <c r="P363" s="22" t="str">
        <f>IFERROR(__xludf.DUMMYFUNCTION("""COMPUTED_VALUE"""),"LĐPT")</f>
        <v>LĐPT</v>
      </c>
      <c r="Q363" s="22" t="str">
        <f>IFERROR(__xludf.DUMMYFUNCTION("""COMPUTED_VALUE"""),"Lao động phổ thông")</f>
        <v>Lao động phổ thông</v>
      </c>
      <c r="R363" s="24">
        <f>IFERROR(__xludf.DUMMYFUNCTION("""COMPUTED_VALUE"""),42585.0)</f>
        <v>42585</v>
      </c>
      <c r="S363" s="24">
        <f>IFERROR(__xludf.DUMMYFUNCTION("""COMPUTED_VALUE"""),42585.0)</f>
        <v>42585</v>
      </c>
      <c r="T363" s="22" t="str">
        <f>IFERROR(__xludf.DUMMYFUNCTION("""COMPUTED_VALUE"""),"Chính thức")</f>
        <v>Chính thức</v>
      </c>
      <c r="U363" s="22"/>
      <c r="V363" s="22"/>
      <c r="W363" s="22" t="str">
        <f>IFERROR(__xludf.DUMMYFUNCTION("""COMPUTED_VALUE"""),"9 năm 4 tháng")</f>
        <v>9 năm 4 tháng</v>
      </c>
      <c r="X363" s="22"/>
      <c r="Y363" s="22"/>
      <c r="Z363" s="22"/>
    </row>
    <row r="364">
      <c r="A364" s="23" t="str">
        <f>IFERROR(__xludf.DUMMYFUNCTION("""COMPUTED_VALUE"""),"2")</f>
        <v>2</v>
      </c>
      <c r="B364" s="22" t="str">
        <f>IFERROR(__xludf.DUMMYFUNCTION("""COMPUTED_VALUE"""),"PXSX1")</f>
        <v>PXSX1</v>
      </c>
      <c r="C364" s="22" t="str">
        <f>IFERROR(__xludf.DUMMYFUNCTION("""COMPUTED_VALUE"""),"Phòng công nghệ")</f>
        <v>Phòng công nghệ</v>
      </c>
      <c r="D364" s="22" t="str">
        <f>IFERROR(__xludf.DUMMYFUNCTION("""COMPUTED_VALUE"""),"Kiểm soát công nghệ")</f>
        <v>Kiểm soát công nghệ</v>
      </c>
      <c r="E364" s="22" t="str">
        <f>IFERROR(__xludf.DUMMYFUNCTION("""COMPUTED_VALUE"""),"NV kiểm soát công nghệ Ca C")</f>
        <v>NV kiểm soát công nghệ Ca C</v>
      </c>
      <c r="F364" s="22" t="str">
        <f>IFERROR(__xludf.DUMMYFUNCTION("""COMPUTED_VALUE"""),"NV2764")</f>
        <v>NV2764</v>
      </c>
      <c r="G364" s="22">
        <f>IFERROR(__xludf.DUMMYFUNCTION("""COMPUTED_VALUE"""),127.0)</f>
        <v>127</v>
      </c>
      <c r="H364" s="22" t="str">
        <f>IFERROR(__xludf.DUMMYFUNCTION("""COMPUTED_VALUE"""),"Cao Văn Nhân")</f>
        <v>Cao Văn Nhân</v>
      </c>
      <c r="I364" s="22" t="str">
        <f>IFERROR(__xludf.DUMMYFUNCTION("""COMPUTED_VALUE"""),"Nam")</f>
        <v>Nam</v>
      </c>
      <c r="J364" s="24">
        <f>IFERROR(__xludf.DUMMYFUNCTION("""COMPUTED_VALUE"""),31625.0)</f>
        <v>31625</v>
      </c>
      <c r="K364" s="22" t="str">
        <f>IFERROR(__xludf.DUMMYFUNCTION("""COMPUTED_VALUE"""),"Phường Sầm Sơn - Tỉnh Thanh Hóa")</f>
        <v>Phường Sầm Sơn - Tỉnh Thanh Hóa</v>
      </c>
      <c r="L364" s="27" t="str">
        <f>IFERROR(__xludf.DUMMYFUNCTION("""COMPUTED_VALUE"""),"0987991423")</f>
        <v>0987991423</v>
      </c>
      <c r="M364" s="22" t="str">
        <f>IFERROR(__xludf.DUMMYFUNCTION("""COMPUTED_VALUE"""),"038086013384")</f>
        <v>038086013384</v>
      </c>
      <c r="N364" s="24">
        <f>IFERROR(__xludf.DUMMYFUNCTION("""COMPUTED_VALUE"""),44418.0)</f>
        <v>44418</v>
      </c>
      <c r="O364" s="22" t="str">
        <f>IFERROR(__xludf.DUMMYFUNCTION("""COMPUTED_VALUE"""),"Cục Cảnh sát QLHC về TTXH")</f>
        <v>Cục Cảnh sát QLHC về TTXH</v>
      </c>
      <c r="P364" s="22" t="str">
        <f>IFERROR(__xludf.DUMMYFUNCTION("""COMPUTED_VALUE"""),"Đại học")</f>
        <v>Đại học</v>
      </c>
      <c r="Q364" s="22" t="str">
        <f>IFERROR(__xludf.DUMMYFUNCTION("""COMPUTED_VALUE"""),"Hóa học")</f>
        <v>Hóa học</v>
      </c>
      <c r="R364" s="24">
        <f>IFERROR(__xludf.DUMMYFUNCTION("""COMPUTED_VALUE"""),43874.0)</f>
        <v>43874</v>
      </c>
      <c r="S364" s="24">
        <f>IFERROR(__xludf.DUMMYFUNCTION("""COMPUTED_VALUE"""),44166.0)</f>
        <v>44166</v>
      </c>
      <c r="T364" s="22" t="str">
        <f>IFERROR(__xludf.DUMMYFUNCTION("""COMPUTED_VALUE"""),"Chính thức")</f>
        <v>Chính thức</v>
      </c>
      <c r="U364" s="22"/>
      <c r="V364" s="22"/>
      <c r="W364" s="22" t="str">
        <f>IFERROR(__xludf.DUMMYFUNCTION("""COMPUTED_VALUE"""),"5 năm 10 tháng")</f>
        <v>5 năm 10 tháng</v>
      </c>
      <c r="X364" s="22"/>
      <c r="Y364" s="22"/>
      <c r="Z364" s="22"/>
    </row>
    <row r="365">
      <c r="A365" s="23" t="str">
        <f>IFERROR(__xludf.DUMMYFUNCTION("""COMPUTED_VALUE"""),"3")</f>
        <v>3</v>
      </c>
      <c r="B365" s="22" t="str">
        <f>IFERROR(__xludf.DUMMYFUNCTION("""COMPUTED_VALUE"""),"PXSX1")</f>
        <v>PXSX1</v>
      </c>
      <c r="C365" s="22" t="str">
        <f>IFERROR(__xludf.DUMMYFUNCTION("""COMPUTED_VALUE"""),"Phòng công nghệ")</f>
        <v>Phòng công nghệ</v>
      </c>
      <c r="D365" s="22" t="str">
        <f>IFERROR(__xludf.DUMMYFUNCTION("""COMPUTED_VALUE"""),"Kiểm soát công nghệ")</f>
        <v>Kiểm soát công nghệ</v>
      </c>
      <c r="E365" s="22" t="str">
        <f>IFERROR(__xludf.DUMMYFUNCTION("""COMPUTED_VALUE"""),"NV kiểm soát công nghệ Ca B")</f>
        <v>NV kiểm soát công nghệ Ca B</v>
      </c>
      <c r="F365" s="22" t="str">
        <f>IFERROR(__xludf.DUMMYFUNCTION("""COMPUTED_VALUE"""),"NV4162")</f>
        <v>NV4162</v>
      </c>
      <c r="G365" s="22">
        <f>IFERROR(__xludf.DUMMYFUNCTION("""COMPUTED_VALUE"""),457.0)</f>
        <v>457</v>
      </c>
      <c r="H365" s="22" t="str">
        <f>IFERROR(__xludf.DUMMYFUNCTION("""COMPUTED_VALUE"""),"Văn Đình Tùng")</f>
        <v>Văn Đình Tùng</v>
      </c>
      <c r="I365" s="22" t="str">
        <f>IFERROR(__xludf.DUMMYFUNCTION("""COMPUTED_VALUE"""),"Nam")</f>
        <v>Nam</v>
      </c>
      <c r="J365" s="24">
        <f>IFERROR(__xludf.DUMMYFUNCTION("""COMPUTED_VALUE"""),35627.0)</f>
        <v>35627</v>
      </c>
      <c r="K365" s="22" t="str">
        <f>IFERROR(__xludf.DUMMYFUNCTION("""COMPUTED_VALUE"""),"Phường Sầm Sơn Tỉnh Thanh Hóa")</f>
        <v>Phường Sầm Sơn Tỉnh Thanh Hóa</v>
      </c>
      <c r="L365" s="27" t="str">
        <f>IFERROR(__xludf.DUMMYFUNCTION("""COMPUTED_VALUE"""),"0383913344")</f>
        <v>0383913344</v>
      </c>
      <c r="M365" s="22" t="str">
        <f>IFERROR(__xludf.DUMMYFUNCTION("""COMPUTED_VALUE"""),"038097019191")</f>
        <v>038097019191</v>
      </c>
      <c r="N365" s="24">
        <f>IFERROR(__xludf.DUMMYFUNCTION("""COMPUTED_VALUE"""),44418.0)</f>
        <v>44418</v>
      </c>
      <c r="O365" s="22" t="str">
        <f>IFERROR(__xludf.DUMMYFUNCTION("""COMPUTED_VALUE"""),"Cục Cảnh sát QLHC về TTXH")</f>
        <v>Cục Cảnh sát QLHC về TTXH</v>
      </c>
      <c r="P365" s="22" t="str">
        <f>IFERROR(__xludf.DUMMYFUNCTION("""COMPUTED_VALUE"""),"Kỹ sư")</f>
        <v>Kỹ sư</v>
      </c>
      <c r="Q365" s="22" t="str">
        <f>IFERROR(__xludf.DUMMYFUNCTION("""COMPUTED_VALUE"""),"Kỹ sư Hóa học")</f>
        <v>Kỹ sư Hóa học</v>
      </c>
      <c r="R365" s="22"/>
      <c r="S365" s="24">
        <f>IFERROR(__xludf.DUMMYFUNCTION("""COMPUTED_VALUE"""),45026.0)</f>
        <v>45026</v>
      </c>
      <c r="T365" s="22" t="str">
        <f>IFERROR(__xludf.DUMMYFUNCTION("""COMPUTED_VALUE"""),"Chính thức")</f>
        <v>Chính thức</v>
      </c>
      <c r="U365" s="22"/>
      <c r="V365" s="22" t="str">
        <f>IFERROR(__xludf.DUMMYFUNCTION("""COMPUTED_VALUE"""),"Điều động")</f>
        <v>Điều động</v>
      </c>
      <c r="W365" s="22" t="str">
        <f>IFERROR(__xludf.DUMMYFUNCTION("""COMPUTED_VALUE"""),"2 năm 8 tháng")</f>
        <v>2 năm 8 tháng</v>
      </c>
      <c r="X365" s="22"/>
      <c r="Y365" s="22"/>
      <c r="Z365" s="22"/>
    </row>
    <row r="366">
      <c r="A366" s="23" t="str">
        <f>IFERROR(__xludf.DUMMYFUNCTION("""COMPUTED_VALUE"""),"c.")</f>
        <v>c.</v>
      </c>
      <c r="B366" s="22" t="str">
        <f>IFERROR(__xludf.DUMMYFUNCTION("""COMPUTED_VALUE"""),"Tổ nghiền men PXSX1")</f>
        <v>Tổ nghiền men PXSX1</v>
      </c>
      <c r="C366" s="22">
        <f>IFERROR(__xludf.DUMMYFUNCTION("""COMPUTED_VALUE"""),5.0)</f>
        <v>5</v>
      </c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3" t="str">
        <f>IFERROR(__xludf.DUMMYFUNCTION("""COMPUTED_VALUE"""),"1")</f>
        <v>1</v>
      </c>
      <c r="B367" s="22" t="str">
        <f>IFERROR(__xludf.DUMMYFUNCTION("""COMPUTED_VALUE"""),"PXSX1")</f>
        <v>PXSX1</v>
      </c>
      <c r="C367" s="22" t="str">
        <f>IFERROR(__xludf.DUMMYFUNCTION("""COMPUTED_VALUE"""),"Phòng công nghệ")</f>
        <v>Phòng công nghệ</v>
      </c>
      <c r="D367" s="22" t="str">
        <f>IFERROR(__xludf.DUMMYFUNCTION("""COMPUTED_VALUE"""),"Tổ nghiền men PXSX1")</f>
        <v>Tổ nghiền men PXSX1</v>
      </c>
      <c r="E367" s="22" t="str">
        <f>IFERROR(__xludf.DUMMYFUNCTION("""COMPUTED_VALUE"""),"Tổ phó")</f>
        <v>Tổ phó</v>
      </c>
      <c r="F367" s="22" t="str">
        <f>IFERROR(__xludf.DUMMYFUNCTION("""COMPUTED_VALUE"""),"NV0059")</f>
        <v>NV0059</v>
      </c>
      <c r="G367" s="22">
        <f>IFERROR(__xludf.DUMMYFUNCTION("""COMPUTED_VALUE"""),206.0)</f>
        <v>206</v>
      </c>
      <c r="H367" s="22" t="str">
        <f>IFERROR(__xludf.DUMMYFUNCTION("""COMPUTED_VALUE"""),"Lâm Văn Thủy")</f>
        <v>Lâm Văn Thủy</v>
      </c>
      <c r="I367" s="22" t="str">
        <f>IFERROR(__xludf.DUMMYFUNCTION("""COMPUTED_VALUE"""),"Nam")</f>
        <v>Nam</v>
      </c>
      <c r="J367" s="24">
        <f>IFERROR(__xludf.DUMMYFUNCTION("""COMPUTED_VALUE"""),30685.0)</f>
        <v>30685</v>
      </c>
      <c r="K367" s="22" t="str">
        <f>IFERROR(__xludf.DUMMYFUNCTION("""COMPUTED_VALUE"""),"09/353 - Lê Thánh Tông - Phường Hạc Thành - Tỉnh Thanh Hóa")</f>
        <v>09/353 - Lê Thánh Tông - Phường Hạc Thành - Tỉnh Thanh Hóa</v>
      </c>
      <c r="L367" s="22" t="str">
        <f>IFERROR(__xludf.DUMMYFUNCTION("""COMPUTED_VALUE"""),"0915422233")</f>
        <v>0915422233</v>
      </c>
      <c r="M367" s="22" t="str">
        <f>IFERROR(__xludf.DUMMYFUNCTION("""COMPUTED_VALUE"""),"038084054282")</f>
        <v>038084054282</v>
      </c>
      <c r="N367" s="24">
        <f>IFERROR(__xludf.DUMMYFUNCTION("""COMPUTED_VALUE"""),44455.0)</f>
        <v>44455</v>
      </c>
      <c r="O367" s="22" t="str">
        <f>IFERROR(__xludf.DUMMYFUNCTION("""COMPUTED_VALUE"""),"Cục Cảnh sát QLHC về TTXH")</f>
        <v>Cục Cảnh sát QLHC về TTXH</v>
      </c>
      <c r="P367" s="22" t="str">
        <f>IFERROR(__xludf.DUMMYFUNCTION("""COMPUTED_VALUE"""),"LĐPT")</f>
        <v>LĐPT</v>
      </c>
      <c r="Q367" s="22" t="str">
        <f>IFERROR(__xludf.DUMMYFUNCTION("""COMPUTED_VALUE"""),"Lao động phổ thông")</f>
        <v>Lao động phổ thông</v>
      </c>
      <c r="R367" s="24">
        <f>IFERROR(__xludf.DUMMYFUNCTION("""COMPUTED_VALUE"""),37447.0)</f>
        <v>37447</v>
      </c>
      <c r="S367" s="24">
        <f>IFERROR(__xludf.DUMMYFUNCTION("""COMPUTED_VALUE"""),37447.0)</f>
        <v>37447</v>
      </c>
      <c r="T367" s="22" t="str">
        <f>IFERROR(__xludf.DUMMYFUNCTION("""COMPUTED_VALUE"""),"Chính thức")</f>
        <v>Chính thức</v>
      </c>
      <c r="U367" s="22"/>
      <c r="V367" s="22"/>
      <c r="W367" s="22" t="str">
        <f>IFERROR(__xludf.DUMMYFUNCTION("""COMPUTED_VALUE"""),"23 năm 5 tháng")</f>
        <v>23 năm 5 tháng</v>
      </c>
      <c r="X367" s="22"/>
      <c r="Y367" s="22"/>
      <c r="Z367" s="22"/>
    </row>
    <row r="368">
      <c r="A368" s="23" t="str">
        <f>IFERROR(__xludf.DUMMYFUNCTION("""COMPUTED_VALUE"""),"2")</f>
        <v>2</v>
      </c>
      <c r="B368" s="22" t="str">
        <f>IFERROR(__xludf.DUMMYFUNCTION("""COMPUTED_VALUE"""),"PXSX1")</f>
        <v>PXSX1</v>
      </c>
      <c r="C368" s="22" t="str">
        <f>IFERROR(__xludf.DUMMYFUNCTION("""COMPUTED_VALUE"""),"Phòng công nghệ")</f>
        <v>Phòng công nghệ</v>
      </c>
      <c r="D368" s="22" t="str">
        <f>IFERROR(__xludf.DUMMYFUNCTION("""COMPUTED_VALUE"""),"Tổ nghiền men PXSX1")</f>
        <v>Tổ nghiền men PXSX1</v>
      </c>
      <c r="E368" s="22" t="str">
        <f>IFERROR(__xludf.DUMMYFUNCTION("""COMPUTED_VALUE"""),"Công nhân men màu mức 1")</f>
        <v>Công nhân men màu mức 1</v>
      </c>
      <c r="F368" s="22" t="str">
        <f>IFERROR(__xludf.DUMMYFUNCTION("""COMPUTED_VALUE"""),"NV0060")</f>
        <v>NV0060</v>
      </c>
      <c r="G368" s="22">
        <f>IFERROR(__xludf.DUMMYFUNCTION("""COMPUTED_VALUE"""),223.0)</f>
        <v>223</v>
      </c>
      <c r="H368" s="22" t="str">
        <f>IFERROR(__xludf.DUMMYFUNCTION("""COMPUTED_VALUE"""),"Mai Văn Binh")</f>
        <v>Mai Văn Binh</v>
      </c>
      <c r="I368" s="22" t="str">
        <f>IFERROR(__xludf.DUMMYFUNCTION("""COMPUTED_VALUE"""),"Nam")</f>
        <v>Nam</v>
      </c>
      <c r="J368" s="24">
        <f>IFERROR(__xludf.DUMMYFUNCTION("""COMPUTED_VALUE"""),31024.0)</f>
        <v>31024</v>
      </c>
      <c r="K368" s="22" t="str">
        <f>IFERROR(__xludf.DUMMYFUNCTION("""COMPUTED_VALUE"""),"Phố Đồng Lễ - Phường Hạc Thành - Tỉnh Thanh Hóa")</f>
        <v>Phố Đồng Lễ - Phường Hạc Thành - Tỉnh Thanh Hóa</v>
      </c>
      <c r="L368" s="22" t="str">
        <f>IFERROR(__xludf.DUMMYFUNCTION("""COMPUTED_VALUE"""),"0977839329")</f>
        <v>0977839329</v>
      </c>
      <c r="M368" s="22" t="str">
        <f>IFERROR(__xludf.DUMMYFUNCTION("""COMPUTED_VALUE"""),"038084003336")</f>
        <v>038084003336</v>
      </c>
      <c r="N368" s="24">
        <f>IFERROR(__xludf.DUMMYFUNCTION("""COMPUTED_VALUE"""),44537.0)</f>
        <v>44537</v>
      </c>
      <c r="O368" s="22" t="str">
        <f>IFERROR(__xludf.DUMMYFUNCTION("""COMPUTED_VALUE"""),"Cục Cảnh sát QLHC về TTXH")</f>
        <v>Cục Cảnh sát QLHC về TTXH</v>
      </c>
      <c r="P368" s="22" t="str">
        <f>IFERROR(__xludf.DUMMYFUNCTION("""COMPUTED_VALUE"""),"LĐPT")</f>
        <v>LĐPT</v>
      </c>
      <c r="Q368" s="22" t="str">
        <f>IFERROR(__xludf.DUMMYFUNCTION("""COMPUTED_VALUE"""),"Lao động phổ thông")</f>
        <v>Lao động phổ thông</v>
      </c>
      <c r="R368" s="24">
        <f>IFERROR(__xludf.DUMMYFUNCTION("""COMPUTED_VALUE"""),40073.0)</f>
        <v>40073</v>
      </c>
      <c r="S368" s="24">
        <f>IFERROR(__xludf.DUMMYFUNCTION("""COMPUTED_VALUE"""),40073.0)</f>
        <v>40073</v>
      </c>
      <c r="T368" s="22" t="str">
        <f>IFERROR(__xludf.DUMMYFUNCTION("""COMPUTED_VALUE"""),"Chính thức")</f>
        <v>Chính thức</v>
      </c>
      <c r="U368" s="22"/>
      <c r="V368" s="22"/>
      <c r="W368" s="22" t="str">
        <f>IFERROR(__xludf.DUMMYFUNCTION("""COMPUTED_VALUE"""),"16 năm 3 tháng")</f>
        <v>16 năm 3 tháng</v>
      </c>
      <c r="X368" s="22"/>
      <c r="Y368" s="22"/>
      <c r="Z368" s="22"/>
    </row>
    <row r="369">
      <c r="A369" s="23" t="str">
        <f>IFERROR(__xludf.DUMMYFUNCTION("""COMPUTED_VALUE"""),"3")</f>
        <v>3</v>
      </c>
      <c r="B369" s="22" t="str">
        <f>IFERROR(__xludf.DUMMYFUNCTION("""COMPUTED_VALUE"""),"PXSX1")</f>
        <v>PXSX1</v>
      </c>
      <c r="C369" s="22" t="str">
        <f>IFERROR(__xludf.DUMMYFUNCTION("""COMPUTED_VALUE"""),"Phòng công nghệ")</f>
        <v>Phòng công nghệ</v>
      </c>
      <c r="D369" s="22" t="str">
        <f>IFERROR(__xludf.DUMMYFUNCTION("""COMPUTED_VALUE"""),"Tổ nghiền men PXSX1")</f>
        <v>Tổ nghiền men PXSX1</v>
      </c>
      <c r="E369" s="22" t="str">
        <f>IFERROR(__xludf.DUMMYFUNCTION("""COMPUTED_VALUE"""),"Công nhân men màu mức 1")</f>
        <v>Công nhân men màu mức 1</v>
      </c>
      <c r="F369" s="22" t="str">
        <f>IFERROR(__xludf.DUMMYFUNCTION("""COMPUTED_VALUE"""),"NV0063")</f>
        <v>NV0063</v>
      </c>
      <c r="G369" s="22">
        <f>IFERROR(__xludf.DUMMYFUNCTION("""COMPUTED_VALUE"""),224.0)</f>
        <v>224</v>
      </c>
      <c r="H369" s="22" t="str">
        <f>IFERROR(__xludf.DUMMYFUNCTION("""COMPUTED_VALUE"""),"Nguyễn Văn Thành")</f>
        <v>Nguyễn Văn Thành</v>
      </c>
      <c r="I369" s="22" t="str">
        <f>IFERROR(__xludf.DUMMYFUNCTION("""COMPUTED_VALUE"""),"Nam")</f>
        <v>Nam</v>
      </c>
      <c r="J369" s="24">
        <f>IFERROR(__xludf.DUMMYFUNCTION("""COMPUTED_VALUE"""),33439.0)</f>
        <v>33439</v>
      </c>
      <c r="K369" s="22" t="str">
        <f>IFERROR(__xludf.DUMMYFUNCTION("""COMPUTED_VALUE"""),"Phố Đông Lễ - Phường Hạc Thành - Tỉnh Thanh Hóa")</f>
        <v>Phố Đông Lễ - Phường Hạc Thành - Tỉnh Thanh Hóa</v>
      </c>
      <c r="L369" s="22" t="str">
        <f>IFERROR(__xludf.DUMMYFUNCTION("""COMPUTED_VALUE"""),"0983385044")</f>
        <v>0983385044</v>
      </c>
      <c r="M369" s="22" t="str">
        <f>IFERROR(__xludf.DUMMYFUNCTION("""COMPUTED_VALUE"""),"038091023328")</f>
        <v>038091023328</v>
      </c>
      <c r="N369" s="24">
        <f>IFERROR(__xludf.DUMMYFUNCTION("""COMPUTED_VALUE"""),44294.0)</f>
        <v>44294</v>
      </c>
      <c r="O369" s="22" t="str">
        <f>IFERROR(__xludf.DUMMYFUNCTION("""COMPUTED_VALUE"""),"Cục Cảnh sát QLHC về TTXH")</f>
        <v>Cục Cảnh sát QLHC về TTXH</v>
      </c>
      <c r="P369" s="22" t="str">
        <f>IFERROR(__xludf.DUMMYFUNCTION("""COMPUTED_VALUE"""),"LĐPT")</f>
        <v>LĐPT</v>
      </c>
      <c r="Q369" s="22" t="str">
        <f>IFERROR(__xludf.DUMMYFUNCTION("""COMPUTED_VALUE"""),"Lao động phổ thông")</f>
        <v>Lao động phổ thông</v>
      </c>
      <c r="R369" s="24">
        <f>IFERROR(__xludf.DUMMYFUNCTION("""COMPUTED_VALUE"""),44692.0)</f>
        <v>44692</v>
      </c>
      <c r="S369" s="24">
        <f>IFERROR(__xludf.DUMMYFUNCTION("""COMPUTED_VALUE"""),44986.0)</f>
        <v>44986</v>
      </c>
      <c r="T369" s="22" t="str">
        <f>IFERROR(__xludf.DUMMYFUNCTION("""COMPUTED_VALUE"""),"Chính thức")</f>
        <v>Chính thức</v>
      </c>
      <c r="U369" s="22"/>
      <c r="V369" s="22" t="str">
        <f>IFERROR(__xludf.DUMMYFUNCTION("""COMPUTED_VALUE"""),"Nghỉ phép")</f>
        <v>Nghỉ phép</v>
      </c>
      <c r="W369" s="22" t="str">
        <f>IFERROR(__xludf.DUMMYFUNCTION("""COMPUTED_VALUE"""),"3 năm 7 tháng")</f>
        <v>3 năm 7 tháng</v>
      </c>
      <c r="X369" s="22"/>
      <c r="Y369" s="22"/>
      <c r="Z369" s="22"/>
    </row>
    <row r="370">
      <c r="A370" s="23" t="str">
        <f>IFERROR(__xludf.DUMMYFUNCTION("""COMPUTED_VALUE"""),"4")</f>
        <v>4</v>
      </c>
      <c r="B370" s="22" t="str">
        <f>IFERROR(__xludf.DUMMYFUNCTION("""COMPUTED_VALUE"""),"PXSX1")</f>
        <v>PXSX1</v>
      </c>
      <c r="C370" s="22" t="str">
        <f>IFERROR(__xludf.DUMMYFUNCTION("""COMPUTED_VALUE"""),"Phòng công nghệ")</f>
        <v>Phòng công nghệ</v>
      </c>
      <c r="D370" s="22" t="str">
        <f>IFERROR(__xludf.DUMMYFUNCTION("""COMPUTED_VALUE"""),"Tổ nghiền men PXSX1")</f>
        <v>Tổ nghiền men PXSX1</v>
      </c>
      <c r="E370" s="22" t="str">
        <f>IFERROR(__xludf.DUMMYFUNCTION("""COMPUTED_VALUE"""),"Công nhân men màu mức 1")</f>
        <v>Công nhân men màu mức 1</v>
      </c>
      <c r="F370" s="22" t="str">
        <f>IFERROR(__xludf.DUMMYFUNCTION("""COMPUTED_VALUE"""),"NV1230")</f>
        <v>NV1230</v>
      </c>
      <c r="G370" s="22">
        <f>IFERROR(__xludf.DUMMYFUNCTION("""COMPUTED_VALUE"""),225.0)</f>
        <v>225</v>
      </c>
      <c r="H370" s="22" t="str">
        <f>IFERROR(__xludf.DUMMYFUNCTION("""COMPUTED_VALUE"""),"Đỗ Văn Nhất")</f>
        <v>Đỗ Văn Nhất</v>
      </c>
      <c r="I370" s="22" t="str">
        <f>IFERROR(__xludf.DUMMYFUNCTION("""COMPUTED_VALUE"""),"Nam")</f>
        <v>Nam</v>
      </c>
      <c r="J370" s="24">
        <f>IFERROR(__xludf.DUMMYFUNCTION("""COMPUTED_VALUE"""),35148.0)</f>
        <v>35148</v>
      </c>
      <c r="K370" s="22" t="str">
        <f>IFERROR(__xludf.DUMMYFUNCTION("""COMPUTED_VALUE"""),"Phố Đông Lễ - Phường Hạc Thành - Tỉnh Thanh Hóa")</f>
        <v>Phố Đông Lễ - Phường Hạc Thành - Tỉnh Thanh Hóa</v>
      </c>
      <c r="L370" s="22" t="str">
        <f>IFERROR(__xludf.DUMMYFUNCTION("""COMPUTED_VALUE"""),"0321069881")</f>
        <v>0321069881</v>
      </c>
      <c r="M370" s="22" t="str">
        <f>IFERROR(__xludf.DUMMYFUNCTION("""COMPUTED_VALUE"""),"038096013910")</f>
        <v>038096013910</v>
      </c>
      <c r="N370" s="24">
        <f>IFERROR(__xludf.DUMMYFUNCTION("""COMPUTED_VALUE"""),44288.0)</f>
        <v>44288</v>
      </c>
      <c r="O370" s="22" t="str">
        <f>IFERROR(__xludf.DUMMYFUNCTION("""COMPUTED_VALUE"""),"Cục Cảnh sát QLHC về TTXH")</f>
        <v>Cục Cảnh sát QLHC về TTXH</v>
      </c>
      <c r="P370" s="22" t="str">
        <f>IFERROR(__xludf.DUMMYFUNCTION("""COMPUTED_VALUE"""),"LĐPT")</f>
        <v>LĐPT</v>
      </c>
      <c r="Q370" s="22" t="str">
        <f>IFERROR(__xludf.DUMMYFUNCTION("""COMPUTED_VALUE"""),"Lao động phổ thông")</f>
        <v>Lao động phổ thông</v>
      </c>
      <c r="R370" s="24">
        <f>IFERROR(__xludf.DUMMYFUNCTION("""COMPUTED_VALUE"""),43167.0)</f>
        <v>43167</v>
      </c>
      <c r="S370" s="24">
        <f>IFERROR(__xludf.DUMMYFUNCTION("""COMPUTED_VALUE"""),43466.0)</f>
        <v>43466</v>
      </c>
      <c r="T370" s="22" t="str">
        <f>IFERROR(__xludf.DUMMYFUNCTION("""COMPUTED_VALUE"""),"Chính thức")</f>
        <v>Chính thức</v>
      </c>
      <c r="U370" s="22"/>
      <c r="V370" s="22"/>
      <c r="W370" s="22" t="str">
        <f>IFERROR(__xludf.DUMMYFUNCTION("""COMPUTED_VALUE"""),"7 năm 9 tháng")</f>
        <v>7 năm 9 tháng</v>
      </c>
      <c r="X370" s="22"/>
      <c r="Y370" s="22"/>
      <c r="Z370" s="22"/>
    </row>
    <row r="371">
      <c r="A371" s="23" t="str">
        <f>IFERROR(__xludf.DUMMYFUNCTION("""COMPUTED_VALUE"""),"5")</f>
        <v>5</v>
      </c>
      <c r="B371" s="22" t="str">
        <f>IFERROR(__xludf.DUMMYFUNCTION("""COMPUTED_VALUE"""),"PXSX1")</f>
        <v>PXSX1</v>
      </c>
      <c r="C371" s="22" t="str">
        <f>IFERROR(__xludf.DUMMYFUNCTION("""COMPUTED_VALUE"""),"Phòng công nghệ")</f>
        <v>Phòng công nghệ</v>
      </c>
      <c r="D371" s="22" t="str">
        <f>IFERROR(__xludf.DUMMYFUNCTION("""COMPUTED_VALUE"""),"Tổ nghiền men PXSX1")</f>
        <v>Tổ nghiền men PXSX1</v>
      </c>
      <c r="E371" s="22" t="str">
        <f>IFERROR(__xludf.DUMMYFUNCTION("""COMPUTED_VALUE"""),"Công nhân men màu mức 1")</f>
        <v>Công nhân men màu mức 1</v>
      </c>
      <c r="F371" s="22" t="str">
        <f>IFERROR(__xludf.DUMMYFUNCTION("""COMPUTED_VALUE"""),"NV0052")</f>
        <v>NV0052</v>
      </c>
      <c r="G371" s="22">
        <f>IFERROR(__xludf.DUMMYFUNCTION("""COMPUTED_VALUE"""),226.0)</f>
        <v>226</v>
      </c>
      <c r="H371" s="22" t="str">
        <f>IFERROR(__xludf.DUMMYFUNCTION("""COMPUTED_VALUE"""),"Đỗ Văn Khôi")</f>
        <v>Đỗ Văn Khôi</v>
      </c>
      <c r="I371" s="22" t="str">
        <f>IFERROR(__xludf.DUMMYFUNCTION("""COMPUTED_VALUE"""),"Nam")</f>
        <v>Nam</v>
      </c>
      <c r="J371" s="24">
        <f>IFERROR(__xludf.DUMMYFUNCTION("""COMPUTED_VALUE"""),35308.0)</f>
        <v>35308</v>
      </c>
      <c r="K371" s="22" t="str">
        <f>IFERROR(__xludf.DUMMYFUNCTION("""COMPUTED_VALUE"""),"Phố Vạn Sơn - Phường Hạc Thành - Tỉnh Thanh Hóa")</f>
        <v>Phố Vạn Sơn - Phường Hạc Thành - Tỉnh Thanh Hóa</v>
      </c>
      <c r="L371" s="22" t="str">
        <f>IFERROR(__xludf.DUMMYFUNCTION("""COMPUTED_VALUE"""),"0937275588")</f>
        <v>0937275588</v>
      </c>
      <c r="M371" s="22" t="str">
        <f>IFERROR(__xludf.DUMMYFUNCTION("""COMPUTED_VALUE"""),"038096013206")</f>
        <v>038096013206</v>
      </c>
      <c r="N371" s="24">
        <f>IFERROR(__xludf.DUMMYFUNCTION("""COMPUTED_VALUE"""),44534.0)</f>
        <v>44534</v>
      </c>
      <c r="O371" s="22" t="str">
        <f>IFERROR(__xludf.DUMMYFUNCTION("""COMPUTED_VALUE"""),"Cục Cảnh sát QLHC về TTXH")</f>
        <v>Cục Cảnh sát QLHC về TTXH</v>
      </c>
      <c r="P371" s="22" t="str">
        <f>IFERROR(__xludf.DUMMYFUNCTION("""COMPUTED_VALUE"""),"LĐPT")</f>
        <v>LĐPT</v>
      </c>
      <c r="Q371" s="22" t="str">
        <f>IFERROR(__xludf.DUMMYFUNCTION("""COMPUTED_VALUE"""),"Lao động phổ thông")</f>
        <v>Lao động phổ thông</v>
      </c>
      <c r="R371" s="24">
        <f>IFERROR(__xludf.DUMMYFUNCTION("""COMPUTED_VALUE"""),41908.0)</f>
        <v>41908</v>
      </c>
      <c r="S371" s="24">
        <f>IFERROR(__xludf.DUMMYFUNCTION("""COMPUTED_VALUE"""),41908.0)</f>
        <v>41908</v>
      </c>
      <c r="T371" s="22" t="str">
        <f>IFERROR(__xludf.DUMMYFUNCTION("""COMPUTED_VALUE"""),"Chính thức")</f>
        <v>Chính thức</v>
      </c>
      <c r="U371" s="22"/>
      <c r="V371" s="22"/>
      <c r="W371" s="22" t="str">
        <f>IFERROR(__xludf.DUMMYFUNCTION("""COMPUTED_VALUE"""),"11 năm 3 tháng")</f>
        <v>11 năm 3 tháng</v>
      </c>
      <c r="X371" s="22"/>
      <c r="Y371" s="22"/>
      <c r="Z371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8" max="8" width="20.13"/>
  </cols>
  <sheetData>
    <row r="1">
      <c r="A1" s="22" t="str">
        <f>IFERROR(__xludf.DUMMYFUNCTION("IMPORTRANGE(""16-if57-pavlt8XvAaMO0QQ51R-N0se8TknLV1knFoEA"",""Danh sách nhân sự!A:Z"")"),"Chi tiết nhân sự theo phòng ban-2025")</f>
        <v>Chi tiết nhân sự theo phòng ban-2025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 t="str">
        <f>IFERROR(__xludf.DUMMYFUNCTION("""COMPUTED_VALUE"""),"PXSX2")</f>
        <v>PXSX2</v>
      </c>
      <c r="B2" s="22" t="str">
        <f>IFERROR(__xludf.DUMMYFUNCTION("""COMPUTED_VALUE"""),"Đơn vị")</f>
        <v>Đơn vị</v>
      </c>
      <c r="C2" s="22">
        <f>IFERROR(__xludf.DUMMYFUNCTION("""COMPUTED_VALUE"""),257.0)</f>
        <v>257</v>
      </c>
      <c r="D2" s="22" t="str">
        <f>IFERROR(__xludf.DUMMYFUNCTION("""COMPUTED_VALUE"""),"Bộ phận  (Hành chính/ đi ca)")</f>
        <v>Bộ phận  (Hành chính/ đi ca)</v>
      </c>
      <c r="E2" s="22" t="str">
        <f>IFERROR(__xludf.DUMMYFUNCTION("""COMPUTED_VALUE"""),"Chức vụ")</f>
        <v>Chức vụ</v>
      </c>
      <c r="F2" s="22" t="str">
        <f>IFERROR(__xludf.DUMMYFUNCTION("""COMPUTED_VALUE"""),"Mã nhân viên")</f>
        <v>Mã nhân viên</v>
      </c>
      <c r="G2" s="22" t="str">
        <f>IFERROR(__xludf.DUMMYFUNCTION("""COMPUTED_VALUE"""),"Mã chấm công")</f>
        <v>Mã chấm công</v>
      </c>
      <c r="H2" s="22" t="str">
        <f>IFERROR(__xludf.DUMMYFUNCTION("""COMPUTED_VALUE"""),"Họ tên ")</f>
        <v>Họ tên </v>
      </c>
      <c r="I2" s="22" t="str">
        <f>IFERROR(__xludf.DUMMYFUNCTION("""COMPUTED_VALUE"""),"Giới tính")</f>
        <v>Giới tính</v>
      </c>
      <c r="J2" s="24" t="str">
        <f>IFERROR(__xludf.DUMMYFUNCTION("""COMPUTED_VALUE"""),"Ngày/ tháng/năm sinh")</f>
        <v>Ngày/ tháng/năm sinh</v>
      </c>
      <c r="K2" s="22" t="str">
        <f>IFERROR(__xludf.DUMMYFUNCTION("""COMPUTED_VALUE"""),"Địa chỉ")</f>
        <v>Địa chỉ</v>
      </c>
      <c r="L2" s="22" t="str">
        <f>IFERROR(__xludf.DUMMYFUNCTION("""COMPUTED_VALUE"""),"Căn cước công dân")</f>
        <v>Căn cước công dân</v>
      </c>
      <c r="M2" s="23" t="str">
        <f>IFERROR(__xludf.DUMMYFUNCTION("""COMPUTED_VALUE"""),"Số điện thoại")</f>
        <v>Số điện thoại</v>
      </c>
      <c r="N2" s="22" t="str">
        <f>IFERROR(__xludf.DUMMYFUNCTION("""COMPUTED_VALUE"""),"Ngày cấp")</f>
        <v>Ngày cấp</v>
      </c>
      <c r="O2" s="22" t="str">
        <f>IFERROR(__xludf.DUMMYFUNCTION("""COMPUTED_VALUE"""),"Nơi cấp")</f>
        <v>Nơi cấp</v>
      </c>
      <c r="P2" s="22" t="str">
        <f>IFERROR(__xludf.DUMMYFUNCTION("""COMPUTED_VALUE"""),"Trình độ")</f>
        <v>Trình độ</v>
      </c>
      <c r="Q2" s="22" t="str">
        <f>IFERROR(__xludf.DUMMYFUNCTION("""COMPUTED_VALUE"""),"Chuyên môn")</f>
        <v>Chuyên môn</v>
      </c>
      <c r="R2" s="24" t="str">
        <f>IFERROR(__xludf.DUMMYFUNCTION("""COMPUTED_VALUE"""),"Ngày thử việc")</f>
        <v>Ngày thử việc</v>
      </c>
      <c r="S2" s="24" t="str">
        <f>IFERROR(__xludf.DUMMYFUNCTION("""COMPUTED_VALUE"""),"Ngày chính thức")</f>
        <v>Ngày chính thức</v>
      </c>
      <c r="T2" s="22" t="str">
        <f>IFERROR(__xludf.DUMMYFUNCTION("""COMPUTED_VALUE"""),"Loại hợp đồng")</f>
        <v>Loại hợp đồng</v>
      </c>
      <c r="U2" s="22" t="str">
        <f>IFERROR(__xludf.DUMMYFUNCTION("""COMPUTED_VALUE"""),"Kênh tuyển dụng")</f>
        <v>Kênh tuyển dụng</v>
      </c>
      <c r="V2" s="22" t="str">
        <f>IFERROR(__xludf.DUMMYFUNCTION("""COMPUTED_VALUE"""),"Trạng thái làm việc (Làm việc và nghỉ việc)")</f>
        <v>Trạng thái làm việc (Làm việc và nghỉ việc)</v>
      </c>
      <c r="W2" s="22" t="str">
        <f>IFERROR(__xludf.DUMMYFUNCTION("""COMPUTED_VALUE"""),"Thâm niên")</f>
        <v>Thâm niên</v>
      </c>
      <c r="X2" s="22"/>
      <c r="Y2" s="22"/>
      <c r="Z2" s="22"/>
    </row>
    <row r="3">
      <c r="A3" s="22" t="str">
        <f>IFERROR(__xludf.DUMMYFUNCTION("""COMPUTED_VALUE"""),"1.")</f>
        <v>1.</v>
      </c>
      <c r="B3" s="22" t="str">
        <f>IFERROR(__xludf.DUMMYFUNCTION("""COMPUTED_VALUE"""),"Ban giám đốc PXSX2")</f>
        <v>Ban giám đốc PXSX2</v>
      </c>
      <c r="C3" s="22">
        <f>IFERROR(__xludf.DUMMYFUNCTION("""COMPUTED_VALUE"""),5.0)</f>
        <v>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>
        <f>IFERROR(__xludf.DUMMYFUNCTION("""COMPUTED_VALUE"""),1.0)</f>
        <v>1</v>
      </c>
      <c r="B4" s="22" t="str">
        <f>IFERROR(__xludf.DUMMYFUNCTION("""COMPUTED_VALUE"""),"DC6-PXSX2")</f>
        <v>DC6-PXSX2</v>
      </c>
      <c r="C4" s="22" t="str">
        <f>IFERROR(__xludf.DUMMYFUNCTION("""COMPUTED_VALUE"""),"Ban giám đốc PXSX2")</f>
        <v>Ban giám đốc PXSX2</v>
      </c>
      <c r="D4" s="22" t="str">
        <f>IFERROR(__xludf.DUMMYFUNCTION("""COMPUTED_VALUE"""),"Bộ phận hành chính")</f>
        <v>Bộ phận hành chính</v>
      </c>
      <c r="E4" s="22" t="str">
        <f>IFERROR(__xludf.DUMMYFUNCTION("""COMPUTED_VALUE"""),"Giám đốc PXSX")</f>
        <v>Giám đốc PXSX</v>
      </c>
      <c r="F4" s="22" t="str">
        <f>IFERROR(__xludf.DUMMYFUNCTION("""COMPUTED_VALUE"""),"NV0600")</f>
        <v>NV0600</v>
      </c>
      <c r="G4" s="22">
        <f>IFERROR(__xludf.DUMMYFUNCTION("""COMPUTED_VALUE"""),589.0)</f>
        <v>589</v>
      </c>
      <c r="H4" s="22" t="str">
        <f>IFERROR(__xludf.DUMMYFUNCTION("""COMPUTED_VALUE"""),"Trần Quốc Tuấn")</f>
        <v>Trần Quốc Tuấn</v>
      </c>
      <c r="I4" s="22" t="str">
        <f>IFERROR(__xludf.DUMMYFUNCTION("""COMPUTED_VALUE"""),"Nam")</f>
        <v>Nam</v>
      </c>
      <c r="J4" s="24">
        <f>IFERROR(__xludf.DUMMYFUNCTION("""COMPUTED_VALUE"""),28443.0)</f>
        <v>28443</v>
      </c>
      <c r="K4" s="22" t="str">
        <f>IFERROR(__xludf.DUMMYFUNCTION("""COMPUTED_VALUE"""),"18/66 Phú Thọ 3 - Phường Hạc Thành - Tỉnh Thanh Hóa")</f>
        <v>18/66 Phú Thọ 3 - Phường Hạc Thành - Tỉnh Thanh Hóa</v>
      </c>
      <c r="L4" s="22" t="str">
        <f>IFERROR(__xludf.DUMMYFUNCTION("""COMPUTED_VALUE"""),"0967817680")</f>
        <v>0967817680</v>
      </c>
      <c r="M4" s="22" t="str">
        <f>IFERROR(__xludf.DUMMYFUNCTION("""COMPUTED_VALUE"""),"038077005673")</f>
        <v>038077005673</v>
      </c>
      <c r="N4" s="26">
        <f>IFERROR(__xludf.DUMMYFUNCTION("""COMPUTED_VALUE"""),44419.0)</f>
        <v>44419</v>
      </c>
      <c r="O4" s="22" t="str">
        <f>IFERROR(__xludf.DUMMYFUNCTION("""COMPUTED_VALUE"""),"Cục Cảnh sát QLHC về TTXH")</f>
        <v>Cục Cảnh sát QLHC về TTXH</v>
      </c>
      <c r="P4" s="22" t="str">
        <f>IFERROR(__xludf.DUMMYFUNCTION("""COMPUTED_VALUE"""),"Đại học")</f>
        <v>Đại học</v>
      </c>
      <c r="Q4" s="22" t="str">
        <f>IFERROR(__xludf.DUMMYFUNCTION("""COMPUTED_VALUE"""),"Cử nhân hóa")</f>
        <v>Cử nhân hóa</v>
      </c>
      <c r="R4" s="24">
        <f>IFERROR(__xludf.DUMMYFUNCTION("""COMPUTED_VALUE"""),37867.0)</f>
        <v>37867</v>
      </c>
      <c r="S4" s="24">
        <f>IFERROR(__xludf.DUMMYFUNCTION("""COMPUTED_VALUE"""),37867.0)</f>
        <v>37867</v>
      </c>
      <c r="T4" s="22" t="str">
        <f>IFERROR(__xludf.DUMMYFUNCTION("""COMPUTED_VALUE"""),"Chính thức")</f>
        <v>Chính thức</v>
      </c>
      <c r="U4" s="22"/>
      <c r="V4" s="22" t="str">
        <f>IFERROR(__xludf.DUMMYFUNCTION("""COMPUTED_VALUE"""),"Chính thức")</f>
        <v>Chính thức</v>
      </c>
      <c r="W4" s="22" t="str">
        <f>IFERROR(__xludf.DUMMYFUNCTION("""COMPUTED_VALUE"""),"22 năm 3 tháng")</f>
        <v>22 năm 3 tháng</v>
      </c>
      <c r="X4" s="22"/>
      <c r="Y4" s="22"/>
      <c r="Z4" s="22"/>
    </row>
    <row r="5">
      <c r="A5" s="22">
        <f>IFERROR(__xludf.DUMMYFUNCTION("""COMPUTED_VALUE"""),2.0)</f>
        <v>2</v>
      </c>
      <c r="B5" s="22" t="str">
        <f>IFERROR(__xludf.DUMMYFUNCTION("""COMPUTED_VALUE"""),"DC6-PXSX2")</f>
        <v>DC6-PXSX2</v>
      </c>
      <c r="C5" s="22" t="str">
        <f>IFERROR(__xludf.DUMMYFUNCTION("""COMPUTED_VALUE"""),"Ban giám đốc PXSX2")</f>
        <v>Ban giám đốc PXSX2</v>
      </c>
      <c r="D5" s="22" t="str">
        <f>IFERROR(__xludf.DUMMYFUNCTION("""COMPUTED_VALUE"""),"Bộ phận hành chính")</f>
        <v>Bộ phận hành chính</v>
      </c>
      <c r="E5" s="22" t="str">
        <f>IFERROR(__xludf.DUMMYFUNCTION("""COMPUTED_VALUE"""),"Trưởng phòng sản xuất")</f>
        <v>Trưởng phòng sản xuất</v>
      </c>
      <c r="F5" s="22" t="str">
        <f>IFERROR(__xludf.DUMMYFUNCTION("""COMPUTED_VALUE"""),"NV0009")</f>
        <v>NV0009</v>
      </c>
      <c r="G5" s="22">
        <f>IFERROR(__xludf.DUMMYFUNCTION("""COMPUTED_VALUE"""),8.0)</f>
        <v>8</v>
      </c>
      <c r="H5" s="22" t="str">
        <f>IFERROR(__xludf.DUMMYFUNCTION("""COMPUTED_VALUE"""),"Lê Văn Cường")</f>
        <v>Lê Văn Cường</v>
      </c>
      <c r="I5" s="22" t="str">
        <f>IFERROR(__xludf.DUMMYFUNCTION("""COMPUTED_VALUE"""),"Nam")</f>
        <v>Nam</v>
      </c>
      <c r="J5" s="24">
        <f>IFERROR(__xludf.DUMMYFUNCTION("""COMPUTED_VALUE"""),30636.0)</f>
        <v>30636</v>
      </c>
      <c r="K5" s="22" t="str">
        <f>IFERROR(__xludf.DUMMYFUNCTION("""COMPUTED_VALUE"""),"Chung cư AT HOME - Phường Hạc Thành - Tỉnh Thanh Hóa")</f>
        <v>Chung cư AT HOME - Phường Hạc Thành - Tỉnh Thanh Hóa</v>
      </c>
      <c r="L5" s="22" t="str">
        <f>IFERROR(__xludf.DUMMYFUNCTION("""COMPUTED_VALUE"""),"0984045357")</f>
        <v>0984045357</v>
      </c>
      <c r="M5" s="22" t="str">
        <f>IFERROR(__xludf.DUMMYFUNCTION("""COMPUTED_VALUE"""),"038083051657")</f>
        <v>038083051657</v>
      </c>
      <c r="N5" s="26">
        <f>IFERROR(__xludf.DUMMYFUNCTION("""COMPUTED_VALUE"""),44427.0)</f>
        <v>44427</v>
      </c>
      <c r="O5" s="22" t="str">
        <f>IFERROR(__xludf.DUMMYFUNCTION("""COMPUTED_VALUE"""),"Cục Cảnh sát QLHC về TTXH")</f>
        <v>Cục Cảnh sát QLHC về TTXH</v>
      </c>
      <c r="P5" s="22" t="str">
        <f>IFERROR(__xludf.DUMMYFUNCTION("""COMPUTED_VALUE"""),"Đại học")</f>
        <v>Đại học</v>
      </c>
      <c r="Q5" s="22" t="str">
        <f>IFERROR(__xludf.DUMMYFUNCTION("""COMPUTED_VALUE"""),"Công nghệ hóa học")</f>
        <v>Công nghệ hóa học</v>
      </c>
      <c r="R5" s="24">
        <f>IFERROR(__xludf.DUMMYFUNCTION("""COMPUTED_VALUE"""),38724.0)</f>
        <v>38724</v>
      </c>
      <c r="S5" s="24">
        <f>IFERROR(__xludf.DUMMYFUNCTION("""COMPUTED_VALUE"""),38724.0)</f>
        <v>38724</v>
      </c>
      <c r="T5" s="22" t="str">
        <f>IFERROR(__xludf.DUMMYFUNCTION("""COMPUTED_VALUE"""),"Chính thức")</f>
        <v>Chính thức</v>
      </c>
      <c r="U5" s="22"/>
      <c r="V5" s="22" t="str">
        <f>IFERROR(__xludf.DUMMYFUNCTION("""COMPUTED_VALUE"""),"Chính thức")</f>
        <v>Chính thức</v>
      </c>
      <c r="W5" s="22" t="str">
        <f>IFERROR(__xludf.DUMMYFUNCTION("""COMPUTED_VALUE"""),"19 năm 11 tháng")</f>
        <v>19 năm 11 tháng</v>
      </c>
      <c r="X5" s="22"/>
      <c r="Y5" s="22"/>
      <c r="Z5" s="22"/>
    </row>
    <row r="6">
      <c r="A6" s="22">
        <f>IFERROR(__xludf.DUMMYFUNCTION("""COMPUTED_VALUE"""),3.0)</f>
        <v>3</v>
      </c>
      <c r="B6" s="22" t="str">
        <f>IFERROR(__xludf.DUMMYFUNCTION("""COMPUTED_VALUE"""),"DC6-PXSX2")</f>
        <v>DC6-PXSX2</v>
      </c>
      <c r="C6" s="22" t="str">
        <f>IFERROR(__xludf.DUMMYFUNCTION("""COMPUTED_VALUE"""),"Ban giám đốc PXSX2")</f>
        <v>Ban giám đốc PXSX2</v>
      </c>
      <c r="D6" s="22" t="str">
        <f>IFERROR(__xludf.DUMMYFUNCTION("""COMPUTED_VALUE"""),"Bộ phận hành chính")</f>
        <v>Bộ phận hành chính</v>
      </c>
      <c r="E6" s="22" t="str">
        <f>IFERROR(__xludf.DUMMYFUNCTION("""COMPUTED_VALUE"""),"Phó giám đốc PXSX")</f>
        <v>Phó giám đốc PXSX</v>
      </c>
      <c r="F6" s="22" t="str">
        <f>IFERROR(__xludf.DUMMYFUNCTION("""COMPUTED_VALUE"""),"NV0042")</f>
        <v>NV0042</v>
      </c>
      <c r="G6" s="22">
        <f>IFERROR(__xludf.DUMMYFUNCTION("""COMPUTED_VALUE"""),10.0)</f>
        <v>10</v>
      </c>
      <c r="H6" s="22" t="str">
        <f>IFERROR(__xludf.DUMMYFUNCTION("""COMPUTED_VALUE"""),"Nguyễn Thế Hùng")</f>
        <v>Nguyễn Thế Hùng</v>
      </c>
      <c r="I6" s="22" t="str">
        <f>IFERROR(__xludf.DUMMYFUNCTION("""COMPUTED_VALUE"""),"Nam")</f>
        <v>Nam</v>
      </c>
      <c r="J6" s="24">
        <f>IFERROR(__xludf.DUMMYFUNCTION("""COMPUTED_VALUE"""),30742.0)</f>
        <v>30742</v>
      </c>
      <c r="K6" s="22" t="str">
        <f>IFERROR(__xludf.DUMMYFUNCTION("""COMPUTED_VALUE"""),"SN 74 Nguyễn Quỳnh - Phường Hạc Thành - Tỉnh Thanh Hóa")</f>
        <v>SN 74 Nguyễn Quỳnh - Phường Hạc Thành - Tỉnh Thanh Hóa</v>
      </c>
      <c r="L6" s="22" t="str">
        <f>IFERROR(__xludf.DUMMYFUNCTION("""COMPUTED_VALUE"""),"0946238239")</f>
        <v>0946238239</v>
      </c>
      <c r="M6" s="22" t="str">
        <f>IFERROR(__xludf.DUMMYFUNCTION("""COMPUTED_VALUE"""),"038084037922")</f>
        <v>038084037922</v>
      </c>
      <c r="N6" s="26">
        <f>IFERROR(__xludf.DUMMYFUNCTION("""COMPUTED_VALUE"""),44375.0)</f>
        <v>44375</v>
      </c>
      <c r="O6" s="22" t="str">
        <f>IFERROR(__xludf.DUMMYFUNCTION("""COMPUTED_VALUE"""),"Cục Cảnh sát QLHC về TTXH")</f>
        <v>Cục Cảnh sát QLHC về TTXH</v>
      </c>
      <c r="P6" s="22" t="str">
        <f>IFERROR(__xludf.DUMMYFUNCTION("""COMPUTED_VALUE"""),"Đại học")</f>
        <v>Đại học</v>
      </c>
      <c r="Q6" s="22" t="str">
        <f>IFERROR(__xludf.DUMMYFUNCTION("""COMPUTED_VALUE"""),"Công nghệ thông tin")</f>
        <v>Công nghệ thông tin</v>
      </c>
      <c r="R6" s="24">
        <f>IFERROR(__xludf.DUMMYFUNCTION("""COMPUTED_VALUE"""),40188.0)</f>
        <v>40188</v>
      </c>
      <c r="S6" s="24">
        <f>IFERROR(__xludf.DUMMYFUNCTION("""COMPUTED_VALUE"""),40188.0)</f>
        <v>40188</v>
      </c>
      <c r="T6" s="22" t="str">
        <f>IFERROR(__xludf.DUMMYFUNCTION("""COMPUTED_VALUE"""),"Chính thức")</f>
        <v>Chính thức</v>
      </c>
      <c r="U6" s="22"/>
      <c r="V6" s="22" t="str">
        <f>IFERROR(__xludf.DUMMYFUNCTION("""COMPUTED_VALUE"""),"Chính thức")</f>
        <v>Chính thức</v>
      </c>
      <c r="W6" s="22" t="str">
        <f>IFERROR(__xludf.DUMMYFUNCTION("""COMPUTED_VALUE"""),"15 năm 11 tháng")</f>
        <v>15 năm 11 tháng</v>
      </c>
      <c r="X6" s="22"/>
      <c r="Y6" s="22"/>
      <c r="Z6" s="22"/>
    </row>
    <row r="7">
      <c r="A7" s="22">
        <f>IFERROR(__xludf.DUMMYFUNCTION("""COMPUTED_VALUE"""),4.0)</f>
        <v>4</v>
      </c>
      <c r="B7" s="22" t="str">
        <f>IFERROR(__xludf.DUMMYFUNCTION("""COMPUTED_VALUE"""),"PXSX2")</f>
        <v>PXSX2</v>
      </c>
      <c r="C7" s="22" t="str">
        <f>IFERROR(__xludf.DUMMYFUNCTION("""COMPUTED_VALUE"""),"Ban giám đốc PXSX2")</f>
        <v>Ban giám đốc PXSX2</v>
      </c>
      <c r="D7" s="22" t="str">
        <f>IFERROR(__xludf.DUMMYFUNCTION("""COMPUTED_VALUE"""),"Bộ phận hành chính")</f>
        <v>Bộ phận hành chính</v>
      </c>
      <c r="E7" s="22" t="str">
        <f>IFERROR(__xludf.DUMMYFUNCTION("""COMPUTED_VALUE"""),"Phó giám đốc PXSX")</f>
        <v>Phó giám đốc PXSX</v>
      </c>
      <c r="F7" s="22" t="str">
        <f>IFERROR(__xludf.DUMMYFUNCTION("""COMPUTED_VALUE"""),"NV0453")</f>
        <v>NV0453</v>
      </c>
      <c r="G7" s="22">
        <f>IFERROR(__xludf.DUMMYFUNCTION("""COMPUTED_VALUE"""),520.0)</f>
        <v>520</v>
      </c>
      <c r="H7" s="22" t="str">
        <f>IFERROR(__xludf.DUMMYFUNCTION("""COMPUTED_VALUE"""),"Quách Văn Thường")</f>
        <v>Quách Văn Thường</v>
      </c>
      <c r="I7" s="22" t="str">
        <f>IFERROR(__xludf.DUMMYFUNCTION("""COMPUTED_VALUE"""),"Nam")</f>
        <v>Nam</v>
      </c>
      <c r="J7" s="24">
        <f>IFERROR(__xludf.DUMMYFUNCTION("""COMPUTED_VALUE"""),32629.0)</f>
        <v>32629</v>
      </c>
      <c r="K7" s="22" t="str">
        <f>IFERROR(__xludf.DUMMYFUNCTION("""COMPUTED_VALUE"""),"Ngõ 103 Đường Bạch Đằng -  Phố 5 - Phường Quảng Phú - Tỉnh Thanh Hóa")</f>
        <v>Ngõ 103 Đường Bạch Đằng -  Phố 5 - Phường Quảng Phú - Tỉnh Thanh Hóa</v>
      </c>
      <c r="L7" s="22" t="str">
        <f>IFERROR(__xludf.DUMMYFUNCTION("""COMPUTED_VALUE"""),"0987039836")</f>
        <v>0987039836</v>
      </c>
      <c r="M7" s="22" t="str">
        <f>IFERROR(__xludf.DUMMYFUNCTION("""COMPUTED_VALUE"""),"038089032225")</f>
        <v>038089032225</v>
      </c>
      <c r="N7" s="26">
        <f>IFERROR(__xludf.DUMMYFUNCTION("""COMPUTED_VALUE"""),44419.0)</f>
        <v>44419</v>
      </c>
      <c r="O7" s="22" t="str">
        <f>IFERROR(__xludf.DUMMYFUNCTION("""COMPUTED_VALUE"""),"Cục Cảnh sát QLHC về TTXH")</f>
        <v>Cục Cảnh sát QLHC về TTXH</v>
      </c>
      <c r="P7" s="22" t="str">
        <f>IFERROR(__xludf.DUMMYFUNCTION("""COMPUTED_VALUE"""),"Trung cấp")</f>
        <v>Trung cấp</v>
      </c>
      <c r="Q7" s="22" t="str">
        <f>IFERROR(__xludf.DUMMYFUNCTION("""COMPUTED_VALUE"""),"Điện xí nghiệp")</f>
        <v>Điện xí nghiệp</v>
      </c>
      <c r="R7" s="24">
        <f>IFERROR(__xludf.DUMMYFUNCTION("""COMPUTED_VALUE"""),40473.0)</f>
        <v>40473</v>
      </c>
      <c r="S7" s="24">
        <f>IFERROR(__xludf.DUMMYFUNCTION("""COMPUTED_VALUE"""),40473.0)</f>
        <v>40473</v>
      </c>
      <c r="T7" s="22" t="str">
        <f>IFERROR(__xludf.DUMMYFUNCTION("""COMPUTED_VALUE"""),"Chính thức")</f>
        <v>Chính thức</v>
      </c>
      <c r="U7" s="22"/>
      <c r="V7" s="22" t="str">
        <f>IFERROR(__xludf.DUMMYFUNCTION("""COMPUTED_VALUE"""),"Chính thức")</f>
        <v>Chính thức</v>
      </c>
      <c r="W7" s="22" t="str">
        <f>IFERROR(__xludf.DUMMYFUNCTION("""COMPUTED_VALUE"""),"15 năm 2 tháng")</f>
        <v>15 năm 2 tháng</v>
      </c>
      <c r="X7" s="22"/>
      <c r="Y7" s="22"/>
      <c r="Z7" s="22"/>
    </row>
    <row r="8">
      <c r="A8" s="22">
        <f>IFERROR(__xludf.DUMMYFUNCTION("""COMPUTED_VALUE"""),5.0)</f>
        <v>5</v>
      </c>
      <c r="B8" s="22" t="str">
        <f>IFERROR(__xludf.DUMMYFUNCTION("""COMPUTED_VALUE"""),"PXSX2")</f>
        <v>PXSX2</v>
      </c>
      <c r="C8" s="22" t="str">
        <f>IFERROR(__xludf.DUMMYFUNCTION("""COMPUTED_VALUE"""),"Ban giám đốc PXSX2")</f>
        <v>Ban giám đốc PXSX2</v>
      </c>
      <c r="D8" s="22" t="str">
        <f>IFERROR(__xludf.DUMMYFUNCTION("""COMPUTED_VALUE"""),"Bộ phận hành chính")</f>
        <v>Bộ phận hành chính</v>
      </c>
      <c r="E8" s="22" t="str">
        <f>IFERROR(__xludf.DUMMYFUNCTION("""COMPUTED_VALUE"""),"Phó giám đốc PXSX")</f>
        <v>Phó giám đốc PXSX</v>
      </c>
      <c r="F8" s="22" t="str">
        <f>IFERROR(__xludf.DUMMYFUNCTION("""COMPUTED_VALUE"""),"NV5719")</f>
        <v>NV5719</v>
      </c>
      <c r="G8" s="22">
        <f>IFERROR(__xludf.DUMMYFUNCTION("""COMPUTED_VALUE"""),1211.0)</f>
        <v>1211</v>
      </c>
      <c r="H8" s="22" t="str">
        <f>IFERROR(__xludf.DUMMYFUNCTION("""COMPUTED_VALUE"""),"Lê Văn Luận")</f>
        <v>Lê Văn Luận</v>
      </c>
      <c r="I8" s="22" t="str">
        <f>IFERROR(__xludf.DUMMYFUNCTION("""COMPUTED_VALUE"""),"Nam")</f>
        <v>Nam</v>
      </c>
      <c r="J8" s="24">
        <f>IFERROR(__xludf.DUMMYFUNCTION("""COMPUTED_VALUE"""),28347.0)</f>
        <v>28347</v>
      </c>
      <c r="K8" s="22" t="str">
        <f>IFERROR(__xludf.DUMMYFUNCTION("""COMPUTED_VALUE"""),"Phường Quảng Phú - Tỉnh Thanh Hóa")</f>
        <v>Phường Quảng Phú - Tỉnh Thanh Hóa</v>
      </c>
      <c r="L8" s="22" t="str">
        <f>IFERROR(__xludf.DUMMYFUNCTION("""COMPUTED_VALUE"""),"0586181999")</f>
        <v>0586181999</v>
      </c>
      <c r="M8" s="22" t="str">
        <f>IFERROR(__xludf.DUMMYFUNCTION("""COMPUTED_VALUE"""),"038077112297")</f>
        <v>038077112297</v>
      </c>
      <c r="N8" s="26">
        <f>IFERROR(__xludf.DUMMYFUNCTION("""COMPUTED_VALUE"""),44422.0)</f>
        <v>44422</v>
      </c>
      <c r="O8" s="22" t="str">
        <f>IFERROR(__xludf.DUMMYFUNCTION("""COMPUTED_VALUE"""),"Cục Cảnh sát QLHC về TTXH")</f>
        <v>Cục Cảnh sát QLHC về TTXH</v>
      </c>
      <c r="P8" s="22" t="str">
        <f>IFERROR(__xludf.DUMMYFUNCTION("""COMPUTED_VALUE"""),"Đại học")</f>
        <v>Đại học</v>
      </c>
      <c r="Q8" s="22" t="str">
        <f>IFERROR(__xludf.DUMMYFUNCTION("""COMPUTED_VALUE"""),"Cử nhân kinh tế")</f>
        <v>Cử nhân kinh tế</v>
      </c>
      <c r="R8" s="24">
        <f>IFERROR(__xludf.DUMMYFUNCTION("""COMPUTED_VALUE"""),45870.0)</f>
        <v>45870</v>
      </c>
      <c r="S8" s="24">
        <f>IFERROR(__xludf.DUMMYFUNCTION("""COMPUTED_VALUE"""),45923.0)</f>
        <v>45923</v>
      </c>
      <c r="T8" s="22" t="str">
        <f>IFERROR(__xludf.DUMMYFUNCTION("""COMPUTED_VALUE"""),"Chính thức")</f>
        <v>Chính thức</v>
      </c>
      <c r="U8" s="22"/>
      <c r="V8" s="22" t="str">
        <f>IFERROR(__xludf.DUMMYFUNCTION("""COMPUTED_VALUE"""),"Chính thức")</f>
        <v>Chính thức</v>
      </c>
      <c r="W8" s="22" t="str">
        <f>IFERROR(__xludf.DUMMYFUNCTION("""COMPUTED_VALUE"""),"0 năm 4 tháng")</f>
        <v>0 năm 4 tháng</v>
      </c>
      <c r="X8" s="22"/>
      <c r="Y8" s="22"/>
      <c r="Z8" s="22"/>
    </row>
    <row r="9">
      <c r="A9" s="22" t="str">
        <f>IFERROR(__xludf.DUMMYFUNCTION("""COMPUTED_VALUE"""),"2.")</f>
        <v>2.</v>
      </c>
      <c r="B9" s="22" t="str">
        <f>IFERROR(__xludf.DUMMYFUNCTION("""COMPUTED_VALUE"""),"Phó bộ phận PXSX2")</f>
        <v>Phó bộ phận PXSX2</v>
      </c>
      <c r="C9" s="22">
        <f>IFERROR(__xludf.DUMMYFUNCTION("""COMPUTED_VALUE"""),6.0)</f>
        <v>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>
        <f>IFERROR(__xludf.DUMMYFUNCTION("""COMPUTED_VALUE"""),1.0)</f>
        <v>1</v>
      </c>
      <c r="B10" s="22" t="str">
        <f>IFERROR(__xludf.DUMMYFUNCTION("""COMPUTED_VALUE"""),"DC5-PXSX2")</f>
        <v>DC5-PXSX2</v>
      </c>
      <c r="C10" s="22" t="str">
        <f>IFERROR(__xludf.DUMMYFUNCTION("""COMPUTED_VALUE"""),"Phó bộ phận PXSX2")</f>
        <v>Phó bộ phận PXSX2</v>
      </c>
      <c r="D10" s="22" t="str">
        <f>IFERROR(__xludf.DUMMYFUNCTION("""COMPUTED_VALUE"""),"Bộ phận hành chính")</f>
        <v>Bộ phận hành chính</v>
      </c>
      <c r="E10" s="22" t="str">
        <f>IFERROR(__xludf.DUMMYFUNCTION("""COMPUTED_VALUE"""),"Phó bộ phận - Phụ trách Dây chuyền gia công DC5")</f>
        <v>Phó bộ phận - Phụ trách Dây chuyền gia công DC5</v>
      </c>
      <c r="F10" s="22" t="str">
        <f>IFERROR(__xludf.DUMMYFUNCTION("""COMPUTED_VALUE"""),"NV0657")</f>
        <v>NV0657</v>
      </c>
      <c r="G10" s="22">
        <f>IFERROR(__xludf.DUMMYFUNCTION("""COMPUTED_VALUE"""),523.0)</f>
        <v>523</v>
      </c>
      <c r="H10" s="22" t="str">
        <f>IFERROR(__xludf.DUMMYFUNCTION("""COMPUTED_VALUE"""),"Nguyễn Văn Duẩn")</f>
        <v>Nguyễn Văn Duẩn</v>
      </c>
      <c r="I10" s="22" t="str">
        <f>IFERROR(__xludf.DUMMYFUNCTION("""COMPUTED_VALUE"""),"Nam")</f>
        <v>Nam</v>
      </c>
      <c r="J10" s="24">
        <f>IFERROR(__xludf.DUMMYFUNCTION("""COMPUTED_VALUE"""),32091.0)</f>
        <v>32091</v>
      </c>
      <c r="K10" s="22" t="str">
        <f>IFERROR(__xludf.DUMMYFUNCTION("""COMPUTED_VALUE"""),"Thôn 9 - Phường Đông Tiến - Tỉnh Thanh Hóa")</f>
        <v>Thôn 9 - Phường Đông Tiến - Tỉnh Thanh Hóa</v>
      </c>
      <c r="L10" s="22" t="str">
        <f>IFERROR(__xludf.DUMMYFUNCTION("""COMPUTED_VALUE"""),"0972134775")</f>
        <v>0972134775</v>
      </c>
      <c r="M10" s="22" t="str">
        <f>IFERROR(__xludf.DUMMYFUNCTION("""COMPUTED_VALUE"""),"038087022330")</f>
        <v>038087022330</v>
      </c>
      <c r="N10" s="26">
        <f>IFERROR(__xludf.DUMMYFUNCTION("""COMPUTED_VALUE"""),44090.0)</f>
        <v>44090</v>
      </c>
      <c r="O10" s="22" t="str">
        <f>IFERROR(__xludf.DUMMYFUNCTION("""COMPUTED_VALUE"""),"Cục Cảnh sát QLHC về TTXH")</f>
        <v>Cục Cảnh sát QLHC về TTXH</v>
      </c>
      <c r="P10" s="22" t="str">
        <f>IFERROR(__xludf.DUMMYFUNCTION("""COMPUTED_VALUE"""),"Cao đẳng")</f>
        <v>Cao đẳng</v>
      </c>
      <c r="Q10" s="22" t="str">
        <f>IFERROR(__xludf.DUMMYFUNCTION("""COMPUTED_VALUE"""),"Điện công nghiệp")</f>
        <v>Điện công nghiệp</v>
      </c>
      <c r="R10" s="24">
        <f>IFERROR(__xludf.DUMMYFUNCTION("""COMPUTED_VALUE"""),40342.0)</f>
        <v>40342</v>
      </c>
      <c r="S10" s="24">
        <f>IFERROR(__xludf.DUMMYFUNCTION("""COMPUTED_VALUE"""),40342.0)</f>
        <v>40342</v>
      </c>
      <c r="T10" s="22" t="str">
        <f>IFERROR(__xludf.DUMMYFUNCTION("""COMPUTED_VALUE"""),"Chính thức")</f>
        <v>Chính thức</v>
      </c>
      <c r="U10" s="22"/>
      <c r="V10" s="22" t="str">
        <f>IFERROR(__xludf.DUMMYFUNCTION("""COMPUTED_VALUE"""),"Chính thức")</f>
        <v>Chính thức</v>
      </c>
      <c r="W10" s="22" t="str">
        <f>IFERROR(__xludf.DUMMYFUNCTION("""COMPUTED_VALUE"""),"15 năm 6 tháng")</f>
        <v>15 năm 6 tháng</v>
      </c>
      <c r="X10" s="22"/>
      <c r="Y10" s="22"/>
      <c r="Z10" s="22"/>
    </row>
    <row r="11">
      <c r="A11" s="22">
        <f>IFERROR(__xludf.DUMMYFUNCTION("""COMPUTED_VALUE"""),2.0)</f>
        <v>2</v>
      </c>
      <c r="B11" s="22" t="str">
        <f>IFERROR(__xludf.DUMMYFUNCTION("""COMPUTED_VALUE"""),"PXSX2")</f>
        <v>PXSX2</v>
      </c>
      <c r="C11" s="22" t="str">
        <f>IFERROR(__xludf.DUMMYFUNCTION("""COMPUTED_VALUE"""),"Phó bộ phận PXSX2")</f>
        <v>Phó bộ phận PXSX2</v>
      </c>
      <c r="D11" s="22" t="str">
        <f>IFERROR(__xludf.DUMMYFUNCTION("""COMPUTED_VALUE"""),"Bộ phận hành chính")</f>
        <v>Bộ phận hành chính</v>
      </c>
      <c r="E11" s="22" t="str">
        <f>IFERROR(__xludf.DUMMYFUNCTION("""COMPUTED_VALUE"""),"Phó bộ phận - Phụ trách Nghiền sấy phun và DC gia công DC6")</f>
        <v>Phó bộ phận - Phụ trách Nghiền sấy phun và DC gia công DC6</v>
      </c>
      <c r="F11" s="22" t="str">
        <f>IFERROR(__xludf.DUMMYFUNCTION("""COMPUTED_VALUE"""),"NV0603")</f>
        <v>NV0603</v>
      </c>
      <c r="G11" s="22">
        <f>IFERROR(__xludf.DUMMYFUNCTION("""COMPUTED_VALUE"""),555.0)</f>
        <v>555</v>
      </c>
      <c r="H11" s="22" t="str">
        <f>IFERROR(__xludf.DUMMYFUNCTION("""COMPUTED_VALUE"""),"Phạm Đức Mạnh")</f>
        <v>Phạm Đức Mạnh</v>
      </c>
      <c r="I11" s="22" t="str">
        <f>IFERROR(__xludf.DUMMYFUNCTION("""COMPUTED_VALUE"""),"Nam")</f>
        <v>Nam</v>
      </c>
      <c r="J11" s="24">
        <f>IFERROR(__xludf.DUMMYFUNCTION("""COMPUTED_VALUE"""),29707.0)</f>
        <v>29707</v>
      </c>
      <c r="K11" s="22" t="str">
        <f>IFERROR(__xludf.DUMMYFUNCTION("""COMPUTED_VALUE"""),"Thôn 5 - Xã Tân Tiến - Tỉnh Thanh Hóa")</f>
        <v>Thôn 5 - Xã Tân Tiến - Tỉnh Thanh Hóa</v>
      </c>
      <c r="L11" s="22" t="str">
        <f>IFERROR(__xludf.DUMMYFUNCTION("""COMPUTED_VALUE"""),"0986987657")</f>
        <v>0986987657</v>
      </c>
      <c r="M11" s="22" t="str">
        <f>IFERROR(__xludf.DUMMYFUNCTION("""COMPUTED_VALUE"""),"038081000860")</f>
        <v>038081000860</v>
      </c>
      <c r="N11" s="26">
        <f>IFERROR(__xludf.DUMMYFUNCTION("""COMPUTED_VALUE"""),44461.0)</f>
        <v>44461</v>
      </c>
      <c r="O11" s="22" t="str">
        <f>IFERROR(__xludf.DUMMYFUNCTION("""COMPUTED_VALUE"""),"Cục Cảnh sát QLHC về TTXH")</f>
        <v>Cục Cảnh sát QLHC về TTXH</v>
      </c>
      <c r="P11" s="22" t="str">
        <f>IFERROR(__xludf.DUMMYFUNCTION("""COMPUTED_VALUE"""),"Kỹ sư")</f>
        <v>Kỹ sư</v>
      </c>
      <c r="Q11" s="22" t="str">
        <f>IFERROR(__xludf.DUMMYFUNCTION("""COMPUTED_VALUE"""),"Hệ thống điện")</f>
        <v>Hệ thống điện</v>
      </c>
      <c r="R11" s="24">
        <f>IFERROR(__xludf.DUMMYFUNCTION("""COMPUTED_VALUE"""),39295.0)</f>
        <v>39295</v>
      </c>
      <c r="S11" s="24">
        <f>IFERROR(__xludf.DUMMYFUNCTION("""COMPUTED_VALUE"""),39295.0)</f>
        <v>39295</v>
      </c>
      <c r="T11" s="22" t="str">
        <f>IFERROR(__xludf.DUMMYFUNCTION("""COMPUTED_VALUE"""),"Chính thức")</f>
        <v>Chính thức</v>
      </c>
      <c r="U11" s="22"/>
      <c r="V11" s="22" t="str">
        <f>IFERROR(__xludf.DUMMYFUNCTION("""COMPUTED_VALUE"""),"Chính thức")</f>
        <v>Chính thức</v>
      </c>
      <c r="W11" s="22" t="str">
        <f>IFERROR(__xludf.DUMMYFUNCTION("""COMPUTED_VALUE"""),"18 năm 4 tháng")</f>
        <v>18 năm 4 tháng</v>
      </c>
      <c r="X11" s="22"/>
      <c r="Y11" s="22"/>
      <c r="Z11" s="22"/>
    </row>
    <row r="12">
      <c r="A12" s="22">
        <f>IFERROR(__xludf.DUMMYFUNCTION("""COMPUTED_VALUE"""),3.0)</f>
        <v>3</v>
      </c>
      <c r="B12" s="22" t="str">
        <f>IFERROR(__xludf.DUMMYFUNCTION("""COMPUTED_VALUE"""),"PXSX2")</f>
        <v>PXSX2</v>
      </c>
      <c r="C12" s="22" t="str">
        <f>IFERROR(__xludf.DUMMYFUNCTION("""COMPUTED_VALUE"""),"Phó bộ phận PXSX2")</f>
        <v>Phó bộ phận PXSX2</v>
      </c>
      <c r="D12" s="22" t="str">
        <f>IFERROR(__xludf.DUMMYFUNCTION("""COMPUTED_VALUE"""),"Bộ phận hành chính")</f>
        <v>Bộ phận hành chính</v>
      </c>
      <c r="E12" s="22" t="str">
        <f>IFERROR(__xludf.DUMMYFUNCTION("""COMPUTED_VALUE"""),"Phó bộ phận - Phụ trách trạm than và Lò nung - Đóng hộp DC6")</f>
        <v>Phó bộ phận - Phụ trách trạm than và Lò nung - Đóng hộp DC6</v>
      </c>
      <c r="F12" s="22" t="str">
        <f>IFERROR(__xludf.DUMMYFUNCTION("""COMPUTED_VALUE"""),"NV0430")</f>
        <v>NV0430</v>
      </c>
      <c r="G12" s="22">
        <f>IFERROR(__xludf.DUMMYFUNCTION("""COMPUTED_VALUE"""),549.0)</f>
        <v>549</v>
      </c>
      <c r="H12" s="22" t="str">
        <f>IFERROR(__xludf.DUMMYFUNCTION("""COMPUTED_VALUE"""),"Lê Viết Trung")</f>
        <v>Lê Viết Trung</v>
      </c>
      <c r="I12" s="22" t="str">
        <f>IFERROR(__xludf.DUMMYFUNCTION("""COMPUTED_VALUE"""),"Nam")</f>
        <v>Nam</v>
      </c>
      <c r="J12" s="24">
        <f>IFERROR(__xludf.DUMMYFUNCTION("""COMPUTED_VALUE"""),30543.0)</f>
        <v>30543</v>
      </c>
      <c r="K12" s="22" t="str">
        <f>IFERROR(__xludf.DUMMYFUNCTION("""COMPUTED_VALUE"""),"Lô 212 MBQH 63 -  Phường Hàm Rồng - Tỉnh Thanh Hóa")</f>
        <v>Lô 212 MBQH 63 -  Phường Hàm Rồng - Tỉnh Thanh Hóa</v>
      </c>
      <c r="L12" s="22" t="str">
        <f>IFERROR(__xludf.DUMMYFUNCTION("""COMPUTED_VALUE"""),"0979215390")</f>
        <v>0979215390</v>
      </c>
      <c r="M12" s="22" t="str">
        <f>IFERROR(__xludf.DUMMYFUNCTION("""COMPUTED_VALUE"""),"038083002102")</f>
        <v>038083002102</v>
      </c>
      <c r="N12" s="26">
        <f>IFERROR(__xludf.DUMMYFUNCTION("""COMPUTED_VALUE"""),44461.0)</f>
        <v>44461</v>
      </c>
      <c r="O12" s="22" t="str">
        <f>IFERROR(__xludf.DUMMYFUNCTION("""COMPUTED_VALUE"""),"Cục Cảnh sát QLHC về TTXH")</f>
        <v>Cục Cảnh sát QLHC về TTXH</v>
      </c>
      <c r="P12" s="22" t="str">
        <f>IFERROR(__xludf.DUMMYFUNCTION("""COMPUTED_VALUE"""),"Cao đẳng")</f>
        <v>Cao đẳng</v>
      </c>
      <c r="Q12" s="22" t="str">
        <f>IFERROR(__xludf.DUMMYFUNCTION("""COMPUTED_VALUE"""),"Kỹ sư hóa Sillcat")</f>
        <v>Kỹ sư hóa Sillcat</v>
      </c>
      <c r="R12" s="24">
        <f>IFERROR(__xludf.DUMMYFUNCTION("""COMPUTED_VALUE"""),39115.0)</f>
        <v>39115</v>
      </c>
      <c r="S12" s="24">
        <f>IFERROR(__xludf.DUMMYFUNCTION("""COMPUTED_VALUE"""),39115.0)</f>
        <v>39115</v>
      </c>
      <c r="T12" s="22" t="str">
        <f>IFERROR(__xludf.DUMMYFUNCTION("""COMPUTED_VALUE"""),"Chính thức")</f>
        <v>Chính thức</v>
      </c>
      <c r="U12" s="22"/>
      <c r="V12" s="22" t="str">
        <f>IFERROR(__xludf.DUMMYFUNCTION("""COMPUTED_VALUE"""),"Chính thức")</f>
        <v>Chính thức</v>
      </c>
      <c r="W12" s="22" t="str">
        <f>IFERROR(__xludf.DUMMYFUNCTION("""COMPUTED_VALUE"""),"18 năm 10 tháng")</f>
        <v>18 năm 10 tháng</v>
      </c>
      <c r="X12" s="22"/>
      <c r="Y12" s="22"/>
      <c r="Z12" s="22"/>
    </row>
    <row r="13">
      <c r="A13" s="22">
        <f>IFERROR(__xludf.DUMMYFUNCTION("""COMPUTED_VALUE"""),4.0)</f>
        <v>4</v>
      </c>
      <c r="B13" s="22" t="str">
        <f>IFERROR(__xludf.DUMMYFUNCTION("""COMPUTED_VALUE"""),"DC5-PXSX2")</f>
        <v>DC5-PXSX2</v>
      </c>
      <c r="C13" s="22" t="str">
        <f>IFERROR(__xludf.DUMMYFUNCTION("""COMPUTED_VALUE"""),"Phó bộ phận PXSX2")</f>
        <v>Phó bộ phận PXSX2</v>
      </c>
      <c r="D13" s="22" t="str">
        <f>IFERROR(__xludf.DUMMYFUNCTION("""COMPUTED_VALUE"""),"Bộ phận hành chính")</f>
        <v>Bộ phận hành chính</v>
      </c>
      <c r="E13" s="22" t="str">
        <f>IFERROR(__xludf.DUMMYFUNCTION("""COMPUTED_VALUE"""),"Phó bộ phận - Phụ trách Mài và Đóng hộp DC5")</f>
        <v>Phó bộ phận - Phụ trách Mài và Đóng hộp DC5</v>
      </c>
      <c r="F13" s="22" t="str">
        <f>IFERROR(__xludf.DUMMYFUNCTION("""COMPUTED_VALUE"""),"NV4623")</f>
        <v>NV4623</v>
      </c>
      <c r="G13" s="22">
        <f>IFERROR(__xludf.DUMMYFUNCTION("""COMPUTED_VALUE"""),705.0)</f>
        <v>705</v>
      </c>
      <c r="H13" s="22" t="str">
        <f>IFERROR(__xludf.DUMMYFUNCTION("""COMPUTED_VALUE"""),"Nguyễn Trung Kiên")</f>
        <v>Nguyễn Trung Kiên</v>
      </c>
      <c r="I13" s="22" t="str">
        <f>IFERROR(__xludf.DUMMYFUNCTION("""COMPUTED_VALUE"""),"Nam")</f>
        <v>Nam</v>
      </c>
      <c r="J13" s="24">
        <f>IFERROR(__xludf.DUMMYFUNCTION("""COMPUTED_VALUE"""),31471.0)</f>
        <v>31471</v>
      </c>
      <c r="K13" s="22" t="str">
        <f>IFERROR(__xludf.DUMMYFUNCTION("""COMPUTED_VALUE"""),"Xã Quảng Yên - Tỉnh Thanh Hóa")</f>
        <v>Xã Quảng Yên - Tỉnh Thanh Hóa</v>
      </c>
      <c r="L13" s="22" t="str">
        <f>IFERROR(__xludf.DUMMYFUNCTION("""COMPUTED_VALUE"""),"0918408044")</f>
        <v>0918408044</v>
      </c>
      <c r="M13" s="22" t="str">
        <f>IFERROR(__xludf.DUMMYFUNCTION("""COMPUTED_VALUE"""),"038086033979")</f>
        <v>038086033979</v>
      </c>
      <c r="N13" s="26">
        <f>IFERROR(__xludf.DUMMYFUNCTION("""COMPUTED_VALUE"""),44423.0)</f>
        <v>44423</v>
      </c>
      <c r="O13" s="22" t="str">
        <f>IFERROR(__xludf.DUMMYFUNCTION("""COMPUTED_VALUE"""),"Cục Cảnh sát QLHC về TTXH")</f>
        <v>Cục Cảnh sát QLHC về TTXH</v>
      </c>
      <c r="P13" s="22" t="str">
        <f>IFERROR(__xludf.DUMMYFUNCTION("""COMPUTED_VALUE"""),"LĐPT")</f>
        <v>LĐPT</v>
      </c>
      <c r="Q13" s="22" t="str">
        <f>IFERROR(__xludf.DUMMYFUNCTION("""COMPUTED_VALUE"""),"Lao động phổ thông")</f>
        <v>Lao động phổ thông</v>
      </c>
      <c r="R13" s="24">
        <f>IFERROR(__xludf.DUMMYFUNCTION("""COMPUTED_VALUE"""),45109.0)</f>
        <v>45109</v>
      </c>
      <c r="S13" s="24">
        <f>IFERROR(__xludf.DUMMYFUNCTION("""COMPUTED_VALUE"""),45109.0)</f>
        <v>45109</v>
      </c>
      <c r="T13" s="22" t="str">
        <f>IFERROR(__xludf.DUMMYFUNCTION("""COMPUTED_VALUE"""),"Chính thức")</f>
        <v>Chính thức</v>
      </c>
      <c r="U13" s="22"/>
      <c r="V13" s="22" t="str">
        <f>IFERROR(__xludf.DUMMYFUNCTION("""COMPUTED_VALUE"""),"Chính thức")</f>
        <v>Chính thức</v>
      </c>
      <c r="W13" s="22" t="str">
        <f>IFERROR(__xludf.DUMMYFUNCTION("""COMPUTED_VALUE"""),"2 năm 5 tháng")</f>
        <v>2 năm 5 tháng</v>
      </c>
      <c r="X13" s="22"/>
      <c r="Y13" s="22"/>
      <c r="Z13" s="22"/>
    </row>
    <row r="14">
      <c r="A14" s="22">
        <f>IFERROR(__xludf.DUMMYFUNCTION("""COMPUTED_VALUE"""),5.0)</f>
        <v>5</v>
      </c>
      <c r="B14" s="22" t="str">
        <f>IFERROR(__xludf.DUMMYFUNCTION("""COMPUTED_VALUE"""),"DC5-PXSX2")</f>
        <v>DC5-PXSX2</v>
      </c>
      <c r="C14" s="22" t="str">
        <f>IFERROR(__xludf.DUMMYFUNCTION("""COMPUTED_VALUE"""),"Phó bộ phận PXSX2")</f>
        <v>Phó bộ phận PXSX2</v>
      </c>
      <c r="D14" s="22" t="str">
        <f>IFERROR(__xludf.DUMMYFUNCTION("""COMPUTED_VALUE"""),"Bộ phận hành chính")</f>
        <v>Bộ phận hành chính</v>
      </c>
      <c r="E14" s="22" t="str">
        <f>IFERROR(__xludf.DUMMYFUNCTION("""COMPUTED_VALUE"""),"Phó bộ phận - Phụ trách Lò nung DC5")</f>
        <v>Phó bộ phận - Phụ trách Lò nung DC5</v>
      </c>
      <c r="F14" s="22" t="str">
        <f>IFERROR(__xludf.DUMMYFUNCTION("""COMPUTED_VALUE"""),"NV0769")</f>
        <v>NV0769</v>
      </c>
      <c r="G14" s="22">
        <f>IFERROR(__xludf.DUMMYFUNCTION("""COMPUTED_VALUE"""),129.0)</f>
        <v>129</v>
      </c>
      <c r="H14" s="22" t="str">
        <f>IFERROR(__xludf.DUMMYFUNCTION("""COMPUTED_VALUE"""),"Đặng Viết Xứng")</f>
        <v>Đặng Viết Xứng</v>
      </c>
      <c r="I14" s="22" t="str">
        <f>IFERROR(__xludf.DUMMYFUNCTION("""COMPUTED_VALUE"""),"Nam")</f>
        <v>Nam</v>
      </c>
      <c r="J14" s="24">
        <f>IFERROR(__xludf.DUMMYFUNCTION("""COMPUTED_VALUE"""),31126.0)</f>
        <v>31126</v>
      </c>
      <c r="K14" s="22" t="str">
        <f>IFERROR(__xludf.DUMMYFUNCTION("""COMPUTED_VALUE"""),"Mỹ Khê -  Xã Quảng Trạch -  Huyện Quảng Xương - ")</f>
        <v>Mỹ Khê -  Xã Quảng Trạch -  Huyện Quảng Xương - </v>
      </c>
      <c r="L14" s="22" t="str">
        <f>IFERROR(__xludf.DUMMYFUNCTION("""COMPUTED_VALUE"""),"0776919666")</f>
        <v>0776919666</v>
      </c>
      <c r="M14" s="22" t="str">
        <f>IFERROR(__xludf.DUMMYFUNCTION("""COMPUTED_VALUE"""),"038085016013")</f>
        <v>038085016013</v>
      </c>
      <c r="N14" s="26">
        <f>IFERROR(__xludf.DUMMYFUNCTION("""COMPUTED_VALUE"""),44418.0)</f>
        <v>44418</v>
      </c>
      <c r="O14" s="22" t="str">
        <f>IFERROR(__xludf.DUMMYFUNCTION("""COMPUTED_VALUE"""),"Cục Cảnh sát QLHC về TTXH")</f>
        <v>Cục Cảnh sát QLHC về TTXH</v>
      </c>
      <c r="P14" s="22" t="str">
        <f>IFERROR(__xludf.DUMMYFUNCTION("""COMPUTED_VALUE"""),"Trung cấp, nghề")</f>
        <v>Trung cấp, nghề</v>
      </c>
      <c r="Q14" s="22" t="str">
        <f>IFERROR(__xludf.DUMMYFUNCTION("""COMPUTED_VALUE"""),"Thợ điện bậc 3/7")</f>
        <v>Thợ điện bậc 3/7</v>
      </c>
      <c r="R14" s="24">
        <f>IFERROR(__xludf.DUMMYFUNCTION("""COMPUTED_VALUE"""),38568.0)</f>
        <v>38568</v>
      </c>
      <c r="S14" s="24">
        <f>IFERROR(__xludf.DUMMYFUNCTION("""COMPUTED_VALUE"""),38568.0)</f>
        <v>38568</v>
      </c>
      <c r="T14" s="22" t="str">
        <f>IFERROR(__xludf.DUMMYFUNCTION("""COMPUTED_VALUE"""),"Chính thức")</f>
        <v>Chính thức</v>
      </c>
      <c r="U14" s="22"/>
      <c r="V14" s="22" t="str">
        <f>IFERROR(__xludf.DUMMYFUNCTION("""COMPUTED_VALUE"""),"Chính thức")</f>
        <v>Chính thức</v>
      </c>
      <c r="W14" s="22" t="str">
        <f>IFERROR(__xludf.DUMMYFUNCTION("""COMPUTED_VALUE"""),"20 năm 4 tháng")</f>
        <v>20 năm 4 tháng</v>
      </c>
      <c r="X14" s="22"/>
      <c r="Y14" s="22"/>
      <c r="Z14" s="22"/>
    </row>
    <row r="15">
      <c r="A15" s="22">
        <f>IFERROR(__xludf.DUMMYFUNCTION("""COMPUTED_VALUE"""),6.0)</f>
        <v>6</v>
      </c>
      <c r="B15" s="22" t="str">
        <f>IFERROR(__xludf.DUMMYFUNCTION("""COMPUTED_VALUE"""),"PXSX2")</f>
        <v>PXSX2</v>
      </c>
      <c r="C15" s="22" t="str">
        <f>IFERROR(__xludf.DUMMYFUNCTION("""COMPUTED_VALUE"""),"Phó bộ phận PXSX2")</f>
        <v>Phó bộ phận PXSX2</v>
      </c>
      <c r="D15" s="22" t="str">
        <f>IFERROR(__xludf.DUMMYFUNCTION("""COMPUTED_VALUE"""),"Bộ phận hành chính")</f>
        <v>Bộ phận hành chính</v>
      </c>
      <c r="E15" s="22" t="str">
        <f>IFERROR(__xludf.DUMMYFUNCTION("""COMPUTED_VALUE"""),"Phó bộ phận - Phụ trách  Nghiền sấy phun - Bộ phận nguyên liệu và dây chuyền")</f>
        <v>Phó bộ phận - Phụ trách  Nghiền sấy phun - Bộ phận nguyên liệu và dây chuyền</v>
      </c>
      <c r="F15" s="22" t="str">
        <f>IFERROR(__xludf.DUMMYFUNCTION("""COMPUTED_VALUE"""),"NV0275")</f>
        <v>NV0275</v>
      </c>
      <c r="G15" s="22">
        <f>IFERROR(__xludf.DUMMYFUNCTION("""COMPUTED_VALUE"""),220.0)</f>
        <v>220</v>
      </c>
      <c r="H15" s="22" t="str">
        <f>IFERROR(__xludf.DUMMYFUNCTION("""COMPUTED_VALUE"""),"Phan Văn Thắng")</f>
        <v>Phan Văn Thắng</v>
      </c>
      <c r="I15" s="22" t="str">
        <f>IFERROR(__xludf.DUMMYFUNCTION("""COMPUTED_VALUE"""),"Nam")</f>
        <v>Nam</v>
      </c>
      <c r="J15" s="24">
        <f>IFERROR(__xludf.DUMMYFUNCTION("""COMPUTED_VALUE"""),28963.0)</f>
        <v>28963</v>
      </c>
      <c r="K15" s="22" t="str">
        <f>IFERROR(__xludf.DUMMYFUNCTION("""COMPUTED_VALUE"""),"SN13/233 Phố 5 - Đường Bạch Đằng -  Xã Quảng Hưng -  Thành phố Thanh Hóa")</f>
        <v>SN13/233 Phố 5 - Đường Bạch Đằng -  Xã Quảng Hưng -  Thành phố Thanh Hóa</v>
      </c>
      <c r="L15" s="22" t="str">
        <f>IFERROR(__xludf.DUMMYFUNCTION("""COMPUTED_VALUE"""),"0977303383")</f>
        <v>0977303383</v>
      </c>
      <c r="M15" s="22" t="str">
        <f>IFERROR(__xludf.DUMMYFUNCTION("""COMPUTED_VALUE"""),"038079004246")</f>
        <v>038079004246</v>
      </c>
      <c r="N15" s="26">
        <f>IFERROR(__xludf.DUMMYFUNCTION("""COMPUTED_VALUE"""),42850.0)</f>
        <v>42850</v>
      </c>
      <c r="O15" s="22" t="str">
        <f>IFERROR(__xludf.DUMMYFUNCTION("""COMPUTED_VALUE"""),"Cục Cảnh sát QLHC về TTXH")</f>
        <v>Cục Cảnh sát QLHC về TTXH</v>
      </c>
      <c r="P15" s="22" t="str">
        <f>IFERROR(__xludf.DUMMYFUNCTION("""COMPUTED_VALUE"""),"Trung cấp")</f>
        <v>Trung cấp</v>
      </c>
      <c r="Q15" s="22" t="str">
        <f>IFERROR(__xludf.DUMMYFUNCTION("""COMPUTED_VALUE"""),"Điện công nghiệp")</f>
        <v>Điện công nghiệp</v>
      </c>
      <c r="R15" s="24">
        <f>IFERROR(__xludf.DUMMYFUNCTION("""COMPUTED_VALUE"""),36473.0)</f>
        <v>36473</v>
      </c>
      <c r="S15" s="24">
        <f>IFERROR(__xludf.DUMMYFUNCTION("""COMPUTED_VALUE"""),36473.0)</f>
        <v>36473</v>
      </c>
      <c r="T15" s="22" t="str">
        <f>IFERROR(__xludf.DUMMYFUNCTION("""COMPUTED_VALUE"""),"Chính thức")</f>
        <v>Chính thức</v>
      </c>
      <c r="U15" s="22"/>
      <c r="V15" s="22" t="str">
        <f>IFERROR(__xludf.DUMMYFUNCTION("""COMPUTED_VALUE"""),"Chính thức")</f>
        <v>Chính thức</v>
      </c>
      <c r="W15" s="22" t="str">
        <f>IFERROR(__xludf.DUMMYFUNCTION("""COMPUTED_VALUE"""),"26 năm 1 tháng")</f>
        <v>26 năm 1 tháng</v>
      </c>
      <c r="X15" s="22"/>
      <c r="Y15" s="22"/>
      <c r="Z15" s="22"/>
    </row>
    <row r="16">
      <c r="A16" s="22" t="str">
        <f>IFERROR(__xludf.DUMMYFUNCTION("""COMPUTED_VALUE"""),"3.")</f>
        <v>3.</v>
      </c>
      <c r="B16" s="22" t="str">
        <f>IFERROR(__xludf.DUMMYFUNCTION("""COMPUTED_VALUE"""),"Bộ phận Dây chuyền gia công và Lò nung")</f>
        <v>Bộ phận Dây chuyền gia công và Lò nung</v>
      </c>
      <c r="C16" s="22">
        <f>IFERROR(__xludf.DUMMYFUNCTION("""COMPUTED_VALUE"""),35.0)</f>
        <v>35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8">
        <f>IFERROR(__xludf.DUMMYFUNCTION("""COMPUTED_VALUE"""),45660.0)</f>
        <v>45660</v>
      </c>
      <c r="B17" s="22" t="str">
        <f>IFERROR(__xludf.DUMMYFUNCTION("""COMPUTED_VALUE"""),"Quản lý")</f>
        <v>Quản lý</v>
      </c>
      <c r="C17" s="22">
        <f>IFERROR(__xludf.DUMMYFUNCTION("""COMPUTED_VALUE"""),1.0)</f>
        <v>1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>
        <f>IFERROR(__xludf.DUMMYFUNCTION("""COMPUTED_VALUE"""),1.0)</f>
        <v>1</v>
      </c>
      <c r="B18" s="22" t="str">
        <f>IFERROR(__xludf.DUMMYFUNCTION("""COMPUTED_VALUE"""),"DC5-PXSX2")</f>
        <v>DC5-PXSX2</v>
      </c>
      <c r="C18" s="22" t="str">
        <f>IFERROR(__xludf.DUMMYFUNCTION("""COMPUTED_VALUE"""),"Bộ phận Dây chuyền gia công và Lò nung")</f>
        <v>Bộ phận Dây chuyền gia công và Lò nung</v>
      </c>
      <c r="D18" s="22" t="str">
        <f>IFERROR(__xludf.DUMMYFUNCTION("""COMPUTED_VALUE"""),"Quản lý")</f>
        <v>Quản lý</v>
      </c>
      <c r="E18" s="22" t="str">
        <f>IFERROR(__xludf.DUMMYFUNCTION("""COMPUTED_VALUE"""),"CBKT - Phụ trách Lò nung DC5")</f>
        <v>CBKT - Phụ trách Lò nung DC5</v>
      </c>
      <c r="F18" s="22" t="str">
        <f>IFERROR(__xludf.DUMMYFUNCTION("""COMPUTED_VALUE"""),"NV1329")</f>
        <v>NV1329</v>
      </c>
      <c r="G18" s="22">
        <f>IFERROR(__xludf.DUMMYFUNCTION("""COMPUTED_VALUE"""),521.0)</f>
        <v>521</v>
      </c>
      <c r="H18" s="22" t="str">
        <f>IFERROR(__xludf.DUMMYFUNCTION("""COMPUTED_VALUE"""),"Phạm Văn Toản")</f>
        <v>Phạm Văn Toản</v>
      </c>
      <c r="I18" s="22" t="str">
        <f>IFERROR(__xludf.DUMMYFUNCTION("""COMPUTED_VALUE"""),"Nam")</f>
        <v>Nam</v>
      </c>
      <c r="J18" s="24">
        <f>IFERROR(__xludf.DUMMYFUNCTION("""COMPUTED_VALUE"""),30914.0)</f>
        <v>30914</v>
      </c>
      <c r="K18" s="22" t="str">
        <f>IFERROR(__xludf.DUMMYFUNCTION("""COMPUTED_VALUE"""),"Phường Đông Sơn - Tỉnh Thanh Hóa")</f>
        <v>Phường Đông Sơn - Tỉnh Thanh Hóa</v>
      </c>
      <c r="L18" s="22" t="str">
        <f>IFERROR(__xludf.DUMMYFUNCTION("""COMPUTED_VALUE"""),"0986567948")</f>
        <v>0986567948</v>
      </c>
      <c r="M18" s="22" t="str">
        <f>IFERROR(__xludf.DUMMYFUNCTION("""COMPUTED_VALUE"""),"035084005107")</f>
        <v>035084005107</v>
      </c>
      <c r="N18" s="26">
        <f>IFERROR(__xludf.DUMMYFUNCTION("""COMPUTED_VALUE"""),43665.0)</f>
        <v>43665</v>
      </c>
      <c r="O18" s="22" t="str">
        <f>IFERROR(__xludf.DUMMYFUNCTION("""COMPUTED_VALUE"""),"Cục Cảnh sát QLHC về TTXH")</f>
        <v>Cục Cảnh sát QLHC về TTXH</v>
      </c>
      <c r="P18" s="22" t="str">
        <f>IFERROR(__xludf.DUMMYFUNCTION("""COMPUTED_VALUE"""),"Đại học")</f>
        <v>Đại học</v>
      </c>
      <c r="Q18" s="22" t="str">
        <f>IFERROR(__xludf.DUMMYFUNCTION("""COMPUTED_VALUE"""),"Kỹ sư tự động hóa")</f>
        <v>Kỹ sư tự động hóa</v>
      </c>
      <c r="R18" s="24">
        <f>IFERROR(__xludf.DUMMYFUNCTION("""COMPUTED_VALUE"""),43255.0)</f>
        <v>43255</v>
      </c>
      <c r="S18" s="24">
        <f>IFERROR(__xludf.DUMMYFUNCTION("""COMPUTED_VALUE"""),43470.0)</f>
        <v>43470</v>
      </c>
      <c r="T18" s="22" t="str">
        <f>IFERROR(__xludf.DUMMYFUNCTION("""COMPUTED_VALUE"""),"Chính thức")</f>
        <v>Chính thức</v>
      </c>
      <c r="U18" s="22"/>
      <c r="V18" s="22" t="str">
        <f>IFERROR(__xludf.DUMMYFUNCTION("""COMPUTED_VALUE"""),"Điều động")</f>
        <v>Điều động</v>
      </c>
      <c r="W18" s="22" t="str">
        <f>IFERROR(__xludf.DUMMYFUNCTION("""COMPUTED_VALUE"""),"7 năm 6 tháng")</f>
        <v>7 năm 6 tháng</v>
      </c>
      <c r="X18" s="22"/>
      <c r="Y18" s="22"/>
      <c r="Z18" s="22"/>
    </row>
    <row r="19">
      <c r="A19" s="22">
        <f>IFERROR(__xludf.DUMMYFUNCTION("""COMPUTED_VALUE"""),2.0)</f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8">
        <f>IFERROR(__xludf.DUMMYFUNCTION("""COMPUTED_VALUE"""),45691.0)</f>
        <v>45691</v>
      </c>
      <c r="B20" s="22" t="str">
        <f>IFERROR(__xludf.DUMMYFUNCTION("""COMPUTED_VALUE"""),"Dây chuyền gia công Ca A")</f>
        <v>Dây chuyền gia công Ca A</v>
      </c>
      <c r="C20" s="22">
        <f>IFERROR(__xludf.DUMMYFUNCTION("""COMPUTED_VALUE"""),9.0)</f>
        <v>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>
        <f>IFERROR(__xludf.DUMMYFUNCTION("""COMPUTED_VALUE"""),1.0)</f>
        <v>1</v>
      </c>
      <c r="B21" s="22" t="str">
        <f>IFERROR(__xludf.DUMMYFUNCTION("""COMPUTED_VALUE"""),"DC5-PXSX2")</f>
        <v>DC5-PXSX2</v>
      </c>
      <c r="C21" s="22" t="str">
        <f>IFERROR(__xludf.DUMMYFUNCTION("""COMPUTED_VALUE"""),"Bộ phận Dây chuyền gia công và Lò nung")</f>
        <v>Bộ phận Dây chuyền gia công và Lò nung</v>
      </c>
      <c r="D21" s="22" t="str">
        <f>IFERROR(__xludf.DUMMYFUNCTION("""COMPUTED_VALUE"""),"Dây chuyền gia công Ca A")</f>
        <v>Dây chuyền gia công Ca A</v>
      </c>
      <c r="E21" s="22" t="str">
        <f>IFERROR(__xludf.DUMMYFUNCTION("""COMPUTED_VALUE"""),"Tổ trưởng")</f>
        <v>Tổ trưởng</v>
      </c>
      <c r="F21" s="22" t="str">
        <f>IFERROR(__xludf.DUMMYFUNCTION("""COMPUTED_VALUE"""),"NV0659")</f>
        <v>NV0659</v>
      </c>
      <c r="G21" s="22">
        <f>IFERROR(__xludf.DUMMYFUNCTION("""COMPUTED_VALUE"""),507.0)</f>
        <v>507</v>
      </c>
      <c r="H21" s="22" t="str">
        <f>IFERROR(__xludf.DUMMYFUNCTION("""COMPUTED_VALUE"""),"Lê Duy Hùng")</f>
        <v>Lê Duy Hùng</v>
      </c>
      <c r="I21" s="22" t="str">
        <f>IFERROR(__xludf.DUMMYFUNCTION("""COMPUTED_VALUE"""),"Nam")</f>
        <v>Nam</v>
      </c>
      <c r="J21" s="24">
        <f>IFERROR(__xludf.DUMMYFUNCTION("""COMPUTED_VALUE"""),32278.0)</f>
        <v>32278</v>
      </c>
      <c r="K21" s="22" t="str">
        <f>IFERROR(__xludf.DUMMYFUNCTION("""COMPUTED_VALUE"""),"Xã Quảng Trạch -  Huyện Quảng Xương -  Thanh Hóa -  Việt Nam")</f>
        <v>Xã Quảng Trạch -  Huyện Quảng Xương -  Thanh Hóa -  Việt Nam</v>
      </c>
      <c r="L21" s="22" t="str">
        <f>IFERROR(__xludf.DUMMYFUNCTION("""COMPUTED_VALUE"""),"0987431169")</f>
        <v>0987431169</v>
      </c>
      <c r="M21" s="22" t="str">
        <f>IFERROR(__xludf.DUMMYFUNCTION("""COMPUTED_VALUE"""),"038088010923")</f>
        <v>038088010923</v>
      </c>
      <c r="N21" s="26">
        <f>IFERROR(__xludf.DUMMYFUNCTION("""COMPUTED_VALUE"""),44410.0)</f>
        <v>44410</v>
      </c>
      <c r="O21" s="22" t="str">
        <f>IFERROR(__xludf.DUMMYFUNCTION("""COMPUTED_VALUE"""),"Cục Cảnh sát QLHC về TTXH")</f>
        <v>Cục Cảnh sát QLHC về TTXH</v>
      </c>
      <c r="P21" s="22" t="str">
        <f>IFERROR(__xludf.DUMMYFUNCTION("""COMPUTED_VALUE"""),"LĐPT")</f>
        <v>LĐPT</v>
      </c>
      <c r="Q21" s="22" t="str">
        <f>IFERROR(__xludf.DUMMYFUNCTION("""COMPUTED_VALUE"""),"Lao động phổ thông")</f>
        <v>Lao động phổ thông</v>
      </c>
      <c r="R21" s="24">
        <f>IFERROR(__xludf.DUMMYFUNCTION("""COMPUTED_VALUE"""),39326.0)</f>
        <v>39326</v>
      </c>
      <c r="S21" s="24">
        <f>IFERROR(__xludf.DUMMYFUNCTION("""COMPUTED_VALUE"""),39326.0)</f>
        <v>39326</v>
      </c>
      <c r="T21" s="22" t="str">
        <f>IFERROR(__xludf.DUMMYFUNCTION("""COMPUTED_VALUE"""),"Chính thức")</f>
        <v>Chính thức</v>
      </c>
      <c r="U21" s="22"/>
      <c r="V21" s="22" t="str">
        <f>IFERROR(__xludf.DUMMYFUNCTION("""COMPUTED_VALUE"""),"Chính thức")</f>
        <v>Chính thức</v>
      </c>
      <c r="W21" s="22" t="str">
        <f>IFERROR(__xludf.DUMMYFUNCTION("""COMPUTED_VALUE"""),"18 năm 3 tháng")</f>
        <v>18 năm 3 tháng</v>
      </c>
      <c r="X21" s="22"/>
      <c r="Y21" s="22"/>
      <c r="Z21" s="22"/>
    </row>
    <row r="22">
      <c r="A22" s="22">
        <f>IFERROR(__xludf.DUMMYFUNCTION("""COMPUTED_VALUE"""),2.0)</f>
        <v>2</v>
      </c>
      <c r="B22" s="22" t="str">
        <f>IFERROR(__xludf.DUMMYFUNCTION("""COMPUTED_VALUE"""),"DC5-PXSX2")</f>
        <v>DC5-PXSX2</v>
      </c>
      <c r="C22" s="22" t="str">
        <f>IFERROR(__xludf.DUMMYFUNCTION("""COMPUTED_VALUE"""),"Bộ phận Dây chuyền gia công và Lò nung")</f>
        <v>Bộ phận Dây chuyền gia công và Lò nung</v>
      </c>
      <c r="D22" s="22" t="str">
        <f>IFERROR(__xludf.DUMMYFUNCTION("""COMPUTED_VALUE"""),"Dây chuyền gia công Ca A")</f>
        <v>Dây chuyền gia công Ca A</v>
      </c>
      <c r="E22" s="22" t="str">
        <f>IFERROR(__xludf.DUMMYFUNCTION("""COMPUTED_VALUE"""),"VHC máy ép")</f>
        <v>VHC máy ép</v>
      </c>
      <c r="F22" s="22" t="str">
        <f>IFERROR(__xludf.DUMMYFUNCTION("""COMPUTED_VALUE"""),"NV1261")</f>
        <v>NV1261</v>
      </c>
      <c r="G22" s="22">
        <f>IFERROR(__xludf.DUMMYFUNCTION("""COMPUTED_VALUE"""),846.0)</f>
        <v>846</v>
      </c>
      <c r="H22" s="22" t="str">
        <f>IFERROR(__xludf.DUMMYFUNCTION("""COMPUTED_VALUE"""),"Trương Quốc Cường")</f>
        <v>Trương Quốc Cường</v>
      </c>
      <c r="I22" s="22" t="str">
        <f>IFERROR(__xludf.DUMMYFUNCTION("""COMPUTED_VALUE"""),"Nam")</f>
        <v>Nam</v>
      </c>
      <c r="J22" s="24">
        <f>IFERROR(__xludf.DUMMYFUNCTION("""COMPUTED_VALUE"""),33144.0)</f>
        <v>33144</v>
      </c>
      <c r="K22" s="22" t="str">
        <f>IFERROR(__xludf.DUMMYFUNCTION("""COMPUTED_VALUE"""),"03 Phạm Bành -  Phường Ba Đình -  Thành phố Thanh Hóa -  Thanh Hóa -  Việt Nam")</f>
        <v>03 Phạm Bành -  Phường Ba Đình -  Thành phố Thanh Hóa -  Thanh Hóa -  Việt Nam</v>
      </c>
      <c r="L22" s="22" t="str">
        <f>IFERROR(__xludf.DUMMYFUNCTION("""COMPUTED_VALUE"""),"0912460817")</f>
        <v>0912460817</v>
      </c>
      <c r="M22" s="22" t="str">
        <f>IFERROR(__xludf.DUMMYFUNCTION("""COMPUTED_VALUE"""),"038090029996")</f>
        <v>038090029996</v>
      </c>
      <c r="N22" s="26">
        <f>IFERROR(__xludf.DUMMYFUNCTION("""COMPUTED_VALUE"""),44435.0)</f>
        <v>44435</v>
      </c>
      <c r="O22" s="22" t="str">
        <f>IFERROR(__xludf.DUMMYFUNCTION("""COMPUTED_VALUE"""),"Cục Cảnh sát QLHC về TTXH")</f>
        <v>Cục Cảnh sát QLHC về TTXH</v>
      </c>
      <c r="P22" s="22" t="str">
        <f>IFERROR(__xludf.DUMMYFUNCTION("""COMPUTED_VALUE"""),"LĐPT")</f>
        <v>LĐPT</v>
      </c>
      <c r="Q22" s="22" t="str">
        <f>IFERROR(__xludf.DUMMYFUNCTION("""COMPUTED_VALUE"""),"Lao động phổ thông")</f>
        <v>Lao động phổ thông</v>
      </c>
      <c r="R22" s="24">
        <f>IFERROR(__xludf.DUMMYFUNCTION("""COMPUTED_VALUE"""),45701.0)</f>
        <v>45701</v>
      </c>
      <c r="S22" s="24">
        <f>IFERROR(__xludf.DUMMYFUNCTION("""COMPUTED_VALUE"""),45701.0)</f>
        <v>45701</v>
      </c>
      <c r="T22" s="22" t="str">
        <f>IFERROR(__xludf.DUMMYFUNCTION("""COMPUTED_VALUE"""),"Chính thức")</f>
        <v>Chính thức</v>
      </c>
      <c r="U22" s="22"/>
      <c r="V22" s="22" t="str">
        <f>IFERROR(__xludf.DUMMYFUNCTION("""COMPUTED_VALUE"""),"Chính thức")</f>
        <v>Chính thức</v>
      </c>
      <c r="W22" s="22" t="str">
        <f>IFERROR(__xludf.DUMMYFUNCTION("""COMPUTED_VALUE"""),"0 năm 10 tháng")</f>
        <v>0 năm 10 tháng</v>
      </c>
      <c r="X22" s="22"/>
      <c r="Y22" s="22"/>
      <c r="Z22" s="22"/>
    </row>
    <row r="23">
      <c r="A23" s="22">
        <f>IFERROR(__xludf.DUMMYFUNCTION("""COMPUTED_VALUE"""),3.0)</f>
        <v>3</v>
      </c>
      <c r="B23" s="22" t="str">
        <f>IFERROR(__xludf.DUMMYFUNCTION("""COMPUTED_VALUE"""),"DC5-PXSX2")</f>
        <v>DC5-PXSX2</v>
      </c>
      <c r="C23" s="22" t="str">
        <f>IFERROR(__xludf.DUMMYFUNCTION("""COMPUTED_VALUE"""),"Bộ phận Dây chuyền gia công và Lò nung")</f>
        <v>Bộ phận Dây chuyền gia công và Lò nung</v>
      </c>
      <c r="D23" s="22" t="str">
        <f>IFERROR(__xludf.DUMMYFUNCTION("""COMPUTED_VALUE"""),"Dây chuyền gia công Ca A")</f>
        <v>Dây chuyền gia công Ca A</v>
      </c>
      <c r="E23" s="22" t="str">
        <f>IFERROR(__xludf.DUMMYFUNCTION("""COMPUTED_VALUE"""),"VH Bù đầu lò")</f>
        <v>VH Bù đầu lò</v>
      </c>
      <c r="F23" s="22" t="str">
        <f>IFERROR(__xludf.DUMMYFUNCTION("""COMPUTED_VALUE"""),"NV1100")</f>
        <v>NV1100</v>
      </c>
      <c r="G23" s="22">
        <f>IFERROR(__xludf.DUMMYFUNCTION("""COMPUTED_VALUE"""),367.0)</f>
        <v>367</v>
      </c>
      <c r="H23" s="22" t="str">
        <f>IFERROR(__xludf.DUMMYFUNCTION("""COMPUTED_VALUE"""),"Lê Văn Tuân")</f>
        <v>Lê Văn Tuân</v>
      </c>
      <c r="I23" s="22" t="str">
        <f>IFERROR(__xludf.DUMMYFUNCTION("""COMPUTED_VALUE"""),"Nam")</f>
        <v>Nam</v>
      </c>
      <c r="J23" s="24">
        <f>IFERROR(__xludf.DUMMYFUNCTION("""COMPUTED_VALUE"""),32767.0)</f>
        <v>32767</v>
      </c>
      <c r="K23" s="22" t="str">
        <f>IFERROR(__xludf.DUMMYFUNCTION("""COMPUTED_VALUE"""),"Xã Hoằng Thành -  Huyện Hoằng Hóa -  Thanh Hóa")</f>
        <v>Xã Hoằng Thành -  Huyện Hoằng Hóa -  Thanh Hóa</v>
      </c>
      <c r="L23" s="22" t="str">
        <f>IFERROR(__xludf.DUMMYFUNCTION("""COMPUTED_VALUE"""),"0398406784")</f>
        <v>0398406784</v>
      </c>
      <c r="M23" s="22" t="str">
        <f>IFERROR(__xludf.DUMMYFUNCTION("""COMPUTED_VALUE"""),"038089050920")</f>
        <v>038089050920</v>
      </c>
      <c r="N23" s="26">
        <f>IFERROR(__xludf.DUMMYFUNCTION("""COMPUTED_VALUE"""),44440.0)</f>
        <v>44440</v>
      </c>
      <c r="O23" s="22" t="str">
        <f>IFERROR(__xludf.DUMMYFUNCTION("""COMPUTED_VALUE"""),"Cục Cảnh sát QLHC về TTXH")</f>
        <v>Cục Cảnh sát QLHC về TTXH</v>
      </c>
      <c r="P23" s="22" t="str">
        <f>IFERROR(__xludf.DUMMYFUNCTION("""COMPUTED_VALUE"""),"Lao động phổ thông")</f>
        <v>Lao động phổ thông</v>
      </c>
      <c r="Q23" s="22" t="str">
        <f>IFERROR(__xludf.DUMMYFUNCTION("""COMPUTED_VALUE"""),"Lao động phổ thông")</f>
        <v>Lao động phổ thông</v>
      </c>
      <c r="R23" s="24">
        <f>IFERROR(__xludf.DUMMYFUNCTION("""COMPUTED_VALUE"""),44292.0)</f>
        <v>44292</v>
      </c>
      <c r="S23" s="24">
        <f>IFERROR(__xludf.DUMMYFUNCTION("""COMPUTED_VALUE"""),44621.0)</f>
        <v>44621</v>
      </c>
      <c r="T23" s="22" t="str">
        <f>IFERROR(__xludf.DUMMYFUNCTION("""COMPUTED_VALUE"""),"Chính thức")</f>
        <v>Chính thức</v>
      </c>
      <c r="U23" s="22"/>
      <c r="V23" s="22" t="str">
        <f>IFERROR(__xludf.DUMMYFUNCTION("""COMPUTED_VALUE"""),"Chính thức")</f>
        <v>Chính thức</v>
      </c>
      <c r="W23" s="22" t="str">
        <f>IFERROR(__xludf.DUMMYFUNCTION("""COMPUTED_VALUE"""),"4 năm 8 tháng")</f>
        <v>4 năm 8 tháng</v>
      </c>
      <c r="X23" s="22"/>
      <c r="Y23" s="22"/>
      <c r="Z23" s="22"/>
    </row>
    <row r="24">
      <c r="A24" s="22">
        <f>IFERROR(__xludf.DUMMYFUNCTION("""COMPUTED_VALUE"""),4.0)</f>
        <v>4</v>
      </c>
      <c r="B24" s="22" t="str">
        <f>IFERROR(__xludf.DUMMYFUNCTION("""COMPUTED_VALUE"""),"DC5-PXSX2")</f>
        <v>DC5-PXSX2</v>
      </c>
      <c r="C24" s="22" t="str">
        <f>IFERROR(__xludf.DUMMYFUNCTION("""COMPUTED_VALUE"""),"Bộ phận Dây chuyền gia công và Lò nung")</f>
        <v>Bộ phận Dây chuyền gia công và Lò nung</v>
      </c>
      <c r="D24" s="22" t="str">
        <f>IFERROR(__xludf.DUMMYFUNCTION("""COMPUTED_VALUE"""),"Dây chuyền gia công Ca A")</f>
        <v>Dây chuyền gia công Ca A</v>
      </c>
      <c r="E24" s="22" t="str">
        <f>IFERROR(__xludf.DUMMYFUNCTION("""COMPUTED_VALUE"""),"VH máy ép")</f>
        <v>VH máy ép</v>
      </c>
      <c r="F24" s="22" t="str">
        <f>IFERROR(__xludf.DUMMYFUNCTION("""COMPUTED_VALUE"""),"NV0480")</f>
        <v>NV0480</v>
      </c>
      <c r="G24" s="22">
        <f>IFERROR(__xludf.DUMMYFUNCTION("""COMPUTED_VALUE"""),452.0)</f>
        <v>452</v>
      </c>
      <c r="H24" s="22" t="str">
        <f>IFERROR(__xludf.DUMMYFUNCTION("""COMPUTED_VALUE"""),"Cao Văn Tân")</f>
        <v>Cao Văn Tân</v>
      </c>
      <c r="I24" s="22" t="str">
        <f>IFERROR(__xludf.DUMMYFUNCTION("""COMPUTED_VALUE"""),"Nam")</f>
        <v>Nam</v>
      </c>
      <c r="J24" s="24">
        <f>IFERROR(__xludf.DUMMYFUNCTION("""COMPUTED_VALUE"""),33719.0)</f>
        <v>33719</v>
      </c>
      <c r="K24" s="22" t="str">
        <f>IFERROR(__xludf.DUMMYFUNCTION("""COMPUTED_VALUE"""),"Xã Quảng Đại -  Huyện Quảng Xương -  Tỉnh Thanh Hóa")</f>
        <v>Xã Quảng Đại -  Huyện Quảng Xương -  Tỉnh Thanh Hóa</v>
      </c>
      <c r="L24" s="22" t="str">
        <f>IFERROR(__xludf.DUMMYFUNCTION("""COMPUTED_VALUE"""),"0982784670")</f>
        <v>0982784670</v>
      </c>
      <c r="M24" s="22" t="str">
        <f>IFERROR(__xludf.DUMMYFUNCTION("""COMPUTED_VALUE"""),"038092032710")</f>
        <v>038092032710</v>
      </c>
      <c r="N24" s="26">
        <f>IFERROR(__xludf.DUMMYFUNCTION("""COMPUTED_VALUE"""),44428.0)</f>
        <v>44428</v>
      </c>
      <c r="O24" s="22" t="str">
        <f>IFERROR(__xludf.DUMMYFUNCTION("""COMPUTED_VALUE"""),"Cục Cảnh sát QLHC về TTXH")</f>
        <v>Cục Cảnh sát QLHC về TTXH</v>
      </c>
      <c r="P24" s="22" t="str">
        <f>IFERROR(__xludf.DUMMYFUNCTION("""COMPUTED_VALUE"""),"LĐPT")</f>
        <v>LĐPT</v>
      </c>
      <c r="Q24" s="22" t="str">
        <f>IFERROR(__xludf.DUMMYFUNCTION("""COMPUTED_VALUE"""),"Lao động phổ thông")</f>
        <v>Lao động phổ thông</v>
      </c>
      <c r="R24" s="24">
        <f>IFERROR(__xludf.DUMMYFUNCTION("""COMPUTED_VALUE"""),44609.0)</f>
        <v>44609</v>
      </c>
      <c r="S24" s="24">
        <f>IFERROR(__xludf.DUMMYFUNCTION("""COMPUTED_VALUE"""),45292.0)</f>
        <v>45292</v>
      </c>
      <c r="T24" s="22" t="str">
        <f>IFERROR(__xludf.DUMMYFUNCTION("""COMPUTED_VALUE"""),"Chính thức")</f>
        <v>Chính thức</v>
      </c>
      <c r="U24" s="22"/>
      <c r="V24" s="22" t="str">
        <f>IFERROR(__xludf.DUMMYFUNCTION("""COMPUTED_VALUE"""),"Chính thức")</f>
        <v>Chính thức</v>
      </c>
      <c r="W24" s="22" t="str">
        <f>IFERROR(__xludf.DUMMYFUNCTION("""COMPUTED_VALUE"""),"3 năm 10 tháng")</f>
        <v>3 năm 10 tháng</v>
      </c>
      <c r="X24" s="22"/>
      <c r="Y24" s="22"/>
      <c r="Z24" s="22"/>
    </row>
    <row r="25">
      <c r="A25" s="22">
        <f>IFERROR(__xludf.DUMMYFUNCTION("""COMPUTED_VALUE"""),5.0)</f>
        <v>5</v>
      </c>
      <c r="B25" s="22" t="str">
        <f>IFERROR(__xludf.DUMMYFUNCTION("""COMPUTED_VALUE"""),"DC5-PXSX2")</f>
        <v>DC5-PXSX2</v>
      </c>
      <c r="C25" s="22" t="str">
        <f>IFERROR(__xludf.DUMMYFUNCTION("""COMPUTED_VALUE"""),"Bộ phận Dây chuyền gia công và Lò nung")</f>
        <v>Bộ phận Dây chuyền gia công và Lò nung</v>
      </c>
      <c r="D25" s="22" t="str">
        <f>IFERROR(__xludf.DUMMYFUNCTION("""COMPUTED_VALUE"""),"Dây chuyền gia công Ca A")</f>
        <v>Dây chuyền gia công Ca A</v>
      </c>
      <c r="E25" s="22" t="str">
        <f>IFERROR(__xludf.DUMMYFUNCTION("""COMPUTED_VALUE"""),"VHC tráng Engobe")</f>
        <v>VHC tráng Engobe</v>
      </c>
      <c r="F25" s="22" t="str">
        <f>IFERROR(__xludf.DUMMYFUNCTION("""COMPUTED_VALUE"""),"NV2148")</f>
        <v>NV2148</v>
      </c>
      <c r="G25" s="22">
        <f>IFERROR(__xludf.DUMMYFUNCTION("""COMPUTED_VALUE"""),478.0)</f>
        <v>478</v>
      </c>
      <c r="H25" s="22" t="str">
        <f>IFERROR(__xludf.DUMMYFUNCTION("""COMPUTED_VALUE"""),"Lê Đình Lâm")</f>
        <v>Lê Đình Lâm</v>
      </c>
      <c r="I25" s="22" t="str">
        <f>IFERROR(__xludf.DUMMYFUNCTION("""COMPUTED_VALUE"""),"Nam")</f>
        <v>Nam</v>
      </c>
      <c r="J25" s="24">
        <f>IFERROR(__xludf.DUMMYFUNCTION("""COMPUTED_VALUE"""),32939.0)</f>
        <v>32939</v>
      </c>
      <c r="K25" s="22" t="str">
        <f>IFERROR(__xludf.DUMMYFUNCTION("""COMPUTED_VALUE"""),"Thôn 3 -  Xã Hoằng Châu -  Huyện Hoằng Hóa -  Thanh Hóa")</f>
        <v>Thôn 3 -  Xã Hoằng Châu -  Huyện Hoằng Hóa -  Thanh Hóa</v>
      </c>
      <c r="L25" s="22" t="str">
        <f>IFERROR(__xludf.DUMMYFUNCTION("""COMPUTED_VALUE"""),"0925790302")</f>
        <v>0925790302</v>
      </c>
      <c r="M25" s="22" t="str">
        <f>IFERROR(__xludf.DUMMYFUNCTION("""COMPUTED_VALUE"""),"038090019349")</f>
        <v>038090019349</v>
      </c>
      <c r="N25" s="26">
        <f>IFERROR(__xludf.DUMMYFUNCTION("""COMPUTED_VALUE"""),43767.0)</f>
        <v>43767</v>
      </c>
      <c r="O25" s="22" t="str">
        <f>IFERROR(__xludf.DUMMYFUNCTION("""COMPUTED_VALUE"""),"Cục Cảnh sát QLHC về TTXH")</f>
        <v>Cục Cảnh sát QLHC về TTXH</v>
      </c>
      <c r="P25" s="22" t="str">
        <f>IFERROR(__xludf.DUMMYFUNCTION("""COMPUTED_VALUE"""),"Trung cấp, nghề")</f>
        <v>Trung cấp, nghề</v>
      </c>
      <c r="Q25" s="22" t="str">
        <f>IFERROR(__xludf.DUMMYFUNCTION("""COMPUTED_VALUE"""),"Điện công nghiệp và dân dụng")</f>
        <v>Điện công nghiệp và dân dụng</v>
      </c>
      <c r="R25" s="24">
        <f>IFERROR(__xludf.DUMMYFUNCTION("""COMPUTED_VALUE"""),43514.0)</f>
        <v>43514</v>
      </c>
      <c r="S25" s="24">
        <f>IFERROR(__xludf.DUMMYFUNCTION("""COMPUTED_VALUE"""),43800.0)</f>
        <v>43800</v>
      </c>
      <c r="T25" s="22" t="str">
        <f>IFERROR(__xludf.DUMMYFUNCTION("""COMPUTED_VALUE"""),"Chính thức")</f>
        <v>Chính thức</v>
      </c>
      <c r="U25" s="22"/>
      <c r="V25" s="22" t="str">
        <f>IFERROR(__xludf.DUMMYFUNCTION("""COMPUTED_VALUE"""),"Chính thức")</f>
        <v>Chính thức</v>
      </c>
      <c r="W25" s="22" t="str">
        <f>IFERROR(__xludf.DUMMYFUNCTION("""COMPUTED_VALUE"""),"6 năm 10 tháng")</f>
        <v>6 năm 10 tháng</v>
      </c>
      <c r="X25" s="22"/>
      <c r="Y25" s="22"/>
      <c r="Z25" s="22"/>
    </row>
    <row r="26">
      <c r="A26" s="22">
        <f>IFERROR(__xludf.DUMMYFUNCTION("""COMPUTED_VALUE"""),6.0)</f>
        <v>6</v>
      </c>
      <c r="B26" s="22" t="str">
        <f>IFERROR(__xludf.DUMMYFUNCTION("""COMPUTED_VALUE"""),"DC5-PXSX2")</f>
        <v>DC5-PXSX2</v>
      </c>
      <c r="C26" s="22" t="str">
        <f>IFERROR(__xludf.DUMMYFUNCTION("""COMPUTED_VALUE"""),"Bộ phận Dây chuyền gia công và Lò nung")</f>
        <v>Bộ phận Dây chuyền gia công và Lò nung</v>
      </c>
      <c r="D26" s="22" t="str">
        <f>IFERROR(__xludf.DUMMYFUNCTION("""COMPUTED_VALUE"""),"Dây chuyền gia công Ca A")</f>
        <v>Dây chuyền gia công Ca A</v>
      </c>
      <c r="E26" s="22" t="str">
        <f>IFERROR(__xludf.DUMMYFUNCTION("""COMPUTED_VALUE"""),"VH gắp gạch")</f>
        <v>VH gắp gạch</v>
      </c>
      <c r="F26" s="22" t="str">
        <f>IFERROR(__xludf.DUMMYFUNCTION("""COMPUTED_VALUE"""),"NV5047")</f>
        <v>NV5047</v>
      </c>
      <c r="G26" s="22">
        <f>IFERROR(__xludf.DUMMYFUNCTION("""COMPUTED_VALUE"""),504.0)</f>
        <v>504</v>
      </c>
      <c r="H26" s="22" t="str">
        <f>IFERROR(__xludf.DUMMYFUNCTION("""COMPUTED_VALUE"""),"Lê Hữu Thanh")</f>
        <v>Lê Hữu Thanh</v>
      </c>
      <c r="I26" s="22" t="str">
        <f>IFERROR(__xludf.DUMMYFUNCTION("""COMPUTED_VALUE"""),"Nam")</f>
        <v>Nam</v>
      </c>
      <c r="J26" s="24">
        <f>IFERROR(__xludf.DUMMYFUNCTION("""COMPUTED_VALUE"""),32865.0)</f>
        <v>32865</v>
      </c>
      <c r="K26" s="22" t="str">
        <f>IFERROR(__xludf.DUMMYFUNCTION("""COMPUTED_VALUE"""),"15/6 Lê Văn Hưu -  Phường Tân Sơn -  thành phố Thanh Hóa")</f>
        <v>15/6 Lê Văn Hưu -  Phường Tân Sơn -  thành phố Thanh Hóa</v>
      </c>
      <c r="L26" s="22" t="str">
        <f>IFERROR(__xludf.DUMMYFUNCTION("""COMPUTED_VALUE"""),"0934683900")</f>
        <v>0934683900</v>
      </c>
      <c r="M26" s="22" t="str">
        <f>IFERROR(__xludf.DUMMYFUNCTION("""COMPUTED_VALUE"""),"038089003163")</f>
        <v>038089003163</v>
      </c>
      <c r="N26" s="26">
        <f>IFERROR(__xludf.DUMMYFUNCTION("""COMPUTED_VALUE"""),44534.0)</f>
        <v>44534</v>
      </c>
      <c r="O26" s="22" t="str">
        <f>IFERROR(__xludf.DUMMYFUNCTION("""COMPUTED_VALUE"""),"Cục Cảnh sát QLHC về TTXH")</f>
        <v>Cục Cảnh sát QLHC về TTXH</v>
      </c>
      <c r="P26" s="22" t="str">
        <f>IFERROR(__xludf.DUMMYFUNCTION("""COMPUTED_VALUE"""),"Trung học chuyên nghiệp")</f>
        <v>Trung học chuyên nghiệp</v>
      </c>
      <c r="Q26" s="22" t="str">
        <f>IFERROR(__xludf.DUMMYFUNCTION("""COMPUTED_VALUE"""),"Trác địa")</f>
        <v>Trác địa</v>
      </c>
      <c r="R26" s="24">
        <f>IFERROR(__xludf.DUMMYFUNCTION("""COMPUTED_VALUE"""),45359.0)</f>
        <v>45359</v>
      </c>
      <c r="S26" s="24">
        <f>IFERROR(__xludf.DUMMYFUNCTION("""COMPUTED_VALUE"""),45444.0)</f>
        <v>45444</v>
      </c>
      <c r="T26" s="22" t="str">
        <f>IFERROR(__xludf.DUMMYFUNCTION("""COMPUTED_VALUE"""),"Chính thức")</f>
        <v>Chính thức</v>
      </c>
      <c r="U26" s="22"/>
      <c r="V26" s="22" t="str">
        <f>IFERROR(__xludf.DUMMYFUNCTION("""COMPUTED_VALUE"""),"Chính thức")</f>
        <v>Chính thức</v>
      </c>
      <c r="W26" s="22" t="str">
        <f>IFERROR(__xludf.DUMMYFUNCTION("""COMPUTED_VALUE"""),"1 năm 9 tháng")</f>
        <v>1 năm 9 tháng</v>
      </c>
      <c r="X26" s="22"/>
      <c r="Y26" s="22"/>
      <c r="Z26" s="22"/>
    </row>
    <row r="27">
      <c r="A27" s="22">
        <f>IFERROR(__xludf.DUMMYFUNCTION("""COMPUTED_VALUE"""),7.0)</f>
        <v>7</v>
      </c>
      <c r="B27" s="22" t="str">
        <f>IFERROR(__xludf.DUMMYFUNCTION("""COMPUTED_VALUE"""),"DC5-PXSX2")</f>
        <v>DC5-PXSX2</v>
      </c>
      <c r="C27" s="22" t="str">
        <f>IFERROR(__xludf.DUMMYFUNCTION("""COMPUTED_VALUE"""),"Bộ phận Dây chuyền gia công và Lò nung")</f>
        <v>Bộ phận Dây chuyền gia công và Lò nung</v>
      </c>
      <c r="D27" s="22" t="str">
        <f>IFERROR(__xludf.DUMMYFUNCTION("""COMPUTED_VALUE"""),"Dây chuyền gia công Ca A")</f>
        <v>Dây chuyền gia công Ca A</v>
      </c>
      <c r="E27" s="22" t="str">
        <f>IFERROR(__xludf.DUMMYFUNCTION("""COMPUTED_VALUE"""),"VHC tráng Men")</f>
        <v>VHC tráng Men</v>
      </c>
      <c r="F27" s="22" t="str">
        <f>IFERROR(__xludf.DUMMYFUNCTION("""COMPUTED_VALUE"""),"NV0564")</f>
        <v>NV0564</v>
      </c>
      <c r="G27" s="22">
        <f>IFERROR(__xludf.DUMMYFUNCTION("""COMPUTED_VALUE"""),456.0)</f>
        <v>456</v>
      </c>
      <c r="H27" s="22" t="str">
        <f>IFERROR(__xludf.DUMMYFUNCTION("""COMPUTED_VALUE"""),"Đỗ Đình Bình")</f>
        <v>Đỗ Đình Bình</v>
      </c>
      <c r="I27" s="22" t="str">
        <f>IFERROR(__xludf.DUMMYFUNCTION("""COMPUTED_VALUE"""),"Nam")</f>
        <v>Nam</v>
      </c>
      <c r="J27" s="24">
        <f>IFERROR(__xludf.DUMMYFUNCTION("""COMPUTED_VALUE"""),28667.0)</f>
        <v>28667</v>
      </c>
      <c r="K27" s="22" t="str">
        <f>IFERROR(__xludf.DUMMYFUNCTION("""COMPUTED_VALUE"""),"Xã Hoằng Trạch - Hoằng Hóa - Thanh Hóa")</f>
        <v>Xã Hoằng Trạch - Hoằng Hóa - Thanh Hóa</v>
      </c>
      <c r="L27" s="22" t="str">
        <f>IFERROR(__xludf.DUMMYFUNCTION("""COMPUTED_VALUE"""),"0364524355")</f>
        <v>0364524355</v>
      </c>
      <c r="M27" s="22" t="str">
        <f>IFERROR(__xludf.DUMMYFUNCTION("""COMPUTED_VALUE"""),"038078016391")</f>
        <v>038078016391</v>
      </c>
      <c r="N27" s="26">
        <f>IFERROR(__xludf.DUMMYFUNCTION("""COMPUTED_VALUE"""),44213.0)</f>
        <v>44213</v>
      </c>
      <c r="O27" s="22" t="str">
        <f>IFERROR(__xludf.DUMMYFUNCTION("""COMPUTED_VALUE"""),"Cục Cảnh sát QLHC về TTXH")</f>
        <v>Cục Cảnh sát QLHC về TTXH</v>
      </c>
      <c r="P27" s="22" t="str">
        <f>IFERROR(__xludf.DUMMYFUNCTION("""COMPUTED_VALUE"""),"LĐPT")</f>
        <v>LĐPT</v>
      </c>
      <c r="Q27" s="22" t="str">
        <f>IFERROR(__xludf.DUMMYFUNCTION("""COMPUTED_VALUE"""),"Lao động phổ thông")</f>
        <v>Lao động phổ thông</v>
      </c>
      <c r="R27" s="24">
        <f>IFERROR(__xludf.DUMMYFUNCTION("""COMPUTED_VALUE"""),39102.0)</f>
        <v>39102</v>
      </c>
      <c r="S27" s="24">
        <f>IFERROR(__xludf.DUMMYFUNCTION("""COMPUTED_VALUE"""),39102.0)</f>
        <v>39102</v>
      </c>
      <c r="T27" s="22" t="str">
        <f>IFERROR(__xludf.DUMMYFUNCTION("""COMPUTED_VALUE"""),"Chính thức")</f>
        <v>Chính thức</v>
      </c>
      <c r="U27" s="22"/>
      <c r="V27" s="22" t="str">
        <f>IFERROR(__xludf.DUMMYFUNCTION("""COMPUTED_VALUE"""),"Chính thức")</f>
        <v>Chính thức</v>
      </c>
      <c r="W27" s="22" t="str">
        <f>IFERROR(__xludf.DUMMYFUNCTION("""COMPUTED_VALUE"""),"18 năm 11 tháng")</f>
        <v>18 năm 11 tháng</v>
      </c>
      <c r="X27" s="22"/>
      <c r="Y27" s="22"/>
      <c r="Z27" s="22"/>
    </row>
    <row r="28">
      <c r="A28" s="22">
        <f>IFERROR(__xludf.DUMMYFUNCTION("""COMPUTED_VALUE"""),8.0)</f>
        <v>8</v>
      </c>
      <c r="B28" s="22" t="str">
        <f>IFERROR(__xludf.DUMMYFUNCTION("""COMPUTED_VALUE"""),"DC5-PXSX2")</f>
        <v>DC5-PXSX2</v>
      </c>
      <c r="C28" s="22" t="str">
        <f>IFERROR(__xludf.DUMMYFUNCTION("""COMPUTED_VALUE"""),"Bộ phận Dây chuyền gia công và Lò nung")</f>
        <v>Bộ phận Dây chuyền gia công và Lò nung</v>
      </c>
      <c r="D28" s="22" t="str">
        <f>IFERROR(__xludf.DUMMYFUNCTION("""COMPUTED_VALUE"""),"Dây chuyền gia công Ca A")</f>
        <v>Dây chuyền gia công Ca A</v>
      </c>
      <c r="E28" s="22" t="str">
        <f>IFERROR(__xludf.DUMMYFUNCTION("""COMPUTED_VALUE"""),"VH tráng Men")</f>
        <v>VH tráng Men</v>
      </c>
      <c r="F28" s="22" t="str">
        <f>IFERROR(__xludf.DUMMYFUNCTION("""COMPUTED_VALUE"""),"NV2297")</f>
        <v>NV2297</v>
      </c>
      <c r="G28" s="22">
        <f>IFERROR(__xludf.DUMMYFUNCTION("""COMPUTED_VALUE"""),829.0)</f>
        <v>829</v>
      </c>
      <c r="H28" s="22" t="str">
        <f>IFERROR(__xludf.DUMMYFUNCTION("""COMPUTED_VALUE"""),"Nguyễn Văn Hoàn")</f>
        <v>Nguyễn Văn Hoàn</v>
      </c>
      <c r="I28" s="22" t="str">
        <f>IFERROR(__xludf.DUMMYFUNCTION("""COMPUTED_VALUE"""),"Nam")</f>
        <v>Nam</v>
      </c>
      <c r="J28" s="24">
        <f>IFERROR(__xludf.DUMMYFUNCTION("""COMPUTED_VALUE"""),35459.0)</f>
        <v>35459</v>
      </c>
      <c r="K28" s="22" t="str">
        <f>IFERROR(__xludf.DUMMYFUNCTION("""COMPUTED_VALUE"""),"Thôn 8 -  Xã Quảng Giao -  Huyện Quảng Xương -  Thanh Hóa -  Việt Nam")</f>
        <v>Thôn 8 -  Xã Quảng Giao -  Huyện Quảng Xương -  Thanh Hóa -  Việt Nam</v>
      </c>
      <c r="L28" s="22" t="str">
        <f>IFERROR(__xludf.DUMMYFUNCTION("""COMPUTED_VALUE"""),"0783353116")</f>
        <v>0783353116</v>
      </c>
      <c r="M28" s="22" t="str">
        <f>IFERROR(__xludf.DUMMYFUNCTION("""COMPUTED_VALUE"""),"038097002882")</f>
        <v>038097002882</v>
      </c>
      <c r="N28" s="26">
        <f>IFERROR(__xludf.DUMMYFUNCTION("""COMPUTED_VALUE"""),44418.0)</f>
        <v>44418</v>
      </c>
      <c r="O28" s="22" t="str">
        <f>IFERROR(__xludf.DUMMYFUNCTION("""COMPUTED_VALUE"""),"Cục Cảnh sát QLHC về TTXH")</f>
        <v>Cục Cảnh sát QLHC về TTXH</v>
      </c>
      <c r="P28" s="22" t="str">
        <f>IFERROR(__xludf.DUMMYFUNCTION("""COMPUTED_VALUE"""),"LĐPT")</f>
        <v>LĐPT</v>
      </c>
      <c r="Q28" s="22" t="str">
        <f>IFERROR(__xludf.DUMMYFUNCTION("""COMPUTED_VALUE"""),"Lao động phổ thông")</f>
        <v>Lao động phổ thông</v>
      </c>
      <c r="R28" s="24">
        <f>IFERROR(__xludf.DUMMYFUNCTION("""COMPUTED_VALUE"""),43564.0)</f>
        <v>43564</v>
      </c>
      <c r="S28" s="24">
        <f>IFERROR(__xludf.DUMMYFUNCTION("""COMPUTED_VALUE"""),43983.0)</f>
        <v>43983</v>
      </c>
      <c r="T28" s="22" t="str">
        <f>IFERROR(__xludf.DUMMYFUNCTION("""COMPUTED_VALUE"""),"Chính thức")</f>
        <v>Chính thức</v>
      </c>
      <c r="U28" s="22"/>
      <c r="V28" s="22" t="str">
        <f>IFERROR(__xludf.DUMMYFUNCTION("""COMPUTED_VALUE"""),"Chính thức")</f>
        <v>Chính thức</v>
      </c>
      <c r="W28" s="22" t="str">
        <f>IFERROR(__xludf.DUMMYFUNCTION("""COMPUTED_VALUE"""),"6 năm 8 tháng")</f>
        <v>6 năm 8 tháng</v>
      </c>
      <c r="X28" s="22"/>
      <c r="Y28" s="22"/>
      <c r="Z28" s="22"/>
    </row>
    <row r="29">
      <c r="A29" s="22">
        <f>IFERROR(__xludf.DUMMYFUNCTION("""COMPUTED_VALUE"""),9.0)</f>
        <v>9</v>
      </c>
      <c r="B29" s="22" t="str">
        <f>IFERROR(__xludf.DUMMYFUNCTION("""COMPUTED_VALUE"""),"DC5-PXSX2")</f>
        <v>DC5-PXSX2</v>
      </c>
      <c r="C29" s="22" t="str">
        <f>IFERROR(__xludf.DUMMYFUNCTION("""COMPUTED_VALUE"""),"Bộ phận Dây chuyền gia công và Lò nung")</f>
        <v>Bộ phận Dây chuyền gia công và Lò nung</v>
      </c>
      <c r="D29" s="22" t="str">
        <f>IFERROR(__xludf.DUMMYFUNCTION("""COMPUTED_VALUE"""),"Dây chuyền gia công Ca A")</f>
        <v>Dây chuyền gia công Ca A</v>
      </c>
      <c r="E29" s="22" t="str">
        <f>IFERROR(__xludf.DUMMYFUNCTION("""COMPUTED_VALUE"""),"VH chính máy in KTS")</f>
        <v>VH chính máy in KTS</v>
      </c>
      <c r="F29" s="22" t="str">
        <f>IFERROR(__xludf.DUMMYFUNCTION("""COMPUTED_VALUE"""),"NV3255")</f>
        <v>NV3255</v>
      </c>
      <c r="G29" s="22">
        <f>IFERROR(__xludf.DUMMYFUNCTION("""COMPUTED_VALUE"""),489.0)</f>
        <v>489</v>
      </c>
      <c r="H29" s="22" t="str">
        <f>IFERROR(__xludf.DUMMYFUNCTION("""COMPUTED_VALUE"""),"Lê Nhữ Thắng")</f>
        <v>Lê Nhữ Thắng</v>
      </c>
      <c r="I29" s="22" t="str">
        <f>IFERROR(__xludf.DUMMYFUNCTION("""COMPUTED_VALUE"""),"Nam")</f>
        <v>Nam</v>
      </c>
      <c r="J29" s="24">
        <f>IFERROR(__xludf.DUMMYFUNCTION("""COMPUTED_VALUE"""),32295.0)</f>
        <v>32295</v>
      </c>
      <c r="K29" s="22" t="str">
        <f>IFERROR(__xludf.DUMMYFUNCTION("""COMPUTED_VALUE"""),"Phường Trường Sơn -  Thành phố Sầm Sơn -  Thanh Hóa - ")</f>
        <v>Phường Trường Sơn -  Thành phố Sầm Sơn -  Thanh Hóa - </v>
      </c>
      <c r="L29" s="22" t="str">
        <f>IFERROR(__xludf.DUMMYFUNCTION("""COMPUTED_VALUE"""),"0974737575")</f>
        <v>0974737575</v>
      </c>
      <c r="M29" s="22" t="str">
        <f>IFERROR(__xludf.DUMMYFUNCTION("""COMPUTED_VALUE"""),"038088008754")</f>
        <v>038088008754</v>
      </c>
      <c r="N29" s="26">
        <f>IFERROR(__xludf.DUMMYFUNCTION("""COMPUTED_VALUE"""),44792.0)</f>
        <v>44792</v>
      </c>
      <c r="O29" s="22" t="str">
        <f>IFERROR(__xludf.DUMMYFUNCTION("""COMPUTED_VALUE"""),"Cục Cảnh sát QLHC về TTXH")</f>
        <v>Cục Cảnh sát QLHC về TTXH</v>
      </c>
      <c r="P29" s="22" t="str">
        <f>IFERROR(__xludf.DUMMYFUNCTION("""COMPUTED_VALUE"""),"Lao động phổ thông")</f>
        <v>Lao động phổ thông</v>
      </c>
      <c r="Q29" s="22" t="str">
        <f>IFERROR(__xludf.DUMMYFUNCTION("""COMPUTED_VALUE"""),"Lao động phổ thông")</f>
        <v>Lao động phổ thông</v>
      </c>
      <c r="R29" s="24">
        <f>IFERROR(__xludf.DUMMYFUNCTION("""COMPUTED_VALUE"""),44092.0)</f>
        <v>44092</v>
      </c>
      <c r="S29" s="24">
        <f>IFERROR(__xludf.DUMMYFUNCTION("""COMPUTED_VALUE"""),44378.0)</f>
        <v>44378</v>
      </c>
      <c r="T29" s="22" t="str">
        <f>IFERROR(__xludf.DUMMYFUNCTION("""COMPUTED_VALUE"""),"Chính thức")</f>
        <v>Chính thức</v>
      </c>
      <c r="U29" s="22"/>
      <c r="V29" s="22" t="str">
        <f>IFERROR(__xludf.DUMMYFUNCTION("""COMPUTED_VALUE"""),"Chính thức")</f>
        <v>Chính thức</v>
      </c>
      <c r="W29" s="22" t="str">
        <f>IFERROR(__xludf.DUMMYFUNCTION("""COMPUTED_VALUE"""),"5 năm 3 tháng")</f>
        <v>5 năm 3 tháng</v>
      </c>
      <c r="X29" s="22"/>
      <c r="Y29" s="22"/>
      <c r="Z29" s="22"/>
    </row>
    <row r="30">
      <c r="A30" s="22">
        <f>IFERROR(__xludf.DUMMYFUNCTION("""COMPUTED_VALUE"""),10.0)</f>
        <v>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>
        <f>IFERROR(__xludf.DUMMYFUNCTION("""COMPUTED_VALUE"""),11.0)</f>
        <v>11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8">
        <f>IFERROR(__xludf.DUMMYFUNCTION("""COMPUTED_VALUE"""),45719.0)</f>
        <v>45719</v>
      </c>
      <c r="B32" s="22" t="str">
        <f>IFERROR(__xludf.DUMMYFUNCTION("""COMPUTED_VALUE"""),"Dây chuyền gia công Ca B")</f>
        <v>Dây chuyền gia công Ca B</v>
      </c>
      <c r="C32" s="22">
        <f>IFERROR(__xludf.DUMMYFUNCTION("""COMPUTED_VALUE"""),9.0)</f>
        <v>9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>
        <f>IFERROR(__xludf.DUMMYFUNCTION("""COMPUTED_VALUE"""),1.0)</f>
        <v>1</v>
      </c>
      <c r="B33" s="22" t="str">
        <f>IFERROR(__xludf.DUMMYFUNCTION("""COMPUTED_VALUE"""),"DC5-PXSX2")</f>
        <v>DC5-PXSX2</v>
      </c>
      <c r="C33" s="22" t="str">
        <f>IFERROR(__xludf.DUMMYFUNCTION("""COMPUTED_VALUE"""),"Bộ phận Dây chuyền gia công và Lò nung")</f>
        <v>Bộ phận Dây chuyền gia công và Lò nung</v>
      </c>
      <c r="D33" s="22" t="str">
        <f>IFERROR(__xludf.DUMMYFUNCTION("""COMPUTED_VALUE"""),"Dây chuyền gia công Ca B")</f>
        <v>Dây chuyền gia công Ca B</v>
      </c>
      <c r="E33" s="22" t="str">
        <f>IFERROR(__xludf.DUMMYFUNCTION("""COMPUTED_VALUE"""),"VH gắp gạch")</f>
        <v>VH gắp gạch</v>
      </c>
      <c r="F33" s="22" t="str">
        <f>IFERROR(__xludf.DUMMYFUNCTION("""COMPUTED_VALUE"""),"NV0655")</f>
        <v>NV0655</v>
      </c>
      <c r="G33" s="22">
        <f>IFERROR(__xludf.DUMMYFUNCTION("""COMPUTED_VALUE"""),508.0)</f>
        <v>508</v>
      </c>
      <c r="H33" s="22" t="str">
        <f>IFERROR(__xludf.DUMMYFUNCTION("""COMPUTED_VALUE"""),"Lê Huy Thái")</f>
        <v>Lê Huy Thái</v>
      </c>
      <c r="I33" s="22" t="str">
        <f>IFERROR(__xludf.DUMMYFUNCTION("""COMPUTED_VALUE"""),"Nam")</f>
        <v>Nam</v>
      </c>
      <c r="J33" s="24">
        <f>IFERROR(__xludf.DUMMYFUNCTION("""COMPUTED_VALUE"""),30888.0)</f>
        <v>30888</v>
      </c>
      <c r="K33" s="22" t="str">
        <f>IFERROR(__xludf.DUMMYFUNCTION("""COMPUTED_VALUE"""),"Xã Hoằng Thành -  Huyện Hoằng Hóa -  Thanh Hóa -  Việt Nam")</f>
        <v>Xã Hoằng Thành -  Huyện Hoằng Hóa -  Thanh Hóa -  Việt Nam</v>
      </c>
      <c r="L33" s="22" t="str">
        <f>IFERROR(__xludf.DUMMYFUNCTION("""COMPUTED_VALUE"""),"0354982844")</f>
        <v>0354982844</v>
      </c>
      <c r="M33" s="22" t="str">
        <f>IFERROR(__xludf.DUMMYFUNCTION("""COMPUTED_VALUE"""),"038084002129")</f>
        <v>038084002129</v>
      </c>
      <c r="N33" s="26">
        <f>IFERROR(__xludf.DUMMYFUNCTION("""COMPUTED_VALUE"""),44467.0)</f>
        <v>44467</v>
      </c>
      <c r="O33" s="22" t="str">
        <f>IFERROR(__xludf.DUMMYFUNCTION("""COMPUTED_VALUE"""),"Cục Cảnh sát QLHC về TTXH")</f>
        <v>Cục Cảnh sát QLHC về TTXH</v>
      </c>
      <c r="P33" s="22" t="str">
        <f>IFERROR(__xludf.DUMMYFUNCTION("""COMPUTED_VALUE"""),"LĐPT")</f>
        <v>LĐPT</v>
      </c>
      <c r="Q33" s="22" t="str">
        <f>IFERROR(__xludf.DUMMYFUNCTION("""COMPUTED_VALUE"""),"Lao động phổ thông")</f>
        <v>Lao động phổ thông</v>
      </c>
      <c r="R33" s="24">
        <f>IFERROR(__xludf.DUMMYFUNCTION("""COMPUTED_VALUE"""),43427.0)</f>
        <v>43427</v>
      </c>
      <c r="S33" s="24">
        <f>IFERROR(__xludf.DUMMYFUNCTION("""COMPUTED_VALUE"""),43983.0)</f>
        <v>43983</v>
      </c>
      <c r="T33" s="22" t="str">
        <f>IFERROR(__xludf.DUMMYFUNCTION("""COMPUTED_VALUE"""),"Chính thức")</f>
        <v>Chính thức</v>
      </c>
      <c r="U33" s="22"/>
      <c r="V33" s="22" t="str">
        <f>IFERROR(__xludf.DUMMYFUNCTION("""COMPUTED_VALUE"""),"Chính thức")</f>
        <v>Chính thức</v>
      </c>
      <c r="W33" s="22" t="str">
        <f>IFERROR(__xludf.DUMMYFUNCTION("""COMPUTED_VALUE"""),"7 năm 1 tháng")</f>
        <v>7 năm 1 tháng</v>
      </c>
      <c r="X33" s="22"/>
      <c r="Y33" s="22"/>
      <c r="Z33" s="22"/>
    </row>
    <row r="34">
      <c r="A34" s="22">
        <f>IFERROR(__xludf.DUMMYFUNCTION("""COMPUTED_VALUE"""),2.0)</f>
        <v>2</v>
      </c>
      <c r="B34" s="22" t="str">
        <f>IFERROR(__xludf.DUMMYFUNCTION("""COMPUTED_VALUE"""),"DC5-PXSX2")</f>
        <v>DC5-PXSX2</v>
      </c>
      <c r="C34" s="22" t="str">
        <f>IFERROR(__xludf.DUMMYFUNCTION("""COMPUTED_VALUE"""),"Bộ phận Dây chuyền gia công và Lò nung")</f>
        <v>Bộ phận Dây chuyền gia công và Lò nung</v>
      </c>
      <c r="D34" s="22" t="str">
        <f>IFERROR(__xludf.DUMMYFUNCTION("""COMPUTED_VALUE"""),"Dây chuyền gia công Ca B")</f>
        <v>Dây chuyền gia công Ca B</v>
      </c>
      <c r="E34" s="22" t="str">
        <f>IFERROR(__xludf.DUMMYFUNCTION("""COMPUTED_VALUE"""),"Tổ trưởng")</f>
        <v>Tổ trưởng</v>
      </c>
      <c r="F34" s="22" t="str">
        <f>IFERROR(__xludf.DUMMYFUNCTION("""COMPUTED_VALUE"""),"NV0565")</f>
        <v>NV0565</v>
      </c>
      <c r="G34" s="22">
        <f>IFERROR(__xludf.DUMMYFUNCTION("""COMPUTED_VALUE"""),365.0)</f>
        <v>365</v>
      </c>
      <c r="H34" s="22" t="str">
        <f>IFERROR(__xludf.DUMMYFUNCTION("""COMPUTED_VALUE"""),"Lê Văn Huynh")</f>
        <v>Lê Văn Huynh</v>
      </c>
      <c r="I34" s="22" t="str">
        <f>IFERROR(__xludf.DUMMYFUNCTION("""COMPUTED_VALUE"""),"Nam")</f>
        <v>Nam</v>
      </c>
      <c r="J34" s="24">
        <f>IFERROR(__xludf.DUMMYFUNCTION("""COMPUTED_VALUE"""),33470.0)</f>
        <v>33470</v>
      </c>
      <c r="K34" s="22" t="str">
        <f>IFERROR(__xludf.DUMMYFUNCTION("""COMPUTED_VALUE"""),"Thôn 1 -  Xã Nông Trường -  Huyện Triệu Sơn -  Thanh Hóa")</f>
        <v>Thôn 1 -  Xã Nông Trường -  Huyện Triệu Sơn -  Thanh Hóa</v>
      </c>
      <c r="L34" s="22" t="str">
        <f>IFERROR(__xludf.DUMMYFUNCTION("""COMPUTED_VALUE"""),"0985247972")</f>
        <v>0985247972</v>
      </c>
      <c r="M34" s="22" t="str">
        <f>IFERROR(__xludf.DUMMYFUNCTION("""COMPUTED_VALUE"""),"038091051892")</f>
        <v>038091051892</v>
      </c>
      <c r="N34" s="26">
        <f>IFERROR(__xludf.DUMMYFUNCTION("""COMPUTED_VALUE"""),44435.0)</f>
        <v>44435</v>
      </c>
      <c r="O34" s="22" t="str">
        <f>IFERROR(__xludf.DUMMYFUNCTION("""COMPUTED_VALUE"""),"Cục Cảnh sát QLHC về TTXH")</f>
        <v>Cục Cảnh sát QLHC về TTXH</v>
      </c>
      <c r="P34" s="22" t="str">
        <f>IFERROR(__xludf.DUMMYFUNCTION("""COMPUTED_VALUE"""),"LĐPT")</f>
        <v>LĐPT</v>
      </c>
      <c r="Q34" s="22" t="str">
        <f>IFERROR(__xludf.DUMMYFUNCTION("""COMPUTED_VALUE"""),"Lao động phổ thông")</f>
        <v>Lao động phổ thông</v>
      </c>
      <c r="R34" s="24">
        <f>IFERROR(__xludf.DUMMYFUNCTION("""COMPUTED_VALUE"""),40962.0)</f>
        <v>40962</v>
      </c>
      <c r="S34" s="24">
        <f>IFERROR(__xludf.DUMMYFUNCTION("""COMPUTED_VALUE"""),40962.0)</f>
        <v>40962</v>
      </c>
      <c r="T34" s="22" t="str">
        <f>IFERROR(__xludf.DUMMYFUNCTION("""COMPUTED_VALUE"""),"Chính thức")</f>
        <v>Chính thức</v>
      </c>
      <c r="U34" s="22"/>
      <c r="V34" s="22" t="str">
        <f>IFERROR(__xludf.DUMMYFUNCTION("""COMPUTED_VALUE"""),"Chính thức")</f>
        <v>Chính thức</v>
      </c>
      <c r="W34" s="22" t="str">
        <f>IFERROR(__xludf.DUMMYFUNCTION("""COMPUTED_VALUE"""),"13 năm 10 tháng")</f>
        <v>13 năm 10 tháng</v>
      </c>
      <c r="X34" s="22"/>
      <c r="Y34" s="22"/>
      <c r="Z34" s="22"/>
    </row>
    <row r="35">
      <c r="A35" s="22">
        <f>IFERROR(__xludf.DUMMYFUNCTION("""COMPUTED_VALUE"""),3.0)</f>
        <v>3</v>
      </c>
      <c r="B35" s="22" t="str">
        <f>IFERROR(__xludf.DUMMYFUNCTION("""COMPUTED_VALUE"""),"DC5-PXSX2")</f>
        <v>DC5-PXSX2</v>
      </c>
      <c r="C35" s="22" t="str">
        <f>IFERROR(__xludf.DUMMYFUNCTION("""COMPUTED_VALUE"""),"Bộ phận Dây chuyền gia công và Lò nung")</f>
        <v>Bộ phận Dây chuyền gia công và Lò nung</v>
      </c>
      <c r="D35" s="22" t="str">
        <f>IFERROR(__xludf.DUMMYFUNCTION("""COMPUTED_VALUE"""),"Dây chuyền gia công Ca B")</f>
        <v>Dây chuyền gia công Ca B</v>
      </c>
      <c r="E35" s="22" t="str">
        <f>IFERROR(__xludf.DUMMYFUNCTION("""COMPUTED_VALUE"""),"VHC máy ép")</f>
        <v>VHC máy ép</v>
      </c>
      <c r="F35" s="22" t="str">
        <f>IFERROR(__xludf.DUMMYFUNCTION("""COMPUTED_VALUE"""),"NV3452")</f>
        <v>NV3452</v>
      </c>
      <c r="G35" s="22">
        <f>IFERROR(__xludf.DUMMYFUNCTION("""COMPUTED_VALUE"""),458.0)</f>
        <v>458</v>
      </c>
      <c r="H35" s="22" t="str">
        <f>IFERROR(__xludf.DUMMYFUNCTION("""COMPUTED_VALUE"""),"Vũ Đức Tài")</f>
        <v>Vũ Đức Tài</v>
      </c>
      <c r="I35" s="22" t="str">
        <f>IFERROR(__xludf.DUMMYFUNCTION("""COMPUTED_VALUE"""),"Nam")</f>
        <v>Nam</v>
      </c>
      <c r="J35" s="24">
        <f>IFERROR(__xludf.DUMMYFUNCTION("""COMPUTED_VALUE"""),29005.0)</f>
        <v>29005</v>
      </c>
      <c r="K35" s="22" t="str">
        <f>IFERROR(__xludf.DUMMYFUNCTION("""COMPUTED_VALUE"""),"Ước Thành -  Xã Quảng Ninh -  Huyện Quảng Xương -  Thanh Hóa")</f>
        <v>Ước Thành -  Xã Quảng Ninh -  Huyện Quảng Xương -  Thanh Hóa</v>
      </c>
      <c r="L35" s="22" t="str">
        <f>IFERROR(__xludf.DUMMYFUNCTION("""COMPUTED_VALUE"""),"0393660990")</f>
        <v>0393660990</v>
      </c>
      <c r="M35" s="22" t="str">
        <f>IFERROR(__xludf.DUMMYFUNCTION("""COMPUTED_VALUE"""),"038079009061")</f>
        <v>038079009061</v>
      </c>
      <c r="N35" s="26">
        <f>IFERROR(__xludf.DUMMYFUNCTION("""COMPUTED_VALUE"""),44546.0)</f>
        <v>44546</v>
      </c>
      <c r="O35" s="22" t="str">
        <f>IFERROR(__xludf.DUMMYFUNCTION("""COMPUTED_VALUE"""),"Cục Cảnh sát QLHC về TTXH")</f>
        <v>Cục Cảnh sát QLHC về TTXH</v>
      </c>
      <c r="P35" s="22" t="str">
        <f>IFERROR(__xludf.DUMMYFUNCTION("""COMPUTED_VALUE"""),"LĐPT")</f>
        <v>LĐPT</v>
      </c>
      <c r="Q35" s="22" t="str">
        <f>IFERROR(__xludf.DUMMYFUNCTION("""COMPUTED_VALUE"""),"Lao động phổ thông")</f>
        <v>Lao động phổ thông</v>
      </c>
      <c r="R35" s="24">
        <f>IFERROR(__xludf.DUMMYFUNCTION("""COMPUTED_VALUE"""),44250.0)</f>
        <v>44250</v>
      </c>
      <c r="S35" s="24">
        <f>IFERROR(__xludf.DUMMYFUNCTION("""COMPUTED_VALUE"""),44531.0)</f>
        <v>44531</v>
      </c>
      <c r="T35" s="22" t="str">
        <f>IFERROR(__xludf.DUMMYFUNCTION("""COMPUTED_VALUE"""),"Chính thức")</f>
        <v>Chính thức</v>
      </c>
      <c r="U35" s="22"/>
      <c r="V35" s="22" t="str">
        <f>IFERROR(__xludf.DUMMYFUNCTION("""COMPUTED_VALUE"""),"Chính thức")</f>
        <v>Chính thức</v>
      </c>
      <c r="W35" s="22" t="str">
        <f>IFERROR(__xludf.DUMMYFUNCTION("""COMPUTED_VALUE"""),"4 năm 10 tháng")</f>
        <v>4 năm 10 tháng</v>
      </c>
      <c r="X35" s="22"/>
      <c r="Y35" s="22"/>
      <c r="Z35" s="22"/>
    </row>
    <row r="36">
      <c r="A36" s="22">
        <f>IFERROR(__xludf.DUMMYFUNCTION("""COMPUTED_VALUE"""),4.0)</f>
        <v>4</v>
      </c>
      <c r="B36" s="22" t="str">
        <f>IFERROR(__xludf.DUMMYFUNCTION("""COMPUTED_VALUE"""),"DC5-PXSX2")</f>
        <v>DC5-PXSX2</v>
      </c>
      <c r="C36" s="22" t="str">
        <f>IFERROR(__xludf.DUMMYFUNCTION("""COMPUTED_VALUE"""),"Bộ phận Dây chuyền gia công và Lò nung")</f>
        <v>Bộ phận Dây chuyền gia công và Lò nung</v>
      </c>
      <c r="D36" s="22" t="str">
        <f>IFERROR(__xludf.DUMMYFUNCTION("""COMPUTED_VALUE"""),"Dây chuyền gia công Ca B")</f>
        <v>Dây chuyền gia công Ca B</v>
      </c>
      <c r="E36" s="22" t="str">
        <f>IFERROR(__xludf.DUMMYFUNCTION("""COMPUTED_VALUE"""),"VH Bù đầu lò")</f>
        <v>VH Bù đầu lò</v>
      </c>
      <c r="F36" s="22" t="str">
        <f>IFERROR(__xludf.DUMMYFUNCTION("""COMPUTED_VALUE"""),"NV3761")</f>
        <v>NV3761</v>
      </c>
      <c r="G36" s="22">
        <f>IFERROR(__xludf.DUMMYFUNCTION("""COMPUTED_VALUE"""),372.0)</f>
        <v>372</v>
      </c>
      <c r="H36" s="22" t="str">
        <f>IFERROR(__xludf.DUMMYFUNCTION("""COMPUTED_VALUE"""),"Lê Văn Trọn")</f>
        <v>Lê Văn Trọn</v>
      </c>
      <c r="I36" s="22" t="str">
        <f>IFERROR(__xludf.DUMMYFUNCTION("""COMPUTED_VALUE"""),"Nam")</f>
        <v>Nam</v>
      </c>
      <c r="J36" s="24">
        <f>IFERROR(__xludf.DUMMYFUNCTION("""COMPUTED_VALUE"""),36737.0)</f>
        <v>36737</v>
      </c>
      <c r="K36" s="22" t="str">
        <f>IFERROR(__xludf.DUMMYFUNCTION("""COMPUTED_VALUE"""),"Hồng Thắng -  Phường Quảng Cư -  Thành phố Sầm Sơn -  Thanh Hóa")</f>
        <v>Hồng Thắng -  Phường Quảng Cư -  Thành phố Sầm Sơn -  Thanh Hóa</v>
      </c>
      <c r="L36" s="22" t="str">
        <f>IFERROR(__xludf.DUMMYFUNCTION("""COMPUTED_VALUE"""),"0359341880")</f>
        <v>0359341880</v>
      </c>
      <c r="M36" s="22" t="str">
        <f>IFERROR(__xludf.DUMMYFUNCTION("""COMPUTED_VALUE"""),"038200012838")</f>
        <v>038200012838</v>
      </c>
      <c r="N36" s="26">
        <f>IFERROR(__xludf.DUMMYFUNCTION("""COMPUTED_VALUE"""),36737.0)</f>
        <v>36737</v>
      </c>
      <c r="O36" s="22" t="str">
        <f>IFERROR(__xludf.DUMMYFUNCTION("""COMPUTED_VALUE"""),"Cục Cảnh sát QLHC về TTXH")</f>
        <v>Cục Cảnh sát QLHC về TTXH</v>
      </c>
      <c r="P36" s="22" t="str">
        <f>IFERROR(__xludf.DUMMYFUNCTION("""COMPUTED_VALUE"""),"LĐPT")</f>
        <v>LĐPT</v>
      </c>
      <c r="Q36" s="22" t="str">
        <f>IFERROR(__xludf.DUMMYFUNCTION("""COMPUTED_VALUE"""),"Lao động phổ thông")</f>
        <v>Lao động phổ thông</v>
      </c>
      <c r="R36" s="24">
        <f>IFERROR(__xludf.DUMMYFUNCTION("""COMPUTED_VALUE"""),44395.0)</f>
        <v>44395</v>
      </c>
      <c r="S36" s="24">
        <f>IFERROR(__xludf.DUMMYFUNCTION("""COMPUTED_VALUE"""),44682.0)</f>
        <v>44682</v>
      </c>
      <c r="T36" s="22" t="str">
        <f>IFERROR(__xludf.DUMMYFUNCTION("""COMPUTED_VALUE"""),"Chính thức")</f>
        <v>Chính thức</v>
      </c>
      <c r="U36" s="22"/>
      <c r="V36" s="22" t="str">
        <f>IFERROR(__xludf.DUMMYFUNCTION("""COMPUTED_VALUE"""),"Chính thức")</f>
        <v>Chính thức</v>
      </c>
      <c r="W36" s="22" t="str">
        <f>IFERROR(__xludf.DUMMYFUNCTION("""COMPUTED_VALUE"""),"4 năm 5 tháng")</f>
        <v>4 năm 5 tháng</v>
      </c>
      <c r="X36" s="22"/>
      <c r="Y36" s="22"/>
      <c r="Z36" s="22"/>
    </row>
    <row r="37">
      <c r="A37" s="22">
        <f>IFERROR(__xludf.DUMMYFUNCTION("""COMPUTED_VALUE"""),5.0)</f>
        <v>5</v>
      </c>
      <c r="B37" s="22" t="str">
        <f>IFERROR(__xludf.DUMMYFUNCTION("""COMPUTED_VALUE"""),"DC5-PXSX2")</f>
        <v>DC5-PXSX2</v>
      </c>
      <c r="C37" s="22" t="str">
        <f>IFERROR(__xludf.DUMMYFUNCTION("""COMPUTED_VALUE"""),"Bộ phận Dây chuyền gia công và Lò nung")</f>
        <v>Bộ phận Dây chuyền gia công và Lò nung</v>
      </c>
      <c r="D37" s="22" t="str">
        <f>IFERROR(__xludf.DUMMYFUNCTION("""COMPUTED_VALUE"""),"Dây chuyền gia công Ca B")</f>
        <v>Dây chuyền gia công Ca B</v>
      </c>
      <c r="E37" s="22" t="str">
        <f>IFERROR(__xludf.DUMMYFUNCTION("""COMPUTED_VALUE"""),"VHC tráng Engobe")</f>
        <v>VHC tráng Engobe</v>
      </c>
      <c r="F37" s="22" t="str">
        <f>IFERROR(__xludf.DUMMYFUNCTION("""COMPUTED_VALUE"""),"NV1373")</f>
        <v>NV1373</v>
      </c>
      <c r="G37" s="22">
        <f>IFERROR(__xludf.DUMMYFUNCTION("""COMPUTED_VALUE"""),721.0)</f>
        <v>721</v>
      </c>
      <c r="H37" s="22" t="str">
        <f>IFERROR(__xludf.DUMMYFUNCTION("""COMPUTED_VALUE"""),"Hà Văn Lực")</f>
        <v>Hà Văn Lực</v>
      </c>
      <c r="I37" s="22" t="str">
        <f>IFERROR(__xludf.DUMMYFUNCTION("""COMPUTED_VALUE"""),"Nam")</f>
        <v>Nam</v>
      </c>
      <c r="J37" s="24">
        <f>IFERROR(__xludf.DUMMYFUNCTION("""COMPUTED_VALUE"""),32845.0)</f>
        <v>32845</v>
      </c>
      <c r="K37" s="22" t="str">
        <f>IFERROR(__xludf.DUMMYFUNCTION("""COMPUTED_VALUE"""),"Châu Thành -  Xã Quảng Châu -  Thị Xã Sầm Sơn -  Thanh Hóa -  Việt Nam")</f>
        <v>Châu Thành -  Xã Quảng Châu -  Thị Xã Sầm Sơn -  Thanh Hóa -  Việt Nam</v>
      </c>
      <c r="L37" s="22" t="str">
        <f>IFERROR(__xludf.DUMMYFUNCTION("""COMPUTED_VALUE"""),"0982248437")</f>
        <v>0982248437</v>
      </c>
      <c r="M37" s="22" t="str">
        <f>IFERROR(__xludf.DUMMYFUNCTION("""COMPUTED_VALUE"""),"038089012403")</f>
        <v>038089012403</v>
      </c>
      <c r="N37" s="26">
        <f>IFERROR(__xludf.DUMMYFUNCTION("""COMPUTED_VALUE"""),44419.0)</f>
        <v>44419</v>
      </c>
      <c r="O37" s="22" t="str">
        <f>IFERROR(__xludf.DUMMYFUNCTION("""COMPUTED_VALUE"""),"Cục Cảnh sát QLHC về TTXH")</f>
        <v>Cục Cảnh sát QLHC về TTXH</v>
      </c>
      <c r="P37" s="22" t="str">
        <f>IFERROR(__xludf.DUMMYFUNCTION("""COMPUTED_VALUE"""),"Trung cấp, nghề")</f>
        <v>Trung cấp, nghề</v>
      </c>
      <c r="Q37" s="22" t="str">
        <f>IFERROR(__xludf.DUMMYFUNCTION("""COMPUTED_VALUE"""),"Chế tạo thiết bị cơ khí")</f>
        <v>Chế tạo thiết bị cơ khí</v>
      </c>
      <c r="R37" s="24">
        <f>IFERROR(__xludf.DUMMYFUNCTION("""COMPUTED_VALUE"""),43214.0)</f>
        <v>43214</v>
      </c>
      <c r="S37" s="24">
        <f>IFERROR(__xludf.DUMMYFUNCTION("""COMPUTED_VALUE"""),43586.0)</f>
        <v>43586</v>
      </c>
      <c r="T37" s="22" t="str">
        <f>IFERROR(__xludf.DUMMYFUNCTION("""COMPUTED_VALUE"""),"Chính thức")</f>
        <v>Chính thức</v>
      </c>
      <c r="U37" s="22"/>
      <c r="V37" s="22" t="str">
        <f>IFERROR(__xludf.DUMMYFUNCTION("""COMPUTED_VALUE"""),"Chính thức")</f>
        <v>Chính thức</v>
      </c>
      <c r="W37" s="22" t="str">
        <f>IFERROR(__xludf.DUMMYFUNCTION("""COMPUTED_VALUE"""),"7 năm 8 tháng")</f>
        <v>7 năm 8 tháng</v>
      </c>
      <c r="X37" s="22"/>
      <c r="Y37" s="22"/>
      <c r="Z37" s="22"/>
    </row>
    <row r="38">
      <c r="A38" s="22">
        <f>IFERROR(__xludf.DUMMYFUNCTION("""COMPUTED_VALUE"""),6.0)</f>
        <v>6</v>
      </c>
      <c r="B38" s="22" t="str">
        <f>IFERROR(__xludf.DUMMYFUNCTION("""COMPUTED_VALUE"""),"DC5-PXSX2")</f>
        <v>DC5-PXSX2</v>
      </c>
      <c r="C38" s="22" t="str">
        <f>IFERROR(__xludf.DUMMYFUNCTION("""COMPUTED_VALUE"""),"Bộ phận Dây chuyền gia công và Lò nung")</f>
        <v>Bộ phận Dây chuyền gia công và Lò nung</v>
      </c>
      <c r="D38" s="22" t="str">
        <f>IFERROR(__xludf.DUMMYFUNCTION("""COMPUTED_VALUE"""),"Dây chuyền gia công Ca B")</f>
        <v>Dây chuyền gia công Ca B</v>
      </c>
      <c r="E38" s="22" t="str">
        <f>IFERROR(__xludf.DUMMYFUNCTION("""COMPUTED_VALUE"""),"VH tráng Men")</f>
        <v>VH tráng Men</v>
      </c>
      <c r="F38" s="22" t="str">
        <f>IFERROR(__xludf.DUMMYFUNCTION("""COMPUTED_VALUE"""),"NV2404")</f>
        <v>NV2404</v>
      </c>
      <c r="G38" s="22">
        <f>IFERROR(__xludf.DUMMYFUNCTION("""COMPUTED_VALUE"""),369.0)</f>
        <v>369</v>
      </c>
      <c r="H38" s="22" t="str">
        <f>IFERROR(__xludf.DUMMYFUNCTION("""COMPUTED_VALUE"""),"Lê Văn Khoa")</f>
        <v>Lê Văn Khoa</v>
      </c>
      <c r="I38" s="22" t="str">
        <f>IFERROR(__xludf.DUMMYFUNCTION("""COMPUTED_VALUE"""),"Nam")</f>
        <v>Nam</v>
      </c>
      <c r="J38" s="24">
        <f>IFERROR(__xludf.DUMMYFUNCTION("""COMPUTED_VALUE"""),29747.0)</f>
        <v>29747</v>
      </c>
      <c r="K38" s="22" t="str">
        <f>IFERROR(__xludf.DUMMYFUNCTION("""COMPUTED_VALUE"""),"Tây Sơn 1 -  Phường Phú Sơn -  Thành phố Thanh Hóa -  Thanh Hóa -  Việt Nam")</f>
        <v>Tây Sơn 1 -  Phường Phú Sơn -  Thành phố Thanh Hóa -  Thanh Hóa -  Việt Nam</v>
      </c>
      <c r="L38" s="22" t="str">
        <f>IFERROR(__xludf.DUMMYFUNCTION("""COMPUTED_VALUE"""),"0846846329")</f>
        <v>0846846329</v>
      </c>
      <c r="M38" s="22" t="str">
        <f>IFERROR(__xludf.DUMMYFUNCTION("""COMPUTED_VALUE"""),"038081028905")</f>
        <v>038081028905</v>
      </c>
      <c r="N38" s="26">
        <f>IFERROR(__xludf.DUMMYFUNCTION("""COMPUTED_VALUE"""),44440.0)</f>
        <v>44440</v>
      </c>
      <c r="O38" s="22" t="str">
        <f>IFERROR(__xludf.DUMMYFUNCTION("""COMPUTED_VALUE"""),"Cục Cảnh sát QLHC về TTXH")</f>
        <v>Cục Cảnh sát QLHC về TTXH</v>
      </c>
      <c r="P38" s="22" t="str">
        <f>IFERROR(__xludf.DUMMYFUNCTION("""COMPUTED_VALUE"""),"LĐPT")</f>
        <v>LĐPT</v>
      </c>
      <c r="Q38" s="22" t="str">
        <f>IFERROR(__xludf.DUMMYFUNCTION("""COMPUTED_VALUE"""),"Lao động phổ thông")</f>
        <v>Lao động phổ thông</v>
      </c>
      <c r="R38" s="24">
        <f>IFERROR(__xludf.DUMMYFUNCTION("""COMPUTED_VALUE"""),43610.0)</f>
        <v>43610</v>
      </c>
      <c r="S38" s="24">
        <f>IFERROR(__xludf.DUMMYFUNCTION("""COMPUTED_VALUE"""),43983.0)</f>
        <v>43983</v>
      </c>
      <c r="T38" s="22" t="str">
        <f>IFERROR(__xludf.DUMMYFUNCTION("""COMPUTED_VALUE"""),"Chính thức")</f>
        <v>Chính thức</v>
      </c>
      <c r="U38" s="22"/>
      <c r="V38" s="22" t="str">
        <f>IFERROR(__xludf.DUMMYFUNCTION("""COMPUTED_VALUE"""),"Chính thức")</f>
        <v>Chính thức</v>
      </c>
      <c r="W38" s="22" t="str">
        <f>IFERROR(__xludf.DUMMYFUNCTION("""COMPUTED_VALUE"""),"6 năm 7 tháng")</f>
        <v>6 năm 7 tháng</v>
      </c>
      <c r="X38" s="22"/>
      <c r="Y38" s="22"/>
      <c r="Z38" s="22"/>
    </row>
    <row r="39">
      <c r="A39" s="22">
        <f>IFERROR(__xludf.DUMMYFUNCTION("""COMPUTED_VALUE"""),7.0)</f>
        <v>7</v>
      </c>
      <c r="B39" s="22" t="str">
        <f>IFERROR(__xludf.DUMMYFUNCTION("""COMPUTED_VALUE"""),"DC5-PXSX2")</f>
        <v>DC5-PXSX2</v>
      </c>
      <c r="C39" s="22" t="str">
        <f>IFERROR(__xludf.DUMMYFUNCTION("""COMPUTED_VALUE"""),"Bộ phận Dây chuyền gia công và Lò nung")</f>
        <v>Bộ phận Dây chuyền gia công và Lò nung</v>
      </c>
      <c r="D39" s="22" t="str">
        <f>IFERROR(__xludf.DUMMYFUNCTION("""COMPUTED_VALUE"""),"Dây chuyền gia công Ca B")</f>
        <v>Dây chuyền gia công Ca B</v>
      </c>
      <c r="E39" s="22" t="str">
        <f>IFERROR(__xludf.DUMMYFUNCTION("""COMPUTED_VALUE"""),"VH chính máy in KTS")</f>
        <v>VH chính máy in KTS</v>
      </c>
      <c r="F39" s="22" t="str">
        <f>IFERROR(__xludf.DUMMYFUNCTION("""COMPUTED_VALUE"""),"NV3835")</f>
        <v>NV3835</v>
      </c>
      <c r="G39" s="22">
        <f>IFERROR(__xludf.DUMMYFUNCTION("""COMPUTED_VALUE"""),371.0)</f>
        <v>371</v>
      </c>
      <c r="H39" s="22" t="str">
        <f>IFERROR(__xludf.DUMMYFUNCTION("""COMPUTED_VALUE"""),"Lê Đình Huy")</f>
        <v>Lê Đình Huy</v>
      </c>
      <c r="I39" s="22" t="str">
        <f>IFERROR(__xludf.DUMMYFUNCTION("""COMPUTED_VALUE"""),"Nam")</f>
        <v>Nam</v>
      </c>
      <c r="J39" s="24">
        <f>IFERROR(__xludf.DUMMYFUNCTION("""COMPUTED_VALUE"""),31543.0)</f>
        <v>31543</v>
      </c>
      <c r="K39" s="22" t="str">
        <f>IFERROR(__xludf.DUMMYFUNCTION("""COMPUTED_VALUE"""),"Phố 5 -  Xã Đông Cương -  Thành phố Thanh Hóa - ")</f>
        <v>Phố 5 -  Xã Đông Cương -  Thành phố Thanh Hóa - </v>
      </c>
      <c r="L39" s="22" t="str">
        <f>IFERROR(__xludf.DUMMYFUNCTION("""COMPUTED_VALUE"""),"0904714424")</f>
        <v>0904714424</v>
      </c>
      <c r="M39" s="22" t="str">
        <f>IFERROR(__xludf.DUMMYFUNCTION("""COMPUTED_VALUE"""),"038086000518")</f>
        <v>038086000518</v>
      </c>
      <c r="N39" s="26">
        <f>IFERROR(__xludf.DUMMYFUNCTION("""COMPUTED_VALUE"""),44285.0)</f>
        <v>44285</v>
      </c>
      <c r="O39" s="22" t="str">
        <f>IFERROR(__xludf.DUMMYFUNCTION("""COMPUTED_VALUE"""),"Cục Cảnh sát QLHC về TTXH")</f>
        <v>Cục Cảnh sát QLHC về TTXH</v>
      </c>
      <c r="P39" s="22" t="str">
        <f>IFERROR(__xludf.DUMMYFUNCTION("""COMPUTED_VALUE"""),"Cử nhân")</f>
        <v>Cử nhân</v>
      </c>
      <c r="Q39" s="22" t="str">
        <f>IFERROR(__xludf.DUMMYFUNCTION("""COMPUTED_VALUE"""),"Cử nhân")</f>
        <v>Cử nhân</v>
      </c>
      <c r="R39" s="24">
        <f>IFERROR(__xludf.DUMMYFUNCTION("""COMPUTED_VALUE"""),44463.0)</f>
        <v>44463</v>
      </c>
      <c r="S39" s="24">
        <f>IFERROR(__xludf.DUMMYFUNCTION("""COMPUTED_VALUE"""),44682.0)</f>
        <v>44682</v>
      </c>
      <c r="T39" s="22" t="str">
        <f>IFERROR(__xludf.DUMMYFUNCTION("""COMPUTED_VALUE"""),"Chính thức")</f>
        <v>Chính thức</v>
      </c>
      <c r="U39" s="22"/>
      <c r="V39" s="22" t="str">
        <f>IFERROR(__xludf.DUMMYFUNCTION("""COMPUTED_VALUE"""),"Chính thức")</f>
        <v>Chính thức</v>
      </c>
      <c r="W39" s="22" t="str">
        <f>IFERROR(__xludf.DUMMYFUNCTION("""COMPUTED_VALUE"""),"4 năm 3 tháng")</f>
        <v>4 năm 3 tháng</v>
      </c>
      <c r="X39" s="22"/>
      <c r="Y39" s="22"/>
      <c r="Z39" s="22"/>
    </row>
    <row r="40">
      <c r="A40" s="22">
        <f>IFERROR(__xludf.DUMMYFUNCTION("""COMPUTED_VALUE"""),8.0)</f>
        <v>8</v>
      </c>
      <c r="B40" s="22" t="str">
        <f>IFERROR(__xludf.DUMMYFUNCTION("""COMPUTED_VALUE"""),"DC5-PXSX2")</f>
        <v>DC5-PXSX2</v>
      </c>
      <c r="C40" s="22" t="str">
        <f>IFERROR(__xludf.DUMMYFUNCTION("""COMPUTED_VALUE"""),"Bộ phận Dây chuyền gia công và Lò nung")</f>
        <v>Bộ phận Dây chuyền gia công và Lò nung</v>
      </c>
      <c r="D40" s="22" t="str">
        <f>IFERROR(__xludf.DUMMYFUNCTION("""COMPUTED_VALUE"""),"Dây chuyền gia công Ca B")</f>
        <v>Dây chuyền gia công Ca B</v>
      </c>
      <c r="E40" s="22" t="str">
        <f>IFERROR(__xludf.DUMMYFUNCTION("""COMPUTED_VALUE"""),"VH máy ép")</f>
        <v>VH máy ép</v>
      </c>
      <c r="F40" s="22" t="str">
        <f>IFERROR(__xludf.DUMMYFUNCTION("""COMPUTED_VALUE"""),"NV5694")</f>
        <v>NV5694</v>
      </c>
      <c r="G40" s="22">
        <f>IFERROR(__xludf.DUMMYFUNCTION("""COMPUTED_VALUE"""),1187.0)</f>
        <v>1187</v>
      </c>
      <c r="H40" s="22" t="str">
        <f>IFERROR(__xludf.DUMMYFUNCTION("""COMPUTED_VALUE"""),"Nguyễn Trọng Đề")</f>
        <v>Nguyễn Trọng Đề</v>
      </c>
      <c r="I40" s="22" t="str">
        <f>IFERROR(__xludf.DUMMYFUNCTION("""COMPUTED_VALUE"""),"Nam")</f>
        <v>Nam</v>
      </c>
      <c r="J40" s="24">
        <f>IFERROR(__xludf.DUMMYFUNCTION("""COMPUTED_VALUE"""),33016.0)</f>
        <v>33016</v>
      </c>
      <c r="K40" s="22" t="str">
        <f>IFERROR(__xludf.DUMMYFUNCTION("""COMPUTED_VALUE"""),"Thôn Nga Linh -  Xã Quảng Bình - Tỉnh Thanh Hóa")</f>
        <v>Thôn Nga Linh -  Xã Quảng Bình - Tỉnh Thanh Hóa</v>
      </c>
      <c r="L40" s="22" t="str">
        <f>IFERROR(__xludf.DUMMYFUNCTION("""COMPUTED_VALUE"""),"0972356136")</f>
        <v>0972356136</v>
      </c>
      <c r="M40" s="22" t="str">
        <f>IFERROR(__xludf.DUMMYFUNCTION("""COMPUTED_VALUE"""),"038090038790")</f>
        <v>038090038790</v>
      </c>
      <c r="N40" s="26">
        <f>IFERROR(__xludf.DUMMYFUNCTION("""COMPUTED_VALUE"""),44887.0)</f>
        <v>44887</v>
      </c>
      <c r="O40" s="22" t="str">
        <f>IFERROR(__xludf.DUMMYFUNCTION("""COMPUTED_VALUE"""),"Cục Cảnh sát QLHC về TTXH")</f>
        <v>Cục Cảnh sát QLHC về TTXH</v>
      </c>
      <c r="P40" s="22" t="str">
        <f>IFERROR(__xludf.DUMMYFUNCTION("""COMPUTED_VALUE"""),"LĐPT")</f>
        <v>LĐPT</v>
      </c>
      <c r="Q40" s="22" t="str">
        <f>IFERROR(__xludf.DUMMYFUNCTION("""COMPUTED_VALUE"""),"Lao động phổ thông")</f>
        <v>Lao động phổ thông</v>
      </c>
      <c r="R40" s="24">
        <f>IFERROR(__xludf.DUMMYFUNCTION("""COMPUTED_VALUE"""),45908.0)</f>
        <v>45908</v>
      </c>
      <c r="S40" s="24">
        <f>IFERROR(__xludf.DUMMYFUNCTION("""COMPUTED_VALUE"""),45938.0)</f>
        <v>45938</v>
      </c>
      <c r="T40" s="22" t="str">
        <f>IFERROR(__xludf.DUMMYFUNCTION("""COMPUTED_VALUE"""),"Chính thức")</f>
        <v>Chính thức</v>
      </c>
      <c r="U40" s="22"/>
      <c r="V40" s="22" t="str">
        <f>IFERROR(__xludf.DUMMYFUNCTION("""COMPUTED_VALUE"""),"Chính thức")</f>
        <v>Chính thức</v>
      </c>
      <c r="W40" s="22" t="str">
        <f>IFERROR(__xludf.DUMMYFUNCTION("""COMPUTED_VALUE"""),"0 năm 3 tháng")</f>
        <v>0 năm 3 tháng</v>
      </c>
      <c r="X40" s="22"/>
      <c r="Y40" s="22"/>
      <c r="Z40" s="22"/>
    </row>
    <row r="41">
      <c r="A41" s="22">
        <f>IFERROR(__xludf.DUMMYFUNCTION("""COMPUTED_VALUE"""),9.0)</f>
        <v>9</v>
      </c>
      <c r="B41" s="22" t="str">
        <f>IFERROR(__xludf.DUMMYFUNCTION("""COMPUTED_VALUE"""),"DC5-PXSX2")</f>
        <v>DC5-PXSX2</v>
      </c>
      <c r="C41" s="22" t="str">
        <f>IFERROR(__xludf.DUMMYFUNCTION("""COMPUTED_VALUE"""),"Bộ phận Dây chuyền gia công và Lò nung")</f>
        <v>Bộ phận Dây chuyền gia công và Lò nung</v>
      </c>
      <c r="D41" s="22" t="str">
        <f>IFERROR(__xludf.DUMMYFUNCTION("""COMPUTED_VALUE"""),"Dây chuyền gia công Ca B")</f>
        <v>Dây chuyền gia công Ca B</v>
      </c>
      <c r="E41" s="22"/>
      <c r="F41" s="22" t="str">
        <f>IFERROR(__xludf.DUMMYFUNCTION("""COMPUTED_VALUE"""),"NV5803")</f>
        <v>NV5803</v>
      </c>
      <c r="G41" s="22">
        <f>IFERROR(__xludf.DUMMYFUNCTION("""COMPUTED_VALUE"""),1285.0)</f>
        <v>1285</v>
      </c>
      <c r="H41" s="22" t="str">
        <f>IFERROR(__xludf.DUMMYFUNCTION("""COMPUTED_VALUE"""),"Lê Trọng Hoài")</f>
        <v>Lê Trọng Hoài</v>
      </c>
      <c r="I41" s="22" t="str">
        <f>IFERROR(__xludf.DUMMYFUNCTION("""COMPUTED_VALUE"""),"Nam")</f>
        <v>Nam</v>
      </c>
      <c r="J41" s="24">
        <f>IFERROR(__xludf.DUMMYFUNCTION("""COMPUTED_VALUE"""),38969.0)</f>
        <v>38969</v>
      </c>
      <c r="K41" s="22" t="str">
        <f>IFERROR(__xludf.DUMMYFUNCTION("""COMPUTED_VALUE"""),"TDP Sơn Hải - Phường Sầm Sơn - Tỉnh Thanh Hóa")</f>
        <v>TDP Sơn Hải - Phường Sầm Sơn - Tỉnh Thanh Hóa</v>
      </c>
      <c r="L41" s="22" t="str">
        <f>IFERROR(__xludf.DUMMYFUNCTION("""COMPUTED_VALUE"""),"0379332087")</f>
        <v>0379332087</v>
      </c>
      <c r="M41" s="22" t="str">
        <f>IFERROR(__xludf.DUMMYFUNCTION("""COMPUTED_VALUE"""),"038206012909")</f>
        <v>038206012909</v>
      </c>
      <c r="N41" s="26">
        <f>IFERROR(__xludf.DUMMYFUNCTION("""COMPUTED_VALUE"""),44419.0)</f>
        <v>44419</v>
      </c>
      <c r="O41" s="22" t="str">
        <f>IFERROR(__xludf.DUMMYFUNCTION("""COMPUTED_VALUE"""),"Cục Cảnh sát QLHC về TTXH")</f>
        <v>Cục Cảnh sát QLHC về TTXH</v>
      </c>
      <c r="P41" s="22" t="str">
        <f>IFERROR(__xludf.DUMMYFUNCTION("""COMPUTED_VALUE"""),"LĐPT")</f>
        <v>LĐPT</v>
      </c>
      <c r="Q41" s="22" t="str">
        <f>IFERROR(__xludf.DUMMYFUNCTION("""COMPUTED_VALUE"""),"Lao động phổ thông")</f>
        <v>Lao động phổ thông</v>
      </c>
      <c r="R41" s="24">
        <f>IFERROR(__xludf.DUMMYFUNCTION("""COMPUTED_VALUE"""),45973.0)</f>
        <v>45973</v>
      </c>
      <c r="S41" s="24">
        <f>IFERROR(__xludf.DUMMYFUNCTION("""COMPUTED_VALUE"""),46003.0)</f>
        <v>46003</v>
      </c>
      <c r="T41" s="22" t="str">
        <f>IFERROR(__xludf.DUMMYFUNCTION("""COMPUTED_VALUE"""),"Thử việc")</f>
        <v>Thử việc</v>
      </c>
      <c r="U41" s="22"/>
      <c r="V41" s="22" t="str">
        <f>IFERROR(__xludf.DUMMYFUNCTION("""COMPUTED_VALUE"""),"Thử việc")</f>
        <v>Thử việc</v>
      </c>
      <c r="W41" s="22" t="str">
        <f>IFERROR(__xludf.DUMMYFUNCTION("""COMPUTED_VALUE"""),"0 năm 1 tháng")</f>
        <v>0 năm 1 tháng</v>
      </c>
      <c r="X41" s="22"/>
      <c r="Y41" s="22"/>
      <c r="Z41" s="22"/>
    </row>
    <row r="42">
      <c r="A42" s="22">
        <f>IFERROR(__xludf.DUMMYFUNCTION("""COMPUTED_VALUE"""),10.0)</f>
        <v>10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>
        <f>IFERROR(__xludf.DUMMYFUNCTION("""COMPUTED_VALUE"""),11.0)</f>
        <v>11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8">
        <f>IFERROR(__xludf.DUMMYFUNCTION("""COMPUTED_VALUE"""),45750.0)</f>
        <v>45750</v>
      </c>
      <c r="B44" s="22" t="str">
        <f>IFERROR(__xludf.DUMMYFUNCTION("""COMPUTED_VALUE"""),"Dây chuyền gia công Ca C")</f>
        <v>Dây chuyền gia công Ca C</v>
      </c>
      <c r="C44" s="22">
        <f>IFERROR(__xludf.DUMMYFUNCTION("""COMPUTED_VALUE"""),0.0)</f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>
        <f>IFERROR(__xludf.DUMMYFUNCTION("""COMPUTED_VALUE"""),1.0)</f>
        <v>1</v>
      </c>
      <c r="B45" s="22" t="str">
        <f>IFERROR(__xludf.DUMMYFUNCTION("""COMPUTED_VALUE"""),"#N/A")</f>
        <v>#N/A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>
        <f>IFERROR(__xludf.DUMMYFUNCTION("""COMPUTED_VALUE"""),2.0)</f>
        <v>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>
        <f>IFERROR(__xludf.DUMMYFUNCTION("""COMPUTED_VALUE"""),3.0)</f>
        <v>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>
        <f>IFERROR(__xludf.DUMMYFUNCTION("""COMPUTED_VALUE"""),4.0)</f>
        <v>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>
        <f>IFERROR(__xludf.DUMMYFUNCTION("""COMPUTED_VALUE"""),5.0)</f>
        <v>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>
        <f>IFERROR(__xludf.DUMMYFUNCTION("""COMPUTED_VALUE"""),6.0)</f>
        <v>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>
        <f>IFERROR(__xludf.DUMMYFUNCTION("""COMPUTED_VALUE"""),7.0)</f>
        <v>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>
        <f>IFERROR(__xludf.DUMMYFUNCTION("""COMPUTED_VALUE"""),8.0)</f>
        <v>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>
        <f>IFERROR(__xludf.DUMMYFUNCTION("""COMPUTED_VALUE"""),9.0)</f>
        <v>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>
        <f>IFERROR(__xludf.DUMMYFUNCTION("""COMPUTED_VALUE"""),10.0)</f>
        <v>10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8">
        <f>IFERROR(__xludf.DUMMYFUNCTION("""COMPUTED_VALUE"""),45780.0)</f>
        <v>45780</v>
      </c>
      <c r="B55" s="22" t="str">
        <f>IFERROR(__xludf.DUMMYFUNCTION("""COMPUTED_VALUE"""),"Lò nung Ca A")</f>
        <v>Lò nung Ca A</v>
      </c>
      <c r="C55" s="22">
        <f>IFERROR(__xludf.DUMMYFUNCTION("""COMPUTED_VALUE"""),8.0)</f>
        <v>8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>
        <f>IFERROR(__xludf.DUMMYFUNCTION("""COMPUTED_VALUE"""),1.0)</f>
        <v>1</v>
      </c>
      <c r="B56" s="22" t="str">
        <f>IFERROR(__xludf.DUMMYFUNCTION("""COMPUTED_VALUE"""),"DC5-PXSX2")</f>
        <v>DC5-PXSX2</v>
      </c>
      <c r="C56" s="22" t="str">
        <f>IFERROR(__xludf.DUMMYFUNCTION("""COMPUTED_VALUE"""),"Bộ phận Dây chuyền gia công và Lò nung")</f>
        <v>Bộ phận Dây chuyền gia công và Lò nung</v>
      </c>
      <c r="D56" s="22" t="str">
        <f>IFERROR(__xludf.DUMMYFUNCTION("""COMPUTED_VALUE"""),"Lò nung Ca A")</f>
        <v>Lò nung Ca A</v>
      </c>
      <c r="E56" s="22" t="str">
        <f>IFERROR(__xludf.DUMMYFUNCTION("""COMPUTED_VALUE"""),"Tổ phó")</f>
        <v>Tổ phó</v>
      </c>
      <c r="F56" s="22" t="str">
        <f>IFERROR(__xludf.DUMMYFUNCTION("""COMPUTED_VALUE"""),"NV0607")</f>
        <v>NV0607</v>
      </c>
      <c r="G56" s="22">
        <f>IFERROR(__xludf.DUMMYFUNCTION("""COMPUTED_VALUE"""),764.0)</f>
        <v>764</v>
      </c>
      <c r="H56" s="22" t="str">
        <f>IFERROR(__xludf.DUMMYFUNCTION("""COMPUTED_VALUE"""),"Lê Văn Thông")</f>
        <v>Lê Văn Thông</v>
      </c>
      <c r="I56" s="22" t="str">
        <f>IFERROR(__xludf.DUMMYFUNCTION("""COMPUTED_VALUE"""),"Nam")</f>
        <v>Nam</v>
      </c>
      <c r="J56" s="24">
        <f>IFERROR(__xludf.DUMMYFUNCTION("""COMPUTED_VALUE"""),31350.0)</f>
        <v>31350</v>
      </c>
      <c r="K56" s="22" t="str">
        <f>IFERROR(__xludf.DUMMYFUNCTION("""COMPUTED_VALUE"""),"Thôn Bột Trung -  Xã Hoằng Tân -  Huyện Hoằng Hóa -  Thanh Hóa - ")</f>
        <v>Thôn Bột Trung -  Xã Hoằng Tân -  Huyện Hoằng Hóa -  Thanh Hóa - </v>
      </c>
      <c r="L56" s="22" t="str">
        <f>IFERROR(__xludf.DUMMYFUNCTION("""COMPUTED_VALUE"""),"0342345918")</f>
        <v>0342345918</v>
      </c>
      <c r="M56" s="22" t="str">
        <f>IFERROR(__xludf.DUMMYFUNCTION("""COMPUTED_VALUE"""),"038085010617")</f>
        <v>038085010617</v>
      </c>
      <c r="N56" s="26">
        <f>IFERROR(__xludf.DUMMYFUNCTION("""COMPUTED_VALUE"""),44568.0)</f>
        <v>44568</v>
      </c>
      <c r="O56" s="22" t="str">
        <f>IFERROR(__xludf.DUMMYFUNCTION("""COMPUTED_VALUE"""),"Cục Cảnh sát QLHC về TTXH")</f>
        <v>Cục Cảnh sát QLHC về TTXH</v>
      </c>
      <c r="P56" s="22" t="str">
        <f>IFERROR(__xludf.DUMMYFUNCTION("""COMPUTED_VALUE"""),"LĐPT")</f>
        <v>LĐPT</v>
      </c>
      <c r="Q56" s="22" t="str">
        <f>IFERROR(__xludf.DUMMYFUNCTION("""COMPUTED_VALUE"""),"Lao động phổ thông")</f>
        <v>Lao động phổ thông</v>
      </c>
      <c r="R56" s="24">
        <f>IFERROR(__xludf.DUMMYFUNCTION("""COMPUTED_VALUE"""),39602.0)</f>
        <v>39602</v>
      </c>
      <c r="S56" s="24">
        <f>IFERROR(__xludf.DUMMYFUNCTION("""COMPUTED_VALUE"""),39602.0)</f>
        <v>39602</v>
      </c>
      <c r="T56" s="22" t="str">
        <f>IFERROR(__xludf.DUMMYFUNCTION("""COMPUTED_VALUE"""),"Chính thức")</f>
        <v>Chính thức</v>
      </c>
      <c r="U56" s="22"/>
      <c r="V56" s="22" t="str">
        <f>IFERROR(__xludf.DUMMYFUNCTION("""COMPUTED_VALUE"""),"Chính thức")</f>
        <v>Chính thức</v>
      </c>
      <c r="W56" s="22" t="str">
        <f>IFERROR(__xludf.DUMMYFUNCTION("""COMPUTED_VALUE"""),"17 năm 6 tháng")</f>
        <v>17 năm 6 tháng</v>
      </c>
      <c r="X56" s="22"/>
      <c r="Y56" s="22"/>
      <c r="Z56" s="22"/>
    </row>
    <row r="57">
      <c r="A57" s="22">
        <f>IFERROR(__xludf.DUMMYFUNCTION("""COMPUTED_VALUE"""),2.0)</f>
        <v>2</v>
      </c>
      <c r="B57" s="22" t="str">
        <f>IFERROR(__xludf.DUMMYFUNCTION("""COMPUTED_VALUE"""),"DC5-PXSX2")</f>
        <v>DC5-PXSX2</v>
      </c>
      <c r="C57" s="22" t="str">
        <f>IFERROR(__xludf.DUMMYFUNCTION("""COMPUTED_VALUE"""),"Bộ phận Dây chuyền gia công và Lò nung")</f>
        <v>Bộ phận Dây chuyền gia công và Lò nung</v>
      </c>
      <c r="D57" s="22" t="str">
        <f>IFERROR(__xludf.DUMMYFUNCTION("""COMPUTED_VALUE"""),"Lò nung Ca A")</f>
        <v>Lò nung Ca A</v>
      </c>
      <c r="E57" s="22" t="str">
        <f>IFERROR(__xludf.DUMMYFUNCTION("""COMPUTED_VALUE"""),"Tổ trưởng")</f>
        <v>Tổ trưởng</v>
      </c>
      <c r="F57" s="22" t="str">
        <f>IFERROR(__xludf.DUMMYFUNCTION("""COMPUTED_VALUE"""),"NV0620")</f>
        <v>NV0620</v>
      </c>
      <c r="G57" s="22">
        <f>IFERROR(__xludf.DUMMYFUNCTION("""COMPUTED_VALUE"""),414.0)</f>
        <v>414</v>
      </c>
      <c r="H57" s="22" t="str">
        <f>IFERROR(__xludf.DUMMYFUNCTION("""COMPUTED_VALUE"""),"Nguyễn Ngọc Hiếu")</f>
        <v>Nguyễn Ngọc Hiếu</v>
      </c>
      <c r="I57" s="22" t="str">
        <f>IFERROR(__xludf.DUMMYFUNCTION("""COMPUTED_VALUE"""),"Nam")</f>
        <v>Nam</v>
      </c>
      <c r="J57" s="24">
        <f>IFERROR(__xludf.DUMMYFUNCTION("""COMPUTED_VALUE"""),33008.0)</f>
        <v>33008</v>
      </c>
      <c r="K57" s="22" t="str">
        <f>IFERROR(__xludf.DUMMYFUNCTION("""COMPUTED_VALUE"""),"Thôn Phúc Thọ -  Xã Quảng Tâm -  Thành phố Thanh Hóa")</f>
        <v>Thôn Phúc Thọ -  Xã Quảng Tâm -  Thành phố Thanh Hóa</v>
      </c>
      <c r="L57" s="22" t="str">
        <f>IFERROR(__xludf.DUMMYFUNCTION("""COMPUTED_VALUE"""),"0988578791")</f>
        <v>0988578791</v>
      </c>
      <c r="M57" s="22" t="str">
        <f>IFERROR(__xludf.DUMMYFUNCTION("""COMPUTED_VALUE"""),"038090013096")</f>
        <v>038090013096</v>
      </c>
      <c r="N57" s="26">
        <f>IFERROR(__xludf.DUMMYFUNCTION("""COMPUTED_VALUE"""),44422.0)</f>
        <v>44422</v>
      </c>
      <c r="O57" s="22" t="str">
        <f>IFERROR(__xludf.DUMMYFUNCTION("""COMPUTED_VALUE"""),"Cục Cảnh sát QLHC về TTXH")</f>
        <v>Cục Cảnh sát QLHC về TTXH</v>
      </c>
      <c r="P57" s="22" t="str">
        <f>IFERROR(__xludf.DUMMYFUNCTION("""COMPUTED_VALUE"""),"LĐPT")</f>
        <v>LĐPT</v>
      </c>
      <c r="Q57" s="22" t="str">
        <f>IFERROR(__xludf.DUMMYFUNCTION("""COMPUTED_VALUE"""),"Lao động phổ thông")</f>
        <v>Lao động phổ thông</v>
      </c>
      <c r="R57" s="24">
        <f>IFERROR(__xludf.DUMMYFUNCTION("""COMPUTED_VALUE"""),42486.0)</f>
        <v>42486</v>
      </c>
      <c r="S57" s="24">
        <f>IFERROR(__xludf.DUMMYFUNCTION("""COMPUTED_VALUE"""),42856.0)</f>
        <v>42856</v>
      </c>
      <c r="T57" s="22" t="str">
        <f>IFERROR(__xludf.DUMMYFUNCTION("""COMPUTED_VALUE"""),"Chính thức")</f>
        <v>Chính thức</v>
      </c>
      <c r="U57" s="22"/>
      <c r="V57" s="22" t="str">
        <f>IFERROR(__xludf.DUMMYFUNCTION("""COMPUTED_VALUE"""),"Chính thức")</f>
        <v>Chính thức</v>
      </c>
      <c r="W57" s="22" t="str">
        <f>IFERROR(__xludf.DUMMYFUNCTION("""COMPUTED_VALUE"""),"9 năm 8 tháng")</f>
        <v>9 năm 8 tháng</v>
      </c>
      <c r="X57" s="22"/>
      <c r="Y57" s="22"/>
      <c r="Z57" s="22"/>
    </row>
    <row r="58">
      <c r="A58" s="22">
        <f>IFERROR(__xludf.DUMMYFUNCTION("""COMPUTED_VALUE"""),3.0)</f>
        <v>3</v>
      </c>
      <c r="B58" s="22" t="str">
        <f>IFERROR(__xludf.DUMMYFUNCTION("""COMPUTED_VALUE"""),"DC5-PXSX2")</f>
        <v>DC5-PXSX2</v>
      </c>
      <c r="C58" s="22" t="str">
        <f>IFERROR(__xludf.DUMMYFUNCTION("""COMPUTED_VALUE"""),"Bộ phận Dây chuyền gia công và Lò nung")</f>
        <v>Bộ phận Dây chuyền gia công và Lò nung</v>
      </c>
      <c r="D58" s="22" t="str">
        <f>IFERROR(__xludf.DUMMYFUNCTION("""COMPUTED_VALUE"""),"Lò nung Ca A")</f>
        <v>Lò nung Ca A</v>
      </c>
      <c r="E58" s="22" t="str">
        <f>IFERROR(__xludf.DUMMYFUNCTION("""COMPUTED_VALUE"""),"VHC lò men")</f>
        <v>VHC lò men</v>
      </c>
      <c r="F58" s="22" t="str">
        <f>IFERROR(__xludf.DUMMYFUNCTION("""COMPUTED_VALUE"""),"NV0879")</f>
        <v>NV0879</v>
      </c>
      <c r="G58" s="22">
        <f>IFERROR(__xludf.DUMMYFUNCTION("""COMPUTED_VALUE"""),417.0)</f>
        <v>417</v>
      </c>
      <c r="H58" s="22" t="str">
        <f>IFERROR(__xludf.DUMMYFUNCTION("""COMPUTED_VALUE"""),"Lê Minh Chung")</f>
        <v>Lê Minh Chung</v>
      </c>
      <c r="I58" s="22" t="str">
        <f>IFERROR(__xludf.DUMMYFUNCTION("""COMPUTED_VALUE"""),"Nam")</f>
        <v>Nam</v>
      </c>
      <c r="J58" s="24">
        <f>IFERROR(__xludf.DUMMYFUNCTION("""COMPUTED_VALUE"""),28887.0)</f>
        <v>28887</v>
      </c>
      <c r="K58" s="22" t="str">
        <f>IFERROR(__xludf.DUMMYFUNCTION("""COMPUTED_VALUE"""),"Phố Lai Thành -  Xã Đông Hải -  Thành phố Thanh Hóa -  Thanh Hóa -  Việt Nam")</f>
        <v>Phố Lai Thành -  Xã Đông Hải -  Thành phố Thanh Hóa -  Thanh Hóa -  Việt Nam</v>
      </c>
      <c r="L58" s="22" t="str">
        <f>IFERROR(__xludf.DUMMYFUNCTION("""COMPUTED_VALUE"""),"0941898099")</f>
        <v>0941898099</v>
      </c>
      <c r="M58" s="22" t="str">
        <f>IFERROR(__xludf.DUMMYFUNCTION("""COMPUTED_VALUE"""),"038079027286")</f>
        <v>038079027286</v>
      </c>
      <c r="N58" s="26">
        <f>IFERROR(__xludf.DUMMYFUNCTION("""COMPUTED_VALUE"""),44422.0)</f>
        <v>44422</v>
      </c>
      <c r="O58" s="22" t="str">
        <f>IFERROR(__xludf.DUMMYFUNCTION("""COMPUTED_VALUE"""),"Cục Cảnh sát QLHC về TTXH")</f>
        <v>Cục Cảnh sát QLHC về TTXH</v>
      </c>
      <c r="P58" s="22" t="str">
        <f>IFERROR(__xludf.DUMMYFUNCTION("""COMPUTED_VALUE"""),"LĐPT")</f>
        <v>LĐPT</v>
      </c>
      <c r="Q58" s="22" t="str">
        <f>IFERROR(__xludf.DUMMYFUNCTION("""COMPUTED_VALUE"""),"Lao động phổ thông")</f>
        <v>Lao động phổ thông</v>
      </c>
      <c r="R58" s="24">
        <f>IFERROR(__xludf.DUMMYFUNCTION("""COMPUTED_VALUE"""),42788.0)</f>
        <v>42788</v>
      </c>
      <c r="S58" s="24">
        <f>IFERROR(__xludf.DUMMYFUNCTION("""COMPUTED_VALUE"""),43106.0)</f>
        <v>43106</v>
      </c>
      <c r="T58" s="22" t="str">
        <f>IFERROR(__xludf.DUMMYFUNCTION("""COMPUTED_VALUE"""),"Chính thức")</f>
        <v>Chính thức</v>
      </c>
      <c r="U58" s="22"/>
      <c r="V58" s="22" t="str">
        <f>IFERROR(__xludf.DUMMYFUNCTION("""COMPUTED_VALUE"""),"Chính thức")</f>
        <v>Chính thức</v>
      </c>
      <c r="W58" s="22" t="str">
        <f>IFERROR(__xludf.DUMMYFUNCTION("""COMPUTED_VALUE"""),"8 năm 10 tháng")</f>
        <v>8 năm 10 tháng</v>
      </c>
      <c r="X58" s="22"/>
      <c r="Y58" s="22"/>
      <c r="Z58" s="22"/>
    </row>
    <row r="59">
      <c r="A59" s="22">
        <f>IFERROR(__xludf.DUMMYFUNCTION("""COMPUTED_VALUE"""),4.0)</f>
        <v>4</v>
      </c>
      <c r="B59" s="22" t="str">
        <f>IFERROR(__xludf.DUMMYFUNCTION("""COMPUTED_VALUE"""),"DC5-PXSX2")</f>
        <v>DC5-PXSX2</v>
      </c>
      <c r="C59" s="22" t="str">
        <f>IFERROR(__xludf.DUMMYFUNCTION("""COMPUTED_VALUE"""),"Bộ phận Dây chuyền gia công và Lò nung")</f>
        <v>Bộ phận Dây chuyền gia công và Lò nung</v>
      </c>
      <c r="D59" s="22" t="str">
        <f>IFERROR(__xludf.DUMMYFUNCTION("""COMPUTED_VALUE"""),"Lò nung Ca A")</f>
        <v>Lò nung Ca A</v>
      </c>
      <c r="E59" s="22" t="str">
        <f>IFERROR(__xludf.DUMMYFUNCTION("""COMPUTED_VALUE"""),"VHC lò xương")</f>
        <v>VHC lò xương</v>
      </c>
      <c r="F59" s="22" t="str">
        <f>IFERROR(__xludf.DUMMYFUNCTION("""COMPUTED_VALUE"""),"NV5438")</f>
        <v>NV5438</v>
      </c>
      <c r="G59" s="22">
        <f>IFERROR(__xludf.DUMMYFUNCTION("""COMPUTED_VALUE"""),898.0)</f>
        <v>898</v>
      </c>
      <c r="H59" s="22" t="str">
        <f>IFERROR(__xludf.DUMMYFUNCTION("""COMPUTED_VALUE"""),"Hoàng Khắc Trường")</f>
        <v>Hoàng Khắc Trường</v>
      </c>
      <c r="I59" s="22" t="str">
        <f>IFERROR(__xludf.DUMMYFUNCTION("""COMPUTED_VALUE"""),"Nam")</f>
        <v>Nam</v>
      </c>
      <c r="J59" s="24">
        <f>IFERROR(__xludf.DUMMYFUNCTION("""COMPUTED_VALUE"""),38215.0)</f>
        <v>38215</v>
      </c>
      <c r="K59" s="22" t="str">
        <f>IFERROR(__xludf.DUMMYFUNCTION("""COMPUTED_VALUE"""),"Thôn Quan Trung 3 - Xã Thiệu Tiến - Huyện Thiệu Hóa - Tỉnh Thanh Hóa")</f>
        <v>Thôn Quan Trung 3 - Xã Thiệu Tiến - Huyện Thiệu Hóa - Tỉnh Thanh Hóa</v>
      </c>
      <c r="L59" s="22" t="str">
        <f>IFERROR(__xludf.DUMMYFUNCTION("""COMPUTED_VALUE"""),"0564667838")</f>
        <v>0564667838</v>
      </c>
      <c r="M59" s="22" t="str">
        <f>IFERROR(__xludf.DUMMYFUNCTION("""COMPUTED_VALUE"""),"038204007828")</f>
        <v>038204007828</v>
      </c>
      <c r="N59" s="26">
        <f>IFERROR(__xludf.DUMMYFUNCTION("""COMPUTED_VALUE"""),44420.0)</f>
        <v>44420</v>
      </c>
      <c r="O59" s="22" t="str">
        <f>IFERROR(__xludf.DUMMYFUNCTION("""COMPUTED_VALUE"""),"Cục Cảnh sát QLHC về TTXH")</f>
        <v>Cục Cảnh sát QLHC về TTXH</v>
      </c>
      <c r="P59" s="22" t="str">
        <f>IFERROR(__xludf.DUMMYFUNCTION("""COMPUTED_VALUE"""),"LĐPT")</f>
        <v>LĐPT</v>
      </c>
      <c r="Q59" s="22" t="str">
        <f>IFERROR(__xludf.DUMMYFUNCTION("""COMPUTED_VALUE"""),"Lao động phổ thông")</f>
        <v>Lao động phổ thông</v>
      </c>
      <c r="R59" s="24">
        <f>IFERROR(__xludf.DUMMYFUNCTION("""COMPUTED_VALUE"""),45740.0)</f>
        <v>45740</v>
      </c>
      <c r="S59" s="24">
        <f>IFERROR(__xludf.DUMMYFUNCTION("""COMPUTED_VALUE"""),45787.0)</f>
        <v>45787</v>
      </c>
      <c r="T59" s="22" t="str">
        <f>IFERROR(__xludf.DUMMYFUNCTION("""COMPUTED_VALUE"""),"Chính thức")</f>
        <v>Chính thức</v>
      </c>
      <c r="U59" s="22"/>
      <c r="V59" s="22" t="str">
        <f>IFERROR(__xludf.DUMMYFUNCTION("""COMPUTED_VALUE"""),"Chính thức")</f>
        <v>Chính thức</v>
      </c>
      <c r="W59" s="22" t="str">
        <f>IFERROR(__xludf.DUMMYFUNCTION("""COMPUTED_VALUE"""),"0 năm 9 tháng")</f>
        <v>0 năm 9 tháng</v>
      </c>
      <c r="X59" s="22"/>
      <c r="Y59" s="22"/>
      <c r="Z59" s="22"/>
    </row>
    <row r="60">
      <c r="A60" s="22">
        <f>IFERROR(__xludf.DUMMYFUNCTION("""COMPUTED_VALUE"""),5.0)</f>
        <v>5</v>
      </c>
      <c r="B60" s="22" t="str">
        <f>IFERROR(__xludf.DUMMYFUNCTION("""COMPUTED_VALUE"""),"DC5-PXSX2")</f>
        <v>DC5-PXSX2</v>
      </c>
      <c r="C60" s="22" t="str">
        <f>IFERROR(__xludf.DUMMYFUNCTION("""COMPUTED_VALUE"""),"Bộ phận Dây chuyền gia công và Lò nung")</f>
        <v>Bộ phận Dây chuyền gia công và Lò nung</v>
      </c>
      <c r="D60" s="22" t="str">
        <f>IFERROR(__xludf.DUMMYFUNCTION("""COMPUTED_VALUE"""),"Lò nung Ca A")</f>
        <v>Lò nung Ca A</v>
      </c>
      <c r="E60" s="22" t="str">
        <f>IFERROR(__xludf.DUMMYFUNCTION("""COMPUTED_VALUE"""),"VH bảo trì lò Xương - Men")</f>
        <v>VH bảo trì lò Xương - Men</v>
      </c>
      <c r="F60" s="22" t="str">
        <f>IFERROR(__xludf.DUMMYFUNCTION("""COMPUTED_VALUE"""),"NV5508")</f>
        <v>NV5508</v>
      </c>
      <c r="G60" s="22">
        <f>IFERROR(__xludf.DUMMYFUNCTION("""COMPUTED_VALUE"""),991.0)</f>
        <v>991</v>
      </c>
      <c r="H60" s="22" t="str">
        <f>IFERROR(__xludf.DUMMYFUNCTION("""COMPUTED_VALUE"""),"Đỗ Văn Cương")</f>
        <v>Đỗ Văn Cương</v>
      </c>
      <c r="I60" s="22" t="str">
        <f>IFERROR(__xludf.DUMMYFUNCTION("""COMPUTED_VALUE"""),"Nam")</f>
        <v>Nam</v>
      </c>
      <c r="J60" s="24">
        <f>IFERROR(__xludf.DUMMYFUNCTION("""COMPUTED_VALUE"""),31079.0)</f>
        <v>31079</v>
      </c>
      <c r="K60" s="22" t="str">
        <f>IFERROR(__xludf.DUMMYFUNCTION("""COMPUTED_VALUE"""),"Phường Trúc Lâm - Tỉnh Thanh Hóa")</f>
        <v>Phường Trúc Lâm - Tỉnh Thanh Hóa</v>
      </c>
      <c r="L60" s="22" t="str">
        <f>IFERROR(__xludf.DUMMYFUNCTION("""COMPUTED_VALUE"""),"0329888740")</f>
        <v>0329888740</v>
      </c>
      <c r="M60" s="22" t="str">
        <f>IFERROR(__xludf.DUMMYFUNCTION("""COMPUTED_VALUE"""),"038202015573")</f>
        <v>038202015573</v>
      </c>
      <c r="N60" s="26">
        <f>IFERROR(__xludf.DUMMYFUNCTION("""COMPUTED_VALUE"""),44423.0)</f>
        <v>44423</v>
      </c>
      <c r="O60" s="22" t="str">
        <f>IFERROR(__xludf.DUMMYFUNCTION("""COMPUTED_VALUE"""),"Cục Cảnh sát QLHC về TTXH")</f>
        <v>Cục Cảnh sát QLHC về TTXH</v>
      </c>
      <c r="P60" s="22" t="str">
        <f>IFERROR(__xludf.DUMMYFUNCTION("""COMPUTED_VALUE"""),"LĐPT")</f>
        <v>LĐPT</v>
      </c>
      <c r="Q60" s="22" t="str">
        <f>IFERROR(__xludf.DUMMYFUNCTION("""COMPUTED_VALUE"""),"Lao động phổ thông")</f>
        <v>Lao động phổ thông</v>
      </c>
      <c r="R60" s="24">
        <f>IFERROR(__xludf.DUMMYFUNCTION("""COMPUTED_VALUE"""),45811.0)</f>
        <v>45811</v>
      </c>
      <c r="S60" s="24">
        <f>IFERROR(__xludf.DUMMYFUNCTION("""COMPUTED_VALUE"""),45841.0)</f>
        <v>45841</v>
      </c>
      <c r="T60" s="22" t="str">
        <f>IFERROR(__xludf.DUMMYFUNCTION("""COMPUTED_VALUE"""),"Chính thức")</f>
        <v>Chính thức</v>
      </c>
      <c r="U60" s="22"/>
      <c r="V60" s="22" t="str">
        <f>IFERROR(__xludf.DUMMYFUNCTION("""COMPUTED_VALUE"""),"Chính thức")</f>
        <v>Chính thức</v>
      </c>
      <c r="W60" s="22" t="str">
        <f>IFERROR(__xludf.DUMMYFUNCTION("""COMPUTED_VALUE"""),"0 năm 6 tháng")</f>
        <v>0 năm 6 tháng</v>
      </c>
      <c r="X60" s="22"/>
      <c r="Y60" s="22"/>
      <c r="Z60" s="22"/>
    </row>
    <row r="61">
      <c r="A61" s="22">
        <f>IFERROR(__xludf.DUMMYFUNCTION("""COMPUTED_VALUE"""),6.0)</f>
        <v>6</v>
      </c>
      <c r="B61" s="22" t="str">
        <f>IFERROR(__xludf.DUMMYFUNCTION("""COMPUTED_VALUE"""),"DC5-PXSX2")</f>
        <v>DC5-PXSX2</v>
      </c>
      <c r="C61" s="22" t="str">
        <f>IFERROR(__xludf.DUMMYFUNCTION("""COMPUTED_VALUE"""),"Bộ phận Dây chuyền gia công và Lò nung")</f>
        <v>Bộ phận Dây chuyền gia công và Lò nung</v>
      </c>
      <c r="D61" s="22" t="str">
        <f>IFERROR(__xludf.DUMMYFUNCTION("""COMPUTED_VALUE"""),"Lò nung Ca A")</f>
        <v>Lò nung Ca A</v>
      </c>
      <c r="E61" s="22" t="str">
        <f>IFERROR(__xludf.DUMMYFUNCTION("""COMPUTED_VALUE"""),"VHC lò xương")</f>
        <v>VHC lò xương</v>
      </c>
      <c r="F61" s="22" t="str">
        <f>IFERROR(__xludf.DUMMYFUNCTION("""COMPUTED_VALUE"""),"NV5569")</f>
        <v>NV5569</v>
      </c>
      <c r="G61" s="22">
        <f>IFERROR(__xludf.DUMMYFUNCTION("""COMPUTED_VALUE"""),1055.0)</f>
        <v>1055</v>
      </c>
      <c r="H61" s="22" t="str">
        <f>IFERROR(__xludf.DUMMYFUNCTION("""COMPUTED_VALUE"""),"Đào Quang Hiếu")</f>
        <v>Đào Quang Hiếu</v>
      </c>
      <c r="I61" s="22" t="str">
        <f>IFERROR(__xludf.DUMMYFUNCTION("""COMPUTED_VALUE"""),"Nam")</f>
        <v>Nam</v>
      </c>
      <c r="J61" s="24">
        <f>IFERROR(__xludf.DUMMYFUNCTION("""COMPUTED_VALUE"""),34168.0)</f>
        <v>34168</v>
      </c>
      <c r="K61" s="22" t="str">
        <f>IFERROR(__xludf.DUMMYFUNCTION("""COMPUTED_VALUE"""),"Xã Lưu Vệ - Tỉnh Thanh Hóa")</f>
        <v>Xã Lưu Vệ - Tỉnh Thanh Hóa</v>
      </c>
      <c r="L61" s="22" t="str">
        <f>IFERROR(__xludf.DUMMYFUNCTION("""COMPUTED_VALUE"""),"0355255995")</f>
        <v>0355255995</v>
      </c>
      <c r="M61" s="22" t="str">
        <f>IFERROR(__xludf.DUMMYFUNCTION("""COMPUTED_VALUE"""),"038093002549")</f>
        <v>038093002549</v>
      </c>
      <c r="N61" s="26">
        <f>IFERROR(__xludf.DUMMYFUNCTION("""COMPUTED_VALUE"""),45557.0)</f>
        <v>45557</v>
      </c>
      <c r="O61" s="22" t="str">
        <f>IFERROR(__xludf.DUMMYFUNCTION("""COMPUTED_VALUE"""),"Bộ công an")</f>
        <v>Bộ công an</v>
      </c>
      <c r="P61" s="22" t="str">
        <f>IFERROR(__xludf.DUMMYFUNCTION("""COMPUTED_VALUE"""),"LĐPT")</f>
        <v>LĐPT</v>
      </c>
      <c r="Q61" s="22" t="str">
        <f>IFERROR(__xludf.DUMMYFUNCTION("""COMPUTED_VALUE"""),"Lao động phổ thông")</f>
        <v>Lao động phổ thông</v>
      </c>
      <c r="R61" s="24">
        <f>IFERROR(__xludf.DUMMYFUNCTION("""COMPUTED_VALUE"""),45834.0)</f>
        <v>45834</v>
      </c>
      <c r="S61" s="24">
        <f>IFERROR(__xludf.DUMMYFUNCTION("""COMPUTED_VALUE"""),45864.0)</f>
        <v>45864</v>
      </c>
      <c r="T61" s="22" t="str">
        <f>IFERROR(__xludf.DUMMYFUNCTION("""COMPUTED_VALUE"""),"Chính thức")</f>
        <v>Chính thức</v>
      </c>
      <c r="U61" s="22"/>
      <c r="V61" s="22" t="str">
        <f>IFERROR(__xludf.DUMMYFUNCTION("""COMPUTED_VALUE"""),"Chính thức")</f>
        <v>Chính thức</v>
      </c>
      <c r="W61" s="22" t="str">
        <f>IFERROR(__xludf.DUMMYFUNCTION("""COMPUTED_VALUE"""),"0 năm 6 tháng")</f>
        <v>0 năm 6 tháng</v>
      </c>
      <c r="X61" s="22"/>
      <c r="Y61" s="22"/>
      <c r="Z61" s="22"/>
    </row>
    <row r="62">
      <c r="A62" s="22">
        <f>IFERROR(__xludf.DUMMYFUNCTION("""COMPUTED_VALUE"""),7.0)</f>
        <v>7</v>
      </c>
      <c r="B62" s="22" t="str">
        <f>IFERROR(__xludf.DUMMYFUNCTION("""COMPUTED_VALUE"""),"DC5-PXSX2")</f>
        <v>DC5-PXSX2</v>
      </c>
      <c r="C62" s="22" t="str">
        <f>IFERROR(__xludf.DUMMYFUNCTION("""COMPUTED_VALUE"""),"Bộ phận Dây chuyền gia công và Lò nung")</f>
        <v>Bộ phận Dây chuyền gia công và Lò nung</v>
      </c>
      <c r="D62" s="22" t="str">
        <f>IFERROR(__xludf.DUMMYFUNCTION("""COMPUTED_VALUE"""),"Lò nung Ca A")</f>
        <v>Lò nung Ca A</v>
      </c>
      <c r="E62" s="22"/>
      <c r="F62" s="22" t="str">
        <f>IFERROR(__xludf.DUMMYFUNCTION("""COMPUTED_VALUE"""),"NV5743")</f>
        <v>NV5743</v>
      </c>
      <c r="G62" s="22">
        <f>IFERROR(__xludf.DUMMYFUNCTION("""COMPUTED_VALUE"""),1224.0)</f>
        <v>1224</v>
      </c>
      <c r="H62" s="22" t="str">
        <f>IFERROR(__xludf.DUMMYFUNCTION("""COMPUTED_VALUE"""),"Hoàng Khắc Cảnh")</f>
        <v>Hoàng Khắc Cảnh</v>
      </c>
      <c r="I62" s="22" t="str">
        <f>IFERROR(__xludf.DUMMYFUNCTION("""COMPUTED_VALUE"""),"Nam")</f>
        <v>Nam</v>
      </c>
      <c r="J62" s="24">
        <f>IFERROR(__xludf.DUMMYFUNCTION("""COMPUTED_VALUE"""),32997.0)</f>
        <v>32997</v>
      </c>
      <c r="K62" s="22" t="str">
        <f>IFERROR(__xludf.DUMMYFUNCTION("""COMPUTED_VALUE"""),"Quang Trung 3 - Xã Thiệu Tiến - Tỉnh Thanh Hóa")</f>
        <v>Quang Trung 3 - Xã Thiệu Tiến - Tỉnh Thanh Hóa</v>
      </c>
      <c r="L62" s="22" t="str">
        <f>IFERROR(__xludf.DUMMYFUNCTION("""COMPUTED_VALUE"""),"0983965689")</f>
        <v>0983965689</v>
      </c>
      <c r="M62" s="22" t="str">
        <f>IFERROR(__xludf.DUMMYFUNCTION("""COMPUTED_VALUE"""),"038090002863")</f>
        <v>038090002863</v>
      </c>
      <c r="N62" s="26">
        <f>IFERROR(__xludf.DUMMYFUNCTION("""COMPUTED_VALUE"""),44420.0)</f>
        <v>44420</v>
      </c>
      <c r="O62" s="22" t="str">
        <f>IFERROR(__xludf.DUMMYFUNCTION("""COMPUTED_VALUE"""),"Cục Cảnh sát QLHC về TTXH")</f>
        <v>Cục Cảnh sát QLHC về TTXH</v>
      </c>
      <c r="P62" s="22" t="str">
        <f>IFERROR(__xludf.DUMMYFUNCTION("""COMPUTED_VALUE"""),"LĐPT")</f>
        <v>LĐPT</v>
      </c>
      <c r="Q62" s="22" t="str">
        <f>IFERROR(__xludf.DUMMYFUNCTION("""COMPUTED_VALUE"""),"Lao động phổ thông")</f>
        <v>Lao động phổ thông</v>
      </c>
      <c r="R62" s="24">
        <f>IFERROR(__xludf.DUMMYFUNCTION("""COMPUTED_VALUE"""),45934.0)</f>
        <v>45934</v>
      </c>
      <c r="S62" s="24">
        <f>IFERROR(__xludf.DUMMYFUNCTION("""COMPUTED_VALUE"""),45965.0)</f>
        <v>45965</v>
      </c>
      <c r="T62" s="22" t="str">
        <f>IFERROR(__xludf.DUMMYFUNCTION("""COMPUTED_VALUE"""),"Chính thức")</f>
        <v>Chính thức</v>
      </c>
      <c r="U62" s="22"/>
      <c r="V62" s="22" t="str">
        <f>IFERROR(__xludf.DUMMYFUNCTION("""COMPUTED_VALUE"""),"Chính thức")</f>
        <v>Chính thức</v>
      </c>
      <c r="W62" s="22" t="str">
        <f>IFERROR(__xludf.DUMMYFUNCTION("""COMPUTED_VALUE"""),"0 năm 2 tháng")</f>
        <v>0 năm 2 tháng</v>
      </c>
      <c r="X62" s="22"/>
      <c r="Y62" s="22"/>
      <c r="Z62" s="22"/>
    </row>
    <row r="63">
      <c r="A63" s="22">
        <f>IFERROR(__xludf.DUMMYFUNCTION("""COMPUTED_VALUE"""),8.0)</f>
        <v>8</v>
      </c>
      <c r="B63" s="22" t="str">
        <f>IFERROR(__xludf.DUMMYFUNCTION("""COMPUTED_VALUE"""),"DC5-PXSX2")</f>
        <v>DC5-PXSX2</v>
      </c>
      <c r="C63" s="22" t="str">
        <f>IFERROR(__xludf.DUMMYFUNCTION("""COMPUTED_VALUE"""),"Bộ phận Dây chuyền gia công và Lò nung")</f>
        <v>Bộ phận Dây chuyền gia công và Lò nung</v>
      </c>
      <c r="D63" s="22" t="str">
        <f>IFERROR(__xludf.DUMMYFUNCTION("""COMPUTED_VALUE"""),"Lò nung Ca A")</f>
        <v>Lò nung Ca A</v>
      </c>
      <c r="E63" s="22"/>
      <c r="F63" s="22" t="str">
        <f>IFERROR(__xludf.DUMMYFUNCTION("""COMPUTED_VALUE"""),"NV5789")</f>
        <v>NV5789</v>
      </c>
      <c r="G63" s="22">
        <f>IFERROR(__xludf.DUMMYFUNCTION("""COMPUTED_VALUE"""),1272.0)</f>
        <v>1272</v>
      </c>
      <c r="H63" s="22" t="str">
        <f>IFERROR(__xludf.DUMMYFUNCTION("""COMPUTED_VALUE"""),"Lê Thế Minh")</f>
        <v>Lê Thế Minh</v>
      </c>
      <c r="I63" s="22" t="str">
        <f>IFERROR(__xludf.DUMMYFUNCTION("""COMPUTED_VALUE"""),"Nam")</f>
        <v>Nam</v>
      </c>
      <c r="J63" s="24">
        <f>IFERROR(__xludf.DUMMYFUNCTION("""COMPUTED_VALUE"""),31828.0)</f>
        <v>31828</v>
      </c>
      <c r="K63" s="22" t="str">
        <f>IFERROR(__xludf.DUMMYFUNCTION("""COMPUTED_VALUE"""),"Thôn Hà Nội - Xã Hoằng Sơn - Tỉnh Thanh Hóa")</f>
        <v>Thôn Hà Nội - Xã Hoằng Sơn - Tỉnh Thanh Hóa</v>
      </c>
      <c r="L63" s="22" t="str">
        <f>IFERROR(__xludf.DUMMYFUNCTION("""COMPUTED_VALUE"""),"0826366620")</f>
        <v>0826366620</v>
      </c>
      <c r="M63" s="22" t="str">
        <f>IFERROR(__xludf.DUMMYFUNCTION("""COMPUTED_VALUE"""),"038087002917")</f>
        <v>038087002917</v>
      </c>
      <c r="N63" s="26">
        <f>IFERROR(__xludf.DUMMYFUNCTION("""COMPUTED_VALUE"""),44938.0)</f>
        <v>44938</v>
      </c>
      <c r="O63" s="22" t="str">
        <f>IFERROR(__xludf.DUMMYFUNCTION("""COMPUTED_VALUE"""),"Cục Cảnh sát QLHC về TTXH")</f>
        <v>Cục Cảnh sát QLHC về TTXH</v>
      </c>
      <c r="P63" s="22" t="str">
        <f>IFERROR(__xludf.DUMMYFUNCTION("""COMPUTED_VALUE"""),"LĐPT")</f>
        <v>LĐPT</v>
      </c>
      <c r="Q63" s="22" t="str">
        <f>IFERROR(__xludf.DUMMYFUNCTION("""COMPUTED_VALUE"""),"Lao động phổ thông")</f>
        <v>Lao động phổ thông</v>
      </c>
      <c r="R63" s="24">
        <f>IFERROR(__xludf.DUMMYFUNCTION("""COMPUTED_VALUE"""),45965.0)</f>
        <v>45965</v>
      </c>
      <c r="S63" s="24">
        <f>IFERROR(__xludf.DUMMYFUNCTION("""COMPUTED_VALUE"""),45995.0)</f>
        <v>45995</v>
      </c>
      <c r="T63" s="22" t="str">
        <f>IFERROR(__xludf.DUMMYFUNCTION("""COMPUTED_VALUE"""),"Thử việc")</f>
        <v>Thử việc</v>
      </c>
      <c r="U63" s="22"/>
      <c r="V63" s="22" t="str">
        <f>IFERROR(__xludf.DUMMYFUNCTION("""COMPUTED_VALUE"""),"Thử việc")</f>
        <v>Thử việc</v>
      </c>
      <c r="W63" s="22" t="str">
        <f>IFERROR(__xludf.DUMMYFUNCTION("""COMPUTED_VALUE"""),"0 năm 1 tháng")</f>
        <v>0 năm 1 tháng</v>
      </c>
      <c r="X63" s="22"/>
      <c r="Y63" s="22"/>
      <c r="Z63" s="22"/>
    </row>
    <row r="64">
      <c r="A64" s="22">
        <f>IFERROR(__xludf.DUMMYFUNCTION("""COMPUTED_VALUE"""),9.0)</f>
        <v>9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>
        <f>IFERROR(__xludf.DUMMYFUNCTION("""COMPUTED_VALUE"""),10.0)</f>
        <v>10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8">
        <f>IFERROR(__xludf.DUMMYFUNCTION("""COMPUTED_VALUE"""),45811.0)</f>
        <v>45811</v>
      </c>
      <c r="B66" s="22" t="str">
        <f>IFERROR(__xludf.DUMMYFUNCTION("""COMPUTED_VALUE"""),"Lò nung Ca B")</f>
        <v>Lò nung Ca B</v>
      </c>
      <c r="C66" s="22">
        <f>IFERROR(__xludf.DUMMYFUNCTION("""COMPUTED_VALUE"""),8.0)</f>
        <v>8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>
        <f>IFERROR(__xludf.DUMMYFUNCTION("""COMPUTED_VALUE"""),1.0)</f>
        <v>1</v>
      </c>
      <c r="B67" s="22" t="str">
        <f>IFERROR(__xludf.DUMMYFUNCTION("""COMPUTED_VALUE"""),"DC5-PXSX2")</f>
        <v>DC5-PXSX2</v>
      </c>
      <c r="C67" s="22" t="str">
        <f>IFERROR(__xludf.DUMMYFUNCTION("""COMPUTED_VALUE"""),"Bộ phận Dây chuyền gia công và Lò nung")</f>
        <v>Bộ phận Dây chuyền gia công và Lò nung</v>
      </c>
      <c r="D67" s="22" t="str">
        <f>IFERROR(__xludf.DUMMYFUNCTION("""COMPUTED_VALUE"""),"Lò nung Ca B")</f>
        <v>Lò nung Ca B</v>
      </c>
      <c r="E67" s="22" t="str">
        <f>IFERROR(__xludf.DUMMYFUNCTION("""COMPUTED_VALUE"""),"VH Bấm line")</f>
        <v>VH Bấm line</v>
      </c>
      <c r="F67" s="22" t="str">
        <f>IFERROR(__xludf.DUMMYFUNCTION("""COMPUTED_VALUE"""),"NV5170")</f>
        <v>NV5170</v>
      </c>
      <c r="G67" s="22">
        <f>IFERROR(__xludf.DUMMYFUNCTION("""COMPUTED_VALUE"""),354.0)</f>
        <v>354</v>
      </c>
      <c r="H67" s="22" t="str">
        <f>IFERROR(__xludf.DUMMYFUNCTION("""COMPUTED_VALUE"""),"Đàm Lê Lực")</f>
        <v>Đàm Lê Lực</v>
      </c>
      <c r="I67" s="22" t="str">
        <f>IFERROR(__xludf.DUMMYFUNCTION("""COMPUTED_VALUE"""),"Nam")</f>
        <v>Nam</v>
      </c>
      <c r="J67" s="24">
        <f>IFERROR(__xludf.DUMMYFUNCTION("""COMPUTED_VALUE"""),26208.0)</f>
        <v>26208</v>
      </c>
      <c r="K67" s="22" t="str">
        <f>IFERROR(__xludf.DUMMYFUNCTION("""COMPUTED_VALUE"""),"Phường Quảng Thịnh -  thành phố Thanh Hóa")</f>
        <v>Phường Quảng Thịnh -  thành phố Thanh Hóa</v>
      </c>
      <c r="L67" s="22" t="str">
        <f>IFERROR(__xludf.DUMMYFUNCTION("""COMPUTED_VALUE"""),"0815169202")</f>
        <v>0815169202</v>
      </c>
      <c r="M67" s="22" t="str">
        <f>IFERROR(__xludf.DUMMYFUNCTION("""COMPUTED_VALUE"""),"038071029798")</f>
        <v>038071029798</v>
      </c>
      <c r="N67" s="26">
        <f>IFERROR(__xludf.DUMMYFUNCTION("""COMPUTED_VALUE"""),44375.0)</f>
        <v>44375</v>
      </c>
      <c r="O67" s="22" t="str">
        <f>IFERROR(__xludf.DUMMYFUNCTION("""COMPUTED_VALUE"""),"Cục Cảnh sát QLHC về TTXH")</f>
        <v>Cục Cảnh sát QLHC về TTXH</v>
      </c>
      <c r="P67" s="22" t="str">
        <f>IFERROR(__xludf.DUMMYFUNCTION("""COMPUTED_VALUE"""),"Lao động phổ thông")</f>
        <v>Lao động phổ thông</v>
      </c>
      <c r="Q67" s="22" t="str">
        <f>IFERROR(__xludf.DUMMYFUNCTION("""COMPUTED_VALUE"""),"Lao động phổ thông")</f>
        <v>Lao động phổ thông</v>
      </c>
      <c r="R67" s="24">
        <f>IFERROR(__xludf.DUMMYFUNCTION("""COMPUTED_VALUE"""),45420.0)</f>
        <v>45420</v>
      </c>
      <c r="S67" s="24">
        <f>IFERROR(__xludf.DUMMYFUNCTION("""COMPUTED_VALUE"""),45597.0)</f>
        <v>45597</v>
      </c>
      <c r="T67" s="22" t="str">
        <f>IFERROR(__xludf.DUMMYFUNCTION("""COMPUTED_VALUE"""),"Chính thức")</f>
        <v>Chính thức</v>
      </c>
      <c r="U67" s="22"/>
      <c r="V67" s="22" t="str">
        <f>IFERROR(__xludf.DUMMYFUNCTION("""COMPUTED_VALUE"""),"Chính thức")</f>
        <v>Chính thức</v>
      </c>
      <c r="W67" s="22" t="str">
        <f>IFERROR(__xludf.DUMMYFUNCTION("""COMPUTED_VALUE"""),"1 năm 7 tháng")</f>
        <v>1 năm 7 tháng</v>
      </c>
      <c r="X67" s="22"/>
      <c r="Y67" s="22"/>
      <c r="Z67" s="22"/>
    </row>
    <row r="68">
      <c r="A68" s="22">
        <f>IFERROR(__xludf.DUMMYFUNCTION("""COMPUTED_VALUE"""),2.0)</f>
        <v>2</v>
      </c>
      <c r="B68" s="22" t="str">
        <f>IFERROR(__xludf.DUMMYFUNCTION("""COMPUTED_VALUE"""),"DC5-PXSX2")</f>
        <v>DC5-PXSX2</v>
      </c>
      <c r="C68" s="22" t="str">
        <f>IFERROR(__xludf.DUMMYFUNCTION("""COMPUTED_VALUE"""),"Bộ phận Dây chuyền gia công và Lò nung")</f>
        <v>Bộ phận Dây chuyền gia công và Lò nung</v>
      </c>
      <c r="D68" s="22" t="str">
        <f>IFERROR(__xludf.DUMMYFUNCTION("""COMPUTED_VALUE"""),"Lò nung Ca B")</f>
        <v>Lò nung Ca B</v>
      </c>
      <c r="E68" s="22" t="str">
        <f>IFERROR(__xludf.DUMMYFUNCTION("""COMPUTED_VALUE"""),"Tổ phó")</f>
        <v>Tổ phó</v>
      </c>
      <c r="F68" s="22" t="str">
        <f>IFERROR(__xludf.DUMMYFUNCTION("""COMPUTED_VALUE"""),"NV0623")</f>
        <v>NV0623</v>
      </c>
      <c r="G68" s="22">
        <f>IFERROR(__xludf.DUMMYFUNCTION("""COMPUTED_VALUE"""),619.0)</f>
        <v>619</v>
      </c>
      <c r="H68" s="22" t="str">
        <f>IFERROR(__xludf.DUMMYFUNCTION("""COMPUTED_VALUE"""),"Trần Văn Hệ")</f>
        <v>Trần Văn Hệ</v>
      </c>
      <c r="I68" s="22" t="str">
        <f>IFERROR(__xludf.DUMMYFUNCTION("""COMPUTED_VALUE"""),"Nam")</f>
        <v>Nam</v>
      </c>
      <c r="J68" s="24">
        <f>IFERROR(__xludf.DUMMYFUNCTION("""COMPUTED_VALUE"""),31340.0)</f>
        <v>31340</v>
      </c>
      <c r="K68" s="22" t="str">
        <f>IFERROR(__xludf.DUMMYFUNCTION("""COMPUTED_VALUE"""),"Xã Hải Lộc -  Huyện Hậu Lộc -  Thanh Hóa - ")</f>
        <v>Xã Hải Lộc -  Huyện Hậu Lộc -  Thanh Hóa - </v>
      </c>
      <c r="L68" s="22" t="str">
        <f>IFERROR(__xludf.DUMMYFUNCTION("""COMPUTED_VALUE"""),"0965650516")</f>
        <v>0965650516</v>
      </c>
      <c r="M68" s="22" t="str">
        <f>IFERROR(__xludf.DUMMYFUNCTION("""COMPUTED_VALUE"""),"038085041563")</f>
        <v>038085041563</v>
      </c>
      <c r="N68" s="26">
        <f>IFERROR(__xludf.DUMMYFUNCTION("""COMPUTED_VALUE"""),44375.0)</f>
        <v>44375</v>
      </c>
      <c r="O68" s="22" t="str">
        <f>IFERROR(__xludf.DUMMYFUNCTION("""COMPUTED_VALUE"""),"Cục Cảnh sát QLHC về TTXH")</f>
        <v>Cục Cảnh sát QLHC về TTXH</v>
      </c>
      <c r="P68" s="22" t="str">
        <f>IFERROR(__xludf.DUMMYFUNCTION("""COMPUTED_VALUE"""),"Cử nhân")</f>
        <v>Cử nhân</v>
      </c>
      <c r="Q68" s="22" t="str">
        <f>IFERROR(__xludf.DUMMYFUNCTION("""COMPUTED_VALUE"""),"Xã hội học")</f>
        <v>Xã hội học</v>
      </c>
      <c r="R68" s="24">
        <f>IFERROR(__xludf.DUMMYFUNCTION("""COMPUTED_VALUE"""),41597.0)</f>
        <v>41597</v>
      </c>
      <c r="S68" s="24">
        <f>IFERROR(__xludf.DUMMYFUNCTION("""COMPUTED_VALUE"""),41597.0)</f>
        <v>41597</v>
      </c>
      <c r="T68" s="22" t="str">
        <f>IFERROR(__xludf.DUMMYFUNCTION("""COMPUTED_VALUE"""),"Chính thức")</f>
        <v>Chính thức</v>
      </c>
      <c r="U68" s="22"/>
      <c r="V68" s="22" t="str">
        <f>IFERROR(__xludf.DUMMYFUNCTION("""COMPUTED_VALUE"""),"Chính thức")</f>
        <v>Chính thức</v>
      </c>
      <c r="W68" s="22" t="str">
        <f>IFERROR(__xludf.DUMMYFUNCTION("""COMPUTED_VALUE"""),"12 năm 1 tháng")</f>
        <v>12 năm 1 tháng</v>
      </c>
      <c r="X68" s="22"/>
      <c r="Y68" s="22"/>
      <c r="Z68" s="22"/>
    </row>
    <row r="69">
      <c r="A69" s="22">
        <f>IFERROR(__xludf.DUMMYFUNCTION("""COMPUTED_VALUE"""),3.0)</f>
        <v>3</v>
      </c>
      <c r="B69" s="22" t="str">
        <f>IFERROR(__xludf.DUMMYFUNCTION("""COMPUTED_VALUE"""),"DC5-PXSX2")</f>
        <v>DC5-PXSX2</v>
      </c>
      <c r="C69" s="22" t="str">
        <f>IFERROR(__xludf.DUMMYFUNCTION("""COMPUTED_VALUE"""),"Bộ phận Dây chuyền gia công và Lò nung")</f>
        <v>Bộ phận Dây chuyền gia công và Lò nung</v>
      </c>
      <c r="D69" s="22" t="str">
        <f>IFERROR(__xludf.DUMMYFUNCTION("""COMPUTED_VALUE"""),"Lò nung Ca B")</f>
        <v>Lò nung Ca B</v>
      </c>
      <c r="E69" s="22" t="str">
        <f>IFERROR(__xludf.DUMMYFUNCTION("""COMPUTED_VALUE"""),"VHC lò men")</f>
        <v>VHC lò men</v>
      </c>
      <c r="F69" s="22" t="str">
        <f>IFERROR(__xludf.DUMMYFUNCTION("""COMPUTED_VALUE"""),"NV0619")</f>
        <v>NV0619</v>
      </c>
      <c r="G69" s="22">
        <f>IFERROR(__xludf.DUMMYFUNCTION("""COMPUTED_VALUE"""),614.0)</f>
        <v>614</v>
      </c>
      <c r="H69" s="22" t="str">
        <f>IFERROR(__xludf.DUMMYFUNCTION("""COMPUTED_VALUE"""),"Lưu Trọng Hải")</f>
        <v>Lưu Trọng Hải</v>
      </c>
      <c r="I69" s="22" t="str">
        <f>IFERROR(__xludf.DUMMYFUNCTION("""COMPUTED_VALUE"""),"Nam")</f>
        <v>Nam</v>
      </c>
      <c r="J69" s="24">
        <f>IFERROR(__xludf.DUMMYFUNCTION("""COMPUTED_VALUE"""),33362.0)</f>
        <v>33362</v>
      </c>
      <c r="K69" s="22" t="str">
        <f>IFERROR(__xludf.DUMMYFUNCTION("""COMPUTED_VALUE"""),"Đông Khê -  Xã Hoằng Quỳ -  Huyện Hoằng Hóa -  Thanh Hóa -  Việt Nam")</f>
        <v>Đông Khê -  Xã Hoằng Quỳ -  Huyện Hoằng Hóa -  Thanh Hóa -  Việt Nam</v>
      </c>
      <c r="L69" s="22" t="str">
        <f>IFERROR(__xludf.DUMMYFUNCTION("""COMPUTED_VALUE"""),"0974450102")</f>
        <v>0974450102</v>
      </c>
      <c r="M69" s="22" t="str">
        <f>IFERROR(__xludf.DUMMYFUNCTION("""COMPUTED_VALUE"""),"038091048230")</f>
        <v>038091048230</v>
      </c>
      <c r="N69" s="26">
        <f>IFERROR(__xludf.DUMMYFUNCTION("""COMPUTED_VALUE"""),44420.0)</f>
        <v>44420</v>
      </c>
      <c r="O69" s="22" t="str">
        <f>IFERROR(__xludf.DUMMYFUNCTION("""COMPUTED_VALUE"""),"Cục Cảnh sát QLHC về TTXH")</f>
        <v>Cục Cảnh sát QLHC về TTXH</v>
      </c>
      <c r="P69" s="22" t="str">
        <f>IFERROR(__xludf.DUMMYFUNCTION("""COMPUTED_VALUE"""),"LĐPT")</f>
        <v>LĐPT</v>
      </c>
      <c r="Q69" s="22" t="str">
        <f>IFERROR(__xludf.DUMMYFUNCTION("""COMPUTED_VALUE"""),"Lao động phổ thông")</f>
        <v>Lao động phổ thông</v>
      </c>
      <c r="R69" s="24">
        <f>IFERROR(__xludf.DUMMYFUNCTION("""COMPUTED_VALUE"""),42064.0)</f>
        <v>42064</v>
      </c>
      <c r="S69" s="24">
        <f>IFERROR(__xludf.DUMMYFUNCTION("""COMPUTED_VALUE"""),42064.0)</f>
        <v>42064</v>
      </c>
      <c r="T69" s="22" t="str">
        <f>IFERROR(__xludf.DUMMYFUNCTION("""COMPUTED_VALUE"""),"Chính thức")</f>
        <v>Chính thức</v>
      </c>
      <c r="U69" s="22"/>
      <c r="V69" s="22" t="str">
        <f>IFERROR(__xludf.DUMMYFUNCTION("""COMPUTED_VALUE"""),"Chính thức")</f>
        <v>Chính thức</v>
      </c>
      <c r="W69" s="22" t="str">
        <f>IFERROR(__xludf.DUMMYFUNCTION("""COMPUTED_VALUE"""),"10 năm 9 tháng")</f>
        <v>10 năm 9 tháng</v>
      </c>
      <c r="X69" s="22"/>
      <c r="Y69" s="22"/>
      <c r="Z69" s="22"/>
    </row>
    <row r="70">
      <c r="A70" s="22">
        <f>IFERROR(__xludf.DUMMYFUNCTION("""COMPUTED_VALUE"""),4.0)</f>
        <v>4</v>
      </c>
      <c r="B70" s="22" t="str">
        <f>IFERROR(__xludf.DUMMYFUNCTION("""COMPUTED_VALUE"""),"DC5-PXSX2")</f>
        <v>DC5-PXSX2</v>
      </c>
      <c r="C70" s="22" t="str">
        <f>IFERROR(__xludf.DUMMYFUNCTION("""COMPUTED_VALUE"""),"Bộ phận Dây chuyền gia công và Lò nung")</f>
        <v>Bộ phận Dây chuyền gia công và Lò nung</v>
      </c>
      <c r="D70" s="22" t="str">
        <f>IFERROR(__xludf.DUMMYFUNCTION("""COMPUTED_VALUE"""),"Lò nung Ca B")</f>
        <v>Lò nung Ca B</v>
      </c>
      <c r="E70" s="22" t="str">
        <f>IFERROR(__xludf.DUMMYFUNCTION("""COMPUTED_VALUE"""),"VH bảo trì lò Xương - Men")</f>
        <v>VH bảo trì lò Xương - Men</v>
      </c>
      <c r="F70" s="22" t="str">
        <f>IFERROR(__xludf.DUMMYFUNCTION("""COMPUTED_VALUE"""),"NV3172")</f>
        <v>NV3172</v>
      </c>
      <c r="G70" s="22">
        <f>IFERROR(__xludf.DUMMYFUNCTION("""COMPUTED_VALUE"""),785.0)</f>
        <v>785</v>
      </c>
      <c r="H70" s="22" t="str">
        <f>IFERROR(__xludf.DUMMYFUNCTION("""COMPUTED_VALUE"""),"Đỗ Văn Thắng")</f>
        <v>Đỗ Văn Thắng</v>
      </c>
      <c r="I70" s="22" t="str">
        <f>IFERROR(__xludf.DUMMYFUNCTION("""COMPUTED_VALUE"""),"Nam")</f>
        <v>Nam</v>
      </c>
      <c r="J70" s="24">
        <f>IFERROR(__xludf.DUMMYFUNCTION("""COMPUTED_VALUE"""),32541.0)</f>
        <v>32541</v>
      </c>
      <c r="K70" s="22" t="str">
        <f>IFERROR(__xludf.DUMMYFUNCTION("""COMPUTED_VALUE"""),"Xã Quảng Định -  Huyện Quảng Xương -  Thanh Hóa -  Việt Nam")</f>
        <v>Xã Quảng Định -  Huyện Quảng Xương -  Thanh Hóa -  Việt Nam</v>
      </c>
      <c r="L70" s="22" t="str">
        <f>IFERROR(__xludf.DUMMYFUNCTION("""COMPUTED_VALUE"""),"0358616236")</f>
        <v>0358616236</v>
      </c>
      <c r="M70" s="22" t="str">
        <f>IFERROR(__xludf.DUMMYFUNCTION("""COMPUTED_VALUE"""),"038089008925")</f>
        <v>038089008925</v>
      </c>
      <c r="N70" s="26">
        <f>IFERROR(__xludf.DUMMYFUNCTION("""COMPUTED_VALUE"""),44442.0)</f>
        <v>44442</v>
      </c>
      <c r="O70" s="22" t="str">
        <f>IFERROR(__xludf.DUMMYFUNCTION("""COMPUTED_VALUE"""),"Cục Cảnh sát QLHC về TTXH")</f>
        <v>Cục Cảnh sát QLHC về TTXH</v>
      </c>
      <c r="P70" s="22" t="str">
        <f>IFERROR(__xludf.DUMMYFUNCTION("""COMPUTED_VALUE"""),"LĐPT")</f>
        <v>LĐPT</v>
      </c>
      <c r="Q70" s="22" t="str">
        <f>IFERROR(__xludf.DUMMYFUNCTION("""COMPUTED_VALUE"""),"Lao động phổ thông")</f>
        <v>Lao động phổ thông</v>
      </c>
      <c r="R70" s="24">
        <f>IFERROR(__xludf.DUMMYFUNCTION("""COMPUTED_VALUE"""),44042.0)</f>
        <v>44042</v>
      </c>
      <c r="S70" s="24">
        <f>IFERROR(__xludf.DUMMYFUNCTION("""COMPUTED_VALUE"""),44317.0)</f>
        <v>44317</v>
      </c>
      <c r="T70" s="22" t="str">
        <f>IFERROR(__xludf.DUMMYFUNCTION("""COMPUTED_VALUE"""),"Chính thức")</f>
        <v>Chính thức</v>
      </c>
      <c r="U70" s="22"/>
      <c r="V70" s="22" t="str">
        <f>IFERROR(__xludf.DUMMYFUNCTION("""COMPUTED_VALUE"""),"Chính thức")</f>
        <v>Chính thức</v>
      </c>
      <c r="W70" s="22" t="str">
        <f>IFERROR(__xludf.DUMMYFUNCTION("""COMPUTED_VALUE"""),"5 năm 5 tháng")</f>
        <v>5 năm 5 tháng</v>
      </c>
      <c r="X70" s="22"/>
      <c r="Y70" s="22"/>
      <c r="Z70" s="22"/>
    </row>
    <row r="71">
      <c r="A71" s="22">
        <f>IFERROR(__xludf.DUMMYFUNCTION("""COMPUTED_VALUE"""),5.0)</f>
        <v>5</v>
      </c>
      <c r="B71" s="22" t="str">
        <f>IFERROR(__xludf.DUMMYFUNCTION("""COMPUTED_VALUE"""),"DC5-PXSX2")</f>
        <v>DC5-PXSX2</v>
      </c>
      <c r="C71" s="22" t="str">
        <f>IFERROR(__xludf.DUMMYFUNCTION("""COMPUTED_VALUE"""),"Bộ phận Dây chuyền gia công và Lò nung")</f>
        <v>Bộ phận Dây chuyền gia công và Lò nung</v>
      </c>
      <c r="D71" s="22" t="str">
        <f>IFERROR(__xludf.DUMMYFUNCTION("""COMPUTED_VALUE"""),"Lò nung Ca B")</f>
        <v>Lò nung Ca B</v>
      </c>
      <c r="E71" s="22" t="str">
        <f>IFERROR(__xludf.DUMMYFUNCTION("""COMPUTED_VALUE"""),"VHC lò xương")</f>
        <v>VHC lò xương</v>
      </c>
      <c r="F71" s="22" t="str">
        <f>IFERROR(__xludf.DUMMYFUNCTION("""COMPUTED_VALUE"""),"NV4900")</f>
        <v>NV4900</v>
      </c>
      <c r="G71" s="22">
        <f>IFERROR(__xludf.DUMMYFUNCTION("""COMPUTED_VALUE"""),907.0)</f>
        <v>907</v>
      </c>
      <c r="H71" s="22" t="str">
        <f>IFERROR(__xludf.DUMMYFUNCTION("""COMPUTED_VALUE"""),"Lê Ngọc Quỳnh")</f>
        <v>Lê Ngọc Quỳnh</v>
      </c>
      <c r="I71" s="22" t="str">
        <f>IFERROR(__xludf.DUMMYFUNCTION("""COMPUTED_VALUE"""),"Nam")</f>
        <v>Nam</v>
      </c>
      <c r="J71" s="24">
        <f>IFERROR(__xludf.DUMMYFUNCTION("""COMPUTED_VALUE"""),32502.0)</f>
        <v>32502</v>
      </c>
      <c r="K71" s="22" t="str">
        <f>IFERROR(__xludf.DUMMYFUNCTION("""COMPUTED_VALUE"""),"Xã Xuân Hồng- Huyện Thọ Xuân- Tỉnh Thanh Hóa")</f>
        <v>Xã Xuân Hồng- Huyện Thọ Xuân- Tỉnh Thanh Hóa</v>
      </c>
      <c r="L71" s="22" t="str">
        <f>IFERROR(__xludf.DUMMYFUNCTION("""COMPUTED_VALUE"""),"0904712896")</f>
        <v>0904712896</v>
      </c>
      <c r="M71" s="22" t="str">
        <f>IFERROR(__xludf.DUMMYFUNCTION("""COMPUTED_VALUE"""),"038088001823")</f>
        <v>038088001823</v>
      </c>
      <c r="N71" s="26">
        <f>IFERROR(__xludf.DUMMYFUNCTION("""COMPUTED_VALUE"""),42585.0)</f>
        <v>42585</v>
      </c>
      <c r="O71" s="22" t="str">
        <f>IFERROR(__xludf.DUMMYFUNCTION("""COMPUTED_VALUE"""),"Cục Cảnh sát QLHC về TTXH")</f>
        <v>Cục Cảnh sát QLHC về TTXH</v>
      </c>
      <c r="P71" s="22" t="str">
        <f>IFERROR(__xludf.DUMMYFUNCTION("""COMPUTED_VALUE"""),"LĐPT")</f>
        <v>LĐPT</v>
      </c>
      <c r="Q71" s="22" t="str">
        <f>IFERROR(__xludf.DUMMYFUNCTION("""COMPUTED_VALUE"""),"Lao động phổ thông")</f>
        <v>Lao động phổ thông</v>
      </c>
      <c r="R71" s="24">
        <f>IFERROR(__xludf.DUMMYFUNCTION("""COMPUTED_VALUE"""),45749.0)</f>
        <v>45749</v>
      </c>
      <c r="S71" s="24">
        <f>IFERROR(__xludf.DUMMYFUNCTION("""COMPUTED_VALUE"""),45749.0)</f>
        <v>45749</v>
      </c>
      <c r="T71" s="22" t="str">
        <f>IFERROR(__xludf.DUMMYFUNCTION("""COMPUTED_VALUE"""),"Chính thức")</f>
        <v>Chính thức</v>
      </c>
      <c r="U71" s="22"/>
      <c r="V71" s="22" t="str">
        <f>IFERROR(__xludf.DUMMYFUNCTION("""COMPUTED_VALUE"""),"Chính thức")</f>
        <v>Chính thức</v>
      </c>
      <c r="W71" s="22" t="str">
        <f>IFERROR(__xludf.DUMMYFUNCTION("""COMPUTED_VALUE"""),"0 năm 8 tháng")</f>
        <v>0 năm 8 tháng</v>
      </c>
      <c r="X71" s="22"/>
      <c r="Y71" s="22"/>
      <c r="Z71" s="22"/>
    </row>
    <row r="72">
      <c r="A72" s="22">
        <f>IFERROR(__xludf.DUMMYFUNCTION("""COMPUTED_VALUE"""),6.0)</f>
        <v>6</v>
      </c>
      <c r="B72" s="22" t="str">
        <f>IFERROR(__xludf.DUMMYFUNCTION("""COMPUTED_VALUE"""),"DC5-PXSX2")</f>
        <v>DC5-PXSX2</v>
      </c>
      <c r="C72" s="22" t="str">
        <f>IFERROR(__xludf.DUMMYFUNCTION("""COMPUTED_VALUE"""),"Bộ phận Dây chuyền gia công và Lò nung")</f>
        <v>Bộ phận Dây chuyền gia công và Lò nung</v>
      </c>
      <c r="D72" s="22" t="str">
        <f>IFERROR(__xludf.DUMMYFUNCTION("""COMPUTED_VALUE"""),"Lò nung Ca B")</f>
        <v>Lò nung Ca B</v>
      </c>
      <c r="E72" s="22" t="str">
        <f>IFERROR(__xludf.DUMMYFUNCTION("""COMPUTED_VALUE"""),"VH Lò mức 2")</f>
        <v>VH Lò mức 2</v>
      </c>
      <c r="F72" s="22" t="str">
        <f>IFERROR(__xludf.DUMMYFUNCTION("""COMPUTED_VALUE"""),"NV0488")</f>
        <v>NV0488</v>
      </c>
      <c r="G72" s="22">
        <f>IFERROR(__xludf.DUMMYFUNCTION("""COMPUTED_VALUE"""),472.0)</f>
        <v>472</v>
      </c>
      <c r="H72" s="22" t="str">
        <f>IFERROR(__xludf.DUMMYFUNCTION("""COMPUTED_VALUE"""),"Lê Thanh Vân")</f>
        <v>Lê Thanh Vân</v>
      </c>
      <c r="I72" s="22" t="str">
        <f>IFERROR(__xludf.DUMMYFUNCTION("""COMPUTED_VALUE"""),"Nam")</f>
        <v>Nam</v>
      </c>
      <c r="J72" s="24">
        <f>IFERROR(__xludf.DUMMYFUNCTION("""COMPUTED_VALUE"""),29100.0)</f>
        <v>29100</v>
      </c>
      <c r="K72" s="22" t="str">
        <f>IFERROR(__xludf.DUMMYFUNCTION("""COMPUTED_VALUE"""),"Xã tân khang - Huyện Nông Cống")</f>
        <v>Xã tân khang - Huyện Nông Cống</v>
      </c>
      <c r="L72" s="22" t="str">
        <f>IFERROR(__xludf.DUMMYFUNCTION("""COMPUTED_VALUE"""),"0979379039")</f>
        <v>0979379039</v>
      </c>
      <c r="M72" s="22" t="str">
        <f>IFERROR(__xludf.DUMMYFUNCTION("""COMPUTED_VALUE"""),"038079011590")</f>
        <v>038079011590</v>
      </c>
      <c r="N72" s="26">
        <f>IFERROR(__xludf.DUMMYFUNCTION("""COMPUTED_VALUE"""),44546.0)</f>
        <v>44546</v>
      </c>
      <c r="O72" s="22" t="str">
        <f>IFERROR(__xludf.DUMMYFUNCTION("""COMPUTED_VALUE"""),"Cục Cảnh sát QLHC về TTXH")</f>
        <v>Cục Cảnh sát QLHC về TTXH</v>
      </c>
      <c r="P72" s="22" t="str">
        <f>IFERROR(__xludf.DUMMYFUNCTION("""COMPUTED_VALUE"""),"LĐPT")</f>
        <v>LĐPT</v>
      </c>
      <c r="Q72" s="22" t="str">
        <f>IFERROR(__xludf.DUMMYFUNCTION("""COMPUTED_VALUE"""),"Lao động phổ thông")</f>
        <v>Lao động phổ thông</v>
      </c>
      <c r="R72" s="24">
        <f>IFERROR(__xludf.DUMMYFUNCTION("""COMPUTED_VALUE"""),45803.0)</f>
        <v>45803</v>
      </c>
      <c r="S72" s="24">
        <f>IFERROR(__xludf.DUMMYFUNCTION("""COMPUTED_VALUE"""),45803.0)</f>
        <v>45803</v>
      </c>
      <c r="T72" s="22" t="str">
        <f>IFERROR(__xludf.DUMMYFUNCTION("""COMPUTED_VALUE"""),"Chính thức")</f>
        <v>Chính thức</v>
      </c>
      <c r="U72" s="22"/>
      <c r="V72" s="22" t="str">
        <f>IFERROR(__xludf.DUMMYFUNCTION("""COMPUTED_VALUE"""),"Chính thức")</f>
        <v>Chính thức</v>
      </c>
      <c r="W72" s="22" t="str">
        <f>IFERROR(__xludf.DUMMYFUNCTION("""COMPUTED_VALUE"""),"0 năm 7 tháng")</f>
        <v>0 năm 7 tháng</v>
      </c>
      <c r="X72" s="22"/>
      <c r="Y72" s="22"/>
      <c r="Z72" s="22"/>
    </row>
    <row r="73">
      <c r="A73" s="22">
        <f>IFERROR(__xludf.DUMMYFUNCTION("""COMPUTED_VALUE"""),7.0)</f>
        <v>7</v>
      </c>
      <c r="B73" s="22" t="str">
        <f>IFERROR(__xludf.DUMMYFUNCTION("""COMPUTED_VALUE"""),"DC5-PXSX2")</f>
        <v>DC5-PXSX2</v>
      </c>
      <c r="C73" s="22" t="str">
        <f>IFERROR(__xludf.DUMMYFUNCTION("""COMPUTED_VALUE"""),"Bộ phận Dây chuyền gia công và Lò nung")</f>
        <v>Bộ phận Dây chuyền gia công và Lò nung</v>
      </c>
      <c r="D73" s="22" t="str">
        <f>IFERROR(__xludf.DUMMYFUNCTION("""COMPUTED_VALUE"""),"Lò nung Ca B")</f>
        <v>Lò nung Ca B</v>
      </c>
      <c r="E73" s="22"/>
      <c r="F73" s="22" t="str">
        <f>IFERROR(__xludf.DUMMYFUNCTION("""COMPUTED_VALUE"""),"NV1347")</f>
        <v>NV1347</v>
      </c>
      <c r="G73" s="22">
        <f>IFERROR(__xludf.DUMMYFUNCTION("""COMPUTED_VALUE"""),238.0)</f>
        <v>238</v>
      </c>
      <c r="H73" s="22" t="str">
        <f>IFERROR(__xludf.DUMMYFUNCTION("""COMPUTED_VALUE"""),"Bùi Sỹ Hải")</f>
        <v>Bùi Sỹ Hải</v>
      </c>
      <c r="I73" s="22" t="str">
        <f>IFERROR(__xludf.DUMMYFUNCTION("""COMPUTED_VALUE"""),"Nam")</f>
        <v>Nam</v>
      </c>
      <c r="J73" s="24">
        <f>IFERROR(__xludf.DUMMYFUNCTION("""COMPUTED_VALUE"""),28857.0)</f>
        <v>28857</v>
      </c>
      <c r="K73" s="22" t="str">
        <f>IFERROR(__xludf.DUMMYFUNCTION("""COMPUTED_VALUE"""),"Thôn Cầu Đồng -  Xã Quảng Trạch -  Huyện Quảng Xương -  Thanh Hóa")</f>
        <v>Thôn Cầu Đồng -  Xã Quảng Trạch -  Huyện Quảng Xương -  Thanh Hóa</v>
      </c>
      <c r="L73" s="22" t="str">
        <f>IFERROR(__xludf.DUMMYFUNCTION("""COMPUTED_VALUE"""),"0919270888")</f>
        <v>0919270888</v>
      </c>
      <c r="M73" s="22" t="str">
        <f>IFERROR(__xludf.DUMMYFUNCTION("""COMPUTED_VALUE"""),"038079002145")</f>
        <v>038079002145</v>
      </c>
      <c r="N73" s="26">
        <f>IFERROR(__xludf.DUMMYFUNCTION("""COMPUTED_VALUE"""),44420.0)</f>
        <v>44420</v>
      </c>
      <c r="O73" s="22" t="str">
        <f>IFERROR(__xludf.DUMMYFUNCTION("""COMPUTED_VALUE"""),"Cục Cảnh sát QLHC về TTXH")</f>
        <v>Cục Cảnh sát QLHC về TTXH</v>
      </c>
      <c r="P73" s="22" t="str">
        <f>IFERROR(__xludf.DUMMYFUNCTION("""COMPUTED_VALUE"""),"LĐPT")</f>
        <v>LĐPT</v>
      </c>
      <c r="Q73" s="22" t="str">
        <f>IFERROR(__xludf.DUMMYFUNCTION("""COMPUTED_VALUE"""),"Lao động phổ thông")</f>
        <v>Lao động phổ thông</v>
      </c>
      <c r="R73" s="24">
        <f>IFERROR(__xludf.DUMMYFUNCTION("""COMPUTED_VALUE"""),43213.0)</f>
        <v>43213</v>
      </c>
      <c r="S73" s="24">
        <f>IFERROR(__xludf.DUMMYFUNCTION("""COMPUTED_VALUE"""),43586.0)</f>
        <v>43586</v>
      </c>
      <c r="T73" s="22" t="str">
        <f>IFERROR(__xludf.DUMMYFUNCTION("""COMPUTED_VALUE"""),"Chính thức")</f>
        <v>Chính thức</v>
      </c>
      <c r="U73" s="22"/>
      <c r="V73" s="22" t="str">
        <f>IFERROR(__xludf.DUMMYFUNCTION("""COMPUTED_VALUE"""),"Chính thức")</f>
        <v>Chính thức</v>
      </c>
      <c r="W73" s="22" t="str">
        <f>IFERROR(__xludf.DUMMYFUNCTION("""COMPUTED_VALUE"""),"7 năm 8 tháng")</f>
        <v>7 năm 8 tháng</v>
      </c>
      <c r="X73" s="22"/>
      <c r="Y73" s="22"/>
      <c r="Z73" s="22"/>
    </row>
    <row r="74">
      <c r="A74" s="22">
        <f>IFERROR(__xludf.DUMMYFUNCTION("""COMPUTED_VALUE"""),8.0)</f>
        <v>8</v>
      </c>
      <c r="B74" s="22" t="str">
        <f>IFERROR(__xludf.DUMMYFUNCTION("""COMPUTED_VALUE"""),"DC5-PXSX2")</f>
        <v>DC5-PXSX2</v>
      </c>
      <c r="C74" s="22" t="str">
        <f>IFERROR(__xludf.DUMMYFUNCTION("""COMPUTED_VALUE"""),"Bộ phận Dây chuyền gia công và Lò nung")</f>
        <v>Bộ phận Dây chuyền gia công và Lò nung</v>
      </c>
      <c r="D74" s="22" t="str">
        <f>IFERROR(__xludf.DUMMYFUNCTION("""COMPUTED_VALUE"""),"Lò nung Ca B")</f>
        <v>Lò nung Ca B</v>
      </c>
      <c r="E74" s="22"/>
      <c r="F74" s="22" t="str">
        <f>IFERROR(__xludf.DUMMYFUNCTION("""COMPUTED_VALUE"""),"NV5774")</f>
        <v>NV5774</v>
      </c>
      <c r="G74" s="22">
        <f>IFERROR(__xludf.DUMMYFUNCTION("""COMPUTED_VALUE"""),1255.0)</f>
        <v>1255</v>
      </c>
      <c r="H74" s="22" t="str">
        <f>IFERROR(__xludf.DUMMYFUNCTION("""COMPUTED_VALUE"""),"Mạc Anh Tuấn")</f>
        <v>Mạc Anh Tuấn</v>
      </c>
      <c r="I74" s="22" t="str">
        <f>IFERROR(__xludf.DUMMYFUNCTION("""COMPUTED_VALUE"""),"Nam")</f>
        <v>Nam</v>
      </c>
      <c r="J74" s="24">
        <f>IFERROR(__xludf.DUMMYFUNCTION("""COMPUTED_VALUE"""),37528.0)</f>
        <v>37528</v>
      </c>
      <c r="K74" s="22" t="str">
        <f>IFERROR(__xludf.DUMMYFUNCTION("""COMPUTED_VALUE"""),"Thôn 5 Xã Quảng Ninh  - Tỉnh Thanh Hóa")</f>
        <v>Thôn 5 Xã Quảng Ninh  - Tỉnh Thanh Hóa</v>
      </c>
      <c r="L74" s="22" t="str">
        <f>IFERROR(__xludf.DUMMYFUNCTION("""COMPUTED_VALUE"""),"0989844102")</f>
        <v>0989844102</v>
      </c>
      <c r="M74" s="22" t="str">
        <f>IFERROR(__xludf.DUMMYFUNCTION("""COMPUTED_VALUE"""),"038202004089")</f>
        <v>038202004089</v>
      </c>
      <c r="N74" s="26">
        <f>IFERROR(__xludf.DUMMYFUNCTION("""COMPUTED_VALUE"""),45951.0)</f>
        <v>45951</v>
      </c>
      <c r="O74" s="22" t="str">
        <f>IFERROR(__xludf.DUMMYFUNCTION("""COMPUTED_VALUE"""),"Bộ công an")</f>
        <v>Bộ công an</v>
      </c>
      <c r="P74" s="22" t="str">
        <f>IFERROR(__xludf.DUMMYFUNCTION("""COMPUTED_VALUE"""),"LĐPT")</f>
        <v>LĐPT</v>
      </c>
      <c r="Q74" s="22" t="str">
        <f>IFERROR(__xludf.DUMMYFUNCTION("""COMPUTED_VALUE"""),"Lao động phổ thông")</f>
        <v>Lao động phổ thông</v>
      </c>
      <c r="R74" s="24">
        <f>IFERROR(__xludf.DUMMYFUNCTION("""COMPUTED_VALUE"""),45952.0)</f>
        <v>45952</v>
      </c>
      <c r="S74" s="24">
        <f>IFERROR(__xludf.DUMMYFUNCTION("""COMPUTED_VALUE"""),45983.0)</f>
        <v>45983</v>
      </c>
      <c r="T74" s="22" t="str">
        <f>IFERROR(__xludf.DUMMYFUNCTION("""COMPUTED_VALUE"""),"Thử việc")</f>
        <v>Thử việc</v>
      </c>
      <c r="U74" s="22"/>
      <c r="V74" s="22" t="str">
        <f>IFERROR(__xludf.DUMMYFUNCTION("""COMPUTED_VALUE"""),"Thử việc")</f>
        <v>Thử việc</v>
      </c>
      <c r="W74" s="22" t="str">
        <f>IFERROR(__xludf.DUMMYFUNCTION("""COMPUTED_VALUE"""),"0 năm 2 tháng")</f>
        <v>0 năm 2 tháng</v>
      </c>
      <c r="X74" s="22"/>
      <c r="Y74" s="22"/>
      <c r="Z74" s="22"/>
    </row>
    <row r="75">
      <c r="A75" s="22">
        <f>IFERROR(__xludf.DUMMYFUNCTION("""COMPUTED_VALUE"""),9.0)</f>
        <v>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>
        <f>IFERROR(__xludf.DUMMYFUNCTION("""COMPUTED_VALUE"""),10.0)</f>
        <v>10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8">
        <f>IFERROR(__xludf.DUMMYFUNCTION("""COMPUTED_VALUE"""),45841.0)</f>
        <v>45841</v>
      </c>
      <c r="B77" s="22" t="str">
        <f>IFERROR(__xludf.DUMMYFUNCTION("""COMPUTED_VALUE"""),"Lò nung Ca C")</f>
        <v>Lò nung Ca C</v>
      </c>
      <c r="C77" s="22">
        <f>IFERROR(__xludf.DUMMYFUNCTION("""COMPUTED_VALUE"""),0.0)</f>
        <v>0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>
        <f>IFERROR(__xludf.DUMMYFUNCTION("""COMPUTED_VALUE"""),1.0)</f>
        <v>1</v>
      </c>
      <c r="B78" s="22" t="str">
        <f>IFERROR(__xludf.DUMMYFUNCTION("""COMPUTED_VALUE"""),"#N/A")</f>
        <v>#N/A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>
        <f>IFERROR(__xludf.DUMMYFUNCTION("""COMPUTED_VALUE"""),2.0)</f>
        <v>2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>
        <f>IFERROR(__xludf.DUMMYFUNCTION("""COMPUTED_VALUE"""),3.0)</f>
        <v>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>
        <f>IFERROR(__xludf.DUMMYFUNCTION("""COMPUTED_VALUE"""),4.0)</f>
        <v>4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>
        <f>IFERROR(__xludf.DUMMYFUNCTION("""COMPUTED_VALUE"""),5.0)</f>
        <v>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>
        <f>IFERROR(__xludf.DUMMYFUNCTION("""COMPUTED_VALUE"""),6.0)</f>
        <v>6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>
        <f>IFERROR(__xludf.DUMMYFUNCTION("""COMPUTED_VALUE"""),7.0)</f>
        <v>7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>
        <f>IFERROR(__xludf.DUMMYFUNCTION("""COMPUTED_VALUE"""),8.0)</f>
        <v>8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>
        <f>IFERROR(__xludf.DUMMYFUNCTION("""COMPUTED_VALUE"""),9.0)</f>
        <v>9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 t="str">
        <f>IFERROR(__xludf.DUMMYFUNCTION("""COMPUTED_VALUE"""),"4.")</f>
        <v>4.</v>
      </c>
      <c r="B87" s="22" t="str">
        <f>IFERROR(__xludf.DUMMYFUNCTION("""COMPUTED_VALUE"""),"Bộ phận Mài và Đóng hộp")</f>
        <v>Bộ phận Mài và Đóng hộp</v>
      </c>
      <c r="C87" s="22">
        <f>IFERROR(__xludf.DUMMYFUNCTION("""COMPUTED_VALUE"""),64.0)</f>
        <v>64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8">
        <f>IFERROR(__xludf.DUMMYFUNCTION("""COMPUTED_VALUE"""),45661.0)</f>
        <v>45661</v>
      </c>
      <c r="B88" s="22" t="str">
        <f>IFERROR(__xludf.DUMMYFUNCTION("""COMPUTED_VALUE"""),"Quản lý")</f>
        <v>Quản lý</v>
      </c>
      <c r="C88" s="22">
        <f>IFERROR(__xludf.DUMMYFUNCTION("""COMPUTED_VALUE"""),2.0)</f>
        <v>2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>
        <f>IFERROR(__xludf.DUMMYFUNCTION("""COMPUTED_VALUE"""),1.0)</f>
        <v>1</v>
      </c>
      <c r="B89" s="22" t="str">
        <f>IFERROR(__xludf.DUMMYFUNCTION("""COMPUTED_VALUE"""),"PXSX2")</f>
        <v>PXSX2</v>
      </c>
      <c r="C89" s="22" t="str">
        <f>IFERROR(__xludf.DUMMYFUNCTION("""COMPUTED_VALUE"""),"Bộ phận Mài và Đóng hộp")</f>
        <v>Bộ phận Mài và Đóng hộp</v>
      </c>
      <c r="D89" s="22" t="str">
        <f>IFERROR(__xludf.DUMMYFUNCTION("""COMPUTED_VALUE"""),"Quản lý")</f>
        <v>Quản lý</v>
      </c>
      <c r="E89" s="22" t="str">
        <f>IFERROR(__xludf.DUMMYFUNCTION("""COMPUTED_VALUE"""),"Tổ trưởng - Phụ trách Đóng hộp DC5")</f>
        <v>Tổ trưởng - Phụ trách Đóng hộp DC5</v>
      </c>
      <c r="F89" s="22" t="str">
        <f>IFERROR(__xludf.DUMMYFUNCTION("""COMPUTED_VALUE"""),"NV0106")</f>
        <v>NV0106</v>
      </c>
      <c r="G89" s="22">
        <f>IFERROR(__xludf.DUMMYFUNCTION("""COMPUTED_VALUE"""),548.0)</f>
        <v>548</v>
      </c>
      <c r="H89" s="22" t="str">
        <f>IFERROR(__xludf.DUMMYFUNCTION("""COMPUTED_VALUE"""),"Phạm Thanh Hải")</f>
        <v>Phạm Thanh Hải</v>
      </c>
      <c r="I89" s="22" t="str">
        <f>IFERROR(__xludf.DUMMYFUNCTION("""COMPUTED_VALUE"""),"Nam")</f>
        <v>Nam</v>
      </c>
      <c r="J89" s="24">
        <f>IFERROR(__xludf.DUMMYFUNCTION("""COMPUTED_VALUE"""),27035.0)</f>
        <v>27035</v>
      </c>
      <c r="K89" s="22" t="str">
        <f>IFERROR(__xludf.DUMMYFUNCTION("""COMPUTED_VALUE"""),"Thôn 6 - Phường Quảng Phú - Tỉnh Thanh Hóa")</f>
        <v>Thôn 6 - Phường Quảng Phú - Tỉnh Thanh Hóa</v>
      </c>
      <c r="L89" s="22" t="str">
        <f>IFERROR(__xludf.DUMMYFUNCTION("""COMPUTED_VALUE"""),"0986964956")</f>
        <v>0986964956</v>
      </c>
      <c r="M89" s="22" t="str">
        <f>IFERROR(__xludf.DUMMYFUNCTION("""COMPUTED_VALUE"""),"038074026485")</f>
        <v>038074026485</v>
      </c>
      <c r="N89" s="26">
        <f>IFERROR(__xludf.DUMMYFUNCTION("""COMPUTED_VALUE"""),44361.0)</f>
        <v>44361</v>
      </c>
      <c r="O89" s="22" t="str">
        <f>IFERROR(__xludf.DUMMYFUNCTION("""COMPUTED_VALUE"""),"Cục Cảnh sát QLHC về TTXH")</f>
        <v>Cục Cảnh sát QLHC về TTXH</v>
      </c>
      <c r="P89" s="22" t="str">
        <f>IFERROR(__xludf.DUMMYFUNCTION("""COMPUTED_VALUE"""),"Trung cấp")</f>
        <v>Trung cấp</v>
      </c>
      <c r="Q89" s="22" t="str">
        <f>IFERROR(__xludf.DUMMYFUNCTION("""COMPUTED_VALUE"""),"Cơ khí")</f>
        <v>Cơ khí</v>
      </c>
      <c r="R89" s="24">
        <f>IFERROR(__xludf.DUMMYFUNCTION("""COMPUTED_VALUE"""),37031.0)</f>
        <v>37031</v>
      </c>
      <c r="S89" s="22"/>
      <c r="T89" s="22" t="str">
        <f>IFERROR(__xludf.DUMMYFUNCTION("""COMPUTED_VALUE"""),"Chính thức")</f>
        <v>Chính thức</v>
      </c>
      <c r="U89" s="22"/>
      <c r="V89" s="22" t="str">
        <f>IFERROR(__xludf.DUMMYFUNCTION("""COMPUTED_VALUE"""),"Chính thức")</f>
        <v>Chính thức</v>
      </c>
      <c r="W89" s="22" t="str">
        <f>IFERROR(__xludf.DUMMYFUNCTION("""COMPUTED_VALUE"""),"24 năm 7 tháng")</f>
        <v>24 năm 7 tháng</v>
      </c>
      <c r="X89" s="22"/>
      <c r="Y89" s="22"/>
      <c r="Z89" s="22"/>
    </row>
    <row r="90">
      <c r="A90" s="22">
        <f>IFERROR(__xludf.DUMMYFUNCTION("""COMPUTED_VALUE"""),2.0)</f>
        <v>2</v>
      </c>
      <c r="B90" s="22" t="str">
        <f>IFERROR(__xludf.DUMMYFUNCTION("""COMPUTED_VALUE"""),"PXSX2")</f>
        <v>PXSX2</v>
      </c>
      <c r="C90" s="22" t="str">
        <f>IFERROR(__xludf.DUMMYFUNCTION("""COMPUTED_VALUE"""),"Bộ phận Mài và Đóng hộp")</f>
        <v>Bộ phận Mài và Đóng hộp</v>
      </c>
      <c r="D90" s="22" t="str">
        <f>IFERROR(__xludf.DUMMYFUNCTION("""COMPUTED_VALUE"""),"Quản lý")</f>
        <v>Quản lý</v>
      </c>
      <c r="E90" s="22" t="str">
        <f>IFERROR(__xludf.DUMMYFUNCTION("""COMPUTED_VALUE"""),"CBKT - Phụ trách Mài")</f>
        <v>CBKT - Phụ trách Mài</v>
      </c>
      <c r="F90" s="22" t="str">
        <f>IFERROR(__xludf.DUMMYFUNCTION("""COMPUTED_VALUE"""),"NV5516")</f>
        <v>NV5516</v>
      </c>
      <c r="G90" s="22">
        <f>IFERROR(__xludf.DUMMYFUNCTION("""COMPUTED_VALUE"""),999.0)</f>
        <v>999</v>
      </c>
      <c r="H90" s="22" t="str">
        <f>IFERROR(__xludf.DUMMYFUNCTION("""COMPUTED_VALUE"""),"Lại Văn Linh")</f>
        <v>Lại Văn Linh</v>
      </c>
      <c r="I90" s="22" t="str">
        <f>IFERROR(__xludf.DUMMYFUNCTION("""COMPUTED_VALUE"""),"Nam")</f>
        <v>Nam</v>
      </c>
      <c r="J90" s="24">
        <f>IFERROR(__xludf.DUMMYFUNCTION("""COMPUTED_VALUE"""),29670.0)</f>
        <v>29670</v>
      </c>
      <c r="K90" s="22" t="str">
        <f>IFERROR(__xludf.DUMMYFUNCTION("""COMPUTED_VALUE"""),"Phường Quảng Tiến - Thành phố Sầm Sơn - Tỉnh Thanh Hóa")</f>
        <v>Phường Quảng Tiến - Thành phố Sầm Sơn - Tỉnh Thanh Hóa</v>
      </c>
      <c r="L90" s="22" t="str">
        <f>IFERROR(__xludf.DUMMYFUNCTION("""COMPUTED_VALUE"""),"0762488616")</f>
        <v>0762488616</v>
      </c>
      <c r="M90" s="22" t="str">
        <f>IFERROR(__xludf.DUMMYFUNCTION("""COMPUTED_VALUE"""),"038091005600")</f>
        <v>038091005600</v>
      </c>
      <c r="N90" s="26">
        <f>IFERROR(__xludf.DUMMYFUNCTION("""COMPUTED_VALUE"""),45364.0)</f>
        <v>45364</v>
      </c>
      <c r="O90" s="22" t="str">
        <f>IFERROR(__xludf.DUMMYFUNCTION("""COMPUTED_VALUE"""),"Cục Cảnh sát QLHC về TTXH")</f>
        <v>Cục Cảnh sát QLHC về TTXH</v>
      </c>
      <c r="P90" s="22" t="str">
        <f>IFERROR(__xludf.DUMMYFUNCTION("""COMPUTED_VALUE"""),"Đại học")</f>
        <v>Đại học</v>
      </c>
      <c r="Q90" s="22" t="str">
        <f>IFERROR(__xludf.DUMMYFUNCTION("""COMPUTED_VALUE"""),"Kỹ sư công nghệ kỹ thuật oto")</f>
        <v>Kỹ sư công nghệ kỹ thuật oto</v>
      </c>
      <c r="R90" s="24">
        <f>IFERROR(__xludf.DUMMYFUNCTION("""COMPUTED_VALUE"""),45812.0)</f>
        <v>45812</v>
      </c>
      <c r="S90" s="24">
        <f>IFERROR(__xludf.DUMMYFUNCTION("""COMPUTED_VALUE"""),45842.0)</f>
        <v>45842</v>
      </c>
      <c r="T90" s="22" t="str">
        <f>IFERROR(__xludf.DUMMYFUNCTION("""COMPUTED_VALUE"""),"Chính thức")</f>
        <v>Chính thức</v>
      </c>
      <c r="U90" s="22"/>
      <c r="V90" s="22" t="str">
        <f>IFERROR(__xludf.DUMMYFUNCTION("""COMPUTED_VALUE"""),"Chính thức")</f>
        <v>Chính thức</v>
      </c>
      <c r="W90" s="22" t="str">
        <f>IFERROR(__xludf.DUMMYFUNCTION("""COMPUTED_VALUE"""),"0 năm 6 tháng")</f>
        <v>0 năm 6 tháng</v>
      </c>
      <c r="X90" s="22"/>
      <c r="Y90" s="22"/>
      <c r="Z90" s="22"/>
    </row>
    <row r="91">
      <c r="A91" s="28">
        <f>IFERROR(__xludf.DUMMYFUNCTION("""COMPUTED_VALUE"""),45692.0)</f>
        <v>45692</v>
      </c>
      <c r="B91" s="22" t="str">
        <f>IFERROR(__xludf.DUMMYFUNCTION("""COMPUTED_VALUE"""),"Dây chuyền Mài Ca A")</f>
        <v>Dây chuyền Mài Ca A</v>
      </c>
      <c r="C91" s="22">
        <f>IFERROR(__xludf.DUMMYFUNCTION("""COMPUTED_VALUE"""),14.0)</f>
        <v>14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>
        <f>IFERROR(__xludf.DUMMYFUNCTION("""COMPUTED_VALUE"""),1.0)</f>
        <v>1</v>
      </c>
      <c r="B92" s="22" t="str">
        <f>IFERROR(__xludf.DUMMYFUNCTION("""COMPUTED_VALUE"""),"DC5-PXSX2")</f>
        <v>DC5-PXSX2</v>
      </c>
      <c r="C92" s="22" t="str">
        <f>IFERROR(__xludf.DUMMYFUNCTION("""COMPUTED_VALUE"""),"Bộ phận Mài và Đóng hộp")</f>
        <v>Bộ phận Mài và Đóng hộp</v>
      </c>
      <c r="D92" s="22" t="str">
        <f>IFERROR(__xludf.DUMMYFUNCTION("""COMPUTED_VALUE"""),"Dây chuyền Mài Ca A")</f>
        <v>Dây chuyền Mài Ca A</v>
      </c>
      <c r="E92" s="22" t="str">
        <f>IFERROR(__xludf.DUMMYFUNCTION("""COMPUTED_VALUE"""),"Vận hành máy Nano mức 1")</f>
        <v>Vận hành máy Nano mức 1</v>
      </c>
      <c r="F92" s="22" t="str">
        <f>IFERROR(__xludf.DUMMYFUNCTION("""COMPUTED_VALUE"""),"NV5169")</f>
        <v>NV5169</v>
      </c>
      <c r="G92" s="22">
        <f>IFERROR(__xludf.DUMMYFUNCTION("""COMPUTED_VALUE"""),385.0)</f>
        <v>385</v>
      </c>
      <c r="H92" s="22" t="str">
        <f>IFERROR(__xludf.DUMMYFUNCTION("""COMPUTED_VALUE"""),"Trần Kim Vụ")</f>
        <v>Trần Kim Vụ</v>
      </c>
      <c r="I92" s="22" t="str">
        <f>IFERROR(__xludf.DUMMYFUNCTION("""COMPUTED_VALUE"""),"Nam")</f>
        <v>Nam</v>
      </c>
      <c r="J92" s="24">
        <f>IFERROR(__xludf.DUMMYFUNCTION("""COMPUTED_VALUE"""),35796.0)</f>
        <v>35796</v>
      </c>
      <c r="K92" s="22" t="str">
        <f>IFERROR(__xludf.DUMMYFUNCTION("""COMPUTED_VALUE"""),"Quảng Thái -  Quảng Xương -  TH")</f>
        <v>Quảng Thái -  Quảng Xương -  TH</v>
      </c>
      <c r="L92" s="22" t="str">
        <f>IFERROR(__xludf.DUMMYFUNCTION("""COMPUTED_VALUE"""),"0972501610")</f>
        <v>0972501610</v>
      </c>
      <c r="M92" s="22" t="str">
        <f>IFERROR(__xludf.DUMMYFUNCTION("""COMPUTED_VALUE"""),"038098013005")</f>
        <v>038098013005</v>
      </c>
      <c r="N92" s="26">
        <f>IFERROR(__xludf.DUMMYFUNCTION("""COMPUTED_VALUE"""),44252.0)</f>
        <v>44252</v>
      </c>
      <c r="O92" s="22" t="str">
        <f>IFERROR(__xludf.DUMMYFUNCTION("""COMPUTED_VALUE"""),"Cục Cảnh sát QLHC về TTXH")</f>
        <v>Cục Cảnh sát QLHC về TTXH</v>
      </c>
      <c r="P92" s="22" t="str">
        <f>IFERROR(__xludf.DUMMYFUNCTION("""COMPUTED_VALUE"""),"LĐPT")</f>
        <v>LĐPT</v>
      </c>
      <c r="Q92" s="22" t="str">
        <f>IFERROR(__xludf.DUMMYFUNCTION("""COMPUTED_VALUE"""),"Lao động phổ thông")</f>
        <v>Lao động phổ thông</v>
      </c>
      <c r="R92" s="24">
        <f>IFERROR(__xludf.DUMMYFUNCTION("""COMPUTED_VALUE"""),45420.0)</f>
        <v>45420</v>
      </c>
      <c r="S92" s="24">
        <f>IFERROR(__xludf.DUMMYFUNCTION("""COMPUTED_VALUE"""),45536.0)</f>
        <v>45536</v>
      </c>
      <c r="T92" s="22" t="str">
        <f>IFERROR(__xludf.DUMMYFUNCTION("""COMPUTED_VALUE"""),"Chính thức")</f>
        <v>Chính thức</v>
      </c>
      <c r="U92" s="22"/>
      <c r="V92" s="22" t="str">
        <f>IFERROR(__xludf.DUMMYFUNCTION("""COMPUTED_VALUE"""),"Chính thức")</f>
        <v>Chính thức</v>
      </c>
      <c r="W92" s="22" t="str">
        <f>IFERROR(__xludf.DUMMYFUNCTION("""COMPUTED_VALUE"""),"1 năm 7 tháng")</f>
        <v>1 năm 7 tháng</v>
      </c>
      <c r="X92" s="22"/>
      <c r="Y92" s="22"/>
      <c r="Z92" s="22"/>
    </row>
    <row r="93">
      <c r="A93" s="22">
        <f>IFERROR(__xludf.DUMMYFUNCTION("""COMPUTED_VALUE"""),2.0)</f>
        <v>2</v>
      </c>
      <c r="B93" s="22" t="str">
        <f>IFERROR(__xludf.DUMMYFUNCTION("""COMPUTED_VALUE"""),"DC5-PXSX2")</f>
        <v>DC5-PXSX2</v>
      </c>
      <c r="C93" s="22" t="str">
        <f>IFERROR(__xludf.DUMMYFUNCTION("""COMPUTED_VALUE"""),"Bộ phận Mài và Đóng hộp")</f>
        <v>Bộ phận Mài và Đóng hộp</v>
      </c>
      <c r="D93" s="22" t="str">
        <f>IFERROR(__xludf.DUMMYFUNCTION("""COMPUTED_VALUE"""),"Dây chuyền Mài Ca A")</f>
        <v>Dây chuyền Mài Ca A</v>
      </c>
      <c r="E93" s="22" t="str">
        <f>IFERROR(__xludf.DUMMYFUNCTION("""COMPUTED_VALUE"""),"Tổ phó - Phụ trách Mài DC5")</f>
        <v>Tổ phó - Phụ trách Mài DC5</v>
      </c>
      <c r="F93" s="22" t="str">
        <f>IFERROR(__xludf.DUMMYFUNCTION("""COMPUTED_VALUE"""),"NV3966")</f>
        <v>NV3966</v>
      </c>
      <c r="G93" s="22">
        <f>IFERROR(__xludf.DUMMYFUNCTION("""COMPUTED_VALUE"""),440.0)</f>
        <v>440</v>
      </c>
      <c r="H93" s="22" t="str">
        <f>IFERROR(__xludf.DUMMYFUNCTION("""COMPUTED_VALUE"""),"Hoàng Đình Bảy")</f>
        <v>Hoàng Đình Bảy</v>
      </c>
      <c r="I93" s="22" t="str">
        <f>IFERROR(__xludf.DUMMYFUNCTION("""COMPUTED_VALUE"""),"Nam")</f>
        <v>Nam</v>
      </c>
      <c r="J93" s="24">
        <f>IFERROR(__xludf.DUMMYFUNCTION("""COMPUTED_VALUE"""),33334.0)</f>
        <v>33334</v>
      </c>
      <c r="K93" s="22" t="str">
        <f>IFERROR(__xludf.DUMMYFUNCTION("""COMPUTED_VALUE"""),"Hoằng Phong - Hoằng Hóa - Thanh Hóa")</f>
        <v>Hoằng Phong - Hoằng Hóa - Thanh Hóa</v>
      </c>
      <c r="L93" s="22" t="str">
        <f>IFERROR(__xludf.DUMMYFUNCTION("""COMPUTED_VALUE"""),"0968731799")</f>
        <v>0968731799</v>
      </c>
      <c r="M93" s="22" t="str">
        <f>IFERROR(__xludf.DUMMYFUNCTION("""COMPUTED_VALUE"""),"038091018414")</f>
        <v>038091018414</v>
      </c>
      <c r="N93" s="26">
        <f>IFERROR(__xludf.DUMMYFUNCTION("""COMPUTED_VALUE"""),43811.0)</f>
        <v>43811</v>
      </c>
      <c r="O93" s="22" t="str">
        <f>IFERROR(__xludf.DUMMYFUNCTION("""COMPUTED_VALUE"""),"Cục Cảnh sát QLHC về TTXH")</f>
        <v>Cục Cảnh sát QLHC về TTXH</v>
      </c>
      <c r="P93" s="22" t="str">
        <f>IFERROR(__xludf.DUMMYFUNCTION("""COMPUTED_VALUE"""),"LĐPT")</f>
        <v>LĐPT</v>
      </c>
      <c r="Q93" s="22" t="str">
        <f>IFERROR(__xludf.DUMMYFUNCTION("""COMPUTED_VALUE"""),"Lao động phổ thông")</f>
        <v>Lao động phổ thông</v>
      </c>
      <c r="R93" s="24">
        <f>IFERROR(__xludf.DUMMYFUNCTION("""COMPUTED_VALUE"""),44534.0)</f>
        <v>44534</v>
      </c>
      <c r="S93" s="24">
        <f>IFERROR(__xludf.DUMMYFUNCTION("""COMPUTED_VALUE"""),44835.0)</f>
        <v>44835</v>
      </c>
      <c r="T93" s="22" t="str">
        <f>IFERROR(__xludf.DUMMYFUNCTION("""COMPUTED_VALUE"""),"Chính thức")</f>
        <v>Chính thức</v>
      </c>
      <c r="U93" s="22"/>
      <c r="V93" s="22" t="str">
        <f>IFERROR(__xludf.DUMMYFUNCTION("""COMPUTED_VALUE"""),"Chính thức")</f>
        <v>Chính thức</v>
      </c>
      <c r="W93" s="22" t="str">
        <f>IFERROR(__xludf.DUMMYFUNCTION("""COMPUTED_VALUE"""),"4 năm 0 tháng")</f>
        <v>4 năm 0 tháng</v>
      </c>
      <c r="X93" s="22"/>
      <c r="Y93" s="22"/>
      <c r="Z93" s="22"/>
    </row>
    <row r="94">
      <c r="A94" s="22">
        <f>IFERROR(__xludf.DUMMYFUNCTION("""COMPUTED_VALUE"""),3.0)</f>
        <v>3</v>
      </c>
      <c r="B94" s="22" t="str">
        <f>IFERROR(__xludf.DUMMYFUNCTION("""COMPUTED_VALUE"""),"DC5-PXSX2")</f>
        <v>DC5-PXSX2</v>
      </c>
      <c r="C94" s="22" t="str">
        <f>IFERROR(__xludf.DUMMYFUNCTION("""COMPUTED_VALUE"""),"Bộ phận Mài và Đóng hộp")</f>
        <v>Bộ phận Mài và Đóng hộp</v>
      </c>
      <c r="D94" s="22" t="str">
        <f>IFERROR(__xludf.DUMMYFUNCTION("""COMPUTED_VALUE"""),"Dây chuyền Mài Ca A")</f>
        <v>Dây chuyền Mài Ca A</v>
      </c>
      <c r="E94" s="22" t="str">
        <f>IFERROR(__xludf.DUMMYFUNCTION("""COMPUTED_VALUE"""),"Vận hành đầu rải")</f>
        <v>Vận hành đầu rải</v>
      </c>
      <c r="F94" s="22" t="str">
        <f>IFERROR(__xludf.DUMMYFUNCTION("""COMPUTED_VALUE"""),"NV0517")</f>
        <v>NV0517</v>
      </c>
      <c r="G94" s="22">
        <f>IFERROR(__xludf.DUMMYFUNCTION("""COMPUTED_VALUE"""),439.0)</f>
        <v>439</v>
      </c>
      <c r="H94" s="22" t="str">
        <f>IFERROR(__xludf.DUMMYFUNCTION("""COMPUTED_VALUE"""),"Nguyễn Văn Trung")</f>
        <v>Nguyễn Văn Trung</v>
      </c>
      <c r="I94" s="22" t="str">
        <f>IFERROR(__xludf.DUMMYFUNCTION("""COMPUTED_VALUE"""),"Nam")</f>
        <v>Nam</v>
      </c>
      <c r="J94" s="24">
        <f>IFERROR(__xludf.DUMMYFUNCTION("""COMPUTED_VALUE"""),29993.0)</f>
        <v>29993</v>
      </c>
      <c r="K94" s="22" t="str">
        <f>IFERROR(__xludf.DUMMYFUNCTION("""COMPUTED_VALUE"""),"Xã Hoằng Trinh -  Huyện Hoằng Hóa -  Thanh Hóa -  Việt Nam")</f>
        <v>Xã Hoằng Trinh -  Huyện Hoằng Hóa -  Thanh Hóa -  Việt Nam</v>
      </c>
      <c r="L94" s="22" t="str">
        <f>IFERROR(__xludf.DUMMYFUNCTION("""COMPUTED_VALUE"""),"0983807067")</f>
        <v>0983807067</v>
      </c>
      <c r="M94" s="22" t="str">
        <f>IFERROR(__xludf.DUMMYFUNCTION("""COMPUTED_VALUE"""),"038082005419")</f>
        <v>038082005419</v>
      </c>
      <c r="N94" s="22"/>
      <c r="O94" s="22" t="str">
        <f>IFERROR(__xludf.DUMMYFUNCTION("""COMPUTED_VALUE"""),"Cục Cảnh sát QLHC về TTXH")</f>
        <v>Cục Cảnh sát QLHC về TTXH</v>
      </c>
      <c r="P94" s="22" t="str">
        <f>IFERROR(__xludf.DUMMYFUNCTION("""COMPUTED_VALUE"""),"LĐPT")</f>
        <v>LĐPT</v>
      </c>
      <c r="Q94" s="22" t="str">
        <f>IFERROR(__xludf.DUMMYFUNCTION("""COMPUTED_VALUE"""),"Lao động phổ thông")</f>
        <v>Lao động phổ thông</v>
      </c>
      <c r="R94" s="24">
        <f>IFERROR(__xludf.DUMMYFUNCTION("""COMPUTED_VALUE"""),41172.0)</f>
        <v>41172</v>
      </c>
      <c r="S94" s="24">
        <f>IFERROR(__xludf.DUMMYFUNCTION("""COMPUTED_VALUE"""),41172.0)</f>
        <v>41172</v>
      </c>
      <c r="T94" s="22" t="str">
        <f>IFERROR(__xludf.DUMMYFUNCTION("""COMPUTED_VALUE"""),"Chính thức")</f>
        <v>Chính thức</v>
      </c>
      <c r="U94" s="22"/>
      <c r="V94" s="22" t="str">
        <f>IFERROR(__xludf.DUMMYFUNCTION("""COMPUTED_VALUE"""),"Chính thức")</f>
        <v>Chính thức</v>
      </c>
      <c r="W94" s="22" t="str">
        <f>IFERROR(__xludf.DUMMYFUNCTION("""COMPUTED_VALUE"""),"13 năm 3 tháng")</f>
        <v>13 năm 3 tháng</v>
      </c>
      <c r="X94" s="22"/>
      <c r="Y94" s="22"/>
      <c r="Z94" s="22"/>
    </row>
    <row r="95">
      <c r="A95" s="22">
        <f>IFERROR(__xludf.DUMMYFUNCTION("""COMPUTED_VALUE"""),4.0)</f>
        <v>4</v>
      </c>
      <c r="B95" s="22" t="str">
        <f>IFERROR(__xludf.DUMMYFUNCTION("""COMPUTED_VALUE"""),"DC5-PXSX2")</f>
        <v>DC5-PXSX2</v>
      </c>
      <c r="C95" s="22" t="str">
        <f>IFERROR(__xludf.DUMMYFUNCTION("""COMPUTED_VALUE"""),"Bộ phận Mài và Đóng hộp")</f>
        <v>Bộ phận Mài và Đóng hộp</v>
      </c>
      <c r="D95" s="22" t="str">
        <f>IFERROR(__xludf.DUMMYFUNCTION("""COMPUTED_VALUE"""),"Dây chuyền Mài Ca A")</f>
        <v>Dây chuyền Mài Ca A</v>
      </c>
      <c r="E95" s="22" t="str">
        <f>IFERROR(__xludf.DUMMYFUNCTION("""COMPUTED_VALUE"""),"Vận hành chính máy Nano")</f>
        <v>Vận hành chính máy Nano</v>
      </c>
      <c r="F95" s="22" t="str">
        <f>IFERROR(__xludf.DUMMYFUNCTION("""COMPUTED_VALUE"""),"NV3783")</f>
        <v>NV3783</v>
      </c>
      <c r="G95" s="22">
        <f>IFERROR(__xludf.DUMMYFUNCTION("""COMPUTED_VALUE"""),441.0)</f>
        <v>441</v>
      </c>
      <c r="H95" s="22" t="str">
        <f>IFERROR(__xludf.DUMMYFUNCTION("""COMPUTED_VALUE"""),"Trương Văn Quang")</f>
        <v>Trương Văn Quang</v>
      </c>
      <c r="I95" s="22" t="str">
        <f>IFERROR(__xludf.DUMMYFUNCTION("""COMPUTED_VALUE"""),"Nam")</f>
        <v>Nam</v>
      </c>
      <c r="J95" s="24">
        <f>IFERROR(__xludf.DUMMYFUNCTION("""COMPUTED_VALUE"""),36517.0)</f>
        <v>36517</v>
      </c>
      <c r="K95" s="22" t="str">
        <f>IFERROR(__xludf.DUMMYFUNCTION("""COMPUTED_VALUE"""),"Hội Chiều - Hoằng Phong - Hoằng Hóa - Thanh Hóa")</f>
        <v>Hội Chiều - Hoằng Phong - Hoằng Hóa - Thanh Hóa</v>
      </c>
      <c r="L95" s="22" t="str">
        <f>IFERROR(__xludf.DUMMYFUNCTION("""COMPUTED_VALUE"""),"0376249137")</f>
        <v>0376249137</v>
      </c>
      <c r="M95" s="22" t="str">
        <f>IFERROR(__xludf.DUMMYFUNCTION("""COMPUTED_VALUE"""),"038099016660")</f>
        <v>038099016660</v>
      </c>
      <c r="N95" s="26">
        <f>IFERROR(__xludf.DUMMYFUNCTION("""COMPUTED_VALUE"""),43900.0)</f>
        <v>43900</v>
      </c>
      <c r="O95" s="22" t="str">
        <f>IFERROR(__xludf.DUMMYFUNCTION("""COMPUTED_VALUE"""),"Cục Cảnh sát QLHC về TTXH")</f>
        <v>Cục Cảnh sát QLHC về TTXH</v>
      </c>
      <c r="P95" s="22" t="str">
        <f>IFERROR(__xludf.DUMMYFUNCTION("""COMPUTED_VALUE"""),"LĐPT")</f>
        <v>LĐPT</v>
      </c>
      <c r="Q95" s="22" t="str">
        <f>IFERROR(__xludf.DUMMYFUNCTION("""COMPUTED_VALUE"""),"Lao động phổ thông")</f>
        <v>Lao động phổ thông</v>
      </c>
      <c r="R95" s="24">
        <f>IFERROR(__xludf.DUMMYFUNCTION("""COMPUTED_VALUE"""),44448.0)</f>
        <v>44448</v>
      </c>
      <c r="S95" s="24">
        <f>IFERROR(__xludf.DUMMYFUNCTION("""COMPUTED_VALUE"""),44743.0)</f>
        <v>44743</v>
      </c>
      <c r="T95" s="22" t="str">
        <f>IFERROR(__xludf.DUMMYFUNCTION("""COMPUTED_VALUE"""),"Chính thức")</f>
        <v>Chính thức</v>
      </c>
      <c r="U95" s="22"/>
      <c r="V95" s="22" t="str">
        <f>IFERROR(__xludf.DUMMYFUNCTION("""COMPUTED_VALUE"""),"Chính thức")</f>
        <v>Chính thức</v>
      </c>
      <c r="W95" s="22" t="str">
        <f>IFERROR(__xludf.DUMMYFUNCTION("""COMPUTED_VALUE"""),"4 năm 3 tháng")</f>
        <v>4 năm 3 tháng</v>
      </c>
      <c r="X95" s="22"/>
      <c r="Y95" s="22"/>
      <c r="Z95" s="22"/>
    </row>
    <row r="96">
      <c r="A96" s="22">
        <f>IFERROR(__xludf.DUMMYFUNCTION("""COMPUTED_VALUE"""),5.0)</f>
        <v>5</v>
      </c>
      <c r="B96" s="22" t="str">
        <f>IFERROR(__xludf.DUMMYFUNCTION("""COMPUTED_VALUE"""),"DC5-PXSX2")</f>
        <v>DC5-PXSX2</v>
      </c>
      <c r="C96" s="22" t="str">
        <f>IFERROR(__xludf.DUMMYFUNCTION("""COMPUTED_VALUE"""),"Bộ phận Mài và Đóng hộp")</f>
        <v>Bộ phận Mài và Đóng hộp</v>
      </c>
      <c r="D96" s="22" t="str">
        <f>IFERROR(__xludf.DUMMYFUNCTION("""COMPUTED_VALUE"""),"Dây chuyền Mài Ca A")</f>
        <v>Dây chuyền Mài Ca A</v>
      </c>
      <c r="E96" s="22" t="str">
        <f>IFERROR(__xludf.DUMMYFUNCTION("""COMPUTED_VALUE"""),"Vận hành chính máy mài mặt")</f>
        <v>Vận hành chính máy mài mặt</v>
      </c>
      <c r="F96" s="22" t="str">
        <f>IFERROR(__xludf.DUMMYFUNCTION("""COMPUTED_VALUE"""),"NV0231")</f>
        <v>NV0231</v>
      </c>
      <c r="G96" s="22">
        <f>IFERROR(__xludf.DUMMYFUNCTION("""COMPUTED_VALUE"""),631.0)</f>
        <v>631</v>
      </c>
      <c r="H96" s="22" t="str">
        <f>IFERROR(__xludf.DUMMYFUNCTION("""COMPUTED_VALUE"""),"Nguyễn Trọng Thức")</f>
        <v>Nguyễn Trọng Thức</v>
      </c>
      <c r="I96" s="22" t="str">
        <f>IFERROR(__xludf.DUMMYFUNCTION("""COMPUTED_VALUE"""),"Nam")</f>
        <v>Nam</v>
      </c>
      <c r="J96" s="24">
        <f>IFERROR(__xludf.DUMMYFUNCTION("""COMPUTED_VALUE"""),34205.0)</f>
        <v>34205</v>
      </c>
      <c r="K96" s="22" t="str">
        <f>IFERROR(__xludf.DUMMYFUNCTION("""COMPUTED_VALUE"""),"Phường Đông Hải -  Thành Phố Thanh Hóa -  Tỉnh Thanh Hóa -  Việt Nam")</f>
        <v>Phường Đông Hải -  Thành Phố Thanh Hóa -  Tỉnh Thanh Hóa -  Việt Nam</v>
      </c>
      <c r="L96" s="22" t="str">
        <f>IFERROR(__xludf.DUMMYFUNCTION("""COMPUTED_VALUE"""),"0397447921")</f>
        <v>0397447921</v>
      </c>
      <c r="M96" s="22" t="str">
        <f>IFERROR(__xludf.DUMMYFUNCTION("""COMPUTED_VALUE"""),"038093042122")</f>
        <v>038093042122</v>
      </c>
      <c r="N96" s="26">
        <f>IFERROR(__xludf.DUMMYFUNCTION("""COMPUTED_VALUE"""),44422.0)</f>
        <v>44422</v>
      </c>
      <c r="O96" s="22" t="str">
        <f>IFERROR(__xludf.DUMMYFUNCTION("""COMPUTED_VALUE"""),"Cục Cảnh sát QLHC về TTXH")</f>
        <v>Cục Cảnh sát QLHC về TTXH</v>
      </c>
      <c r="P96" s="22" t="str">
        <f>IFERROR(__xludf.DUMMYFUNCTION("""COMPUTED_VALUE"""),"LĐPT")</f>
        <v>LĐPT</v>
      </c>
      <c r="Q96" s="22" t="str">
        <f>IFERROR(__xludf.DUMMYFUNCTION("""COMPUTED_VALUE"""),"Lao động phổ thông")</f>
        <v>Lao động phổ thông</v>
      </c>
      <c r="R96" s="24">
        <f>IFERROR(__xludf.DUMMYFUNCTION("""COMPUTED_VALUE"""),42207.0)</f>
        <v>42207</v>
      </c>
      <c r="S96" s="24">
        <f>IFERROR(__xludf.DUMMYFUNCTION("""COMPUTED_VALUE"""),42207.0)</f>
        <v>42207</v>
      </c>
      <c r="T96" s="22" t="str">
        <f>IFERROR(__xludf.DUMMYFUNCTION("""COMPUTED_VALUE"""),"Chính thức")</f>
        <v>Chính thức</v>
      </c>
      <c r="U96" s="22"/>
      <c r="V96" s="22" t="str">
        <f>IFERROR(__xludf.DUMMYFUNCTION("""COMPUTED_VALUE"""),"Chính thức")</f>
        <v>Chính thức</v>
      </c>
      <c r="W96" s="22" t="str">
        <f>IFERROR(__xludf.DUMMYFUNCTION("""COMPUTED_VALUE"""),"10 năm 5 tháng")</f>
        <v>10 năm 5 tháng</v>
      </c>
      <c r="X96" s="22"/>
      <c r="Y96" s="22"/>
      <c r="Z96" s="22"/>
    </row>
    <row r="97">
      <c r="A97" s="22">
        <f>IFERROR(__xludf.DUMMYFUNCTION("""COMPUTED_VALUE"""),6.0)</f>
        <v>6</v>
      </c>
      <c r="B97" s="22" t="str">
        <f>IFERROR(__xludf.DUMMYFUNCTION("""COMPUTED_VALUE"""),"DC5-PXSX2")</f>
        <v>DC5-PXSX2</v>
      </c>
      <c r="C97" s="22" t="str">
        <f>IFERROR(__xludf.DUMMYFUNCTION("""COMPUTED_VALUE"""),"Bộ phận Mài và Đóng hộp")</f>
        <v>Bộ phận Mài và Đóng hộp</v>
      </c>
      <c r="D97" s="22" t="str">
        <f>IFERROR(__xludf.DUMMYFUNCTION("""COMPUTED_VALUE"""),"Dây chuyền Mài Ca A")</f>
        <v>Dây chuyền Mài Ca A</v>
      </c>
      <c r="E97" s="22" t="str">
        <f>IFERROR(__xludf.DUMMYFUNCTION("""COMPUTED_VALUE"""),"Vận hành máy mài cạnh mức 1")</f>
        <v>Vận hành máy mài cạnh mức 1</v>
      </c>
      <c r="F97" s="22" t="str">
        <f>IFERROR(__xludf.DUMMYFUNCTION("""COMPUTED_VALUE"""),"NV1279")</f>
        <v>NV1279</v>
      </c>
      <c r="G97" s="22">
        <f>IFERROR(__xludf.DUMMYFUNCTION("""COMPUTED_VALUE"""),443.0)</f>
        <v>443</v>
      </c>
      <c r="H97" s="22" t="str">
        <f>IFERROR(__xludf.DUMMYFUNCTION("""COMPUTED_VALUE"""),"Nguyễn Duy Xuân ")</f>
        <v>Nguyễn Duy Xuân </v>
      </c>
      <c r="I97" s="22" t="str">
        <f>IFERROR(__xludf.DUMMYFUNCTION("""COMPUTED_VALUE"""),"Nam")</f>
        <v>Nam</v>
      </c>
      <c r="J97" s="24">
        <f>IFERROR(__xludf.DUMMYFUNCTION("""COMPUTED_VALUE"""),33092.0)</f>
        <v>33092</v>
      </c>
      <c r="K97" s="22" t="str">
        <f>IFERROR(__xludf.DUMMYFUNCTION("""COMPUTED_VALUE"""),"ĐÔng Vệ TP Thanh Hóa")</f>
        <v>ĐÔng Vệ TP Thanh Hóa</v>
      </c>
      <c r="L97" s="22" t="str">
        <f>IFERROR(__xludf.DUMMYFUNCTION("""COMPUTED_VALUE"""),"0909899929")</f>
        <v>0909899929</v>
      </c>
      <c r="M97" s="22" t="str">
        <f>IFERROR(__xludf.DUMMYFUNCTION("""COMPUTED_VALUE"""),"038090001843")</f>
        <v>038090001843</v>
      </c>
      <c r="N97" s="26">
        <f>IFERROR(__xludf.DUMMYFUNCTION("""COMPUTED_VALUE"""),42571.0)</f>
        <v>42571</v>
      </c>
      <c r="O97" s="22" t="str">
        <f>IFERROR(__xludf.DUMMYFUNCTION("""COMPUTED_VALUE"""),"Cục Cảnh sát QLHC về TTXH")</f>
        <v>Cục Cảnh sát QLHC về TTXH</v>
      </c>
      <c r="P97" s="22" t="str">
        <f>IFERROR(__xludf.DUMMYFUNCTION("""COMPUTED_VALUE"""),"Trung cấp")</f>
        <v>Trung cấp</v>
      </c>
      <c r="Q97" s="22" t="str">
        <f>IFERROR(__xludf.DUMMYFUNCTION("""COMPUTED_VALUE"""),"Cơ khí hàn")</f>
        <v>Cơ khí hàn</v>
      </c>
      <c r="R97" s="24">
        <f>IFERROR(__xludf.DUMMYFUNCTION("""COMPUTED_VALUE"""),45407.0)</f>
        <v>45407</v>
      </c>
      <c r="S97" s="24">
        <f>IFERROR(__xludf.DUMMYFUNCTION("""COMPUTED_VALUE"""),45383.0)</f>
        <v>45383</v>
      </c>
      <c r="T97" s="22" t="str">
        <f>IFERROR(__xludf.DUMMYFUNCTION("""COMPUTED_VALUE"""),"Chính thức")</f>
        <v>Chính thức</v>
      </c>
      <c r="U97" s="22"/>
      <c r="V97" s="22" t="str">
        <f>IFERROR(__xludf.DUMMYFUNCTION("""COMPUTED_VALUE"""),"Chính thức")</f>
        <v>Chính thức</v>
      </c>
      <c r="W97" s="22" t="str">
        <f>IFERROR(__xludf.DUMMYFUNCTION("""COMPUTED_VALUE"""),"1 năm 8 tháng")</f>
        <v>1 năm 8 tháng</v>
      </c>
      <c r="X97" s="22"/>
      <c r="Y97" s="22"/>
      <c r="Z97" s="22"/>
    </row>
    <row r="98">
      <c r="A98" s="22">
        <f>IFERROR(__xludf.DUMMYFUNCTION("""COMPUTED_VALUE"""),7.0)</f>
        <v>7</v>
      </c>
      <c r="B98" s="22" t="str">
        <f>IFERROR(__xludf.DUMMYFUNCTION("""COMPUTED_VALUE"""),"DC5-PXSX2")</f>
        <v>DC5-PXSX2</v>
      </c>
      <c r="C98" s="22" t="str">
        <f>IFERROR(__xludf.DUMMYFUNCTION("""COMPUTED_VALUE"""),"Bộ phận Mài và Đóng hộp")</f>
        <v>Bộ phận Mài và Đóng hộp</v>
      </c>
      <c r="D98" s="22" t="str">
        <f>IFERROR(__xludf.DUMMYFUNCTION("""COMPUTED_VALUE"""),"Dây chuyền Mài Ca A")</f>
        <v>Dây chuyền Mài Ca A</v>
      </c>
      <c r="E98" s="22" t="str">
        <f>IFERROR(__xludf.DUMMYFUNCTION("""COMPUTED_VALUE"""),"Bốc sót sau máy mài nano")</f>
        <v>Bốc sót sau máy mài nano</v>
      </c>
      <c r="F98" s="22" t="str">
        <f>IFERROR(__xludf.DUMMYFUNCTION("""COMPUTED_VALUE"""),"NV4595")</f>
        <v>NV4595</v>
      </c>
      <c r="G98" s="22">
        <f>IFERROR(__xludf.DUMMYFUNCTION("""COMPUTED_VALUE"""),844.0)</f>
        <v>844</v>
      </c>
      <c r="H98" s="22" t="str">
        <f>IFERROR(__xludf.DUMMYFUNCTION("""COMPUTED_VALUE"""),"Phạm Văn Thanh")</f>
        <v>Phạm Văn Thanh</v>
      </c>
      <c r="I98" s="22" t="str">
        <f>IFERROR(__xludf.DUMMYFUNCTION("""COMPUTED_VALUE"""),"Nam")</f>
        <v>Nam</v>
      </c>
      <c r="J98" s="24">
        <f>IFERROR(__xludf.DUMMYFUNCTION("""COMPUTED_VALUE"""),31463.0)</f>
        <v>31463</v>
      </c>
      <c r="K98" s="22" t="str">
        <f>IFERROR(__xludf.DUMMYFUNCTION("""COMPUTED_VALUE"""),"Phố Quyết Thắng -  Xã Quảng Thịnh -  Thành phố Thanh Hóa -  Thanh Hóa -  Việt Nam")</f>
        <v>Phố Quyết Thắng -  Xã Quảng Thịnh -  Thành phố Thanh Hóa -  Thanh Hóa -  Việt Nam</v>
      </c>
      <c r="L98" s="22" t="str">
        <f>IFERROR(__xludf.DUMMYFUNCTION("""COMPUTED_VALUE"""),"0848589442")</f>
        <v>0848589442</v>
      </c>
      <c r="M98" s="22" t="str">
        <f>IFERROR(__xludf.DUMMYFUNCTION("""COMPUTED_VALUE"""),"038086028459")</f>
        <v>038086028459</v>
      </c>
      <c r="N98" s="26">
        <f>IFERROR(__xludf.DUMMYFUNCTION("""COMPUTED_VALUE"""),45554.0)</f>
        <v>45554</v>
      </c>
      <c r="O98" s="22" t="str">
        <f>IFERROR(__xludf.DUMMYFUNCTION("""COMPUTED_VALUE"""),"Cục Cảnh sát QLHC về TTXH")</f>
        <v>Cục Cảnh sát QLHC về TTXH</v>
      </c>
      <c r="P98" s="22" t="str">
        <f>IFERROR(__xludf.DUMMYFUNCTION("""COMPUTED_VALUE"""),"LĐPT")</f>
        <v>LĐPT</v>
      </c>
      <c r="Q98" s="22" t="str">
        <f>IFERROR(__xludf.DUMMYFUNCTION("""COMPUTED_VALUE"""),"Lao động phổ thông")</f>
        <v>Lao động phổ thông</v>
      </c>
      <c r="R98" s="24">
        <f>IFERROR(__xludf.DUMMYFUNCTION("""COMPUTED_VALUE"""),45700.0)</f>
        <v>45700</v>
      </c>
      <c r="S98" s="24">
        <f>IFERROR(__xludf.DUMMYFUNCTION("""COMPUTED_VALUE"""),45700.0)</f>
        <v>45700</v>
      </c>
      <c r="T98" s="22" t="str">
        <f>IFERROR(__xludf.DUMMYFUNCTION("""COMPUTED_VALUE"""),"Chính thức")</f>
        <v>Chính thức</v>
      </c>
      <c r="U98" s="22"/>
      <c r="V98" s="22" t="str">
        <f>IFERROR(__xludf.DUMMYFUNCTION("""COMPUTED_VALUE"""),"Chính thức")</f>
        <v>Chính thức</v>
      </c>
      <c r="W98" s="22" t="str">
        <f>IFERROR(__xludf.DUMMYFUNCTION("""COMPUTED_VALUE"""),"0 năm 10 tháng")</f>
        <v>0 năm 10 tháng</v>
      </c>
      <c r="X98" s="22"/>
      <c r="Y98" s="22"/>
      <c r="Z98" s="22"/>
    </row>
    <row r="99">
      <c r="A99" s="22">
        <f>IFERROR(__xludf.DUMMYFUNCTION("""COMPUTED_VALUE"""),8.0)</f>
        <v>8</v>
      </c>
      <c r="B99" s="22" t="str">
        <f>IFERROR(__xludf.DUMMYFUNCTION("""COMPUTED_VALUE"""),"DC5-PXSX2")</f>
        <v>DC5-PXSX2</v>
      </c>
      <c r="C99" s="22" t="str">
        <f>IFERROR(__xludf.DUMMYFUNCTION("""COMPUTED_VALUE"""),"Bộ phận Mài và Đóng hộp")</f>
        <v>Bộ phận Mài và Đóng hộp</v>
      </c>
      <c r="D99" s="22" t="str">
        <f>IFERROR(__xludf.DUMMYFUNCTION("""COMPUTED_VALUE"""),"Dây chuyền Mài Ca A")</f>
        <v>Dây chuyền Mài Ca A</v>
      </c>
      <c r="E99" s="22" t="str">
        <f>IFERROR(__xludf.DUMMYFUNCTION("""COMPUTED_VALUE"""),"Vận hành chính máy mài cạnh")</f>
        <v>Vận hành chính máy mài cạnh</v>
      </c>
      <c r="F99" s="22" t="str">
        <f>IFERROR(__xludf.DUMMYFUNCTION("""COMPUTED_VALUE"""),"NV4587")</f>
        <v>NV4587</v>
      </c>
      <c r="G99" s="22">
        <f>IFERROR(__xludf.DUMMYFUNCTION("""COMPUTED_VALUE"""),431.0)</f>
        <v>431</v>
      </c>
      <c r="H99" s="22" t="str">
        <f>IFERROR(__xludf.DUMMYFUNCTION("""COMPUTED_VALUE"""),"Viên Trịnh Hà")</f>
        <v>Viên Trịnh Hà</v>
      </c>
      <c r="I99" s="22" t="str">
        <f>IFERROR(__xludf.DUMMYFUNCTION("""COMPUTED_VALUE"""),"Nam")</f>
        <v>Nam</v>
      </c>
      <c r="J99" s="24">
        <f>IFERROR(__xludf.DUMMYFUNCTION("""COMPUTED_VALUE"""),36780.0)</f>
        <v>36780</v>
      </c>
      <c r="K99" s="22" t="str">
        <f>IFERROR(__xludf.DUMMYFUNCTION("""COMPUTED_VALUE"""),"Xã Quảng Đại -  Thành phố Sầm Sơn -  Thanh Hóa -  Việt Nam")</f>
        <v>Xã Quảng Đại -  Thành phố Sầm Sơn -  Thanh Hóa -  Việt Nam</v>
      </c>
      <c r="L99" s="22" t="str">
        <f>IFERROR(__xludf.DUMMYFUNCTION("""COMPUTED_VALUE"""),"0333377183")</f>
        <v>0333377183</v>
      </c>
      <c r="M99" s="22" t="str">
        <f>IFERROR(__xludf.DUMMYFUNCTION("""COMPUTED_VALUE"""),"038200021307")</f>
        <v>038200021307</v>
      </c>
      <c r="N99" s="26">
        <f>IFERROR(__xludf.DUMMYFUNCTION("""COMPUTED_VALUE"""),44419.0)</f>
        <v>44419</v>
      </c>
      <c r="O99" s="22" t="str">
        <f>IFERROR(__xludf.DUMMYFUNCTION("""COMPUTED_VALUE"""),"Cục Cảnh sát QLHC về TTXH")</f>
        <v>Cục Cảnh sát QLHC về TTXH</v>
      </c>
      <c r="P99" s="22" t="str">
        <f>IFERROR(__xludf.DUMMYFUNCTION("""COMPUTED_VALUE"""),"LĐPT")</f>
        <v>LĐPT</v>
      </c>
      <c r="Q99" s="22" t="str">
        <f>IFERROR(__xludf.DUMMYFUNCTION("""COMPUTED_VALUE"""),"Lao động phổ thông")</f>
        <v>Lao động phổ thông</v>
      </c>
      <c r="R99" s="24">
        <f>IFERROR(__xludf.DUMMYFUNCTION("""COMPUTED_VALUE"""),44955.0)</f>
        <v>44955</v>
      </c>
      <c r="S99" s="24">
        <f>IFERROR(__xludf.DUMMYFUNCTION("""COMPUTED_VALUE"""),45047.0)</f>
        <v>45047</v>
      </c>
      <c r="T99" s="22" t="str">
        <f>IFERROR(__xludf.DUMMYFUNCTION("""COMPUTED_VALUE"""),"Chính thức")</f>
        <v>Chính thức</v>
      </c>
      <c r="U99" s="22"/>
      <c r="V99" s="22" t="str">
        <f>IFERROR(__xludf.DUMMYFUNCTION("""COMPUTED_VALUE"""),"Chính thức")</f>
        <v>Chính thức</v>
      </c>
      <c r="W99" s="22" t="str">
        <f>IFERROR(__xludf.DUMMYFUNCTION("""COMPUTED_VALUE"""),"2 năm 11 tháng")</f>
        <v>2 năm 11 tháng</v>
      </c>
      <c r="X99" s="22"/>
      <c r="Y99" s="22"/>
      <c r="Z99" s="22"/>
    </row>
    <row r="100">
      <c r="A100" s="22">
        <f>IFERROR(__xludf.DUMMYFUNCTION("""COMPUTED_VALUE"""),9.0)</f>
        <v>9</v>
      </c>
      <c r="B100" s="22" t="str">
        <f>IFERROR(__xludf.DUMMYFUNCTION("""COMPUTED_VALUE"""),"DC5-PXSX2")</f>
        <v>DC5-PXSX2</v>
      </c>
      <c r="C100" s="22" t="str">
        <f>IFERROR(__xludf.DUMMYFUNCTION("""COMPUTED_VALUE"""),"Bộ phận Mài và Đóng hộp")</f>
        <v>Bộ phận Mài và Đóng hộp</v>
      </c>
      <c r="D100" s="22" t="str">
        <f>IFERROR(__xludf.DUMMYFUNCTION("""COMPUTED_VALUE"""),"Dây chuyền Mài Ca A")</f>
        <v>Dây chuyền Mài Ca A</v>
      </c>
      <c r="E100" s="22" t="str">
        <f>IFERROR(__xludf.DUMMYFUNCTION("""COMPUTED_VALUE"""),"Xe nâng")</f>
        <v>Xe nâng</v>
      </c>
      <c r="F100" s="22" t="str">
        <f>IFERROR(__xludf.DUMMYFUNCTION("""COMPUTED_VALUE"""),"NV1715")</f>
        <v>NV1715</v>
      </c>
      <c r="G100" s="22">
        <f>IFERROR(__xludf.DUMMYFUNCTION("""COMPUTED_VALUE"""),430.0)</f>
        <v>430</v>
      </c>
      <c r="H100" s="22" t="str">
        <f>IFERROR(__xludf.DUMMYFUNCTION("""COMPUTED_VALUE"""),"Lê Xuân Linh")</f>
        <v>Lê Xuân Linh</v>
      </c>
      <c r="I100" s="22" t="str">
        <f>IFERROR(__xludf.DUMMYFUNCTION("""COMPUTED_VALUE"""),"Nam")</f>
        <v>Nam</v>
      </c>
      <c r="J100" s="24">
        <f>IFERROR(__xludf.DUMMYFUNCTION("""COMPUTED_VALUE"""),32767.0)</f>
        <v>32767</v>
      </c>
      <c r="K100" s="22" t="str">
        <f>IFERROR(__xludf.DUMMYFUNCTION("""COMPUTED_VALUE"""),"58 Trường Thi -  Phường Trường Thi -  Thành phố Thanh Hóa")</f>
        <v>58 Trường Thi -  Phường Trường Thi -  Thành phố Thanh Hóa</v>
      </c>
      <c r="L100" s="22" t="str">
        <f>IFERROR(__xludf.DUMMYFUNCTION("""COMPUTED_VALUE"""),"0943850456")</f>
        <v>0943850456</v>
      </c>
      <c r="M100" s="22" t="str">
        <f>IFERROR(__xludf.DUMMYFUNCTION("""COMPUTED_VALUE"""),"038089041810")</f>
        <v>038089041810</v>
      </c>
      <c r="N100" s="26">
        <f>IFERROR(__xludf.DUMMYFUNCTION("""COMPUTED_VALUE"""),44427.0)</f>
        <v>44427</v>
      </c>
      <c r="O100" s="22" t="str">
        <f>IFERROR(__xludf.DUMMYFUNCTION("""COMPUTED_VALUE"""),"Cục Cảnh sát QLHC về TTXH")</f>
        <v>Cục Cảnh sát QLHC về TTXH</v>
      </c>
      <c r="P100" s="22" t="str">
        <f>IFERROR(__xludf.DUMMYFUNCTION("""COMPUTED_VALUE"""),"Bằng nghề")</f>
        <v>Bằng nghề</v>
      </c>
      <c r="Q100" s="22" t="str">
        <f>IFERROR(__xludf.DUMMYFUNCTION("""COMPUTED_VALUE"""),"Lái xe hạng B2")</f>
        <v>Lái xe hạng B2</v>
      </c>
      <c r="R100" s="24">
        <f>IFERROR(__xludf.DUMMYFUNCTION("""COMPUTED_VALUE"""),44021.0)</f>
        <v>44021</v>
      </c>
      <c r="S100" s="24">
        <f>IFERROR(__xludf.DUMMYFUNCTION("""COMPUTED_VALUE"""),44348.0)</f>
        <v>44348</v>
      </c>
      <c r="T100" s="22" t="str">
        <f>IFERROR(__xludf.DUMMYFUNCTION("""COMPUTED_VALUE"""),"Chính thức")</f>
        <v>Chính thức</v>
      </c>
      <c r="U100" s="22"/>
      <c r="V100" s="22" t="str">
        <f>IFERROR(__xludf.DUMMYFUNCTION("""COMPUTED_VALUE"""),"Chính thức")</f>
        <v>Chính thức</v>
      </c>
      <c r="W100" s="22" t="str">
        <f>IFERROR(__xludf.DUMMYFUNCTION("""COMPUTED_VALUE"""),"5 năm 5 tháng")</f>
        <v>5 năm 5 tháng</v>
      </c>
      <c r="X100" s="22"/>
      <c r="Y100" s="22"/>
      <c r="Z100" s="22"/>
    </row>
    <row r="101">
      <c r="A101" s="22">
        <f>IFERROR(__xludf.DUMMYFUNCTION("""COMPUTED_VALUE"""),10.0)</f>
        <v>10</v>
      </c>
      <c r="B101" s="22" t="str">
        <f>IFERROR(__xludf.DUMMYFUNCTION("""COMPUTED_VALUE"""),"DC5-PXSX2")</f>
        <v>DC5-PXSX2</v>
      </c>
      <c r="C101" s="22" t="str">
        <f>IFERROR(__xludf.DUMMYFUNCTION("""COMPUTED_VALUE"""),"Bộ phận Mài và Đóng hộp")</f>
        <v>Bộ phận Mài và Đóng hộp</v>
      </c>
      <c r="D101" s="22" t="str">
        <f>IFERROR(__xludf.DUMMYFUNCTION("""COMPUTED_VALUE"""),"Dây chuyền Mài Ca A")</f>
        <v>Dây chuyền Mài Ca A</v>
      </c>
      <c r="E101" s="22" t="str">
        <f>IFERROR(__xludf.DUMMYFUNCTION("""COMPUTED_VALUE"""),"Vận hành bể nước thải")</f>
        <v>Vận hành bể nước thải</v>
      </c>
      <c r="F101" s="22" t="str">
        <f>IFERROR(__xludf.DUMMYFUNCTION("""COMPUTED_VALUE"""),"NV0483")</f>
        <v>NV0483</v>
      </c>
      <c r="G101" s="22">
        <f>IFERROR(__xludf.DUMMYFUNCTION("""COMPUTED_VALUE"""),435.0)</f>
        <v>435</v>
      </c>
      <c r="H101" s="22" t="str">
        <f>IFERROR(__xludf.DUMMYFUNCTION("""COMPUTED_VALUE"""),"Phạm Khắc Sỹ")</f>
        <v>Phạm Khắc Sỹ</v>
      </c>
      <c r="I101" s="22" t="str">
        <f>IFERROR(__xludf.DUMMYFUNCTION("""COMPUTED_VALUE"""),"Nam")</f>
        <v>Nam</v>
      </c>
      <c r="J101" s="24">
        <f>IFERROR(__xludf.DUMMYFUNCTION("""COMPUTED_VALUE"""),28656.0)</f>
        <v>28656</v>
      </c>
      <c r="K101" s="22" t="str">
        <f>IFERROR(__xludf.DUMMYFUNCTION("""COMPUTED_VALUE"""),"Xã Quảng Phú -  Huyện Quảng Xương -  Tỉnh Thanh Hóa -  Việt Nam")</f>
        <v>Xã Quảng Phú -  Huyện Quảng Xương -  Tỉnh Thanh Hóa -  Việt Nam</v>
      </c>
      <c r="L101" s="22" t="str">
        <f>IFERROR(__xludf.DUMMYFUNCTION("""COMPUTED_VALUE"""),"0393670105")</f>
        <v>0393670105</v>
      </c>
      <c r="M101" s="22" t="str">
        <f>IFERROR(__xludf.DUMMYFUNCTION("""COMPUTED_VALUE"""),"038078027834")</f>
        <v>038078027834</v>
      </c>
      <c r="N101" s="26">
        <f>IFERROR(__xludf.DUMMYFUNCTION("""COMPUTED_VALUE"""),44422.0)</f>
        <v>44422</v>
      </c>
      <c r="O101" s="22" t="str">
        <f>IFERROR(__xludf.DUMMYFUNCTION("""COMPUTED_VALUE"""),"Cục Cảnh sát QLHC về TTXH")</f>
        <v>Cục Cảnh sát QLHC về TTXH</v>
      </c>
      <c r="P101" s="22" t="str">
        <f>IFERROR(__xludf.DUMMYFUNCTION("""COMPUTED_VALUE"""),"LĐPT")</f>
        <v>LĐPT</v>
      </c>
      <c r="Q101" s="22" t="str">
        <f>IFERROR(__xludf.DUMMYFUNCTION("""COMPUTED_VALUE"""),"Lao động phổ thông")</f>
        <v>Lao động phổ thông</v>
      </c>
      <c r="R101" s="24">
        <f>IFERROR(__xludf.DUMMYFUNCTION("""COMPUTED_VALUE"""),42319.0)</f>
        <v>42319</v>
      </c>
      <c r="S101" s="24">
        <f>IFERROR(__xludf.DUMMYFUNCTION("""COMPUTED_VALUE"""),42740.0)</f>
        <v>42740</v>
      </c>
      <c r="T101" s="22" t="str">
        <f>IFERROR(__xludf.DUMMYFUNCTION("""COMPUTED_VALUE"""),"Chính thức")</f>
        <v>Chính thức</v>
      </c>
      <c r="U101" s="22"/>
      <c r="V101" s="22" t="str">
        <f>IFERROR(__xludf.DUMMYFUNCTION("""COMPUTED_VALUE"""),"Chính thức")</f>
        <v>Chính thức</v>
      </c>
      <c r="W101" s="22" t="str">
        <f>IFERROR(__xludf.DUMMYFUNCTION("""COMPUTED_VALUE"""),"10 năm 1 tháng")</f>
        <v>10 năm 1 tháng</v>
      </c>
      <c r="X101" s="22"/>
      <c r="Y101" s="22"/>
      <c r="Z101" s="22"/>
    </row>
    <row r="102">
      <c r="A102" s="22">
        <f>IFERROR(__xludf.DUMMYFUNCTION("""COMPUTED_VALUE"""),11.0)</f>
        <v>11</v>
      </c>
      <c r="B102" s="22" t="str">
        <f>IFERROR(__xludf.DUMMYFUNCTION("""COMPUTED_VALUE"""),"DC5-PXSX2")</f>
        <v>DC5-PXSX2</v>
      </c>
      <c r="C102" s="22" t="str">
        <f>IFERROR(__xludf.DUMMYFUNCTION("""COMPUTED_VALUE"""),"Bộ phận Mài và Đóng hộp")</f>
        <v>Bộ phận Mài và Đóng hộp</v>
      </c>
      <c r="D102" s="22" t="str">
        <f>IFERROR(__xludf.DUMMYFUNCTION("""COMPUTED_VALUE"""),"Dây chuyền Mài Ca A")</f>
        <v>Dây chuyền Mài Ca A</v>
      </c>
      <c r="E102" s="22" t="str">
        <f>IFERROR(__xludf.DUMMYFUNCTION("""COMPUTED_VALUE"""),"Cơ điện phụ trách mài cạnh Px2")</f>
        <v>Cơ điện phụ trách mài cạnh Px2</v>
      </c>
      <c r="F102" s="22" t="str">
        <f>IFERROR(__xludf.DUMMYFUNCTION("""COMPUTED_VALUE"""),"NV0720")</f>
        <v>NV0720</v>
      </c>
      <c r="G102" s="22">
        <f>IFERROR(__xludf.DUMMYFUNCTION("""COMPUTED_VALUE"""),412.0)</f>
        <v>412</v>
      </c>
      <c r="H102" s="22" t="str">
        <f>IFERROR(__xludf.DUMMYFUNCTION("""COMPUTED_VALUE"""),"Lê Công Thao")</f>
        <v>Lê Công Thao</v>
      </c>
      <c r="I102" s="22" t="str">
        <f>IFERROR(__xludf.DUMMYFUNCTION("""COMPUTED_VALUE"""),"Nam")</f>
        <v>Nam</v>
      </c>
      <c r="J102" s="24">
        <f>IFERROR(__xludf.DUMMYFUNCTION("""COMPUTED_VALUE"""),33192.0)</f>
        <v>33192</v>
      </c>
      <c r="K102" s="22" t="str">
        <f>IFERROR(__xludf.DUMMYFUNCTION("""COMPUTED_VALUE"""),"Thôn 3 -  Xã Quảng Nhân -  Huyện Quảng Xương -  Thanh Hóa")</f>
        <v>Thôn 3 -  Xã Quảng Nhân -  Huyện Quảng Xương -  Thanh Hóa</v>
      </c>
      <c r="L102" s="22" t="str">
        <f>IFERROR(__xludf.DUMMYFUNCTION("""COMPUTED_VALUE"""),"0989728529")</f>
        <v>0989728529</v>
      </c>
      <c r="M102" s="22" t="str">
        <f>IFERROR(__xludf.DUMMYFUNCTION("""COMPUTED_VALUE"""),"038090045806")</f>
        <v>038090045806</v>
      </c>
      <c r="N102" s="26">
        <f>IFERROR(__xludf.DUMMYFUNCTION("""COMPUTED_VALUE"""),44375.0)</f>
        <v>44375</v>
      </c>
      <c r="O102" s="22" t="str">
        <f>IFERROR(__xludf.DUMMYFUNCTION("""COMPUTED_VALUE"""),"Cục Cảnh sát QLHC về TTXH")</f>
        <v>Cục Cảnh sát QLHC về TTXH</v>
      </c>
      <c r="P102" s="22" t="str">
        <f>IFERROR(__xludf.DUMMYFUNCTION("""COMPUTED_VALUE"""),"Trung cấp")</f>
        <v>Trung cấp</v>
      </c>
      <c r="Q102" s="22" t="str">
        <f>IFERROR(__xludf.DUMMYFUNCTION("""COMPUTED_VALUE"""),"Điện lực")</f>
        <v>Điện lực</v>
      </c>
      <c r="R102" s="24">
        <f>IFERROR(__xludf.DUMMYFUNCTION("""COMPUTED_VALUE"""),43626.0)</f>
        <v>43626</v>
      </c>
      <c r="S102" s="24">
        <f>IFERROR(__xludf.DUMMYFUNCTION("""COMPUTED_VALUE"""),44044.0)</f>
        <v>44044</v>
      </c>
      <c r="T102" s="22" t="str">
        <f>IFERROR(__xludf.DUMMYFUNCTION("""COMPUTED_VALUE"""),"Chính thức")</f>
        <v>Chính thức</v>
      </c>
      <c r="U102" s="22"/>
      <c r="V102" s="22" t="str">
        <f>IFERROR(__xludf.DUMMYFUNCTION("""COMPUTED_VALUE"""),"Chính thức")</f>
        <v>Chính thức</v>
      </c>
      <c r="W102" s="22" t="str">
        <f>IFERROR(__xludf.DUMMYFUNCTION("""COMPUTED_VALUE"""),"6 năm 6 tháng")</f>
        <v>6 năm 6 tháng</v>
      </c>
      <c r="X102" s="22"/>
      <c r="Y102" s="22"/>
      <c r="Z102" s="22"/>
    </row>
    <row r="103">
      <c r="A103" s="22">
        <f>IFERROR(__xludf.DUMMYFUNCTION("""COMPUTED_VALUE"""),12.0)</f>
        <v>12</v>
      </c>
      <c r="B103" s="22" t="str">
        <f>IFERROR(__xludf.DUMMYFUNCTION("""COMPUTED_VALUE"""),"DC5-PXSX2")</f>
        <v>DC5-PXSX2</v>
      </c>
      <c r="C103" s="22" t="str">
        <f>IFERROR(__xludf.DUMMYFUNCTION("""COMPUTED_VALUE"""),"Bộ phận Mài và Đóng hộp")</f>
        <v>Bộ phận Mài và Đóng hộp</v>
      </c>
      <c r="D103" s="22" t="str">
        <f>IFERROR(__xludf.DUMMYFUNCTION("""COMPUTED_VALUE"""),"Dây chuyền Mài Ca A")</f>
        <v>Dây chuyền Mài Ca A</v>
      </c>
      <c r="E103" s="22" t="str">
        <f>IFERROR(__xludf.DUMMYFUNCTION("""COMPUTED_VALUE"""),"Vận hành máy Nano mức 1")</f>
        <v>Vận hành máy Nano mức 1</v>
      </c>
      <c r="F103" s="22" t="str">
        <f>IFERROR(__xludf.DUMMYFUNCTION("""COMPUTED_VALUE"""),"NV4841")</f>
        <v>NV4841</v>
      </c>
      <c r="G103" s="22">
        <f>IFERROR(__xludf.DUMMYFUNCTION("""COMPUTED_VALUE"""),878.0)</f>
        <v>878</v>
      </c>
      <c r="H103" s="22" t="str">
        <f>IFERROR(__xludf.DUMMYFUNCTION("""COMPUTED_VALUE"""),"Viên Đình Thống")</f>
        <v>Viên Đình Thống</v>
      </c>
      <c r="I103" s="22" t="str">
        <f>IFERROR(__xludf.DUMMYFUNCTION("""COMPUTED_VALUE"""),"Nam")</f>
        <v>Nam</v>
      </c>
      <c r="J103" s="24">
        <f>IFERROR(__xludf.DUMMYFUNCTION("""COMPUTED_VALUE"""),37612.0)</f>
        <v>37612</v>
      </c>
      <c r="K103" s="22" t="str">
        <f>IFERROR(__xludf.DUMMYFUNCTION("""COMPUTED_VALUE"""),"Thôn Thủ Phú -  Xã Đại Hùng -  Thành phố Sầm Sơn -  Tỉnh Thanh Hóa")</f>
        <v>Thôn Thủ Phú -  Xã Đại Hùng -  Thành phố Sầm Sơn -  Tỉnh Thanh Hóa</v>
      </c>
      <c r="L103" s="22" t="str">
        <f>IFERROR(__xludf.DUMMYFUNCTION("""COMPUTED_VALUE"""),"0385848936")</f>
        <v>0385848936</v>
      </c>
      <c r="M103" s="22" t="str">
        <f>IFERROR(__xludf.DUMMYFUNCTION("""COMPUTED_VALUE"""),"038202022118")</f>
        <v>038202022118</v>
      </c>
      <c r="N103" s="26">
        <f>IFERROR(__xludf.DUMMYFUNCTION("""COMPUTED_VALUE"""),44376.0)</f>
        <v>44376</v>
      </c>
      <c r="O103" s="22" t="str">
        <f>IFERROR(__xludf.DUMMYFUNCTION("""COMPUTED_VALUE"""),"Cục Cảnh sát QLHC về TTXH")</f>
        <v>Cục Cảnh sát QLHC về TTXH</v>
      </c>
      <c r="P103" s="22" t="str">
        <f>IFERROR(__xludf.DUMMYFUNCTION("""COMPUTED_VALUE"""),"LĐPT")</f>
        <v>LĐPT</v>
      </c>
      <c r="Q103" s="22" t="str">
        <f>IFERROR(__xludf.DUMMYFUNCTION("""COMPUTED_VALUE"""),"Lao động phổ thông")</f>
        <v>Lao động phổ thông</v>
      </c>
      <c r="R103" s="24">
        <f>IFERROR(__xludf.DUMMYFUNCTION("""COMPUTED_VALUE"""),45726.0)</f>
        <v>45726</v>
      </c>
      <c r="S103" s="24">
        <f>IFERROR(__xludf.DUMMYFUNCTION("""COMPUTED_VALUE"""),45726.0)</f>
        <v>45726</v>
      </c>
      <c r="T103" s="22" t="str">
        <f>IFERROR(__xludf.DUMMYFUNCTION("""COMPUTED_VALUE"""),"Chính thức")</f>
        <v>Chính thức</v>
      </c>
      <c r="U103" s="22"/>
      <c r="V103" s="22" t="str">
        <f>IFERROR(__xludf.DUMMYFUNCTION("""COMPUTED_VALUE"""),"Chính thức")</f>
        <v>Chính thức</v>
      </c>
      <c r="W103" s="22" t="str">
        <f>IFERROR(__xludf.DUMMYFUNCTION("""COMPUTED_VALUE"""),"0 năm 9 tháng")</f>
        <v>0 năm 9 tháng</v>
      </c>
      <c r="X103" s="22"/>
      <c r="Y103" s="22"/>
      <c r="Z103" s="22"/>
    </row>
    <row r="104">
      <c r="A104" s="22">
        <f>IFERROR(__xludf.DUMMYFUNCTION("""COMPUTED_VALUE"""),13.0)</f>
        <v>13</v>
      </c>
      <c r="B104" s="22" t="str">
        <f>IFERROR(__xludf.DUMMYFUNCTION("""COMPUTED_VALUE"""),"DC5-PXSX2")</f>
        <v>DC5-PXSX2</v>
      </c>
      <c r="C104" s="22" t="str">
        <f>IFERROR(__xludf.DUMMYFUNCTION("""COMPUTED_VALUE"""),"Bộ phận Mài và Đóng hộp")</f>
        <v>Bộ phận Mài và Đóng hộp</v>
      </c>
      <c r="D104" s="22" t="str">
        <f>IFERROR(__xludf.DUMMYFUNCTION("""COMPUTED_VALUE"""),"Dây chuyền Mài Ca A")</f>
        <v>Dây chuyền Mài Ca A</v>
      </c>
      <c r="E104" s="22" t="str">
        <f>IFERROR(__xludf.DUMMYFUNCTION("""COMPUTED_VALUE"""),"Vận hành chính máy mài mặt")</f>
        <v>Vận hành chính máy mài mặt</v>
      </c>
      <c r="F104" s="22" t="str">
        <f>IFERROR(__xludf.DUMMYFUNCTION("""COMPUTED_VALUE"""),"NV5404")</f>
        <v>NV5404</v>
      </c>
      <c r="G104" s="22">
        <f>IFERROR(__xludf.DUMMYFUNCTION("""COMPUTED_VALUE"""),845.0)</f>
        <v>845</v>
      </c>
      <c r="H104" s="22" t="str">
        <f>IFERROR(__xludf.DUMMYFUNCTION("""COMPUTED_VALUE"""),"Mai Văn Chung")</f>
        <v>Mai Văn Chung</v>
      </c>
      <c r="I104" s="22" t="str">
        <f>IFERROR(__xludf.DUMMYFUNCTION("""COMPUTED_VALUE"""),"Nam")</f>
        <v>Nam</v>
      </c>
      <c r="J104" s="24">
        <f>IFERROR(__xludf.DUMMYFUNCTION("""COMPUTED_VALUE"""),28574.0)</f>
        <v>28574</v>
      </c>
      <c r="K104" s="22" t="str">
        <f>IFERROR(__xludf.DUMMYFUNCTION("""COMPUTED_VALUE"""),"Xã Khuyến Nông - Huyện Triệu Sơn - Tỉnh Thanh Hóa")</f>
        <v>Xã Khuyến Nông - Huyện Triệu Sơn - Tỉnh Thanh Hóa</v>
      </c>
      <c r="L104" s="22" t="str">
        <f>IFERROR(__xludf.DUMMYFUNCTION("""COMPUTED_VALUE"""),"0373126678")</f>
        <v>0373126678</v>
      </c>
      <c r="M104" s="22" t="str">
        <f>IFERROR(__xludf.DUMMYFUNCTION("""COMPUTED_VALUE"""),"038078017284")</f>
        <v>038078017284</v>
      </c>
      <c r="N104" s="26">
        <f>IFERROR(__xludf.DUMMYFUNCTION("""COMPUTED_VALUE"""),44435.0)</f>
        <v>44435</v>
      </c>
      <c r="O104" s="22" t="str">
        <f>IFERROR(__xludf.DUMMYFUNCTION("""COMPUTED_VALUE"""),"Cục Cảnh sát QLHC về TTXH")</f>
        <v>Cục Cảnh sát QLHC về TTXH</v>
      </c>
      <c r="P104" s="22" t="str">
        <f>IFERROR(__xludf.DUMMYFUNCTION("""COMPUTED_VALUE"""),"Đại học")</f>
        <v>Đại học</v>
      </c>
      <c r="Q104" s="22"/>
      <c r="R104" s="24">
        <f>IFERROR(__xludf.DUMMYFUNCTION("""COMPUTED_VALUE"""),45701.0)</f>
        <v>45701</v>
      </c>
      <c r="S104" s="22"/>
      <c r="T104" s="22" t="str">
        <f>IFERROR(__xludf.DUMMYFUNCTION("""COMPUTED_VALUE"""),"Chính thức")</f>
        <v>Chính thức</v>
      </c>
      <c r="U104" s="22"/>
      <c r="V104" s="22" t="str">
        <f>IFERROR(__xludf.DUMMYFUNCTION("""COMPUTED_VALUE"""),"Chính thức")</f>
        <v>Chính thức</v>
      </c>
      <c r="W104" s="22" t="str">
        <f>IFERROR(__xludf.DUMMYFUNCTION("""COMPUTED_VALUE"""),"0 năm 10 tháng")</f>
        <v>0 năm 10 tháng</v>
      </c>
      <c r="X104" s="22"/>
      <c r="Y104" s="22"/>
      <c r="Z104" s="22"/>
    </row>
    <row r="105">
      <c r="A105" s="22">
        <f>IFERROR(__xludf.DUMMYFUNCTION("""COMPUTED_VALUE"""),14.0)</f>
        <v>14</v>
      </c>
      <c r="B105" s="22" t="str">
        <f>IFERROR(__xludf.DUMMYFUNCTION("""COMPUTED_VALUE"""),"DC5-PXSX2")</f>
        <v>DC5-PXSX2</v>
      </c>
      <c r="C105" s="22" t="str">
        <f>IFERROR(__xludf.DUMMYFUNCTION("""COMPUTED_VALUE"""),"Bộ phận Mài và Đóng hộp")</f>
        <v>Bộ phận Mài và Đóng hộp</v>
      </c>
      <c r="D105" s="22" t="str">
        <f>IFERROR(__xludf.DUMMYFUNCTION("""COMPUTED_VALUE"""),"Dây chuyền Mài Ca A")</f>
        <v>Dây chuyền Mài Ca A</v>
      </c>
      <c r="E105" s="22"/>
      <c r="F105" s="22" t="str">
        <f>IFERROR(__xludf.DUMMYFUNCTION("""COMPUTED_VALUE"""),"NV5630")</f>
        <v>NV5630</v>
      </c>
      <c r="G105" s="22">
        <f>IFERROR(__xludf.DUMMYFUNCTION("""COMPUTED_VALUE"""),1120.0)</f>
        <v>1120</v>
      </c>
      <c r="H105" s="22" t="str">
        <f>IFERROR(__xludf.DUMMYFUNCTION("""COMPUTED_VALUE"""),"Hoàng Đình Anh")</f>
        <v>Hoàng Đình Anh</v>
      </c>
      <c r="I105" s="22" t="str">
        <f>IFERROR(__xludf.DUMMYFUNCTION("""COMPUTED_VALUE"""),"Nam")</f>
        <v>Nam</v>
      </c>
      <c r="J105" s="24">
        <f>IFERROR(__xludf.DUMMYFUNCTION("""COMPUTED_VALUE"""),36541.0)</f>
        <v>36541</v>
      </c>
      <c r="K105" s="22" t="str">
        <f>IFERROR(__xludf.DUMMYFUNCTION("""COMPUTED_VALUE""")," Thôn Bắc Hội Triều - Xã Hoằng Châu -Tỉnh Thanh Hóa")</f>
        <v> Thôn Bắc Hội Triều - Xã Hoằng Châu -Tỉnh Thanh Hóa</v>
      </c>
      <c r="L105" s="22" t="str">
        <f>IFERROR(__xludf.DUMMYFUNCTION("""COMPUTED_VALUE"""),"0379722686")</f>
        <v>0379722686</v>
      </c>
      <c r="M105" s="22" t="str">
        <f>IFERROR(__xludf.DUMMYFUNCTION("""COMPUTED_VALUE"""),"038200030371")</f>
        <v>038200030371</v>
      </c>
      <c r="N105" s="26">
        <f>IFERROR(__xludf.DUMMYFUNCTION("""COMPUTED_VALUE"""),45698.0)</f>
        <v>45698</v>
      </c>
      <c r="O105" s="22" t="str">
        <f>IFERROR(__xludf.DUMMYFUNCTION("""COMPUTED_VALUE"""),"Bộ công an")</f>
        <v>Bộ công an</v>
      </c>
      <c r="P105" s="22" t="str">
        <f>IFERROR(__xludf.DUMMYFUNCTION("""COMPUTED_VALUE"""),"LĐPT")</f>
        <v>LĐPT</v>
      </c>
      <c r="Q105" s="22" t="str">
        <f>IFERROR(__xludf.DUMMYFUNCTION("""COMPUTED_VALUE"""),"Lao động phổ thông")</f>
        <v>Lao động phổ thông</v>
      </c>
      <c r="R105" s="24">
        <f>IFERROR(__xludf.DUMMYFUNCTION("""COMPUTED_VALUE"""),45856.0)</f>
        <v>45856</v>
      </c>
      <c r="S105" s="24">
        <f>IFERROR(__xludf.DUMMYFUNCTION("""COMPUTED_VALUE"""),45887.0)</f>
        <v>45887</v>
      </c>
      <c r="T105" s="22" t="str">
        <f>IFERROR(__xludf.DUMMYFUNCTION("""COMPUTED_VALUE"""),"Chính thức")</f>
        <v>Chính thức</v>
      </c>
      <c r="U105" s="22"/>
      <c r="V105" s="22" t="str">
        <f>IFERROR(__xludf.DUMMYFUNCTION("""COMPUTED_VALUE"""),"Chính thức")</f>
        <v>Chính thức</v>
      </c>
      <c r="W105" s="22" t="str">
        <f>IFERROR(__xludf.DUMMYFUNCTION("""COMPUTED_VALUE"""),"0 năm 5 tháng")</f>
        <v>0 năm 5 tháng</v>
      </c>
      <c r="X105" s="22"/>
      <c r="Y105" s="22"/>
      <c r="Z105" s="22"/>
    </row>
    <row r="106">
      <c r="A106" s="28">
        <f>IFERROR(__xludf.DUMMYFUNCTION("""COMPUTED_VALUE"""),45720.0)</f>
        <v>45720</v>
      </c>
      <c r="B106" s="22" t="str">
        <f>IFERROR(__xludf.DUMMYFUNCTION("""COMPUTED_VALUE"""),"Dây chuyền Mài Ca B")</f>
        <v>Dây chuyền Mài Ca B</v>
      </c>
      <c r="C106" s="22">
        <f>IFERROR(__xludf.DUMMYFUNCTION("""COMPUTED_VALUE"""),13.0)</f>
        <v>13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>
        <f>IFERROR(__xludf.DUMMYFUNCTION("""COMPUTED_VALUE"""),1.0)</f>
        <v>1</v>
      </c>
      <c r="B107" s="22" t="str">
        <f>IFERROR(__xludf.DUMMYFUNCTION("""COMPUTED_VALUE"""),"DC5-PXSX2")</f>
        <v>DC5-PXSX2</v>
      </c>
      <c r="C107" s="22" t="str">
        <f>IFERROR(__xludf.DUMMYFUNCTION("""COMPUTED_VALUE"""),"Bộ phận Mài và Đóng hộp")</f>
        <v>Bộ phận Mài và Đóng hộp</v>
      </c>
      <c r="D107" s="22" t="str">
        <f>IFERROR(__xludf.DUMMYFUNCTION("""COMPUTED_VALUE"""),"Dây chuyền Mài Ca B")</f>
        <v>Dây chuyền Mài Ca B</v>
      </c>
      <c r="E107" s="22" t="str">
        <f>IFERROR(__xludf.DUMMYFUNCTION("""COMPUTED_VALUE"""),"Vận hành đầu rải")</f>
        <v>Vận hành đầu rải</v>
      </c>
      <c r="F107" s="22" t="str">
        <f>IFERROR(__xludf.DUMMYFUNCTION("""COMPUTED_VALUE"""),"NV2776")</f>
        <v>NV2776</v>
      </c>
      <c r="G107" s="22">
        <f>IFERROR(__xludf.DUMMYFUNCTION("""COMPUTED_VALUE"""),437.0)</f>
        <v>437</v>
      </c>
      <c r="H107" s="22" t="str">
        <f>IFERROR(__xludf.DUMMYFUNCTION("""COMPUTED_VALUE"""),"Nguyễn Kiên Cường")</f>
        <v>Nguyễn Kiên Cường</v>
      </c>
      <c r="I107" s="22" t="str">
        <f>IFERROR(__xludf.DUMMYFUNCTION("""COMPUTED_VALUE"""),"Nam")</f>
        <v>Nam</v>
      </c>
      <c r="J107" s="24">
        <f>IFERROR(__xludf.DUMMYFUNCTION("""COMPUTED_VALUE"""),30316.0)</f>
        <v>30316</v>
      </c>
      <c r="K107" s="22" t="str">
        <f>IFERROR(__xludf.DUMMYFUNCTION("""COMPUTED_VALUE"""),"Xã Đông Hải -  Thành phố Thanh Hóa -  Thanh Hóa -  Việt Nam")</f>
        <v>Xã Đông Hải -  Thành phố Thanh Hóa -  Thanh Hóa -  Việt Nam</v>
      </c>
      <c r="L107" s="22" t="str">
        <f>IFERROR(__xludf.DUMMYFUNCTION("""COMPUTED_VALUE"""),"0986567948; 0376366422")</f>
        <v>0986567948; 0376366422</v>
      </c>
      <c r="M107" s="22" t="str">
        <f>IFERROR(__xludf.DUMMYFUNCTION("""COMPUTED_VALUE"""),"011082000081")</f>
        <v>011082000081</v>
      </c>
      <c r="N107" s="26">
        <f>IFERROR(__xludf.DUMMYFUNCTION("""COMPUTED_VALUE"""),44375.0)</f>
        <v>44375</v>
      </c>
      <c r="O107" s="22" t="str">
        <f>IFERROR(__xludf.DUMMYFUNCTION("""COMPUTED_VALUE"""),"Cục Cảnh sát QLHC về TTXH")</f>
        <v>Cục Cảnh sát QLHC về TTXH</v>
      </c>
      <c r="P107" s="22" t="str">
        <f>IFERROR(__xludf.DUMMYFUNCTION("""COMPUTED_VALUE"""),"LĐPT")</f>
        <v>LĐPT</v>
      </c>
      <c r="Q107" s="22" t="str">
        <f>IFERROR(__xludf.DUMMYFUNCTION("""COMPUTED_VALUE"""),"Lao động phổ thông")</f>
        <v>Lao động phổ thông</v>
      </c>
      <c r="R107" s="24">
        <f>IFERROR(__xludf.DUMMYFUNCTION("""COMPUTED_VALUE"""),43875.0)</f>
        <v>43875</v>
      </c>
      <c r="S107" s="24">
        <f>IFERROR(__xludf.DUMMYFUNCTION("""COMPUTED_VALUE"""),44166.0)</f>
        <v>44166</v>
      </c>
      <c r="T107" s="22" t="str">
        <f>IFERROR(__xludf.DUMMYFUNCTION("""COMPUTED_VALUE"""),"Chính thức")</f>
        <v>Chính thức</v>
      </c>
      <c r="U107" s="22"/>
      <c r="V107" s="22" t="str">
        <f>IFERROR(__xludf.DUMMYFUNCTION("""COMPUTED_VALUE"""),"Chính thức")</f>
        <v>Chính thức</v>
      </c>
      <c r="W107" s="22" t="str">
        <f>IFERROR(__xludf.DUMMYFUNCTION("""COMPUTED_VALUE"""),"5 năm 10 tháng")</f>
        <v>5 năm 10 tháng</v>
      </c>
      <c r="X107" s="22"/>
      <c r="Y107" s="22"/>
      <c r="Z107" s="22"/>
    </row>
    <row r="108">
      <c r="A108" s="22">
        <f>IFERROR(__xludf.DUMMYFUNCTION("""COMPUTED_VALUE"""),2.0)</f>
        <v>2</v>
      </c>
      <c r="B108" s="22" t="str">
        <f>IFERROR(__xludf.DUMMYFUNCTION("""COMPUTED_VALUE"""),"DC5-PXSX2")</f>
        <v>DC5-PXSX2</v>
      </c>
      <c r="C108" s="22" t="str">
        <f>IFERROR(__xludf.DUMMYFUNCTION("""COMPUTED_VALUE"""),"Bộ phận Mài và Đóng hộp")</f>
        <v>Bộ phận Mài và Đóng hộp</v>
      </c>
      <c r="D108" s="22" t="str">
        <f>IFERROR(__xludf.DUMMYFUNCTION("""COMPUTED_VALUE"""),"Dây chuyền Mài Ca B")</f>
        <v>Dây chuyền Mài Ca B</v>
      </c>
      <c r="E108" s="22" t="str">
        <f>IFERROR(__xludf.DUMMYFUNCTION("""COMPUTED_VALUE"""),"Vận hành máy mài cạnh mức 1")</f>
        <v>Vận hành máy mài cạnh mức 1</v>
      </c>
      <c r="F108" s="22" t="str">
        <f>IFERROR(__xludf.DUMMYFUNCTION("""COMPUTED_VALUE"""),"NV3688")</f>
        <v>NV3688</v>
      </c>
      <c r="G108" s="22">
        <f>IFERROR(__xludf.DUMMYFUNCTION("""COMPUTED_VALUE"""),433.0)</f>
        <v>433</v>
      </c>
      <c r="H108" s="22" t="str">
        <f>IFERROR(__xludf.DUMMYFUNCTION("""COMPUTED_VALUE"""),"Lê Công Dũng")</f>
        <v>Lê Công Dũng</v>
      </c>
      <c r="I108" s="22" t="str">
        <f>IFERROR(__xludf.DUMMYFUNCTION("""COMPUTED_VALUE"""),"Nam")</f>
        <v>Nam</v>
      </c>
      <c r="J108" s="24">
        <f>IFERROR(__xludf.DUMMYFUNCTION("""COMPUTED_VALUE"""),30599.0)</f>
        <v>30599</v>
      </c>
      <c r="K108" s="22" t="str">
        <f>IFERROR(__xludf.DUMMYFUNCTION("""COMPUTED_VALUE"""),"Thôn Đa Sỹ -  Xã Đông Vinh -  Thành phố Thanh Hóa -  Thanh Hóa -  Việt Nam")</f>
        <v>Thôn Đa Sỹ -  Xã Đông Vinh -  Thành phố Thanh Hóa -  Thanh Hóa -  Việt Nam</v>
      </c>
      <c r="L108" s="22" t="str">
        <f>IFERROR(__xludf.DUMMYFUNCTION("""COMPUTED_VALUE"""),"0396041063")</f>
        <v>0396041063</v>
      </c>
      <c r="M108" s="22" t="str">
        <f>IFERROR(__xludf.DUMMYFUNCTION("""COMPUTED_VALUE"""),"038083005965")</f>
        <v>038083005965</v>
      </c>
      <c r="N108" s="26">
        <f>IFERROR(__xludf.DUMMYFUNCTION("""COMPUTED_VALUE"""),42800.0)</f>
        <v>42800</v>
      </c>
      <c r="O108" s="22" t="str">
        <f>IFERROR(__xludf.DUMMYFUNCTION("""COMPUTED_VALUE"""),"Cục Cảnh sát QLHC về TTXH")</f>
        <v>Cục Cảnh sát QLHC về TTXH</v>
      </c>
      <c r="P108" s="22" t="str">
        <f>IFERROR(__xludf.DUMMYFUNCTION("""COMPUTED_VALUE"""),"LĐPT")</f>
        <v>LĐPT</v>
      </c>
      <c r="Q108" s="22" t="str">
        <f>IFERROR(__xludf.DUMMYFUNCTION("""COMPUTED_VALUE"""),"Lao động phổ thông")</f>
        <v>Lao động phổ thông</v>
      </c>
      <c r="R108" s="24">
        <f>IFERROR(__xludf.DUMMYFUNCTION("""COMPUTED_VALUE"""),45446.0)</f>
        <v>45446</v>
      </c>
      <c r="S108" s="24">
        <f>IFERROR(__xludf.DUMMYFUNCTION("""COMPUTED_VALUE"""),45597.0)</f>
        <v>45597</v>
      </c>
      <c r="T108" s="22" t="str">
        <f>IFERROR(__xludf.DUMMYFUNCTION("""COMPUTED_VALUE"""),"Chính thức")</f>
        <v>Chính thức</v>
      </c>
      <c r="U108" s="22"/>
      <c r="V108" s="22" t="str">
        <f>IFERROR(__xludf.DUMMYFUNCTION("""COMPUTED_VALUE"""),"Chính thức")</f>
        <v>Chính thức</v>
      </c>
      <c r="W108" s="22" t="str">
        <f>IFERROR(__xludf.DUMMYFUNCTION("""COMPUTED_VALUE"""),"1 năm 6 tháng")</f>
        <v>1 năm 6 tháng</v>
      </c>
      <c r="X108" s="22"/>
      <c r="Y108" s="22"/>
      <c r="Z108" s="22"/>
    </row>
    <row r="109">
      <c r="A109" s="22">
        <f>IFERROR(__xludf.DUMMYFUNCTION("""COMPUTED_VALUE"""),3.0)</f>
        <v>3</v>
      </c>
      <c r="B109" s="22" t="str">
        <f>IFERROR(__xludf.DUMMYFUNCTION("""COMPUTED_VALUE"""),"DC5-PXSX2")</f>
        <v>DC5-PXSX2</v>
      </c>
      <c r="C109" s="22" t="str">
        <f>IFERROR(__xludf.DUMMYFUNCTION("""COMPUTED_VALUE"""),"Bộ phận Mài và Đóng hộp")</f>
        <v>Bộ phận Mài và Đóng hộp</v>
      </c>
      <c r="D109" s="22" t="str">
        <f>IFERROR(__xludf.DUMMYFUNCTION("""COMPUTED_VALUE"""),"Dây chuyền Mài Ca B")</f>
        <v>Dây chuyền Mài Ca B</v>
      </c>
      <c r="E109" s="22" t="str">
        <f>IFERROR(__xludf.DUMMYFUNCTION("""COMPUTED_VALUE"""),"Tổ phó - Phụ trách Mài DC5")</f>
        <v>Tổ phó - Phụ trách Mài DC5</v>
      </c>
      <c r="F109" s="22" t="str">
        <f>IFERROR(__xludf.DUMMYFUNCTION("""COMPUTED_VALUE"""),"NV2839")</f>
        <v>NV2839</v>
      </c>
      <c r="G109" s="22">
        <f>IFERROR(__xludf.DUMMYFUNCTION("""COMPUTED_VALUE"""),588.0)</f>
        <v>588</v>
      </c>
      <c r="H109" s="22" t="str">
        <f>IFERROR(__xludf.DUMMYFUNCTION("""COMPUTED_VALUE"""),"Hoàng Văn Cơ")</f>
        <v>Hoàng Văn Cơ</v>
      </c>
      <c r="I109" s="22" t="str">
        <f>IFERROR(__xludf.DUMMYFUNCTION("""COMPUTED_VALUE"""),"Nam")</f>
        <v>Nam</v>
      </c>
      <c r="J109" s="24">
        <f>IFERROR(__xludf.DUMMYFUNCTION("""COMPUTED_VALUE"""),29422.0)</f>
        <v>29422</v>
      </c>
      <c r="K109" s="22" t="str">
        <f>IFERROR(__xludf.DUMMYFUNCTION("""COMPUTED_VALUE"""),"Thôn 17 -  Xã Quảng Cát -  Thành phố Thanh Hóa - ")</f>
        <v>Thôn 17 -  Xã Quảng Cát -  Thành phố Thanh Hóa - </v>
      </c>
      <c r="L109" s="22" t="str">
        <f>IFERROR(__xludf.DUMMYFUNCTION("""COMPUTED_VALUE"""),"0349819615")</f>
        <v>0349819615</v>
      </c>
      <c r="M109" s="22" t="str">
        <f>IFERROR(__xludf.DUMMYFUNCTION("""COMPUTED_VALUE"""),"038081019258")</f>
        <v>038081019258</v>
      </c>
      <c r="N109" s="26">
        <f>IFERROR(__xludf.DUMMYFUNCTION("""COMPUTED_VALUE"""),44419.0)</f>
        <v>44419</v>
      </c>
      <c r="O109" s="22" t="str">
        <f>IFERROR(__xludf.DUMMYFUNCTION("""COMPUTED_VALUE"""),"Cục Cảnh sát QLHC về TTXH")</f>
        <v>Cục Cảnh sát QLHC về TTXH</v>
      </c>
      <c r="P109" s="22" t="str">
        <f>IFERROR(__xludf.DUMMYFUNCTION("""COMPUTED_VALUE"""),"Chứng chỉ nghề")</f>
        <v>Chứng chỉ nghề</v>
      </c>
      <c r="Q109" s="22" t="str">
        <f>IFERROR(__xludf.DUMMYFUNCTION("""COMPUTED_VALUE"""),"Vận hành xe nâng")</f>
        <v>Vận hành xe nâng</v>
      </c>
      <c r="R109" s="24">
        <f>IFERROR(__xludf.DUMMYFUNCTION("""COMPUTED_VALUE"""),43894.0)</f>
        <v>43894</v>
      </c>
      <c r="S109" s="24">
        <f>IFERROR(__xludf.DUMMYFUNCTION("""COMPUTED_VALUE"""),44197.0)</f>
        <v>44197</v>
      </c>
      <c r="T109" s="22" t="str">
        <f>IFERROR(__xludf.DUMMYFUNCTION("""COMPUTED_VALUE"""),"Chính thức")</f>
        <v>Chính thức</v>
      </c>
      <c r="U109" s="22"/>
      <c r="V109" s="22" t="str">
        <f>IFERROR(__xludf.DUMMYFUNCTION("""COMPUTED_VALUE"""),"Chính thức")</f>
        <v>Chính thức</v>
      </c>
      <c r="W109" s="22" t="str">
        <f>IFERROR(__xludf.DUMMYFUNCTION("""COMPUTED_VALUE"""),"5 năm 9 tháng")</f>
        <v>5 năm 9 tháng</v>
      </c>
      <c r="X109" s="22"/>
      <c r="Y109" s="22"/>
      <c r="Z109" s="22"/>
    </row>
    <row r="110">
      <c r="A110" s="22">
        <f>IFERROR(__xludf.DUMMYFUNCTION("""COMPUTED_VALUE"""),4.0)</f>
        <v>4</v>
      </c>
      <c r="B110" s="22" t="str">
        <f>IFERROR(__xludf.DUMMYFUNCTION("""COMPUTED_VALUE"""),"DC5-PXSX2")</f>
        <v>DC5-PXSX2</v>
      </c>
      <c r="C110" s="22" t="str">
        <f>IFERROR(__xludf.DUMMYFUNCTION("""COMPUTED_VALUE"""),"Bộ phận Mài và Đóng hộp")</f>
        <v>Bộ phận Mài và Đóng hộp</v>
      </c>
      <c r="D110" s="22" t="str">
        <f>IFERROR(__xludf.DUMMYFUNCTION("""COMPUTED_VALUE"""),"Dây chuyền Mài Ca B")</f>
        <v>Dây chuyền Mài Ca B</v>
      </c>
      <c r="E110" s="22" t="str">
        <f>IFERROR(__xludf.DUMMYFUNCTION("""COMPUTED_VALUE"""),"Vận hành máy mài cạnh mức 1")</f>
        <v>Vận hành máy mài cạnh mức 1</v>
      </c>
      <c r="F110" s="22" t="str">
        <f>IFERROR(__xludf.DUMMYFUNCTION("""COMPUTED_VALUE"""),"NV5045")</f>
        <v>NV5045</v>
      </c>
      <c r="G110" s="22">
        <f>IFERROR(__xludf.DUMMYFUNCTION("""COMPUTED_VALUE"""),713.0)</f>
        <v>713</v>
      </c>
      <c r="H110" s="22" t="str">
        <f>IFERROR(__xludf.DUMMYFUNCTION("""COMPUTED_VALUE"""),"Vũ Đình Lương")</f>
        <v>Vũ Đình Lương</v>
      </c>
      <c r="I110" s="22" t="str">
        <f>IFERROR(__xludf.DUMMYFUNCTION("""COMPUTED_VALUE"""),"Nam")</f>
        <v>Nam</v>
      </c>
      <c r="J110" s="24">
        <f>IFERROR(__xludf.DUMMYFUNCTION("""COMPUTED_VALUE"""),32387.0)</f>
        <v>32387</v>
      </c>
      <c r="K110" s="22" t="str">
        <f>IFERROR(__xludf.DUMMYFUNCTION("""COMPUTED_VALUE"""),"Bắc Sơn -  Sầm Sơn -  Thanh Hóa")</f>
        <v>Bắc Sơn -  Sầm Sơn -  Thanh Hóa</v>
      </c>
      <c r="L110" s="22" t="str">
        <f>IFERROR(__xludf.DUMMYFUNCTION("""COMPUTED_VALUE"""),"0919154111")</f>
        <v>0919154111</v>
      </c>
      <c r="M110" s="22" t="str">
        <f>IFERROR(__xludf.DUMMYFUNCTION("""COMPUTED_VALUE"""),"038088016700")</f>
        <v>038088016700</v>
      </c>
      <c r="N110" s="26">
        <f>IFERROR(__xludf.DUMMYFUNCTION("""COMPUTED_VALUE"""),44325.0)</f>
        <v>44325</v>
      </c>
      <c r="O110" s="22" t="str">
        <f>IFERROR(__xludf.DUMMYFUNCTION("""COMPUTED_VALUE"""),"Cục Cảnh sát QLHC về TTXH")</f>
        <v>Cục Cảnh sát QLHC về TTXH</v>
      </c>
      <c r="P110" s="22" t="str">
        <f>IFERROR(__xludf.DUMMYFUNCTION("""COMPUTED_VALUE"""),"Bằng nghề")</f>
        <v>Bằng nghề</v>
      </c>
      <c r="Q110" s="22" t="str">
        <f>IFERROR(__xludf.DUMMYFUNCTION("""COMPUTED_VALUE"""),"Hàn điện")</f>
        <v>Hàn điện</v>
      </c>
      <c r="R110" s="24">
        <f>IFERROR(__xludf.DUMMYFUNCTION("""COMPUTED_VALUE"""),45358.0)</f>
        <v>45358</v>
      </c>
      <c r="S110" s="24">
        <f>IFERROR(__xludf.DUMMYFUNCTION("""COMPUTED_VALUE"""),45444.0)</f>
        <v>45444</v>
      </c>
      <c r="T110" s="22" t="str">
        <f>IFERROR(__xludf.DUMMYFUNCTION("""COMPUTED_VALUE"""),"Chính thức")</f>
        <v>Chính thức</v>
      </c>
      <c r="U110" s="22"/>
      <c r="V110" s="22" t="str">
        <f>IFERROR(__xludf.DUMMYFUNCTION("""COMPUTED_VALUE"""),"Chính thức")</f>
        <v>Chính thức</v>
      </c>
      <c r="W110" s="22" t="str">
        <f>IFERROR(__xludf.DUMMYFUNCTION("""COMPUTED_VALUE"""),"1 năm 9 tháng")</f>
        <v>1 năm 9 tháng</v>
      </c>
      <c r="X110" s="22"/>
      <c r="Y110" s="22"/>
      <c r="Z110" s="22"/>
    </row>
    <row r="111">
      <c r="A111" s="22">
        <f>IFERROR(__xludf.DUMMYFUNCTION("""COMPUTED_VALUE"""),5.0)</f>
        <v>5</v>
      </c>
      <c r="B111" s="22" t="str">
        <f>IFERROR(__xludf.DUMMYFUNCTION("""COMPUTED_VALUE"""),"DC5-PXSX2")</f>
        <v>DC5-PXSX2</v>
      </c>
      <c r="C111" s="22" t="str">
        <f>IFERROR(__xludf.DUMMYFUNCTION("""COMPUTED_VALUE"""),"Bộ phận Mài và Đóng hộp")</f>
        <v>Bộ phận Mài và Đóng hộp</v>
      </c>
      <c r="D111" s="22" t="str">
        <f>IFERROR(__xludf.DUMMYFUNCTION("""COMPUTED_VALUE"""),"Dây chuyền Mài Ca B")</f>
        <v>Dây chuyền Mài Ca B</v>
      </c>
      <c r="E111" s="22" t="str">
        <f>IFERROR(__xludf.DUMMYFUNCTION("""COMPUTED_VALUE"""),"Vận hành chính máy Nano")</f>
        <v>Vận hành chính máy Nano</v>
      </c>
      <c r="F111" s="22" t="str">
        <f>IFERROR(__xludf.DUMMYFUNCTION("""COMPUTED_VALUE"""),"NV3775")</f>
        <v>NV3775</v>
      </c>
      <c r="G111" s="22">
        <f>IFERROR(__xludf.DUMMYFUNCTION("""COMPUTED_VALUE"""),571.0)</f>
        <v>571</v>
      </c>
      <c r="H111" s="22" t="str">
        <f>IFERROR(__xludf.DUMMYFUNCTION("""COMPUTED_VALUE"""),"Trương Văn Nam")</f>
        <v>Trương Văn Nam</v>
      </c>
      <c r="I111" s="22" t="str">
        <f>IFERROR(__xludf.DUMMYFUNCTION("""COMPUTED_VALUE"""),"Nam")</f>
        <v>Nam</v>
      </c>
      <c r="J111" s="24">
        <f>IFERROR(__xludf.DUMMYFUNCTION("""COMPUTED_VALUE"""),34214.0)</f>
        <v>34214</v>
      </c>
      <c r="K111" s="22" t="str">
        <f>IFERROR(__xludf.DUMMYFUNCTION("""COMPUTED_VALUE"""),"Xã Hoằng Phong -  Huyện Hoằng Hóa -  Thanh Hóa -  Việt Nam")</f>
        <v>Xã Hoằng Phong -  Huyện Hoằng Hóa -  Thanh Hóa -  Việt Nam</v>
      </c>
      <c r="L111" s="22" t="str">
        <f>IFERROR(__xludf.DUMMYFUNCTION("""COMPUTED_VALUE"""),"0866978930")</f>
        <v>0866978930</v>
      </c>
      <c r="M111" s="22" t="str">
        <f>IFERROR(__xludf.DUMMYFUNCTION("""COMPUTED_VALUE"""),"038093012001")</f>
        <v>038093012001</v>
      </c>
      <c r="N111" s="26">
        <f>IFERROR(__xludf.DUMMYFUNCTION("""COMPUTED_VALUE"""),43369.0)</f>
        <v>43369</v>
      </c>
      <c r="O111" s="22" t="str">
        <f>IFERROR(__xludf.DUMMYFUNCTION("""COMPUTED_VALUE"""),"Cục Cảnh sát QLHC về TTXH")</f>
        <v>Cục Cảnh sát QLHC về TTXH</v>
      </c>
      <c r="P111" s="22" t="str">
        <f>IFERROR(__xludf.DUMMYFUNCTION("""COMPUTED_VALUE"""),"Trung học cơ sở")</f>
        <v>Trung học cơ sở</v>
      </c>
      <c r="Q111" s="22" t="str">
        <f>IFERROR(__xludf.DUMMYFUNCTION("""COMPUTED_VALUE"""),"Lao động phổ thông")</f>
        <v>Lao động phổ thông</v>
      </c>
      <c r="R111" s="24">
        <f>IFERROR(__xludf.DUMMYFUNCTION("""COMPUTED_VALUE"""),44440.0)</f>
        <v>44440</v>
      </c>
      <c r="S111" s="24">
        <f>IFERROR(__xludf.DUMMYFUNCTION("""COMPUTED_VALUE"""),44682.0)</f>
        <v>44682</v>
      </c>
      <c r="T111" s="22" t="str">
        <f>IFERROR(__xludf.DUMMYFUNCTION("""COMPUTED_VALUE"""),"Chính thức")</f>
        <v>Chính thức</v>
      </c>
      <c r="U111" s="22"/>
      <c r="V111" s="22" t="str">
        <f>IFERROR(__xludf.DUMMYFUNCTION("""COMPUTED_VALUE"""),"Chính thức")</f>
        <v>Chính thức</v>
      </c>
      <c r="W111" s="22" t="str">
        <f>IFERROR(__xludf.DUMMYFUNCTION("""COMPUTED_VALUE"""),"4 năm 3 tháng")</f>
        <v>4 năm 3 tháng</v>
      </c>
      <c r="X111" s="22"/>
      <c r="Y111" s="22"/>
      <c r="Z111" s="22"/>
    </row>
    <row r="112">
      <c r="A112" s="22">
        <f>IFERROR(__xludf.DUMMYFUNCTION("""COMPUTED_VALUE"""),6.0)</f>
        <v>6</v>
      </c>
      <c r="B112" s="22" t="str">
        <f>IFERROR(__xludf.DUMMYFUNCTION("""COMPUTED_VALUE"""),"DC5-PXSX2")</f>
        <v>DC5-PXSX2</v>
      </c>
      <c r="C112" s="22" t="str">
        <f>IFERROR(__xludf.DUMMYFUNCTION("""COMPUTED_VALUE"""),"Bộ phận Mài và Đóng hộp")</f>
        <v>Bộ phận Mài và Đóng hộp</v>
      </c>
      <c r="D112" s="22" t="str">
        <f>IFERROR(__xludf.DUMMYFUNCTION("""COMPUTED_VALUE"""),"Dây chuyền Mài Ca B")</f>
        <v>Dây chuyền Mài Ca B</v>
      </c>
      <c r="E112" s="22" t="str">
        <f>IFERROR(__xludf.DUMMYFUNCTION("""COMPUTED_VALUE"""),"Bốc sót sau máy mài nano")</f>
        <v>Bốc sót sau máy mài nano</v>
      </c>
      <c r="F112" s="22" t="str">
        <f>IFERROR(__xludf.DUMMYFUNCTION("""COMPUTED_VALUE"""),"NV5136")</f>
        <v>NV5136</v>
      </c>
      <c r="G112" s="22">
        <f>IFERROR(__xludf.DUMMYFUNCTION("""COMPUTED_VALUE"""),572.0)</f>
        <v>572</v>
      </c>
      <c r="H112" s="22" t="str">
        <f>IFERROR(__xludf.DUMMYFUNCTION("""COMPUTED_VALUE"""),"Phạm Khắc Thành")</f>
        <v>Phạm Khắc Thành</v>
      </c>
      <c r="I112" s="22" t="str">
        <f>IFERROR(__xludf.DUMMYFUNCTION("""COMPUTED_VALUE"""),"Nam")</f>
        <v>Nam</v>
      </c>
      <c r="J112" s="24">
        <f>IFERROR(__xludf.DUMMYFUNCTION("""COMPUTED_VALUE"""),28418.0)</f>
        <v>28418</v>
      </c>
      <c r="K112" s="22" t="str">
        <f>IFERROR(__xludf.DUMMYFUNCTION("""COMPUTED_VALUE"""),"Phường Quảng Phú -  thành phố Thanh Hóa")</f>
        <v>Phường Quảng Phú -  thành phố Thanh Hóa</v>
      </c>
      <c r="L112" s="22" t="str">
        <f>IFERROR(__xludf.DUMMYFUNCTION("""COMPUTED_VALUE"""),"0902883797")</f>
        <v>0902883797</v>
      </c>
      <c r="M112" s="22" t="str">
        <f>IFERROR(__xludf.DUMMYFUNCTION("""COMPUTED_VALUE"""),"038077011729")</f>
        <v>038077011729</v>
      </c>
      <c r="N112" s="26">
        <f>IFERROR(__xludf.DUMMYFUNCTION("""COMPUTED_VALUE"""),44564.0)</f>
        <v>44564</v>
      </c>
      <c r="O112" s="22" t="str">
        <f>IFERROR(__xludf.DUMMYFUNCTION("""COMPUTED_VALUE"""),"Cục Cảnh sát QLHC về TTXH")</f>
        <v>Cục Cảnh sát QLHC về TTXH</v>
      </c>
      <c r="P112" s="22" t="str">
        <f>IFERROR(__xludf.DUMMYFUNCTION("""COMPUTED_VALUE"""),"Trung học cơ sở")</f>
        <v>Trung học cơ sở</v>
      </c>
      <c r="Q112" s="22" t="str">
        <f>IFERROR(__xludf.DUMMYFUNCTION("""COMPUTED_VALUE"""),"Lao động phổ thông")</f>
        <v>Lao động phổ thông</v>
      </c>
      <c r="R112" s="24">
        <f>IFERROR(__xludf.DUMMYFUNCTION("""COMPUTED_VALUE"""),45395.0)</f>
        <v>45395</v>
      </c>
      <c r="S112" s="24">
        <f>IFERROR(__xludf.DUMMYFUNCTION("""COMPUTED_VALUE"""),45474.0)</f>
        <v>45474</v>
      </c>
      <c r="T112" s="22" t="str">
        <f>IFERROR(__xludf.DUMMYFUNCTION("""COMPUTED_VALUE"""),"Chính thức")</f>
        <v>Chính thức</v>
      </c>
      <c r="U112" s="22"/>
      <c r="V112" s="22" t="str">
        <f>IFERROR(__xludf.DUMMYFUNCTION("""COMPUTED_VALUE"""),"Chính thức")</f>
        <v>Chính thức</v>
      </c>
      <c r="W112" s="22" t="str">
        <f>IFERROR(__xludf.DUMMYFUNCTION("""COMPUTED_VALUE"""),"1 năm 8 tháng")</f>
        <v>1 năm 8 tháng</v>
      </c>
      <c r="X112" s="22"/>
      <c r="Y112" s="22"/>
      <c r="Z112" s="22"/>
    </row>
    <row r="113">
      <c r="A113" s="22">
        <f>IFERROR(__xludf.DUMMYFUNCTION("""COMPUTED_VALUE"""),7.0)</f>
        <v>7</v>
      </c>
      <c r="B113" s="22" t="str">
        <f>IFERROR(__xludf.DUMMYFUNCTION("""COMPUTED_VALUE"""),"DC5-PXSX2")</f>
        <v>DC5-PXSX2</v>
      </c>
      <c r="C113" s="22" t="str">
        <f>IFERROR(__xludf.DUMMYFUNCTION("""COMPUTED_VALUE"""),"Bộ phận Mài và Đóng hộp")</f>
        <v>Bộ phận Mài và Đóng hộp</v>
      </c>
      <c r="D113" s="22" t="str">
        <f>IFERROR(__xludf.DUMMYFUNCTION("""COMPUTED_VALUE"""),"Dây chuyền Mài Ca B")</f>
        <v>Dây chuyền Mài Ca B</v>
      </c>
      <c r="E113" s="22" t="str">
        <f>IFERROR(__xludf.DUMMYFUNCTION("""COMPUTED_VALUE"""),"Vận hành chính máy mài cạnh")</f>
        <v>Vận hành chính máy mài cạnh</v>
      </c>
      <c r="F113" s="22" t="str">
        <f>IFERROR(__xludf.DUMMYFUNCTION("""COMPUTED_VALUE"""),"NV3492")</f>
        <v>NV3492</v>
      </c>
      <c r="G113" s="22">
        <f>IFERROR(__xludf.DUMMYFUNCTION("""COMPUTED_VALUE"""),542.0)</f>
        <v>542</v>
      </c>
      <c r="H113" s="22" t="str">
        <f>IFERROR(__xludf.DUMMYFUNCTION("""COMPUTED_VALUE"""),"Nguyễn Văn Mạnh")</f>
        <v>Nguyễn Văn Mạnh</v>
      </c>
      <c r="I113" s="22" t="str">
        <f>IFERROR(__xludf.DUMMYFUNCTION("""COMPUTED_VALUE"""),"Nam")</f>
        <v>Nam</v>
      </c>
      <c r="J113" s="24">
        <f>IFERROR(__xludf.DUMMYFUNCTION("""COMPUTED_VALUE"""),32726.0)</f>
        <v>32726</v>
      </c>
      <c r="K113" s="22" t="str">
        <f>IFERROR(__xludf.DUMMYFUNCTION("""COMPUTED_VALUE"""),"Xã Trường Minh -  Huyện Nông Cống -  Thanh Hóa")</f>
        <v>Xã Trường Minh -  Huyện Nông Cống -  Thanh Hóa</v>
      </c>
      <c r="L113" s="22" t="str">
        <f>IFERROR(__xludf.DUMMYFUNCTION("""COMPUTED_VALUE"""),"0973301878")</f>
        <v>0973301878</v>
      </c>
      <c r="M113" s="22" t="str">
        <f>IFERROR(__xludf.DUMMYFUNCTION("""COMPUTED_VALUE"""),"038080037050")</f>
        <v>038080037050</v>
      </c>
      <c r="N113" s="26">
        <f>IFERROR(__xludf.DUMMYFUNCTION("""COMPUTED_VALUE"""),44375.0)</f>
        <v>44375</v>
      </c>
      <c r="O113" s="22" t="str">
        <f>IFERROR(__xludf.DUMMYFUNCTION("""COMPUTED_VALUE"""),"Cục Cảnh sát QLHC về TTXH")</f>
        <v>Cục Cảnh sát QLHC về TTXH</v>
      </c>
      <c r="P113" s="22" t="str">
        <f>IFERROR(__xludf.DUMMYFUNCTION("""COMPUTED_VALUE"""),"LĐPT")</f>
        <v>LĐPT</v>
      </c>
      <c r="Q113" s="22" t="str">
        <f>IFERROR(__xludf.DUMMYFUNCTION("""COMPUTED_VALUE"""),"Lao động phổ thông")</f>
        <v>Lao động phổ thông</v>
      </c>
      <c r="R113" s="24">
        <f>IFERROR(__xludf.DUMMYFUNCTION("""COMPUTED_VALUE"""),44260.0)</f>
        <v>44260</v>
      </c>
      <c r="S113" s="24">
        <f>IFERROR(__xludf.DUMMYFUNCTION("""COMPUTED_VALUE"""),44562.0)</f>
        <v>44562</v>
      </c>
      <c r="T113" s="22" t="str">
        <f>IFERROR(__xludf.DUMMYFUNCTION("""COMPUTED_VALUE"""),"Chính thức")</f>
        <v>Chính thức</v>
      </c>
      <c r="U113" s="22"/>
      <c r="V113" s="22" t="str">
        <f>IFERROR(__xludf.DUMMYFUNCTION("""COMPUTED_VALUE"""),"Chính thức")</f>
        <v>Chính thức</v>
      </c>
      <c r="W113" s="22" t="str">
        <f>IFERROR(__xludf.DUMMYFUNCTION("""COMPUTED_VALUE"""),"4 năm 9 tháng")</f>
        <v>4 năm 9 tháng</v>
      </c>
      <c r="X113" s="22"/>
      <c r="Y113" s="22"/>
      <c r="Z113" s="22"/>
    </row>
    <row r="114">
      <c r="A114" s="22">
        <f>IFERROR(__xludf.DUMMYFUNCTION("""COMPUTED_VALUE"""),8.0)</f>
        <v>8</v>
      </c>
      <c r="B114" s="22" t="str">
        <f>IFERROR(__xludf.DUMMYFUNCTION("""COMPUTED_VALUE"""),"DC5-PXSX2")</f>
        <v>DC5-PXSX2</v>
      </c>
      <c r="C114" s="22" t="str">
        <f>IFERROR(__xludf.DUMMYFUNCTION("""COMPUTED_VALUE"""),"Bộ phận Mài và Đóng hộp")</f>
        <v>Bộ phận Mài và Đóng hộp</v>
      </c>
      <c r="D114" s="22" t="str">
        <f>IFERROR(__xludf.DUMMYFUNCTION("""COMPUTED_VALUE"""),"Dây chuyền Mài Ca B")</f>
        <v>Dây chuyền Mài Ca B</v>
      </c>
      <c r="E114" s="22" t="str">
        <f>IFERROR(__xludf.DUMMYFUNCTION("""COMPUTED_VALUE"""),"Vận hành máy mài cạnh mức 1")</f>
        <v>Vận hành máy mài cạnh mức 1</v>
      </c>
      <c r="F114" s="22" t="str">
        <f>IFERROR(__xludf.DUMMYFUNCTION("""COMPUTED_VALUE"""),"NV4564")</f>
        <v>NV4564</v>
      </c>
      <c r="G114" s="22">
        <f>IFERROR(__xludf.DUMMYFUNCTION("""COMPUTED_VALUE"""),585.0)</f>
        <v>585</v>
      </c>
      <c r="H114" s="22" t="str">
        <f>IFERROR(__xludf.DUMMYFUNCTION("""COMPUTED_VALUE"""),"Lường Văn Tùng")</f>
        <v>Lường Văn Tùng</v>
      </c>
      <c r="I114" s="22" t="str">
        <f>IFERROR(__xludf.DUMMYFUNCTION("""COMPUTED_VALUE"""),"Nam")</f>
        <v>Nam</v>
      </c>
      <c r="J114" s="24">
        <f>IFERROR(__xludf.DUMMYFUNCTION("""COMPUTED_VALUE"""),33485.0)</f>
        <v>33485</v>
      </c>
      <c r="K114" s="22" t="str">
        <f>IFERROR(__xludf.DUMMYFUNCTION("""COMPUTED_VALUE"""),"Xã Hoằng Phong -  Huyện Hoằng Hóa -  Thanh Hóa -  Việt Nam")</f>
        <v>Xã Hoằng Phong -  Huyện Hoằng Hóa -  Thanh Hóa -  Việt Nam</v>
      </c>
      <c r="L114" s="22" t="str">
        <f>IFERROR(__xludf.DUMMYFUNCTION("""COMPUTED_VALUE"""),"0978784084")</f>
        <v>0978784084</v>
      </c>
      <c r="M114" s="22" t="str">
        <f>IFERROR(__xludf.DUMMYFUNCTION("""COMPUTED_VALUE"""),"038091013336")</f>
        <v>038091013336</v>
      </c>
      <c r="N114" s="26">
        <f>IFERROR(__xludf.DUMMYFUNCTION("""COMPUTED_VALUE"""),43389.0)</f>
        <v>43389</v>
      </c>
      <c r="O114" s="22" t="str">
        <f>IFERROR(__xludf.DUMMYFUNCTION("""COMPUTED_VALUE"""),"Cục Cảnh sát QLHC về TTXH")</f>
        <v>Cục Cảnh sát QLHC về TTXH</v>
      </c>
      <c r="P114" s="22" t="str">
        <f>IFERROR(__xludf.DUMMYFUNCTION("""COMPUTED_VALUE"""),"LĐPT")</f>
        <v>LĐPT</v>
      </c>
      <c r="Q114" s="22" t="str">
        <f>IFERROR(__xludf.DUMMYFUNCTION("""COMPUTED_VALUE"""),"Lao động phổ thông")</f>
        <v>Lao động phổ thông</v>
      </c>
      <c r="R114" s="24">
        <f>IFERROR(__xludf.DUMMYFUNCTION("""COMPUTED_VALUE"""),44966.0)</f>
        <v>44966</v>
      </c>
      <c r="S114" s="24">
        <f>IFERROR(__xludf.DUMMYFUNCTION("""COMPUTED_VALUE"""),45474.0)</f>
        <v>45474</v>
      </c>
      <c r="T114" s="22" t="str">
        <f>IFERROR(__xludf.DUMMYFUNCTION("""COMPUTED_VALUE"""),"Chính thức")</f>
        <v>Chính thức</v>
      </c>
      <c r="U114" s="22"/>
      <c r="V114" s="22" t="str">
        <f>IFERROR(__xludf.DUMMYFUNCTION("""COMPUTED_VALUE"""),"Chính thức")</f>
        <v>Chính thức</v>
      </c>
      <c r="W114" s="22" t="str">
        <f>IFERROR(__xludf.DUMMYFUNCTION("""COMPUTED_VALUE"""),"2 năm 10 tháng")</f>
        <v>2 năm 10 tháng</v>
      </c>
      <c r="X114" s="22"/>
      <c r="Y114" s="22"/>
      <c r="Z114" s="22"/>
    </row>
    <row r="115">
      <c r="A115" s="22">
        <f>IFERROR(__xludf.DUMMYFUNCTION("""COMPUTED_VALUE"""),9.0)</f>
        <v>9</v>
      </c>
      <c r="B115" s="22" t="str">
        <f>IFERROR(__xludf.DUMMYFUNCTION("""COMPUTED_VALUE"""),"DC5-PXSX2")</f>
        <v>DC5-PXSX2</v>
      </c>
      <c r="C115" s="22" t="str">
        <f>IFERROR(__xludf.DUMMYFUNCTION("""COMPUTED_VALUE"""),"Bộ phận Mài và Đóng hộp")</f>
        <v>Bộ phận Mài và Đóng hộp</v>
      </c>
      <c r="D115" s="22" t="str">
        <f>IFERROR(__xludf.DUMMYFUNCTION("""COMPUTED_VALUE"""),"Dây chuyền Mài Ca B")</f>
        <v>Dây chuyền Mài Ca B</v>
      </c>
      <c r="E115" s="22" t="str">
        <f>IFERROR(__xludf.DUMMYFUNCTION("""COMPUTED_VALUE"""),"Xe nâng")</f>
        <v>Xe nâng</v>
      </c>
      <c r="F115" s="22" t="str">
        <f>IFERROR(__xludf.DUMMYFUNCTION("""COMPUTED_VALUE"""),"NV3881")</f>
        <v>NV3881</v>
      </c>
      <c r="G115" s="22">
        <f>IFERROR(__xludf.DUMMYFUNCTION("""COMPUTED_VALUE"""),530.0)</f>
        <v>530</v>
      </c>
      <c r="H115" s="22" t="str">
        <f>IFERROR(__xludf.DUMMYFUNCTION("""COMPUTED_VALUE"""),"Mai Xuân Tân")</f>
        <v>Mai Xuân Tân</v>
      </c>
      <c r="I115" s="22" t="str">
        <f>IFERROR(__xludf.DUMMYFUNCTION("""COMPUTED_VALUE"""),"Nam")</f>
        <v>Nam</v>
      </c>
      <c r="J115" s="24">
        <f>IFERROR(__xludf.DUMMYFUNCTION("""COMPUTED_VALUE"""),33362.0)</f>
        <v>33362</v>
      </c>
      <c r="K115" s="22" t="str">
        <f>IFERROR(__xludf.DUMMYFUNCTION("""COMPUTED_VALUE"""),"Xã Hoằng Đức -  Huyện Hoằng Hóa -  Thanh Hóa - ")</f>
        <v>Xã Hoằng Đức -  Huyện Hoằng Hóa -  Thanh Hóa - </v>
      </c>
      <c r="L115" s="22" t="str">
        <f>IFERROR(__xludf.DUMMYFUNCTION("""COMPUTED_VALUE"""),"0865725831")</f>
        <v>0865725831</v>
      </c>
      <c r="M115" s="22" t="str">
        <f>IFERROR(__xludf.DUMMYFUNCTION("""COMPUTED_VALUE"""),"038091007694")</f>
        <v>038091007694</v>
      </c>
      <c r="N115" s="26">
        <f>IFERROR(__xludf.DUMMYFUNCTION("""COMPUTED_VALUE"""),42971.0)</f>
        <v>42971</v>
      </c>
      <c r="O115" s="22" t="str">
        <f>IFERROR(__xludf.DUMMYFUNCTION("""COMPUTED_VALUE"""),"Cục Cảnh sát QLHC về TTXH")</f>
        <v>Cục Cảnh sát QLHC về TTXH</v>
      </c>
      <c r="P115" s="22" t="str">
        <f>IFERROR(__xludf.DUMMYFUNCTION("""COMPUTED_VALUE"""),"Trung cấp")</f>
        <v>Trung cấp</v>
      </c>
      <c r="Q115" s="22" t="str">
        <f>IFERROR(__xludf.DUMMYFUNCTION("""COMPUTED_VALUE"""),"Vận hành xe nâng")</f>
        <v>Vận hành xe nâng</v>
      </c>
      <c r="R115" s="24">
        <f>IFERROR(__xludf.DUMMYFUNCTION("""COMPUTED_VALUE"""),45391.0)</f>
        <v>45391</v>
      </c>
      <c r="S115" s="24">
        <f>IFERROR(__xludf.DUMMYFUNCTION("""COMPUTED_VALUE"""),44774.0)</f>
        <v>44774</v>
      </c>
      <c r="T115" s="22" t="str">
        <f>IFERROR(__xludf.DUMMYFUNCTION("""COMPUTED_VALUE"""),"Chính thức")</f>
        <v>Chính thức</v>
      </c>
      <c r="U115" s="22"/>
      <c r="V115" s="22" t="str">
        <f>IFERROR(__xludf.DUMMYFUNCTION("""COMPUTED_VALUE"""),"Chính thức")</f>
        <v>Chính thức</v>
      </c>
      <c r="W115" s="22" t="str">
        <f>IFERROR(__xludf.DUMMYFUNCTION("""COMPUTED_VALUE"""),"1 năm 8 tháng")</f>
        <v>1 năm 8 tháng</v>
      </c>
      <c r="X115" s="22"/>
      <c r="Y115" s="22"/>
      <c r="Z115" s="22"/>
    </row>
    <row r="116">
      <c r="A116" s="22">
        <f>IFERROR(__xludf.DUMMYFUNCTION("""COMPUTED_VALUE"""),10.0)</f>
        <v>10</v>
      </c>
      <c r="B116" s="22" t="str">
        <f>IFERROR(__xludf.DUMMYFUNCTION("""COMPUTED_VALUE"""),"DC5-PXSX2")</f>
        <v>DC5-PXSX2</v>
      </c>
      <c r="C116" s="22" t="str">
        <f>IFERROR(__xludf.DUMMYFUNCTION("""COMPUTED_VALUE"""),"Bộ phận Mài và Đóng hộp")</f>
        <v>Bộ phận Mài và Đóng hộp</v>
      </c>
      <c r="D116" s="22" t="str">
        <f>IFERROR(__xludf.DUMMYFUNCTION("""COMPUTED_VALUE"""),"Dây chuyền Mài Ca B")</f>
        <v>Dây chuyền Mài Ca B</v>
      </c>
      <c r="E116" s="22" t="str">
        <f>IFERROR(__xludf.DUMMYFUNCTION("""COMPUTED_VALUE"""),"Vận hành máy mài mặt Mức 1")</f>
        <v>Vận hành máy mài mặt Mức 1</v>
      </c>
      <c r="F116" s="22" t="str">
        <f>IFERROR(__xludf.DUMMYFUNCTION("""COMPUTED_VALUE"""),"NV5049")</f>
        <v>NV5049</v>
      </c>
      <c r="G116" s="22">
        <f>IFERROR(__xludf.DUMMYFUNCTION("""COMPUTED_VALUE"""),284.0)</f>
        <v>284</v>
      </c>
      <c r="H116" s="22" t="str">
        <f>IFERROR(__xludf.DUMMYFUNCTION("""COMPUTED_VALUE"""),"Hoàng Văn Toàn")</f>
        <v>Hoàng Văn Toàn</v>
      </c>
      <c r="I116" s="22" t="str">
        <f>IFERROR(__xludf.DUMMYFUNCTION("""COMPUTED_VALUE"""),"Nam")</f>
        <v>Nam</v>
      </c>
      <c r="J116" s="24">
        <f>IFERROR(__xludf.DUMMYFUNCTION("""COMPUTED_VALUE"""),31643.0)</f>
        <v>31643</v>
      </c>
      <c r="K116" s="22" t="str">
        <f>IFERROR(__xludf.DUMMYFUNCTION("""COMPUTED_VALUE"""),"Thôn 6 -  Xã Cẩm Vân -  Huyện Cẩm Thủy -  Thanh Hóa")</f>
        <v>Thôn 6 -  Xã Cẩm Vân -  Huyện Cẩm Thủy -  Thanh Hóa</v>
      </c>
      <c r="L116" s="22" t="str">
        <f>IFERROR(__xludf.DUMMYFUNCTION("""COMPUTED_VALUE"""),"0932369859")</f>
        <v>0932369859</v>
      </c>
      <c r="M116" s="22" t="str">
        <f>IFERROR(__xludf.DUMMYFUNCTION("""COMPUTED_VALUE"""),"038087011241")</f>
        <v>038087011241</v>
      </c>
      <c r="N116" s="26">
        <f>IFERROR(__xludf.DUMMYFUNCTION("""COMPUTED_VALUE"""),44419.0)</f>
        <v>44419</v>
      </c>
      <c r="O116" s="22" t="str">
        <f>IFERROR(__xludf.DUMMYFUNCTION("""COMPUTED_VALUE"""),"Cục Cảnh sát QLHC về TTXH")</f>
        <v>Cục Cảnh sát QLHC về TTXH</v>
      </c>
      <c r="P116" s="22" t="str">
        <f>IFERROR(__xludf.DUMMYFUNCTION("""COMPUTED_VALUE"""),"Trung cấp")</f>
        <v>Trung cấp</v>
      </c>
      <c r="Q116" s="22" t="str">
        <f>IFERROR(__xludf.DUMMYFUNCTION("""COMPUTED_VALUE"""),"Công nghệ điện")</f>
        <v>Công nghệ điện</v>
      </c>
      <c r="R116" s="24">
        <f>IFERROR(__xludf.DUMMYFUNCTION("""COMPUTED_VALUE"""),45363.0)</f>
        <v>45363</v>
      </c>
      <c r="S116" s="24">
        <f>IFERROR(__xludf.DUMMYFUNCTION("""COMPUTED_VALUE"""),45444.0)</f>
        <v>45444</v>
      </c>
      <c r="T116" s="22" t="str">
        <f>IFERROR(__xludf.DUMMYFUNCTION("""COMPUTED_VALUE"""),"Chính thức")</f>
        <v>Chính thức</v>
      </c>
      <c r="U116" s="22"/>
      <c r="V116" s="22" t="str">
        <f>IFERROR(__xludf.DUMMYFUNCTION("""COMPUTED_VALUE"""),"Chính thức")</f>
        <v>Chính thức</v>
      </c>
      <c r="W116" s="22" t="str">
        <f>IFERROR(__xludf.DUMMYFUNCTION("""COMPUTED_VALUE"""),"1 năm 9 tháng")</f>
        <v>1 năm 9 tháng</v>
      </c>
      <c r="X116" s="22"/>
      <c r="Y116" s="22"/>
      <c r="Z116" s="22"/>
    </row>
    <row r="117">
      <c r="A117" s="22">
        <f>IFERROR(__xludf.DUMMYFUNCTION("""COMPUTED_VALUE"""),11.0)</f>
        <v>11</v>
      </c>
      <c r="B117" s="22" t="str">
        <f>IFERROR(__xludf.DUMMYFUNCTION("""COMPUTED_VALUE"""),"DC5-PXSX2")</f>
        <v>DC5-PXSX2</v>
      </c>
      <c r="C117" s="22" t="str">
        <f>IFERROR(__xludf.DUMMYFUNCTION("""COMPUTED_VALUE"""),"Bộ phận Mài và Đóng hộp")</f>
        <v>Bộ phận Mài và Đóng hộp</v>
      </c>
      <c r="D117" s="22" t="str">
        <f>IFERROR(__xludf.DUMMYFUNCTION("""COMPUTED_VALUE"""),"Dây chuyền Mài Ca B")</f>
        <v>Dây chuyền Mài Ca B</v>
      </c>
      <c r="E117" s="22" t="str">
        <f>IFERROR(__xludf.DUMMYFUNCTION("""COMPUTED_VALUE"""),"Cơ điện phụ trách mài cạnh Px2")</f>
        <v>Cơ điện phụ trách mài cạnh Px2</v>
      </c>
      <c r="F117" s="22" t="str">
        <f>IFERROR(__xludf.DUMMYFUNCTION("""COMPUTED_VALUE"""),"NV2294")</f>
        <v>NV2294</v>
      </c>
      <c r="G117" s="22">
        <f>IFERROR(__xludf.DUMMYFUNCTION("""COMPUTED_VALUE"""),514.0)</f>
        <v>514</v>
      </c>
      <c r="H117" s="22" t="str">
        <f>IFERROR(__xludf.DUMMYFUNCTION("""COMPUTED_VALUE"""),"Lê Mai Tuấn")</f>
        <v>Lê Mai Tuấn</v>
      </c>
      <c r="I117" s="22" t="str">
        <f>IFERROR(__xludf.DUMMYFUNCTION("""COMPUTED_VALUE"""),"Nam")</f>
        <v>Nam</v>
      </c>
      <c r="J117" s="24">
        <f>IFERROR(__xludf.DUMMYFUNCTION("""COMPUTED_VALUE"""),32938.0)</f>
        <v>32938</v>
      </c>
      <c r="K117" s="22" t="str">
        <f>IFERROR(__xludf.DUMMYFUNCTION("""COMPUTED_VALUE"""),"Tiến Thành -  Xã Quảng Tâm -  Thành phố Thanh Hóa -  Thanh Hóa -  Việt Nam")</f>
        <v>Tiến Thành -  Xã Quảng Tâm -  Thành phố Thanh Hóa -  Thanh Hóa -  Việt Nam</v>
      </c>
      <c r="L117" s="22" t="str">
        <f>IFERROR(__xludf.DUMMYFUNCTION("""COMPUTED_VALUE"""),"0979469464")</f>
        <v>0979469464</v>
      </c>
      <c r="M117" s="22" t="str">
        <f>IFERROR(__xludf.DUMMYFUNCTION("""COMPUTED_VALUE"""),"038090011852")</f>
        <v>038090011852</v>
      </c>
      <c r="N117" s="26">
        <f>IFERROR(__xludf.DUMMYFUNCTION("""COMPUTED_VALUE"""),44422.0)</f>
        <v>44422</v>
      </c>
      <c r="O117" s="22" t="str">
        <f>IFERROR(__xludf.DUMMYFUNCTION("""COMPUTED_VALUE"""),"Cục Cảnh sát QLHC về TTXH")</f>
        <v>Cục Cảnh sát QLHC về TTXH</v>
      </c>
      <c r="P117" s="22" t="str">
        <f>IFERROR(__xludf.DUMMYFUNCTION("""COMPUTED_VALUE"""),"Kỹ sư")</f>
        <v>Kỹ sư</v>
      </c>
      <c r="Q117" s="22" t="str">
        <f>IFERROR(__xludf.DUMMYFUNCTION("""COMPUTED_VALUE"""),"Cộng nghệ kỹ thuật hóa học")</f>
        <v>Cộng nghệ kỹ thuật hóa học</v>
      </c>
      <c r="R117" s="24">
        <f>IFERROR(__xludf.DUMMYFUNCTION("""COMPUTED_VALUE"""),43563.0)</f>
        <v>43563</v>
      </c>
      <c r="S117" s="24">
        <f>IFERROR(__xludf.DUMMYFUNCTION("""COMPUTED_VALUE"""),43983.0)</f>
        <v>43983</v>
      </c>
      <c r="T117" s="22" t="str">
        <f>IFERROR(__xludf.DUMMYFUNCTION("""COMPUTED_VALUE"""),"Chính thức")</f>
        <v>Chính thức</v>
      </c>
      <c r="U117" s="22"/>
      <c r="V117" s="22" t="str">
        <f>IFERROR(__xludf.DUMMYFUNCTION("""COMPUTED_VALUE"""),"Chính thức")</f>
        <v>Chính thức</v>
      </c>
      <c r="W117" s="22" t="str">
        <f>IFERROR(__xludf.DUMMYFUNCTION("""COMPUTED_VALUE"""),"6 năm 8 tháng")</f>
        <v>6 năm 8 tháng</v>
      </c>
      <c r="X117" s="22"/>
      <c r="Y117" s="22"/>
      <c r="Z117" s="22"/>
    </row>
    <row r="118">
      <c r="A118" s="22">
        <f>IFERROR(__xludf.DUMMYFUNCTION("""COMPUTED_VALUE"""),12.0)</f>
        <v>12</v>
      </c>
      <c r="B118" s="22" t="str">
        <f>IFERROR(__xludf.DUMMYFUNCTION("""COMPUTED_VALUE"""),"DC5-PXSX2")</f>
        <v>DC5-PXSX2</v>
      </c>
      <c r="C118" s="22" t="str">
        <f>IFERROR(__xludf.DUMMYFUNCTION("""COMPUTED_VALUE"""),"Bộ phận Mài và Đóng hộp")</f>
        <v>Bộ phận Mài và Đóng hộp</v>
      </c>
      <c r="D118" s="22" t="str">
        <f>IFERROR(__xludf.DUMMYFUNCTION("""COMPUTED_VALUE"""),"Dây chuyền Mài Ca B")</f>
        <v>Dây chuyền Mài Ca B</v>
      </c>
      <c r="E118" s="22"/>
      <c r="F118" s="22" t="str">
        <f>IFERROR(__xludf.DUMMYFUNCTION("""COMPUTED_VALUE"""),"NV5477")</f>
        <v>NV5477</v>
      </c>
      <c r="G118" s="22">
        <f>IFERROR(__xludf.DUMMYFUNCTION("""COMPUTED_VALUE"""),958.0)</f>
        <v>958</v>
      </c>
      <c r="H118" s="22" t="str">
        <f>IFERROR(__xludf.DUMMYFUNCTION("""COMPUTED_VALUE"""),"Nguyễn Ngọc Minh Khánh")</f>
        <v>Nguyễn Ngọc Minh Khánh</v>
      </c>
      <c r="I118" s="22" t="str">
        <f>IFERROR(__xludf.DUMMYFUNCTION("""COMPUTED_VALUE"""),"Nam")</f>
        <v>Nam</v>
      </c>
      <c r="J118" s="24">
        <f>IFERROR(__xludf.DUMMYFUNCTION("""COMPUTED_VALUE"""),37400.0)</f>
        <v>37400</v>
      </c>
      <c r="K118" s="22" t="str">
        <f>IFERROR(__xludf.DUMMYFUNCTION("""COMPUTED_VALUE"""),"Phường Ngọc Trạo - TP Thanh Hóa- Tỉnh Thanh Hóa")</f>
        <v>Phường Ngọc Trạo - TP Thanh Hóa- Tỉnh Thanh Hóa</v>
      </c>
      <c r="L118" s="22" t="str">
        <f>IFERROR(__xludf.DUMMYFUNCTION("""COMPUTED_VALUE"""),"0562626393")</f>
        <v>0562626393</v>
      </c>
      <c r="M118" s="22" t="str">
        <f>IFERROR(__xludf.DUMMYFUNCTION("""COMPUTED_VALUE"""),"038202007764")</f>
        <v>038202007764</v>
      </c>
      <c r="N118" s="26">
        <f>IFERROR(__xludf.DUMMYFUNCTION("""COMPUTED_VALUE"""),44839.0)</f>
        <v>44839</v>
      </c>
      <c r="O118" s="22" t="str">
        <f>IFERROR(__xludf.DUMMYFUNCTION("""COMPUTED_VALUE"""),"Cục Cảnh sát QLHC về TTXH")</f>
        <v>Cục Cảnh sát QLHC về TTXH</v>
      </c>
      <c r="P118" s="22" t="str">
        <f>IFERROR(__xludf.DUMMYFUNCTION("""COMPUTED_VALUE"""),"LĐPT")</f>
        <v>LĐPT</v>
      </c>
      <c r="Q118" s="22" t="str">
        <f>IFERROR(__xludf.DUMMYFUNCTION("""COMPUTED_VALUE"""),"Lao động phổ thông")</f>
        <v>Lao động phổ thông</v>
      </c>
      <c r="R118" s="24">
        <f>IFERROR(__xludf.DUMMYFUNCTION("""COMPUTED_VALUE"""),45803.0)</f>
        <v>45803</v>
      </c>
      <c r="S118" s="24">
        <f>IFERROR(__xludf.DUMMYFUNCTION("""COMPUTED_VALUE"""),45834.0)</f>
        <v>45834</v>
      </c>
      <c r="T118" s="22" t="str">
        <f>IFERROR(__xludf.DUMMYFUNCTION("""COMPUTED_VALUE"""),"Chính thức")</f>
        <v>Chính thức</v>
      </c>
      <c r="U118" s="22"/>
      <c r="V118" s="22" t="str">
        <f>IFERROR(__xludf.DUMMYFUNCTION("""COMPUTED_VALUE"""),"Chính thức")</f>
        <v>Chính thức</v>
      </c>
      <c r="W118" s="22" t="str">
        <f>IFERROR(__xludf.DUMMYFUNCTION("""COMPUTED_VALUE"""),"0 năm 7 tháng")</f>
        <v>0 năm 7 tháng</v>
      </c>
      <c r="X118" s="22"/>
      <c r="Y118" s="22"/>
      <c r="Z118" s="22"/>
    </row>
    <row r="119">
      <c r="A119" s="22">
        <f>IFERROR(__xludf.DUMMYFUNCTION("""COMPUTED_VALUE"""),13.0)</f>
        <v>13</v>
      </c>
      <c r="B119" s="22" t="str">
        <f>IFERROR(__xludf.DUMMYFUNCTION("""COMPUTED_VALUE"""),"DC5-PXSX2")</f>
        <v>DC5-PXSX2</v>
      </c>
      <c r="C119" s="22" t="str">
        <f>IFERROR(__xludf.DUMMYFUNCTION("""COMPUTED_VALUE"""),"Bộ phận Mài và Đóng hộp")</f>
        <v>Bộ phận Mài và Đóng hộp</v>
      </c>
      <c r="D119" s="22" t="str">
        <f>IFERROR(__xludf.DUMMYFUNCTION("""COMPUTED_VALUE"""),"Dây chuyền Mài Ca B")</f>
        <v>Dây chuyền Mài Ca B</v>
      </c>
      <c r="E119" s="22" t="str">
        <f>IFERROR(__xludf.DUMMYFUNCTION("""COMPUTED_VALUE"""),"Vận hành máy mài mặt Mức 2")</f>
        <v>Vận hành máy mài mặt Mức 2</v>
      </c>
      <c r="F119" s="22" t="str">
        <f>IFERROR(__xludf.DUMMYFUNCTION("""COMPUTED_VALUE"""),"NV5666")</f>
        <v>NV5666</v>
      </c>
      <c r="G119" s="22">
        <f>IFERROR(__xludf.DUMMYFUNCTION("""COMPUTED_VALUE"""),1160.0)</f>
        <v>1160</v>
      </c>
      <c r="H119" s="22" t="str">
        <f>IFERROR(__xludf.DUMMYFUNCTION("""COMPUTED_VALUE"""),"Viên Đình Định")</f>
        <v>Viên Đình Định</v>
      </c>
      <c r="I119" s="22" t="str">
        <f>IFERROR(__xludf.DUMMYFUNCTION("""COMPUTED_VALUE"""),"Nam")</f>
        <v>Nam</v>
      </c>
      <c r="J119" s="24">
        <f>IFERROR(__xludf.DUMMYFUNCTION("""COMPUTED_VALUE"""),33209.0)</f>
        <v>33209</v>
      </c>
      <c r="K119" s="22" t="str">
        <f>IFERROR(__xludf.DUMMYFUNCTION("""COMPUTED_VALUE"""),"KP Thành Thắng - Phường Sầm Sơn 
 Tỉnh Thanh Hóa")</f>
        <v>KP Thành Thắng - Phường Sầm Sơn 
 Tỉnh Thanh Hóa</v>
      </c>
      <c r="L119" s="22" t="str">
        <f>IFERROR(__xludf.DUMMYFUNCTION("""COMPUTED_VALUE"""),"0984394945")</f>
        <v>0984394945</v>
      </c>
      <c r="M119" s="22" t="str">
        <f>IFERROR(__xludf.DUMMYFUNCTION("""COMPUTED_VALUE"""),"038090015758")</f>
        <v>038090015758</v>
      </c>
      <c r="N119" s="26">
        <f>IFERROR(__xludf.DUMMYFUNCTION("""COMPUTED_VALUE"""),44467.0)</f>
        <v>44467</v>
      </c>
      <c r="O119" s="22" t="str">
        <f>IFERROR(__xludf.DUMMYFUNCTION("""COMPUTED_VALUE"""),"Cục Cảnh sát QLHC về TTXH")</f>
        <v>Cục Cảnh sát QLHC về TTXH</v>
      </c>
      <c r="P119" s="22" t="str">
        <f>IFERROR(__xludf.DUMMYFUNCTION("""COMPUTED_VALUE"""),"LĐPT")</f>
        <v>LĐPT</v>
      </c>
      <c r="Q119" s="22" t="str">
        <f>IFERROR(__xludf.DUMMYFUNCTION("""COMPUTED_VALUE"""),"Lao động phổ thông")</f>
        <v>Lao động phổ thông</v>
      </c>
      <c r="R119" s="24">
        <f>IFERROR(__xludf.DUMMYFUNCTION("""COMPUTED_VALUE"""),45896.0)</f>
        <v>45896</v>
      </c>
      <c r="S119" s="24">
        <f>IFERROR(__xludf.DUMMYFUNCTION("""COMPUTED_VALUE"""),45927.0)</f>
        <v>45927</v>
      </c>
      <c r="T119" s="22" t="str">
        <f>IFERROR(__xludf.DUMMYFUNCTION("""COMPUTED_VALUE"""),"Chính thức")</f>
        <v>Chính thức</v>
      </c>
      <c r="U119" s="22"/>
      <c r="V119" s="22" t="str">
        <f>IFERROR(__xludf.DUMMYFUNCTION("""COMPUTED_VALUE"""),"Chính thức")</f>
        <v>Chính thức</v>
      </c>
      <c r="W119" s="22" t="str">
        <f>IFERROR(__xludf.DUMMYFUNCTION("""COMPUTED_VALUE"""),"0 năm 4 tháng")</f>
        <v>0 năm 4 tháng</v>
      </c>
      <c r="X119" s="22"/>
      <c r="Y119" s="22"/>
      <c r="Z119" s="22"/>
    </row>
    <row r="120">
      <c r="A120" s="22">
        <f>IFERROR(__xludf.DUMMYFUNCTION("""COMPUTED_VALUE"""),14.0)</f>
        <v>14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8">
        <f>IFERROR(__xludf.DUMMYFUNCTION("""COMPUTED_VALUE"""),45751.0)</f>
        <v>45751</v>
      </c>
      <c r="B121" s="22" t="str">
        <f>IFERROR(__xludf.DUMMYFUNCTION("""COMPUTED_VALUE"""),"Đóng hộp Ca A")</f>
        <v>Đóng hộp Ca A</v>
      </c>
      <c r="C121" s="22">
        <f>IFERROR(__xludf.DUMMYFUNCTION("""COMPUTED_VALUE"""),15.0)</f>
        <v>15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>
        <f>IFERROR(__xludf.DUMMYFUNCTION("""COMPUTED_VALUE"""),1.0)</f>
        <v>1</v>
      </c>
      <c r="B122" s="22" t="str">
        <f>IFERROR(__xludf.DUMMYFUNCTION("""COMPUTED_VALUE"""),"DC5-PXSX2")</f>
        <v>DC5-PXSX2</v>
      </c>
      <c r="C122" s="22" t="str">
        <f>IFERROR(__xludf.DUMMYFUNCTION("""COMPUTED_VALUE"""),"Bộ phận Mài và Đóng hộp")</f>
        <v>Bộ phận Mài và Đóng hộp</v>
      </c>
      <c r="D122" s="22" t="str">
        <f>IFERROR(__xludf.DUMMYFUNCTION("""COMPUTED_VALUE"""),"Đóng hộp Ca A")</f>
        <v>Đóng hộp Ca A</v>
      </c>
      <c r="E122" s="22" t="str">
        <f>IFERROR(__xludf.DUMMYFUNCTION("""COMPUTED_VALUE"""),"Nhóm trưởng")</f>
        <v>Nhóm trưởng</v>
      </c>
      <c r="F122" s="22" t="str">
        <f>IFERROR(__xludf.DUMMYFUNCTION("""COMPUTED_VALUE"""),"NV0243")</f>
        <v>NV0243</v>
      </c>
      <c r="G122" s="22">
        <f>IFERROR(__xludf.DUMMYFUNCTION("""COMPUTED_VALUE"""),375.0)</f>
        <v>375</v>
      </c>
      <c r="H122" s="22" t="str">
        <f>IFERROR(__xludf.DUMMYFUNCTION("""COMPUTED_VALUE"""),"Nguyễn Trọng Tiến")</f>
        <v>Nguyễn Trọng Tiến</v>
      </c>
      <c r="I122" s="22" t="str">
        <f>IFERROR(__xludf.DUMMYFUNCTION("""COMPUTED_VALUE"""),"Nam")</f>
        <v>Nam</v>
      </c>
      <c r="J122" s="24">
        <f>IFERROR(__xludf.DUMMYFUNCTION("""COMPUTED_VALUE"""),26957.0)</f>
        <v>26957</v>
      </c>
      <c r="K122" s="22" t="str">
        <f>IFERROR(__xludf.DUMMYFUNCTION("""COMPUTED_VALUE"""),"Nguyễn Tiến -  Phường Đông Hương -  Thành phố Thanh Hóa - ")</f>
        <v>Nguyễn Tiến -  Phường Đông Hương -  Thành phố Thanh Hóa - </v>
      </c>
      <c r="L122" s="22"/>
      <c r="M122" s="22" t="str">
        <f>IFERROR(__xludf.DUMMYFUNCTION("""COMPUTED_VALUE"""),"038073012108")</f>
        <v>038073012108</v>
      </c>
      <c r="N122" s="26">
        <f>IFERROR(__xludf.DUMMYFUNCTION("""COMPUTED_VALUE"""),44418.0)</f>
        <v>44418</v>
      </c>
      <c r="O122" s="22" t="str">
        <f>IFERROR(__xludf.DUMMYFUNCTION("""COMPUTED_VALUE"""),"Cục Cảnh sát QLHC về TTXH")</f>
        <v>Cục Cảnh sát QLHC về TTXH</v>
      </c>
      <c r="P122" s="22" t="str">
        <f>IFERROR(__xludf.DUMMYFUNCTION("""COMPUTED_VALUE"""),"LĐPT")</f>
        <v>LĐPT</v>
      </c>
      <c r="Q122" s="22" t="str">
        <f>IFERROR(__xludf.DUMMYFUNCTION("""COMPUTED_VALUE"""),"Lao động phổ thông")</f>
        <v>Lao động phổ thông</v>
      </c>
      <c r="R122" s="24">
        <f>IFERROR(__xludf.DUMMYFUNCTION("""COMPUTED_VALUE"""),40098.0)</f>
        <v>40098</v>
      </c>
      <c r="S122" s="24">
        <f>IFERROR(__xludf.DUMMYFUNCTION("""COMPUTED_VALUE"""),40098.0)</f>
        <v>40098</v>
      </c>
      <c r="T122" s="22" t="str">
        <f>IFERROR(__xludf.DUMMYFUNCTION("""COMPUTED_VALUE"""),"Chính thức")</f>
        <v>Chính thức</v>
      </c>
      <c r="U122" s="22"/>
      <c r="V122" s="22" t="str">
        <f>IFERROR(__xludf.DUMMYFUNCTION("""COMPUTED_VALUE"""),"Chính thức")</f>
        <v>Chính thức</v>
      </c>
      <c r="W122" s="22" t="str">
        <f>IFERROR(__xludf.DUMMYFUNCTION("""COMPUTED_VALUE"""),"16 năm 2 tháng")</f>
        <v>16 năm 2 tháng</v>
      </c>
      <c r="X122" s="22"/>
      <c r="Y122" s="22"/>
      <c r="Z122" s="22"/>
    </row>
    <row r="123">
      <c r="A123" s="22">
        <f>IFERROR(__xludf.DUMMYFUNCTION("""COMPUTED_VALUE"""),2.0)</f>
        <v>2</v>
      </c>
      <c r="B123" s="22" t="str">
        <f>IFERROR(__xludf.DUMMYFUNCTION("""COMPUTED_VALUE"""),"DC5-PXSX2")</f>
        <v>DC5-PXSX2</v>
      </c>
      <c r="C123" s="22" t="str">
        <f>IFERROR(__xludf.DUMMYFUNCTION("""COMPUTED_VALUE"""),"Bộ phận Mài và Đóng hộp")</f>
        <v>Bộ phận Mài và Đóng hộp</v>
      </c>
      <c r="D123" s="22" t="str">
        <f>IFERROR(__xludf.DUMMYFUNCTION("""COMPUTED_VALUE"""),"Đóng hộp Ca A")</f>
        <v>Đóng hộp Ca A</v>
      </c>
      <c r="E123" s="22" t="str">
        <f>IFERROR(__xludf.DUMMYFUNCTION("""COMPUTED_VALUE"""),"VH máy đóng hộp")</f>
        <v>VH máy đóng hộp</v>
      </c>
      <c r="F123" s="22" t="str">
        <f>IFERROR(__xludf.DUMMYFUNCTION("""COMPUTED_VALUE"""),"NV0527")</f>
        <v>NV0527</v>
      </c>
      <c r="G123" s="22">
        <f>IFERROR(__xludf.DUMMYFUNCTION("""COMPUTED_VALUE"""),551.0)</f>
        <v>551</v>
      </c>
      <c r="H123" s="22" t="str">
        <f>IFERROR(__xludf.DUMMYFUNCTION("""COMPUTED_VALUE"""),"Đoàn Văn Tùng")</f>
        <v>Đoàn Văn Tùng</v>
      </c>
      <c r="I123" s="22" t="str">
        <f>IFERROR(__xludf.DUMMYFUNCTION("""COMPUTED_VALUE"""),"Nam")</f>
        <v>Nam</v>
      </c>
      <c r="J123" s="24">
        <f>IFERROR(__xludf.DUMMYFUNCTION("""COMPUTED_VALUE"""),31059.0)</f>
        <v>31059</v>
      </c>
      <c r="K123" s="22" t="str">
        <f>IFERROR(__xludf.DUMMYFUNCTION("""COMPUTED_VALUE"""),"Xã Quảng Định -  Huyện Quảng Xương -  Thanh Hóa -  Việt Nam")</f>
        <v>Xã Quảng Định -  Huyện Quảng Xương -  Thanh Hóa -  Việt Nam</v>
      </c>
      <c r="L123" s="22" t="str">
        <f>IFERROR(__xludf.DUMMYFUNCTION("""COMPUTED_VALUE"""),"0912688102")</f>
        <v>0912688102</v>
      </c>
      <c r="M123" s="22" t="str">
        <f>IFERROR(__xludf.DUMMYFUNCTION("""COMPUTED_VALUE"""),"038085015552")</f>
        <v>038085015552</v>
      </c>
      <c r="N123" s="26">
        <f>IFERROR(__xludf.DUMMYFUNCTION("""COMPUTED_VALUE"""),44461.0)</f>
        <v>44461</v>
      </c>
      <c r="O123" s="22" t="str">
        <f>IFERROR(__xludf.DUMMYFUNCTION("""COMPUTED_VALUE"""),"Cục Cảnh sát QLHC về TTXH")</f>
        <v>Cục Cảnh sát QLHC về TTXH</v>
      </c>
      <c r="P123" s="22" t="str">
        <f>IFERROR(__xludf.DUMMYFUNCTION("""COMPUTED_VALUE"""),"Trung cấp")</f>
        <v>Trung cấp</v>
      </c>
      <c r="Q123" s="22" t="str">
        <f>IFERROR(__xludf.DUMMYFUNCTION("""COMPUTED_VALUE"""),"Điện xí nghiệp")</f>
        <v>Điện xí nghiệp</v>
      </c>
      <c r="R123" s="24">
        <f>IFERROR(__xludf.DUMMYFUNCTION("""COMPUTED_VALUE"""),42660.0)</f>
        <v>42660</v>
      </c>
      <c r="S123" s="24">
        <f>IFERROR(__xludf.DUMMYFUNCTION("""COMPUTED_VALUE"""),43252.0)</f>
        <v>43252</v>
      </c>
      <c r="T123" s="22" t="str">
        <f>IFERROR(__xludf.DUMMYFUNCTION("""COMPUTED_VALUE"""),"Chính thức")</f>
        <v>Chính thức</v>
      </c>
      <c r="U123" s="22"/>
      <c r="V123" s="22" t="str">
        <f>IFERROR(__xludf.DUMMYFUNCTION("""COMPUTED_VALUE"""),"Chính thức")</f>
        <v>Chính thức</v>
      </c>
      <c r="W123" s="22" t="str">
        <f>IFERROR(__xludf.DUMMYFUNCTION("""COMPUTED_VALUE"""),"9 năm 2 tháng")</f>
        <v>9 năm 2 tháng</v>
      </c>
      <c r="X123" s="22"/>
      <c r="Y123" s="22"/>
      <c r="Z123" s="22"/>
    </row>
    <row r="124">
      <c r="A124" s="22">
        <f>IFERROR(__xludf.DUMMYFUNCTION("""COMPUTED_VALUE"""),3.0)</f>
        <v>3</v>
      </c>
      <c r="B124" s="22" t="str">
        <f>IFERROR(__xludf.DUMMYFUNCTION("""COMPUTED_VALUE"""),"DC5-PXSX2")</f>
        <v>DC5-PXSX2</v>
      </c>
      <c r="C124" s="22" t="str">
        <f>IFERROR(__xludf.DUMMYFUNCTION("""COMPUTED_VALUE"""),"Bộ phận Mài và Đóng hộp")</f>
        <v>Bộ phận Mài và Đóng hộp</v>
      </c>
      <c r="D124" s="22" t="str">
        <f>IFERROR(__xludf.DUMMYFUNCTION("""COMPUTED_VALUE"""),"Đóng hộp Ca A")</f>
        <v>Đóng hộp Ca A</v>
      </c>
      <c r="E124" s="22" t="str">
        <f>IFERROR(__xludf.DUMMYFUNCTION("""COMPUTED_VALUE"""),"Xe nâng kiêm hoàn thiện palet")</f>
        <v>Xe nâng kiêm hoàn thiện palet</v>
      </c>
      <c r="F124" s="22" t="str">
        <f>IFERROR(__xludf.DUMMYFUNCTION("""COMPUTED_VALUE"""),"NV2535")</f>
        <v>NV2535</v>
      </c>
      <c r="G124" s="22">
        <f>IFERROR(__xludf.DUMMYFUNCTION("""COMPUTED_VALUE"""),558.0)</f>
        <v>558</v>
      </c>
      <c r="H124" s="22" t="str">
        <f>IFERROR(__xludf.DUMMYFUNCTION("""COMPUTED_VALUE"""),"Nguyễn Trọng Tình")</f>
        <v>Nguyễn Trọng Tình</v>
      </c>
      <c r="I124" s="22" t="str">
        <f>IFERROR(__xludf.DUMMYFUNCTION("""COMPUTED_VALUE"""),"Nam")</f>
        <v>Nam</v>
      </c>
      <c r="J124" s="24">
        <f>IFERROR(__xludf.DUMMYFUNCTION("""COMPUTED_VALUE"""),32405.0)</f>
        <v>32405</v>
      </c>
      <c r="K124" s="22" t="str">
        <f>IFERROR(__xludf.DUMMYFUNCTION("""COMPUTED_VALUE"""),"Xã Hoằng Châu -  Huyện Hoằng Hóa -  Thanh Hóa - ")</f>
        <v>Xã Hoằng Châu -  Huyện Hoằng Hóa -  Thanh Hóa - </v>
      </c>
      <c r="L124" s="22" t="str">
        <f>IFERROR(__xludf.DUMMYFUNCTION("""COMPUTED_VALUE"""),"0376763468")</f>
        <v>0376763468</v>
      </c>
      <c r="M124" s="22" t="str">
        <f>IFERROR(__xludf.DUMMYFUNCTION("""COMPUTED_VALUE"""),"038088048270")</f>
        <v>038088048270</v>
      </c>
      <c r="N124" s="26">
        <f>IFERROR(__xludf.DUMMYFUNCTION("""COMPUTED_VALUE"""),44963.0)</f>
        <v>44963</v>
      </c>
      <c r="O124" s="22" t="str">
        <f>IFERROR(__xludf.DUMMYFUNCTION("""COMPUTED_VALUE"""),"Cục Cảnh sát QLHC về TTXH")</f>
        <v>Cục Cảnh sát QLHC về TTXH</v>
      </c>
      <c r="P124" s="22" t="str">
        <f>IFERROR(__xludf.DUMMYFUNCTION("""COMPUTED_VALUE"""),"Chứng chỉ nghề")</f>
        <v>Chứng chỉ nghề</v>
      </c>
      <c r="Q124" s="22" t="str">
        <f>IFERROR(__xludf.DUMMYFUNCTION("""COMPUTED_VALUE"""),"Vận hành xe nâng")</f>
        <v>Vận hành xe nâng</v>
      </c>
      <c r="R124" s="24">
        <f>IFERROR(__xludf.DUMMYFUNCTION("""COMPUTED_VALUE"""),43666.0)</f>
        <v>43666</v>
      </c>
      <c r="S124" s="24">
        <f>IFERROR(__xludf.DUMMYFUNCTION("""COMPUTED_VALUE"""),44013.0)</f>
        <v>44013</v>
      </c>
      <c r="T124" s="22" t="str">
        <f>IFERROR(__xludf.DUMMYFUNCTION("""COMPUTED_VALUE"""),"Chính thức")</f>
        <v>Chính thức</v>
      </c>
      <c r="U124" s="22"/>
      <c r="V124" s="22" t="str">
        <f>IFERROR(__xludf.DUMMYFUNCTION("""COMPUTED_VALUE"""),"Chính thức")</f>
        <v>Chính thức</v>
      </c>
      <c r="W124" s="22" t="str">
        <f>IFERROR(__xludf.DUMMYFUNCTION("""COMPUTED_VALUE"""),"6 năm 5 tháng")</f>
        <v>6 năm 5 tháng</v>
      </c>
      <c r="X124" s="22"/>
      <c r="Y124" s="22"/>
      <c r="Z124" s="22"/>
    </row>
    <row r="125">
      <c r="A125" s="22">
        <f>IFERROR(__xludf.DUMMYFUNCTION("""COMPUTED_VALUE"""),4.0)</f>
        <v>4</v>
      </c>
      <c r="B125" s="22" t="str">
        <f>IFERROR(__xludf.DUMMYFUNCTION("""COMPUTED_VALUE"""),"DC5-PXSX2")</f>
        <v>DC5-PXSX2</v>
      </c>
      <c r="C125" s="22" t="str">
        <f>IFERROR(__xludf.DUMMYFUNCTION("""COMPUTED_VALUE"""),"Bộ phận Mài và Đóng hộp")</f>
        <v>Bộ phận Mài và Đóng hộp</v>
      </c>
      <c r="D125" s="22" t="str">
        <f>IFERROR(__xludf.DUMMYFUNCTION("""COMPUTED_VALUE"""),"Đóng hộp Ca A")</f>
        <v>Đóng hộp Ca A</v>
      </c>
      <c r="E125" s="22" t="str">
        <f>IFERROR(__xludf.DUMMYFUNCTION("""COMPUTED_VALUE"""),"Bốc lai")</f>
        <v>Bốc lai</v>
      </c>
      <c r="F125" s="22" t="str">
        <f>IFERROR(__xludf.DUMMYFUNCTION("""COMPUTED_VALUE"""),"NV0621")</f>
        <v>NV0621</v>
      </c>
      <c r="G125" s="22">
        <f>IFERROR(__xludf.DUMMYFUNCTION("""COMPUTED_VALUE"""),711.0)</f>
        <v>711</v>
      </c>
      <c r="H125" s="22" t="str">
        <f>IFERROR(__xludf.DUMMYFUNCTION("""COMPUTED_VALUE"""),"Nguyễn Thị Hoài Thu")</f>
        <v>Nguyễn Thị Hoài Thu</v>
      </c>
      <c r="I125" s="22" t="str">
        <f>IFERROR(__xludf.DUMMYFUNCTION("""COMPUTED_VALUE"""),"Nữ")</f>
        <v>Nữ</v>
      </c>
      <c r="J125" s="24">
        <f>IFERROR(__xludf.DUMMYFUNCTION("""COMPUTED_VALUE"""),31138.0)</f>
        <v>31138</v>
      </c>
      <c r="K125" s="22" t="str">
        <f>IFERROR(__xludf.DUMMYFUNCTION("""COMPUTED_VALUE"""),"Phường Đông Vệ -  Thành phố Thanh Hóa -  Thanh Hóa -  Việt Nam")</f>
        <v>Phường Đông Vệ -  Thành phố Thanh Hóa -  Thanh Hóa -  Việt Nam</v>
      </c>
      <c r="L125" s="22" t="str">
        <f>IFERROR(__xludf.DUMMYFUNCTION("""COMPUTED_VALUE"""),"0329503088")</f>
        <v>0329503088</v>
      </c>
      <c r="M125" s="22" t="str">
        <f>IFERROR(__xludf.DUMMYFUNCTION("""COMPUTED_VALUE"""),"038185025740")</f>
        <v>038185025740</v>
      </c>
      <c r="N125" s="26">
        <f>IFERROR(__xludf.DUMMYFUNCTION("""COMPUTED_VALUE"""),44311.0)</f>
        <v>44311</v>
      </c>
      <c r="O125" s="22" t="str">
        <f>IFERROR(__xludf.DUMMYFUNCTION("""COMPUTED_VALUE"""),"Cục Cảnh sát QLHC về TTXH")</f>
        <v>Cục Cảnh sát QLHC về TTXH</v>
      </c>
      <c r="P125" s="22" t="str">
        <f>IFERROR(__xludf.DUMMYFUNCTION("""COMPUTED_VALUE"""),"LĐPT")</f>
        <v>LĐPT</v>
      </c>
      <c r="Q125" s="22" t="str">
        <f>IFERROR(__xludf.DUMMYFUNCTION("""COMPUTED_VALUE"""),"Lao động phổ thông")</f>
        <v>Lao động phổ thông</v>
      </c>
      <c r="R125" s="24">
        <f>IFERROR(__xludf.DUMMYFUNCTION("""COMPUTED_VALUE"""),39931.0)</f>
        <v>39931</v>
      </c>
      <c r="S125" s="24">
        <f>IFERROR(__xludf.DUMMYFUNCTION("""COMPUTED_VALUE"""),39931.0)</f>
        <v>39931</v>
      </c>
      <c r="T125" s="22" t="str">
        <f>IFERROR(__xludf.DUMMYFUNCTION("""COMPUTED_VALUE"""),"Chính thức")</f>
        <v>Chính thức</v>
      </c>
      <c r="U125" s="22"/>
      <c r="V125" s="22" t="str">
        <f>IFERROR(__xludf.DUMMYFUNCTION("""COMPUTED_VALUE"""),"Chính thức")</f>
        <v>Chính thức</v>
      </c>
      <c r="W125" s="22" t="str">
        <f>IFERROR(__xludf.DUMMYFUNCTION("""COMPUTED_VALUE"""),"16 năm 8 tháng")</f>
        <v>16 năm 8 tháng</v>
      </c>
      <c r="X125" s="22"/>
      <c r="Y125" s="22"/>
      <c r="Z125" s="22"/>
    </row>
    <row r="126">
      <c r="A126" s="22">
        <f>IFERROR(__xludf.DUMMYFUNCTION("""COMPUTED_VALUE"""),5.0)</f>
        <v>5</v>
      </c>
      <c r="B126" s="22" t="str">
        <f>IFERROR(__xludf.DUMMYFUNCTION("""COMPUTED_VALUE"""),"DC5-PXSX2")</f>
        <v>DC5-PXSX2</v>
      </c>
      <c r="C126" s="22" t="str">
        <f>IFERROR(__xludf.DUMMYFUNCTION("""COMPUTED_VALUE"""),"Bộ phận Mài và Đóng hộp")</f>
        <v>Bộ phận Mài và Đóng hộp</v>
      </c>
      <c r="D126" s="22" t="str">
        <f>IFERROR(__xludf.DUMMYFUNCTION("""COMPUTED_VALUE"""),"Đóng hộp Ca A")</f>
        <v>Đóng hộp Ca A</v>
      </c>
      <c r="E126" s="22" t="str">
        <f>IFERROR(__xludf.DUMMYFUNCTION("""COMPUTED_VALUE"""),"Đóng A2")</f>
        <v>Đóng A2</v>
      </c>
      <c r="F126" s="22" t="str">
        <f>IFERROR(__xludf.DUMMYFUNCTION("""COMPUTED_VALUE"""),"NV0608")</f>
        <v>NV0608</v>
      </c>
      <c r="G126" s="22">
        <f>IFERROR(__xludf.DUMMYFUNCTION("""COMPUTED_VALUE"""),511.0)</f>
        <v>511</v>
      </c>
      <c r="H126" s="22" t="str">
        <f>IFERROR(__xludf.DUMMYFUNCTION("""COMPUTED_VALUE"""),"Trịnh Thị Hoa")</f>
        <v>Trịnh Thị Hoa</v>
      </c>
      <c r="I126" s="22" t="str">
        <f>IFERROR(__xludf.DUMMYFUNCTION("""COMPUTED_VALUE"""),"Nữ")</f>
        <v>Nữ</v>
      </c>
      <c r="J126" s="24">
        <f>IFERROR(__xludf.DUMMYFUNCTION("""COMPUTED_VALUE"""),30226.0)</f>
        <v>30226</v>
      </c>
      <c r="K126" s="22" t="str">
        <f>IFERROR(__xludf.DUMMYFUNCTION("""COMPUTED_VALUE"""),"Xã Hoằng Trạch -  Huyện Hoằng Hóa -  Thanh Hóa -  Việt Nam")</f>
        <v>Xã Hoằng Trạch -  Huyện Hoằng Hóa -  Thanh Hóa -  Việt Nam</v>
      </c>
      <c r="L126" s="22" t="str">
        <f>IFERROR(__xludf.DUMMYFUNCTION("""COMPUTED_VALUE"""),"0353684406")</f>
        <v>0353684406</v>
      </c>
      <c r="M126" s="22" t="str">
        <f>IFERROR(__xludf.DUMMYFUNCTION("""COMPUTED_VALUE"""),"038182049162")</f>
        <v>038182049162</v>
      </c>
      <c r="N126" s="26">
        <f>IFERROR(__xludf.DUMMYFUNCTION("""COMPUTED_VALUE"""),44428.0)</f>
        <v>44428</v>
      </c>
      <c r="O126" s="22" t="str">
        <f>IFERROR(__xludf.DUMMYFUNCTION("""COMPUTED_VALUE"""),"Cục Cảnh sát QLHC về TTXH")</f>
        <v>Cục Cảnh sát QLHC về TTXH</v>
      </c>
      <c r="P126" s="22" t="str">
        <f>IFERROR(__xludf.DUMMYFUNCTION("""COMPUTED_VALUE"""),"LĐPT")</f>
        <v>LĐPT</v>
      </c>
      <c r="Q126" s="22" t="str">
        <f>IFERROR(__xludf.DUMMYFUNCTION("""COMPUTED_VALUE"""),"Lao động phổ thông")</f>
        <v>Lao động phổ thông</v>
      </c>
      <c r="R126" s="24">
        <f>IFERROR(__xludf.DUMMYFUNCTION("""COMPUTED_VALUE"""),39385.0)</f>
        <v>39385</v>
      </c>
      <c r="S126" s="24">
        <f>IFERROR(__xludf.DUMMYFUNCTION("""COMPUTED_VALUE"""),39385.0)</f>
        <v>39385</v>
      </c>
      <c r="T126" s="22" t="str">
        <f>IFERROR(__xludf.DUMMYFUNCTION("""COMPUTED_VALUE"""),"Chính thức")</f>
        <v>Chính thức</v>
      </c>
      <c r="U126" s="22"/>
      <c r="V126" s="22" t="str">
        <f>IFERROR(__xludf.DUMMYFUNCTION("""COMPUTED_VALUE"""),"Chính thức")</f>
        <v>Chính thức</v>
      </c>
      <c r="W126" s="22" t="str">
        <f>IFERROR(__xludf.DUMMYFUNCTION("""COMPUTED_VALUE"""),"18 năm 2 tháng")</f>
        <v>18 năm 2 tháng</v>
      </c>
      <c r="X126" s="22"/>
      <c r="Y126" s="22"/>
      <c r="Z126" s="22"/>
    </row>
    <row r="127">
      <c r="A127" s="22">
        <f>IFERROR(__xludf.DUMMYFUNCTION("""COMPUTED_VALUE"""),6.0)</f>
        <v>6</v>
      </c>
      <c r="B127" s="22" t="str">
        <f>IFERROR(__xludf.DUMMYFUNCTION("""COMPUTED_VALUE"""),"DC5-PXSX2")</f>
        <v>DC5-PXSX2</v>
      </c>
      <c r="C127" s="22" t="str">
        <f>IFERROR(__xludf.DUMMYFUNCTION("""COMPUTED_VALUE"""),"Bộ phận Mài và Đóng hộp")</f>
        <v>Bộ phận Mài và Đóng hộp</v>
      </c>
      <c r="D127" s="22" t="str">
        <f>IFERROR(__xludf.DUMMYFUNCTION("""COMPUTED_VALUE"""),"Đóng hộp Ca A")</f>
        <v>Đóng hộp Ca A</v>
      </c>
      <c r="E127" s="22" t="str">
        <f>IFERROR(__xludf.DUMMYFUNCTION("""COMPUTED_VALUE"""),"Hoàn thiện Palet mức 1")</f>
        <v>Hoàn thiện Palet mức 1</v>
      </c>
      <c r="F127" s="22" t="str">
        <f>IFERROR(__xludf.DUMMYFUNCTION("""COMPUTED_VALUE"""),"NV2742")</f>
        <v>NV2742</v>
      </c>
      <c r="G127" s="22">
        <f>IFERROR(__xludf.DUMMYFUNCTION("""COMPUTED_VALUE"""),830.0)</f>
        <v>830</v>
      </c>
      <c r="H127" s="22" t="str">
        <f>IFERROR(__xludf.DUMMYFUNCTION("""COMPUTED_VALUE"""),"Nguyễn Xuân Oánh")</f>
        <v>Nguyễn Xuân Oánh</v>
      </c>
      <c r="I127" s="22" t="str">
        <f>IFERROR(__xludf.DUMMYFUNCTION("""COMPUTED_VALUE"""),"Nam")</f>
        <v>Nam</v>
      </c>
      <c r="J127" s="24">
        <f>IFERROR(__xludf.DUMMYFUNCTION("""COMPUTED_VALUE"""),26063.0)</f>
        <v>26063</v>
      </c>
      <c r="K127" s="22" t="str">
        <f>IFERROR(__xludf.DUMMYFUNCTION("""COMPUTED_VALUE"""),"Thôn Đai -  Xã Quảng Hải -  Huyện Quảng Xương -  Thanh Hóa -  Việt Nam")</f>
        <v>Thôn Đai -  Xã Quảng Hải -  Huyện Quảng Xương -  Thanh Hóa -  Việt Nam</v>
      </c>
      <c r="L127" s="22" t="str">
        <f>IFERROR(__xludf.DUMMYFUNCTION("""COMPUTED_VALUE"""),"0339094360")</f>
        <v>0339094360</v>
      </c>
      <c r="M127" s="22" t="str">
        <f>IFERROR(__xludf.DUMMYFUNCTION("""COMPUTED_VALUE"""),"038071027902")</f>
        <v>038071027902</v>
      </c>
      <c r="N127" s="26">
        <f>IFERROR(__xludf.DUMMYFUNCTION("""COMPUTED_VALUE"""),44467.0)</f>
        <v>44467</v>
      </c>
      <c r="O127" s="22" t="str">
        <f>IFERROR(__xludf.DUMMYFUNCTION("""COMPUTED_VALUE"""),"Cục Cảnh sát QLHC về TTXH")</f>
        <v>Cục Cảnh sát QLHC về TTXH</v>
      </c>
      <c r="P127" s="22" t="str">
        <f>IFERROR(__xludf.DUMMYFUNCTION("""COMPUTED_VALUE"""),"LĐPT")</f>
        <v>LĐPT</v>
      </c>
      <c r="Q127" s="22" t="str">
        <f>IFERROR(__xludf.DUMMYFUNCTION("""COMPUTED_VALUE"""),"Lao động phổ thông")</f>
        <v>Lao động phổ thông</v>
      </c>
      <c r="R127" s="24">
        <f>IFERROR(__xludf.DUMMYFUNCTION("""COMPUTED_VALUE"""),43872.0)</f>
        <v>43872</v>
      </c>
      <c r="S127" s="24">
        <f>IFERROR(__xludf.DUMMYFUNCTION("""COMPUTED_VALUE"""),44166.0)</f>
        <v>44166</v>
      </c>
      <c r="T127" s="22" t="str">
        <f>IFERROR(__xludf.DUMMYFUNCTION("""COMPUTED_VALUE"""),"Chính thức")</f>
        <v>Chính thức</v>
      </c>
      <c r="U127" s="22"/>
      <c r="V127" s="22" t="str">
        <f>IFERROR(__xludf.DUMMYFUNCTION("""COMPUTED_VALUE"""),"Chính thức")</f>
        <v>Chính thức</v>
      </c>
      <c r="W127" s="22" t="str">
        <f>IFERROR(__xludf.DUMMYFUNCTION("""COMPUTED_VALUE"""),"5 năm 10 tháng")</f>
        <v>5 năm 10 tháng</v>
      </c>
      <c r="X127" s="22"/>
      <c r="Y127" s="22"/>
      <c r="Z127" s="22"/>
    </row>
    <row r="128">
      <c r="A128" s="22">
        <f>IFERROR(__xludf.DUMMYFUNCTION("""COMPUTED_VALUE"""),7.0)</f>
        <v>7</v>
      </c>
      <c r="B128" s="22" t="str">
        <f>IFERROR(__xludf.DUMMYFUNCTION("""COMPUTED_VALUE"""),"DC5-PXSX2")</f>
        <v>DC5-PXSX2</v>
      </c>
      <c r="C128" s="22" t="str">
        <f>IFERROR(__xludf.DUMMYFUNCTION("""COMPUTED_VALUE"""),"Bộ phận Mài và Đóng hộp")</f>
        <v>Bộ phận Mài và Đóng hộp</v>
      </c>
      <c r="D128" s="22" t="str">
        <f>IFERROR(__xludf.DUMMYFUNCTION("""COMPUTED_VALUE"""),"Đóng hộp Ca A")</f>
        <v>Đóng hộp Ca A</v>
      </c>
      <c r="E128" s="22" t="str">
        <f>IFERROR(__xludf.DUMMYFUNCTION("""COMPUTED_VALUE"""),"Hoàn thiện Palet mức 1")</f>
        <v>Hoàn thiện Palet mức 1</v>
      </c>
      <c r="F128" s="22" t="str">
        <f>IFERROR(__xludf.DUMMYFUNCTION("""COMPUTED_VALUE"""),"NV5062")</f>
        <v>NV5062</v>
      </c>
      <c r="G128" s="22">
        <f>IFERROR(__xludf.DUMMYFUNCTION("""COMPUTED_VALUE"""),539.0)</f>
        <v>539</v>
      </c>
      <c r="H128" s="22" t="str">
        <f>IFERROR(__xludf.DUMMYFUNCTION("""COMPUTED_VALUE"""),"Trịnh Văn Trọng")</f>
        <v>Trịnh Văn Trọng</v>
      </c>
      <c r="I128" s="22" t="str">
        <f>IFERROR(__xludf.DUMMYFUNCTION("""COMPUTED_VALUE"""),"Nam")</f>
        <v>Nam</v>
      </c>
      <c r="J128" s="24">
        <f>IFERROR(__xludf.DUMMYFUNCTION("""COMPUTED_VALUE"""),29984.0)</f>
        <v>29984</v>
      </c>
      <c r="K128" s="22" t="str">
        <f>IFERROR(__xludf.DUMMYFUNCTION("""COMPUTED_VALUE"""),"Quảng Long -  Quảng Xương -  Thanh Hóa")</f>
        <v>Quảng Long -  Quảng Xương -  Thanh Hóa</v>
      </c>
      <c r="L128" s="22" t="str">
        <f>IFERROR(__xludf.DUMMYFUNCTION("""COMPUTED_VALUE"""),"0987695839")</f>
        <v>0987695839</v>
      </c>
      <c r="M128" s="22" t="str">
        <f>IFERROR(__xludf.DUMMYFUNCTION("""COMPUTED_VALUE"""),"038082015514")</f>
        <v>038082015514</v>
      </c>
      <c r="N128" s="26">
        <f>IFERROR(__xludf.DUMMYFUNCTION("""COMPUTED_VALUE"""),45112.0)</f>
        <v>45112</v>
      </c>
      <c r="O128" s="22" t="str">
        <f>IFERROR(__xludf.DUMMYFUNCTION("""COMPUTED_VALUE"""),"Cục Cảnh sát QLHC về TTXH")</f>
        <v>Cục Cảnh sát QLHC về TTXH</v>
      </c>
      <c r="P128" s="22" t="str">
        <f>IFERROR(__xludf.DUMMYFUNCTION("""COMPUTED_VALUE"""),"LĐPT")</f>
        <v>LĐPT</v>
      </c>
      <c r="Q128" s="22" t="str">
        <f>IFERROR(__xludf.DUMMYFUNCTION("""COMPUTED_VALUE"""),"Lao động phổ thông")</f>
        <v>Lao động phổ thông</v>
      </c>
      <c r="R128" s="24">
        <f>IFERROR(__xludf.DUMMYFUNCTION("""COMPUTED_VALUE"""),45367.0)</f>
        <v>45367</v>
      </c>
      <c r="S128" s="24">
        <f>IFERROR(__xludf.DUMMYFUNCTION("""COMPUTED_VALUE"""),45474.0)</f>
        <v>45474</v>
      </c>
      <c r="T128" s="22" t="str">
        <f>IFERROR(__xludf.DUMMYFUNCTION("""COMPUTED_VALUE"""),"Chính thức")</f>
        <v>Chính thức</v>
      </c>
      <c r="U128" s="22"/>
      <c r="V128" s="22" t="str">
        <f>IFERROR(__xludf.DUMMYFUNCTION("""COMPUTED_VALUE"""),"Chính thức")</f>
        <v>Chính thức</v>
      </c>
      <c r="W128" s="22" t="str">
        <f>IFERROR(__xludf.DUMMYFUNCTION("""COMPUTED_VALUE"""),"1 năm 9 tháng")</f>
        <v>1 năm 9 tháng</v>
      </c>
      <c r="X128" s="22"/>
      <c r="Y128" s="22"/>
      <c r="Z128" s="22"/>
    </row>
    <row r="129">
      <c r="A129" s="22">
        <f>IFERROR(__xludf.DUMMYFUNCTION("""COMPUTED_VALUE"""),8.0)</f>
        <v>8</v>
      </c>
      <c r="B129" s="22" t="str">
        <f>IFERROR(__xludf.DUMMYFUNCTION("""COMPUTED_VALUE"""),"DC5-PXSX2")</f>
        <v>DC5-PXSX2</v>
      </c>
      <c r="C129" s="22" t="str">
        <f>IFERROR(__xludf.DUMMYFUNCTION("""COMPUTED_VALUE"""),"Bộ phận Mài và Đóng hộp")</f>
        <v>Bộ phận Mài và Đóng hộp</v>
      </c>
      <c r="D129" s="22" t="str">
        <f>IFERROR(__xludf.DUMMYFUNCTION("""COMPUTED_VALUE"""),"Đóng hộp Ca A")</f>
        <v>Đóng hộp Ca A</v>
      </c>
      <c r="E129" s="22" t="str">
        <f>IFERROR(__xludf.DUMMYFUNCTION("""COMPUTED_VALUE"""),"Hoàn thiện Palet mức 1")</f>
        <v>Hoàn thiện Palet mức 1</v>
      </c>
      <c r="F129" s="22" t="str">
        <f>IFERROR(__xludf.DUMMYFUNCTION("""COMPUTED_VALUE"""),"NV0681")</f>
        <v>NV0681</v>
      </c>
      <c r="G129" s="22">
        <f>IFERROR(__xludf.DUMMYFUNCTION("""COMPUTED_VALUE"""),529.0)</f>
        <v>529</v>
      </c>
      <c r="H129" s="22" t="str">
        <f>IFERROR(__xludf.DUMMYFUNCTION("""COMPUTED_VALUE"""),"Lê Thị Hợi")</f>
        <v>Lê Thị Hợi</v>
      </c>
      <c r="I129" s="22" t="str">
        <f>IFERROR(__xludf.DUMMYFUNCTION("""COMPUTED_VALUE"""),"Nữ")</f>
        <v>Nữ</v>
      </c>
      <c r="J129" s="24">
        <f>IFERROR(__xludf.DUMMYFUNCTION("""COMPUTED_VALUE"""),30918.0)</f>
        <v>30918</v>
      </c>
      <c r="K129" s="22" t="str">
        <f>IFERROR(__xludf.DUMMYFUNCTION("""COMPUTED_VALUE"""),"Thôn Tiến Thành -  Xã Quảng Tâm -  Thành phố Thanh Hóa -  Thanh Hóa -  Việt Nam")</f>
        <v>Thôn Tiến Thành -  Xã Quảng Tâm -  Thành phố Thanh Hóa -  Thanh Hóa -  Việt Nam</v>
      </c>
      <c r="L129" s="22" t="str">
        <f>IFERROR(__xludf.DUMMYFUNCTION("""COMPUTED_VALUE"""),"0969215576")</f>
        <v>0969215576</v>
      </c>
      <c r="M129" s="22" t="str">
        <f>IFERROR(__xludf.DUMMYFUNCTION("""COMPUTED_VALUE"""),"038184013401")</f>
        <v>038184013401</v>
      </c>
      <c r="N129" s="26">
        <f>IFERROR(__xludf.DUMMYFUNCTION("""COMPUTED_VALUE"""),44418.0)</f>
        <v>44418</v>
      </c>
      <c r="O129" s="22" t="str">
        <f>IFERROR(__xludf.DUMMYFUNCTION("""COMPUTED_VALUE"""),"Cục Cảnh sát QLHC về TTXH")</f>
        <v>Cục Cảnh sát QLHC về TTXH</v>
      </c>
      <c r="P129" s="22" t="str">
        <f>IFERROR(__xludf.DUMMYFUNCTION("""COMPUTED_VALUE"""),"THPT")</f>
        <v>THPT</v>
      </c>
      <c r="Q129" s="22" t="str">
        <f>IFERROR(__xludf.DUMMYFUNCTION("""COMPUTED_VALUE"""),"Lao động phổ thông")</f>
        <v>Lao động phổ thông</v>
      </c>
      <c r="R129" s="24">
        <f>IFERROR(__xludf.DUMMYFUNCTION("""COMPUTED_VALUE"""),41200.0)</f>
        <v>41200</v>
      </c>
      <c r="S129" s="24">
        <f>IFERROR(__xludf.DUMMYFUNCTION("""COMPUTED_VALUE"""),41200.0)</f>
        <v>41200</v>
      </c>
      <c r="T129" s="22" t="str">
        <f>IFERROR(__xludf.DUMMYFUNCTION("""COMPUTED_VALUE"""),"Chính thức")</f>
        <v>Chính thức</v>
      </c>
      <c r="U129" s="22"/>
      <c r="V129" s="22" t="str">
        <f>IFERROR(__xludf.DUMMYFUNCTION("""COMPUTED_VALUE"""),"Chính thức")</f>
        <v>Chính thức</v>
      </c>
      <c r="W129" s="22" t="str">
        <f>IFERROR(__xludf.DUMMYFUNCTION("""COMPUTED_VALUE"""),"13 năm 2 tháng")</f>
        <v>13 năm 2 tháng</v>
      </c>
      <c r="X129" s="22"/>
      <c r="Y129" s="22"/>
      <c r="Z129" s="22"/>
    </row>
    <row r="130">
      <c r="A130" s="22">
        <f>IFERROR(__xludf.DUMMYFUNCTION("""COMPUTED_VALUE"""),9.0)</f>
        <v>9</v>
      </c>
      <c r="B130" s="22" t="str">
        <f>IFERROR(__xludf.DUMMYFUNCTION("""COMPUTED_VALUE"""),"DC5-PXSX2")</f>
        <v>DC5-PXSX2</v>
      </c>
      <c r="C130" s="22" t="str">
        <f>IFERROR(__xludf.DUMMYFUNCTION("""COMPUTED_VALUE"""),"Bộ phận Mài và Đóng hộp")</f>
        <v>Bộ phận Mài và Đóng hộp</v>
      </c>
      <c r="D130" s="22" t="str">
        <f>IFERROR(__xludf.DUMMYFUNCTION("""COMPUTED_VALUE"""),"Đóng hộp Ca A")</f>
        <v>Đóng hộp Ca A</v>
      </c>
      <c r="E130" s="22" t="str">
        <f>IFERROR(__xludf.DUMMYFUNCTION("""COMPUTED_VALUE"""),"VH máy đóng hộp")</f>
        <v>VH máy đóng hộp</v>
      </c>
      <c r="F130" s="22" t="str">
        <f>IFERROR(__xludf.DUMMYFUNCTION("""COMPUTED_VALUE"""),"NV5222")</f>
        <v>NV5222</v>
      </c>
      <c r="G130" s="22">
        <f>IFERROR(__xludf.DUMMYFUNCTION("""COMPUTED_VALUE"""),336.0)</f>
        <v>336</v>
      </c>
      <c r="H130" s="22" t="str">
        <f>IFERROR(__xludf.DUMMYFUNCTION("""COMPUTED_VALUE"""),"Nguyễn Sĩ Sáu")</f>
        <v>Nguyễn Sĩ Sáu</v>
      </c>
      <c r="I130" s="22" t="str">
        <f>IFERROR(__xludf.DUMMYFUNCTION("""COMPUTED_VALUE"""),"Nam")</f>
        <v>Nam</v>
      </c>
      <c r="J130" s="24">
        <f>IFERROR(__xludf.DUMMYFUNCTION("""COMPUTED_VALUE"""),26058.0)</f>
        <v>26058</v>
      </c>
      <c r="K130" s="22" t="str">
        <f>IFERROR(__xludf.DUMMYFUNCTION("""COMPUTED_VALUE"""),"Phường Quảng Tiến - TP Sầm sơn")</f>
        <v>Phường Quảng Tiến - TP Sầm sơn</v>
      </c>
      <c r="L130" s="22" t="str">
        <f>IFERROR(__xludf.DUMMYFUNCTION("""COMPUTED_VALUE"""),"0347276371")</f>
        <v>0347276371</v>
      </c>
      <c r="M130" s="22" t="str">
        <f>IFERROR(__xludf.DUMMYFUNCTION("""COMPUTED_VALUE"""),"038071001419")</f>
        <v>038071001419</v>
      </c>
      <c r="N130" s="26">
        <f>IFERROR(__xludf.DUMMYFUNCTION("""COMPUTED_VALUE"""),44333.0)</f>
        <v>44333</v>
      </c>
      <c r="O130" s="22" t="str">
        <f>IFERROR(__xludf.DUMMYFUNCTION("""COMPUTED_VALUE"""),"Cục Cảnh sát QLHC về TTXH")</f>
        <v>Cục Cảnh sát QLHC về TTXH</v>
      </c>
      <c r="P130" s="22" t="str">
        <f>IFERROR(__xludf.DUMMYFUNCTION("""COMPUTED_VALUE"""),"LĐPT")</f>
        <v>LĐPT</v>
      </c>
      <c r="Q130" s="22" t="str">
        <f>IFERROR(__xludf.DUMMYFUNCTION("""COMPUTED_VALUE"""),"Lao động phổ thông")</f>
        <v>Lao động phổ thông</v>
      </c>
      <c r="R130" s="24">
        <f>IFERROR(__xludf.DUMMYFUNCTION("""COMPUTED_VALUE"""),45442.0)</f>
        <v>45442</v>
      </c>
      <c r="S130" s="24">
        <f>IFERROR(__xludf.DUMMYFUNCTION("""COMPUTED_VALUE"""),45505.0)</f>
        <v>45505</v>
      </c>
      <c r="T130" s="22" t="str">
        <f>IFERROR(__xludf.DUMMYFUNCTION("""COMPUTED_VALUE"""),"Chính thức")</f>
        <v>Chính thức</v>
      </c>
      <c r="U130" s="22"/>
      <c r="V130" s="22" t="str">
        <f>IFERROR(__xludf.DUMMYFUNCTION("""COMPUTED_VALUE"""),"Chính thức")</f>
        <v>Chính thức</v>
      </c>
      <c r="W130" s="22" t="str">
        <f>IFERROR(__xludf.DUMMYFUNCTION("""COMPUTED_VALUE"""),"1 năm 7 tháng")</f>
        <v>1 năm 7 tháng</v>
      </c>
      <c r="X130" s="22"/>
      <c r="Y130" s="22"/>
      <c r="Z130" s="22"/>
    </row>
    <row r="131">
      <c r="A131" s="22">
        <f>IFERROR(__xludf.DUMMYFUNCTION("""COMPUTED_VALUE"""),10.0)</f>
        <v>10</v>
      </c>
      <c r="B131" s="22" t="str">
        <f>IFERROR(__xludf.DUMMYFUNCTION("""COMPUTED_VALUE"""),"DC5-PXSX2")</f>
        <v>DC5-PXSX2</v>
      </c>
      <c r="C131" s="22" t="str">
        <f>IFERROR(__xludf.DUMMYFUNCTION("""COMPUTED_VALUE"""),"Bộ phận Mài và Đóng hộp")</f>
        <v>Bộ phận Mài và Đóng hộp</v>
      </c>
      <c r="D131" s="22" t="str">
        <f>IFERROR(__xludf.DUMMYFUNCTION("""COMPUTED_VALUE"""),"Đóng hộp Ca A")</f>
        <v>Đóng hộp Ca A</v>
      </c>
      <c r="E131" s="22"/>
      <c r="F131" s="22" t="str">
        <f>IFERROR(__xludf.DUMMYFUNCTION("""COMPUTED_VALUE"""),"NV5564")</f>
        <v>NV5564</v>
      </c>
      <c r="G131" s="22">
        <f>IFERROR(__xludf.DUMMYFUNCTION("""COMPUTED_VALUE"""),1050.0)</f>
        <v>1050</v>
      </c>
      <c r="H131" s="22" t="str">
        <f>IFERROR(__xludf.DUMMYFUNCTION("""COMPUTED_VALUE"""),"Lê Sĩ Đức")</f>
        <v>Lê Sĩ Đức</v>
      </c>
      <c r="I131" s="22" t="str">
        <f>IFERROR(__xludf.DUMMYFUNCTION("""COMPUTED_VALUE"""),"Nam")</f>
        <v>Nam</v>
      </c>
      <c r="J131" s="24">
        <f>IFERROR(__xludf.DUMMYFUNCTION("""COMPUTED_VALUE"""),36284.0)</f>
        <v>36284</v>
      </c>
      <c r="K131" s="22" t="str">
        <f>IFERROR(__xludf.DUMMYFUNCTION("""COMPUTED_VALUE"""),"Xã  Quảng Yên - Tỉnh Thanh Hóa")</f>
        <v>Xã  Quảng Yên - Tỉnh Thanh Hóa</v>
      </c>
      <c r="L131" s="22" t="str">
        <f>IFERROR(__xludf.DUMMYFUNCTION("""COMPUTED_VALUE"""),"0389178998")</f>
        <v>0389178998</v>
      </c>
      <c r="M131" s="22" t="str">
        <f>IFERROR(__xludf.DUMMYFUNCTION("""COMPUTED_VALUE"""),"038099025885")</f>
        <v>038099025885</v>
      </c>
      <c r="N131" s="26">
        <f>IFERROR(__xludf.DUMMYFUNCTION("""COMPUTED_VALUE"""),45693.0)</f>
        <v>45693</v>
      </c>
      <c r="O131" s="22" t="str">
        <f>IFERROR(__xludf.DUMMYFUNCTION("""COMPUTED_VALUE"""),"Bộ công an")</f>
        <v>Bộ công an</v>
      </c>
      <c r="P131" s="22" t="str">
        <f>IFERROR(__xludf.DUMMYFUNCTION("""COMPUTED_VALUE"""),"LĐPT")</f>
        <v>LĐPT</v>
      </c>
      <c r="Q131" s="22" t="str">
        <f>IFERROR(__xludf.DUMMYFUNCTION("""COMPUTED_VALUE"""),"Lao động phổ thông")</f>
        <v>Lao động phổ thông</v>
      </c>
      <c r="R131" s="24">
        <f>IFERROR(__xludf.DUMMYFUNCTION("""COMPUTED_VALUE"""),45832.0)</f>
        <v>45832</v>
      </c>
      <c r="S131" s="24">
        <f>IFERROR(__xludf.DUMMYFUNCTION("""COMPUTED_VALUE"""),45862.0)</f>
        <v>45862</v>
      </c>
      <c r="T131" s="22" t="str">
        <f>IFERROR(__xludf.DUMMYFUNCTION("""COMPUTED_VALUE"""),"Chính thức")</f>
        <v>Chính thức</v>
      </c>
      <c r="U131" s="22"/>
      <c r="V131" s="22" t="str">
        <f>IFERROR(__xludf.DUMMYFUNCTION("""COMPUTED_VALUE"""),"Chính thức")</f>
        <v>Chính thức</v>
      </c>
      <c r="W131" s="22" t="str">
        <f>IFERROR(__xludf.DUMMYFUNCTION("""COMPUTED_VALUE"""),"0 năm 6 tháng")</f>
        <v>0 năm 6 tháng</v>
      </c>
      <c r="X131" s="22"/>
      <c r="Y131" s="22"/>
      <c r="Z131" s="22"/>
    </row>
    <row r="132">
      <c r="A132" s="22">
        <f>IFERROR(__xludf.DUMMYFUNCTION("""COMPUTED_VALUE"""),11.0)</f>
        <v>11</v>
      </c>
      <c r="B132" s="22" t="str">
        <f>IFERROR(__xludf.DUMMYFUNCTION("""COMPUTED_VALUE"""),"DC5-PXSX2")</f>
        <v>DC5-PXSX2</v>
      </c>
      <c r="C132" s="22" t="str">
        <f>IFERROR(__xludf.DUMMYFUNCTION("""COMPUTED_VALUE"""),"Bộ phận Mài và Đóng hộp")</f>
        <v>Bộ phận Mài và Đóng hộp</v>
      </c>
      <c r="D132" s="22" t="str">
        <f>IFERROR(__xludf.DUMMYFUNCTION("""COMPUTED_VALUE"""),"Đóng hộp Ca A")</f>
        <v>Đóng hộp Ca A</v>
      </c>
      <c r="E132" s="22"/>
      <c r="F132" s="22" t="str">
        <f>IFERROR(__xludf.DUMMYFUNCTION("""COMPUTED_VALUE"""),"NV5628")</f>
        <v>NV5628</v>
      </c>
      <c r="G132" s="22">
        <f>IFERROR(__xludf.DUMMYFUNCTION("""COMPUTED_VALUE"""),1117.0)</f>
        <v>1117</v>
      </c>
      <c r="H132" s="22" t="str">
        <f>IFERROR(__xludf.DUMMYFUNCTION("""COMPUTED_VALUE"""),"Lê Kiên Quyết")</f>
        <v>Lê Kiên Quyết</v>
      </c>
      <c r="I132" s="22" t="str">
        <f>IFERROR(__xludf.DUMMYFUNCTION("""COMPUTED_VALUE"""),"Nam")</f>
        <v>Nam</v>
      </c>
      <c r="J132" s="24">
        <f>IFERROR(__xludf.DUMMYFUNCTION("""COMPUTED_VALUE"""),31263.0)</f>
        <v>31263</v>
      </c>
      <c r="K132" s="22" t="str">
        <f>IFERROR(__xludf.DUMMYFUNCTION("""COMPUTED_VALUE"""),"Khu trung tâm Xã Hậu lộc - Tỉnh Thanh Hóa")</f>
        <v>Khu trung tâm Xã Hậu lộc - Tỉnh Thanh Hóa</v>
      </c>
      <c r="L132" s="22" t="str">
        <f>IFERROR(__xludf.DUMMYFUNCTION("""COMPUTED_VALUE"""),"0948837488")</f>
        <v>0948837488</v>
      </c>
      <c r="M132" s="22" t="str">
        <f>IFERROR(__xludf.DUMMYFUNCTION("""COMPUTED_VALUE"""),"038085006997")</f>
        <v>038085006997</v>
      </c>
      <c r="N132" s="26">
        <f>IFERROR(__xludf.DUMMYFUNCTION("""COMPUTED_VALUE"""),44333.0)</f>
        <v>44333</v>
      </c>
      <c r="O132" s="22" t="str">
        <f>IFERROR(__xludf.DUMMYFUNCTION("""COMPUTED_VALUE"""),"Cục Cảnh sát QLHC về TTXH")</f>
        <v>Cục Cảnh sát QLHC về TTXH</v>
      </c>
      <c r="P132" s="22" t="str">
        <f>IFERROR(__xludf.DUMMYFUNCTION("""COMPUTED_VALUE"""),"Trung cấp")</f>
        <v>Trung cấp</v>
      </c>
      <c r="Q132" s="22" t="str">
        <f>IFERROR(__xludf.DUMMYFUNCTION("""COMPUTED_VALUE"""),"Trung cấp Nhiệt điện")</f>
        <v>Trung cấp Nhiệt điện</v>
      </c>
      <c r="R132" s="24">
        <f>IFERROR(__xludf.DUMMYFUNCTION("""COMPUTED_VALUE"""),45854.0)</f>
        <v>45854</v>
      </c>
      <c r="S132" s="24">
        <f>IFERROR(__xludf.DUMMYFUNCTION("""COMPUTED_VALUE"""),45885.0)</f>
        <v>45885</v>
      </c>
      <c r="T132" s="22" t="str">
        <f>IFERROR(__xludf.DUMMYFUNCTION("""COMPUTED_VALUE"""),"Chính thức")</f>
        <v>Chính thức</v>
      </c>
      <c r="U132" s="22"/>
      <c r="V132" s="22" t="str">
        <f>IFERROR(__xludf.DUMMYFUNCTION("""COMPUTED_VALUE"""),"Chính thức")</f>
        <v>Chính thức</v>
      </c>
      <c r="W132" s="22" t="str">
        <f>IFERROR(__xludf.DUMMYFUNCTION("""COMPUTED_VALUE"""),"0 năm 5 tháng")</f>
        <v>0 năm 5 tháng</v>
      </c>
      <c r="X132" s="22"/>
      <c r="Y132" s="22"/>
      <c r="Z132" s="22"/>
    </row>
    <row r="133">
      <c r="A133" s="22">
        <f>IFERROR(__xludf.DUMMYFUNCTION("""COMPUTED_VALUE"""),12.0)</f>
        <v>12</v>
      </c>
      <c r="B133" s="22" t="str">
        <f>IFERROR(__xludf.DUMMYFUNCTION("""COMPUTED_VALUE"""),"DC5-PXSX2")</f>
        <v>DC5-PXSX2</v>
      </c>
      <c r="C133" s="22" t="str">
        <f>IFERROR(__xludf.DUMMYFUNCTION("""COMPUTED_VALUE"""),"Bộ phận Mài và Đóng hộp")</f>
        <v>Bộ phận Mài và Đóng hộp</v>
      </c>
      <c r="D133" s="22" t="str">
        <f>IFERROR(__xludf.DUMMYFUNCTION("""COMPUTED_VALUE"""),"Đóng hộp Ca A")</f>
        <v>Đóng hộp Ca A</v>
      </c>
      <c r="E133" s="22"/>
      <c r="F133" s="22" t="str">
        <f>IFERROR(__xludf.DUMMYFUNCTION("""COMPUTED_VALUE"""),"NV5710")</f>
        <v>NV5710</v>
      </c>
      <c r="G133" s="22">
        <f>IFERROR(__xludf.DUMMYFUNCTION("""COMPUTED_VALUE"""),1201.0)</f>
        <v>1201</v>
      </c>
      <c r="H133" s="22" t="str">
        <f>IFERROR(__xludf.DUMMYFUNCTION("""COMPUTED_VALUE"""),"Nguyễn Công Hòa")</f>
        <v>Nguyễn Công Hòa</v>
      </c>
      <c r="I133" s="22" t="str">
        <f>IFERROR(__xludf.DUMMYFUNCTION("""COMPUTED_VALUE"""),"Nam")</f>
        <v>Nam</v>
      </c>
      <c r="J133" s="24">
        <f>IFERROR(__xludf.DUMMYFUNCTION("""COMPUTED_VALUE"""),36630.0)</f>
        <v>36630</v>
      </c>
      <c r="K133" s="22" t="str">
        <f>IFERROR(__xludf.DUMMYFUNCTION("""COMPUTED_VALUE"""),"Đông Phú - Xã Hoằng Lộc - Tỉnh Thanh Hóa")</f>
        <v>Đông Phú - Xã Hoằng Lộc - Tỉnh Thanh Hóa</v>
      </c>
      <c r="L133" s="22" t="str">
        <f>IFERROR(__xludf.DUMMYFUNCTION("""COMPUTED_VALUE"""),"0813321899")</f>
        <v>0813321899</v>
      </c>
      <c r="M133" s="22" t="str">
        <f>IFERROR(__xludf.DUMMYFUNCTION("""COMPUTED_VALUE"""),"038200030823")</f>
        <v>038200030823</v>
      </c>
      <c r="N133" s="26">
        <f>IFERROR(__xludf.DUMMYFUNCTION("""COMPUTED_VALUE"""),45086.0)</f>
        <v>45086</v>
      </c>
      <c r="O133" s="22" t="str">
        <f>IFERROR(__xludf.DUMMYFUNCTION("""COMPUTED_VALUE"""),"Cục Cảnh sát QLHC về TTXH")</f>
        <v>Cục Cảnh sát QLHC về TTXH</v>
      </c>
      <c r="P133" s="22" t="str">
        <f>IFERROR(__xludf.DUMMYFUNCTION("""COMPUTED_VALUE"""),"LĐPT")</f>
        <v>LĐPT</v>
      </c>
      <c r="Q133" s="22" t="str">
        <f>IFERROR(__xludf.DUMMYFUNCTION("""COMPUTED_VALUE"""),"Lao động phổ thông")</f>
        <v>Lao động phổ thông</v>
      </c>
      <c r="R133" s="24">
        <f>IFERROR(__xludf.DUMMYFUNCTION("""COMPUTED_VALUE"""),45916.0)</f>
        <v>45916</v>
      </c>
      <c r="S133" s="24">
        <f>IFERROR(__xludf.DUMMYFUNCTION("""COMPUTED_VALUE"""),45946.0)</f>
        <v>45946</v>
      </c>
      <c r="T133" s="22" t="str">
        <f>IFERROR(__xludf.DUMMYFUNCTION("""COMPUTED_VALUE"""),"Chính thức")</f>
        <v>Chính thức</v>
      </c>
      <c r="U133" s="22"/>
      <c r="V133" s="22" t="str">
        <f>IFERROR(__xludf.DUMMYFUNCTION("""COMPUTED_VALUE"""),"Chính thức")</f>
        <v>Chính thức</v>
      </c>
      <c r="W133" s="22" t="str">
        <f>IFERROR(__xludf.DUMMYFUNCTION("""COMPUTED_VALUE"""),"0 năm 3 tháng")</f>
        <v>0 năm 3 tháng</v>
      </c>
      <c r="X133" s="22"/>
      <c r="Y133" s="22"/>
      <c r="Z133" s="22"/>
    </row>
    <row r="134">
      <c r="A134" s="22">
        <f>IFERROR(__xludf.DUMMYFUNCTION("""COMPUTED_VALUE"""),13.0)</f>
        <v>13</v>
      </c>
      <c r="B134" s="22" t="str">
        <f>IFERROR(__xludf.DUMMYFUNCTION("""COMPUTED_VALUE"""),"DC5-PXSX2")</f>
        <v>DC5-PXSX2</v>
      </c>
      <c r="C134" s="22" t="str">
        <f>IFERROR(__xludf.DUMMYFUNCTION("""COMPUTED_VALUE"""),"Bộ phận Mài và Đóng hộp")</f>
        <v>Bộ phận Mài và Đóng hộp</v>
      </c>
      <c r="D134" s="22" t="str">
        <f>IFERROR(__xludf.DUMMYFUNCTION("""COMPUTED_VALUE"""),"Đóng hộp Ca A")</f>
        <v>Đóng hộp Ca A</v>
      </c>
      <c r="E134" s="22"/>
      <c r="F134" s="22" t="str">
        <f>IFERROR(__xludf.DUMMYFUNCTION("""COMPUTED_VALUE"""),"NV5697")</f>
        <v>NV5697</v>
      </c>
      <c r="G134" s="22">
        <f>IFERROR(__xludf.DUMMYFUNCTION("""COMPUTED_VALUE"""),1189.0)</f>
        <v>1189</v>
      </c>
      <c r="H134" s="22" t="str">
        <f>IFERROR(__xludf.DUMMYFUNCTION("""COMPUTED_VALUE"""),"Lê Xuân Tính")</f>
        <v>Lê Xuân Tính</v>
      </c>
      <c r="I134" s="22" t="str">
        <f>IFERROR(__xludf.DUMMYFUNCTION("""COMPUTED_VALUE"""),"Nam")</f>
        <v>Nam</v>
      </c>
      <c r="J134" s="24">
        <f>IFERROR(__xludf.DUMMYFUNCTION("""COMPUTED_VALUE"""),29684.0)</f>
        <v>29684</v>
      </c>
      <c r="K134" s="22" t="str">
        <f>IFERROR(__xludf.DUMMYFUNCTION("""COMPUTED_VALUE"""),"39 tổ 10 - Phố Bắc Sơn - Phường Đông Quang - Tỉnh Thanh Hóa")</f>
        <v>39 tổ 10 - Phố Bắc Sơn - Phường Đông Quang - Tỉnh Thanh Hóa</v>
      </c>
      <c r="L134" s="22" t="str">
        <f>IFERROR(__xludf.DUMMYFUNCTION("""COMPUTED_VALUE"""),"0989132861")</f>
        <v>0989132861</v>
      </c>
      <c r="M134" s="22" t="str">
        <f>IFERROR(__xludf.DUMMYFUNCTION("""COMPUTED_VALUE"""),"038086036317")</f>
        <v>038086036317</v>
      </c>
      <c r="N134" s="26">
        <f>IFERROR(__xludf.DUMMYFUNCTION("""COMPUTED_VALUE"""),45028.0)</f>
        <v>45028</v>
      </c>
      <c r="O134" s="22" t="str">
        <f>IFERROR(__xludf.DUMMYFUNCTION("""COMPUTED_VALUE"""),"Cục Cảnh sát QLHC về TTXH")</f>
        <v>Cục Cảnh sát QLHC về TTXH</v>
      </c>
      <c r="P134" s="22" t="str">
        <f>IFERROR(__xludf.DUMMYFUNCTION("""COMPUTED_VALUE"""),"LĐPT")</f>
        <v>LĐPT</v>
      </c>
      <c r="Q134" s="22" t="str">
        <f>IFERROR(__xludf.DUMMYFUNCTION("""COMPUTED_VALUE"""),"Lao động phổ thông")</f>
        <v>Lao động phổ thông</v>
      </c>
      <c r="R134" s="24">
        <f>IFERROR(__xludf.DUMMYFUNCTION("""COMPUTED_VALUE"""),45910.0)</f>
        <v>45910</v>
      </c>
      <c r="S134" s="24">
        <f>IFERROR(__xludf.DUMMYFUNCTION("""COMPUTED_VALUE"""),45940.0)</f>
        <v>45940</v>
      </c>
      <c r="T134" s="22" t="str">
        <f>IFERROR(__xludf.DUMMYFUNCTION("""COMPUTED_VALUE"""),"Chính thức")</f>
        <v>Chính thức</v>
      </c>
      <c r="U134" s="22"/>
      <c r="V134" s="22" t="str">
        <f>IFERROR(__xludf.DUMMYFUNCTION("""COMPUTED_VALUE"""),"Chính thức")</f>
        <v>Chính thức</v>
      </c>
      <c r="W134" s="22" t="str">
        <f>IFERROR(__xludf.DUMMYFUNCTION("""COMPUTED_VALUE"""),"0 năm 3 tháng")</f>
        <v>0 năm 3 tháng</v>
      </c>
      <c r="X134" s="22"/>
      <c r="Y134" s="22"/>
      <c r="Z134" s="22"/>
    </row>
    <row r="135">
      <c r="A135" s="22">
        <f>IFERROR(__xludf.DUMMYFUNCTION("""COMPUTED_VALUE"""),14.0)</f>
        <v>14</v>
      </c>
      <c r="B135" s="22" t="str">
        <f>IFERROR(__xludf.DUMMYFUNCTION("""COMPUTED_VALUE"""),"DC5-PXSX2")</f>
        <v>DC5-PXSX2</v>
      </c>
      <c r="C135" s="22" t="str">
        <f>IFERROR(__xludf.DUMMYFUNCTION("""COMPUTED_VALUE"""),"Bộ phận Mài và Đóng hộp")</f>
        <v>Bộ phận Mài và Đóng hộp</v>
      </c>
      <c r="D135" s="22" t="str">
        <f>IFERROR(__xludf.DUMMYFUNCTION("""COMPUTED_VALUE"""),"Đóng hộp Ca A")</f>
        <v>Đóng hộp Ca A</v>
      </c>
      <c r="E135" s="22"/>
      <c r="F135" s="22" t="str">
        <f>IFERROR(__xludf.DUMMYFUNCTION("""COMPUTED_VALUE"""),"NV5707")</f>
        <v>NV5707</v>
      </c>
      <c r="G135" s="22">
        <f>IFERROR(__xludf.DUMMYFUNCTION("""COMPUTED_VALUE"""),1198.0)</f>
        <v>1198</v>
      </c>
      <c r="H135" s="22" t="str">
        <f>IFERROR(__xludf.DUMMYFUNCTION("""COMPUTED_VALUE"""),"Nguyễn Thị Tầm")</f>
        <v>Nguyễn Thị Tầm</v>
      </c>
      <c r="I135" s="22" t="str">
        <f>IFERROR(__xludf.DUMMYFUNCTION("""COMPUTED_VALUE"""),"Nữ")</f>
        <v>Nữ</v>
      </c>
      <c r="J135" s="24">
        <f>IFERROR(__xludf.DUMMYFUNCTION("""COMPUTED_VALUE"""),33215.0)</f>
        <v>33215</v>
      </c>
      <c r="K135" s="22" t="str">
        <f>IFERROR(__xludf.DUMMYFUNCTION("""COMPUTED_VALUE"""),"KP Thành Thắng - Sầm Sơn - Tỉnh Thanh Hóa")</f>
        <v>KP Thành Thắng - Sầm Sơn - Tỉnh Thanh Hóa</v>
      </c>
      <c r="L135" s="22" t="str">
        <f>IFERROR(__xludf.DUMMYFUNCTION("""COMPUTED_VALUE"""),"0388929753")</f>
        <v>0388929753</v>
      </c>
      <c r="M135" s="22" t="str">
        <f>IFERROR(__xludf.DUMMYFUNCTION("""COMPUTED_VALUE"""),"038190014965")</f>
        <v>038190014965</v>
      </c>
      <c r="N135" s="26">
        <f>IFERROR(__xludf.DUMMYFUNCTION("""COMPUTED_VALUE"""),45616.0)</f>
        <v>45616</v>
      </c>
      <c r="O135" s="22" t="str">
        <f>IFERROR(__xludf.DUMMYFUNCTION("""COMPUTED_VALUE"""),"Cục Cảnh sát QLHC về TTXH")</f>
        <v>Cục Cảnh sát QLHC về TTXH</v>
      </c>
      <c r="P135" s="22" t="str">
        <f>IFERROR(__xludf.DUMMYFUNCTION("""COMPUTED_VALUE"""),"LĐPT")</f>
        <v>LĐPT</v>
      </c>
      <c r="Q135" s="22" t="str">
        <f>IFERROR(__xludf.DUMMYFUNCTION("""COMPUTED_VALUE"""),"Lao động phổ thông")</f>
        <v>Lao động phổ thông</v>
      </c>
      <c r="R135" s="24">
        <f>IFERROR(__xludf.DUMMYFUNCTION("""COMPUTED_VALUE"""),45959.0)</f>
        <v>45959</v>
      </c>
      <c r="S135" s="24">
        <f>IFERROR(__xludf.DUMMYFUNCTION("""COMPUTED_VALUE"""),45990.0)</f>
        <v>45990</v>
      </c>
      <c r="T135" s="22" t="str">
        <f>IFERROR(__xludf.DUMMYFUNCTION("""COMPUTED_VALUE"""),"Thử việc")</f>
        <v>Thử việc</v>
      </c>
      <c r="U135" s="22"/>
      <c r="V135" s="22" t="str">
        <f>IFERROR(__xludf.DUMMYFUNCTION("""COMPUTED_VALUE"""),"Thử việc")</f>
        <v>Thử việc</v>
      </c>
      <c r="W135" s="22" t="str">
        <f>IFERROR(__xludf.DUMMYFUNCTION("""COMPUTED_VALUE"""),"0 năm 2 tháng")</f>
        <v>0 năm 2 tháng</v>
      </c>
      <c r="X135" s="22"/>
      <c r="Y135" s="22"/>
      <c r="Z135" s="22"/>
    </row>
    <row r="136">
      <c r="A136" s="22">
        <f>IFERROR(__xludf.DUMMYFUNCTION("""COMPUTED_VALUE"""),15.0)</f>
        <v>15</v>
      </c>
      <c r="B136" s="22" t="str">
        <f>IFERROR(__xludf.DUMMYFUNCTION("""COMPUTED_VALUE"""),"DC5-PXSX2")</f>
        <v>DC5-PXSX2</v>
      </c>
      <c r="C136" s="22" t="str">
        <f>IFERROR(__xludf.DUMMYFUNCTION("""COMPUTED_VALUE"""),"Bộ phận Mài và Đóng hộp")</f>
        <v>Bộ phận Mài và Đóng hộp</v>
      </c>
      <c r="D136" s="22" t="str">
        <f>IFERROR(__xludf.DUMMYFUNCTION("""COMPUTED_VALUE"""),"Đóng hộp Ca A")</f>
        <v>Đóng hộp Ca A</v>
      </c>
      <c r="E136" s="22"/>
      <c r="F136" s="22" t="str">
        <f>IFERROR(__xludf.DUMMYFUNCTION("""COMPUTED_VALUE"""),"NV5799")</f>
        <v>NV5799</v>
      </c>
      <c r="G136" s="22">
        <f>IFERROR(__xludf.DUMMYFUNCTION("""COMPUTED_VALUE"""),1281.0)</f>
        <v>1281</v>
      </c>
      <c r="H136" s="22" t="str">
        <f>IFERROR(__xludf.DUMMYFUNCTION("""COMPUTED_VALUE"""),"Nguyễn Văn Duy")</f>
        <v>Nguyễn Văn Duy</v>
      </c>
      <c r="I136" s="22" t="str">
        <f>IFERROR(__xludf.DUMMYFUNCTION("""COMPUTED_VALUE"""),"Nam")</f>
        <v>Nam</v>
      </c>
      <c r="J136" s="24">
        <f>IFERROR(__xludf.DUMMYFUNCTION("""COMPUTED_VALUE"""),32966.0)</f>
        <v>32966</v>
      </c>
      <c r="K136" s="22" t="str">
        <f>IFERROR(__xludf.DUMMYFUNCTION("""COMPUTED_VALUE"""),"TDP 2 Đại Hùng - Phường Nam Sầm Sơn - Tỉnh Thanh Hóa")</f>
        <v>TDP 2 Đại Hùng - Phường Nam Sầm Sơn - Tỉnh Thanh Hóa</v>
      </c>
      <c r="L136" s="22" t="str">
        <f>IFERROR(__xludf.DUMMYFUNCTION("""COMPUTED_VALUE"""),"0374142793")</f>
        <v>0374142793</v>
      </c>
      <c r="M136" s="22" t="str">
        <f>IFERROR(__xludf.DUMMYFUNCTION("""COMPUTED_VALUE"""),"038080036042")</f>
        <v>038080036042</v>
      </c>
      <c r="N136" s="26">
        <f>IFERROR(__xludf.DUMMYFUNCTION("""COMPUTED_VALUE"""),44350.0)</f>
        <v>44350</v>
      </c>
      <c r="O136" s="22" t="str">
        <f>IFERROR(__xludf.DUMMYFUNCTION("""COMPUTED_VALUE"""),"Cục Cảnh sát QLHC về TTXH")</f>
        <v>Cục Cảnh sát QLHC về TTXH</v>
      </c>
      <c r="P136" s="22" t="str">
        <f>IFERROR(__xludf.DUMMYFUNCTION("""COMPUTED_VALUE"""),"LĐPT")</f>
        <v>LĐPT</v>
      </c>
      <c r="Q136" s="22" t="str">
        <f>IFERROR(__xludf.DUMMYFUNCTION("""COMPUTED_VALUE"""),"Lao động phổ thông")</f>
        <v>Lao động phổ thông</v>
      </c>
      <c r="R136" s="24">
        <f>IFERROR(__xludf.DUMMYFUNCTION("""COMPUTED_VALUE"""),45972.0)</f>
        <v>45972</v>
      </c>
      <c r="S136" s="24">
        <f>IFERROR(__xludf.DUMMYFUNCTION("""COMPUTED_VALUE"""),46002.0)</f>
        <v>46002</v>
      </c>
      <c r="T136" s="22" t="str">
        <f>IFERROR(__xludf.DUMMYFUNCTION("""COMPUTED_VALUE"""),"Thử việc")</f>
        <v>Thử việc</v>
      </c>
      <c r="U136" s="22"/>
      <c r="V136" s="22" t="str">
        <f>IFERROR(__xludf.DUMMYFUNCTION("""COMPUTED_VALUE"""),"Thử việc")</f>
        <v>Thử việc</v>
      </c>
      <c r="W136" s="22" t="str">
        <f>IFERROR(__xludf.DUMMYFUNCTION("""COMPUTED_VALUE"""),"0 năm 1 tháng")</f>
        <v>0 năm 1 tháng</v>
      </c>
      <c r="X136" s="22"/>
      <c r="Y136" s="22"/>
      <c r="Z136" s="22"/>
    </row>
    <row r="137">
      <c r="A137" s="22">
        <f>IFERROR(__xludf.DUMMYFUNCTION("""COMPUTED_VALUE"""),16.0)</f>
        <v>16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>
        <f>IFERROR(__xludf.DUMMYFUNCTION("""COMPUTED_VALUE"""),17.0)</f>
        <v>17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>
        <f>IFERROR(__xludf.DUMMYFUNCTION("""COMPUTED_VALUE"""),18.0)</f>
        <v>18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>
        <f>IFERROR(__xludf.DUMMYFUNCTION("""COMPUTED_VALUE"""),19.0)</f>
        <v>19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>
        <f>IFERROR(__xludf.DUMMYFUNCTION("""COMPUTED_VALUE"""),20.0)</f>
        <v>20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>
        <f>IFERROR(__xludf.DUMMYFUNCTION("""COMPUTED_VALUE"""),21.0)</f>
        <v>21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8">
        <f>IFERROR(__xludf.DUMMYFUNCTION("""COMPUTED_VALUE"""),45781.0)</f>
        <v>45781</v>
      </c>
      <c r="B143" s="22" t="str">
        <f>IFERROR(__xludf.DUMMYFUNCTION("""COMPUTED_VALUE"""),"Đóng hộp Ca B")</f>
        <v>Đóng hộp Ca B</v>
      </c>
      <c r="C143" s="22">
        <f>IFERROR(__xludf.DUMMYFUNCTION("""COMPUTED_VALUE"""),20.0)</f>
        <v>20</v>
      </c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>
        <f>IFERROR(__xludf.DUMMYFUNCTION("""COMPUTED_VALUE"""),1.0)</f>
        <v>1</v>
      </c>
      <c r="B144" s="22" t="str">
        <f>IFERROR(__xludf.DUMMYFUNCTION("""COMPUTED_VALUE"""),"DC5-PXSX2")</f>
        <v>DC5-PXSX2</v>
      </c>
      <c r="C144" s="22" t="str">
        <f>IFERROR(__xludf.DUMMYFUNCTION("""COMPUTED_VALUE"""),"Bộ phận Mài và Đóng hộp")</f>
        <v>Bộ phận Mài và Đóng hộp</v>
      </c>
      <c r="D144" s="22" t="str">
        <f>IFERROR(__xludf.DUMMYFUNCTION("""COMPUTED_VALUE"""),"Đóng hộp Ca B")</f>
        <v>Đóng hộp Ca B</v>
      </c>
      <c r="E144" s="22" t="str">
        <f>IFERROR(__xludf.DUMMYFUNCTION("""COMPUTED_VALUE"""),"Tổ phó")</f>
        <v>Tổ phó</v>
      </c>
      <c r="F144" s="22" t="str">
        <f>IFERROR(__xludf.DUMMYFUNCTION("""COMPUTED_VALUE"""),"NV1892")</f>
        <v>NV1892</v>
      </c>
      <c r="G144" s="22">
        <f>IFERROR(__xludf.DUMMYFUNCTION("""COMPUTED_VALUE"""),374.0)</f>
        <v>374</v>
      </c>
      <c r="H144" s="22" t="str">
        <f>IFERROR(__xludf.DUMMYFUNCTION("""COMPUTED_VALUE"""),"Nguyễn Viết Linh")</f>
        <v>Nguyễn Viết Linh</v>
      </c>
      <c r="I144" s="22" t="str">
        <f>IFERROR(__xludf.DUMMYFUNCTION("""COMPUTED_VALUE"""),"Nam")</f>
        <v>Nam</v>
      </c>
      <c r="J144" s="24">
        <f>IFERROR(__xludf.DUMMYFUNCTION("""COMPUTED_VALUE"""),34514.0)</f>
        <v>34514</v>
      </c>
      <c r="K144" s="22" t="str">
        <f>IFERROR(__xludf.DUMMYFUNCTION("""COMPUTED_VALUE"""),"Đồng Chí -  Xã Minh Tâm -  Huyện Thiệu Hoá -  Thanh Hóa")</f>
        <v>Đồng Chí -  Xã Minh Tâm -  Huyện Thiệu Hoá -  Thanh Hóa</v>
      </c>
      <c r="L144" s="22" t="str">
        <f>IFERROR(__xludf.DUMMYFUNCTION("""COMPUTED_VALUE"""),"0869612869")</f>
        <v>0869612869</v>
      </c>
      <c r="M144" s="22" t="str">
        <f>IFERROR(__xludf.DUMMYFUNCTION("""COMPUTED_VALUE"""),"038094043971")</f>
        <v>038094043971</v>
      </c>
      <c r="N144" s="26">
        <f>IFERROR(__xludf.DUMMYFUNCTION("""COMPUTED_VALUE"""),44428.0)</f>
        <v>44428</v>
      </c>
      <c r="O144" s="22" t="str">
        <f>IFERROR(__xludf.DUMMYFUNCTION("""COMPUTED_VALUE"""),"Cục Cảnh sát QLHC về TTXH")</f>
        <v>Cục Cảnh sát QLHC về TTXH</v>
      </c>
      <c r="P144" s="22" t="str">
        <f>IFERROR(__xludf.DUMMYFUNCTION("""COMPUTED_VALUE"""),"LĐPT")</f>
        <v>LĐPT</v>
      </c>
      <c r="Q144" s="22" t="str">
        <f>IFERROR(__xludf.DUMMYFUNCTION("""COMPUTED_VALUE"""),"Lao động phổ thông")</f>
        <v>Lao động phổ thông</v>
      </c>
      <c r="R144" s="24">
        <f>IFERROR(__xludf.DUMMYFUNCTION("""COMPUTED_VALUE"""),43386.0)</f>
        <v>43386</v>
      </c>
      <c r="S144" s="24">
        <f>IFERROR(__xludf.DUMMYFUNCTION("""COMPUTED_VALUE"""),43739.0)</f>
        <v>43739</v>
      </c>
      <c r="T144" s="22" t="str">
        <f>IFERROR(__xludf.DUMMYFUNCTION("""COMPUTED_VALUE"""),"Chính thức")</f>
        <v>Chính thức</v>
      </c>
      <c r="U144" s="22"/>
      <c r="V144" s="22" t="str">
        <f>IFERROR(__xludf.DUMMYFUNCTION("""COMPUTED_VALUE"""),"Chính thức")</f>
        <v>Chính thức</v>
      </c>
      <c r="W144" s="22" t="str">
        <f>IFERROR(__xludf.DUMMYFUNCTION("""COMPUTED_VALUE"""),"7 năm 2 tháng")</f>
        <v>7 năm 2 tháng</v>
      </c>
      <c r="X144" s="22"/>
      <c r="Y144" s="22"/>
      <c r="Z144" s="22"/>
    </row>
    <row r="145">
      <c r="A145" s="22">
        <f>IFERROR(__xludf.DUMMYFUNCTION("""COMPUTED_VALUE"""),2.0)</f>
        <v>2</v>
      </c>
      <c r="B145" s="22" t="str">
        <f>IFERROR(__xludf.DUMMYFUNCTION("""COMPUTED_VALUE"""),"DC5-PXSX2")</f>
        <v>DC5-PXSX2</v>
      </c>
      <c r="C145" s="22" t="str">
        <f>IFERROR(__xludf.DUMMYFUNCTION("""COMPUTED_VALUE"""),"Bộ phận Mài và Đóng hộp")</f>
        <v>Bộ phận Mài và Đóng hộp</v>
      </c>
      <c r="D145" s="22" t="str">
        <f>IFERROR(__xludf.DUMMYFUNCTION("""COMPUTED_VALUE"""),"Đóng hộp Ca B")</f>
        <v>Đóng hộp Ca B</v>
      </c>
      <c r="E145" s="22" t="str">
        <f>IFERROR(__xludf.DUMMYFUNCTION("""COMPUTED_VALUE"""),"Bốc lai")</f>
        <v>Bốc lai</v>
      </c>
      <c r="F145" s="22" t="str">
        <f>IFERROR(__xludf.DUMMYFUNCTION("""COMPUTED_VALUE"""),"NV0652")</f>
        <v>NV0652</v>
      </c>
      <c r="G145" s="22">
        <f>IFERROR(__xludf.DUMMYFUNCTION("""COMPUTED_VALUE"""),380.0)</f>
        <v>380</v>
      </c>
      <c r="H145" s="22" t="str">
        <f>IFERROR(__xludf.DUMMYFUNCTION("""COMPUTED_VALUE"""),"Nguyễn Thị Hằng")</f>
        <v>Nguyễn Thị Hằng</v>
      </c>
      <c r="I145" s="22" t="str">
        <f>IFERROR(__xludf.DUMMYFUNCTION("""COMPUTED_VALUE"""),"Nữ")</f>
        <v>Nữ</v>
      </c>
      <c r="J145" s="24">
        <f>IFERROR(__xludf.DUMMYFUNCTION("""COMPUTED_VALUE"""),29693.0)</f>
        <v>29693</v>
      </c>
      <c r="K145" s="22" t="str">
        <f>IFERROR(__xludf.DUMMYFUNCTION("""COMPUTED_VALUE"""),"Nghĩa Tĩnh -  Xã Đông Hương -  Thành phố Thanh Hóa - ")</f>
        <v>Nghĩa Tĩnh -  Xã Đông Hương -  Thành phố Thanh Hóa - </v>
      </c>
      <c r="L145" s="22"/>
      <c r="M145" s="22" t="str">
        <f>IFERROR(__xludf.DUMMYFUNCTION("""COMPUTED_VALUE"""),"038181035009")</f>
        <v>038181035009</v>
      </c>
      <c r="N145" s="26">
        <f>IFERROR(__xludf.DUMMYFUNCTION("""COMPUTED_VALUE"""),44435.0)</f>
        <v>44435</v>
      </c>
      <c r="O145" s="22" t="str">
        <f>IFERROR(__xludf.DUMMYFUNCTION("""COMPUTED_VALUE"""),"Cục Cảnh sát QLHC về TTXH")</f>
        <v>Cục Cảnh sát QLHC về TTXH</v>
      </c>
      <c r="P145" s="22" t="str">
        <f>IFERROR(__xludf.DUMMYFUNCTION("""COMPUTED_VALUE"""),"LĐPT")</f>
        <v>LĐPT</v>
      </c>
      <c r="Q145" s="22" t="str">
        <f>IFERROR(__xludf.DUMMYFUNCTION("""COMPUTED_VALUE"""),"Lao động phổ thông")</f>
        <v>Lao động phổ thông</v>
      </c>
      <c r="R145" s="24">
        <f>IFERROR(__xludf.DUMMYFUNCTION("""COMPUTED_VALUE"""),40096.0)</f>
        <v>40096</v>
      </c>
      <c r="S145" s="24">
        <f>IFERROR(__xludf.DUMMYFUNCTION("""COMPUTED_VALUE"""),40096.0)</f>
        <v>40096</v>
      </c>
      <c r="T145" s="22" t="str">
        <f>IFERROR(__xludf.DUMMYFUNCTION("""COMPUTED_VALUE"""),"Chính thức")</f>
        <v>Chính thức</v>
      </c>
      <c r="U145" s="22"/>
      <c r="V145" s="22" t="str">
        <f>IFERROR(__xludf.DUMMYFUNCTION("""COMPUTED_VALUE"""),"Chính thức")</f>
        <v>Chính thức</v>
      </c>
      <c r="W145" s="22" t="str">
        <f>IFERROR(__xludf.DUMMYFUNCTION("""COMPUTED_VALUE"""),"16 năm 2 tháng")</f>
        <v>16 năm 2 tháng</v>
      </c>
      <c r="X145" s="22"/>
      <c r="Y145" s="22"/>
      <c r="Z145" s="22"/>
    </row>
    <row r="146">
      <c r="A146" s="22">
        <f>IFERROR(__xludf.DUMMYFUNCTION("""COMPUTED_VALUE"""),3.0)</f>
        <v>3</v>
      </c>
      <c r="B146" s="22" t="str">
        <f>IFERROR(__xludf.DUMMYFUNCTION("""COMPUTED_VALUE"""),"DC5-PXSX2")</f>
        <v>DC5-PXSX2</v>
      </c>
      <c r="C146" s="22" t="str">
        <f>IFERROR(__xludf.DUMMYFUNCTION("""COMPUTED_VALUE"""),"Bộ phận Mài và Đóng hộp")</f>
        <v>Bộ phận Mài và Đóng hộp</v>
      </c>
      <c r="D146" s="22" t="str">
        <f>IFERROR(__xludf.DUMMYFUNCTION("""COMPUTED_VALUE"""),"Đóng hộp Ca B")</f>
        <v>Đóng hộp Ca B</v>
      </c>
      <c r="E146" s="22" t="str">
        <f>IFERROR(__xludf.DUMMYFUNCTION("""COMPUTED_VALUE"""),"Xe nâng nội bộ")</f>
        <v>Xe nâng nội bộ</v>
      </c>
      <c r="F146" s="22" t="str">
        <f>IFERROR(__xludf.DUMMYFUNCTION("""COMPUTED_VALUE"""),"NV4169")</f>
        <v>NV4169</v>
      </c>
      <c r="G146" s="22">
        <f>IFERROR(__xludf.DUMMYFUNCTION("""COMPUTED_VALUE"""),459.0)</f>
        <v>459</v>
      </c>
      <c r="H146" s="22" t="str">
        <f>IFERROR(__xludf.DUMMYFUNCTION("""COMPUTED_VALUE"""),"Ngô Minh Hải")</f>
        <v>Ngô Minh Hải</v>
      </c>
      <c r="I146" s="22" t="str">
        <f>IFERROR(__xludf.DUMMYFUNCTION("""COMPUTED_VALUE"""),"Nam")</f>
        <v>Nam</v>
      </c>
      <c r="J146" s="24">
        <f>IFERROR(__xludf.DUMMYFUNCTION("""COMPUTED_VALUE"""),29984.0)</f>
        <v>29984</v>
      </c>
      <c r="K146" s="22" t="str">
        <f>IFERROR(__xludf.DUMMYFUNCTION("""COMPUTED_VALUE"""),"tiểu khu 13 -  Thị trấn Thiệu Hóa -  Huyện Thiệu Hoá -  Thanh Hóa")</f>
        <v>tiểu khu 13 -  Thị trấn Thiệu Hóa -  Huyện Thiệu Hoá -  Thanh Hóa</v>
      </c>
      <c r="L146" s="22"/>
      <c r="M146" s="22" t="str">
        <f>IFERROR(__xludf.DUMMYFUNCTION("""COMPUTED_VALUE"""),"038082019750")</f>
        <v>038082019750</v>
      </c>
      <c r="N146" s="26">
        <f>IFERROR(__xludf.DUMMYFUNCTION("""COMPUTED_VALUE"""),44545.0)</f>
        <v>44545</v>
      </c>
      <c r="O146" s="22" t="str">
        <f>IFERROR(__xludf.DUMMYFUNCTION("""COMPUTED_VALUE"""),"Cục Cảnh sát QLHC về TTXH")</f>
        <v>Cục Cảnh sát QLHC về TTXH</v>
      </c>
      <c r="P146" s="22" t="str">
        <f>IFERROR(__xludf.DUMMYFUNCTION("""COMPUTED_VALUE"""),"Chứng chỉ nghề")</f>
        <v>Chứng chỉ nghề</v>
      </c>
      <c r="Q146" s="22" t="str">
        <f>IFERROR(__xludf.DUMMYFUNCTION("""COMPUTED_VALUE"""),"Vận hành xe nâng")</f>
        <v>Vận hành xe nâng</v>
      </c>
      <c r="R146" s="24">
        <f>IFERROR(__xludf.DUMMYFUNCTION("""COMPUTED_VALUE"""),44682.0)</f>
        <v>44682</v>
      </c>
      <c r="S146" s="24">
        <f>IFERROR(__xludf.DUMMYFUNCTION("""COMPUTED_VALUE"""),45017.0)</f>
        <v>45017</v>
      </c>
      <c r="T146" s="22" t="str">
        <f>IFERROR(__xludf.DUMMYFUNCTION("""COMPUTED_VALUE"""),"Chính thức")</f>
        <v>Chính thức</v>
      </c>
      <c r="U146" s="22"/>
      <c r="V146" s="22" t="str">
        <f>IFERROR(__xludf.DUMMYFUNCTION("""COMPUTED_VALUE"""),"Chính thức")</f>
        <v>Chính thức</v>
      </c>
      <c r="W146" s="22" t="str">
        <f>IFERROR(__xludf.DUMMYFUNCTION("""COMPUTED_VALUE"""),"3 năm 7 tháng")</f>
        <v>3 năm 7 tháng</v>
      </c>
      <c r="X146" s="22"/>
      <c r="Y146" s="22"/>
      <c r="Z146" s="22"/>
    </row>
    <row r="147">
      <c r="A147" s="22">
        <f>IFERROR(__xludf.DUMMYFUNCTION("""COMPUTED_VALUE"""),4.0)</f>
        <v>4</v>
      </c>
      <c r="B147" s="22" t="str">
        <f>IFERROR(__xludf.DUMMYFUNCTION("""COMPUTED_VALUE"""),"DC5-PXSX2")</f>
        <v>DC5-PXSX2</v>
      </c>
      <c r="C147" s="22" t="str">
        <f>IFERROR(__xludf.DUMMYFUNCTION("""COMPUTED_VALUE"""),"Bộ phận Mài và Đóng hộp")</f>
        <v>Bộ phận Mài và Đóng hộp</v>
      </c>
      <c r="D147" s="22" t="str">
        <f>IFERROR(__xludf.DUMMYFUNCTION("""COMPUTED_VALUE"""),"Đóng hộp Ca B")</f>
        <v>Đóng hộp Ca B</v>
      </c>
      <c r="E147" s="22" t="str">
        <f>IFERROR(__xludf.DUMMYFUNCTION("""COMPUTED_VALUE"""),"Đóng A2")</f>
        <v>Đóng A2</v>
      </c>
      <c r="F147" s="22" t="str">
        <f>IFERROR(__xludf.DUMMYFUNCTION("""COMPUTED_VALUE"""),"NV4424")</f>
        <v>NV4424</v>
      </c>
      <c r="G147" s="22">
        <f>IFERROR(__xludf.DUMMYFUNCTION("""COMPUTED_VALUE"""),382.0)</f>
        <v>382</v>
      </c>
      <c r="H147" s="22" t="str">
        <f>IFERROR(__xludf.DUMMYFUNCTION("""COMPUTED_VALUE"""),"Lê Văn Kiên")</f>
        <v>Lê Văn Kiên</v>
      </c>
      <c r="I147" s="22" t="str">
        <f>IFERROR(__xludf.DUMMYFUNCTION("""COMPUTED_VALUE"""),"Nam")</f>
        <v>Nam</v>
      </c>
      <c r="J147" s="24">
        <f>IFERROR(__xludf.DUMMYFUNCTION("""COMPUTED_VALUE"""),26891.0)</f>
        <v>26891</v>
      </c>
      <c r="K147" s="22" t="str">
        <f>IFERROR(__xludf.DUMMYFUNCTION("""COMPUTED_VALUE"""),"Thôn Trung Đình -  Xã Quảng Định -  huyện Quảng Xương -  tỉnh Thanh Hóa")</f>
        <v>Thôn Trung Đình -  Xã Quảng Định -  huyện Quảng Xương -  tỉnh Thanh Hóa</v>
      </c>
      <c r="L147" s="22" t="str">
        <f>IFERROR(__xludf.DUMMYFUNCTION("""COMPUTED_VALUE"""),"0942698009")</f>
        <v>0942698009</v>
      </c>
      <c r="M147" s="22" t="str">
        <f>IFERROR(__xludf.DUMMYFUNCTION("""COMPUTED_VALUE"""),"038073024930")</f>
        <v>038073024930</v>
      </c>
      <c r="N147" s="26">
        <f>IFERROR(__xludf.DUMMYFUNCTION("""COMPUTED_VALUE"""),44825.0)</f>
        <v>44825</v>
      </c>
      <c r="O147" s="22" t="str">
        <f>IFERROR(__xludf.DUMMYFUNCTION("""COMPUTED_VALUE"""),"Cục Cảnh sát QLHC về TTXH")</f>
        <v>Cục Cảnh sát QLHC về TTXH</v>
      </c>
      <c r="P147" s="22" t="str">
        <f>IFERROR(__xludf.DUMMYFUNCTION("""COMPUTED_VALUE"""),"LĐPT")</f>
        <v>LĐPT</v>
      </c>
      <c r="Q147" s="22" t="str">
        <f>IFERROR(__xludf.DUMMYFUNCTION("""COMPUTED_VALUE"""),"Lao động phổ thông")</f>
        <v>Lao động phổ thông</v>
      </c>
      <c r="R147" s="24">
        <f>IFERROR(__xludf.DUMMYFUNCTION("""COMPUTED_VALUE"""),44781.0)</f>
        <v>44781</v>
      </c>
      <c r="S147" s="24">
        <f>IFERROR(__xludf.DUMMYFUNCTION("""COMPUTED_VALUE"""),45078.0)</f>
        <v>45078</v>
      </c>
      <c r="T147" s="22" t="str">
        <f>IFERROR(__xludf.DUMMYFUNCTION("""COMPUTED_VALUE"""),"Chính thức")</f>
        <v>Chính thức</v>
      </c>
      <c r="U147" s="22"/>
      <c r="V147" s="22" t="str">
        <f>IFERROR(__xludf.DUMMYFUNCTION("""COMPUTED_VALUE"""),"Chính thức")</f>
        <v>Chính thức</v>
      </c>
      <c r="W147" s="22" t="str">
        <f>IFERROR(__xludf.DUMMYFUNCTION("""COMPUTED_VALUE"""),"3 năm 4 tháng")</f>
        <v>3 năm 4 tháng</v>
      </c>
      <c r="X147" s="22"/>
      <c r="Y147" s="22"/>
      <c r="Z147" s="22"/>
    </row>
    <row r="148">
      <c r="A148" s="22">
        <f>IFERROR(__xludf.DUMMYFUNCTION("""COMPUTED_VALUE"""),5.0)</f>
        <v>5</v>
      </c>
      <c r="B148" s="22" t="str">
        <f>IFERROR(__xludf.DUMMYFUNCTION("""COMPUTED_VALUE"""),"DC5-PXSX2")</f>
        <v>DC5-PXSX2</v>
      </c>
      <c r="C148" s="22" t="str">
        <f>IFERROR(__xludf.DUMMYFUNCTION("""COMPUTED_VALUE"""),"Bộ phận Mài và Đóng hộp")</f>
        <v>Bộ phận Mài và Đóng hộp</v>
      </c>
      <c r="D148" s="22" t="str">
        <f>IFERROR(__xludf.DUMMYFUNCTION("""COMPUTED_VALUE"""),"Đóng hộp Ca B")</f>
        <v>Đóng hộp Ca B</v>
      </c>
      <c r="E148" s="22" t="str">
        <f>IFERROR(__xludf.DUMMYFUNCTION("""COMPUTED_VALUE"""),"Hoàn thiện Palet mức 1")</f>
        <v>Hoàn thiện Palet mức 1</v>
      </c>
      <c r="F148" s="22" t="str">
        <f>IFERROR(__xludf.DUMMYFUNCTION("""COMPUTED_VALUE"""),"NV0660")</f>
        <v>NV0660</v>
      </c>
      <c r="G148" s="22">
        <f>IFERROR(__xludf.DUMMYFUNCTION("""COMPUTED_VALUE"""),381.0)</f>
        <v>381</v>
      </c>
      <c r="H148" s="22" t="str">
        <f>IFERROR(__xludf.DUMMYFUNCTION("""COMPUTED_VALUE"""),"Lê Thị Dịu")</f>
        <v>Lê Thị Dịu</v>
      </c>
      <c r="I148" s="22" t="str">
        <f>IFERROR(__xludf.DUMMYFUNCTION("""COMPUTED_VALUE"""),"Nữ")</f>
        <v>Nữ</v>
      </c>
      <c r="J148" s="24">
        <f>IFERROR(__xludf.DUMMYFUNCTION("""COMPUTED_VALUE"""),27310.0)</f>
        <v>27310</v>
      </c>
      <c r="K148" s="22" t="str">
        <f>IFERROR(__xludf.DUMMYFUNCTION("""COMPUTED_VALUE"""),"Thôn Đồng Lễ -  Xã Đông Hải -  Thành phố Thanh Hóa -  Thanh Hóa -  Việt Nam")</f>
        <v>Thôn Đồng Lễ -  Xã Đông Hải -  Thành phố Thanh Hóa -  Thanh Hóa -  Việt Nam</v>
      </c>
      <c r="L148" s="22" t="str">
        <f>IFERROR(__xludf.DUMMYFUNCTION("""COMPUTED_VALUE"""),"03384458952")</f>
        <v>03384458952</v>
      </c>
      <c r="M148" s="22" t="str">
        <f>IFERROR(__xludf.DUMMYFUNCTION("""COMPUTED_VALUE"""),"038174011809")</f>
        <v>038174011809</v>
      </c>
      <c r="N148" s="26">
        <f>IFERROR(__xludf.DUMMYFUNCTION("""COMPUTED_VALUE"""),44290.0)</f>
        <v>44290</v>
      </c>
      <c r="O148" s="22" t="str">
        <f>IFERROR(__xludf.DUMMYFUNCTION("""COMPUTED_VALUE"""),"Cục Cảnh sát QLHC về TTXH")</f>
        <v>Cục Cảnh sát QLHC về TTXH</v>
      </c>
      <c r="P148" s="22" t="str">
        <f>IFERROR(__xludf.DUMMYFUNCTION("""COMPUTED_VALUE"""),"LĐPT")</f>
        <v>LĐPT</v>
      </c>
      <c r="Q148" s="22" t="str">
        <f>IFERROR(__xludf.DUMMYFUNCTION("""COMPUTED_VALUE"""),"Lao động phổ thông")</f>
        <v>Lao động phổ thông</v>
      </c>
      <c r="R148" s="24">
        <f>IFERROR(__xludf.DUMMYFUNCTION("""COMPUTED_VALUE"""),40807.0)</f>
        <v>40807</v>
      </c>
      <c r="S148" s="24">
        <f>IFERROR(__xludf.DUMMYFUNCTION("""COMPUTED_VALUE"""),40807.0)</f>
        <v>40807</v>
      </c>
      <c r="T148" s="22" t="str">
        <f>IFERROR(__xludf.DUMMYFUNCTION("""COMPUTED_VALUE"""),"Chính thức")</f>
        <v>Chính thức</v>
      </c>
      <c r="U148" s="22"/>
      <c r="V148" s="22" t="str">
        <f>IFERROR(__xludf.DUMMYFUNCTION("""COMPUTED_VALUE"""),"Chính thức")</f>
        <v>Chính thức</v>
      </c>
      <c r="W148" s="22" t="str">
        <f>IFERROR(__xludf.DUMMYFUNCTION("""COMPUTED_VALUE"""),"14 năm 3 tháng")</f>
        <v>14 năm 3 tháng</v>
      </c>
      <c r="X148" s="22"/>
      <c r="Y148" s="22"/>
      <c r="Z148" s="22"/>
    </row>
    <row r="149">
      <c r="A149" s="22">
        <f>IFERROR(__xludf.DUMMYFUNCTION("""COMPUTED_VALUE"""),6.0)</f>
        <v>6</v>
      </c>
      <c r="B149" s="22" t="str">
        <f>IFERROR(__xludf.DUMMYFUNCTION("""COMPUTED_VALUE"""),"DC5-PXSX2")</f>
        <v>DC5-PXSX2</v>
      </c>
      <c r="C149" s="22" t="str">
        <f>IFERROR(__xludf.DUMMYFUNCTION("""COMPUTED_VALUE"""),"Bộ phận Mài và Đóng hộp")</f>
        <v>Bộ phận Mài và Đóng hộp</v>
      </c>
      <c r="D149" s="22" t="str">
        <f>IFERROR(__xludf.DUMMYFUNCTION("""COMPUTED_VALUE"""),"Đóng hộp Ca B")</f>
        <v>Đóng hộp Ca B</v>
      </c>
      <c r="E149" s="22" t="str">
        <f>IFERROR(__xludf.DUMMYFUNCTION("""COMPUTED_VALUE"""),"Đóng A2")</f>
        <v>Đóng A2</v>
      </c>
      <c r="F149" s="22" t="str">
        <f>IFERROR(__xludf.DUMMYFUNCTION("""COMPUTED_VALUE"""),"NV5305")</f>
        <v>NV5305</v>
      </c>
      <c r="G149" s="22">
        <f>IFERROR(__xludf.DUMMYFUNCTION("""COMPUTED_VALUE"""),662.0)</f>
        <v>662</v>
      </c>
      <c r="H149" s="22" t="str">
        <f>IFERROR(__xludf.DUMMYFUNCTION("""COMPUTED_VALUE"""),"Trần Quốc Trung")</f>
        <v>Trần Quốc Trung</v>
      </c>
      <c r="I149" s="22" t="str">
        <f>IFERROR(__xludf.DUMMYFUNCTION("""COMPUTED_VALUE"""),"Nam")</f>
        <v>Nam</v>
      </c>
      <c r="J149" s="24">
        <f>IFERROR(__xludf.DUMMYFUNCTION("""COMPUTED_VALUE"""),29195.0)</f>
        <v>29195</v>
      </c>
      <c r="K149" s="22" t="str">
        <f>IFERROR(__xludf.DUMMYFUNCTION("""COMPUTED_VALUE"""),"Ngọc Lĩnh -  Nghi Sơn -  Thanh Hóa")</f>
        <v>Ngọc Lĩnh -  Nghi Sơn -  Thanh Hóa</v>
      </c>
      <c r="L149" s="22" t="str">
        <f>IFERROR(__xludf.DUMMYFUNCTION("""COMPUTED_VALUE"""),"0985224098")</f>
        <v>0985224098</v>
      </c>
      <c r="M149" s="22" t="str">
        <f>IFERROR(__xludf.DUMMYFUNCTION("""COMPUTED_VALUE"""),"086079012469")</f>
        <v>086079012469</v>
      </c>
      <c r="N149" s="26">
        <f>IFERROR(__xludf.DUMMYFUNCTION("""COMPUTED_VALUE"""),44574.0)</f>
        <v>44574</v>
      </c>
      <c r="O149" s="22" t="str">
        <f>IFERROR(__xludf.DUMMYFUNCTION("""COMPUTED_VALUE"""),"Cục Cảnh sát QLHC về TTXH")</f>
        <v>Cục Cảnh sát QLHC về TTXH</v>
      </c>
      <c r="P149" s="22" t="str">
        <f>IFERROR(__xludf.DUMMYFUNCTION("""COMPUTED_VALUE"""),"LĐPT")</f>
        <v>LĐPT</v>
      </c>
      <c r="Q149" s="22" t="str">
        <f>IFERROR(__xludf.DUMMYFUNCTION("""COMPUTED_VALUE"""),"Lao động phổ thông")</f>
        <v>Lao động phổ thông</v>
      </c>
      <c r="R149" s="24">
        <f>IFERROR(__xludf.DUMMYFUNCTION("""COMPUTED_VALUE"""),45470.0)</f>
        <v>45470</v>
      </c>
      <c r="S149" s="24">
        <f>IFERROR(__xludf.DUMMYFUNCTION("""COMPUTED_VALUE"""),45536.0)</f>
        <v>45536</v>
      </c>
      <c r="T149" s="22" t="str">
        <f>IFERROR(__xludf.DUMMYFUNCTION("""COMPUTED_VALUE"""),"Chính thức")</f>
        <v>Chính thức</v>
      </c>
      <c r="U149" s="22"/>
      <c r="V149" s="22" t="str">
        <f>IFERROR(__xludf.DUMMYFUNCTION("""COMPUTED_VALUE"""),"Chính thức")</f>
        <v>Chính thức</v>
      </c>
      <c r="W149" s="22" t="str">
        <f>IFERROR(__xludf.DUMMYFUNCTION("""COMPUTED_VALUE"""),"1 năm 6 tháng")</f>
        <v>1 năm 6 tháng</v>
      </c>
      <c r="X149" s="22"/>
      <c r="Y149" s="22"/>
      <c r="Z149" s="22"/>
    </row>
    <row r="150">
      <c r="A150" s="22">
        <f>IFERROR(__xludf.DUMMYFUNCTION("""COMPUTED_VALUE"""),7.0)</f>
        <v>7</v>
      </c>
      <c r="B150" s="22" t="str">
        <f>IFERROR(__xludf.DUMMYFUNCTION("""COMPUTED_VALUE"""),"DC5-PXSX2")</f>
        <v>DC5-PXSX2</v>
      </c>
      <c r="C150" s="22" t="str">
        <f>IFERROR(__xludf.DUMMYFUNCTION("""COMPUTED_VALUE"""),"Bộ phận Mài và Đóng hộp")</f>
        <v>Bộ phận Mài và Đóng hộp</v>
      </c>
      <c r="D150" s="22" t="str">
        <f>IFERROR(__xludf.DUMMYFUNCTION("""COMPUTED_VALUE"""),"Đóng hộp Ca B")</f>
        <v>Đóng hộp Ca B</v>
      </c>
      <c r="E150" s="22" t="str">
        <f>IFERROR(__xludf.DUMMYFUNCTION("""COMPUTED_VALUE"""),"Xe nâng nội bộ")</f>
        <v>Xe nâng nội bộ</v>
      </c>
      <c r="F150" s="22" t="str">
        <f>IFERROR(__xludf.DUMMYFUNCTION("""COMPUTED_VALUE"""),"NV0628")</f>
        <v>NV0628</v>
      </c>
      <c r="G150" s="22">
        <f>IFERROR(__xludf.DUMMYFUNCTION("""COMPUTED_VALUE"""),863.0)</f>
        <v>863</v>
      </c>
      <c r="H150" s="22" t="str">
        <f>IFERROR(__xludf.DUMMYFUNCTION("""COMPUTED_VALUE"""),"Nguyễn Văn Cảnh")</f>
        <v>Nguyễn Văn Cảnh</v>
      </c>
      <c r="I150" s="22" t="str">
        <f>IFERROR(__xludf.DUMMYFUNCTION("""COMPUTED_VALUE"""),"Nam")</f>
        <v>Nam</v>
      </c>
      <c r="J150" s="24">
        <f>IFERROR(__xludf.DUMMYFUNCTION("""COMPUTED_VALUE"""),34129.0)</f>
        <v>34129</v>
      </c>
      <c r="K150" s="22" t="str">
        <f>IFERROR(__xludf.DUMMYFUNCTION("""COMPUTED_VALUE"""),"07/117 Phố Đồng Lễ -  Phường Đông Hải -  Thành phố Thanh Hóa -  Tỉnh Thanh Hóa.")</f>
        <v>07/117 Phố Đồng Lễ -  Phường Đông Hải -  Thành phố Thanh Hóa -  Tỉnh Thanh Hóa.</v>
      </c>
      <c r="L150" s="22" t="str">
        <f>IFERROR(__xludf.DUMMYFUNCTION("""COMPUTED_VALUE"""),"0974047018")</f>
        <v>0974047018</v>
      </c>
      <c r="M150" s="22" t="str">
        <f>IFERROR(__xludf.DUMMYFUNCTION("""COMPUTED_VALUE"""),"038093021868")</f>
        <v>038093021868</v>
      </c>
      <c r="N150" s="26">
        <f>IFERROR(__xludf.DUMMYFUNCTION("""COMPUTED_VALUE"""),44311.0)</f>
        <v>44311</v>
      </c>
      <c r="O150" s="22" t="str">
        <f>IFERROR(__xludf.DUMMYFUNCTION("""COMPUTED_VALUE"""),"Cục Cảnh sát QLHC về TTXH")</f>
        <v>Cục Cảnh sát QLHC về TTXH</v>
      </c>
      <c r="P150" s="22" t="str">
        <f>IFERROR(__xludf.DUMMYFUNCTION("""COMPUTED_VALUE"""),"Sơ cấp nghề")</f>
        <v>Sơ cấp nghề</v>
      </c>
      <c r="Q150" s="22" t="str">
        <f>IFERROR(__xludf.DUMMYFUNCTION("""COMPUTED_VALUE"""),"Vận hành xe nâng")</f>
        <v>Vận hành xe nâng</v>
      </c>
      <c r="R150" s="24">
        <f>IFERROR(__xludf.DUMMYFUNCTION("""COMPUTED_VALUE"""),42405.0)</f>
        <v>42405</v>
      </c>
      <c r="S150" s="24">
        <f>IFERROR(__xludf.DUMMYFUNCTION("""COMPUTED_VALUE"""),42856.0)</f>
        <v>42856</v>
      </c>
      <c r="T150" s="22" t="str">
        <f>IFERROR(__xludf.DUMMYFUNCTION("""COMPUTED_VALUE"""),"Chính thức")</f>
        <v>Chính thức</v>
      </c>
      <c r="U150" s="22"/>
      <c r="V150" s="22" t="str">
        <f>IFERROR(__xludf.DUMMYFUNCTION("""COMPUTED_VALUE"""),"Chính thức")</f>
        <v>Chính thức</v>
      </c>
      <c r="W150" s="22" t="str">
        <f>IFERROR(__xludf.DUMMYFUNCTION("""COMPUTED_VALUE"""),"9 năm 10 tháng")</f>
        <v>9 năm 10 tháng</v>
      </c>
      <c r="X150" s="22"/>
      <c r="Y150" s="22"/>
      <c r="Z150" s="22"/>
    </row>
    <row r="151">
      <c r="A151" s="22">
        <f>IFERROR(__xludf.DUMMYFUNCTION("""COMPUTED_VALUE"""),8.0)</f>
        <v>8</v>
      </c>
      <c r="B151" s="22" t="str">
        <f>IFERROR(__xludf.DUMMYFUNCTION("""COMPUTED_VALUE"""),"DC5-PXSX2")</f>
        <v>DC5-PXSX2</v>
      </c>
      <c r="C151" s="22" t="str">
        <f>IFERROR(__xludf.DUMMYFUNCTION("""COMPUTED_VALUE"""),"Bộ phận Mài và Đóng hộp")</f>
        <v>Bộ phận Mài và Đóng hộp</v>
      </c>
      <c r="D151" s="22" t="str">
        <f>IFERROR(__xludf.DUMMYFUNCTION("""COMPUTED_VALUE"""),"Đóng hộp Ca B")</f>
        <v>Đóng hộp Ca B</v>
      </c>
      <c r="E151" s="22" t="str">
        <f>IFERROR(__xludf.DUMMYFUNCTION("""COMPUTED_VALUE"""),"Xe nâng nội bộ")</f>
        <v>Xe nâng nội bộ</v>
      </c>
      <c r="F151" s="22" t="str">
        <f>IFERROR(__xludf.DUMMYFUNCTION("""COMPUTED_VALUE"""),"NV4187")</f>
        <v>NV4187</v>
      </c>
      <c r="G151" s="22">
        <f>IFERROR(__xludf.DUMMYFUNCTION("""COMPUTED_VALUE"""),384.0)</f>
        <v>384</v>
      </c>
      <c r="H151" s="22" t="str">
        <f>IFERROR(__xludf.DUMMYFUNCTION("""COMPUTED_VALUE"""),"Phạm Văn Sơn")</f>
        <v>Phạm Văn Sơn</v>
      </c>
      <c r="I151" s="22" t="str">
        <f>IFERROR(__xludf.DUMMYFUNCTION("""COMPUTED_VALUE"""),"Nam")</f>
        <v>Nam</v>
      </c>
      <c r="J151" s="24">
        <f>IFERROR(__xludf.DUMMYFUNCTION("""COMPUTED_VALUE"""),32116.0)</f>
        <v>32116</v>
      </c>
      <c r="K151" s="22" t="str">
        <f>IFERROR(__xludf.DUMMYFUNCTION("""COMPUTED_VALUE"""),"Xã Thanh Thủy -  Thị Xã Nghi Sơn -  Thanh Hóa -  Việt Nam")</f>
        <v>Xã Thanh Thủy -  Thị Xã Nghi Sơn -  Thanh Hóa -  Việt Nam</v>
      </c>
      <c r="L151" s="22" t="str">
        <f>IFERROR(__xludf.DUMMYFUNCTION("""COMPUTED_VALUE"""),"0375561550")</f>
        <v>0375561550</v>
      </c>
      <c r="M151" s="22" t="str">
        <f>IFERROR(__xludf.DUMMYFUNCTION("""COMPUTED_VALUE"""),"038087019613")</f>
        <v>038087019613</v>
      </c>
      <c r="N151" s="26">
        <f>IFERROR(__xludf.DUMMYFUNCTION("""COMPUTED_VALUE"""),43885.0)</f>
        <v>43885</v>
      </c>
      <c r="O151" s="22" t="str">
        <f>IFERROR(__xludf.DUMMYFUNCTION("""COMPUTED_VALUE"""),"Cục Cảnh sát QLHC về TTXH")</f>
        <v>Cục Cảnh sát QLHC về TTXH</v>
      </c>
      <c r="P151" s="22" t="str">
        <f>IFERROR(__xludf.DUMMYFUNCTION("""COMPUTED_VALUE"""),"Chứng chỉ nghề")</f>
        <v>Chứng chỉ nghề</v>
      </c>
      <c r="Q151" s="22" t="str">
        <f>IFERROR(__xludf.DUMMYFUNCTION("""COMPUTED_VALUE"""),"Vận hành xe nâng")</f>
        <v>Vận hành xe nâng</v>
      </c>
      <c r="R151" s="24">
        <f>IFERROR(__xludf.DUMMYFUNCTION("""COMPUTED_VALUE"""),45696.0)</f>
        <v>45696</v>
      </c>
      <c r="S151" s="24">
        <f>IFERROR(__xludf.DUMMYFUNCTION("""COMPUTED_VALUE"""),45696.0)</f>
        <v>45696</v>
      </c>
      <c r="T151" s="22" t="str">
        <f>IFERROR(__xludf.DUMMYFUNCTION("""COMPUTED_VALUE"""),"Chính thức")</f>
        <v>Chính thức</v>
      </c>
      <c r="U151" s="22"/>
      <c r="V151" s="22" t="str">
        <f>IFERROR(__xludf.DUMMYFUNCTION("""COMPUTED_VALUE"""),"Chính thức")</f>
        <v>Chính thức</v>
      </c>
      <c r="W151" s="22" t="str">
        <f>IFERROR(__xludf.DUMMYFUNCTION("""COMPUTED_VALUE"""),"0 năm 10 tháng")</f>
        <v>0 năm 10 tháng</v>
      </c>
      <c r="X151" s="22"/>
      <c r="Y151" s="22"/>
      <c r="Z151" s="22"/>
    </row>
    <row r="152">
      <c r="A152" s="22">
        <f>IFERROR(__xludf.DUMMYFUNCTION("""COMPUTED_VALUE"""),9.0)</f>
        <v>9</v>
      </c>
      <c r="B152" s="22" t="str">
        <f>IFERROR(__xludf.DUMMYFUNCTION("""COMPUTED_VALUE"""),"DC5-PXSX2")</f>
        <v>DC5-PXSX2</v>
      </c>
      <c r="C152" s="22" t="str">
        <f>IFERROR(__xludf.DUMMYFUNCTION("""COMPUTED_VALUE"""),"Bộ phận Mài và Đóng hộp")</f>
        <v>Bộ phận Mài và Đóng hộp</v>
      </c>
      <c r="D152" s="22" t="str">
        <f>IFERROR(__xludf.DUMMYFUNCTION("""COMPUTED_VALUE"""),"Đóng hộp Ca B")</f>
        <v>Đóng hộp Ca B</v>
      </c>
      <c r="E152" s="22" t="str">
        <f>IFERROR(__xludf.DUMMYFUNCTION("""COMPUTED_VALUE"""),"VH máy đóng hộp")</f>
        <v>VH máy đóng hộp</v>
      </c>
      <c r="F152" s="22" t="str">
        <f>IFERROR(__xludf.DUMMYFUNCTION("""COMPUTED_VALUE"""),"NV5247")</f>
        <v>NV5247</v>
      </c>
      <c r="G152" s="22">
        <f>IFERROR(__xludf.DUMMYFUNCTION("""COMPUTED_VALUE"""),389.0)</f>
        <v>389</v>
      </c>
      <c r="H152" s="22" t="str">
        <f>IFERROR(__xludf.DUMMYFUNCTION("""COMPUTED_VALUE"""),"Hoàng Nam")</f>
        <v>Hoàng Nam</v>
      </c>
      <c r="I152" s="22" t="str">
        <f>IFERROR(__xludf.DUMMYFUNCTION("""COMPUTED_VALUE"""),"Nam")</f>
        <v>Nam</v>
      </c>
      <c r="J152" s="24">
        <f>IFERROR(__xludf.DUMMYFUNCTION("""COMPUTED_VALUE"""),35341.0)</f>
        <v>35341</v>
      </c>
      <c r="K152" s="22" t="str">
        <f>IFERROR(__xludf.DUMMYFUNCTION("""COMPUTED_VALUE"""),"Nga Văn -  Nga Sơn -  Thanh Hóa")</f>
        <v>Nga Văn -  Nga Sơn -  Thanh Hóa</v>
      </c>
      <c r="L152" s="22" t="str">
        <f>IFERROR(__xludf.DUMMYFUNCTION("""COMPUTED_VALUE"""),"0988571536")</f>
        <v>0988571536</v>
      </c>
      <c r="M152" s="22" t="str">
        <f>IFERROR(__xludf.DUMMYFUNCTION("""COMPUTED_VALUE"""),"038096006831")</f>
        <v>038096006831</v>
      </c>
      <c r="N152" s="26">
        <f>IFERROR(__xludf.DUMMYFUNCTION("""COMPUTED_VALUE"""),45041.0)</f>
        <v>45041</v>
      </c>
      <c r="O152" s="22" t="str">
        <f>IFERROR(__xludf.DUMMYFUNCTION("""COMPUTED_VALUE"""),"Cục Cảnh sát QLHC về TTXH")</f>
        <v>Cục Cảnh sát QLHC về TTXH</v>
      </c>
      <c r="P152" s="22" t="str">
        <f>IFERROR(__xludf.DUMMYFUNCTION("""COMPUTED_VALUE"""),"Cao đẳng")</f>
        <v>Cao đẳng</v>
      </c>
      <c r="Q152" s="22" t="str">
        <f>IFERROR(__xludf.DUMMYFUNCTION("""COMPUTED_VALUE"""),"Công nghệ kỹ thuật điện -  điện tử")</f>
        <v>Công nghệ kỹ thuật điện -  điện tử</v>
      </c>
      <c r="R152" s="24">
        <f>IFERROR(__xludf.DUMMYFUNCTION("""COMPUTED_VALUE"""),45729.0)</f>
        <v>45729</v>
      </c>
      <c r="S152" s="24">
        <f>IFERROR(__xludf.DUMMYFUNCTION("""COMPUTED_VALUE"""),45729.0)</f>
        <v>45729</v>
      </c>
      <c r="T152" s="22" t="str">
        <f>IFERROR(__xludf.DUMMYFUNCTION("""COMPUTED_VALUE"""),"Chính thức")</f>
        <v>Chính thức</v>
      </c>
      <c r="U152" s="22"/>
      <c r="V152" s="22" t="str">
        <f>IFERROR(__xludf.DUMMYFUNCTION("""COMPUTED_VALUE"""),"Chính thức")</f>
        <v>Chính thức</v>
      </c>
      <c r="W152" s="22" t="str">
        <f>IFERROR(__xludf.DUMMYFUNCTION("""COMPUTED_VALUE"""),"0 năm 9 tháng")</f>
        <v>0 năm 9 tháng</v>
      </c>
      <c r="X152" s="22"/>
      <c r="Y152" s="22"/>
      <c r="Z152" s="22"/>
    </row>
    <row r="153">
      <c r="A153" s="22">
        <f>IFERROR(__xludf.DUMMYFUNCTION("""COMPUTED_VALUE"""),10.0)</f>
        <v>10</v>
      </c>
      <c r="B153" s="22" t="str">
        <f>IFERROR(__xludf.DUMMYFUNCTION("""COMPUTED_VALUE"""),"DC5-PXSX2")</f>
        <v>DC5-PXSX2</v>
      </c>
      <c r="C153" s="22" t="str">
        <f>IFERROR(__xludf.DUMMYFUNCTION("""COMPUTED_VALUE"""),"Bộ phận Mài và Đóng hộp")</f>
        <v>Bộ phận Mài và Đóng hộp</v>
      </c>
      <c r="D153" s="22" t="str">
        <f>IFERROR(__xludf.DUMMYFUNCTION("""COMPUTED_VALUE"""),"Đóng hộp Ca B")</f>
        <v>Đóng hộp Ca B</v>
      </c>
      <c r="E153" s="22"/>
      <c r="F153" s="22" t="str">
        <f>IFERROR(__xludf.DUMMYFUNCTION("""COMPUTED_VALUE"""),"NV4465")</f>
        <v>NV4465</v>
      </c>
      <c r="G153" s="22">
        <f>IFERROR(__xludf.DUMMYFUNCTION("""COMPUTED_VALUE"""),409.0)</f>
        <v>409</v>
      </c>
      <c r="H153" s="22" t="str">
        <f>IFERROR(__xludf.DUMMYFUNCTION("""COMPUTED_VALUE"""),"Đỗ Ngọc Đức")</f>
        <v>Đỗ Ngọc Đức</v>
      </c>
      <c r="I153" s="22" t="str">
        <f>IFERROR(__xludf.DUMMYFUNCTION("""COMPUTED_VALUE"""),"Nam")</f>
        <v>Nam</v>
      </c>
      <c r="J153" s="24">
        <f>IFERROR(__xludf.DUMMYFUNCTION("""COMPUTED_VALUE"""),29007.0)</f>
        <v>29007</v>
      </c>
      <c r="K153" s="22" t="str">
        <f>IFERROR(__xludf.DUMMYFUNCTION("""COMPUTED_VALUE"""),"Xã Quảng Ninh -  Huyện Quảng Xương -  Thanh Hóa -  Việt Nam")</f>
        <v>Xã Quảng Ninh -  Huyện Quảng Xương -  Thanh Hóa -  Việt Nam</v>
      </c>
      <c r="L153" s="22" t="str">
        <f>IFERROR(__xludf.DUMMYFUNCTION("""COMPUTED_VALUE"""),"0977374916")</f>
        <v>0977374916</v>
      </c>
      <c r="M153" s="22" t="str">
        <f>IFERROR(__xludf.DUMMYFUNCTION("""COMPUTED_VALUE"""),"038079026743")</f>
        <v>038079026743</v>
      </c>
      <c r="N153" s="26">
        <f>IFERROR(__xludf.DUMMYFUNCTION("""COMPUTED_VALUE"""),40766.0)</f>
        <v>40766</v>
      </c>
      <c r="O153" s="22" t="str">
        <f>IFERROR(__xludf.DUMMYFUNCTION("""COMPUTED_VALUE"""),"Cục Cảnh sát QLHC về TTXH")</f>
        <v>Cục Cảnh sát QLHC về TTXH</v>
      </c>
      <c r="P153" s="22" t="str">
        <f>IFERROR(__xludf.DUMMYFUNCTION("""COMPUTED_VALUE"""),"LĐPT")</f>
        <v>LĐPT</v>
      </c>
      <c r="Q153" s="22" t="str">
        <f>IFERROR(__xludf.DUMMYFUNCTION("""COMPUTED_VALUE"""),"Lao động phổ thông")</f>
        <v>Lao động phổ thông</v>
      </c>
      <c r="R153" s="24">
        <f>IFERROR(__xludf.DUMMYFUNCTION("""COMPUTED_VALUE"""),44866.0)</f>
        <v>44866</v>
      </c>
      <c r="S153" s="24">
        <f>IFERROR(__xludf.DUMMYFUNCTION("""COMPUTED_VALUE"""),45292.0)</f>
        <v>45292</v>
      </c>
      <c r="T153" s="22" t="str">
        <f>IFERROR(__xludf.DUMMYFUNCTION("""COMPUTED_VALUE"""),"Chính thức")</f>
        <v>Chính thức</v>
      </c>
      <c r="U153" s="22"/>
      <c r="V153" s="22" t="str">
        <f>IFERROR(__xludf.DUMMYFUNCTION("""COMPUTED_VALUE"""),"Chính thức")</f>
        <v>Chính thức</v>
      </c>
      <c r="W153" s="22" t="str">
        <f>IFERROR(__xludf.DUMMYFUNCTION("""COMPUTED_VALUE"""),"3 năm 1 tháng")</f>
        <v>3 năm 1 tháng</v>
      </c>
      <c r="X153" s="22"/>
      <c r="Y153" s="22"/>
      <c r="Z153" s="22"/>
    </row>
    <row r="154">
      <c r="A154" s="22">
        <f>IFERROR(__xludf.DUMMYFUNCTION("""COMPUTED_VALUE"""),11.0)</f>
        <v>11</v>
      </c>
      <c r="B154" s="22" t="str">
        <f>IFERROR(__xludf.DUMMYFUNCTION("""COMPUTED_VALUE"""),"DC5-PXSX2")</f>
        <v>DC5-PXSX2</v>
      </c>
      <c r="C154" s="22" t="str">
        <f>IFERROR(__xludf.DUMMYFUNCTION("""COMPUTED_VALUE"""),"Bộ phận Mài và Đóng hộp")</f>
        <v>Bộ phận Mài và Đóng hộp</v>
      </c>
      <c r="D154" s="22" t="str">
        <f>IFERROR(__xludf.DUMMYFUNCTION("""COMPUTED_VALUE"""),"Đóng hộp Ca B")</f>
        <v>Đóng hộp Ca B</v>
      </c>
      <c r="E154" s="22" t="str">
        <f>IFERROR(__xludf.DUMMYFUNCTION("""COMPUTED_VALUE"""),"CN đóng hộp")</f>
        <v>CN đóng hộp</v>
      </c>
      <c r="F154" s="22" t="str">
        <f>IFERROR(__xludf.DUMMYFUNCTION("""COMPUTED_VALUE"""),"NV5496")</f>
        <v>NV5496</v>
      </c>
      <c r="G154" s="22">
        <f>IFERROR(__xludf.DUMMYFUNCTION("""COMPUTED_VALUE"""),979.0)</f>
        <v>979</v>
      </c>
      <c r="H154" s="22" t="str">
        <f>IFERROR(__xludf.DUMMYFUNCTION("""COMPUTED_VALUE"""),"Ngô Công Tám")</f>
        <v>Ngô Công Tám</v>
      </c>
      <c r="I154" s="22" t="str">
        <f>IFERROR(__xludf.DUMMYFUNCTION("""COMPUTED_VALUE"""),"Nam")</f>
        <v>Nam</v>
      </c>
      <c r="J154" s="24">
        <f>IFERROR(__xludf.DUMMYFUNCTION("""COMPUTED_VALUE"""),27923.0)</f>
        <v>27923</v>
      </c>
      <c r="K154" s="22" t="str">
        <f>IFERROR(__xludf.DUMMYFUNCTION("""COMPUTED_VALUE"""),"Xã Trường Văn - Tỉnh Thanh Hóa")</f>
        <v>Xã Trường Văn - Tỉnh Thanh Hóa</v>
      </c>
      <c r="L154" s="22" t="str">
        <f>IFERROR(__xludf.DUMMYFUNCTION("""COMPUTED_VALUE"""),"0366745976")</f>
        <v>0366745976</v>
      </c>
      <c r="M154" s="22" t="str">
        <f>IFERROR(__xludf.DUMMYFUNCTION("""COMPUTED_VALUE"""),"038076018315")</f>
        <v>038076018315</v>
      </c>
      <c r="N154" s="26">
        <f>IFERROR(__xludf.DUMMYFUNCTION("""COMPUTED_VALUE"""),44427.0)</f>
        <v>44427</v>
      </c>
      <c r="O154" s="22" t="str">
        <f>IFERROR(__xludf.DUMMYFUNCTION("""COMPUTED_VALUE"""),"Cục Cảnh sát QLHC về TTXH")</f>
        <v>Cục Cảnh sát QLHC về TTXH</v>
      </c>
      <c r="P154" s="22" t="str">
        <f>IFERROR(__xludf.DUMMYFUNCTION("""COMPUTED_VALUE"""),"LĐPT")</f>
        <v>LĐPT</v>
      </c>
      <c r="Q154" s="22" t="str">
        <f>IFERROR(__xludf.DUMMYFUNCTION("""COMPUTED_VALUE"""),"Lao động phổ thông")</f>
        <v>Lao động phổ thông</v>
      </c>
      <c r="R154" s="24">
        <f>IFERROR(__xludf.DUMMYFUNCTION("""COMPUTED_VALUE"""),45810.0)</f>
        <v>45810</v>
      </c>
      <c r="S154" s="24">
        <f>IFERROR(__xludf.DUMMYFUNCTION("""COMPUTED_VALUE"""),45840.0)</f>
        <v>45840</v>
      </c>
      <c r="T154" s="22" t="str">
        <f>IFERROR(__xludf.DUMMYFUNCTION("""COMPUTED_VALUE"""),"Chính thức")</f>
        <v>Chính thức</v>
      </c>
      <c r="U154" s="22"/>
      <c r="V154" s="22" t="str">
        <f>IFERROR(__xludf.DUMMYFUNCTION("""COMPUTED_VALUE"""),"Chính thức")</f>
        <v>Chính thức</v>
      </c>
      <c r="W154" s="22" t="str">
        <f>IFERROR(__xludf.DUMMYFUNCTION("""COMPUTED_VALUE"""),"0 năm 6 tháng")</f>
        <v>0 năm 6 tháng</v>
      </c>
      <c r="X154" s="22"/>
      <c r="Y154" s="22"/>
      <c r="Z154" s="22"/>
    </row>
    <row r="155">
      <c r="A155" s="22">
        <f>IFERROR(__xludf.DUMMYFUNCTION("""COMPUTED_VALUE"""),12.0)</f>
        <v>12</v>
      </c>
      <c r="B155" s="22" t="str">
        <f>IFERROR(__xludf.DUMMYFUNCTION("""COMPUTED_VALUE"""),"DC5-PXSX2")</f>
        <v>DC5-PXSX2</v>
      </c>
      <c r="C155" s="22" t="str">
        <f>IFERROR(__xludf.DUMMYFUNCTION("""COMPUTED_VALUE"""),"Bộ phận Mài và Đóng hộp")</f>
        <v>Bộ phận Mài và Đóng hộp</v>
      </c>
      <c r="D155" s="22" t="str">
        <f>IFERROR(__xludf.DUMMYFUNCTION("""COMPUTED_VALUE"""),"Đóng hộp Ca B")</f>
        <v>Đóng hộp Ca B</v>
      </c>
      <c r="E155" s="22" t="str">
        <f>IFERROR(__xludf.DUMMYFUNCTION("""COMPUTED_VALUE"""),"VHC máy đóng hộp")</f>
        <v>VHC máy đóng hộp</v>
      </c>
      <c r="F155" s="22" t="str">
        <f>IFERROR(__xludf.DUMMYFUNCTION("""COMPUTED_VALUE"""),"NV5526")</f>
        <v>NV5526</v>
      </c>
      <c r="G155" s="22">
        <f>IFERROR(__xludf.DUMMYFUNCTION("""COMPUTED_VALUE"""),1008.0)</f>
        <v>1008</v>
      </c>
      <c r="H155" s="22" t="str">
        <f>IFERROR(__xludf.DUMMYFUNCTION("""COMPUTED_VALUE"""),"Phạm Viết Chung")</f>
        <v>Phạm Viết Chung</v>
      </c>
      <c r="I155" s="22" t="str">
        <f>IFERROR(__xludf.DUMMYFUNCTION("""COMPUTED_VALUE"""),"Nam")</f>
        <v>Nam</v>
      </c>
      <c r="J155" s="24">
        <f>IFERROR(__xludf.DUMMYFUNCTION("""COMPUTED_VALUE"""),31106.0)</f>
        <v>31106</v>
      </c>
      <c r="K155" s="22" t="str">
        <f>IFERROR(__xludf.DUMMYFUNCTION("""COMPUTED_VALUE"""),"Phường Ngọc Sơn - Tỉnh Thanh Hóa")</f>
        <v>Phường Ngọc Sơn - Tỉnh Thanh Hóa</v>
      </c>
      <c r="L155" s="22" t="str">
        <f>IFERROR(__xludf.DUMMYFUNCTION("""COMPUTED_VALUE"""),"0971668085")</f>
        <v>0971668085</v>
      </c>
      <c r="M155" s="22" t="str">
        <f>IFERROR(__xludf.DUMMYFUNCTION("""COMPUTED_VALUE"""),"038085009940")</f>
        <v>038085009940</v>
      </c>
      <c r="N155" s="26">
        <f>IFERROR(__xludf.DUMMYFUNCTION("""COMPUTED_VALUE"""),44423.0)</f>
        <v>44423</v>
      </c>
      <c r="O155" s="22" t="str">
        <f>IFERROR(__xludf.DUMMYFUNCTION("""COMPUTED_VALUE"""),"Cục Cảnh sát QLHC về TTXH")</f>
        <v>Cục Cảnh sát QLHC về TTXH</v>
      </c>
      <c r="P155" s="22" t="str">
        <f>IFERROR(__xludf.DUMMYFUNCTION("""COMPUTED_VALUE"""),"LĐPT")</f>
        <v>LĐPT</v>
      </c>
      <c r="Q155" s="22" t="str">
        <f>IFERROR(__xludf.DUMMYFUNCTION("""COMPUTED_VALUE"""),"Lao động phổ thông")</f>
        <v>Lao động phổ thông</v>
      </c>
      <c r="R155" s="24">
        <f>IFERROR(__xludf.DUMMYFUNCTION("""COMPUTED_VALUE"""),45818.0)</f>
        <v>45818</v>
      </c>
      <c r="S155" s="24">
        <f>IFERROR(__xludf.DUMMYFUNCTION("""COMPUTED_VALUE"""),45848.0)</f>
        <v>45848</v>
      </c>
      <c r="T155" s="22" t="str">
        <f>IFERROR(__xludf.DUMMYFUNCTION("""COMPUTED_VALUE"""),"Chính thức")</f>
        <v>Chính thức</v>
      </c>
      <c r="U155" s="22"/>
      <c r="V155" s="22" t="str">
        <f>IFERROR(__xludf.DUMMYFUNCTION("""COMPUTED_VALUE"""),"Chính thức")</f>
        <v>Chính thức</v>
      </c>
      <c r="W155" s="22" t="str">
        <f>IFERROR(__xludf.DUMMYFUNCTION("""COMPUTED_VALUE"""),"0 năm 6 tháng")</f>
        <v>0 năm 6 tháng</v>
      </c>
      <c r="X155" s="22"/>
      <c r="Y155" s="22"/>
      <c r="Z155" s="22"/>
    </row>
    <row r="156">
      <c r="A156" s="22">
        <f>IFERROR(__xludf.DUMMYFUNCTION("""COMPUTED_VALUE"""),13.0)</f>
        <v>13</v>
      </c>
      <c r="B156" s="22" t="str">
        <f>IFERROR(__xludf.DUMMYFUNCTION("""COMPUTED_VALUE"""),"DC5-PXSX2")</f>
        <v>DC5-PXSX2</v>
      </c>
      <c r="C156" s="22" t="str">
        <f>IFERROR(__xludf.DUMMYFUNCTION("""COMPUTED_VALUE"""),"Bộ phận Mài và Đóng hộp")</f>
        <v>Bộ phận Mài và Đóng hộp</v>
      </c>
      <c r="D156" s="22" t="str">
        <f>IFERROR(__xludf.DUMMYFUNCTION("""COMPUTED_VALUE"""),"Đóng hộp Ca B")</f>
        <v>Đóng hộp Ca B</v>
      </c>
      <c r="E156" s="22"/>
      <c r="F156" s="22" t="str">
        <f>IFERROR(__xludf.DUMMYFUNCTION("""COMPUTED_VALUE"""),"NV5574")</f>
        <v>NV5574</v>
      </c>
      <c r="G156" s="22">
        <f>IFERROR(__xludf.DUMMYFUNCTION("""COMPUTED_VALUE"""),1060.0)</f>
        <v>1060</v>
      </c>
      <c r="H156" s="22" t="str">
        <f>IFERROR(__xludf.DUMMYFUNCTION("""COMPUTED_VALUE"""),"Lê Đồng Việt")</f>
        <v>Lê Đồng Việt</v>
      </c>
      <c r="I156" s="22" t="str">
        <f>IFERROR(__xludf.DUMMYFUNCTION("""COMPUTED_VALUE"""),"Nam")</f>
        <v>Nam</v>
      </c>
      <c r="J156" s="24">
        <f>IFERROR(__xludf.DUMMYFUNCTION("""COMPUTED_VALUE"""),37515.0)</f>
        <v>37515</v>
      </c>
      <c r="K156" s="22" t="str">
        <f>IFERROR(__xludf.DUMMYFUNCTION("""COMPUTED_VALUE"""),"Xã Hoằng Hóa - Tỉnh Thanh Hóa")</f>
        <v>Xã Hoằng Hóa - Tỉnh Thanh Hóa</v>
      </c>
      <c r="L156" s="22" t="str">
        <f>IFERROR(__xludf.DUMMYFUNCTION("""COMPUTED_VALUE"""),"0981414295")</f>
        <v>0981414295</v>
      </c>
      <c r="M156" s="22" t="str">
        <f>IFERROR(__xludf.DUMMYFUNCTION("""COMPUTED_VALUE"""),"038202005433")</f>
        <v>038202005433</v>
      </c>
      <c r="N156" s="26">
        <f>IFERROR(__xludf.DUMMYFUNCTION("""COMPUTED_VALUE"""),45145.0)</f>
        <v>45145</v>
      </c>
      <c r="O156" s="22" t="str">
        <f>IFERROR(__xludf.DUMMYFUNCTION("""COMPUTED_VALUE"""),"Cục Cảnh sát QLHC về TTXH")</f>
        <v>Cục Cảnh sát QLHC về TTXH</v>
      </c>
      <c r="P156" s="22" t="str">
        <f>IFERROR(__xludf.DUMMYFUNCTION("""COMPUTED_VALUE"""),"LĐPT")</f>
        <v>LĐPT</v>
      </c>
      <c r="Q156" s="22" t="str">
        <f>IFERROR(__xludf.DUMMYFUNCTION("""COMPUTED_VALUE"""),"Lao động phổ thông")</f>
        <v>Lao động phổ thông</v>
      </c>
      <c r="R156" s="24">
        <f>IFERROR(__xludf.DUMMYFUNCTION("""COMPUTED_VALUE"""),45840.0)</f>
        <v>45840</v>
      </c>
      <c r="S156" s="24">
        <f>IFERROR(__xludf.DUMMYFUNCTION("""COMPUTED_VALUE"""),45871.0)</f>
        <v>45871</v>
      </c>
      <c r="T156" s="22" t="str">
        <f>IFERROR(__xludf.DUMMYFUNCTION("""COMPUTED_VALUE"""),"Chính thức")</f>
        <v>Chính thức</v>
      </c>
      <c r="U156" s="22"/>
      <c r="V156" s="22" t="str">
        <f>IFERROR(__xludf.DUMMYFUNCTION("""COMPUTED_VALUE"""),"Chính thức")</f>
        <v>Chính thức</v>
      </c>
      <c r="W156" s="22" t="str">
        <f>IFERROR(__xludf.DUMMYFUNCTION("""COMPUTED_VALUE"""),"0 năm 5 tháng")</f>
        <v>0 năm 5 tháng</v>
      </c>
      <c r="X156" s="22"/>
      <c r="Y156" s="22"/>
      <c r="Z156" s="22"/>
    </row>
    <row r="157">
      <c r="A157" s="22">
        <f>IFERROR(__xludf.DUMMYFUNCTION("""COMPUTED_VALUE"""),14.0)</f>
        <v>14</v>
      </c>
      <c r="B157" s="22" t="str">
        <f>IFERROR(__xludf.DUMMYFUNCTION("""COMPUTED_VALUE"""),"DC5-PXSX2")</f>
        <v>DC5-PXSX2</v>
      </c>
      <c r="C157" s="22" t="str">
        <f>IFERROR(__xludf.DUMMYFUNCTION("""COMPUTED_VALUE"""),"Bộ phận Mài và Đóng hộp")</f>
        <v>Bộ phận Mài và Đóng hộp</v>
      </c>
      <c r="D157" s="22" t="str">
        <f>IFERROR(__xludf.DUMMYFUNCTION("""COMPUTED_VALUE"""),"Đóng hộp Ca B")</f>
        <v>Đóng hộp Ca B</v>
      </c>
      <c r="E157" s="22"/>
      <c r="F157" s="22" t="str">
        <f>IFERROR(__xludf.DUMMYFUNCTION("""COMPUTED_VALUE"""),"NV5584")</f>
        <v>NV5584</v>
      </c>
      <c r="G157" s="22">
        <f>IFERROR(__xludf.DUMMYFUNCTION("""COMPUTED_VALUE"""),1070.0)</f>
        <v>1070</v>
      </c>
      <c r="H157" s="22" t="str">
        <f>IFERROR(__xludf.DUMMYFUNCTION("""COMPUTED_VALUE"""),"Đỗ Đăng Long")</f>
        <v>Đỗ Đăng Long</v>
      </c>
      <c r="I157" s="22" t="str">
        <f>IFERROR(__xludf.DUMMYFUNCTION("""COMPUTED_VALUE"""),"Nam")</f>
        <v>Nam</v>
      </c>
      <c r="J157" s="24">
        <f>IFERROR(__xludf.DUMMYFUNCTION("""COMPUTED_VALUE"""),38200.0)</f>
        <v>38200</v>
      </c>
      <c r="K157" s="22" t="str">
        <f>IFERROR(__xludf.DUMMYFUNCTION("""COMPUTED_VALUE"""),"Xã Công Chính - Tỉnh Thanh Hóa")</f>
        <v>Xã Công Chính - Tỉnh Thanh Hóa</v>
      </c>
      <c r="L157" s="22" t="str">
        <f>IFERROR(__xludf.DUMMYFUNCTION("""COMPUTED_VALUE"""),"0985778056")</f>
        <v>0985778056</v>
      </c>
      <c r="M157" s="22" t="str">
        <f>IFERROR(__xludf.DUMMYFUNCTION("""COMPUTED_VALUE"""),"038204005786")</f>
        <v>038204005786</v>
      </c>
      <c r="N157" s="26">
        <f>IFERROR(__xludf.DUMMYFUNCTION("""COMPUTED_VALUE"""),44546.0)</f>
        <v>44546</v>
      </c>
      <c r="O157" s="22" t="str">
        <f>IFERROR(__xludf.DUMMYFUNCTION("""COMPUTED_VALUE"""),"Cục Cảnh sát QLHC về TTXH")</f>
        <v>Cục Cảnh sát QLHC về TTXH</v>
      </c>
      <c r="P157" s="22" t="str">
        <f>IFERROR(__xludf.DUMMYFUNCTION("""COMPUTED_VALUE"""),"LĐPT")</f>
        <v>LĐPT</v>
      </c>
      <c r="Q157" s="22" t="str">
        <f>IFERROR(__xludf.DUMMYFUNCTION("""COMPUTED_VALUE"""),"Lao động phổ thông")</f>
        <v>Lao động phổ thông</v>
      </c>
      <c r="R157" s="24">
        <f>IFERROR(__xludf.DUMMYFUNCTION("""COMPUTED_VALUE"""),45840.0)</f>
        <v>45840</v>
      </c>
      <c r="S157" s="24">
        <f>IFERROR(__xludf.DUMMYFUNCTION("""COMPUTED_VALUE"""),45871.0)</f>
        <v>45871</v>
      </c>
      <c r="T157" s="22" t="str">
        <f>IFERROR(__xludf.DUMMYFUNCTION("""COMPUTED_VALUE"""),"Chính thức")</f>
        <v>Chính thức</v>
      </c>
      <c r="U157" s="22"/>
      <c r="V157" s="22" t="str">
        <f>IFERROR(__xludf.DUMMYFUNCTION("""COMPUTED_VALUE"""),"Chính thức")</f>
        <v>Chính thức</v>
      </c>
      <c r="W157" s="22" t="str">
        <f>IFERROR(__xludf.DUMMYFUNCTION("""COMPUTED_VALUE"""),"0 năm 5 tháng")</f>
        <v>0 năm 5 tháng</v>
      </c>
      <c r="X157" s="22"/>
      <c r="Y157" s="22"/>
      <c r="Z157" s="22"/>
    </row>
    <row r="158">
      <c r="A158" s="22">
        <f>IFERROR(__xludf.DUMMYFUNCTION("""COMPUTED_VALUE"""),15.0)</f>
        <v>15</v>
      </c>
      <c r="B158" s="22" t="str">
        <f>IFERROR(__xludf.DUMMYFUNCTION("""COMPUTED_VALUE"""),"DC5-PXSX2")</f>
        <v>DC5-PXSX2</v>
      </c>
      <c r="C158" s="22" t="str">
        <f>IFERROR(__xludf.DUMMYFUNCTION("""COMPUTED_VALUE"""),"Bộ phận Mài và Đóng hộp")</f>
        <v>Bộ phận Mài và Đóng hộp</v>
      </c>
      <c r="D158" s="22" t="str">
        <f>IFERROR(__xludf.DUMMYFUNCTION("""COMPUTED_VALUE"""),"Đóng hộp Ca B")</f>
        <v>Đóng hộp Ca B</v>
      </c>
      <c r="E158" s="22"/>
      <c r="F158" s="22" t="str">
        <f>IFERROR(__xludf.DUMMYFUNCTION("""COMPUTED_VALUE"""),"NV5748")</f>
        <v>NV5748</v>
      </c>
      <c r="G158" s="22">
        <f>IFERROR(__xludf.DUMMYFUNCTION("""COMPUTED_VALUE"""),1229.0)</f>
        <v>1229</v>
      </c>
      <c r="H158" s="22" t="str">
        <f>IFERROR(__xludf.DUMMYFUNCTION("""COMPUTED_VALUE"""),"Vương Công Lưu")</f>
        <v>Vương Công Lưu</v>
      </c>
      <c r="I158" s="22" t="str">
        <f>IFERROR(__xludf.DUMMYFUNCTION("""COMPUTED_VALUE"""),"Nam")</f>
        <v>Nam</v>
      </c>
      <c r="J158" s="24">
        <f>IFERROR(__xludf.DUMMYFUNCTION("""COMPUTED_VALUE"""),29856.0)</f>
        <v>29856</v>
      </c>
      <c r="K158" s="22" t="str">
        <f>IFERROR(__xludf.DUMMYFUNCTION("""COMPUTED_VALUE"""),"Thôn Hà Trung - Xã Lưu Vệ - Tỉnh Thanh Hóa")</f>
        <v>Thôn Hà Trung - Xã Lưu Vệ - Tỉnh Thanh Hóa</v>
      </c>
      <c r="L158" s="22" t="str">
        <f>IFERROR(__xludf.DUMMYFUNCTION("""COMPUTED_VALUE"""),"0704937596")</f>
        <v>0704937596</v>
      </c>
      <c r="M158" s="22" t="str">
        <f>IFERROR(__xludf.DUMMYFUNCTION("""COMPUTED_VALUE"""),"038081007143")</f>
        <v>038081007143</v>
      </c>
      <c r="N158" s="26">
        <f>IFERROR(__xludf.DUMMYFUNCTION("""COMPUTED_VALUE"""),44423.0)</f>
        <v>44423</v>
      </c>
      <c r="O158" s="22" t="str">
        <f>IFERROR(__xludf.DUMMYFUNCTION("""COMPUTED_VALUE"""),"Cục Cảnh sát QLHC về TTXH")</f>
        <v>Cục Cảnh sát QLHC về TTXH</v>
      </c>
      <c r="P158" s="22" t="str">
        <f>IFERROR(__xludf.DUMMYFUNCTION("""COMPUTED_VALUE"""),"LĐPT")</f>
        <v>LĐPT</v>
      </c>
      <c r="Q158" s="22" t="str">
        <f>IFERROR(__xludf.DUMMYFUNCTION("""COMPUTED_VALUE"""),"Lao động phổ thông")</f>
        <v>Lao động phổ thông</v>
      </c>
      <c r="R158" s="24">
        <f>IFERROR(__xludf.DUMMYFUNCTION("""COMPUTED_VALUE"""),45934.0)</f>
        <v>45934</v>
      </c>
      <c r="S158" s="24">
        <f>IFERROR(__xludf.DUMMYFUNCTION("""COMPUTED_VALUE"""),45965.0)</f>
        <v>45965</v>
      </c>
      <c r="T158" s="22" t="str">
        <f>IFERROR(__xludf.DUMMYFUNCTION("""COMPUTED_VALUE"""),"Chính thức")</f>
        <v>Chính thức</v>
      </c>
      <c r="U158" s="22"/>
      <c r="V158" s="22" t="str">
        <f>IFERROR(__xludf.DUMMYFUNCTION("""COMPUTED_VALUE"""),"Chính thức")</f>
        <v>Chính thức</v>
      </c>
      <c r="W158" s="22" t="str">
        <f>IFERROR(__xludf.DUMMYFUNCTION("""COMPUTED_VALUE"""),"0 năm 2 tháng")</f>
        <v>0 năm 2 tháng</v>
      </c>
      <c r="X158" s="22"/>
      <c r="Y158" s="22"/>
      <c r="Z158" s="22"/>
    </row>
    <row r="159">
      <c r="A159" s="22">
        <f>IFERROR(__xludf.DUMMYFUNCTION("""COMPUTED_VALUE"""),16.0)</f>
        <v>16</v>
      </c>
      <c r="B159" s="22" t="str">
        <f>IFERROR(__xludf.DUMMYFUNCTION("""COMPUTED_VALUE"""),"DC5-PXSX2")</f>
        <v>DC5-PXSX2</v>
      </c>
      <c r="C159" s="22" t="str">
        <f>IFERROR(__xludf.DUMMYFUNCTION("""COMPUTED_VALUE"""),"Bộ phận Mài và Đóng hộp")</f>
        <v>Bộ phận Mài và Đóng hộp</v>
      </c>
      <c r="D159" s="22" t="str">
        <f>IFERROR(__xludf.DUMMYFUNCTION("""COMPUTED_VALUE"""),"Đóng hộp Ca B")</f>
        <v>Đóng hộp Ca B</v>
      </c>
      <c r="E159" s="22"/>
      <c r="F159" s="22" t="str">
        <f>IFERROR(__xludf.DUMMYFUNCTION("""COMPUTED_VALUE"""),"NV5744")</f>
        <v>NV5744</v>
      </c>
      <c r="G159" s="22">
        <f>IFERROR(__xludf.DUMMYFUNCTION("""COMPUTED_VALUE"""),1225.0)</f>
        <v>1225</v>
      </c>
      <c r="H159" s="22" t="str">
        <f>IFERROR(__xludf.DUMMYFUNCTION("""COMPUTED_VALUE"""),"Hoàng Khắc Thương")</f>
        <v>Hoàng Khắc Thương</v>
      </c>
      <c r="I159" s="22" t="str">
        <f>IFERROR(__xludf.DUMMYFUNCTION("""COMPUTED_VALUE"""),"Nam")</f>
        <v>Nam</v>
      </c>
      <c r="J159" s="24">
        <f>IFERROR(__xludf.DUMMYFUNCTION("""COMPUTED_VALUE"""),32390.0)</f>
        <v>32390</v>
      </c>
      <c r="K159" s="22" t="str">
        <f>IFERROR(__xludf.DUMMYFUNCTION("""COMPUTED_VALUE"""),"Quang Trung 3 - Xã Thiệu Tiến - Tỉnh Thanh Hóa")</f>
        <v>Quang Trung 3 - Xã Thiệu Tiến - Tỉnh Thanh Hóa</v>
      </c>
      <c r="L159" s="22" t="str">
        <f>IFERROR(__xludf.DUMMYFUNCTION("""COMPUTED_VALUE"""),"0988715689")</f>
        <v>0988715689</v>
      </c>
      <c r="M159" s="22" t="str">
        <f>IFERROR(__xludf.DUMMYFUNCTION("""COMPUTED_VALUE"""),"038088037912")</f>
        <v>038088037912</v>
      </c>
      <c r="N159" s="26">
        <f>IFERROR(__xludf.DUMMYFUNCTION("""COMPUTED_VALUE"""),44418.0)</f>
        <v>44418</v>
      </c>
      <c r="O159" s="22" t="str">
        <f>IFERROR(__xludf.DUMMYFUNCTION("""COMPUTED_VALUE"""),"Cục Cảnh sát QLHC về TTXH")</f>
        <v>Cục Cảnh sát QLHC về TTXH</v>
      </c>
      <c r="P159" s="22" t="str">
        <f>IFERROR(__xludf.DUMMYFUNCTION("""COMPUTED_VALUE"""),"LĐPT")</f>
        <v>LĐPT</v>
      </c>
      <c r="Q159" s="22" t="str">
        <f>IFERROR(__xludf.DUMMYFUNCTION("""COMPUTED_VALUE"""),"Lao động phổ thông")</f>
        <v>Lao động phổ thông</v>
      </c>
      <c r="R159" s="24">
        <f>IFERROR(__xludf.DUMMYFUNCTION("""COMPUTED_VALUE"""),45934.0)</f>
        <v>45934</v>
      </c>
      <c r="S159" s="24">
        <f>IFERROR(__xludf.DUMMYFUNCTION("""COMPUTED_VALUE"""),45965.0)</f>
        <v>45965</v>
      </c>
      <c r="T159" s="22" t="str">
        <f>IFERROR(__xludf.DUMMYFUNCTION("""COMPUTED_VALUE"""),"Chính thức")</f>
        <v>Chính thức</v>
      </c>
      <c r="U159" s="22"/>
      <c r="V159" s="22" t="str">
        <f>IFERROR(__xludf.DUMMYFUNCTION("""COMPUTED_VALUE"""),"Chính thức")</f>
        <v>Chính thức</v>
      </c>
      <c r="W159" s="22" t="str">
        <f>IFERROR(__xludf.DUMMYFUNCTION("""COMPUTED_VALUE"""),"0 năm 2 tháng")</f>
        <v>0 năm 2 tháng</v>
      </c>
      <c r="X159" s="22"/>
      <c r="Y159" s="22"/>
      <c r="Z159" s="22"/>
    </row>
    <row r="160">
      <c r="A160" s="22">
        <f>IFERROR(__xludf.DUMMYFUNCTION("""COMPUTED_VALUE"""),17.0)</f>
        <v>17</v>
      </c>
      <c r="B160" s="22" t="str">
        <f>IFERROR(__xludf.DUMMYFUNCTION("""COMPUTED_VALUE"""),"DC5-PXSX2")</f>
        <v>DC5-PXSX2</v>
      </c>
      <c r="C160" s="22" t="str">
        <f>IFERROR(__xludf.DUMMYFUNCTION("""COMPUTED_VALUE"""),"Bộ phận Mài và Đóng hộp")</f>
        <v>Bộ phận Mài và Đóng hộp</v>
      </c>
      <c r="D160" s="22" t="str">
        <f>IFERROR(__xludf.DUMMYFUNCTION("""COMPUTED_VALUE"""),"Đóng hộp Ca B")</f>
        <v>Đóng hộp Ca B</v>
      </c>
      <c r="E160" s="22"/>
      <c r="F160" s="22" t="str">
        <f>IFERROR(__xludf.DUMMYFUNCTION("""COMPUTED_VALUE"""),"NV5761")</f>
        <v>NV5761</v>
      </c>
      <c r="G160" s="22">
        <f>IFERROR(__xludf.DUMMYFUNCTION("""COMPUTED_VALUE"""),1242.0)</f>
        <v>1242</v>
      </c>
      <c r="H160" s="22" t="str">
        <f>IFERROR(__xludf.DUMMYFUNCTION("""COMPUTED_VALUE"""),"Nguyễn Văn Xuân")</f>
        <v>Nguyễn Văn Xuân</v>
      </c>
      <c r="I160" s="22" t="str">
        <f>IFERROR(__xludf.DUMMYFUNCTION("""COMPUTED_VALUE"""),"Nam")</f>
        <v>Nam</v>
      </c>
      <c r="J160" s="24">
        <f>IFERROR(__xludf.DUMMYFUNCTION("""COMPUTED_VALUE"""),27569.0)</f>
        <v>27569</v>
      </c>
      <c r="K160" s="22" t="str">
        <f>IFERROR(__xludf.DUMMYFUNCTION("""COMPUTED_VALUE"""),"Thôn Ninh Phúc  -  Xã Quảng Ninh - Tỉnh Thanh Hóa")</f>
        <v>Thôn Ninh Phúc  -  Xã Quảng Ninh - Tỉnh Thanh Hóa</v>
      </c>
      <c r="L160" s="22" t="str">
        <f>IFERROR(__xludf.DUMMYFUNCTION("""COMPUTED_VALUE"""),"0909182189")</f>
        <v>0909182189</v>
      </c>
      <c r="M160" s="22" t="str">
        <f>IFERROR(__xludf.DUMMYFUNCTION("""COMPUTED_VALUE"""),"038075016716")</f>
        <v>038075016716</v>
      </c>
      <c r="N160" s="26">
        <f>IFERROR(__xludf.DUMMYFUNCTION("""COMPUTED_VALUE"""),44921.0)</f>
        <v>44921</v>
      </c>
      <c r="O160" s="22" t="str">
        <f>IFERROR(__xludf.DUMMYFUNCTION("""COMPUTED_VALUE"""),"Cục Cảnh sát QLHC về TTXH")</f>
        <v>Cục Cảnh sát QLHC về TTXH</v>
      </c>
      <c r="P160" s="22" t="str">
        <f>IFERROR(__xludf.DUMMYFUNCTION("""COMPUTED_VALUE"""),"Chứng chỉ nghề")</f>
        <v>Chứng chỉ nghề</v>
      </c>
      <c r="Q160" s="22" t="str">
        <f>IFERROR(__xludf.DUMMYFUNCTION("""COMPUTED_VALUE"""),"Chứng chỉ lái xe nâng")</f>
        <v>Chứng chỉ lái xe nâng</v>
      </c>
      <c r="R160" s="24">
        <f>IFERROR(__xludf.DUMMYFUNCTION("""COMPUTED_VALUE"""),45944.0)</f>
        <v>45944</v>
      </c>
      <c r="S160" s="24">
        <f>IFERROR(__xludf.DUMMYFUNCTION("""COMPUTED_VALUE"""),45975.0)</f>
        <v>45975</v>
      </c>
      <c r="T160" s="22" t="str">
        <f>IFERROR(__xludf.DUMMYFUNCTION("""COMPUTED_VALUE"""),"Chính thức")</f>
        <v>Chính thức</v>
      </c>
      <c r="U160" s="22"/>
      <c r="V160" s="22" t="str">
        <f>IFERROR(__xludf.DUMMYFUNCTION("""COMPUTED_VALUE"""),"Chính thức")</f>
        <v>Chính thức</v>
      </c>
      <c r="W160" s="22" t="str">
        <f>IFERROR(__xludf.DUMMYFUNCTION("""COMPUTED_VALUE"""),"0 năm 2 tháng")</f>
        <v>0 năm 2 tháng</v>
      </c>
      <c r="X160" s="22"/>
      <c r="Y160" s="22"/>
      <c r="Z160" s="22"/>
    </row>
    <row r="161">
      <c r="A161" s="22">
        <f>IFERROR(__xludf.DUMMYFUNCTION("""COMPUTED_VALUE"""),18.0)</f>
        <v>18</v>
      </c>
      <c r="B161" s="22" t="str">
        <f>IFERROR(__xludf.DUMMYFUNCTION("""COMPUTED_VALUE"""),"DC5-PXSX2")</f>
        <v>DC5-PXSX2</v>
      </c>
      <c r="C161" s="22" t="str">
        <f>IFERROR(__xludf.DUMMYFUNCTION("""COMPUTED_VALUE"""),"Bộ phận Mài và Đóng hộp")</f>
        <v>Bộ phận Mài và Đóng hộp</v>
      </c>
      <c r="D161" s="22" t="str">
        <f>IFERROR(__xludf.DUMMYFUNCTION("""COMPUTED_VALUE"""),"Đóng hộp Ca B")</f>
        <v>Đóng hộp Ca B</v>
      </c>
      <c r="E161" s="22"/>
      <c r="F161" s="22" t="str">
        <f>IFERROR(__xludf.DUMMYFUNCTION("""COMPUTED_VALUE"""),"NV5780")</f>
        <v>NV5780</v>
      </c>
      <c r="G161" s="22">
        <f>IFERROR(__xludf.DUMMYFUNCTION("""COMPUTED_VALUE"""),1261.0)</f>
        <v>1261</v>
      </c>
      <c r="H161" s="22" t="str">
        <f>IFERROR(__xludf.DUMMYFUNCTION("""COMPUTED_VALUE"""),"Nguyễn Văn Triệu")</f>
        <v>Nguyễn Văn Triệu</v>
      </c>
      <c r="I161" s="22" t="str">
        <f>IFERROR(__xludf.DUMMYFUNCTION("""COMPUTED_VALUE"""),"Nam")</f>
        <v>Nam</v>
      </c>
      <c r="J161" s="24">
        <f>IFERROR(__xludf.DUMMYFUNCTION("""COMPUTED_VALUE"""),38033.0)</f>
        <v>38033</v>
      </c>
      <c r="K161" s="22" t="str">
        <f>IFERROR(__xludf.DUMMYFUNCTION("""COMPUTED_VALUE"""),"Trường Thịnh -Phường Nam Sầm Sơn - Tỉnh Thanh Hóa")</f>
        <v>Trường Thịnh -Phường Nam Sầm Sơn - Tỉnh Thanh Hóa</v>
      </c>
      <c r="L161" s="22" t="str">
        <f>IFERROR(__xludf.DUMMYFUNCTION("""COMPUTED_VALUE"""),"0775555362")</f>
        <v>0775555362</v>
      </c>
      <c r="M161" s="22" t="str">
        <f>IFERROR(__xludf.DUMMYFUNCTION("""COMPUTED_VALUE"""),"093204009394")</f>
        <v>093204009394</v>
      </c>
      <c r="N161" s="26">
        <f>IFERROR(__xludf.DUMMYFUNCTION("""COMPUTED_VALUE"""),45734.0)</f>
        <v>45734</v>
      </c>
      <c r="O161" s="22" t="str">
        <f>IFERROR(__xludf.DUMMYFUNCTION("""COMPUTED_VALUE"""),"Bộ công an")</f>
        <v>Bộ công an</v>
      </c>
      <c r="P161" s="22" t="str">
        <f>IFERROR(__xludf.DUMMYFUNCTION("""COMPUTED_VALUE"""),"LĐPT")</f>
        <v>LĐPT</v>
      </c>
      <c r="Q161" s="22" t="str">
        <f>IFERROR(__xludf.DUMMYFUNCTION("""COMPUTED_VALUE"""),"Lao động phổ thông")</f>
        <v>Lao động phổ thông</v>
      </c>
      <c r="R161" s="24">
        <f>IFERROR(__xludf.DUMMYFUNCTION("""COMPUTED_VALUE"""),45960.0)</f>
        <v>45960</v>
      </c>
      <c r="S161" s="24">
        <f>IFERROR(__xludf.DUMMYFUNCTION("""COMPUTED_VALUE"""),45991.0)</f>
        <v>45991</v>
      </c>
      <c r="T161" s="22" t="str">
        <f>IFERROR(__xludf.DUMMYFUNCTION("""COMPUTED_VALUE"""),"Thử việc")</f>
        <v>Thử việc</v>
      </c>
      <c r="U161" s="22"/>
      <c r="V161" s="22" t="str">
        <f>IFERROR(__xludf.DUMMYFUNCTION("""COMPUTED_VALUE"""),"Thử việc")</f>
        <v>Thử việc</v>
      </c>
      <c r="W161" s="22" t="str">
        <f>IFERROR(__xludf.DUMMYFUNCTION("""COMPUTED_VALUE"""),"0 năm 2 tháng")</f>
        <v>0 năm 2 tháng</v>
      </c>
      <c r="X161" s="22"/>
      <c r="Y161" s="22"/>
      <c r="Z161" s="22"/>
    </row>
    <row r="162">
      <c r="A162" s="22">
        <f>IFERROR(__xludf.DUMMYFUNCTION("""COMPUTED_VALUE"""),19.0)</f>
        <v>19</v>
      </c>
      <c r="B162" s="22" t="str">
        <f>IFERROR(__xludf.DUMMYFUNCTION("""COMPUTED_VALUE"""),"DC5-PXSX2")</f>
        <v>DC5-PXSX2</v>
      </c>
      <c r="C162" s="22" t="str">
        <f>IFERROR(__xludf.DUMMYFUNCTION("""COMPUTED_VALUE"""),"Bộ phận Mài và Đóng hộp")</f>
        <v>Bộ phận Mài và Đóng hộp</v>
      </c>
      <c r="D162" s="22" t="str">
        <f>IFERROR(__xludf.DUMMYFUNCTION("""COMPUTED_VALUE"""),"Đóng hộp Ca B")</f>
        <v>Đóng hộp Ca B</v>
      </c>
      <c r="E162" s="22" t="str">
        <f>IFERROR(__xludf.DUMMYFUNCTION("""COMPUTED_VALUE"""),"Nhân viên Lái xe nâng")</f>
        <v>Nhân viên Lái xe nâng</v>
      </c>
      <c r="F162" s="22" t="str">
        <f>IFERROR(__xludf.DUMMYFUNCTION("""COMPUTED_VALUE"""),"NV5798")</f>
        <v>NV5798</v>
      </c>
      <c r="G162" s="22">
        <f>IFERROR(__xludf.DUMMYFUNCTION("""COMPUTED_VALUE"""),1280.0)</f>
        <v>1280</v>
      </c>
      <c r="H162" s="22" t="str">
        <f>IFERROR(__xludf.DUMMYFUNCTION("""COMPUTED_VALUE"""),"Trịnh Cử Long")</f>
        <v>Trịnh Cử Long</v>
      </c>
      <c r="I162" s="22" t="str">
        <f>IFERROR(__xludf.DUMMYFUNCTION("""COMPUTED_VALUE"""),"Nam")</f>
        <v>Nam</v>
      </c>
      <c r="J162" s="24">
        <f>IFERROR(__xludf.DUMMYFUNCTION("""COMPUTED_VALUE"""),34712.0)</f>
        <v>34712</v>
      </c>
      <c r="K162" s="22" t="str">
        <f>IFERROR(__xludf.DUMMYFUNCTION("""COMPUTED_VALUE"""),"Thôn Long Tiến - Xã Yên Trường - Tỉnh Thanh Hóa")</f>
        <v>Thôn Long Tiến - Xã Yên Trường - Tỉnh Thanh Hóa</v>
      </c>
      <c r="L162" s="22" t="str">
        <f>IFERROR(__xludf.DUMMYFUNCTION("""COMPUTED_VALUE"""),"0987471772")</f>
        <v>0987471772</v>
      </c>
      <c r="M162" s="22" t="str">
        <f>IFERROR(__xludf.DUMMYFUNCTION("""COMPUTED_VALUE"""),"038095009750")</f>
        <v>038095009750</v>
      </c>
      <c r="N162" s="26">
        <f>IFERROR(__xludf.DUMMYFUNCTION("""COMPUTED_VALUE"""),44852.0)</f>
        <v>44852</v>
      </c>
      <c r="O162" s="22" t="str">
        <f>IFERROR(__xludf.DUMMYFUNCTION("""COMPUTED_VALUE"""),"Cục Cảnh sát QLHC về TTXH")</f>
        <v>Cục Cảnh sát QLHC về TTXH</v>
      </c>
      <c r="P162" s="22" t="str">
        <f>IFERROR(__xludf.DUMMYFUNCTION("""COMPUTED_VALUE"""),"Bằng nghề")</f>
        <v>Bằng nghề</v>
      </c>
      <c r="Q162" s="22" t="str">
        <f>IFERROR(__xludf.DUMMYFUNCTION("""COMPUTED_VALUE"""),"Chứng chỉ lái xe nâng")</f>
        <v>Chứng chỉ lái xe nâng</v>
      </c>
      <c r="R162" s="24">
        <f>IFERROR(__xludf.DUMMYFUNCTION("""COMPUTED_VALUE"""),45971.0)</f>
        <v>45971</v>
      </c>
      <c r="S162" s="24">
        <f>IFERROR(__xludf.DUMMYFUNCTION("""COMPUTED_VALUE"""),46001.0)</f>
        <v>46001</v>
      </c>
      <c r="T162" s="22" t="str">
        <f>IFERROR(__xludf.DUMMYFUNCTION("""COMPUTED_VALUE"""),"Thử việc")</f>
        <v>Thử việc</v>
      </c>
      <c r="U162" s="22"/>
      <c r="V162" s="22" t="str">
        <f>IFERROR(__xludf.DUMMYFUNCTION("""COMPUTED_VALUE"""),"Thử việc")</f>
        <v>Thử việc</v>
      </c>
      <c r="W162" s="22" t="str">
        <f>IFERROR(__xludf.DUMMYFUNCTION("""COMPUTED_VALUE"""),"0 năm 1 tháng")</f>
        <v>0 năm 1 tháng</v>
      </c>
      <c r="X162" s="22"/>
      <c r="Y162" s="22"/>
      <c r="Z162" s="22"/>
    </row>
    <row r="163">
      <c r="A163" s="22">
        <f>IFERROR(__xludf.DUMMYFUNCTION("""COMPUTED_VALUE"""),20.0)</f>
        <v>20</v>
      </c>
      <c r="B163" s="22" t="str">
        <f>IFERROR(__xludf.DUMMYFUNCTION("""COMPUTED_VALUE"""),"DC5-PXSX2")</f>
        <v>DC5-PXSX2</v>
      </c>
      <c r="C163" s="22" t="str">
        <f>IFERROR(__xludf.DUMMYFUNCTION("""COMPUTED_VALUE"""),"Bộ phận Mài và Đóng hộp")</f>
        <v>Bộ phận Mài và Đóng hộp</v>
      </c>
      <c r="D163" s="22" t="str">
        <f>IFERROR(__xludf.DUMMYFUNCTION("""COMPUTED_VALUE"""),"Đóng hộp Ca B")</f>
        <v>Đóng hộp Ca B</v>
      </c>
      <c r="E163" s="22" t="str">
        <f>IFERROR(__xludf.DUMMYFUNCTION("""COMPUTED_VALUE"""),"Nhân viên Lái xe nâng")</f>
        <v>Nhân viên Lái xe nâng</v>
      </c>
      <c r="F163" s="22" t="str">
        <f>IFERROR(__xludf.DUMMYFUNCTION("""COMPUTED_VALUE"""),"NV5812")</f>
        <v>NV5812</v>
      </c>
      <c r="G163" s="22">
        <f>IFERROR(__xludf.DUMMYFUNCTION("""COMPUTED_VALUE"""),1294.0)</f>
        <v>1294</v>
      </c>
      <c r="H163" s="22" t="str">
        <f>IFERROR(__xludf.DUMMYFUNCTION("""COMPUTED_VALUE"""),"Nguyễn Quang Thịnh")</f>
        <v>Nguyễn Quang Thịnh</v>
      </c>
      <c r="I163" s="22" t="str">
        <f>IFERROR(__xludf.DUMMYFUNCTION("""COMPUTED_VALUE"""),"Nam")</f>
        <v>Nam</v>
      </c>
      <c r="J163" s="24">
        <f>IFERROR(__xludf.DUMMYFUNCTION("""COMPUTED_VALUE"""),38991.0)</f>
        <v>38991</v>
      </c>
      <c r="K163" s="22" t="str">
        <f>IFERROR(__xludf.DUMMYFUNCTION("""COMPUTED_VALUE"""),"Thôn Hiền Tây - Xã Quảng Bình - Tỉnh Thanh Hóa")</f>
        <v>Thôn Hiền Tây - Xã Quảng Bình - Tỉnh Thanh Hóa</v>
      </c>
      <c r="L163" s="22" t="str">
        <f>IFERROR(__xludf.DUMMYFUNCTION("""COMPUTED_VALUE"""),"0944649163")</f>
        <v>0944649163</v>
      </c>
      <c r="M163" s="22" t="str">
        <f>IFERROR(__xludf.DUMMYFUNCTION("""COMPUTED_VALUE"""),"03820629836")</f>
        <v>03820629836</v>
      </c>
      <c r="N163" s="26">
        <f>IFERROR(__xludf.DUMMYFUNCTION("""COMPUTED_VALUE"""),45562.0)</f>
        <v>45562</v>
      </c>
      <c r="O163" s="22" t="str">
        <f>IFERROR(__xludf.DUMMYFUNCTION("""COMPUTED_VALUE"""),"Cục Cảnh sát QLHC về TTXH")</f>
        <v>Cục Cảnh sát QLHC về TTXH</v>
      </c>
      <c r="P163" s="22" t="str">
        <f>IFERROR(__xludf.DUMMYFUNCTION("""COMPUTED_VALUE"""),"Bằng nghề")</f>
        <v>Bằng nghề</v>
      </c>
      <c r="Q163" s="22" t="str">
        <f>IFERROR(__xludf.DUMMYFUNCTION("""COMPUTED_VALUE"""),"Lao động phổ thông")</f>
        <v>Lao động phổ thông</v>
      </c>
      <c r="R163" s="24">
        <f>IFERROR(__xludf.DUMMYFUNCTION("""COMPUTED_VALUE"""),45979.0)</f>
        <v>45979</v>
      </c>
      <c r="S163" s="24">
        <f>IFERROR(__xludf.DUMMYFUNCTION("""COMPUTED_VALUE"""),46009.0)</f>
        <v>46009</v>
      </c>
      <c r="T163" s="22" t="str">
        <f>IFERROR(__xludf.DUMMYFUNCTION("""COMPUTED_VALUE"""),"Thử việc")</f>
        <v>Thử việc</v>
      </c>
      <c r="U163" s="22"/>
      <c r="V163" s="22" t="str">
        <f>IFERROR(__xludf.DUMMYFUNCTION("""COMPUTED_VALUE"""),"Thử việc")</f>
        <v>Thử việc</v>
      </c>
      <c r="W163" s="22" t="str">
        <f>IFERROR(__xludf.DUMMYFUNCTION("""COMPUTED_VALUE"""),"0 năm 1 tháng")</f>
        <v>0 năm 1 tháng</v>
      </c>
      <c r="X163" s="22"/>
      <c r="Y163" s="22"/>
      <c r="Z163" s="22"/>
    </row>
    <row r="164">
      <c r="A164" s="22">
        <f>IFERROR(__xludf.DUMMYFUNCTION("""COMPUTED_VALUE"""),21.0)</f>
        <v>21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>
        <f>IFERROR(__xludf.DUMMYFUNCTION("""COMPUTED_VALUE"""),22.0)</f>
        <v>22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>
        <f>IFERROR(__xludf.DUMMYFUNCTION("""COMPUTED_VALUE"""),23.0)</f>
        <v>23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>
        <f>IFERROR(__xludf.DUMMYFUNCTION("""COMPUTED_VALUE"""),24.0)</f>
        <v>24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>
        <f>IFERROR(__xludf.DUMMYFUNCTION("""COMPUTED_VALUE"""),25.0)</f>
        <v>25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8">
        <f>IFERROR(__xludf.DUMMYFUNCTION("""COMPUTED_VALUE"""),45812.0)</f>
        <v>45812</v>
      </c>
      <c r="B169" s="22" t="str">
        <f>IFERROR(__xludf.DUMMYFUNCTION("""COMPUTED_VALUE"""),"Đóng hộp Ca C")</f>
        <v>Đóng hộp Ca C</v>
      </c>
      <c r="C169" s="22">
        <f>IFERROR(__xludf.DUMMYFUNCTION("""COMPUTED_VALUE"""),0.0)</f>
        <v>0</v>
      </c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>
        <f>IFERROR(__xludf.DUMMYFUNCTION("""COMPUTED_VALUE"""),1.0)</f>
        <v>1</v>
      </c>
      <c r="B170" s="22" t="str">
        <f>IFERROR(__xludf.DUMMYFUNCTION("""COMPUTED_VALUE"""),"#N/A")</f>
        <v>#N/A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>
        <f>IFERROR(__xludf.DUMMYFUNCTION("""COMPUTED_VALUE"""),2.0)</f>
        <v>2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>
        <f>IFERROR(__xludf.DUMMYFUNCTION("""COMPUTED_VALUE"""),3.0)</f>
        <v>3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>
        <f>IFERROR(__xludf.DUMMYFUNCTION("""COMPUTED_VALUE"""),4.0)</f>
        <v>4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>
        <f>IFERROR(__xludf.DUMMYFUNCTION("""COMPUTED_VALUE"""),5.0)</f>
        <v>5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>
        <f>IFERROR(__xludf.DUMMYFUNCTION("""COMPUTED_VALUE"""),6.0)</f>
        <v>6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>
        <f>IFERROR(__xludf.DUMMYFUNCTION("""COMPUTED_VALUE"""),7.0)</f>
        <v>7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>
        <f>IFERROR(__xludf.DUMMYFUNCTION("""COMPUTED_VALUE"""),8.0)</f>
        <v>8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>
        <f>IFERROR(__xludf.DUMMYFUNCTION("""COMPUTED_VALUE"""),9.0)</f>
        <v>9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>
        <f>IFERROR(__xludf.DUMMYFUNCTION("""COMPUTED_VALUE"""),10.0)</f>
        <v>10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>
        <f>IFERROR(__xludf.DUMMYFUNCTION("""COMPUTED_VALUE"""),11.0)</f>
        <v>11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>
        <f>IFERROR(__xludf.DUMMYFUNCTION("""COMPUTED_VALUE"""),12.0)</f>
        <v>12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>
        <f>IFERROR(__xludf.DUMMYFUNCTION("""COMPUTED_VALUE"""),13.0)</f>
        <v>13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>
        <f>IFERROR(__xludf.DUMMYFUNCTION("""COMPUTED_VALUE"""),14.0)</f>
        <v>14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>
        <f>IFERROR(__xludf.DUMMYFUNCTION("""COMPUTED_VALUE"""),15.0)</f>
        <v>15</v>
      </c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>
        <f>IFERROR(__xludf.DUMMYFUNCTION("""COMPUTED_VALUE"""),16.0)</f>
        <v>16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>
        <f>IFERROR(__xludf.DUMMYFUNCTION("""COMPUTED_VALUE"""),17.0)</f>
        <v>17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 t="str">
        <f>IFERROR(__xludf.DUMMYFUNCTION("""COMPUTED_VALUE"""),"5.")</f>
        <v>5.</v>
      </c>
      <c r="B187" s="22" t="str">
        <f>IFERROR(__xludf.DUMMYFUNCTION("""COMPUTED_VALUE"""),"Bộ phận Nguyên liệu và Dây chuyền gia công")</f>
        <v>Bộ phận Nguyên liệu và Dây chuyền gia công</v>
      </c>
      <c r="C187" s="22">
        <f>IFERROR(__xludf.DUMMYFUNCTION("""COMPUTED_VALUE"""),36.0)</f>
        <v>36</v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8">
        <f>IFERROR(__xludf.DUMMYFUNCTION("""COMPUTED_VALUE"""),45662.0)</f>
        <v>45662</v>
      </c>
      <c r="B188" s="22" t="str">
        <f>IFERROR(__xludf.DUMMYFUNCTION("""COMPUTED_VALUE"""),"Nghiền - Sấy phun Ca A - DC5")</f>
        <v>Nghiền - Sấy phun Ca A - DC5</v>
      </c>
      <c r="C188" s="22">
        <f>IFERROR(__xludf.DUMMYFUNCTION("""COMPUTED_VALUE"""),7.0)</f>
        <v>7</v>
      </c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>
        <f>IFERROR(__xludf.DUMMYFUNCTION("""COMPUTED_VALUE"""),1.0)</f>
        <v>1</v>
      </c>
      <c r="B189" s="22" t="str">
        <f>IFERROR(__xludf.DUMMYFUNCTION("""COMPUTED_VALUE"""),"DC5-PXSX2")</f>
        <v>DC5-PXSX2</v>
      </c>
      <c r="C189" s="22" t="str">
        <f>IFERROR(__xludf.DUMMYFUNCTION("""COMPUTED_VALUE"""),"Bộ phận Nguyên liệu và Dây chuyền gia công")</f>
        <v>Bộ phận Nguyên liệu và Dây chuyền gia công</v>
      </c>
      <c r="D189" s="22" t="str">
        <f>IFERROR(__xludf.DUMMYFUNCTION("""COMPUTED_VALUE"""),"Nghiền - Sấy phun Ca A - DC5")</f>
        <v>Nghiền - Sấy phun Ca A - DC5</v>
      </c>
      <c r="E189" s="22"/>
      <c r="F189" s="22" t="str">
        <f>IFERROR(__xludf.DUMMYFUNCTION("""COMPUTED_VALUE"""),"NV5297")</f>
        <v>NV5297</v>
      </c>
      <c r="G189" s="22">
        <f>IFERROR(__xludf.DUMMYFUNCTION("""COMPUTED_VALUE"""),444.0)</f>
        <v>444</v>
      </c>
      <c r="H189" s="22" t="str">
        <f>IFERROR(__xludf.DUMMYFUNCTION("""COMPUTED_VALUE"""),"Lê Đình Bắc")</f>
        <v>Lê Đình Bắc</v>
      </c>
      <c r="I189" s="22" t="str">
        <f>IFERROR(__xludf.DUMMYFUNCTION("""COMPUTED_VALUE"""),"Nam")</f>
        <v>Nam</v>
      </c>
      <c r="J189" s="24">
        <f>IFERROR(__xludf.DUMMYFUNCTION("""COMPUTED_VALUE"""),30732.0)</f>
        <v>30732</v>
      </c>
      <c r="K189" s="22" t="str">
        <f>IFERROR(__xludf.DUMMYFUNCTION("""COMPUTED_VALUE"""),"Quảng Lưu -  Quảng Xương -  TH")</f>
        <v>Quảng Lưu -  Quảng Xương -  TH</v>
      </c>
      <c r="L189" s="22" t="str">
        <f>IFERROR(__xludf.DUMMYFUNCTION("""COMPUTED_VALUE"""),"0984720111")</f>
        <v>0984720111</v>
      </c>
      <c r="M189" s="22" t="str">
        <f>IFERROR(__xludf.DUMMYFUNCTION("""COMPUTED_VALUE"""),"038084033676")</f>
        <v>038084033676</v>
      </c>
      <c r="N189" s="26">
        <f>IFERROR(__xludf.DUMMYFUNCTION("""COMPUTED_VALUE"""),45456.0)</f>
        <v>45456</v>
      </c>
      <c r="O189" s="22" t="str">
        <f>IFERROR(__xludf.DUMMYFUNCTION("""COMPUTED_VALUE"""),"Cục Cảnh sát QLHC về TTXH")</f>
        <v>Cục Cảnh sát QLHC về TTXH</v>
      </c>
      <c r="P189" s="22" t="str">
        <f>IFERROR(__xludf.DUMMYFUNCTION("""COMPUTED_VALUE"""),"LĐPT")</f>
        <v>LĐPT</v>
      </c>
      <c r="Q189" s="22" t="str">
        <f>IFERROR(__xludf.DUMMYFUNCTION("""COMPUTED_VALUE"""),"Lao động phổ thông")</f>
        <v>Lao động phổ thông</v>
      </c>
      <c r="R189" s="24">
        <f>IFERROR(__xludf.DUMMYFUNCTION("""COMPUTED_VALUE"""),45467.0)</f>
        <v>45467</v>
      </c>
      <c r="S189" s="24">
        <f>IFERROR(__xludf.DUMMYFUNCTION("""COMPUTED_VALUE"""),45536.0)</f>
        <v>45536</v>
      </c>
      <c r="T189" s="22" t="str">
        <f>IFERROR(__xludf.DUMMYFUNCTION("""COMPUTED_VALUE"""),"Chính thức")</f>
        <v>Chính thức</v>
      </c>
      <c r="U189" s="22"/>
      <c r="V189" s="22" t="str">
        <f>IFERROR(__xludf.DUMMYFUNCTION("""COMPUTED_VALUE"""),"Chính thức")</f>
        <v>Chính thức</v>
      </c>
      <c r="W189" s="22" t="str">
        <f>IFERROR(__xludf.DUMMYFUNCTION("""COMPUTED_VALUE"""),"1 năm 6 tháng")</f>
        <v>1 năm 6 tháng</v>
      </c>
      <c r="X189" s="22"/>
      <c r="Y189" s="22"/>
      <c r="Z189" s="22"/>
    </row>
    <row r="190">
      <c r="A190" s="22">
        <f>IFERROR(__xludf.DUMMYFUNCTION("""COMPUTED_VALUE"""),2.0)</f>
        <v>2</v>
      </c>
      <c r="B190" s="22" t="str">
        <f>IFERROR(__xludf.DUMMYFUNCTION("""COMPUTED_VALUE"""),"DC5-PXSX2")</f>
        <v>DC5-PXSX2</v>
      </c>
      <c r="C190" s="22" t="str">
        <f>IFERROR(__xludf.DUMMYFUNCTION("""COMPUTED_VALUE"""),"Bộ phận Nguyên liệu và Dây chuyền gia công")</f>
        <v>Bộ phận Nguyên liệu và Dây chuyền gia công</v>
      </c>
      <c r="D190" s="22" t="str">
        <f>IFERROR(__xludf.DUMMYFUNCTION("""COMPUTED_VALUE"""),"Nghiền - Sấy phun Ca A - DC5")</f>
        <v>Nghiền - Sấy phun Ca A - DC5</v>
      </c>
      <c r="E190" s="22"/>
      <c r="F190" s="22" t="str">
        <f>IFERROR(__xludf.DUMMYFUNCTION("""COMPUTED_VALUE"""),"NV5107")</f>
        <v>NV5107</v>
      </c>
      <c r="G190" s="22">
        <f>IFERROR(__xludf.DUMMYFUNCTION("""COMPUTED_VALUE"""),453.0)</f>
        <v>453</v>
      </c>
      <c r="H190" s="22" t="str">
        <f>IFERROR(__xludf.DUMMYFUNCTION("""COMPUTED_VALUE"""),"Lê Đình Tâm")</f>
        <v>Lê Đình Tâm</v>
      </c>
      <c r="I190" s="22" t="str">
        <f>IFERROR(__xludf.DUMMYFUNCTION("""COMPUTED_VALUE"""),"Nam")</f>
        <v>Nam</v>
      </c>
      <c r="J190" s="24">
        <f>IFERROR(__xludf.DUMMYFUNCTION("""COMPUTED_VALUE"""),29603.0)</f>
        <v>29603</v>
      </c>
      <c r="K190" s="22" t="str">
        <f>IFERROR(__xludf.DUMMYFUNCTION("""COMPUTED_VALUE"""),"Quảng Lưu -  Quảng Xương -  Thanh Hóa")</f>
        <v>Quảng Lưu -  Quảng Xương -  Thanh Hóa</v>
      </c>
      <c r="L190" s="22" t="str">
        <f>IFERROR(__xludf.DUMMYFUNCTION("""COMPUTED_VALUE"""),"0977796405")</f>
        <v>0977796405</v>
      </c>
      <c r="M190" s="22" t="str">
        <f>IFERROR(__xludf.DUMMYFUNCTION("""COMPUTED_VALUE"""),"038081012076")</f>
        <v>038081012076</v>
      </c>
      <c r="N190" s="26">
        <f>IFERROR(__xludf.DUMMYFUNCTION("""COMPUTED_VALUE"""),45436.0)</f>
        <v>45436</v>
      </c>
      <c r="O190" s="22" t="str">
        <f>IFERROR(__xludf.DUMMYFUNCTION("""COMPUTED_VALUE"""),"Cục Cảnh sát QLHC về TTXH")</f>
        <v>Cục Cảnh sát QLHC về TTXH</v>
      </c>
      <c r="P190" s="22" t="str">
        <f>IFERROR(__xludf.DUMMYFUNCTION("""COMPUTED_VALUE"""),"LĐPT")</f>
        <v>LĐPT</v>
      </c>
      <c r="Q190" s="22" t="str">
        <f>IFERROR(__xludf.DUMMYFUNCTION("""COMPUTED_VALUE"""),"Lao động phổ thông")</f>
        <v>Lao động phổ thông</v>
      </c>
      <c r="R190" s="24">
        <f>IFERROR(__xludf.DUMMYFUNCTION("""COMPUTED_VALUE"""),45384.0)</f>
        <v>45384</v>
      </c>
      <c r="S190" s="24">
        <f>IFERROR(__xludf.DUMMYFUNCTION("""COMPUTED_VALUE"""),45505.0)</f>
        <v>45505</v>
      </c>
      <c r="T190" s="22" t="str">
        <f>IFERROR(__xludf.DUMMYFUNCTION("""COMPUTED_VALUE"""),"Chính thức")</f>
        <v>Chính thức</v>
      </c>
      <c r="U190" s="22"/>
      <c r="V190" s="22" t="str">
        <f>IFERROR(__xludf.DUMMYFUNCTION("""COMPUTED_VALUE"""),"Chính thức")</f>
        <v>Chính thức</v>
      </c>
      <c r="W190" s="22" t="str">
        <f>IFERROR(__xludf.DUMMYFUNCTION("""COMPUTED_VALUE"""),"1 năm 8 tháng")</f>
        <v>1 năm 8 tháng</v>
      </c>
      <c r="X190" s="22"/>
      <c r="Y190" s="22"/>
      <c r="Z190" s="22"/>
    </row>
    <row r="191">
      <c r="A191" s="22">
        <f>IFERROR(__xludf.DUMMYFUNCTION("""COMPUTED_VALUE"""),3.0)</f>
        <v>3</v>
      </c>
      <c r="B191" s="22" t="str">
        <f>IFERROR(__xludf.DUMMYFUNCTION("""COMPUTED_VALUE"""),"DC5-PXSX2")</f>
        <v>DC5-PXSX2</v>
      </c>
      <c r="C191" s="22" t="str">
        <f>IFERROR(__xludf.DUMMYFUNCTION("""COMPUTED_VALUE"""),"Bộ phận Nguyên liệu và Dây chuyền gia công")</f>
        <v>Bộ phận Nguyên liệu và Dây chuyền gia công</v>
      </c>
      <c r="D191" s="22" t="str">
        <f>IFERROR(__xludf.DUMMYFUNCTION("""COMPUTED_VALUE"""),"Nghiền - Sấy phun Ca A - DC5")</f>
        <v>Nghiền - Sấy phun Ca A - DC5</v>
      </c>
      <c r="E191" s="22" t="str">
        <f>IFERROR(__xludf.DUMMYFUNCTION("""COMPUTED_VALUE"""),"Tổ phó")</f>
        <v>Tổ phó</v>
      </c>
      <c r="F191" s="22" t="str">
        <f>IFERROR(__xludf.DUMMYFUNCTION("""COMPUTED_VALUE"""),"NV1692")</f>
        <v>NV1692</v>
      </c>
      <c r="G191" s="22">
        <f>IFERROR(__xludf.DUMMYFUNCTION("""COMPUTED_VALUE"""),358.0)</f>
        <v>358</v>
      </c>
      <c r="H191" s="22" t="str">
        <f>IFERROR(__xludf.DUMMYFUNCTION("""COMPUTED_VALUE"""),"Lê Duy Việt")</f>
        <v>Lê Duy Việt</v>
      </c>
      <c r="I191" s="22" t="str">
        <f>IFERROR(__xludf.DUMMYFUNCTION("""COMPUTED_VALUE"""),"Nam")</f>
        <v>Nam</v>
      </c>
      <c r="J191" s="24">
        <f>IFERROR(__xludf.DUMMYFUNCTION("""COMPUTED_VALUE"""),31327.0)</f>
        <v>31327</v>
      </c>
      <c r="K191" s="22" t="str">
        <f>IFERROR(__xludf.DUMMYFUNCTION("""COMPUTED_VALUE"""),"Đông Quang - Đông Sơn - Thanh Hóa")</f>
        <v>Đông Quang - Đông Sơn - Thanh Hóa</v>
      </c>
      <c r="L191" s="22" t="str">
        <f>IFERROR(__xludf.DUMMYFUNCTION("""COMPUTED_VALUE"""),"0849171808")</f>
        <v>0849171808</v>
      </c>
      <c r="M191" s="22" t="str">
        <f>IFERROR(__xludf.DUMMYFUNCTION("""COMPUTED_VALUE"""),"038085014645")</f>
        <v>038085014645</v>
      </c>
      <c r="N191" s="26">
        <f>IFERROR(__xludf.DUMMYFUNCTION("""COMPUTED_VALUE"""),44471.0)</f>
        <v>44471</v>
      </c>
      <c r="O191" s="22" t="str">
        <f>IFERROR(__xludf.DUMMYFUNCTION("""COMPUTED_VALUE"""),"Cục Cảnh sát QLHC về TTXH")</f>
        <v>Cục Cảnh sát QLHC về TTXH</v>
      </c>
      <c r="P191" s="22" t="str">
        <f>IFERROR(__xludf.DUMMYFUNCTION("""COMPUTED_VALUE"""),"LĐPT")</f>
        <v>LĐPT</v>
      </c>
      <c r="Q191" s="22" t="str">
        <f>IFERROR(__xludf.DUMMYFUNCTION("""COMPUTED_VALUE"""),"Lao động phổ thông")</f>
        <v>Lao động phổ thông</v>
      </c>
      <c r="R191" s="24">
        <f>IFERROR(__xludf.DUMMYFUNCTION("""COMPUTED_VALUE"""),43340.0)</f>
        <v>43340</v>
      </c>
      <c r="S191" s="24">
        <f>IFERROR(__xludf.DUMMYFUNCTION("""COMPUTED_VALUE"""),43678.0)</f>
        <v>43678</v>
      </c>
      <c r="T191" s="22" t="str">
        <f>IFERROR(__xludf.DUMMYFUNCTION("""COMPUTED_VALUE"""),"Chính thức")</f>
        <v>Chính thức</v>
      </c>
      <c r="U191" s="22"/>
      <c r="V191" s="22" t="str">
        <f>IFERROR(__xludf.DUMMYFUNCTION("""COMPUTED_VALUE"""),"Chính thức")</f>
        <v>Chính thức</v>
      </c>
      <c r="W191" s="22" t="str">
        <f>IFERROR(__xludf.DUMMYFUNCTION("""COMPUTED_VALUE"""),"7 năm 4 tháng")</f>
        <v>7 năm 4 tháng</v>
      </c>
      <c r="X191" s="22"/>
      <c r="Y191" s="22"/>
      <c r="Z191" s="22"/>
    </row>
    <row r="192">
      <c r="A192" s="22">
        <f>IFERROR(__xludf.DUMMYFUNCTION("""COMPUTED_VALUE"""),4.0)</f>
        <v>4</v>
      </c>
      <c r="B192" s="22" t="str">
        <f>IFERROR(__xludf.DUMMYFUNCTION("""COMPUTED_VALUE"""),"DC5-PXSX2")</f>
        <v>DC5-PXSX2</v>
      </c>
      <c r="C192" s="22" t="str">
        <f>IFERROR(__xludf.DUMMYFUNCTION("""COMPUTED_VALUE"""),"Bộ phận Nguyên liệu và Dây chuyền gia công")</f>
        <v>Bộ phận Nguyên liệu và Dây chuyền gia công</v>
      </c>
      <c r="D192" s="22" t="str">
        <f>IFERROR(__xludf.DUMMYFUNCTION("""COMPUTED_VALUE"""),"Nghiền - Sấy phun Ca A - DC5")</f>
        <v>Nghiền - Sấy phun Ca A - DC5</v>
      </c>
      <c r="E192" s="22" t="str">
        <f>IFERROR(__xludf.DUMMYFUNCTION("""COMPUTED_VALUE"""),"VH sấy phun")</f>
        <v>VH sấy phun</v>
      </c>
      <c r="F192" s="22" t="str">
        <f>IFERROR(__xludf.DUMMYFUNCTION("""COMPUTED_VALUE"""),"NV0531")</f>
        <v>NV0531</v>
      </c>
      <c r="G192" s="22">
        <f>IFERROR(__xludf.DUMMYFUNCTION("""COMPUTED_VALUE"""),360.0)</f>
        <v>360</v>
      </c>
      <c r="H192" s="22" t="str">
        <f>IFERROR(__xludf.DUMMYFUNCTION("""COMPUTED_VALUE"""),"Hà Minh Ngọc")</f>
        <v>Hà Minh Ngọc</v>
      </c>
      <c r="I192" s="22" t="str">
        <f>IFERROR(__xludf.DUMMYFUNCTION("""COMPUTED_VALUE"""),"Nam")</f>
        <v>Nam</v>
      </c>
      <c r="J192" s="24">
        <f>IFERROR(__xludf.DUMMYFUNCTION("""COMPUTED_VALUE"""),27251.0)</f>
        <v>27251</v>
      </c>
      <c r="K192" s="22" t="str">
        <f>IFERROR(__xludf.DUMMYFUNCTION("""COMPUTED_VALUE"""),"Quản Xá 2- Phường Đông Vệ - Thành phố Thanh Hóa")</f>
        <v>Quản Xá 2- Phường Đông Vệ - Thành phố Thanh Hóa</v>
      </c>
      <c r="L192" s="22" t="str">
        <f>IFERROR(__xludf.DUMMYFUNCTION("""COMPUTED_VALUE"""),"0384541848")</f>
        <v>0384541848</v>
      </c>
      <c r="M192" s="22" t="str">
        <f>IFERROR(__xludf.DUMMYFUNCTION("""COMPUTED_VALUE"""),"038074001278")</f>
        <v>038074001278</v>
      </c>
      <c r="N192" s="26">
        <f>IFERROR(__xludf.DUMMYFUNCTION("""COMPUTED_VALUE"""),44419.0)</f>
        <v>44419</v>
      </c>
      <c r="O192" s="22" t="str">
        <f>IFERROR(__xludf.DUMMYFUNCTION("""COMPUTED_VALUE"""),"Cục Cảnh sát QLHC về TTXH")</f>
        <v>Cục Cảnh sát QLHC về TTXH</v>
      </c>
      <c r="P192" s="22" t="str">
        <f>IFERROR(__xludf.DUMMYFUNCTION("""COMPUTED_VALUE"""),"LĐPT")</f>
        <v>LĐPT</v>
      </c>
      <c r="Q192" s="22" t="str">
        <f>IFERROR(__xludf.DUMMYFUNCTION("""COMPUTED_VALUE"""),"Lao động phổ thông")</f>
        <v>Lao động phổ thông</v>
      </c>
      <c r="R192" s="24">
        <f>IFERROR(__xludf.DUMMYFUNCTION("""COMPUTED_VALUE"""),40389.0)</f>
        <v>40389</v>
      </c>
      <c r="S192" s="24">
        <f>IFERROR(__xludf.DUMMYFUNCTION("""COMPUTED_VALUE"""),40389.0)</f>
        <v>40389</v>
      </c>
      <c r="T192" s="22" t="str">
        <f>IFERROR(__xludf.DUMMYFUNCTION("""COMPUTED_VALUE"""),"Chính thức")</f>
        <v>Chính thức</v>
      </c>
      <c r="U192" s="22"/>
      <c r="V192" s="22" t="str">
        <f>IFERROR(__xludf.DUMMYFUNCTION("""COMPUTED_VALUE"""),"Chính thức")</f>
        <v>Chính thức</v>
      </c>
      <c r="W192" s="22" t="str">
        <f>IFERROR(__xludf.DUMMYFUNCTION("""COMPUTED_VALUE"""),"15 năm 5 tháng")</f>
        <v>15 năm 5 tháng</v>
      </c>
      <c r="X192" s="22"/>
      <c r="Y192" s="22"/>
      <c r="Z192" s="22"/>
    </row>
    <row r="193">
      <c r="A193" s="22">
        <f>IFERROR(__xludf.DUMMYFUNCTION("""COMPUTED_VALUE"""),5.0)</f>
        <v>5</v>
      </c>
      <c r="B193" s="22" t="str">
        <f>IFERROR(__xludf.DUMMYFUNCTION("""COMPUTED_VALUE"""),"DC5-PXSX2")</f>
        <v>DC5-PXSX2</v>
      </c>
      <c r="C193" s="22" t="str">
        <f>IFERROR(__xludf.DUMMYFUNCTION("""COMPUTED_VALUE"""),"Bộ phận Nguyên liệu và Dây chuyền gia công")</f>
        <v>Bộ phận Nguyên liệu và Dây chuyền gia công</v>
      </c>
      <c r="D193" s="22" t="str">
        <f>IFERROR(__xludf.DUMMYFUNCTION("""COMPUTED_VALUE"""),"Nghiền - Sấy phun Ca A - DC5")</f>
        <v>Nghiền - Sấy phun Ca A - DC5</v>
      </c>
      <c r="E193" s="22" t="str">
        <f>IFERROR(__xludf.DUMMYFUNCTION("""COMPUTED_VALUE"""),"VHC than xích")</f>
        <v>VHC than xích</v>
      </c>
      <c r="F193" s="22" t="str">
        <f>IFERROR(__xludf.DUMMYFUNCTION("""COMPUTED_VALUE"""),"NV0633")</f>
        <v>NV0633</v>
      </c>
      <c r="G193" s="22">
        <f>IFERROR(__xludf.DUMMYFUNCTION("""COMPUTED_VALUE"""),403.0)</f>
        <v>403</v>
      </c>
      <c r="H193" s="22" t="str">
        <f>IFERROR(__xludf.DUMMYFUNCTION("""COMPUTED_VALUE"""),"Nguyễn Vũ Minh")</f>
        <v>Nguyễn Vũ Minh</v>
      </c>
      <c r="I193" s="22" t="str">
        <f>IFERROR(__xludf.DUMMYFUNCTION("""COMPUTED_VALUE"""),"Nam")</f>
        <v>Nam</v>
      </c>
      <c r="J193" s="24">
        <f>IFERROR(__xludf.DUMMYFUNCTION("""COMPUTED_VALUE"""),31173.0)</f>
        <v>31173</v>
      </c>
      <c r="K193" s="22" t="str">
        <f>IFERROR(__xludf.DUMMYFUNCTION("""COMPUTED_VALUE"""),"Thôn5- Xã Quảng Hưng - Thành phố Thanh Hóa")</f>
        <v>Thôn5- Xã Quảng Hưng - Thành phố Thanh Hóa</v>
      </c>
      <c r="L193" s="22" t="str">
        <f>IFERROR(__xludf.DUMMYFUNCTION("""COMPUTED_VALUE"""),"0979544761")</f>
        <v>0979544761</v>
      </c>
      <c r="M193" s="22" t="str">
        <f>IFERROR(__xludf.DUMMYFUNCTION("""COMPUTED_VALUE"""),"038085025871")</f>
        <v>038085025871</v>
      </c>
      <c r="N193" s="26">
        <f>IFERROR(__xludf.DUMMYFUNCTION("""COMPUTED_VALUE"""),44317.0)</f>
        <v>44317</v>
      </c>
      <c r="O193" s="22" t="str">
        <f>IFERROR(__xludf.DUMMYFUNCTION("""COMPUTED_VALUE"""),"Cục Cảnh sát QLHC về TTXH")</f>
        <v>Cục Cảnh sát QLHC về TTXH</v>
      </c>
      <c r="P193" s="22" t="str">
        <f>IFERROR(__xludf.DUMMYFUNCTION("""COMPUTED_VALUE"""),"LĐPT")</f>
        <v>LĐPT</v>
      </c>
      <c r="Q193" s="22" t="str">
        <f>IFERROR(__xludf.DUMMYFUNCTION("""COMPUTED_VALUE"""),"Lao động phổ thông")</f>
        <v>Lao động phổ thông</v>
      </c>
      <c r="R193" s="24">
        <f>IFERROR(__xludf.DUMMYFUNCTION("""COMPUTED_VALUE"""),39513.0)</f>
        <v>39513</v>
      </c>
      <c r="S193" s="24">
        <f>IFERROR(__xludf.DUMMYFUNCTION("""COMPUTED_VALUE"""),39513.0)</f>
        <v>39513</v>
      </c>
      <c r="T193" s="22" t="str">
        <f>IFERROR(__xludf.DUMMYFUNCTION("""COMPUTED_VALUE"""),"Chính thức")</f>
        <v>Chính thức</v>
      </c>
      <c r="U193" s="22"/>
      <c r="V193" s="22" t="str">
        <f>IFERROR(__xludf.DUMMYFUNCTION("""COMPUTED_VALUE"""),"Chính thức")</f>
        <v>Chính thức</v>
      </c>
      <c r="W193" s="22" t="str">
        <f>IFERROR(__xludf.DUMMYFUNCTION("""COMPUTED_VALUE"""),"17 năm 9 tháng")</f>
        <v>17 năm 9 tháng</v>
      </c>
      <c r="X193" s="22"/>
      <c r="Y193" s="22"/>
      <c r="Z193" s="22"/>
    </row>
    <row r="194">
      <c r="A194" s="22">
        <f>IFERROR(__xludf.DUMMYFUNCTION("""COMPUTED_VALUE"""),6.0)</f>
        <v>6</v>
      </c>
      <c r="B194" s="22" t="str">
        <f>IFERROR(__xludf.DUMMYFUNCTION("""COMPUTED_VALUE"""),"DC5-PXSX2")</f>
        <v>DC5-PXSX2</v>
      </c>
      <c r="C194" s="22" t="str">
        <f>IFERROR(__xludf.DUMMYFUNCTION("""COMPUTED_VALUE"""),"Bộ phận Nguyên liệu và Dây chuyền gia công")</f>
        <v>Bộ phận Nguyên liệu và Dây chuyền gia công</v>
      </c>
      <c r="D194" s="22" t="str">
        <f>IFERROR(__xludf.DUMMYFUNCTION("""COMPUTED_VALUE"""),"Nghiền - Sấy phun Ca A - DC5")</f>
        <v>Nghiền - Sấy phun Ca A - DC5</v>
      </c>
      <c r="E194" s="22" t="str">
        <f>IFERROR(__xludf.DUMMYFUNCTION("""COMPUTED_VALUE"""),"VHC Nạp nghiền")</f>
        <v>VHC Nạp nghiền</v>
      </c>
      <c r="F194" s="22" t="str">
        <f>IFERROR(__xludf.DUMMYFUNCTION("""COMPUTED_VALUE"""),"NV2232")</f>
        <v>NV2232</v>
      </c>
      <c r="G194" s="22">
        <f>IFERROR(__xludf.DUMMYFUNCTION("""COMPUTED_VALUE"""),359.0)</f>
        <v>359</v>
      </c>
      <c r="H194" s="22" t="str">
        <f>IFERROR(__xludf.DUMMYFUNCTION("""COMPUTED_VALUE"""),"Nguyễn Văn Giáp")</f>
        <v>Nguyễn Văn Giáp</v>
      </c>
      <c r="I194" s="22" t="str">
        <f>IFERROR(__xludf.DUMMYFUNCTION("""COMPUTED_VALUE"""),"Nam")</f>
        <v>Nam</v>
      </c>
      <c r="J194" s="24">
        <f>IFERROR(__xludf.DUMMYFUNCTION("""COMPUTED_VALUE"""),27217.0)</f>
        <v>27217</v>
      </c>
      <c r="K194" s="22" t="str">
        <f>IFERROR(__xludf.DUMMYFUNCTION("""COMPUTED_VALUE"""),"Thôn in Tuần -  Xã Trường Giang -  Huyện Nông Cống -  Thanh Hóa")</f>
        <v>Thôn in Tuần -  Xã Trường Giang -  Huyện Nông Cống -  Thanh Hóa</v>
      </c>
      <c r="L194" s="22" t="str">
        <f>IFERROR(__xludf.DUMMYFUNCTION("""COMPUTED_VALUE"""),"0963688536")</f>
        <v>0963688536</v>
      </c>
      <c r="M194" s="22" t="str">
        <f>IFERROR(__xludf.DUMMYFUNCTION("""COMPUTED_VALUE"""),"038074005680")</f>
        <v>038074005680</v>
      </c>
      <c r="N194" s="26">
        <f>IFERROR(__xludf.DUMMYFUNCTION("""COMPUTED_VALUE"""),43066.0)</f>
        <v>43066</v>
      </c>
      <c r="O194" s="22" t="str">
        <f>IFERROR(__xludf.DUMMYFUNCTION("""COMPUTED_VALUE"""),"Cục Cảnh sát QLHC về TTXH")</f>
        <v>Cục Cảnh sát QLHC về TTXH</v>
      </c>
      <c r="P194" s="22" t="str">
        <f>IFERROR(__xludf.DUMMYFUNCTION("""COMPUTED_VALUE"""),"LĐPT")</f>
        <v>LĐPT</v>
      </c>
      <c r="Q194" s="22" t="str">
        <f>IFERROR(__xludf.DUMMYFUNCTION("""COMPUTED_VALUE"""),"Lao động phổ thông")</f>
        <v>Lao động phổ thông</v>
      </c>
      <c r="R194" s="24">
        <f>IFERROR(__xludf.DUMMYFUNCTION("""COMPUTED_VALUE"""),43536.0)</f>
        <v>43536</v>
      </c>
      <c r="S194" s="24">
        <f>IFERROR(__xludf.DUMMYFUNCTION("""COMPUTED_VALUE"""),43983.0)</f>
        <v>43983</v>
      </c>
      <c r="T194" s="22" t="str">
        <f>IFERROR(__xludf.DUMMYFUNCTION("""COMPUTED_VALUE"""),"Chính thức")</f>
        <v>Chính thức</v>
      </c>
      <c r="U194" s="22"/>
      <c r="V194" s="22" t="str">
        <f>IFERROR(__xludf.DUMMYFUNCTION("""COMPUTED_VALUE"""),"Chính thức")</f>
        <v>Chính thức</v>
      </c>
      <c r="W194" s="22" t="str">
        <f>IFERROR(__xludf.DUMMYFUNCTION("""COMPUTED_VALUE"""),"6 năm 9 tháng")</f>
        <v>6 năm 9 tháng</v>
      </c>
      <c r="X194" s="22"/>
      <c r="Y194" s="22"/>
      <c r="Z194" s="22"/>
    </row>
    <row r="195">
      <c r="A195" s="22">
        <f>IFERROR(__xludf.DUMMYFUNCTION("""COMPUTED_VALUE"""),7.0)</f>
        <v>7</v>
      </c>
      <c r="B195" s="22" t="str">
        <f>IFERROR(__xludf.DUMMYFUNCTION("""COMPUTED_VALUE"""),"DC5-PXSX2")</f>
        <v>DC5-PXSX2</v>
      </c>
      <c r="C195" s="22" t="str">
        <f>IFERROR(__xludf.DUMMYFUNCTION("""COMPUTED_VALUE"""),"Bộ phận Nguyên liệu và Dây chuyền gia công")</f>
        <v>Bộ phận Nguyên liệu và Dây chuyền gia công</v>
      </c>
      <c r="D195" s="22" t="str">
        <f>IFERROR(__xludf.DUMMYFUNCTION("""COMPUTED_VALUE"""),"Nghiền - Sấy phun Ca A - DC5")</f>
        <v>Nghiền - Sấy phun Ca A - DC5</v>
      </c>
      <c r="E195" s="22"/>
      <c r="F195" s="22" t="str">
        <f>IFERROR(__xludf.DUMMYFUNCTION("""COMPUTED_VALUE"""),"NV5323")</f>
        <v>NV5323</v>
      </c>
      <c r="G195" s="22">
        <f>IFERROR(__xludf.DUMMYFUNCTION("""COMPUTED_VALUE"""),361.0)</f>
        <v>361</v>
      </c>
      <c r="H195" s="22" t="str">
        <f>IFERROR(__xludf.DUMMYFUNCTION("""COMPUTED_VALUE"""),"Nguyễn Văn Quang")</f>
        <v>Nguyễn Văn Quang</v>
      </c>
      <c r="I195" s="22" t="str">
        <f>IFERROR(__xludf.DUMMYFUNCTION("""COMPUTED_VALUE"""),"Nam")</f>
        <v>Nam</v>
      </c>
      <c r="J195" s="24">
        <f>IFERROR(__xludf.DUMMYFUNCTION("""COMPUTED_VALUE"""),28049.0)</f>
        <v>28049</v>
      </c>
      <c r="K195" s="22" t="str">
        <f>IFERROR(__xludf.DUMMYFUNCTION("""COMPUTED_VALUE"""),"Xã Trường Giang - Huyện Nông Cống - Tỉnh Thanh Hóa")</f>
        <v>Xã Trường Giang - Huyện Nông Cống - Tỉnh Thanh Hóa</v>
      </c>
      <c r="L195" s="22" t="str">
        <f>IFERROR(__xludf.DUMMYFUNCTION("""COMPUTED_VALUE"""),"0373149476")</f>
        <v>0373149476</v>
      </c>
      <c r="M195" s="22" t="str">
        <f>IFERROR(__xludf.DUMMYFUNCTION("""COMPUTED_VALUE"""),"038076010574")</f>
        <v>038076010574</v>
      </c>
      <c r="N195" s="26">
        <f>IFERROR(__xludf.DUMMYFUNCTION("""COMPUTED_VALUE"""),44996.0)</f>
        <v>44996</v>
      </c>
      <c r="O195" s="22" t="str">
        <f>IFERROR(__xludf.DUMMYFUNCTION("""COMPUTED_VALUE"""),"Cục Cảnh sát QLHC về TTXH")</f>
        <v>Cục Cảnh sát QLHC về TTXH</v>
      </c>
      <c r="P195" s="22" t="str">
        <f>IFERROR(__xludf.DUMMYFUNCTION("""COMPUTED_VALUE"""),"LĐPT")</f>
        <v>LĐPT</v>
      </c>
      <c r="Q195" s="22" t="str">
        <f>IFERROR(__xludf.DUMMYFUNCTION("""COMPUTED_VALUE"""),"Lao động phổ thông")</f>
        <v>Lao động phổ thông</v>
      </c>
      <c r="R195" s="24">
        <f>IFERROR(__xludf.DUMMYFUNCTION("""COMPUTED_VALUE"""),45727.0)</f>
        <v>45727</v>
      </c>
      <c r="S195" s="24">
        <f>IFERROR(__xludf.DUMMYFUNCTION("""COMPUTED_VALUE"""),45727.0)</f>
        <v>45727</v>
      </c>
      <c r="T195" s="22" t="str">
        <f>IFERROR(__xludf.DUMMYFUNCTION("""COMPUTED_VALUE"""),"Chính thức")</f>
        <v>Chính thức</v>
      </c>
      <c r="U195" s="22"/>
      <c r="V195" s="22" t="str">
        <f>IFERROR(__xludf.DUMMYFUNCTION("""COMPUTED_VALUE"""),"Chính thức")</f>
        <v>Chính thức</v>
      </c>
      <c r="W195" s="22" t="str">
        <f>IFERROR(__xludf.DUMMYFUNCTION("""COMPUTED_VALUE"""),"0 năm 9 tháng")</f>
        <v>0 năm 9 tháng</v>
      </c>
      <c r="X195" s="22"/>
      <c r="Y195" s="22"/>
      <c r="Z195" s="22"/>
    </row>
    <row r="196">
      <c r="A196" s="22">
        <f>IFERROR(__xludf.DUMMYFUNCTION("""COMPUTED_VALUE"""),8.0)</f>
        <v>8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8">
        <f>IFERROR(__xludf.DUMMYFUNCTION("""COMPUTED_VALUE"""),45693.0)</f>
        <v>45693</v>
      </c>
      <c r="B197" s="22" t="str">
        <f>IFERROR(__xludf.DUMMYFUNCTION("""COMPUTED_VALUE"""),"Nghiền - Sấy phun Ca B - DC5")</f>
        <v>Nghiền - Sấy phun Ca B - DC5</v>
      </c>
      <c r="C197" s="22">
        <f>IFERROR(__xludf.DUMMYFUNCTION("""COMPUTED_VALUE"""),7.0)</f>
        <v>7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>
        <f>IFERROR(__xludf.DUMMYFUNCTION("""COMPUTED_VALUE"""),1.0)</f>
        <v>1</v>
      </c>
      <c r="B198" s="22" t="str">
        <f>IFERROR(__xludf.DUMMYFUNCTION("""COMPUTED_VALUE"""),"DC5-PXSX2")</f>
        <v>DC5-PXSX2</v>
      </c>
      <c r="C198" s="22" t="str">
        <f>IFERROR(__xludf.DUMMYFUNCTION("""COMPUTED_VALUE"""),"Bộ phận Nguyên liệu và Dây chuyền gia công")</f>
        <v>Bộ phận Nguyên liệu và Dây chuyền gia công</v>
      </c>
      <c r="D198" s="22" t="str">
        <f>IFERROR(__xludf.DUMMYFUNCTION("""COMPUTED_VALUE"""),"Nghiền - Sấy phun Ca B - DC5")</f>
        <v>Nghiền - Sấy phun Ca B - DC5</v>
      </c>
      <c r="E198" s="22" t="str">
        <f>IFERROR(__xludf.DUMMYFUNCTION("""COMPUTED_VALUE"""),"VH sấy phun")</f>
        <v>VH sấy phun</v>
      </c>
      <c r="F198" s="22" t="str">
        <f>IFERROR(__xludf.DUMMYFUNCTION("""COMPUTED_VALUE"""),"NV0852")</f>
        <v>NV0852</v>
      </c>
      <c r="G198" s="22">
        <f>IFERROR(__xludf.DUMMYFUNCTION("""COMPUTED_VALUE"""),512.0)</f>
        <v>512</v>
      </c>
      <c r="H198" s="22" t="str">
        <f>IFERROR(__xludf.DUMMYFUNCTION("""COMPUTED_VALUE"""),"Lê Thiên Thanh")</f>
        <v>Lê Thiên Thanh</v>
      </c>
      <c r="I198" s="22" t="str">
        <f>IFERROR(__xludf.DUMMYFUNCTION("""COMPUTED_VALUE"""),"Nam")</f>
        <v>Nam</v>
      </c>
      <c r="J198" s="24">
        <f>IFERROR(__xludf.DUMMYFUNCTION("""COMPUTED_VALUE"""),29879.0)</f>
        <v>29879</v>
      </c>
      <c r="K198" s="22" t="str">
        <f>IFERROR(__xludf.DUMMYFUNCTION("""COMPUTED_VALUE"""),"Xã Quảng Tâm -  Thành phố Thanh Hóa - ")</f>
        <v>Xã Quảng Tâm -  Thành phố Thanh Hóa - </v>
      </c>
      <c r="L198" s="22" t="str">
        <f>IFERROR(__xludf.DUMMYFUNCTION("""COMPUTED_VALUE"""),"0338647875")</f>
        <v>0338647875</v>
      </c>
      <c r="M198" s="22" t="str">
        <f>IFERROR(__xludf.DUMMYFUNCTION("""COMPUTED_VALUE"""),"038081020265")</f>
        <v>038081020265</v>
      </c>
      <c r="N198" s="26">
        <f>IFERROR(__xludf.DUMMYFUNCTION("""COMPUTED_VALUE"""),44375.0)</f>
        <v>44375</v>
      </c>
      <c r="O198" s="22" t="str">
        <f>IFERROR(__xludf.DUMMYFUNCTION("""COMPUTED_VALUE"""),"Cục Cảnh sát QLHC về TTXH")</f>
        <v>Cục Cảnh sát QLHC về TTXH</v>
      </c>
      <c r="P198" s="22" t="str">
        <f>IFERROR(__xludf.DUMMYFUNCTION("""COMPUTED_VALUE"""),"LĐPT")</f>
        <v>LĐPT</v>
      </c>
      <c r="Q198" s="22" t="str">
        <f>IFERROR(__xludf.DUMMYFUNCTION("""COMPUTED_VALUE"""),"Lao động phổ thông")</f>
        <v>Lao động phổ thông</v>
      </c>
      <c r="R198" s="24">
        <f>IFERROR(__xludf.DUMMYFUNCTION("""COMPUTED_VALUE"""),42780.0)</f>
        <v>42780</v>
      </c>
      <c r="S198" s="24">
        <f>IFERROR(__xludf.DUMMYFUNCTION("""COMPUTED_VALUE"""),43252.0)</f>
        <v>43252</v>
      </c>
      <c r="T198" s="22" t="str">
        <f>IFERROR(__xludf.DUMMYFUNCTION("""COMPUTED_VALUE"""),"Chính thức")</f>
        <v>Chính thức</v>
      </c>
      <c r="U198" s="22"/>
      <c r="V198" s="22" t="str">
        <f>IFERROR(__xludf.DUMMYFUNCTION("""COMPUTED_VALUE"""),"Chính thức")</f>
        <v>Chính thức</v>
      </c>
      <c r="W198" s="22" t="str">
        <f>IFERROR(__xludf.DUMMYFUNCTION("""COMPUTED_VALUE"""),"8 năm 10 tháng")</f>
        <v>8 năm 10 tháng</v>
      </c>
      <c r="X198" s="22"/>
      <c r="Y198" s="22"/>
      <c r="Z198" s="22"/>
    </row>
    <row r="199">
      <c r="A199" s="22">
        <f>IFERROR(__xludf.DUMMYFUNCTION("""COMPUTED_VALUE"""),2.0)</f>
        <v>2</v>
      </c>
      <c r="B199" s="22" t="str">
        <f>IFERROR(__xludf.DUMMYFUNCTION("""COMPUTED_VALUE"""),"DC5-PXSX2")</f>
        <v>DC5-PXSX2</v>
      </c>
      <c r="C199" s="22" t="str">
        <f>IFERROR(__xludf.DUMMYFUNCTION("""COMPUTED_VALUE"""),"Bộ phận Nguyên liệu và Dây chuyền gia công")</f>
        <v>Bộ phận Nguyên liệu và Dây chuyền gia công</v>
      </c>
      <c r="D199" s="22" t="str">
        <f>IFERROR(__xludf.DUMMYFUNCTION("""COMPUTED_VALUE"""),"Nghiền - Sấy phun Ca B - DC5")</f>
        <v>Nghiền - Sấy phun Ca B - DC5</v>
      </c>
      <c r="E199" s="22" t="str">
        <f>IFERROR(__xludf.DUMMYFUNCTION("""COMPUTED_VALUE"""),"VHC than xích")</f>
        <v>VHC than xích</v>
      </c>
      <c r="F199" s="22" t="str">
        <f>IFERROR(__xludf.DUMMYFUNCTION("""COMPUTED_VALUE"""),"NV0541")</f>
        <v>NV0541</v>
      </c>
      <c r="G199" s="22">
        <f>IFERROR(__xludf.DUMMYFUNCTION("""COMPUTED_VALUE"""),467.0)</f>
        <v>467</v>
      </c>
      <c r="H199" s="22" t="str">
        <f>IFERROR(__xludf.DUMMYFUNCTION("""COMPUTED_VALUE"""),"Phạm Văn Lực")</f>
        <v>Phạm Văn Lực</v>
      </c>
      <c r="I199" s="22" t="str">
        <f>IFERROR(__xludf.DUMMYFUNCTION("""COMPUTED_VALUE"""),"Nam")</f>
        <v>Nam</v>
      </c>
      <c r="J199" s="24">
        <f>IFERROR(__xludf.DUMMYFUNCTION("""COMPUTED_VALUE"""),33412.0)</f>
        <v>33412</v>
      </c>
      <c r="K199" s="22" t="str">
        <f>IFERROR(__xludf.DUMMYFUNCTION("""COMPUTED_VALUE"""),"Thôn Lễ Môn -  Xã Đông Hải -  Thành phố Thanh Hóa")</f>
        <v>Thôn Lễ Môn -  Xã Đông Hải -  Thành phố Thanh Hóa</v>
      </c>
      <c r="L199" s="22" t="str">
        <f>IFERROR(__xludf.DUMMYFUNCTION("""COMPUTED_VALUE"""),"0977367867")</f>
        <v>0977367867</v>
      </c>
      <c r="M199" s="22" t="str">
        <f>IFERROR(__xludf.DUMMYFUNCTION("""COMPUTED_VALUE"""),"038091052982")</f>
        <v>038091052982</v>
      </c>
      <c r="N199" s="26">
        <f>IFERROR(__xludf.DUMMYFUNCTION("""COMPUTED_VALUE"""),44422.0)</f>
        <v>44422</v>
      </c>
      <c r="O199" s="22" t="str">
        <f>IFERROR(__xludf.DUMMYFUNCTION("""COMPUTED_VALUE"""),"Cục Cảnh sát QLHC về TTXH")</f>
        <v>Cục Cảnh sát QLHC về TTXH</v>
      </c>
      <c r="P199" s="22" t="str">
        <f>IFERROR(__xludf.DUMMYFUNCTION("""COMPUTED_VALUE"""),"LĐPT")</f>
        <v>LĐPT</v>
      </c>
      <c r="Q199" s="22" t="str">
        <f>IFERROR(__xludf.DUMMYFUNCTION("""COMPUTED_VALUE"""),"Lao động phổ thông")</f>
        <v>Lao động phổ thông</v>
      </c>
      <c r="R199" s="24">
        <f>IFERROR(__xludf.DUMMYFUNCTION("""COMPUTED_VALUE"""),40118.0)</f>
        <v>40118</v>
      </c>
      <c r="S199" s="24">
        <f>IFERROR(__xludf.DUMMYFUNCTION("""COMPUTED_VALUE"""),40118.0)</f>
        <v>40118</v>
      </c>
      <c r="T199" s="22" t="str">
        <f>IFERROR(__xludf.DUMMYFUNCTION("""COMPUTED_VALUE"""),"Chính thức")</f>
        <v>Chính thức</v>
      </c>
      <c r="U199" s="22"/>
      <c r="V199" s="22" t="str">
        <f>IFERROR(__xludf.DUMMYFUNCTION("""COMPUTED_VALUE"""),"Chính thức")</f>
        <v>Chính thức</v>
      </c>
      <c r="W199" s="22" t="str">
        <f>IFERROR(__xludf.DUMMYFUNCTION("""COMPUTED_VALUE"""),"16 năm 1 tháng")</f>
        <v>16 năm 1 tháng</v>
      </c>
      <c r="X199" s="22"/>
      <c r="Y199" s="22"/>
      <c r="Z199" s="22"/>
    </row>
    <row r="200">
      <c r="A200" s="22">
        <f>IFERROR(__xludf.DUMMYFUNCTION("""COMPUTED_VALUE"""),3.0)</f>
        <v>3</v>
      </c>
      <c r="B200" s="22" t="str">
        <f>IFERROR(__xludf.DUMMYFUNCTION("""COMPUTED_VALUE"""),"DC5-PXSX2")</f>
        <v>DC5-PXSX2</v>
      </c>
      <c r="C200" s="22" t="str">
        <f>IFERROR(__xludf.DUMMYFUNCTION("""COMPUTED_VALUE"""),"Bộ phận Nguyên liệu và Dây chuyền gia công")</f>
        <v>Bộ phận Nguyên liệu và Dây chuyền gia công</v>
      </c>
      <c r="D200" s="22" t="str">
        <f>IFERROR(__xludf.DUMMYFUNCTION("""COMPUTED_VALUE"""),"Nghiền - Sấy phun Ca B - DC5")</f>
        <v>Nghiền - Sấy phun Ca B - DC5</v>
      </c>
      <c r="E200" s="22" t="str">
        <f>IFERROR(__xludf.DUMMYFUNCTION("""COMPUTED_VALUE"""),"VHC Nạp nghiền")</f>
        <v>VHC Nạp nghiền</v>
      </c>
      <c r="F200" s="22" t="str">
        <f>IFERROR(__xludf.DUMMYFUNCTION("""COMPUTED_VALUE"""),"NV0532")</f>
        <v>NV0532</v>
      </c>
      <c r="G200" s="22">
        <f>IFERROR(__xludf.DUMMYFUNCTION("""COMPUTED_VALUE"""),494.0)</f>
        <v>494</v>
      </c>
      <c r="H200" s="22" t="str">
        <f>IFERROR(__xludf.DUMMYFUNCTION("""COMPUTED_VALUE"""),"Bùi Văn Công")</f>
        <v>Bùi Văn Công</v>
      </c>
      <c r="I200" s="22" t="str">
        <f>IFERROR(__xludf.DUMMYFUNCTION("""COMPUTED_VALUE"""),"Nam")</f>
        <v>Nam</v>
      </c>
      <c r="J200" s="24">
        <f>IFERROR(__xludf.DUMMYFUNCTION("""COMPUTED_VALUE"""),25375.0)</f>
        <v>25375</v>
      </c>
      <c r="K200" s="22" t="str">
        <f>IFERROR(__xludf.DUMMYFUNCTION("""COMPUTED_VALUE"""),"Xã Mậu Lâm -  Huyện Như Thanh -  Thanh Hóa -  Việt Nam")</f>
        <v>Xã Mậu Lâm -  Huyện Như Thanh -  Thanh Hóa -  Việt Nam</v>
      </c>
      <c r="L200" s="22" t="str">
        <f>IFERROR(__xludf.DUMMYFUNCTION("""COMPUTED_VALUE"""),"0866826615; 0348564359")</f>
        <v>0866826615; 0348564359</v>
      </c>
      <c r="M200" s="22" t="str">
        <f>IFERROR(__xludf.DUMMYFUNCTION("""COMPUTED_VALUE"""),"038069010485")</f>
        <v>038069010485</v>
      </c>
      <c r="N200" s="26">
        <f>IFERROR(__xludf.DUMMYFUNCTION("""COMPUTED_VALUE"""),44268.0)</f>
        <v>44268</v>
      </c>
      <c r="O200" s="22" t="str">
        <f>IFERROR(__xludf.DUMMYFUNCTION("""COMPUTED_VALUE"""),"Cục Cảnh sát QLHC về TTXH")</f>
        <v>Cục Cảnh sát QLHC về TTXH</v>
      </c>
      <c r="P200" s="22" t="str">
        <f>IFERROR(__xludf.DUMMYFUNCTION("""COMPUTED_VALUE"""),"LĐPT")</f>
        <v>LĐPT</v>
      </c>
      <c r="Q200" s="22" t="str">
        <f>IFERROR(__xludf.DUMMYFUNCTION("""COMPUTED_VALUE"""),"Lao động phổ thông")</f>
        <v>Lao động phổ thông</v>
      </c>
      <c r="R200" s="24">
        <f>IFERROR(__xludf.DUMMYFUNCTION("""COMPUTED_VALUE"""),40639.0)</f>
        <v>40639</v>
      </c>
      <c r="S200" s="24">
        <f>IFERROR(__xludf.DUMMYFUNCTION("""COMPUTED_VALUE"""),40639.0)</f>
        <v>40639</v>
      </c>
      <c r="T200" s="22" t="str">
        <f>IFERROR(__xludf.DUMMYFUNCTION("""COMPUTED_VALUE"""),"Chính thức")</f>
        <v>Chính thức</v>
      </c>
      <c r="U200" s="22"/>
      <c r="V200" s="22" t="str">
        <f>IFERROR(__xludf.DUMMYFUNCTION("""COMPUTED_VALUE"""),"Chính thức")</f>
        <v>Chính thức</v>
      </c>
      <c r="W200" s="22" t="str">
        <f>IFERROR(__xludf.DUMMYFUNCTION("""COMPUTED_VALUE"""),"14 năm 8 tháng")</f>
        <v>14 năm 8 tháng</v>
      </c>
      <c r="X200" s="22"/>
      <c r="Y200" s="22"/>
      <c r="Z200" s="22"/>
    </row>
    <row r="201">
      <c r="A201" s="22">
        <f>IFERROR(__xludf.DUMMYFUNCTION("""COMPUTED_VALUE"""),4.0)</f>
        <v>4</v>
      </c>
      <c r="B201" s="22" t="str">
        <f>IFERROR(__xludf.DUMMYFUNCTION("""COMPUTED_VALUE"""),"DC5-PXSX2")</f>
        <v>DC5-PXSX2</v>
      </c>
      <c r="C201" s="22" t="str">
        <f>IFERROR(__xludf.DUMMYFUNCTION("""COMPUTED_VALUE"""),"Bộ phận Nguyên liệu và Dây chuyền gia công")</f>
        <v>Bộ phận Nguyên liệu và Dây chuyền gia công</v>
      </c>
      <c r="D201" s="22" t="str">
        <f>IFERROR(__xludf.DUMMYFUNCTION("""COMPUTED_VALUE"""),"Nghiền - Sấy phun Ca B - DC5")</f>
        <v>Nghiền - Sấy phun Ca B - DC5</v>
      </c>
      <c r="E201" s="22" t="str">
        <f>IFERROR(__xludf.DUMMYFUNCTION("""COMPUTED_VALUE"""),"VH Nạp nghiền")</f>
        <v>VH Nạp nghiền</v>
      </c>
      <c r="F201" s="22" t="str">
        <f>IFERROR(__xludf.DUMMYFUNCTION("""COMPUTED_VALUE"""),"NV4046")</f>
        <v>NV4046</v>
      </c>
      <c r="G201" s="22">
        <f>IFERROR(__xludf.DUMMYFUNCTION("""COMPUTED_VALUE"""),516.0)</f>
        <v>516</v>
      </c>
      <c r="H201" s="22" t="str">
        <f>IFERROR(__xludf.DUMMYFUNCTION("""COMPUTED_VALUE"""),"Lê Hữu Quyền")</f>
        <v>Lê Hữu Quyền</v>
      </c>
      <c r="I201" s="22" t="str">
        <f>IFERROR(__xludf.DUMMYFUNCTION("""COMPUTED_VALUE"""),"Nam")</f>
        <v>Nam</v>
      </c>
      <c r="J201" s="24">
        <f>IFERROR(__xludf.DUMMYFUNCTION("""COMPUTED_VALUE"""),27190.0)</f>
        <v>27190</v>
      </c>
      <c r="K201" s="22" t="str">
        <f>IFERROR(__xludf.DUMMYFUNCTION("""COMPUTED_VALUE"""),"Thị trấn Tân Phong -  Huyện Quảng Xương -  Thanh Hóa")</f>
        <v>Thị trấn Tân Phong -  Huyện Quảng Xương -  Thanh Hóa</v>
      </c>
      <c r="L201" s="22" t="str">
        <f>IFERROR(__xludf.DUMMYFUNCTION("""COMPUTED_VALUE"""),"0932381160")</f>
        <v>0932381160</v>
      </c>
      <c r="M201" s="22" t="str">
        <f>IFERROR(__xludf.DUMMYFUNCTION("""COMPUTED_VALUE"""),"038074011998")</f>
        <v>038074011998</v>
      </c>
      <c r="N201" s="26">
        <f>IFERROR(__xludf.DUMMYFUNCTION("""COMPUTED_VALUE"""),44546.0)</f>
        <v>44546</v>
      </c>
      <c r="O201" s="22" t="str">
        <f>IFERROR(__xludf.DUMMYFUNCTION("""COMPUTED_VALUE"""),"Cục Cảnh sát QLHC về TTXH")</f>
        <v>Cục Cảnh sát QLHC về TTXH</v>
      </c>
      <c r="P201" s="22" t="str">
        <f>IFERROR(__xludf.DUMMYFUNCTION("""COMPUTED_VALUE"""),"LĐPT")</f>
        <v>LĐPT</v>
      </c>
      <c r="Q201" s="22" t="str">
        <f>IFERROR(__xludf.DUMMYFUNCTION("""COMPUTED_VALUE"""),"Lao động phổ thông")</f>
        <v>Lao động phổ thông</v>
      </c>
      <c r="R201" s="24">
        <f>IFERROR(__xludf.DUMMYFUNCTION("""COMPUTED_VALUE"""),44619.0)</f>
        <v>44619</v>
      </c>
      <c r="S201" s="24">
        <f>IFERROR(__xludf.DUMMYFUNCTION("""COMPUTED_VALUE"""),44986.0)</f>
        <v>44986</v>
      </c>
      <c r="T201" s="22" t="str">
        <f>IFERROR(__xludf.DUMMYFUNCTION("""COMPUTED_VALUE"""),"Chính thức")</f>
        <v>Chính thức</v>
      </c>
      <c r="U201" s="22"/>
      <c r="V201" s="22" t="str">
        <f>IFERROR(__xludf.DUMMYFUNCTION("""COMPUTED_VALUE"""),"Chính thức")</f>
        <v>Chính thức</v>
      </c>
      <c r="W201" s="22" t="str">
        <f>IFERROR(__xludf.DUMMYFUNCTION("""COMPUTED_VALUE"""),"3 năm 10 tháng")</f>
        <v>3 năm 10 tháng</v>
      </c>
      <c r="X201" s="22"/>
      <c r="Y201" s="22"/>
      <c r="Z201" s="22"/>
    </row>
    <row r="202">
      <c r="A202" s="22">
        <f>IFERROR(__xludf.DUMMYFUNCTION("""COMPUTED_VALUE"""),5.0)</f>
        <v>5</v>
      </c>
      <c r="B202" s="22" t="str">
        <f>IFERROR(__xludf.DUMMYFUNCTION("""COMPUTED_VALUE"""),"DC5-PXSX2")</f>
        <v>DC5-PXSX2</v>
      </c>
      <c r="C202" s="22" t="str">
        <f>IFERROR(__xludf.DUMMYFUNCTION("""COMPUTED_VALUE"""),"Bộ phận Nguyên liệu và Dây chuyền gia công")</f>
        <v>Bộ phận Nguyên liệu và Dây chuyền gia công</v>
      </c>
      <c r="D202" s="22" t="str">
        <f>IFERROR(__xludf.DUMMYFUNCTION("""COMPUTED_VALUE"""),"Nghiền - Sấy phun Ca B - DC5")</f>
        <v>Nghiền - Sấy phun Ca B - DC5</v>
      </c>
      <c r="E202" s="22" t="str">
        <f>IFERROR(__xludf.DUMMYFUNCTION("""COMPUTED_VALUE"""),"VH Nạp nghiền")</f>
        <v>VH Nạp nghiền</v>
      </c>
      <c r="F202" s="22" t="str">
        <f>IFERROR(__xludf.DUMMYFUNCTION("""COMPUTED_VALUE"""),"NV2414")</f>
        <v>NV2414</v>
      </c>
      <c r="G202" s="22">
        <f>IFERROR(__xludf.DUMMYFUNCTION("""COMPUTED_VALUE"""),466.0)</f>
        <v>466</v>
      </c>
      <c r="H202" s="22" t="str">
        <f>IFERROR(__xludf.DUMMYFUNCTION("""COMPUTED_VALUE"""),"Hoàng Khắc Hùng")</f>
        <v>Hoàng Khắc Hùng</v>
      </c>
      <c r="I202" s="22" t="str">
        <f>IFERROR(__xludf.DUMMYFUNCTION("""COMPUTED_VALUE"""),"Nam")</f>
        <v>Nam</v>
      </c>
      <c r="J202" s="24">
        <f>IFERROR(__xludf.DUMMYFUNCTION("""COMPUTED_VALUE"""),28264.0)</f>
        <v>28264</v>
      </c>
      <c r="K202" s="22" t="str">
        <f>IFERROR(__xludf.DUMMYFUNCTION("""COMPUTED_VALUE"""),"Quảng Trạch - Quảng Xương - Thanh Hóa")</f>
        <v>Quảng Trạch - Quảng Xương - Thanh Hóa</v>
      </c>
      <c r="L202" s="22" t="str">
        <f>IFERROR(__xludf.DUMMYFUNCTION("""COMPUTED_VALUE"""),"0379644362")</f>
        <v>0379644362</v>
      </c>
      <c r="M202" s="22" t="str">
        <f>IFERROR(__xludf.DUMMYFUNCTION("""COMPUTED_VALUE"""),"038077029478")</f>
        <v>038077029478</v>
      </c>
      <c r="N202" s="26">
        <f>IFERROR(__xludf.DUMMYFUNCTION("""COMPUTED_VALUE"""),44375.0)</f>
        <v>44375</v>
      </c>
      <c r="O202" s="22" t="str">
        <f>IFERROR(__xludf.DUMMYFUNCTION("""COMPUTED_VALUE"""),"Cục Cảnh sát QLHC về TTXH")</f>
        <v>Cục Cảnh sát QLHC về TTXH</v>
      </c>
      <c r="P202" s="22" t="str">
        <f>IFERROR(__xludf.DUMMYFUNCTION("""COMPUTED_VALUE"""),"LĐPT")</f>
        <v>LĐPT</v>
      </c>
      <c r="Q202" s="22" t="str">
        <f>IFERROR(__xludf.DUMMYFUNCTION("""COMPUTED_VALUE"""),"Lao động phổ thông")</f>
        <v>Lao động phổ thông</v>
      </c>
      <c r="R202" s="24">
        <f>IFERROR(__xludf.DUMMYFUNCTION("""COMPUTED_VALUE"""),43618.0)</f>
        <v>43618</v>
      </c>
      <c r="S202" s="24">
        <f>IFERROR(__xludf.DUMMYFUNCTION("""COMPUTED_VALUE"""),44013.0)</f>
        <v>44013</v>
      </c>
      <c r="T202" s="22" t="str">
        <f>IFERROR(__xludf.DUMMYFUNCTION("""COMPUTED_VALUE"""),"Chính thức")</f>
        <v>Chính thức</v>
      </c>
      <c r="U202" s="22"/>
      <c r="V202" s="22" t="str">
        <f>IFERROR(__xludf.DUMMYFUNCTION("""COMPUTED_VALUE"""),"Chính thức")</f>
        <v>Chính thức</v>
      </c>
      <c r="W202" s="22" t="str">
        <f>IFERROR(__xludf.DUMMYFUNCTION("""COMPUTED_VALUE"""),"6 năm 6 tháng")</f>
        <v>6 năm 6 tháng</v>
      </c>
      <c r="X202" s="22"/>
      <c r="Y202" s="22"/>
      <c r="Z202" s="22"/>
    </row>
    <row r="203">
      <c r="A203" s="22">
        <f>IFERROR(__xludf.DUMMYFUNCTION("""COMPUTED_VALUE"""),6.0)</f>
        <v>6</v>
      </c>
      <c r="B203" s="22" t="str">
        <f>IFERROR(__xludf.DUMMYFUNCTION("""COMPUTED_VALUE"""),"DC5-PXSX2")</f>
        <v>DC5-PXSX2</v>
      </c>
      <c r="C203" s="22" t="str">
        <f>IFERROR(__xludf.DUMMYFUNCTION("""COMPUTED_VALUE"""),"Bộ phận Nguyên liệu và Dây chuyền gia công")</f>
        <v>Bộ phận Nguyên liệu và Dây chuyền gia công</v>
      </c>
      <c r="D203" s="22" t="str">
        <f>IFERROR(__xludf.DUMMYFUNCTION("""COMPUTED_VALUE"""),"Nghiền - Sấy phun Ca B - DC5")</f>
        <v>Nghiền - Sấy phun Ca B - DC5</v>
      </c>
      <c r="E203" s="22" t="str">
        <f>IFERROR(__xludf.DUMMYFUNCTION("""COMPUTED_VALUE"""),"VH Nạp nghiền")</f>
        <v>VH Nạp nghiền</v>
      </c>
      <c r="F203" s="22" t="str">
        <f>IFERROR(__xludf.DUMMYFUNCTION("""COMPUTED_VALUE"""),"NV5290")</f>
        <v>NV5290</v>
      </c>
      <c r="G203" s="22">
        <f>IFERROR(__xludf.DUMMYFUNCTION("""COMPUTED_VALUE"""),763.0)</f>
        <v>763</v>
      </c>
      <c r="H203" s="22" t="str">
        <f>IFERROR(__xludf.DUMMYFUNCTION("""COMPUTED_VALUE"""),"Trần Kim Năm")</f>
        <v>Trần Kim Năm</v>
      </c>
      <c r="I203" s="22" t="str">
        <f>IFERROR(__xludf.DUMMYFUNCTION("""COMPUTED_VALUE"""),"Nam")</f>
        <v>Nam</v>
      </c>
      <c r="J203" s="24">
        <f>IFERROR(__xludf.DUMMYFUNCTION("""COMPUTED_VALUE"""),33732.0)</f>
        <v>33732</v>
      </c>
      <c r="K203" s="22" t="str">
        <f>IFERROR(__xludf.DUMMYFUNCTION("""COMPUTED_VALUE"""),"thôn 8 -  Quảng Thái -  Quảng Xương -  Thanh Hóa")</f>
        <v>thôn 8 -  Quảng Thái -  Quảng Xương -  Thanh Hóa</v>
      </c>
      <c r="L203" s="22" t="str">
        <f>IFERROR(__xludf.DUMMYFUNCTION("""COMPUTED_VALUE"""),"0869938352")</f>
        <v>0869938352</v>
      </c>
      <c r="M203" s="22" t="str">
        <f>IFERROR(__xludf.DUMMYFUNCTION("""COMPUTED_VALUE"""),"038092038083")</f>
        <v>038092038083</v>
      </c>
      <c r="N203" s="26">
        <f>IFERROR(__xludf.DUMMYFUNCTION("""COMPUTED_VALUE"""),44707.0)</f>
        <v>44707</v>
      </c>
      <c r="O203" s="22" t="str">
        <f>IFERROR(__xludf.DUMMYFUNCTION("""COMPUTED_VALUE"""),"Cục Cảnh sát QLHC về TTXH")</f>
        <v>Cục Cảnh sát QLHC về TTXH</v>
      </c>
      <c r="P203" s="22" t="str">
        <f>IFERROR(__xludf.DUMMYFUNCTION("""COMPUTED_VALUE"""),"LĐPT")</f>
        <v>LĐPT</v>
      </c>
      <c r="Q203" s="22" t="str">
        <f>IFERROR(__xludf.DUMMYFUNCTION("""COMPUTED_VALUE"""),"Lao động phổ thông")</f>
        <v>Lao động phổ thông</v>
      </c>
      <c r="R203" s="24">
        <f>IFERROR(__xludf.DUMMYFUNCTION("""COMPUTED_VALUE"""),45465.0)</f>
        <v>45465</v>
      </c>
      <c r="S203" s="24">
        <f>IFERROR(__xludf.DUMMYFUNCTION("""COMPUTED_VALUE"""),45536.0)</f>
        <v>45536</v>
      </c>
      <c r="T203" s="22" t="str">
        <f>IFERROR(__xludf.DUMMYFUNCTION("""COMPUTED_VALUE"""),"Chính thức")</f>
        <v>Chính thức</v>
      </c>
      <c r="U203" s="22"/>
      <c r="V203" s="22" t="str">
        <f>IFERROR(__xludf.DUMMYFUNCTION("""COMPUTED_VALUE"""),"Chính thức")</f>
        <v>Chính thức</v>
      </c>
      <c r="W203" s="22" t="str">
        <f>IFERROR(__xludf.DUMMYFUNCTION("""COMPUTED_VALUE"""),"1 năm 6 tháng")</f>
        <v>1 năm 6 tháng</v>
      </c>
      <c r="X203" s="22"/>
      <c r="Y203" s="22"/>
      <c r="Z203" s="22"/>
    </row>
    <row r="204">
      <c r="A204" s="22">
        <f>IFERROR(__xludf.DUMMYFUNCTION("""COMPUTED_VALUE"""),7.0)</f>
        <v>7</v>
      </c>
      <c r="B204" s="22" t="str">
        <f>IFERROR(__xludf.DUMMYFUNCTION("""COMPUTED_VALUE"""),"DC5-PXSX2")</f>
        <v>DC5-PXSX2</v>
      </c>
      <c r="C204" s="22" t="str">
        <f>IFERROR(__xludf.DUMMYFUNCTION("""COMPUTED_VALUE"""),"Bộ phận Nguyên liệu và Dây chuyền gia công")</f>
        <v>Bộ phận Nguyên liệu và Dây chuyền gia công</v>
      </c>
      <c r="D204" s="22" t="str">
        <f>IFERROR(__xludf.DUMMYFUNCTION("""COMPUTED_VALUE"""),"Nghiền - Sấy phun Ca B - DC5")</f>
        <v>Nghiền - Sấy phun Ca B - DC5</v>
      </c>
      <c r="E204" s="22" t="str">
        <f>IFERROR(__xludf.DUMMYFUNCTION("""COMPUTED_VALUE"""),"Tổ phó")</f>
        <v>Tổ phó</v>
      </c>
      <c r="F204" s="22" t="str">
        <f>IFERROR(__xludf.DUMMYFUNCTION("""COMPUTED_VALUE"""),"NV1711")</f>
        <v>NV1711</v>
      </c>
      <c r="G204" s="22">
        <f>IFERROR(__xludf.DUMMYFUNCTION("""COMPUTED_VALUE"""),856.0)</f>
        <v>856</v>
      </c>
      <c r="H204" s="22" t="str">
        <f>IFERROR(__xludf.DUMMYFUNCTION("""COMPUTED_VALUE"""),"Hoàng Văn Đông")</f>
        <v>Hoàng Văn Đông</v>
      </c>
      <c r="I204" s="22" t="str">
        <f>IFERROR(__xludf.DUMMYFUNCTION("""COMPUTED_VALUE"""),"Nam")</f>
        <v>Nam</v>
      </c>
      <c r="J204" s="24">
        <f>IFERROR(__xludf.DUMMYFUNCTION("""COMPUTED_VALUE"""),34190.0)</f>
        <v>34190</v>
      </c>
      <c r="K204" s="22" t="str">
        <f>IFERROR(__xludf.DUMMYFUNCTION("""COMPUTED_VALUE"""),"Quảng Trường - Quảng Xương - Thanh Hóa - Thanh Hóa")</f>
        <v>Quảng Trường - Quảng Xương - Thanh Hóa - Thanh Hóa</v>
      </c>
      <c r="L204" s="22" t="str">
        <f>IFERROR(__xludf.DUMMYFUNCTION("""COMPUTED_VALUE"""),"0964646854")</f>
        <v>0964646854</v>
      </c>
      <c r="M204" s="22" t="str">
        <f>IFERROR(__xludf.DUMMYFUNCTION("""COMPUTED_VALUE"""),"038093019735")</f>
        <v>038093019735</v>
      </c>
      <c r="N204" s="26">
        <f>IFERROR(__xludf.DUMMYFUNCTION("""COMPUTED_VALUE"""),45095.0)</f>
        <v>45095</v>
      </c>
      <c r="O204" s="22" t="str">
        <f>IFERROR(__xludf.DUMMYFUNCTION("""COMPUTED_VALUE"""),"Cục Cảnh sát QLHC về TTXH")</f>
        <v>Cục Cảnh sát QLHC về TTXH</v>
      </c>
      <c r="P204" s="22" t="str">
        <f>IFERROR(__xludf.DUMMYFUNCTION("""COMPUTED_VALUE"""),"LĐPT")</f>
        <v>LĐPT</v>
      </c>
      <c r="Q204" s="22" t="str">
        <f>IFERROR(__xludf.DUMMYFUNCTION("""COMPUTED_VALUE"""),"Lao động phổ thông")</f>
        <v>Lao động phổ thông</v>
      </c>
      <c r="R204" s="24">
        <f>IFERROR(__xludf.DUMMYFUNCTION("""COMPUTED_VALUE"""),42420.0)</f>
        <v>42420</v>
      </c>
      <c r="S204" s="24">
        <f>IFERROR(__xludf.DUMMYFUNCTION("""COMPUTED_VALUE"""),42856.0)</f>
        <v>42856</v>
      </c>
      <c r="T204" s="22" t="str">
        <f>IFERROR(__xludf.DUMMYFUNCTION("""COMPUTED_VALUE"""),"Chính thức")</f>
        <v>Chính thức</v>
      </c>
      <c r="U204" s="22"/>
      <c r="V204" s="22" t="str">
        <f>IFERROR(__xludf.DUMMYFUNCTION("""COMPUTED_VALUE"""),"Chính thức")</f>
        <v>Chính thức</v>
      </c>
      <c r="W204" s="22" t="str">
        <f>IFERROR(__xludf.DUMMYFUNCTION("""COMPUTED_VALUE"""),"9 năm 10 tháng")</f>
        <v>9 năm 10 tháng</v>
      </c>
      <c r="X204" s="22"/>
      <c r="Y204" s="22"/>
      <c r="Z204" s="22"/>
    </row>
    <row r="205">
      <c r="A205" s="22">
        <f>IFERROR(__xludf.DUMMYFUNCTION("""COMPUTED_VALUE"""),8.0)</f>
        <v>8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8">
        <f>IFERROR(__xludf.DUMMYFUNCTION("""COMPUTED_VALUE"""),45721.0)</f>
        <v>45721</v>
      </c>
      <c r="B206" s="22" t="str">
        <f>IFERROR(__xludf.DUMMYFUNCTION("""COMPUTED_VALUE"""),"Nghiền - Sấy phun Ca C - DC5")</f>
        <v>Nghiền - Sấy phun Ca C - DC5</v>
      </c>
      <c r="C206" s="22">
        <f>IFERROR(__xludf.DUMMYFUNCTION("""COMPUTED_VALUE"""),0.0)</f>
        <v>0</v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>
        <f>IFERROR(__xludf.DUMMYFUNCTION("""COMPUTED_VALUE"""),1.0)</f>
        <v>1</v>
      </c>
      <c r="B207" s="22" t="str">
        <f>IFERROR(__xludf.DUMMYFUNCTION("""COMPUTED_VALUE"""),"#N/A")</f>
        <v>#N/A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>
        <f>IFERROR(__xludf.DUMMYFUNCTION("""COMPUTED_VALUE"""),2.0)</f>
        <v>2</v>
      </c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>
        <f>IFERROR(__xludf.DUMMYFUNCTION("""COMPUTED_VALUE"""),3.0)</f>
        <v>3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>
        <f>IFERROR(__xludf.DUMMYFUNCTION("""COMPUTED_VALUE"""),4.0)</f>
        <v>4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>
        <f>IFERROR(__xludf.DUMMYFUNCTION("""COMPUTED_VALUE"""),5.0)</f>
        <v>5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>
        <f>IFERROR(__xludf.DUMMYFUNCTION("""COMPUTED_VALUE"""),6.0)</f>
        <v>6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>
        <f>IFERROR(__xludf.DUMMYFUNCTION("""COMPUTED_VALUE"""),7.0)</f>
        <v>7</v>
      </c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>
        <f>IFERROR(__xludf.DUMMYFUNCTION("""COMPUTED_VALUE"""),8.0)</f>
        <v>8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8">
        <f>IFERROR(__xludf.DUMMYFUNCTION("""COMPUTED_VALUE"""),45752.0)</f>
        <v>45752</v>
      </c>
      <c r="B215" s="22" t="str">
        <f>IFERROR(__xludf.DUMMYFUNCTION("""COMPUTED_VALUE"""),"Nghiền - Sấy phun Ca A - DC6")</f>
        <v>Nghiền - Sấy phun Ca A - DC6</v>
      </c>
      <c r="C215" s="22">
        <f>IFERROR(__xludf.DUMMYFUNCTION("""COMPUTED_VALUE"""),5.0)</f>
        <v>5</v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>
        <f>IFERROR(__xludf.DUMMYFUNCTION("""COMPUTED_VALUE"""),1.0)</f>
        <v>1</v>
      </c>
      <c r="B216" s="22" t="str">
        <f>IFERROR(__xludf.DUMMYFUNCTION("""COMPUTED_VALUE"""),"DC6-PXSX2")</f>
        <v>DC6-PXSX2</v>
      </c>
      <c r="C216" s="22" t="str">
        <f>IFERROR(__xludf.DUMMYFUNCTION("""COMPUTED_VALUE"""),"Bộ phận Nguyên liệu và Dây chuyền gia công")</f>
        <v>Bộ phận Nguyên liệu và Dây chuyền gia công</v>
      </c>
      <c r="D216" s="22" t="str">
        <f>IFERROR(__xludf.DUMMYFUNCTION("""COMPUTED_VALUE"""),"Nghiền - Sấy phun Ca A - DC6")</f>
        <v>Nghiền - Sấy phun Ca A - DC6</v>
      </c>
      <c r="E216" s="22" t="str">
        <f>IFERROR(__xludf.DUMMYFUNCTION("""COMPUTED_VALUE"""),"Tổ phó")</f>
        <v>Tổ phó</v>
      </c>
      <c r="F216" s="22" t="str">
        <f>IFERROR(__xludf.DUMMYFUNCTION("""COMPUTED_VALUE"""),"NV1903")</f>
        <v>NV1903</v>
      </c>
      <c r="G216" s="22">
        <f>IFERROR(__xludf.DUMMYFUNCTION("""COMPUTED_VALUE"""),469.0)</f>
        <v>469</v>
      </c>
      <c r="H216" s="22" t="str">
        <f>IFERROR(__xludf.DUMMYFUNCTION("""COMPUTED_VALUE"""),"Nguyễn Thế Tài")</f>
        <v>Nguyễn Thế Tài</v>
      </c>
      <c r="I216" s="22" t="str">
        <f>IFERROR(__xludf.DUMMYFUNCTION("""COMPUTED_VALUE"""),"Nam")</f>
        <v>Nam</v>
      </c>
      <c r="J216" s="24">
        <f>IFERROR(__xludf.DUMMYFUNCTION("""COMPUTED_VALUE"""),30318.0)</f>
        <v>30318</v>
      </c>
      <c r="K216" s="22" t="str">
        <f>IFERROR(__xludf.DUMMYFUNCTION("""COMPUTED_VALUE"""),"Thôn 1 -  Xã Quảng Đại -  Thành phố Sầm Sơn -  Thanh Hóa - ")</f>
        <v>Thôn 1 -  Xã Quảng Đại -  Thành phố Sầm Sơn -  Thanh Hóa - </v>
      </c>
      <c r="L216" s="22" t="str">
        <f>IFERROR(__xludf.DUMMYFUNCTION("""COMPUTED_VALUE"""),"0987547105")</f>
        <v>0987547105</v>
      </c>
      <c r="M216" s="22" t="str">
        <f>IFERROR(__xludf.DUMMYFUNCTION("""COMPUTED_VALUE"""),"038083022335")</f>
        <v>038083022335</v>
      </c>
      <c r="N216" s="26">
        <f>IFERROR(__xludf.DUMMYFUNCTION("""COMPUTED_VALUE"""),44308.0)</f>
        <v>44308</v>
      </c>
      <c r="O216" s="22" t="str">
        <f>IFERROR(__xludf.DUMMYFUNCTION("""COMPUTED_VALUE"""),"Cục Cảnh sát QLHC về TTXH")</f>
        <v>Cục Cảnh sát QLHC về TTXH</v>
      </c>
      <c r="P216" s="22" t="str">
        <f>IFERROR(__xludf.DUMMYFUNCTION("""COMPUTED_VALUE"""),"LĐPT")</f>
        <v>LĐPT</v>
      </c>
      <c r="Q216" s="22" t="str">
        <f>IFERROR(__xludf.DUMMYFUNCTION("""COMPUTED_VALUE"""),"Lao động phổ thông")</f>
        <v>Lao động phổ thông</v>
      </c>
      <c r="R216" s="24">
        <f>IFERROR(__xludf.DUMMYFUNCTION("""COMPUTED_VALUE"""),43383.0)</f>
        <v>43383</v>
      </c>
      <c r="S216" s="24">
        <f>IFERROR(__xludf.DUMMYFUNCTION("""COMPUTED_VALUE"""),43739.0)</f>
        <v>43739</v>
      </c>
      <c r="T216" s="22" t="str">
        <f>IFERROR(__xludf.DUMMYFUNCTION("""COMPUTED_VALUE"""),"Chính thức")</f>
        <v>Chính thức</v>
      </c>
      <c r="U216" s="22"/>
      <c r="V216" s="22" t="str">
        <f>IFERROR(__xludf.DUMMYFUNCTION("""COMPUTED_VALUE"""),"Chính thức")</f>
        <v>Chính thức</v>
      </c>
      <c r="W216" s="22" t="str">
        <f>IFERROR(__xludf.DUMMYFUNCTION("""COMPUTED_VALUE"""),"7 năm 2 tháng")</f>
        <v>7 năm 2 tháng</v>
      </c>
      <c r="X216" s="22"/>
      <c r="Y216" s="22"/>
      <c r="Z216" s="22"/>
    </row>
    <row r="217">
      <c r="A217" s="22">
        <f>IFERROR(__xludf.DUMMYFUNCTION("""COMPUTED_VALUE"""),2.0)</f>
        <v>2</v>
      </c>
      <c r="B217" s="22" t="str">
        <f>IFERROR(__xludf.DUMMYFUNCTION("""COMPUTED_VALUE"""),"DC6-PXSX2")</f>
        <v>DC6-PXSX2</v>
      </c>
      <c r="C217" s="22" t="str">
        <f>IFERROR(__xludf.DUMMYFUNCTION("""COMPUTED_VALUE"""),"Bộ phận Nguyên liệu và Dây chuyền gia công")</f>
        <v>Bộ phận Nguyên liệu và Dây chuyền gia công</v>
      </c>
      <c r="D217" s="22" t="str">
        <f>IFERROR(__xludf.DUMMYFUNCTION("""COMPUTED_VALUE"""),"Nghiền - Sấy phun Ca A - DC6")</f>
        <v>Nghiền - Sấy phun Ca A - DC6</v>
      </c>
      <c r="E217" s="22" t="str">
        <f>IFERROR(__xludf.DUMMYFUNCTION("""COMPUTED_VALUE"""),"VH chính sấy phun mức 1")</f>
        <v>VH chính sấy phun mức 1</v>
      </c>
      <c r="F217" s="22" t="str">
        <f>IFERROR(__xludf.DUMMYFUNCTION("""COMPUTED_VALUE"""),"NV0538")</f>
        <v>NV0538</v>
      </c>
      <c r="G217" s="22">
        <f>IFERROR(__xludf.DUMMYFUNCTION("""COMPUTED_VALUE"""),410.0)</f>
        <v>410</v>
      </c>
      <c r="H217" s="22" t="str">
        <f>IFERROR(__xludf.DUMMYFUNCTION("""COMPUTED_VALUE"""),"Đỗ Như Giang")</f>
        <v>Đỗ Như Giang</v>
      </c>
      <c r="I217" s="22" t="str">
        <f>IFERROR(__xludf.DUMMYFUNCTION("""COMPUTED_VALUE"""),"Nam")</f>
        <v>Nam</v>
      </c>
      <c r="J217" s="24">
        <f>IFERROR(__xludf.DUMMYFUNCTION("""COMPUTED_VALUE"""),30988.0)</f>
        <v>30988</v>
      </c>
      <c r="K217" s="22" t="str">
        <f>IFERROR(__xludf.DUMMYFUNCTION("""COMPUTED_VALUE"""),"KP.Yên Định -  Xã Quảng Châu -  Thành phố Sầm Sơn -  Thanh Hóa")</f>
        <v>KP.Yên Định -  Xã Quảng Châu -  Thành phố Sầm Sơn -  Thanh Hóa</v>
      </c>
      <c r="L217" s="22" t="str">
        <f>IFERROR(__xludf.DUMMYFUNCTION("""COMPUTED_VALUE"""),"0396253607")</f>
        <v>0396253607</v>
      </c>
      <c r="M217" s="22" t="str">
        <f>IFERROR(__xludf.DUMMYFUNCTION("""COMPUTED_VALUE"""),"038084048870")</f>
        <v>038084048870</v>
      </c>
      <c r="N217" s="26">
        <f>IFERROR(__xludf.DUMMYFUNCTION("""COMPUTED_VALUE"""),44428.0)</f>
        <v>44428</v>
      </c>
      <c r="O217" s="22" t="str">
        <f>IFERROR(__xludf.DUMMYFUNCTION("""COMPUTED_VALUE"""),"Cục Cảnh sát QLHC về TTXH")</f>
        <v>Cục Cảnh sát QLHC về TTXH</v>
      </c>
      <c r="P217" s="22" t="str">
        <f>IFERROR(__xludf.DUMMYFUNCTION("""COMPUTED_VALUE"""),"LĐPT")</f>
        <v>LĐPT</v>
      </c>
      <c r="Q217" s="22" t="str">
        <f>IFERROR(__xludf.DUMMYFUNCTION("""COMPUTED_VALUE"""),"Lao động phổ thông")</f>
        <v>Lao động phổ thông</v>
      </c>
      <c r="R217" s="24">
        <f>IFERROR(__xludf.DUMMYFUNCTION("""COMPUTED_VALUE"""),41382.0)</f>
        <v>41382</v>
      </c>
      <c r="S217" s="24">
        <f>IFERROR(__xludf.DUMMYFUNCTION("""COMPUTED_VALUE"""),41382.0)</f>
        <v>41382</v>
      </c>
      <c r="T217" s="22" t="str">
        <f>IFERROR(__xludf.DUMMYFUNCTION("""COMPUTED_VALUE"""),"Chính thức")</f>
        <v>Chính thức</v>
      </c>
      <c r="U217" s="22"/>
      <c r="V217" s="22" t="str">
        <f>IFERROR(__xludf.DUMMYFUNCTION("""COMPUTED_VALUE"""),"Chính thức")</f>
        <v>Chính thức</v>
      </c>
      <c r="W217" s="22" t="str">
        <f>IFERROR(__xludf.DUMMYFUNCTION("""COMPUTED_VALUE"""),"12 năm 8 tháng")</f>
        <v>12 năm 8 tháng</v>
      </c>
      <c r="X217" s="22"/>
      <c r="Y217" s="22"/>
      <c r="Z217" s="22"/>
    </row>
    <row r="218">
      <c r="A218" s="22">
        <f>IFERROR(__xludf.DUMMYFUNCTION("""COMPUTED_VALUE"""),3.0)</f>
        <v>3</v>
      </c>
      <c r="B218" s="22" t="str">
        <f>IFERROR(__xludf.DUMMYFUNCTION("""COMPUTED_VALUE"""),"DC6-PXSX2")</f>
        <v>DC6-PXSX2</v>
      </c>
      <c r="C218" s="22" t="str">
        <f>IFERROR(__xludf.DUMMYFUNCTION("""COMPUTED_VALUE"""),"Bộ phận Nguyên liệu và Dây chuyền gia công")</f>
        <v>Bộ phận Nguyên liệu và Dây chuyền gia công</v>
      </c>
      <c r="D218" s="22" t="str">
        <f>IFERROR(__xludf.DUMMYFUNCTION("""COMPUTED_VALUE"""),"Nghiền - Sấy phun Ca A - DC6")</f>
        <v>Nghiền - Sấy phun Ca A - DC6</v>
      </c>
      <c r="E218" s="22" t="str">
        <f>IFERROR(__xludf.DUMMYFUNCTION("""COMPUTED_VALUE"""),"VHC Nạp nghiền")</f>
        <v>VHC Nạp nghiền</v>
      </c>
      <c r="F218" s="22" t="str">
        <f>IFERROR(__xludf.DUMMYFUNCTION("""COMPUTED_VALUE"""),"NV0543")</f>
        <v>NV0543</v>
      </c>
      <c r="G218" s="22">
        <f>IFERROR(__xludf.DUMMYFUNCTION("""COMPUTED_VALUE"""),450.0)</f>
        <v>450</v>
      </c>
      <c r="H218" s="22" t="str">
        <f>IFERROR(__xludf.DUMMYFUNCTION("""COMPUTED_VALUE"""),"Hoàng Văn Hùng")</f>
        <v>Hoàng Văn Hùng</v>
      </c>
      <c r="I218" s="22" t="str">
        <f>IFERROR(__xludf.DUMMYFUNCTION("""COMPUTED_VALUE"""),"Nam")</f>
        <v>Nam</v>
      </c>
      <c r="J218" s="24">
        <f>IFERROR(__xludf.DUMMYFUNCTION("""COMPUTED_VALUE"""),31649.0)</f>
        <v>31649</v>
      </c>
      <c r="K218" s="22" t="str">
        <f>IFERROR(__xludf.DUMMYFUNCTION("""COMPUTED_VALUE"""),"Thôn 4 -  Xã Quảng Cát -  Thành phố Thanh Hóa")</f>
        <v>Thôn 4 -  Xã Quảng Cát -  Thành phố Thanh Hóa</v>
      </c>
      <c r="L218" s="22" t="str">
        <f>IFERROR(__xludf.DUMMYFUNCTION("""COMPUTED_VALUE"""),"0988115292")</f>
        <v>0988115292</v>
      </c>
      <c r="M218" s="22" t="str">
        <f>IFERROR(__xludf.DUMMYFUNCTION("""COMPUTED_VALUE"""),"038086044934")</f>
        <v>038086044934</v>
      </c>
      <c r="N218" s="26">
        <f>IFERROR(__xludf.DUMMYFUNCTION("""COMPUTED_VALUE"""),44422.0)</f>
        <v>44422</v>
      </c>
      <c r="O218" s="22" t="str">
        <f>IFERROR(__xludf.DUMMYFUNCTION("""COMPUTED_VALUE"""),"Cục Cảnh sát QLHC về TTXH")</f>
        <v>Cục Cảnh sát QLHC về TTXH</v>
      </c>
      <c r="P218" s="22" t="str">
        <f>IFERROR(__xludf.DUMMYFUNCTION("""COMPUTED_VALUE"""),"Trung cấp")</f>
        <v>Trung cấp</v>
      </c>
      <c r="Q218" s="22" t="str">
        <f>IFERROR(__xludf.DUMMYFUNCTION("""COMPUTED_VALUE"""),"Thợ nề")</f>
        <v>Thợ nề</v>
      </c>
      <c r="R218" s="24">
        <f>IFERROR(__xludf.DUMMYFUNCTION("""COMPUTED_VALUE"""),42156.0)</f>
        <v>42156</v>
      </c>
      <c r="S218" s="24">
        <f>IFERROR(__xludf.DUMMYFUNCTION("""COMPUTED_VALUE"""),42156.0)</f>
        <v>42156</v>
      </c>
      <c r="T218" s="22" t="str">
        <f>IFERROR(__xludf.DUMMYFUNCTION("""COMPUTED_VALUE"""),"Chính thức")</f>
        <v>Chính thức</v>
      </c>
      <c r="U218" s="22"/>
      <c r="V218" s="22" t="str">
        <f>IFERROR(__xludf.DUMMYFUNCTION("""COMPUTED_VALUE"""),"Chính thức")</f>
        <v>Chính thức</v>
      </c>
      <c r="W218" s="22" t="str">
        <f>IFERROR(__xludf.DUMMYFUNCTION("""COMPUTED_VALUE"""),"10 năm 6 tháng")</f>
        <v>10 năm 6 tháng</v>
      </c>
      <c r="X218" s="22"/>
      <c r="Y218" s="22"/>
      <c r="Z218" s="22"/>
    </row>
    <row r="219">
      <c r="A219" s="22">
        <f>IFERROR(__xludf.DUMMYFUNCTION("""COMPUTED_VALUE"""),4.0)</f>
        <v>4</v>
      </c>
      <c r="B219" s="22" t="str">
        <f>IFERROR(__xludf.DUMMYFUNCTION("""COMPUTED_VALUE"""),"DC6-PXSX2")</f>
        <v>DC6-PXSX2</v>
      </c>
      <c r="C219" s="22" t="str">
        <f>IFERROR(__xludf.DUMMYFUNCTION("""COMPUTED_VALUE"""),"Bộ phận Nguyên liệu và Dây chuyền gia công")</f>
        <v>Bộ phận Nguyên liệu và Dây chuyền gia công</v>
      </c>
      <c r="D219" s="22" t="str">
        <f>IFERROR(__xludf.DUMMYFUNCTION("""COMPUTED_VALUE"""),"Nghiền - Sấy phun Ca A - DC6")</f>
        <v>Nghiền - Sấy phun Ca A - DC6</v>
      </c>
      <c r="E219" s="22" t="str">
        <f>IFERROR(__xludf.DUMMYFUNCTION("""COMPUTED_VALUE"""),"VHC than xích")</f>
        <v>VHC than xích</v>
      </c>
      <c r="F219" s="22" t="str">
        <f>IFERROR(__xludf.DUMMYFUNCTION("""COMPUTED_VALUE"""),"NV4180")</f>
        <v>NV4180</v>
      </c>
      <c r="G219" s="22">
        <f>IFERROR(__xludf.DUMMYFUNCTION("""COMPUTED_VALUE"""),408.0)</f>
        <v>408</v>
      </c>
      <c r="H219" s="22" t="str">
        <f>IFERROR(__xludf.DUMMYFUNCTION("""COMPUTED_VALUE"""),"Lê Hữu An")</f>
        <v>Lê Hữu An</v>
      </c>
      <c r="I219" s="22" t="str">
        <f>IFERROR(__xludf.DUMMYFUNCTION("""COMPUTED_VALUE"""),"Nam")</f>
        <v>Nam</v>
      </c>
      <c r="J219" s="24">
        <f>IFERROR(__xludf.DUMMYFUNCTION("""COMPUTED_VALUE"""),28665.0)</f>
        <v>28665</v>
      </c>
      <c r="K219" s="22" t="str">
        <f>IFERROR(__xludf.DUMMYFUNCTION("""COMPUTED_VALUE"""),"Phường Lam Sơn -  Thành phố Thanh Hóa - ")</f>
        <v>Phường Lam Sơn -  Thành phố Thanh Hóa - </v>
      </c>
      <c r="L219" s="22" t="str">
        <f>IFERROR(__xludf.DUMMYFUNCTION("""COMPUTED_VALUE"""),"0977984877")</f>
        <v>0977984877</v>
      </c>
      <c r="M219" s="22" t="str">
        <f>IFERROR(__xludf.DUMMYFUNCTION("""COMPUTED_VALUE"""),"038078011113")</f>
        <v>038078011113</v>
      </c>
      <c r="N219" s="26">
        <f>IFERROR(__xludf.DUMMYFUNCTION("""COMPUTED_VALUE"""),44418.0)</f>
        <v>44418</v>
      </c>
      <c r="O219" s="22" t="str">
        <f>IFERROR(__xludf.DUMMYFUNCTION("""COMPUTED_VALUE"""),"Cục Cảnh sát QLHC về TTXH")</f>
        <v>Cục Cảnh sát QLHC về TTXH</v>
      </c>
      <c r="P219" s="22" t="str">
        <f>IFERROR(__xludf.DUMMYFUNCTION("""COMPUTED_VALUE"""),"LĐPT")</f>
        <v>LĐPT</v>
      </c>
      <c r="Q219" s="22" t="str">
        <f>IFERROR(__xludf.DUMMYFUNCTION("""COMPUTED_VALUE"""),"Lao động phổ thông")</f>
        <v>Lao động phổ thông</v>
      </c>
      <c r="R219" s="24">
        <f>IFERROR(__xludf.DUMMYFUNCTION("""COMPUTED_VALUE"""),44690.0)</f>
        <v>44690</v>
      </c>
      <c r="S219" s="24">
        <f>IFERROR(__xludf.DUMMYFUNCTION("""COMPUTED_VALUE"""),44986.0)</f>
        <v>44986</v>
      </c>
      <c r="T219" s="22" t="str">
        <f>IFERROR(__xludf.DUMMYFUNCTION("""COMPUTED_VALUE"""),"Chính thức")</f>
        <v>Chính thức</v>
      </c>
      <c r="U219" s="22"/>
      <c r="V219" s="22" t="str">
        <f>IFERROR(__xludf.DUMMYFUNCTION("""COMPUTED_VALUE"""),"Chính thức")</f>
        <v>Chính thức</v>
      </c>
      <c r="W219" s="22" t="str">
        <f>IFERROR(__xludf.DUMMYFUNCTION("""COMPUTED_VALUE"""),"3 năm 7 tháng")</f>
        <v>3 năm 7 tháng</v>
      </c>
      <c r="X219" s="22"/>
      <c r="Y219" s="22"/>
      <c r="Z219" s="22"/>
    </row>
    <row r="220">
      <c r="A220" s="22">
        <f>IFERROR(__xludf.DUMMYFUNCTION("""COMPUTED_VALUE"""),5.0)</f>
        <v>5</v>
      </c>
      <c r="B220" s="22" t="str">
        <f>IFERROR(__xludf.DUMMYFUNCTION("""COMPUTED_VALUE"""),"DC6-PXSX2")</f>
        <v>DC6-PXSX2</v>
      </c>
      <c r="C220" s="22" t="str">
        <f>IFERROR(__xludf.DUMMYFUNCTION("""COMPUTED_VALUE"""),"Bộ phận Nguyên liệu và Dây chuyền gia công")</f>
        <v>Bộ phận Nguyên liệu và Dây chuyền gia công</v>
      </c>
      <c r="D220" s="22" t="str">
        <f>IFERROR(__xludf.DUMMYFUNCTION("""COMPUTED_VALUE"""),"Nghiền - Sấy phun Ca A - DC6")</f>
        <v>Nghiền - Sấy phun Ca A - DC6</v>
      </c>
      <c r="E220" s="22"/>
      <c r="F220" s="22" t="str">
        <f>IFERROR(__xludf.DUMMYFUNCTION("""COMPUTED_VALUE"""),"NV5209")</f>
        <v>NV5209</v>
      </c>
      <c r="G220" s="22">
        <f>IFERROR(__xludf.DUMMYFUNCTION("""COMPUTED_VALUE"""),411.0)</f>
        <v>411</v>
      </c>
      <c r="H220" s="22" t="str">
        <f>IFERROR(__xludf.DUMMYFUNCTION("""COMPUTED_VALUE"""),"Trương Đình Huấn")</f>
        <v>Trương Đình Huấn</v>
      </c>
      <c r="I220" s="22" t="str">
        <f>IFERROR(__xludf.DUMMYFUNCTION("""COMPUTED_VALUE"""),"Nam")</f>
        <v>Nam</v>
      </c>
      <c r="J220" s="24">
        <f>IFERROR(__xludf.DUMMYFUNCTION("""COMPUTED_VALUE"""),29869.0)</f>
        <v>29869</v>
      </c>
      <c r="K220" s="22" t="str">
        <f>IFERROR(__xludf.DUMMYFUNCTION("""COMPUTED_VALUE"""),"Quảng Đại -  Sầm Sơn -  Thanh Hóa")</f>
        <v>Quảng Đại -  Sầm Sơn -  Thanh Hóa</v>
      </c>
      <c r="L220" s="22" t="str">
        <f>IFERROR(__xludf.DUMMYFUNCTION("""COMPUTED_VALUE"""),"0962797234")</f>
        <v>0962797234</v>
      </c>
      <c r="M220" s="22" t="str">
        <f>IFERROR(__xludf.DUMMYFUNCTION("""COMPUTED_VALUE"""),"038081026926")</f>
        <v>038081026926</v>
      </c>
      <c r="N220" s="26">
        <f>IFERROR(__xludf.DUMMYFUNCTION("""COMPUTED_VALUE"""),44333.0)</f>
        <v>44333</v>
      </c>
      <c r="O220" s="22" t="str">
        <f>IFERROR(__xludf.DUMMYFUNCTION("""COMPUTED_VALUE"""),"Cục Cảnh sát QLHC về TTXH")</f>
        <v>Cục Cảnh sát QLHC về TTXH</v>
      </c>
      <c r="P220" s="22" t="str">
        <f>IFERROR(__xludf.DUMMYFUNCTION("""COMPUTED_VALUE"""),"LĐPT")</f>
        <v>LĐPT</v>
      </c>
      <c r="Q220" s="22" t="str">
        <f>IFERROR(__xludf.DUMMYFUNCTION("""COMPUTED_VALUE"""),"Lao động phổ thông")</f>
        <v>Lao động phổ thông</v>
      </c>
      <c r="R220" s="22"/>
      <c r="S220" s="22"/>
      <c r="T220" s="22" t="str">
        <f>IFERROR(__xludf.DUMMYFUNCTION("""COMPUTED_VALUE"""),"Chính thức")</f>
        <v>Chính thức</v>
      </c>
      <c r="U220" s="22"/>
      <c r="V220" s="22" t="str">
        <f>IFERROR(__xludf.DUMMYFUNCTION("""COMPUTED_VALUE"""),"Chính thức")</f>
        <v>Chính thức</v>
      </c>
      <c r="W220" s="22"/>
      <c r="X220" s="22"/>
      <c r="Y220" s="22"/>
      <c r="Z220" s="22"/>
    </row>
    <row r="221">
      <c r="A221" s="22">
        <f>IFERROR(__xludf.DUMMYFUNCTION("""COMPUTED_VALUE"""),6.0)</f>
        <v>6</v>
      </c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>
        <f>IFERROR(__xludf.DUMMYFUNCTION("""COMPUTED_VALUE"""),7.0)</f>
        <v>7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>
        <f>IFERROR(__xludf.DUMMYFUNCTION("""COMPUTED_VALUE"""),8.0)</f>
        <v>8</v>
      </c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8">
        <f>IFERROR(__xludf.DUMMYFUNCTION("""COMPUTED_VALUE"""),45782.0)</f>
        <v>45782</v>
      </c>
      <c r="B224" s="22" t="str">
        <f>IFERROR(__xludf.DUMMYFUNCTION("""COMPUTED_VALUE"""),"Nghiền - Sấy phun Ca B - DC6")</f>
        <v>Nghiền - Sấy phun Ca B - DC6</v>
      </c>
      <c r="C224" s="22">
        <f>IFERROR(__xludf.DUMMYFUNCTION("""COMPUTED_VALUE"""),5.0)</f>
        <v>5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>
        <f>IFERROR(__xludf.DUMMYFUNCTION("""COMPUTED_VALUE"""),1.0)</f>
        <v>1</v>
      </c>
      <c r="B225" s="22" t="str">
        <f>IFERROR(__xludf.DUMMYFUNCTION("""COMPUTED_VALUE"""),"DC6-PXSX2")</f>
        <v>DC6-PXSX2</v>
      </c>
      <c r="C225" s="22" t="str">
        <f>IFERROR(__xludf.DUMMYFUNCTION("""COMPUTED_VALUE"""),"Bộ phận Nguyên liệu và Dây chuyền gia công")</f>
        <v>Bộ phận Nguyên liệu và Dây chuyền gia công</v>
      </c>
      <c r="D225" s="22" t="str">
        <f>IFERROR(__xludf.DUMMYFUNCTION("""COMPUTED_VALUE"""),"Nghiền - Sấy phun Ca B - DC6")</f>
        <v>Nghiền - Sấy phun Ca B - DC6</v>
      </c>
      <c r="E225" s="22" t="str">
        <f>IFERROR(__xludf.DUMMYFUNCTION("""COMPUTED_VALUE"""),"VH Nạp nghiền")</f>
        <v>VH Nạp nghiền</v>
      </c>
      <c r="F225" s="22" t="str">
        <f>IFERROR(__xludf.DUMMYFUNCTION("""COMPUTED_VALUE"""),"NV3316")</f>
        <v>NV3316</v>
      </c>
      <c r="G225" s="22">
        <f>IFERROR(__xludf.DUMMYFUNCTION("""COMPUTED_VALUE"""),542.0)</f>
        <v>542</v>
      </c>
      <c r="H225" s="22" t="str">
        <f>IFERROR(__xludf.DUMMYFUNCTION("""COMPUTED_VALUE"""),"Nguyễn Văn Mạnh")</f>
        <v>Nguyễn Văn Mạnh</v>
      </c>
      <c r="I225" s="22" t="str">
        <f>IFERROR(__xludf.DUMMYFUNCTION("""COMPUTED_VALUE"""),"Nam")</f>
        <v>Nam</v>
      </c>
      <c r="J225" s="24">
        <f>IFERROR(__xludf.DUMMYFUNCTION("""COMPUTED_VALUE"""),33274.0)</f>
        <v>33274</v>
      </c>
      <c r="K225" s="22" t="str">
        <f>IFERROR(__xludf.DUMMYFUNCTION("""COMPUTED_VALUE"""),"Thôn Tân Trúc -  Xã Quảng Tân -  Huyện Quảng Xương -  Thanh Hóa -  Việt Nam")</f>
        <v>Thôn Tân Trúc -  Xã Quảng Tân -  Huyện Quảng Xương -  Thanh Hóa -  Việt Nam</v>
      </c>
      <c r="L225" s="22" t="str">
        <f>IFERROR(__xludf.DUMMYFUNCTION("""COMPUTED_VALUE"""),"0931364027")</f>
        <v>0931364027</v>
      </c>
      <c r="M225" s="22" t="str">
        <f>IFERROR(__xludf.DUMMYFUNCTION("""COMPUTED_VALUE"""),"038091020766")</f>
        <v>038091020766</v>
      </c>
      <c r="N225" s="26">
        <f>IFERROR(__xludf.DUMMYFUNCTION("""COMPUTED_VALUE"""),44004.0)</f>
        <v>44004</v>
      </c>
      <c r="O225" s="22" t="str">
        <f>IFERROR(__xludf.DUMMYFUNCTION("""COMPUTED_VALUE"""),"Cục Cảnh sát QLHC về TTXH")</f>
        <v>Cục Cảnh sát QLHC về TTXH</v>
      </c>
      <c r="P225" s="22" t="str">
        <f>IFERROR(__xludf.DUMMYFUNCTION("""COMPUTED_VALUE"""),"LĐPT")</f>
        <v>LĐPT</v>
      </c>
      <c r="Q225" s="22" t="str">
        <f>IFERROR(__xludf.DUMMYFUNCTION("""COMPUTED_VALUE"""),"Lao động phổ thông")</f>
        <v>Lao động phổ thông</v>
      </c>
      <c r="R225" s="24">
        <f>IFERROR(__xludf.DUMMYFUNCTION("""COMPUTED_VALUE"""),44117.0)</f>
        <v>44117</v>
      </c>
      <c r="S225" s="24">
        <f>IFERROR(__xludf.DUMMYFUNCTION("""COMPUTED_VALUE"""),44409.0)</f>
        <v>44409</v>
      </c>
      <c r="T225" s="22" t="str">
        <f>IFERROR(__xludf.DUMMYFUNCTION("""COMPUTED_VALUE"""),"Chính thức")</f>
        <v>Chính thức</v>
      </c>
      <c r="U225" s="22"/>
      <c r="V225" s="22" t="str">
        <f>IFERROR(__xludf.DUMMYFUNCTION("""COMPUTED_VALUE"""),"Chính thức")</f>
        <v>Chính thức</v>
      </c>
      <c r="W225" s="22" t="str">
        <f>IFERROR(__xludf.DUMMYFUNCTION("""COMPUTED_VALUE"""),"5 năm 2 tháng")</f>
        <v>5 năm 2 tháng</v>
      </c>
      <c r="X225" s="22"/>
      <c r="Y225" s="22"/>
      <c r="Z225" s="22"/>
    </row>
    <row r="226">
      <c r="A226" s="22">
        <f>IFERROR(__xludf.DUMMYFUNCTION("""COMPUTED_VALUE"""),2.0)</f>
        <v>2</v>
      </c>
      <c r="B226" s="22" t="str">
        <f>IFERROR(__xludf.DUMMYFUNCTION("""COMPUTED_VALUE"""),"DC6-PXSX2")</f>
        <v>DC6-PXSX2</v>
      </c>
      <c r="C226" s="22" t="str">
        <f>IFERROR(__xludf.DUMMYFUNCTION("""COMPUTED_VALUE"""),"Bộ phận Nguyên liệu và Dây chuyền gia công")</f>
        <v>Bộ phận Nguyên liệu và Dây chuyền gia công</v>
      </c>
      <c r="D226" s="22" t="str">
        <f>IFERROR(__xludf.DUMMYFUNCTION("""COMPUTED_VALUE"""),"Nghiền - Sấy phun Ca B - DC6")</f>
        <v>Nghiền - Sấy phun Ca B - DC6</v>
      </c>
      <c r="E226" s="22" t="str">
        <f>IFERROR(__xludf.DUMMYFUNCTION("""COMPUTED_VALUE"""),"Tổ phó")</f>
        <v>Tổ phó</v>
      </c>
      <c r="F226" s="22" t="str">
        <f>IFERROR(__xludf.DUMMYFUNCTION("""COMPUTED_VALUE"""),"NV0542")</f>
        <v>NV0542</v>
      </c>
      <c r="G226" s="22">
        <f>IFERROR(__xludf.DUMMYFUNCTION("""COMPUTED_VALUE"""),406.0)</f>
        <v>406</v>
      </c>
      <c r="H226" s="22" t="str">
        <f>IFERROR(__xludf.DUMMYFUNCTION("""COMPUTED_VALUE"""),"Bùi Công Thạch")</f>
        <v>Bùi Công Thạch</v>
      </c>
      <c r="I226" s="22" t="str">
        <f>IFERROR(__xludf.DUMMYFUNCTION("""COMPUTED_VALUE"""),"Nam")</f>
        <v>Nam</v>
      </c>
      <c r="J226" s="24">
        <f>IFERROR(__xludf.DUMMYFUNCTION("""COMPUTED_VALUE"""),30957.0)</f>
        <v>30957</v>
      </c>
      <c r="K226" s="22" t="str">
        <f>IFERROR(__xludf.DUMMYFUNCTION("""COMPUTED_VALUE"""),"Xã Quảng Hòa -  Huyện Quảng Xương -  Thanh Hóa - ")</f>
        <v>Xã Quảng Hòa -  Huyện Quảng Xương -  Thanh Hóa - </v>
      </c>
      <c r="L226" s="22" t="str">
        <f>IFERROR(__xludf.DUMMYFUNCTION("""COMPUTED_VALUE"""),"0945243381")</f>
        <v>0945243381</v>
      </c>
      <c r="M226" s="22" t="str">
        <f>IFERROR(__xludf.DUMMYFUNCTION("""COMPUTED_VALUE"""),"038084017974")</f>
        <v>038084017974</v>
      </c>
      <c r="N226" s="26">
        <f>IFERROR(__xludf.DUMMYFUNCTION("""COMPUTED_VALUE"""),44419.0)</f>
        <v>44419</v>
      </c>
      <c r="O226" s="22" t="str">
        <f>IFERROR(__xludf.DUMMYFUNCTION("""COMPUTED_VALUE"""),"Cục Cảnh sát QLHC về TTXH")</f>
        <v>Cục Cảnh sát QLHC về TTXH</v>
      </c>
      <c r="P226" s="22" t="str">
        <f>IFERROR(__xludf.DUMMYFUNCTION("""COMPUTED_VALUE"""),"LĐPT")</f>
        <v>LĐPT</v>
      </c>
      <c r="Q226" s="22" t="str">
        <f>IFERROR(__xludf.DUMMYFUNCTION("""COMPUTED_VALUE"""),"Lao động phổ thông")</f>
        <v>Lao động phổ thông</v>
      </c>
      <c r="R226" s="24">
        <f>IFERROR(__xludf.DUMMYFUNCTION("""COMPUTED_VALUE"""),41040.0)</f>
        <v>41040</v>
      </c>
      <c r="S226" s="24">
        <f>IFERROR(__xludf.DUMMYFUNCTION("""COMPUTED_VALUE"""),41040.0)</f>
        <v>41040</v>
      </c>
      <c r="T226" s="22" t="str">
        <f>IFERROR(__xludf.DUMMYFUNCTION("""COMPUTED_VALUE"""),"Chính thức")</f>
        <v>Chính thức</v>
      </c>
      <c r="U226" s="22"/>
      <c r="V226" s="22" t="str">
        <f>IFERROR(__xludf.DUMMYFUNCTION("""COMPUTED_VALUE"""),"Chính thức")</f>
        <v>Chính thức</v>
      </c>
      <c r="W226" s="22" t="str">
        <f>IFERROR(__xludf.DUMMYFUNCTION("""COMPUTED_VALUE"""),"13 năm 7 tháng")</f>
        <v>13 năm 7 tháng</v>
      </c>
      <c r="X226" s="22"/>
      <c r="Y226" s="22"/>
      <c r="Z226" s="22"/>
    </row>
    <row r="227">
      <c r="A227" s="22">
        <f>IFERROR(__xludf.DUMMYFUNCTION("""COMPUTED_VALUE"""),3.0)</f>
        <v>3</v>
      </c>
      <c r="B227" s="22" t="str">
        <f>IFERROR(__xludf.DUMMYFUNCTION("""COMPUTED_VALUE"""),"DC6-PXSX2")</f>
        <v>DC6-PXSX2</v>
      </c>
      <c r="C227" s="22" t="str">
        <f>IFERROR(__xludf.DUMMYFUNCTION("""COMPUTED_VALUE"""),"Bộ phận Nguyên liệu và Dây chuyền gia công")</f>
        <v>Bộ phận Nguyên liệu và Dây chuyền gia công</v>
      </c>
      <c r="D227" s="22" t="str">
        <f>IFERROR(__xludf.DUMMYFUNCTION("""COMPUTED_VALUE"""),"Nghiền - Sấy phun Ca B - DC6")</f>
        <v>Nghiền - Sấy phun Ca B - DC6</v>
      </c>
      <c r="E227" s="22" t="str">
        <f>IFERROR(__xludf.DUMMYFUNCTION("""COMPUTED_VALUE"""),"VH chính sấy phun mức 1")</f>
        <v>VH chính sấy phun mức 1</v>
      </c>
      <c r="F227" s="22" t="str">
        <f>IFERROR(__xludf.DUMMYFUNCTION("""COMPUTED_VALUE"""),"NV0537")</f>
        <v>NV0537</v>
      </c>
      <c r="G227" s="22">
        <f>IFERROR(__xludf.DUMMYFUNCTION("""COMPUTED_VALUE"""),407.0)</f>
        <v>407</v>
      </c>
      <c r="H227" s="22" t="str">
        <f>IFERROR(__xludf.DUMMYFUNCTION("""COMPUTED_VALUE"""),"Lê Văn Lực")</f>
        <v>Lê Văn Lực</v>
      </c>
      <c r="I227" s="22" t="str">
        <f>IFERROR(__xludf.DUMMYFUNCTION("""COMPUTED_VALUE"""),"Nam")</f>
        <v>Nam</v>
      </c>
      <c r="J227" s="24">
        <f>IFERROR(__xludf.DUMMYFUNCTION("""COMPUTED_VALUE"""),28174.0)</f>
        <v>28174</v>
      </c>
      <c r="K227" s="22" t="str">
        <f>IFERROR(__xludf.DUMMYFUNCTION("""COMPUTED_VALUE"""),"Cốc Hạ -  P.Đông Hương -  Thành phố Thanh Hóa - ")</f>
        <v>Cốc Hạ -  P.Đông Hương -  Thành phố Thanh Hóa - </v>
      </c>
      <c r="L227" s="22" t="str">
        <f>IFERROR(__xludf.DUMMYFUNCTION("""COMPUTED_VALUE"""),"0334141259")</f>
        <v>0334141259</v>
      </c>
      <c r="M227" s="22" t="str">
        <f>IFERROR(__xludf.DUMMYFUNCTION("""COMPUTED_VALUE"""),"038077027130")</f>
        <v>038077027130</v>
      </c>
      <c r="N227" s="26">
        <f>IFERROR(__xludf.DUMMYFUNCTION("""COMPUTED_VALUE"""),44325.0)</f>
        <v>44325</v>
      </c>
      <c r="O227" s="22" t="str">
        <f>IFERROR(__xludf.DUMMYFUNCTION("""COMPUTED_VALUE"""),"Cục Cảnh sát QLHC về TTXH")</f>
        <v>Cục Cảnh sát QLHC về TTXH</v>
      </c>
      <c r="P227" s="22" t="str">
        <f>IFERROR(__xludf.DUMMYFUNCTION("""COMPUTED_VALUE"""),"LĐPT")</f>
        <v>LĐPT</v>
      </c>
      <c r="Q227" s="22" t="str">
        <f>IFERROR(__xludf.DUMMYFUNCTION("""COMPUTED_VALUE"""),"Lao động phổ thông")</f>
        <v>Lao động phổ thông</v>
      </c>
      <c r="R227" s="24">
        <f>IFERROR(__xludf.DUMMYFUNCTION("""COMPUTED_VALUE"""),40523.0)</f>
        <v>40523</v>
      </c>
      <c r="S227" s="24">
        <f>IFERROR(__xludf.DUMMYFUNCTION("""COMPUTED_VALUE"""),40523.0)</f>
        <v>40523</v>
      </c>
      <c r="T227" s="22" t="str">
        <f>IFERROR(__xludf.DUMMYFUNCTION("""COMPUTED_VALUE"""),"Chính thức")</f>
        <v>Chính thức</v>
      </c>
      <c r="U227" s="22"/>
      <c r="V227" s="22" t="str">
        <f>IFERROR(__xludf.DUMMYFUNCTION("""COMPUTED_VALUE"""),"Chính thức")</f>
        <v>Chính thức</v>
      </c>
      <c r="W227" s="22" t="str">
        <f>IFERROR(__xludf.DUMMYFUNCTION("""COMPUTED_VALUE"""),"15 năm 0 tháng")</f>
        <v>15 năm 0 tháng</v>
      </c>
      <c r="X227" s="22"/>
      <c r="Y227" s="22"/>
      <c r="Z227" s="22"/>
    </row>
    <row r="228">
      <c r="A228" s="22">
        <f>IFERROR(__xludf.DUMMYFUNCTION("""COMPUTED_VALUE"""),4.0)</f>
        <v>4</v>
      </c>
      <c r="B228" s="22" t="str">
        <f>IFERROR(__xludf.DUMMYFUNCTION("""COMPUTED_VALUE"""),"DC6-PXSX2")</f>
        <v>DC6-PXSX2</v>
      </c>
      <c r="C228" s="22" t="str">
        <f>IFERROR(__xludf.DUMMYFUNCTION("""COMPUTED_VALUE"""),"Bộ phận Nguyên liệu và Dây chuyền gia công")</f>
        <v>Bộ phận Nguyên liệu và Dây chuyền gia công</v>
      </c>
      <c r="D228" s="22" t="str">
        <f>IFERROR(__xludf.DUMMYFUNCTION("""COMPUTED_VALUE"""),"Nghiền - Sấy phun Ca B - DC6")</f>
        <v>Nghiền - Sấy phun Ca B - DC6</v>
      </c>
      <c r="E228" s="22" t="str">
        <f>IFERROR(__xludf.DUMMYFUNCTION("""COMPUTED_VALUE"""),"VH Nạp nghiền")</f>
        <v>VH Nạp nghiền</v>
      </c>
      <c r="F228" s="22" t="str">
        <f>IFERROR(__xludf.DUMMYFUNCTION("""COMPUTED_VALUE"""),"NV2169")</f>
        <v>NV2169</v>
      </c>
      <c r="G228" s="22">
        <f>IFERROR(__xludf.DUMMYFUNCTION("""COMPUTED_VALUE"""),642.0)</f>
        <v>642</v>
      </c>
      <c r="H228" s="22" t="str">
        <f>IFERROR(__xludf.DUMMYFUNCTION("""COMPUTED_VALUE"""),"Nguyễn Văn Tình")</f>
        <v>Nguyễn Văn Tình</v>
      </c>
      <c r="I228" s="22" t="str">
        <f>IFERROR(__xludf.DUMMYFUNCTION("""COMPUTED_VALUE"""),"Nam")</f>
        <v>Nam</v>
      </c>
      <c r="J228" s="24">
        <f>IFERROR(__xludf.DUMMYFUNCTION("""COMPUTED_VALUE"""),31774.0)</f>
        <v>31774</v>
      </c>
      <c r="K228" s="22" t="str">
        <f>IFERROR(__xludf.DUMMYFUNCTION("""COMPUTED_VALUE"""),"Thôn Đồng Lòng -  Xã Hoằng Tân -  Huyện Hoằng Hóa -  Thanh Hóa - ")</f>
        <v>Thôn Đồng Lòng -  Xã Hoằng Tân -  Huyện Hoằng Hóa -  Thanh Hóa - </v>
      </c>
      <c r="L228" s="22" t="str">
        <f>IFERROR(__xludf.DUMMYFUNCTION("""COMPUTED_VALUE"""),"0987229131")</f>
        <v>0987229131</v>
      </c>
      <c r="M228" s="22" t="str">
        <f>IFERROR(__xludf.DUMMYFUNCTION("""COMPUTED_VALUE"""),"038080013830")</f>
        <v>038080013830</v>
      </c>
      <c r="N228" s="26">
        <f>IFERROR(__xludf.DUMMYFUNCTION("""COMPUTED_VALUE"""),44420.0)</f>
        <v>44420</v>
      </c>
      <c r="O228" s="22" t="str">
        <f>IFERROR(__xludf.DUMMYFUNCTION("""COMPUTED_VALUE"""),"Cục Cảnh sát QLHC về TTXH")</f>
        <v>Cục Cảnh sát QLHC về TTXH</v>
      </c>
      <c r="P228" s="22" t="str">
        <f>IFERROR(__xludf.DUMMYFUNCTION("""COMPUTED_VALUE"""),"LĐPT")</f>
        <v>LĐPT</v>
      </c>
      <c r="Q228" s="22" t="str">
        <f>IFERROR(__xludf.DUMMYFUNCTION("""COMPUTED_VALUE"""),"Lao động phổ thông")</f>
        <v>Lao động phổ thông</v>
      </c>
      <c r="R228" s="24">
        <f>IFERROR(__xludf.DUMMYFUNCTION("""COMPUTED_VALUE"""),43523.0)</f>
        <v>43523</v>
      </c>
      <c r="S228" s="24">
        <f>IFERROR(__xludf.DUMMYFUNCTION("""COMPUTED_VALUE"""),45536.0)</f>
        <v>45536</v>
      </c>
      <c r="T228" s="22" t="str">
        <f>IFERROR(__xludf.DUMMYFUNCTION("""COMPUTED_VALUE"""),"Chính thức")</f>
        <v>Chính thức</v>
      </c>
      <c r="U228" s="22"/>
      <c r="V228" s="22" t="str">
        <f>IFERROR(__xludf.DUMMYFUNCTION("""COMPUTED_VALUE"""),"Chính thức")</f>
        <v>Chính thức</v>
      </c>
      <c r="W228" s="22" t="str">
        <f>IFERROR(__xludf.DUMMYFUNCTION("""COMPUTED_VALUE"""),"6 năm 10 tháng")</f>
        <v>6 năm 10 tháng</v>
      </c>
      <c r="X228" s="22"/>
      <c r="Y228" s="22"/>
      <c r="Z228" s="22"/>
    </row>
    <row r="229">
      <c r="A229" s="22">
        <f>IFERROR(__xludf.DUMMYFUNCTION("""COMPUTED_VALUE"""),5.0)</f>
        <v>5</v>
      </c>
      <c r="B229" s="22" t="str">
        <f>IFERROR(__xludf.DUMMYFUNCTION("""COMPUTED_VALUE"""),"DC6-PXSX2")</f>
        <v>DC6-PXSX2</v>
      </c>
      <c r="C229" s="22" t="str">
        <f>IFERROR(__xludf.DUMMYFUNCTION("""COMPUTED_VALUE"""),"Bộ phận Nguyên liệu và Dây chuyền gia công")</f>
        <v>Bộ phận Nguyên liệu và Dây chuyền gia công</v>
      </c>
      <c r="D229" s="22" t="str">
        <f>IFERROR(__xludf.DUMMYFUNCTION("""COMPUTED_VALUE"""),"Nghiền - Sấy phun Ca B - DC6")</f>
        <v>Nghiền - Sấy phun Ca B - DC6</v>
      </c>
      <c r="E229" s="22" t="str">
        <f>IFERROR(__xludf.DUMMYFUNCTION("""COMPUTED_VALUE"""),"VHC than xích")</f>
        <v>VHC than xích</v>
      </c>
      <c r="F229" s="22" t="str">
        <f>IFERROR(__xludf.DUMMYFUNCTION("""COMPUTED_VALUE"""),"NV0533")</f>
        <v>NV0533</v>
      </c>
      <c r="G229" s="22">
        <f>IFERROR(__xludf.DUMMYFUNCTION("""COMPUTED_VALUE"""),460.0)</f>
        <v>460</v>
      </c>
      <c r="H229" s="22" t="str">
        <f>IFERROR(__xludf.DUMMYFUNCTION("""COMPUTED_VALUE"""),"Phạm Hữu Tạo")</f>
        <v>Phạm Hữu Tạo</v>
      </c>
      <c r="I229" s="22" t="str">
        <f>IFERROR(__xludf.DUMMYFUNCTION("""COMPUTED_VALUE"""),"Nam")</f>
        <v>Nam</v>
      </c>
      <c r="J229" s="24">
        <f>IFERROR(__xludf.DUMMYFUNCTION("""COMPUTED_VALUE"""),25792.0)</f>
        <v>25792</v>
      </c>
      <c r="K229" s="22" t="str">
        <f>IFERROR(__xludf.DUMMYFUNCTION("""COMPUTED_VALUE"""),"Yên Minh -  Xã Trường Sơn -  Huyện Nông Cống -  Thanh Hóa")</f>
        <v>Yên Minh -  Xã Trường Sơn -  Huyện Nông Cống -  Thanh Hóa</v>
      </c>
      <c r="L229" s="22" t="str">
        <f>IFERROR(__xludf.DUMMYFUNCTION("""COMPUTED_VALUE"""),"0868418511")</f>
        <v>0868418511</v>
      </c>
      <c r="M229" s="22" t="str">
        <f>IFERROR(__xludf.DUMMYFUNCTION("""COMPUTED_VALUE"""),"038070006101")</f>
        <v>038070006101</v>
      </c>
      <c r="N229" s="26">
        <f>IFERROR(__xludf.DUMMYFUNCTION("""COMPUTED_VALUE"""),44313.0)</f>
        <v>44313</v>
      </c>
      <c r="O229" s="22" t="str">
        <f>IFERROR(__xludf.DUMMYFUNCTION("""COMPUTED_VALUE"""),"Cục Cảnh sát QLHC về TTXH")</f>
        <v>Cục Cảnh sát QLHC về TTXH</v>
      </c>
      <c r="P229" s="22" t="str">
        <f>IFERROR(__xludf.DUMMYFUNCTION("""COMPUTED_VALUE"""),"LĐPT")</f>
        <v>LĐPT</v>
      </c>
      <c r="Q229" s="22" t="str">
        <f>IFERROR(__xludf.DUMMYFUNCTION("""COMPUTED_VALUE"""),"Lao động phổ thông")</f>
        <v>Lao động phổ thông</v>
      </c>
      <c r="R229" s="24">
        <f>IFERROR(__xludf.DUMMYFUNCTION("""COMPUTED_VALUE"""),40660.0)</f>
        <v>40660</v>
      </c>
      <c r="S229" s="24">
        <f>IFERROR(__xludf.DUMMYFUNCTION("""COMPUTED_VALUE"""),40690.0)</f>
        <v>40690</v>
      </c>
      <c r="T229" s="22" t="str">
        <f>IFERROR(__xludf.DUMMYFUNCTION("""COMPUTED_VALUE"""),"Chính thức")</f>
        <v>Chính thức</v>
      </c>
      <c r="U229" s="22"/>
      <c r="V229" s="22" t="str">
        <f>IFERROR(__xludf.DUMMYFUNCTION("""COMPUTED_VALUE"""),"Chính thức")</f>
        <v>Chính thức</v>
      </c>
      <c r="W229" s="22" t="str">
        <f>IFERROR(__xludf.DUMMYFUNCTION("""COMPUTED_VALUE"""),"14 năm 8 tháng")</f>
        <v>14 năm 8 tháng</v>
      </c>
      <c r="X229" s="22"/>
      <c r="Y229" s="22"/>
      <c r="Z229" s="22"/>
    </row>
    <row r="230">
      <c r="A230" s="22">
        <f>IFERROR(__xludf.DUMMYFUNCTION("""COMPUTED_VALUE"""),6.0)</f>
        <v>6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>
        <f>IFERROR(__xludf.DUMMYFUNCTION("""COMPUTED_VALUE"""),7.0)</f>
        <v>7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>
        <f>IFERROR(__xludf.DUMMYFUNCTION("""COMPUTED_VALUE"""),8.0)</f>
        <v>8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8">
        <f>IFERROR(__xludf.DUMMYFUNCTION("""COMPUTED_VALUE"""),45813.0)</f>
        <v>45813</v>
      </c>
      <c r="B233" s="22" t="str">
        <f>IFERROR(__xludf.DUMMYFUNCTION("""COMPUTED_VALUE"""),"Nghiền - Sấy phun Ca C - DC6")</f>
        <v>Nghiền - Sấy phun Ca C - DC6</v>
      </c>
      <c r="C233" s="22">
        <f>IFERROR(__xludf.DUMMYFUNCTION("""COMPUTED_VALUE"""),0.0)</f>
        <v>0</v>
      </c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>
        <f>IFERROR(__xludf.DUMMYFUNCTION("""COMPUTED_VALUE"""),1.0)</f>
        <v>1</v>
      </c>
      <c r="B234" s="22" t="str">
        <f>IFERROR(__xludf.DUMMYFUNCTION("""COMPUTED_VALUE"""),"#N/A")</f>
        <v>#N/A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>
        <f>IFERROR(__xludf.DUMMYFUNCTION("""COMPUTED_VALUE"""),2.0)</f>
        <v>2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>
        <f>IFERROR(__xludf.DUMMYFUNCTION("""COMPUTED_VALUE"""),3.0)</f>
        <v>3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>
        <f>IFERROR(__xludf.DUMMYFUNCTION("""COMPUTED_VALUE"""),4.0)</f>
        <v>4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>
        <f>IFERROR(__xludf.DUMMYFUNCTION("""COMPUTED_VALUE"""),5.0)</f>
        <v>5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>
        <f>IFERROR(__xludf.DUMMYFUNCTION("""COMPUTED_VALUE"""),6.0)</f>
        <v>6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>
        <f>IFERROR(__xludf.DUMMYFUNCTION("""COMPUTED_VALUE"""),7.0)</f>
        <v>7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>
        <f>IFERROR(__xludf.DUMMYFUNCTION("""COMPUTED_VALUE"""),8.0)</f>
        <v>8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8">
        <f>IFERROR(__xludf.DUMMYFUNCTION("""COMPUTED_VALUE"""),45843.0)</f>
        <v>45843</v>
      </c>
      <c r="B242" s="22" t="str">
        <f>IFERROR(__xludf.DUMMYFUNCTION("""COMPUTED_VALUE"""),"Dây chuyền gia công Ca A")</f>
        <v>Dây chuyền gia công Ca A</v>
      </c>
      <c r="C242" s="22">
        <f>IFERROR(__xludf.DUMMYFUNCTION("""COMPUTED_VALUE"""),7.0)</f>
        <v>7</v>
      </c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>
        <f>IFERROR(__xludf.DUMMYFUNCTION("""COMPUTED_VALUE"""),1.0)</f>
        <v>1</v>
      </c>
      <c r="B243" s="22" t="str">
        <f>IFERROR(__xludf.DUMMYFUNCTION("""COMPUTED_VALUE"""),"DC6-PXSX2")</f>
        <v>DC6-PXSX2</v>
      </c>
      <c r="C243" s="22" t="str">
        <f>IFERROR(__xludf.DUMMYFUNCTION("""COMPUTED_VALUE"""),"Bộ phận Nguyên liệu và Dây chuyền gia công")</f>
        <v>Bộ phận Nguyên liệu và Dây chuyền gia công</v>
      </c>
      <c r="D243" s="22" t="str">
        <f>IFERROR(__xludf.DUMMYFUNCTION("""COMPUTED_VALUE"""),"Dây chuyền gia công Ca A")</f>
        <v>Dây chuyền gia công Ca A</v>
      </c>
      <c r="E243" s="22" t="str">
        <f>IFERROR(__xludf.DUMMYFUNCTION("""COMPUTED_VALUE"""),"VH tráng Engobe")</f>
        <v>VH tráng Engobe</v>
      </c>
      <c r="F243" s="22" t="str">
        <f>IFERROR(__xludf.DUMMYFUNCTION("""COMPUTED_VALUE"""),"NV0588")</f>
        <v>NV0588</v>
      </c>
      <c r="G243" s="22">
        <f>IFERROR(__xludf.DUMMYFUNCTION("""COMPUTED_VALUE"""),394.0)</f>
        <v>394</v>
      </c>
      <c r="H243" s="22" t="str">
        <f>IFERROR(__xludf.DUMMYFUNCTION("""COMPUTED_VALUE"""),"Nguyễn Đức Toán")</f>
        <v>Nguyễn Đức Toán</v>
      </c>
      <c r="I243" s="22" t="str">
        <f>IFERROR(__xludf.DUMMYFUNCTION("""COMPUTED_VALUE"""),"Nam")</f>
        <v>Nam</v>
      </c>
      <c r="J243" s="24">
        <f>IFERROR(__xludf.DUMMYFUNCTION("""COMPUTED_VALUE"""),29010.0)</f>
        <v>29010</v>
      </c>
      <c r="K243" s="22" t="str">
        <f>IFERROR(__xludf.DUMMYFUNCTION("""COMPUTED_VALUE"""),"Xã Hoằng Trạch -  Huyện Hoằng Hóa -  Thanh Hóa - ")</f>
        <v>Xã Hoằng Trạch -  Huyện Hoằng Hóa -  Thanh Hóa - </v>
      </c>
      <c r="L243" s="22" t="str">
        <f>IFERROR(__xludf.DUMMYFUNCTION("""COMPUTED_VALUE"""),"0979579242")</f>
        <v>0979579242</v>
      </c>
      <c r="M243" s="22" t="str">
        <f>IFERROR(__xludf.DUMMYFUNCTION("""COMPUTED_VALUE"""),"038079018047")</f>
        <v>038079018047</v>
      </c>
      <c r="N243" s="26">
        <f>IFERROR(__xludf.DUMMYFUNCTION("""COMPUTED_VALUE"""),44547.0)</f>
        <v>44547</v>
      </c>
      <c r="O243" s="22" t="str">
        <f>IFERROR(__xludf.DUMMYFUNCTION("""COMPUTED_VALUE"""),"Cục Cảnh sát QLHC về TTXH")</f>
        <v>Cục Cảnh sát QLHC về TTXH</v>
      </c>
      <c r="P243" s="22" t="str">
        <f>IFERROR(__xludf.DUMMYFUNCTION("""COMPUTED_VALUE"""),"LĐPT")</f>
        <v>LĐPT</v>
      </c>
      <c r="Q243" s="22" t="str">
        <f>IFERROR(__xludf.DUMMYFUNCTION("""COMPUTED_VALUE"""),"Lao động phổ thông")</f>
        <v>Lao động phổ thông</v>
      </c>
      <c r="R243" s="24">
        <f>IFERROR(__xludf.DUMMYFUNCTION("""COMPUTED_VALUE"""),36774.0)</f>
        <v>36774</v>
      </c>
      <c r="S243" s="24">
        <f>IFERROR(__xludf.DUMMYFUNCTION("""COMPUTED_VALUE"""),36774.0)</f>
        <v>36774</v>
      </c>
      <c r="T243" s="22" t="str">
        <f>IFERROR(__xludf.DUMMYFUNCTION("""COMPUTED_VALUE"""),"Chính thức")</f>
        <v>Chính thức</v>
      </c>
      <c r="U243" s="22"/>
      <c r="V243" s="22" t="str">
        <f>IFERROR(__xludf.DUMMYFUNCTION("""COMPUTED_VALUE"""),"Chính thức")</f>
        <v>Chính thức</v>
      </c>
      <c r="W243" s="22" t="str">
        <f>IFERROR(__xludf.DUMMYFUNCTION("""COMPUTED_VALUE"""),"25 năm 3 tháng")</f>
        <v>25 năm 3 tháng</v>
      </c>
      <c r="X243" s="22"/>
      <c r="Y243" s="22"/>
      <c r="Z243" s="22"/>
    </row>
    <row r="244">
      <c r="A244" s="22">
        <f>IFERROR(__xludf.DUMMYFUNCTION("""COMPUTED_VALUE"""),2.0)</f>
        <v>2</v>
      </c>
      <c r="B244" s="22" t="str">
        <f>IFERROR(__xludf.DUMMYFUNCTION("""COMPUTED_VALUE"""),"DC6-PXSX2")</f>
        <v>DC6-PXSX2</v>
      </c>
      <c r="C244" s="22" t="str">
        <f>IFERROR(__xludf.DUMMYFUNCTION("""COMPUTED_VALUE"""),"Bộ phận Nguyên liệu và Dây chuyền gia công")</f>
        <v>Bộ phận Nguyên liệu và Dây chuyền gia công</v>
      </c>
      <c r="D244" s="22" t="str">
        <f>IFERROR(__xludf.DUMMYFUNCTION("""COMPUTED_VALUE"""),"Dây chuyền gia công Ca A")</f>
        <v>Dây chuyền gia công Ca A</v>
      </c>
      <c r="E244" s="22" t="str">
        <f>IFERROR(__xludf.DUMMYFUNCTION("""COMPUTED_VALUE"""),"Tổ trưởng")</f>
        <v>Tổ trưởng</v>
      </c>
      <c r="F244" s="22" t="str">
        <f>IFERROR(__xludf.DUMMYFUNCTION("""COMPUTED_VALUE"""),"NV0651")</f>
        <v>NV0651</v>
      </c>
      <c r="G244" s="22">
        <f>IFERROR(__xludf.DUMMYFUNCTION("""COMPUTED_VALUE"""),546.0)</f>
        <v>546</v>
      </c>
      <c r="H244" s="22" t="str">
        <f>IFERROR(__xludf.DUMMYFUNCTION("""COMPUTED_VALUE"""),"Phạm Duy Thiết")</f>
        <v>Phạm Duy Thiết</v>
      </c>
      <c r="I244" s="22" t="str">
        <f>IFERROR(__xludf.DUMMYFUNCTION("""COMPUTED_VALUE"""),"Nam")</f>
        <v>Nam</v>
      </c>
      <c r="J244" s="24">
        <f>IFERROR(__xludf.DUMMYFUNCTION("""COMPUTED_VALUE"""),28453.0)</f>
        <v>28453</v>
      </c>
      <c r="K244" s="22" t="str">
        <f>IFERROR(__xludf.DUMMYFUNCTION("""COMPUTED_VALUE"""),"Thôn 4 -  Xã Thành Lộc -  Huyện Hậu Lộc -  Thanh Hóa")</f>
        <v>Thôn 4 -  Xã Thành Lộc -  Huyện Hậu Lộc -  Thanh Hóa</v>
      </c>
      <c r="L244" s="22" t="str">
        <f>IFERROR(__xludf.DUMMYFUNCTION("""COMPUTED_VALUE"""),"0987435009")</f>
        <v>0987435009</v>
      </c>
      <c r="M244" s="22" t="str">
        <f>IFERROR(__xludf.DUMMYFUNCTION("""COMPUTED_VALUE"""),"038077020390")</f>
        <v>038077020390</v>
      </c>
      <c r="N244" s="26">
        <f>IFERROR(__xludf.DUMMYFUNCTION("""COMPUTED_VALUE"""),45049.0)</f>
        <v>45049</v>
      </c>
      <c r="O244" s="22" t="str">
        <f>IFERROR(__xludf.DUMMYFUNCTION("""COMPUTED_VALUE"""),"Cục Cảnh sát QLHC về TTXH")</f>
        <v>Cục Cảnh sát QLHC về TTXH</v>
      </c>
      <c r="P244" s="22" t="str">
        <f>IFERROR(__xludf.DUMMYFUNCTION("""COMPUTED_VALUE"""),"Trung cấp")</f>
        <v>Trung cấp</v>
      </c>
      <c r="Q244" s="22" t="str">
        <f>IFERROR(__xludf.DUMMYFUNCTION("""COMPUTED_VALUE"""),"Kỹ sư hóa Sillcat")</f>
        <v>Kỹ sư hóa Sillcat</v>
      </c>
      <c r="R244" s="24">
        <f>IFERROR(__xludf.DUMMYFUNCTION("""COMPUTED_VALUE"""),39264.0)</f>
        <v>39264</v>
      </c>
      <c r="S244" s="24">
        <f>IFERROR(__xludf.DUMMYFUNCTION("""COMPUTED_VALUE"""),39264.0)</f>
        <v>39264</v>
      </c>
      <c r="T244" s="22" t="str">
        <f>IFERROR(__xludf.DUMMYFUNCTION("""COMPUTED_VALUE"""),"Chính thức")</f>
        <v>Chính thức</v>
      </c>
      <c r="U244" s="22"/>
      <c r="V244" s="22" t="str">
        <f>IFERROR(__xludf.DUMMYFUNCTION("""COMPUTED_VALUE"""),"Chính thức")</f>
        <v>Chính thức</v>
      </c>
      <c r="W244" s="22" t="str">
        <f>IFERROR(__xludf.DUMMYFUNCTION("""COMPUTED_VALUE"""),"18 năm 5 tháng")</f>
        <v>18 năm 5 tháng</v>
      </c>
      <c r="X244" s="22"/>
      <c r="Y244" s="22"/>
      <c r="Z244" s="22"/>
    </row>
    <row r="245">
      <c r="A245" s="22">
        <f>IFERROR(__xludf.DUMMYFUNCTION("""COMPUTED_VALUE"""),3.0)</f>
        <v>3</v>
      </c>
      <c r="B245" s="22" t="str">
        <f>IFERROR(__xludf.DUMMYFUNCTION("""COMPUTED_VALUE"""),"DC6-PXSX2")</f>
        <v>DC6-PXSX2</v>
      </c>
      <c r="C245" s="22" t="str">
        <f>IFERROR(__xludf.DUMMYFUNCTION("""COMPUTED_VALUE"""),"Bộ phận Nguyên liệu và Dây chuyền gia công")</f>
        <v>Bộ phận Nguyên liệu và Dây chuyền gia công</v>
      </c>
      <c r="D245" s="22" t="str">
        <f>IFERROR(__xludf.DUMMYFUNCTION("""COMPUTED_VALUE"""),"Dây chuyền gia công Ca A")</f>
        <v>Dây chuyền gia công Ca A</v>
      </c>
      <c r="E245" s="22" t="str">
        <f>IFERROR(__xludf.DUMMYFUNCTION("""COMPUTED_VALUE"""),"VHC máy ép")</f>
        <v>VHC máy ép</v>
      </c>
      <c r="F245" s="22" t="str">
        <f>IFERROR(__xludf.DUMMYFUNCTION("""COMPUTED_VALUE"""),"NV0575")</f>
        <v>NV0575</v>
      </c>
      <c r="G245" s="22">
        <f>IFERROR(__xludf.DUMMYFUNCTION("""COMPUTED_VALUE"""),553.0)</f>
        <v>553</v>
      </c>
      <c r="H245" s="22" t="str">
        <f>IFERROR(__xludf.DUMMYFUNCTION("""COMPUTED_VALUE"""),"Lê Xuân Bắc")</f>
        <v>Lê Xuân Bắc</v>
      </c>
      <c r="I245" s="22" t="str">
        <f>IFERROR(__xludf.DUMMYFUNCTION("""COMPUTED_VALUE"""),"Nam")</f>
        <v>Nam</v>
      </c>
      <c r="J245" s="24">
        <f>IFERROR(__xludf.DUMMYFUNCTION("""COMPUTED_VALUE"""),30549.0)</f>
        <v>30549</v>
      </c>
      <c r="K245" s="22" t="str">
        <f>IFERROR(__xludf.DUMMYFUNCTION("""COMPUTED_VALUE"""),"Thị trấn Tân Phong -  Huyện Quảng Xương -  Thanh Hóa - ")</f>
        <v>Thị trấn Tân Phong -  Huyện Quảng Xương -  Thanh Hóa - </v>
      </c>
      <c r="L245" s="22" t="str">
        <f>IFERROR(__xludf.DUMMYFUNCTION("""COMPUTED_VALUE"""),"0989214996")</f>
        <v>0989214996</v>
      </c>
      <c r="M245" s="22" t="str">
        <f>IFERROR(__xludf.DUMMYFUNCTION("""COMPUTED_VALUE"""),"038083003622")</f>
        <v>038083003622</v>
      </c>
      <c r="N245" s="26">
        <f>IFERROR(__xludf.DUMMYFUNCTION("""COMPUTED_VALUE"""),44418.0)</f>
        <v>44418</v>
      </c>
      <c r="O245" s="22" t="str">
        <f>IFERROR(__xludf.DUMMYFUNCTION("""COMPUTED_VALUE"""),"Cục Cảnh sát QLHC về TTXH")</f>
        <v>Cục Cảnh sát QLHC về TTXH</v>
      </c>
      <c r="P245" s="22" t="str">
        <f>IFERROR(__xludf.DUMMYFUNCTION("""COMPUTED_VALUE"""),"LĐPT")</f>
        <v>LĐPT</v>
      </c>
      <c r="Q245" s="22" t="str">
        <f>IFERROR(__xludf.DUMMYFUNCTION("""COMPUTED_VALUE"""),"Lao động phổ thông")</f>
        <v>Lao động phổ thông</v>
      </c>
      <c r="R245" s="24">
        <f>IFERROR(__xludf.DUMMYFUNCTION("""COMPUTED_VALUE"""),40993.0)</f>
        <v>40993</v>
      </c>
      <c r="S245" s="24">
        <f>IFERROR(__xludf.DUMMYFUNCTION("""COMPUTED_VALUE"""),40993.0)</f>
        <v>40993</v>
      </c>
      <c r="T245" s="22" t="str">
        <f>IFERROR(__xludf.DUMMYFUNCTION("""COMPUTED_VALUE"""),"Chính thức")</f>
        <v>Chính thức</v>
      </c>
      <c r="U245" s="22"/>
      <c r="V245" s="22" t="str">
        <f>IFERROR(__xludf.DUMMYFUNCTION("""COMPUTED_VALUE"""),"Chính thức")</f>
        <v>Chính thức</v>
      </c>
      <c r="W245" s="22" t="str">
        <f>IFERROR(__xludf.DUMMYFUNCTION("""COMPUTED_VALUE"""),"13 năm 9 tháng")</f>
        <v>13 năm 9 tháng</v>
      </c>
      <c r="X245" s="22"/>
      <c r="Y245" s="22"/>
      <c r="Z245" s="22"/>
    </row>
    <row r="246">
      <c r="A246" s="22">
        <f>IFERROR(__xludf.DUMMYFUNCTION("""COMPUTED_VALUE"""),4.0)</f>
        <v>4</v>
      </c>
      <c r="B246" s="22" t="str">
        <f>IFERROR(__xludf.DUMMYFUNCTION("""COMPUTED_VALUE"""),"DC6-PXSX2")</f>
        <v>DC6-PXSX2</v>
      </c>
      <c r="C246" s="22" t="str">
        <f>IFERROR(__xludf.DUMMYFUNCTION("""COMPUTED_VALUE"""),"Bộ phận Nguyên liệu và Dây chuyền gia công")</f>
        <v>Bộ phận Nguyên liệu và Dây chuyền gia công</v>
      </c>
      <c r="D246" s="22" t="str">
        <f>IFERROR(__xludf.DUMMYFUNCTION("""COMPUTED_VALUE"""),"Dây chuyền gia công Ca A")</f>
        <v>Dây chuyền gia công Ca A</v>
      </c>
      <c r="E246" s="22" t="str">
        <f>IFERROR(__xludf.DUMMYFUNCTION("""COMPUTED_VALUE"""),"VHC tráng Men -  Engobe")</f>
        <v>VHC tráng Men -  Engobe</v>
      </c>
      <c r="F246" s="22" t="str">
        <f>IFERROR(__xludf.DUMMYFUNCTION("""COMPUTED_VALUE"""),"NV0580")</f>
        <v>NV0580</v>
      </c>
      <c r="G246" s="22">
        <f>IFERROR(__xludf.DUMMYFUNCTION("""COMPUTED_VALUE"""),562.0)</f>
        <v>562</v>
      </c>
      <c r="H246" s="22" t="str">
        <f>IFERROR(__xludf.DUMMYFUNCTION("""COMPUTED_VALUE"""),"Nguyễn Văn Thủy")</f>
        <v>Nguyễn Văn Thủy</v>
      </c>
      <c r="I246" s="22" t="str">
        <f>IFERROR(__xludf.DUMMYFUNCTION("""COMPUTED_VALUE"""),"Nam")</f>
        <v>Nam</v>
      </c>
      <c r="J246" s="24">
        <f>IFERROR(__xludf.DUMMYFUNCTION("""COMPUTED_VALUE"""),30014.0)</f>
        <v>30014</v>
      </c>
      <c r="K246" s="22" t="str">
        <f>IFERROR(__xludf.DUMMYFUNCTION("""COMPUTED_VALUE"""),"Xã Hoằng Xuyên -  Huyện Hoằng Hóa -  Thanh Hóa")</f>
        <v>Xã Hoằng Xuyên -  Huyện Hoằng Hóa -  Thanh Hóa</v>
      </c>
      <c r="L246" s="22" t="str">
        <f>IFERROR(__xludf.DUMMYFUNCTION("""COMPUTED_VALUE"""),"0973192457")</f>
        <v>0973192457</v>
      </c>
      <c r="M246" s="22" t="str">
        <f>IFERROR(__xludf.DUMMYFUNCTION("""COMPUTED_VALUE"""),"038082001510")</f>
        <v>038082001510</v>
      </c>
      <c r="N246" s="26">
        <f>IFERROR(__xludf.DUMMYFUNCTION("""COMPUTED_VALUE"""),44440.0)</f>
        <v>44440</v>
      </c>
      <c r="O246" s="22" t="str">
        <f>IFERROR(__xludf.DUMMYFUNCTION("""COMPUTED_VALUE"""),"Cục Cảnh sát QLHC về TTXH")</f>
        <v>Cục Cảnh sát QLHC về TTXH</v>
      </c>
      <c r="P246" s="22" t="str">
        <f>IFERROR(__xludf.DUMMYFUNCTION("""COMPUTED_VALUE"""),"Cao đẳng")</f>
        <v>Cao đẳng</v>
      </c>
      <c r="Q246" s="22" t="str">
        <f>IFERROR(__xludf.DUMMYFUNCTION("""COMPUTED_VALUE"""),"Công nghệ kỹ thuật hóa học")</f>
        <v>Công nghệ kỹ thuật hóa học</v>
      </c>
      <c r="R246" s="24">
        <f>IFERROR(__xludf.DUMMYFUNCTION("""COMPUTED_VALUE"""),42521.0)</f>
        <v>42521</v>
      </c>
      <c r="S246" s="24">
        <f>IFERROR(__xludf.DUMMYFUNCTION("""COMPUTED_VALUE"""),42856.0)</f>
        <v>42856</v>
      </c>
      <c r="T246" s="22" t="str">
        <f>IFERROR(__xludf.DUMMYFUNCTION("""COMPUTED_VALUE"""),"Chính thức")</f>
        <v>Chính thức</v>
      </c>
      <c r="U246" s="22"/>
      <c r="V246" s="22" t="str">
        <f>IFERROR(__xludf.DUMMYFUNCTION("""COMPUTED_VALUE"""),"Chính thức")</f>
        <v>Chính thức</v>
      </c>
      <c r="W246" s="22" t="str">
        <f>IFERROR(__xludf.DUMMYFUNCTION("""COMPUTED_VALUE"""),"9 năm 7 tháng")</f>
        <v>9 năm 7 tháng</v>
      </c>
      <c r="X246" s="22"/>
      <c r="Y246" s="22"/>
      <c r="Z246" s="22"/>
    </row>
    <row r="247">
      <c r="A247" s="22">
        <f>IFERROR(__xludf.DUMMYFUNCTION("""COMPUTED_VALUE"""),5.0)</f>
        <v>5</v>
      </c>
      <c r="B247" s="22" t="str">
        <f>IFERROR(__xludf.DUMMYFUNCTION("""COMPUTED_VALUE"""),"DC6-PXSX2")</f>
        <v>DC6-PXSX2</v>
      </c>
      <c r="C247" s="22" t="str">
        <f>IFERROR(__xludf.DUMMYFUNCTION("""COMPUTED_VALUE"""),"Bộ phận Nguyên liệu và Dây chuyền gia công")</f>
        <v>Bộ phận Nguyên liệu và Dây chuyền gia công</v>
      </c>
      <c r="D247" s="22" t="str">
        <f>IFERROR(__xludf.DUMMYFUNCTION("""COMPUTED_VALUE"""),"Dây chuyền gia công Ca A")</f>
        <v>Dây chuyền gia công Ca A</v>
      </c>
      <c r="E247" s="22" t="str">
        <f>IFERROR(__xludf.DUMMYFUNCTION("""COMPUTED_VALUE"""),"VH Cuối sấy")</f>
        <v>VH Cuối sấy</v>
      </c>
      <c r="F247" s="22" t="str">
        <f>IFERROR(__xludf.DUMMYFUNCTION("""COMPUTED_VALUE"""),"NV0590")</f>
        <v>NV0590</v>
      </c>
      <c r="G247" s="22">
        <f>IFERROR(__xludf.DUMMYFUNCTION("""COMPUTED_VALUE"""),395.0)</f>
        <v>395</v>
      </c>
      <c r="H247" s="22" t="str">
        <f>IFERROR(__xludf.DUMMYFUNCTION("""COMPUTED_VALUE"""),"Trịnh Sỹ Chắn")</f>
        <v>Trịnh Sỹ Chắn</v>
      </c>
      <c r="I247" s="22" t="str">
        <f>IFERROR(__xludf.DUMMYFUNCTION("""COMPUTED_VALUE"""),"Nam")</f>
        <v>Nam</v>
      </c>
      <c r="J247" s="24">
        <f>IFERROR(__xludf.DUMMYFUNCTION("""COMPUTED_VALUE"""),28764.0)</f>
        <v>28764</v>
      </c>
      <c r="K247" s="22" t="str">
        <f>IFERROR(__xludf.DUMMYFUNCTION("""COMPUTED_VALUE"""),"Phố 4 -  Xã Quảng Hưng -  Thành phố Thanh Hóa - ")</f>
        <v>Phố 4 -  Xã Quảng Hưng -  Thành phố Thanh Hóa - </v>
      </c>
      <c r="L247" s="22" t="str">
        <f>IFERROR(__xludf.DUMMYFUNCTION("""COMPUTED_VALUE"""),"0355083793")</f>
        <v>0355083793</v>
      </c>
      <c r="M247" s="22" t="str">
        <f>IFERROR(__xludf.DUMMYFUNCTION("""COMPUTED_VALUE"""),"038078007825")</f>
        <v>038078007825</v>
      </c>
      <c r="N247" s="26">
        <f>IFERROR(__xludf.DUMMYFUNCTION("""COMPUTED_VALUE"""),44317.0)</f>
        <v>44317</v>
      </c>
      <c r="O247" s="22" t="str">
        <f>IFERROR(__xludf.DUMMYFUNCTION("""COMPUTED_VALUE"""),"Cục Cảnh sát QLHC về TTXH")</f>
        <v>Cục Cảnh sát QLHC về TTXH</v>
      </c>
      <c r="P247" s="22" t="str">
        <f>IFERROR(__xludf.DUMMYFUNCTION("""COMPUTED_VALUE"""),"LĐPT")</f>
        <v>LĐPT</v>
      </c>
      <c r="Q247" s="22" t="str">
        <f>IFERROR(__xludf.DUMMYFUNCTION("""COMPUTED_VALUE"""),"Lao động phổ thông")</f>
        <v>Lao động phổ thông</v>
      </c>
      <c r="R247" s="24">
        <f>IFERROR(__xludf.DUMMYFUNCTION("""COMPUTED_VALUE"""),39385.0)</f>
        <v>39385</v>
      </c>
      <c r="S247" s="24">
        <f>IFERROR(__xludf.DUMMYFUNCTION("""COMPUTED_VALUE"""),39385.0)</f>
        <v>39385</v>
      </c>
      <c r="T247" s="22" t="str">
        <f>IFERROR(__xludf.DUMMYFUNCTION("""COMPUTED_VALUE"""),"Chính thức")</f>
        <v>Chính thức</v>
      </c>
      <c r="U247" s="22"/>
      <c r="V247" s="22" t="str">
        <f>IFERROR(__xludf.DUMMYFUNCTION("""COMPUTED_VALUE"""),"Chính thức")</f>
        <v>Chính thức</v>
      </c>
      <c r="W247" s="22" t="str">
        <f>IFERROR(__xludf.DUMMYFUNCTION("""COMPUTED_VALUE"""),"18 năm 2 tháng")</f>
        <v>18 năm 2 tháng</v>
      </c>
      <c r="X247" s="22"/>
      <c r="Y247" s="22"/>
      <c r="Z247" s="22"/>
    </row>
    <row r="248">
      <c r="A248" s="22">
        <f>IFERROR(__xludf.DUMMYFUNCTION("""COMPUTED_VALUE"""),6.0)</f>
        <v>6</v>
      </c>
      <c r="B248" s="22" t="str">
        <f>IFERROR(__xludf.DUMMYFUNCTION("""COMPUTED_VALUE"""),"DC6-PXSX2")</f>
        <v>DC6-PXSX2</v>
      </c>
      <c r="C248" s="22" t="str">
        <f>IFERROR(__xludf.DUMMYFUNCTION("""COMPUTED_VALUE"""),"Bộ phận Nguyên liệu và Dây chuyền gia công")</f>
        <v>Bộ phận Nguyên liệu và Dây chuyền gia công</v>
      </c>
      <c r="D248" s="22" t="str">
        <f>IFERROR(__xludf.DUMMYFUNCTION("""COMPUTED_VALUE"""),"Dây chuyền gia công Ca A")</f>
        <v>Dây chuyền gia công Ca A</v>
      </c>
      <c r="E248" s="22" t="str">
        <f>IFERROR(__xludf.DUMMYFUNCTION("""COMPUTED_VALUE"""),"VHC Máy in kỹ thuật số")</f>
        <v>VHC Máy in kỹ thuật số</v>
      </c>
      <c r="F248" s="22" t="str">
        <f>IFERROR(__xludf.DUMMYFUNCTION("""COMPUTED_VALUE"""),"NV1274")</f>
        <v>NV1274</v>
      </c>
      <c r="G248" s="22">
        <f>IFERROR(__xludf.DUMMYFUNCTION("""COMPUTED_VALUE"""),554.0)</f>
        <v>554</v>
      </c>
      <c r="H248" s="22" t="str">
        <f>IFERROR(__xludf.DUMMYFUNCTION("""COMPUTED_VALUE"""),"Lê Anh Quang")</f>
        <v>Lê Anh Quang</v>
      </c>
      <c r="I248" s="22" t="str">
        <f>IFERROR(__xludf.DUMMYFUNCTION("""COMPUTED_VALUE"""),"Nam")</f>
        <v>Nam</v>
      </c>
      <c r="J248" s="24">
        <f>IFERROR(__xludf.DUMMYFUNCTION("""COMPUTED_VALUE"""),33776.0)</f>
        <v>33776</v>
      </c>
      <c r="K248" s="22" t="str">
        <f>IFERROR(__xludf.DUMMYFUNCTION("""COMPUTED_VALUE"""),"Xã Quảng Ninh -  Huyện Quảng Xương -  Thanh Hóa - ")</f>
        <v>Xã Quảng Ninh -  Huyện Quảng Xương -  Thanh Hóa - </v>
      </c>
      <c r="L248" s="22" t="str">
        <f>IFERROR(__xludf.DUMMYFUNCTION("""COMPUTED_VALUE"""),"0333236742")</f>
        <v>0333236742</v>
      </c>
      <c r="M248" s="22" t="str">
        <f>IFERROR(__xludf.DUMMYFUNCTION("""COMPUTED_VALUE"""),"038092027050")</f>
        <v>038092027050</v>
      </c>
      <c r="N248" s="26">
        <f>IFERROR(__xludf.DUMMYFUNCTION("""COMPUTED_VALUE"""),44546.0)</f>
        <v>44546</v>
      </c>
      <c r="O248" s="22" t="str">
        <f>IFERROR(__xludf.DUMMYFUNCTION("""COMPUTED_VALUE"""),"Cục Cảnh sát QLHC về TTXH")</f>
        <v>Cục Cảnh sát QLHC về TTXH</v>
      </c>
      <c r="P248" s="22" t="str">
        <f>IFERROR(__xludf.DUMMYFUNCTION("""COMPUTED_VALUE"""),"Cao đẳng")</f>
        <v>Cao đẳng</v>
      </c>
      <c r="Q248" s="22" t="str">
        <f>IFERROR(__xludf.DUMMYFUNCTION("""COMPUTED_VALUE"""),"Công nghệ kỹ thuật điện -  điện tử")</f>
        <v>Công nghệ kỹ thuật điện -  điện tử</v>
      </c>
      <c r="R248" s="24">
        <f>IFERROR(__xludf.DUMMYFUNCTION("""COMPUTED_VALUE"""),43200.0)</f>
        <v>43200</v>
      </c>
      <c r="S248" s="24">
        <f>IFERROR(__xludf.DUMMYFUNCTION("""COMPUTED_VALUE"""),43586.0)</f>
        <v>43586</v>
      </c>
      <c r="T248" s="22" t="str">
        <f>IFERROR(__xludf.DUMMYFUNCTION("""COMPUTED_VALUE"""),"Chính thức")</f>
        <v>Chính thức</v>
      </c>
      <c r="U248" s="22"/>
      <c r="V248" s="22" t="str">
        <f>IFERROR(__xludf.DUMMYFUNCTION("""COMPUTED_VALUE"""),"Chính thức")</f>
        <v>Chính thức</v>
      </c>
      <c r="W248" s="22" t="str">
        <f>IFERROR(__xludf.DUMMYFUNCTION("""COMPUTED_VALUE"""),"7 năm 8 tháng")</f>
        <v>7 năm 8 tháng</v>
      </c>
      <c r="X248" s="22"/>
      <c r="Y248" s="22"/>
      <c r="Z248" s="22"/>
    </row>
    <row r="249">
      <c r="A249" s="22">
        <f>IFERROR(__xludf.DUMMYFUNCTION("""COMPUTED_VALUE"""),7.0)</f>
        <v>7</v>
      </c>
      <c r="B249" s="22" t="str">
        <f>IFERROR(__xludf.DUMMYFUNCTION("""COMPUTED_VALUE"""),"DC6-PXSX2")</f>
        <v>DC6-PXSX2</v>
      </c>
      <c r="C249" s="22" t="str">
        <f>IFERROR(__xludf.DUMMYFUNCTION("""COMPUTED_VALUE"""),"Bộ phận Nguyên liệu và Dây chuyền gia công")</f>
        <v>Bộ phận Nguyên liệu và Dây chuyền gia công</v>
      </c>
      <c r="D249" s="22" t="str">
        <f>IFERROR(__xludf.DUMMYFUNCTION("""COMPUTED_VALUE"""),"Dây chuyền gia công Ca A")</f>
        <v>Dây chuyền gia công Ca A</v>
      </c>
      <c r="E249" s="22" t="str">
        <f>IFERROR(__xludf.DUMMYFUNCTION("""COMPUTED_VALUE"""),"VH Máy in kỹ thuật số")</f>
        <v>VH Máy in kỹ thuật số</v>
      </c>
      <c r="F249" s="22" t="str">
        <f>IFERROR(__xludf.DUMMYFUNCTION("""COMPUTED_VALUE"""),"NV3011")</f>
        <v>NV3011</v>
      </c>
      <c r="G249" s="22">
        <f>IFERROR(__xludf.DUMMYFUNCTION("""COMPUTED_VALUE"""),715.0)</f>
        <v>715</v>
      </c>
      <c r="H249" s="22" t="str">
        <f>IFERROR(__xludf.DUMMYFUNCTION("""COMPUTED_VALUE"""),"Trương Quốc Thịnh")</f>
        <v>Trương Quốc Thịnh</v>
      </c>
      <c r="I249" s="22" t="str">
        <f>IFERROR(__xludf.DUMMYFUNCTION("""COMPUTED_VALUE"""),"Nam")</f>
        <v>Nam</v>
      </c>
      <c r="J249" s="24">
        <f>IFERROR(__xludf.DUMMYFUNCTION("""COMPUTED_VALUE"""),33890.0)</f>
        <v>33890</v>
      </c>
      <c r="K249" s="22" t="str">
        <f>IFERROR(__xludf.DUMMYFUNCTION("""COMPUTED_VALUE"""),"SN03 Phạm Bành -  Phường Ba Đình -  Thành phố Thanh Hóa -  Thanh Hóa")</f>
        <v>SN03 Phạm Bành -  Phường Ba Đình -  Thành phố Thanh Hóa -  Thanh Hóa</v>
      </c>
      <c r="L249" s="22" t="str">
        <f>IFERROR(__xludf.DUMMYFUNCTION("""COMPUTED_VALUE"""),"0325339041")</f>
        <v>0325339041</v>
      </c>
      <c r="M249" s="22" t="str">
        <f>IFERROR(__xludf.DUMMYFUNCTION("""COMPUTED_VALUE"""),"038092018984")</f>
        <v>038092018984</v>
      </c>
      <c r="N249" s="26">
        <f>IFERROR(__xludf.DUMMYFUNCTION("""COMPUTED_VALUE"""),43965.0)</f>
        <v>43965</v>
      </c>
      <c r="O249" s="22" t="str">
        <f>IFERROR(__xludf.DUMMYFUNCTION("""COMPUTED_VALUE"""),"Cục Cảnh sát QLHC về TTXH")</f>
        <v>Cục Cảnh sát QLHC về TTXH</v>
      </c>
      <c r="P249" s="22" t="str">
        <f>IFERROR(__xludf.DUMMYFUNCTION("""COMPUTED_VALUE"""),"LĐPT")</f>
        <v>LĐPT</v>
      </c>
      <c r="Q249" s="22" t="str">
        <f>IFERROR(__xludf.DUMMYFUNCTION("""COMPUTED_VALUE"""),"Lao động phổ thông")</f>
        <v>Lao động phổ thông</v>
      </c>
      <c r="R249" s="24">
        <f>IFERROR(__xludf.DUMMYFUNCTION("""COMPUTED_VALUE"""),45064.0)</f>
        <v>45064</v>
      </c>
      <c r="S249" s="24">
        <f>IFERROR(__xludf.DUMMYFUNCTION("""COMPUTED_VALUE"""),45444.0)</f>
        <v>45444</v>
      </c>
      <c r="T249" s="22" t="str">
        <f>IFERROR(__xludf.DUMMYFUNCTION("""COMPUTED_VALUE"""),"Chính thức")</f>
        <v>Chính thức</v>
      </c>
      <c r="U249" s="22"/>
      <c r="V249" s="22" t="str">
        <f>IFERROR(__xludf.DUMMYFUNCTION("""COMPUTED_VALUE"""),"Chính thức")</f>
        <v>Chính thức</v>
      </c>
      <c r="W249" s="22" t="str">
        <f>IFERROR(__xludf.DUMMYFUNCTION("""COMPUTED_VALUE"""),"2 năm 7 tháng")</f>
        <v>2 năm 7 tháng</v>
      </c>
      <c r="X249" s="22"/>
      <c r="Y249" s="22"/>
      <c r="Z249" s="22"/>
    </row>
    <row r="250">
      <c r="A250" s="22">
        <f>IFERROR(__xludf.DUMMYFUNCTION("""COMPUTED_VALUE"""),8.0)</f>
        <v>8</v>
      </c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8">
        <f>IFERROR(__xludf.DUMMYFUNCTION("""COMPUTED_VALUE"""),45874.0)</f>
        <v>45874</v>
      </c>
      <c r="B251" s="22" t="str">
        <f>IFERROR(__xludf.DUMMYFUNCTION("""COMPUTED_VALUE"""),"Dây chuyền gia công Ca B")</f>
        <v>Dây chuyền gia công Ca B</v>
      </c>
      <c r="C251" s="22">
        <f>IFERROR(__xludf.DUMMYFUNCTION("""COMPUTED_VALUE"""),5.0)</f>
        <v>5</v>
      </c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>
        <f>IFERROR(__xludf.DUMMYFUNCTION("""COMPUTED_VALUE"""),1.0)</f>
        <v>1</v>
      </c>
      <c r="B252" s="22" t="str">
        <f>IFERROR(__xludf.DUMMYFUNCTION("""COMPUTED_VALUE"""),"DC6-PXSX2")</f>
        <v>DC6-PXSX2</v>
      </c>
      <c r="C252" s="22" t="str">
        <f>IFERROR(__xludf.DUMMYFUNCTION("""COMPUTED_VALUE"""),"Bộ phận Nguyên liệu và Dây chuyền gia công")</f>
        <v>Bộ phận Nguyên liệu và Dây chuyền gia công</v>
      </c>
      <c r="D252" s="22" t="str">
        <f>IFERROR(__xludf.DUMMYFUNCTION("""COMPUTED_VALUE"""),"Dây chuyền gia công Ca B")</f>
        <v>Dây chuyền gia công Ca B</v>
      </c>
      <c r="E252" s="22" t="str">
        <f>IFERROR(__xludf.DUMMYFUNCTION("""COMPUTED_VALUE"""),"Tổ trưởng")</f>
        <v>Tổ trưởng</v>
      </c>
      <c r="F252" s="22" t="str">
        <f>IFERROR(__xludf.DUMMYFUNCTION("""COMPUTED_VALUE"""),"NV0567")</f>
        <v>NV0567</v>
      </c>
      <c r="G252" s="22">
        <f>IFERROR(__xludf.DUMMYFUNCTION("""COMPUTED_VALUE"""),564.0)</f>
        <v>564</v>
      </c>
      <c r="H252" s="22" t="str">
        <f>IFERROR(__xludf.DUMMYFUNCTION("""COMPUTED_VALUE"""),"Lê Ngọc Hiếu")</f>
        <v>Lê Ngọc Hiếu</v>
      </c>
      <c r="I252" s="22" t="str">
        <f>IFERROR(__xludf.DUMMYFUNCTION("""COMPUTED_VALUE"""),"Nam")</f>
        <v>Nam</v>
      </c>
      <c r="J252" s="24">
        <f>IFERROR(__xludf.DUMMYFUNCTION("""COMPUTED_VALUE"""),35243.0)</f>
        <v>35243</v>
      </c>
      <c r="K252" s="22" t="str">
        <f>IFERROR(__xludf.DUMMYFUNCTION("""COMPUTED_VALUE"""),"Phúc Cường -  Xã Quảng Tâm -  Thành phố Thanh Hóa")</f>
        <v>Phúc Cường -  Xã Quảng Tâm -  Thành phố Thanh Hóa</v>
      </c>
      <c r="L252" s="22" t="str">
        <f>IFERROR(__xludf.DUMMYFUNCTION("""COMPUTED_VALUE"""),"0983352765")</f>
        <v>0983352765</v>
      </c>
      <c r="M252" s="22" t="str">
        <f>IFERROR(__xludf.DUMMYFUNCTION("""COMPUTED_VALUE"""),"038096006009")</f>
        <v>038096006009</v>
      </c>
      <c r="N252" s="26">
        <f>IFERROR(__xludf.DUMMYFUNCTION("""COMPUTED_VALUE"""),44422.0)</f>
        <v>44422</v>
      </c>
      <c r="O252" s="22" t="str">
        <f>IFERROR(__xludf.DUMMYFUNCTION("""COMPUTED_VALUE"""),"Cục Cảnh sát QLHC về TTXH")</f>
        <v>Cục Cảnh sát QLHC về TTXH</v>
      </c>
      <c r="P252" s="22" t="str">
        <f>IFERROR(__xludf.DUMMYFUNCTION("""COMPUTED_VALUE"""),"LĐPT")</f>
        <v>LĐPT</v>
      </c>
      <c r="Q252" s="22" t="str">
        <f>IFERROR(__xludf.DUMMYFUNCTION("""COMPUTED_VALUE"""),"Lao động phổ thông")</f>
        <v>Lao động phổ thông</v>
      </c>
      <c r="R252" s="24">
        <f>IFERROR(__xludf.DUMMYFUNCTION("""COMPUTED_VALUE"""),41936.0)</f>
        <v>41936</v>
      </c>
      <c r="S252" s="24">
        <f>IFERROR(__xludf.DUMMYFUNCTION("""COMPUTED_VALUE"""),41936.0)</f>
        <v>41936</v>
      </c>
      <c r="T252" s="22" t="str">
        <f>IFERROR(__xludf.DUMMYFUNCTION("""COMPUTED_VALUE"""),"Chính thức")</f>
        <v>Chính thức</v>
      </c>
      <c r="U252" s="22"/>
      <c r="V252" s="22" t="str">
        <f>IFERROR(__xludf.DUMMYFUNCTION("""COMPUTED_VALUE"""),"Chính thức")</f>
        <v>Chính thức</v>
      </c>
      <c r="W252" s="22" t="str">
        <f>IFERROR(__xludf.DUMMYFUNCTION("""COMPUTED_VALUE"""),"11 năm 2 tháng")</f>
        <v>11 năm 2 tháng</v>
      </c>
      <c r="X252" s="22"/>
      <c r="Y252" s="22"/>
      <c r="Z252" s="22"/>
    </row>
    <row r="253">
      <c r="A253" s="22">
        <f>IFERROR(__xludf.DUMMYFUNCTION("""COMPUTED_VALUE"""),2.0)</f>
        <v>2</v>
      </c>
      <c r="B253" s="22" t="str">
        <f>IFERROR(__xludf.DUMMYFUNCTION("""COMPUTED_VALUE"""),"DC6-PXSX2")</f>
        <v>DC6-PXSX2</v>
      </c>
      <c r="C253" s="22" t="str">
        <f>IFERROR(__xludf.DUMMYFUNCTION("""COMPUTED_VALUE"""),"Bộ phận Nguyên liệu và Dây chuyền gia công")</f>
        <v>Bộ phận Nguyên liệu và Dây chuyền gia công</v>
      </c>
      <c r="D253" s="22" t="str">
        <f>IFERROR(__xludf.DUMMYFUNCTION("""COMPUTED_VALUE"""),"Dây chuyền gia công Ca B")</f>
        <v>Dây chuyền gia công Ca B</v>
      </c>
      <c r="E253" s="22" t="str">
        <f>IFERROR(__xludf.DUMMYFUNCTION("""COMPUTED_VALUE"""),"VHC máy ép")</f>
        <v>VHC máy ép</v>
      </c>
      <c r="F253" s="22" t="str">
        <f>IFERROR(__xludf.DUMMYFUNCTION("""COMPUTED_VALUE"""),"NV3464")</f>
        <v>NV3464</v>
      </c>
      <c r="G253" s="22">
        <f>IFERROR(__xludf.DUMMYFUNCTION("""COMPUTED_VALUE"""),398.0)</f>
        <v>398</v>
      </c>
      <c r="H253" s="22" t="str">
        <f>IFERROR(__xludf.DUMMYFUNCTION("""COMPUTED_VALUE"""),"Nguyễn Văn Nam")</f>
        <v>Nguyễn Văn Nam</v>
      </c>
      <c r="I253" s="22" t="str">
        <f>IFERROR(__xludf.DUMMYFUNCTION("""COMPUTED_VALUE"""),"Nam")</f>
        <v>Nam</v>
      </c>
      <c r="J253" s="24">
        <f>IFERROR(__xludf.DUMMYFUNCTION("""COMPUTED_VALUE"""),32314.0)</f>
        <v>32314</v>
      </c>
      <c r="K253" s="22" t="str">
        <f>IFERROR(__xludf.DUMMYFUNCTION("""COMPUTED_VALUE"""),"Đông Lễ -  Xã Đông Hải -  Thành phố Thanh Hóa")</f>
        <v>Đông Lễ -  Xã Đông Hải -  Thành phố Thanh Hóa</v>
      </c>
      <c r="L253" s="22" t="str">
        <f>IFERROR(__xludf.DUMMYFUNCTION("""COMPUTED_VALUE"""),"0869321623")</f>
        <v>0869321623</v>
      </c>
      <c r="M253" s="22" t="str">
        <f>IFERROR(__xludf.DUMMYFUNCTION("""COMPUTED_VALUE"""),"038088021452")</f>
        <v>038088021452</v>
      </c>
      <c r="N253" s="26">
        <f>IFERROR(__xludf.DUMMYFUNCTION("""COMPUTED_VALUE"""),44232.0)</f>
        <v>44232</v>
      </c>
      <c r="O253" s="22" t="str">
        <f>IFERROR(__xludf.DUMMYFUNCTION("""COMPUTED_VALUE"""),"Cục Cảnh sát QLHC về TTXH")</f>
        <v>Cục Cảnh sát QLHC về TTXH</v>
      </c>
      <c r="P253" s="22" t="str">
        <f>IFERROR(__xludf.DUMMYFUNCTION("""COMPUTED_VALUE"""),"LĐPT")</f>
        <v>LĐPT</v>
      </c>
      <c r="Q253" s="22" t="str">
        <f>IFERROR(__xludf.DUMMYFUNCTION("""COMPUTED_VALUE"""),"Lao động phổ thông")</f>
        <v>Lao động phổ thông</v>
      </c>
      <c r="R253" s="24">
        <f>IFERROR(__xludf.DUMMYFUNCTION("""COMPUTED_VALUE"""),44254.0)</f>
        <v>44254</v>
      </c>
      <c r="S253" s="24">
        <f>IFERROR(__xludf.DUMMYFUNCTION("""COMPUTED_VALUE"""),44531.0)</f>
        <v>44531</v>
      </c>
      <c r="T253" s="22" t="str">
        <f>IFERROR(__xludf.DUMMYFUNCTION("""COMPUTED_VALUE"""),"Chính thức")</f>
        <v>Chính thức</v>
      </c>
      <c r="U253" s="22"/>
      <c r="V253" s="22" t="str">
        <f>IFERROR(__xludf.DUMMYFUNCTION("""COMPUTED_VALUE"""),"Chính thức")</f>
        <v>Chính thức</v>
      </c>
      <c r="W253" s="22" t="str">
        <f>IFERROR(__xludf.DUMMYFUNCTION("""COMPUTED_VALUE"""),"4 năm 10 tháng")</f>
        <v>4 năm 10 tháng</v>
      </c>
      <c r="X253" s="22"/>
      <c r="Y253" s="22"/>
      <c r="Z253" s="22"/>
    </row>
    <row r="254">
      <c r="A254" s="22">
        <f>IFERROR(__xludf.DUMMYFUNCTION("""COMPUTED_VALUE"""),3.0)</f>
        <v>3</v>
      </c>
      <c r="B254" s="22" t="str">
        <f>IFERROR(__xludf.DUMMYFUNCTION("""COMPUTED_VALUE"""),"DC6-PXSX2")</f>
        <v>DC6-PXSX2</v>
      </c>
      <c r="C254" s="22" t="str">
        <f>IFERROR(__xludf.DUMMYFUNCTION("""COMPUTED_VALUE"""),"Bộ phận Nguyên liệu và Dây chuyền gia công")</f>
        <v>Bộ phận Nguyên liệu và Dây chuyền gia công</v>
      </c>
      <c r="D254" s="22" t="str">
        <f>IFERROR(__xludf.DUMMYFUNCTION("""COMPUTED_VALUE"""),"Dây chuyền gia công Ca B")</f>
        <v>Dây chuyền gia công Ca B</v>
      </c>
      <c r="E254" s="22" t="str">
        <f>IFERROR(__xludf.DUMMYFUNCTION("""COMPUTED_VALUE"""),"VH máy ép")</f>
        <v>VH máy ép</v>
      </c>
      <c r="F254" s="22" t="str">
        <f>IFERROR(__xludf.DUMMYFUNCTION("""COMPUTED_VALUE"""),"NV0568")</f>
        <v>NV0568</v>
      </c>
      <c r="G254" s="22">
        <f>IFERROR(__xludf.DUMMYFUNCTION("""COMPUTED_VALUE"""),379.0)</f>
        <v>379</v>
      </c>
      <c r="H254" s="22" t="str">
        <f>IFERROR(__xludf.DUMMYFUNCTION("""COMPUTED_VALUE"""),"Vũ Thành Hơn")</f>
        <v>Vũ Thành Hơn</v>
      </c>
      <c r="I254" s="22" t="str">
        <f>IFERROR(__xludf.DUMMYFUNCTION("""COMPUTED_VALUE"""),"Nam")</f>
        <v>Nam</v>
      </c>
      <c r="J254" s="24">
        <f>IFERROR(__xludf.DUMMYFUNCTION("""COMPUTED_VALUE"""),32748.0)</f>
        <v>32748</v>
      </c>
      <c r="K254" s="22" t="str">
        <f>IFERROR(__xludf.DUMMYFUNCTION("""COMPUTED_VALUE"""),"Xã Hà Thanh -  Huyện Hà Trung -  Thanh Hóa")</f>
        <v>Xã Hà Thanh -  Huyện Hà Trung -  Thanh Hóa</v>
      </c>
      <c r="L254" s="22" t="str">
        <f>IFERROR(__xludf.DUMMYFUNCTION("""COMPUTED_VALUE"""),"0961144491")</f>
        <v>0961144491</v>
      </c>
      <c r="M254" s="22" t="str">
        <f>IFERROR(__xludf.DUMMYFUNCTION("""COMPUTED_VALUE"""),"038089031536")</f>
        <v>038089031536</v>
      </c>
      <c r="N254" s="26">
        <f>IFERROR(__xludf.DUMMYFUNCTION("""COMPUTED_VALUE"""),44375.0)</f>
        <v>44375</v>
      </c>
      <c r="O254" s="22" t="str">
        <f>IFERROR(__xludf.DUMMYFUNCTION("""COMPUTED_VALUE"""),"Cục Cảnh sát QLHC về TTXH")</f>
        <v>Cục Cảnh sát QLHC về TTXH</v>
      </c>
      <c r="P254" s="22" t="str">
        <f>IFERROR(__xludf.DUMMYFUNCTION("""COMPUTED_VALUE"""),"LĐPT")</f>
        <v>LĐPT</v>
      </c>
      <c r="Q254" s="22" t="str">
        <f>IFERROR(__xludf.DUMMYFUNCTION("""COMPUTED_VALUE"""),"Lao động phổ thông")</f>
        <v>Lao động phổ thông</v>
      </c>
      <c r="R254" s="24">
        <f>IFERROR(__xludf.DUMMYFUNCTION("""COMPUTED_VALUE"""),42122.0)</f>
        <v>42122</v>
      </c>
      <c r="S254" s="24">
        <f>IFERROR(__xludf.DUMMYFUNCTION("""COMPUTED_VALUE"""),42122.0)</f>
        <v>42122</v>
      </c>
      <c r="T254" s="22" t="str">
        <f>IFERROR(__xludf.DUMMYFUNCTION("""COMPUTED_VALUE"""),"Chính thức")</f>
        <v>Chính thức</v>
      </c>
      <c r="U254" s="22"/>
      <c r="V254" s="22" t="str">
        <f>IFERROR(__xludf.DUMMYFUNCTION("""COMPUTED_VALUE"""),"Chính thức")</f>
        <v>Chính thức</v>
      </c>
      <c r="W254" s="22" t="str">
        <f>IFERROR(__xludf.DUMMYFUNCTION("""COMPUTED_VALUE"""),"10 năm 8 tháng")</f>
        <v>10 năm 8 tháng</v>
      </c>
      <c r="X254" s="22"/>
      <c r="Y254" s="22"/>
      <c r="Z254" s="22"/>
    </row>
    <row r="255">
      <c r="A255" s="22">
        <f>IFERROR(__xludf.DUMMYFUNCTION("""COMPUTED_VALUE"""),4.0)</f>
        <v>4</v>
      </c>
      <c r="B255" s="22" t="str">
        <f>IFERROR(__xludf.DUMMYFUNCTION("""COMPUTED_VALUE"""),"DC6-PXSX2")</f>
        <v>DC6-PXSX2</v>
      </c>
      <c r="C255" s="22" t="str">
        <f>IFERROR(__xludf.DUMMYFUNCTION("""COMPUTED_VALUE"""),"Bộ phận Nguyên liệu và Dây chuyền gia công")</f>
        <v>Bộ phận Nguyên liệu và Dây chuyền gia công</v>
      </c>
      <c r="D255" s="22" t="str">
        <f>IFERROR(__xludf.DUMMYFUNCTION("""COMPUTED_VALUE"""),"Dây chuyền gia công Ca B")</f>
        <v>Dây chuyền gia công Ca B</v>
      </c>
      <c r="E255" s="22" t="str">
        <f>IFERROR(__xludf.DUMMYFUNCTION("""COMPUTED_VALUE"""),"VHC tráng Men -  Engobe")</f>
        <v>VHC tráng Men -  Engobe</v>
      </c>
      <c r="F255" s="22" t="str">
        <f>IFERROR(__xludf.DUMMYFUNCTION("""COMPUTED_VALUE"""),"NV0566")</f>
        <v>NV0566</v>
      </c>
      <c r="G255" s="22">
        <f>IFERROR(__xludf.DUMMYFUNCTION("""COMPUTED_VALUE"""),714.0)</f>
        <v>714</v>
      </c>
      <c r="H255" s="22" t="str">
        <f>IFERROR(__xludf.DUMMYFUNCTION("""COMPUTED_VALUE"""),"Lê Thanh Bình")</f>
        <v>Lê Thanh Bình</v>
      </c>
      <c r="I255" s="22" t="str">
        <f>IFERROR(__xludf.DUMMYFUNCTION("""COMPUTED_VALUE"""),"Nam")</f>
        <v>Nam</v>
      </c>
      <c r="J255" s="24">
        <f>IFERROR(__xludf.DUMMYFUNCTION("""COMPUTED_VALUE"""),34108.0)</f>
        <v>34108</v>
      </c>
      <c r="K255" s="22" t="str">
        <f>IFERROR(__xludf.DUMMYFUNCTION("""COMPUTED_VALUE"""),"Xã Thiệu Tâm - Thiệu Hóa - Thanh Hóa")</f>
        <v>Xã Thiệu Tâm - Thiệu Hóa - Thanh Hóa</v>
      </c>
      <c r="L255" s="22" t="str">
        <f>IFERROR(__xludf.DUMMYFUNCTION("""COMPUTED_VALUE"""),"0369346075")</f>
        <v>0369346075</v>
      </c>
      <c r="M255" s="22" t="str">
        <f>IFERROR(__xludf.DUMMYFUNCTION("""COMPUTED_VALUE"""),"038093025077")</f>
        <v>038093025077</v>
      </c>
      <c r="N255" s="26">
        <f>IFERROR(__xludf.DUMMYFUNCTION("""COMPUTED_VALUE"""),44785.0)</f>
        <v>44785</v>
      </c>
      <c r="O255" s="22" t="str">
        <f>IFERROR(__xludf.DUMMYFUNCTION("""COMPUTED_VALUE"""),"Cục Cảnh sát QLHC về TTXH")</f>
        <v>Cục Cảnh sát QLHC về TTXH</v>
      </c>
      <c r="P255" s="22" t="str">
        <f>IFERROR(__xludf.DUMMYFUNCTION("""COMPUTED_VALUE"""),"LĐPT")</f>
        <v>LĐPT</v>
      </c>
      <c r="Q255" s="22" t="str">
        <f>IFERROR(__xludf.DUMMYFUNCTION("""COMPUTED_VALUE"""),"Lao động phổ thông")</f>
        <v>Lao động phổ thông</v>
      </c>
      <c r="R255" s="24">
        <f>IFERROR(__xludf.DUMMYFUNCTION("""COMPUTED_VALUE"""),41076.0)</f>
        <v>41076</v>
      </c>
      <c r="S255" s="24">
        <f>IFERROR(__xludf.DUMMYFUNCTION("""COMPUTED_VALUE"""),41076.0)</f>
        <v>41076</v>
      </c>
      <c r="T255" s="22" t="str">
        <f>IFERROR(__xludf.DUMMYFUNCTION("""COMPUTED_VALUE"""),"Chính thức")</f>
        <v>Chính thức</v>
      </c>
      <c r="U255" s="22"/>
      <c r="V255" s="22" t="str">
        <f>IFERROR(__xludf.DUMMYFUNCTION("""COMPUTED_VALUE"""),"Chính thức")</f>
        <v>Chính thức</v>
      </c>
      <c r="W255" s="22" t="str">
        <f>IFERROR(__xludf.DUMMYFUNCTION("""COMPUTED_VALUE"""),"13 năm 6 tháng")</f>
        <v>13 năm 6 tháng</v>
      </c>
      <c r="X255" s="22"/>
      <c r="Y255" s="22"/>
      <c r="Z255" s="22"/>
    </row>
    <row r="256">
      <c r="A256" s="22">
        <f>IFERROR(__xludf.DUMMYFUNCTION("""COMPUTED_VALUE"""),5.0)</f>
        <v>5</v>
      </c>
      <c r="B256" s="22" t="str">
        <f>IFERROR(__xludf.DUMMYFUNCTION("""COMPUTED_VALUE"""),"DC6-PXSX2")</f>
        <v>DC6-PXSX2</v>
      </c>
      <c r="C256" s="22" t="str">
        <f>IFERROR(__xludf.DUMMYFUNCTION("""COMPUTED_VALUE"""),"Bộ phận Nguyên liệu và Dây chuyền gia công")</f>
        <v>Bộ phận Nguyên liệu và Dây chuyền gia công</v>
      </c>
      <c r="D256" s="22" t="str">
        <f>IFERROR(__xludf.DUMMYFUNCTION("""COMPUTED_VALUE"""),"Dây chuyền gia công Ca B")</f>
        <v>Dây chuyền gia công Ca B</v>
      </c>
      <c r="E256" s="22"/>
      <c r="F256" s="22" t="str">
        <f>IFERROR(__xludf.DUMMYFUNCTION("""COMPUTED_VALUE"""),"NV5787")</f>
        <v>NV5787</v>
      </c>
      <c r="G256" s="22">
        <f>IFERROR(__xludf.DUMMYFUNCTION("""COMPUTED_VALUE"""),1269.0)</f>
        <v>1269</v>
      </c>
      <c r="H256" s="22" t="str">
        <f>IFERROR(__xludf.DUMMYFUNCTION("""COMPUTED_VALUE"""),"Văn Doãn Thuận")</f>
        <v>Văn Doãn Thuận</v>
      </c>
      <c r="I256" s="22" t="str">
        <f>IFERROR(__xludf.DUMMYFUNCTION("""COMPUTED_VALUE"""),"Nam")</f>
        <v>Nam</v>
      </c>
      <c r="J256" s="24">
        <f>IFERROR(__xludf.DUMMYFUNCTION("""COMPUTED_VALUE"""),33026.0)</f>
        <v>33026</v>
      </c>
      <c r="K256" s="22" t="str">
        <f>IFERROR(__xludf.DUMMYFUNCTION("""COMPUTED_VALUE"""),"Thôn 10 - Xã Quảng Ninh - Tỉnh Thanh Hóa")</f>
        <v>Thôn 10 - Xã Quảng Ninh - Tỉnh Thanh Hóa</v>
      </c>
      <c r="L256" s="22" t="str">
        <f>IFERROR(__xludf.DUMMYFUNCTION("""COMPUTED_VALUE"""),"0984409904")</f>
        <v>0984409904</v>
      </c>
      <c r="M256" s="22" t="str">
        <f>IFERROR(__xludf.DUMMYFUNCTION("""COMPUTED_VALUE"""),"038080019006")</f>
        <v>038080019006</v>
      </c>
      <c r="N256" s="26">
        <f>IFERROR(__xludf.DUMMYFUNCTION("""COMPUTED_VALUE"""),44427.0)</f>
        <v>44427</v>
      </c>
      <c r="O256" s="22" t="str">
        <f>IFERROR(__xludf.DUMMYFUNCTION("""COMPUTED_VALUE"""),"Cục Cảnh sát QLHC về TTXH")</f>
        <v>Cục Cảnh sát QLHC về TTXH</v>
      </c>
      <c r="P256" s="22" t="str">
        <f>IFERROR(__xludf.DUMMYFUNCTION("""COMPUTED_VALUE"""),"LĐPT")</f>
        <v>LĐPT</v>
      </c>
      <c r="Q256" s="22" t="str">
        <f>IFERROR(__xludf.DUMMYFUNCTION("""COMPUTED_VALUE"""),"Lao động phổ thông")</f>
        <v>Lao động phổ thông</v>
      </c>
      <c r="R256" s="24">
        <f>IFERROR(__xludf.DUMMYFUNCTION("""COMPUTED_VALUE"""),45964.0)</f>
        <v>45964</v>
      </c>
      <c r="S256" s="24">
        <f>IFERROR(__xludf.DUMMYFUNCTION("""COMPUTED_VALUE"""),45994.0)</f>
        <v>45994</v>
      </c>
      <c r="T256" s="22" t="str">
        <f>IFERROR(__xludf.DUMMYFUNCTION("""COMPUTED_VALUE"""),"Thử việc")</f>
        <v>Thử việc</v>
      </c>
      <c r="U256" s="22"/>
      <c r="V256" s="22" t="str">
        <f>IFERROR(__xludf.DUMMYFUNCTION("""COMPUTED_VALUE"""),"Thử việc")</f>
        <v>Thử việc</v>
      </c>
      <c r="W256" s="22" t="str">
        <f>IFERROR(__xludf.DUMMYFUNCTION("""COMPUTED_VALUE"""),"0 năm 1 tháng")</f>
        <v>0 năm 1 tháng</v>
      </c>
      <c r="X256" s="22"/>
      <c r="Y256" s="22"/>
      <c r="Z256" s="22"/>
    </row>
    <row r="257">
      <c r="A257" s="22">
        <f>IFERROR(__xludf.DUMMYFUNCTION("""COMPUTED_VALUE"""),6.0)</f>
        <v>6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>
        <f>IFERROR(__xludf.DUMMYFUNCTION("""COMPUTED_VALUE"""),7.0)</f>
        <v>7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>
        <f>IFERROR(__xludf.DUMMYFUNCTION("""COMPUTED_VALUE"""),8.0)</f>
        <v>8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8">
        <f>IFERROR(__xludf.DUMMYFUNCTION("""COMPUTED_VALUE"""),45905.0)</f>
        <v>45905</v>
      </c>
      <c r="B260" s="22" t="str">
        <f>IFERROR(__xludf.DUMMYFUNCTION("""COMPUTED_VALUE"""),"Dây chuyền gia công Ca C")</f>
        <v>Dây chuyền gia công Ca C</v>
      </c>
      <c r="C260" s="22">
        <f>IFERROR(__xludf.DUMMYFUNCTION("""COMPUTED_VALUE"""),0.0)</f>
        <v>0</v>
      </c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>
        <f>IFERROR(__xludf.DUMMYFUNCTION("""COMPUTED_VALUE"""),1.0)</f>
        <v>1</v>
      </c>
      <c r="B261" s="22" t="str">
        <f>IFERROR(__xludf.DUMMYFUNCTION("""COMPUTED_VALUE"""),"#N/A")</f>
        <v>#N/A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>
        <f>IFERROR(__xludf.DUMMYFUNCTION("""COMPUTED_VALUE"""),2.0)</f>
        <v>2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>
        <f>IFERROR(__xludf.DUMMYFUNCTION("""COMPUTED_VALUE"""),3.0)</f>
        <v>3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>
        <f>IFERROR(__xludf.DUMMYFUNCTION("""COMPUTED_VALUE"""),4.0)</f>
        <v>4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>
        <f>IFERROR(__xludf.DUMMYFUNCTION("""COMPUTED_VALUE"""),5.0)</f>
        <v>5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>
        <f>IFERROR(__xludf.DUMMYFUNCTION("""COMPUTED_VALUE"""),6.0)</f>
        <v>6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>
        <f>IFERROR(__xludf.DUMMYFUNCTION("""COMPUTED_VALUE"""),7.0)</f>
        <v>7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>
        <f>IFERROR(__xludf.DUMMYFUNCTION("""COMPUTED_VALUE"""),8.0)</f>
        <v>8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 t="str">
        <f>IFERROR(__xludf.DUMMYFUNCTION("""COMPUTED_VALUE"""),"6.")</f>
        <v>6.</v>
      </c>
      <c r="B269" s="22" t="str">
        <f>IFERROR(__xludf.DUMMYFUNCTION("""COMPUTED_VALUE"""),"Bộ phận Trạm than và Lò nung")</f>
        <v>Bộ phận Trạm than và Lò nung</v>
      </c>
      <c r="C269" s="22">
        <f>IFERROR(__xludf.DUMMYFUNCTION("""COMPUTED_VALUE"""),28.0)</f>
        <v>28</v>
      </c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8">
        <f>IFERROR(__xludf.DUMMYFUNCTION("""COMPUTED_VALUE"""),45663.0)</f>
        <v>45663</v>
      </c>
      <c r="B270" s="22" t="str">
        <f>IFERROR(__xludf.DUMMYFUNCTION("""COMPUTED_VALUE"""),"Quản lý")</f>
        <v>Quản lý</v>
      </c>
      <c r="C270" s="22">
        <f>IFERROR(__xludf.DUMMYFUNCTION("""COMPUTED_VALUE"""),1.0)</f>
        <v>1</v>
      </c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>
        <f>IFERROR(__xludf.DUMMYFUNCTION("""COMPUTED_VALUE"""),1.0)</f>
        <v>1</v>
      </c>
      <c r="B271" s="22" t="str">
        <f>IFERROR(__xludf.DUMMYFUNCTION("""COMPUTED_VALUE"""),"PXSX2")</f>
        <v>PXSX2</v>
      </c>
      <c r="C271" s="22" t="str">
        <f>IFERROR(__xludf.DUMMYFUNCTION("""COMPUTED_VALUE"""),"Bộ phận Trạm than và Lò nung")</f>
        <v>Bộ phận Trạm than và Lò nung</v>
      </c>
      <c r="D271" s="22" t="str">
        <f>IFERROR(__xludf.DUMMYFUNCTION("""COMPUTED_VALUE"""),"Quản lý")</f>
        <v>Quản lý</v>
      </c>
      <c r="E271" s="22" t="str">
        <f>IFERROR(__xludf.DUMMYFUNCTION("""COMPUTED_VALUE"""),"Cán bộ kỹ thuật")</f>
        <v>Cán bộ kỹ thuật</v>
      </c>
      <c r="F271" s="22" t="str">
        <f>IFERROR(__xludf.DUMMYFUNCTION("""COMPUTED_VALUE"""),"NV0298")</f>
        <v>NV0298</v>
      </c>
      <c r="G271" s="22">
        <f>IFERROR(__xludf.DUMMYFUNCTION("""COMPUTED_VALUE"""),591.0)</f>
        <v>591</v>
      </c>
      <c r="H271" s="22" t="str">
        <f>IFERROR(__xludf.DUMMYFUNCTION("""COMPUTED_VALUE"""),"Trần Văn Hùng")</f>
        <v>Trần Văn Hùng</v>
      </c>
      <c r="I271" s="22" t="str">
        <f>IFERROR(__xludf.DUMMYFUNCTION("""COMPUTED_VALUE"""),"Nam")</f>
        <v>Nam</v>
      </c>
      <c r="J271" s="24">
        <f>IFERROR(__xludf.DUMMYFUNCTION("""COMPUTED_VALUE"""),27828.0)</f>
        <v>27828</v>
      </c>
      <c r="K271" s="22" t="str">
        <f>IFERROR(__xludf.DUMMYFUNCTION("""COMPUTED_VALUE"""),"Phố 5 - Phường Quảng Phú - Tỉnh Thanh Hóa")</f>
        <v>Phố 5 - Phường Quảng Phú - Tỉnh Thanh Hóa</v>
      </c>
      <c r="L271" s="22" t="str">
        <f>IFERROR(__xludf.DUMMYFUNCTION("""COMPUTED_VALUE"""),"0984135814")</f>
        <v>0984135814</v>
      </c>
      <c r="M271" s="22" t="str">
        <f>IFERROR(__xludf.DUMMYFUNCTION("""COMPUTED_VALUE"""),"038076000882")</f>
        <v>038076000882</v>
      </c>
      <c r="N271" s="26">
        <f>IFERROR(__xludf.DUMMYFUNCTION("""COMPUTED_VALUE"""),42514.0)</f>
        <v>42514</v>
      </c>
      <c r="O271" s="22" t="str">
        <f>IFERROR(__xludf.DUMMYFUNCTION("""COMPUTED_VALUE"""),"Cục Cảnh sát QLHC về TTXH")</f>
        <v>Cục Cảnh sát QLHC về TTXH</v>
      </c>
      <c r="P271" s="22" t="str">
        <f>IFERROR(__xludf.DUMMYFUNCTION("""COMPUTED_VALUE"""),"LĐPT")</f>
        <v>LĐPT</v>
      </c>
      <c r="Q271" s="22" t="str">
        <f>IFERROR(__xludf.DUMMYFUNCTION("""COMPUTED_VALUE"""),"Lao động phổ thông")</f>
        <v>Lao động phổ thông</v>
      </c>
      <c r="R271" s="24">
        <f>IFERROR(__xludf.DUMMYFUNCTION("""COMPUTED_VALUE"""),38493.0)</f>
        <v>38493</v>
      </c>
      <c r="S271" s="24">
        <f>IFERROR(__xludf.DUMMYFUNCTION("""COMPUTED_VALUE"""),38493.0)</f>
        <v>38493</v>
      </c>
      <c r="T271" s="22" t="str">
        <f>IFERROR(__xludf.DUMMYFUNCTION("""COMPUTED_VALUE"""),"Chính thức")</f>
        <v>Chính thức</v>
      </c>
      <c r="U271" s="22"/>
      <c r="V271" s="22" t="str">
        <f>IFERROR(__xludf.DUMMYFUNCTION("""COMPUTED_VALUE"""),"Chính thức")</f>
        <v>Chính thức</v>
      </c>
      <c r="W271" s="22" t="str">
        <f>IFERROR(__xludf.DUMMYFUNCTION("""COMPUTED_VALUE"""),"20 năm 7 tháng")</f>
        <v>20 năm 7 tháng</v>
      </c>
      <c r="X271" s="22"/>
      <c r="Y271" s="22"/>
      <c r="Z271" s="22"/>
    </row>
    <row r="272">
      <c r="A272" s="28">
        <f>IFERROR(__xludf.DUMMYFUNCTION("""COMPUTED_VALUE"""),45694.0)</f>
        <v>45694</v>
      </c>
      <c r="B272" s="22" t="str">
        <f>IFERROR(__xludf.DUMMYFUNCTION("""COMPUTED_VALUE"""),"Lò nung - Đóng hộp Ca A")</f>
        <v>Lò nung - Đóng hộp Ca A</v>
      </c>
      <c r="C272" s="22">
        <f>IFERROR(__xludf.DUMMYFUNCTION("""COMPUTED_VALUE"""),7.0)</f>
        <v>7</v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>
        <f>IFERROR(__xludf.DUMMYFUNCTION("""COMPUTED_VALUE"""),1.0)</f>
        <v>1</v>
      </c>
      <c r="B273" s="22" t="str">
        <f>IFERROR(__xludf.DUMMYFUNCTION("""COMPUTED_VALUE"""),"DC6-PXSX2")</f>
        <v>DC6-PXSX2</v>
      </c>
      <c r="C273" s="22" t="str">
        <f>IFERROR(__xludf.DUMMYFUNCTION("""COMPUTED_VALUE"""),"Bộ phận Trạm than và Lò nung")</f>
        <v>Bộ phận Trạm than và Lò nung</v>
      </c>
      <c r="D273" s="22" t="str">
        <f>IFERROR(__xludf.DUMMYFUNCTION("""COMPUTED_VALUE"""),"Lò nung - Đóng hộp Ca A")</f>
        <v>Lò nung - Đóng hộp Ca A</v>
      </c>
      <c r="E273" s="22" t="str">
        <f>IFERROR(__xludf.DUMMYFUNCTION("""COMPUTED_VALUE"""),"Tổ trưởng")</f>
        <v>Tổ trưởng</v>
      </c>
      <c r="F273" s="22" t="str">
        <f>IFERROR(__xludf.DUMMYFUNCTION("""COMPUTED_VALUE"""),"NV0606")</f>
        <v>NV0606</v>
      </c>
      <c r="G273" s="22">
        <f>IFERROR(__xludf.DUMMYFUNCTION("""COMPUTED_VALUE"""),465.0)</f>
        <v>465</v>
      </c>
      <c r="H273" s="22" t="str">
        <f>IFERROR(__xludf.DUMMYFUNCTION("""COMPUTED_VALUE"""),"Nguyễn Thương Huyền")</f>
        <v>Nguyễn Thương Huyền</v>
      </c>
      <c r="I273" s="22" t="str">
        <f>IFERROR(__xludf.DUMMYFUNCTION("""COMPUTED_VALUE"""),"Nam")</f>
        <v>Nam</v>
      </c>
      <c r="J273" s="24">
        <f>IFERROR(__xludf.DUMMYFUNCTION("""COMPUTED_VALUE"""),30069.0)</f>
        <v>30069</v>
      </c>
      <c r="K273" s="22" t="str">
        <f>IFERROR(__xludf.DUMMYFUNCTION("""COMPUTED_VALUE"""),"Khu Phố Phúc Đức -  Phường Quảng Tiến -  Thành phố Sầm Sơn -  Thanh Hóa - ")</f>
        <v>Khu Phố Phúc Đức -  Phường Quảng Tiến -  Thành phố Sầm Sơn -  Thanh Hóa - </v>
      </c>
      <c r="L273" s="22" t="str">
        <f>IFERROR(__xludf.DUMMYFUNCTION("""COMPUTED_VALUE"""),"0329547716")</f>
        <v>0329547716</v>
      </c>
      <c r="M273" s="22" t="str">
        <f>IFERROR(__xludf.DUMMYFUNCTION("""COMPUTED_VALUE"""),"038082042219")</f>
        <v>038082042219</v>
      </c>
      <c r="N273" s="26">
        <f>IFERROR(__xludf.DUMMYFUNCTION("""COMPUTED_VALUE"""),44425.0)</f>
        <v>44425</v>
      </c>
      <c r="O273" s="22" t="str">
        <f>IFERROR(__xludf.DUMMYFUNCTION("""COMPUTED_VALUE"""),"Cục Cảnh sát QLHC về TTXH")</f>
        <v>Cục Cảnh sát QLHC về TTXH</v>
      </c>
      <c r="P273" s="22" t="str">
        <f>IFERROR(__xludf.DUMMYFUNCTION("""COMPUTED_VALUE"""),"Cao đẳng")</f>
        <v>Cao đẳng</v>
      </c>
      <c r="Q273" s="22" t="str">
        <f>IFERROR(__xludf.DUMMYFUNCTION("""COMPUTED_VALUE"""),"Tin học")</f>
        <v>Tin học</v>
      </c>
      <c r="R273" s="24">
        <f>IFERROR(__xludf.DUMMYFUNCTION("""COMPUTED_VALUE"""),40954.0)</f>
        <v>40954</v>
      </c>
      <c r="S273" s="24">
        <f>IFERROR(__xludf.DUMMYFUNCTION("""COMPUTED_VALUE"""),40954.0)</f>
        <v>40954</v>
      </c>
      <c r="T273" s="22" t="str">
        <f>IFERROR(__xludf.DUMMYFUNCTION("""COMPUTED_VALUE"""),"Chính thức")</f>
        <v>Chính thức</v>
      </c>
      <c r="U273" s="22"/>
      <c r="V273" s="22" t="str">
        <f>IFERROR(__xludf.DUMMYFUNCTION("""COMPUTED_VALUE"""),"Chính thức")</f>
        <v>Chính thức</v>
      </c>
      <c r="W273" s="22" t="str">
        <f>IFERROR(__xludf.DUMMYFUNCTION("""COMPUTED_VALUE"""),"13 năm 10 tháng")</f>
        <v>13 năm 10 tháng</v>
      </c>
      <c r="X273" s="22"/>
      <c r="Y273" s="22"/>
      <c r="Z273" s="22"/>
    </row>
    <row r="274">
      <c r="A274" s="22">
        <f>IFERROR(__xludf.DUMMYFUNCTION("""COMPUTED_VALUE"""),2.0)</f>
        <v>2</v>
      </c>
      <c r="B274" s="22" t="str">
        <f>IFERROR(__xludf.DUMMYFUNCTION("""COMPUTED_VALUE"""),"DC6-PXSX2")</f>
        <v>DC6-PXSX2</v>
      </c>
      <c r="C274" s="22" t="str">
        <f>IFERROR(__xludf.DUMMYFUNCTION("""COMPUTED_VALUE"""),"Bộ phận Trạm than và Lò nung")</f>
        <v>Bộ phận Trạm than và Lò nung</v>
      </c>
      <c r="D274" s="22" t="str">
        <f>IFERROR(__xludf.DUMMYFUNCTION("""COMPUTED_VALUE"""),"Lò nung - Đóng hộp Ca A")</f>
        <v>Lò nung - Đóng hộp Ca A</v>
      </c>
      <c r="E274" s="22" t="str">
        <f>IFERROR(__xludf.DUMMYFUNCTION("""COMPUTED_VALUE"""),"VHC lò")</f>
        <v>VHC lò</v>
      </c>
      <c r="F274" s="22" t="str">
        <f>IFERROR(__xludf.DUMMYFUNCTION("""COMPUTED_VALUE"""),"NV2185")</f>
        <v>NV2185</v>
      </c>
      <c r="G274" s="22">
        <f>IFERROR(__xludf.DUMMYFUNCTION("""COMPUTED_VALUE"""),428.0)</f>
        <v>428</v>
      </c>
      <c r="H274" s="22" t="str">
        <f>IFERROR(__xludf.DUMMYFUNCTION("""COMPUTED_VALUE"""),"Trần Văn Trọng")</f>
        <v>Trần Văn Trọng</v>
      </c>
      <c r="I274" s="22" t="str">
        <f>IFERROR(__xludf.DUMMYFUNCTION("""COMPUTED_VALUE"""),"Nam")</f>
        <v>Nam</v>
      </c>
      <c r="J274" s="24">
        <f>IFERROR(__xludf.DUMMYFUNCTION("""COMPUTED_VALUE"""),35476.0)</f>
        <v>35476</v>
      </c>
      <c r="K274" s="22" t="str">
        <f>IFERROR(__xludf.DUMMYFUNCTION("""COMPUTED_VALUE"""),"Thôn 8 - Quảng Giao - Quảng Xương - Thanh Hóa")</f>
        <v>Thôn 8 - Quảng Giao - Quảng Xương - Thanh Hóa</v>
      </c>
      <c r="L274" s="22" t="str">
        <f>IFERROR(__xludf.DUMMYFUNCTION("""COMPUTED_VALUE"""),"0981973741")</f>
        <v>0981973741</v>
      </c>
      <c r="M274" s="22" t="str">
        <f>IFERROR(__xludf.DUMMYFUNCTION("""COMPUTED_VALUE"""),"038097001590")</f>
        <v>038097001590</v>
      </c>
      <c r="N274" s="26">
        <f>IFERROR(__xludf.DUMMYFUNCTION("""COMPUTED_VALUE"""),44418.0)</f>
        <v>44418</v>
      </c>
      <c r="O274" s="22" t="str">
        <f>IFERROR(__xludf.DUMMYFUNCTION("""COMPUTED_VALUE"""),"Cục Cảnh sát QLHC về TTXH")</f>
        <v>Cục Cảnh sát QLHC về TTXH</v>
      </c>
      <c r="P274" s="22" t="str">
        <f>IFERROR(__xludf.DUMMYFUNCTION("""COMPUTED_VALUE"""),"LĐPT")</f>
        <v>LĐPT</v>
      </c>
      <c r="Q274" s="22" t="str">
        <f>IFERROR(__xludf.DUMMYFUNCTION("""COMPUTED_VALUE"""),"Lao động phổ thông")</f>
        <v>Lao động phổ thông</v>
      </c>
      <c r="R274" s="24">
        <f>IFERROR(__xludf.DUMMYFUNCTION("""COMPUTED_VALUE"""),43523.0)</f>
        <v>43523</v>
      </c>
      <c r="S274" s="24">
        <f>IFERROR(__xludf.DUMMYFUNCTION("""COMPUTED_VALUE"""),43800.0)</f>
        <v>43800</v>
      </c>
      <c r="T274" s="22" t="str">
        <f>IFERROR(__xludf.DUMMYFUNCTION("""COMPUTED_VALUE"""),"Chính thức")</f>
        <v>Chính thức</v>
      </c>
      <c r="U274" s="22"/>
      <c r="V274" s="22" t="str">
        <f>IFERROR(__xludf.DUMMYFUNCTION("""COMPUTED_VALUE"""),"Chính thức")</f>
        <v>Chính thức</v>
      </c>
      <c r="W274" s="22" t="str">
        <f>IFERROR(__xludf.DUMMYFUNCTION("""COMPUTED_VALUE"""),"6 năm 10 tháng")</f>
        <v>6 năm 10 tháng</v>
      </c>
      <c r="X274" s="22"/>
      <c r="Y274" s="22"/>
      <c r="Z274" s="22"/>
    </row>
    <row r="275">
      <c r="A275" s="22">
        <f>IFERROR(__xludf.DUMMYFUNCTION("""COMPUTED_VALUE"""),3.0)</f>
        <v>3</v>
      </c>
      <c r="B275" s="22" t="str">
        <f>IFERROR(__xludf.DUMMYFUNCTION("""COMPUTED_VALUE"""),"DC6-PXSX2")</f>
        <v>DC6-PXSX2</v>
      </c>
      <c r="C275" s="22" t="str">
        <f>IFERROR(__xludf.DUMMYFUNCTION("""COMPUTED_VALUE"""),"Bộ phận Trạm than và Lò nung")</f>
        <v>Bộ phận Trạm than và Lò nung</v>
      </c>
      <c r="D275" s="22" t="str">
        <f>IFERROR(__xludf.DUMMYFUNCTION("""COMPUTED_VALUE"""),"Lò nung - Đóng hộp Ca A")</f>
        <v>Lò nung - Đóng hộp Ca A</v>
      </c>
      <c r="E275" s="22" t="str">
        <f>IFERROR(__xludf.DUMMYFUNCTION("""COMPUTED_VALUE"""),"VH Bù đầu lò")</f>
        <v>VH Bù đầu lò</v>
      </c>
      <c r="F275" s="22" t="str">
        <f>IFERROR(__xludf.DUMMYFUNCTION("""COMPUTED_VALUE"""),"NV0516")</f>
        <v>NV0516</v>
      </c>
      <c r="G275" s="22">
        <f>IFERROR(__xludf.DUMMYFUNCTION("""COMPUTED_VALUE"""),576.0)</f>
        <v>576</v>
      </c>
      <c r="H275" s="22" t="str">
        <f>IFERROR(__xludf.DUMMYFUNCTION("""COMPUTED_VALUE"""),"Lê Văn Vũ")</f>
        <v>Lê Văn Vũ</v>
      </c>
      <c r="I275" s="22" t="str">
        <f>IFERROR(__xludf.DUMMYFUNCTION("""COMPUTED_VALUE"""),"Nam")</f>
        <v>Nam</v>
      </c>
      <c r="J275" s="24">
        <f>IFERROR(__xludf.DUMMYFUNCTION("""COMPUTED_VALUE"""),28773.0)</f>
        <v>28773</v>
      </c>
      <c r="K275" s="22" t="str">
        <f>IFERROR(__xludf.DUMMYFUNCTION("""COMPUTED_VALUE"""),"Thôn 3 -  Xã Xuân Sinh -  Huyện Thọ Xuân -  Thanh Hóa")</f>
        <v>Thôn 3 -  Xã Xuân Sinh -  Huyện Thọ Xuân -  Thanh Hóa</v>
      </c>
      <c r="L275" s="22" t="str">
        <f>IFERROR(__xludf.DUMMYFUNCTION("""COMPUTED_VALUE"""),"0971165460")</f>
        <v>0971165460</v>
      </c>
      <c r="M275" s="22" t="str">
        <f>IFERROR(__xludf.DUMMYFUNCTION("""COMPUTED_VALUE"""),"038078005512")</f>
        <v>038078005512</v>
      </c>
      <c r="N275" s="26">
        <f>IFERROR(__xludf.DUMMYFUNCTION("""COMPUTED_VALUE"""),44502.0)</f>
        <v>44502</v>
      </c>
      <c r="O275" s="22" t="str">
        <f>IFERROR(__xludf.DUMMYFUNCTION("""COMPUTED_VALUE"""),"Cục Cảnh sát QLHC về TTXH")</f>
        <v>Cục Cảnh sát QLHC về TTXH</v>
      </c>
      <c r="P275" s="22" t="str">
        <f>IFERROR(__xludf.DUMMYFUNCTION("""COMPUTED_VALUE"""),"LĐPT")</f>
        <v>LĐPT</v>
      </c>
      <c r="Q275" s="22" t="str">
        <f>IFERROR(__xludf.DUMMYFUNCTION("""COMPUTED_VALUE"""),"Lao động phổ thông")</f>
        <v>Lao động phổ thông</v>
      </c>
      <c r="R275" s="24">
        <f>IFERROR(__xludf.DUMMYFUNCTION("""COMPUTED_VALUE"""),40603.0)</f>
        <v>40603</v>
      </c>
      <c r="S275" s="24">
        <f>IFERROR(__xludf.DUMMYFUNCTION("""COMPUTED_VALUE"""),40603.0)</f>
        <v>40603</v>
      </c>
      <c r="T275" s="22" t="str">
        <f>IFERROR(__xludf.DUMMYFUNCTION("""COMPUTED_VALUE"""),"Chính thức")</f>
        <v>Chính thức</v>
      </c>
      <c r="U275" s="22"/>
      <c r="V275" s="22" t="str">
        <f>IFERROR(__xludf.DUMMYFUNCTION("""COMPUTED_VALUE"""),"Chính thức")</f>
        <v>Chính thức</v>
      </c>
      <c r="W275" s="22" t="str">
        <f>IFERROR(__xludf.DUMMYFUNCTION("""COMPUTED_VALUE"""),"14 năm 9 tháng")</f>
        <v>14 năm 9 tháng</v>
      </c>
      <c r="X275" s="22"/>
      <c r="Y275" s="22"/>
      <c r="Z275" s="22"/>
    </row>
    <row r="276">
      <c r="A276" s="22">
        <f>IFERROR(__xludf.DUMMYFUNCTION("""COMPUTED_VALUE"""),4.0)</f>
        <v>4</v>
      </c>
      <c r="B276" s="22" t="str">
        <f>IFERROR(__xludf.DUMMYFUNCTION("""COMPUTED_VALUE"""),"DC6-PXSX2")</f>
        <v>DC6-PXSX2</v>
      </c>
      <c r="C276" s="22" t="str">
        <f>IFERROR(__xludf.DUMMYFUNCTION("""COMPUTED_VALUE"""),"Bộ phận Trạm than và Lò nung")</f>
        <v>Bộ phận Trạm than và Lò nung</v>
      </c>
      <c r="D276" s="22" t="str">
        <f>IFERROR(__xludf.DUMMYFUNCTION("""COMPUTED_VALUE"""),"Lò nung - Đóng hộp Ca A")</f>
        <v>Lò nung - Đóng hộp Ca A</v>
      </c>
      <c r="E276" s="22" t="str">
        <f>IFERROR(__xludf.DUMMYFUNCTION("""COMPUTED_VALUE"""),"Nhóm trưởng đóng hộp")</f>
        <v>Nhóm trưởng đóng hộp</v>
      </c>
      <c r="F276" s="22" t="str">
        <f>IFERROR(__xludf.DUMMYFUNCTION("""COMPUTED_VALUE"""),"NV0486")</f>
        <v>NV0486</v>
      </c>
      <c r="G276" s="22">
        <f>IFERROR(__xludf.DUMMYFUNCTION("""COMPUTED_VALUE"""),604.0)</f>
        <v>604</v>
      </c>
      <c r="H276" s="22" t="str">
        <f>IFERROR(__xludf.DUMMYFUNCTION("""COMPUTED_VALUE"""),"Nguyễn Thái Thuận")</f>
        <v>Nguyễn Thái Thuận</v>
      </c>
      <c r="I276" s="22" t="str">
        <f>IFERROR(__xludf.DUMMYFUNCTION("""COMPUTED_VALUE"""),"Nam")</f>
        <v>Nam</v>
      </c>
      <c r="J276" s="24">
        <f>IFERROR(__xludf.DUMMYFUNCTION("""COMPUTED_VALUE"""),31579.0)</f>
        <v>31579</v>
      </c>
      <c r="K276" s="22" t="str">
        <f>IFERROR(__xludf.DUMMYFUNCTION("""COMPUTED_VALUE"""),"Phường Đông Hải -  Thành phố Thanh Hóa")</f>
        <v>Phường Đông Hải -  Thành phố Thanh Hóa</v>
      </c>
      <c r="L276" s="22" t="str">
        <f>IFERROR(__xludf.DUMMYFUNCTION("""COMPUTED_VALUE"""),"0984908678")</f>
        <v>0984908678</v>
      </c>
      <c r="M276" s="22" t="str">
        <f>IFERROR(__xludf.DUMMYFUNCTION("""COMPUTED_VALUE"""),"038086018573")</f>
        <v>038086018573</v>
      </c>
      <c r="N276" s="26">
        <f>IFERROR(__xludf.DUMMYFUNCTION("""COMPUTED_VALUE"""),44305.0)</f>
        <v>44305</v>
      </c>
      <c r="O276" s="22" t="str">
        <f>IFERROR(__xludf.DUMMYFUNCTION("""COMPUTED_VALUE"""),"Cục Cảnh sát QLHC về TTXH")</f>
        <v>Cục Cảnh sát QLHC về TTXH</v>
      </c>
      <c r="P276" s="22" t="str">
        <f>IFERROR(__xludf.DUMMYFUNCTION("""COMPUTED_VALUE"""),"LĐPT")</f>
        <v>LĐPT</v>
      </c>
      <c r="Q276" s="22" t="str">
        <f>IFERROR(__xludf.DUMMYFUNCTION("""COMPUTED_VALUE"""),"Lao động phổ thông")</f>
        <v>Lao động phổ thông</v>
      </c>
      <c r="R276" s="24">
        <f>IFERROR(__xludf.DUMMYFUNCTION("""COMPUTED_VALUE"""),42483.0)</f>
        <v>42483</v>
      </c>
      <c r="S276" s="24">
        <f>IFERROR(__xludf.DUMMYFUNCTION("""COMPUTED_VALUE"""),42856.0)</f>
        <v>42856</v>
      </c>
      <c r="T276" s="22" t="str">
        <f>IFERROR(__xludf.DUMMYFUNCTION("""COMPUTED_VALUE"""),"Chính thức")</f>
        <v>Chính thức</v>
      </c>
      <c r="U276" s="22"/>
      <c r="V276" s="22" t="str">
        <f>IFERROR(__xludf.DUMMYFUNCTION("""COMPUTED_VALUE"""),"Chính thức")</f>
        <v>Chính thức</v>
      </c>
      <c r="W276" s="22" t="str">
        <f>IFERROR(__xludf.DUMMYFUNCTION("""COMPUTED_VALUE"""),"9 năm 8 tháng")</f>
        <v>9 năm 8 tháng</v>
      </c>
      <c r="X276" s="22"/>
      <c r="Y276" s="22"/>
      <c r="Z276" s="22"/>
    </row>
    <row r="277">
      <c r="A277" s="22">
        <f>IFERROR(__xludf.DUMMYFUNCTION("""COMPUTED_VALUE"""),5.0)</f>
        <v>5</v>
      </c>
      <c r="B277" s="22" t="str">
        <f>IFERROR(__xludf.DUMMYFUNCTION("""COMPUTED_VALUE"""),"DC6-PXSX2")</f>
        <v>DC6-PXSX2</v>
      </c>
      <c r="C277" s="22" t="str">
        <f>IFERROR(__xludf.DUMMYFUNCTION("""COMPUTED_VALUE"""),"Bộ phận Trạm than và Lò nung")</f>
        <v>Bộ phận Trạm than và Lò nung</v>
      </c>
      <c r="D277" s="22" t="str">
        <f>IFERROR(__xludf.DUMMYFUNCTION("""COMPUTED_VALUE"""),"Lò nung - Đóng hộp Ca A")</f>
        <v>Lò nung - Đóng hộp Ca A</v>
      </c>
      <c r="E277" s="22" t="str">
        <f>IFERROR(__xludf.DUMMYFUNCTION("""COMPUTED_VALUE"""),"CN đóng hộp")</f>
        <v>CN đóng hộp</v>
      </c>
      <c r="F277" s="22" t="str">
        <f>IFERROR(__xludf.DUMMYFUNCTION("""COMPUTED_VALUE"""),"NV0485")</f>
        <v>NV0485</v>
      </c>
      <c r="G277" s="22">
        <f>IFERROR(__xludf.DUMMYFUNCTION("""COMPUTED_VALUE"""),462.0)</f>
        <v>462</v>
      </c>
      <c r="H277" s="22" t="str">
        <f>IFERROR(__xludf.DUMMYFUNCTION("""COMPUTED_VALUE"""),"Trần Văn Thu")</f>
        <v>Trần Văn Thu</v>
      </c>
      <c r="I277" s="22" t="str">
        <f>IFERROR(__xludf.DUMMYFUNCTION("""COMPUTED_VALUE"""),"Nam")</f>
        <v>Nam</v>
      </c>
      <c r="J277" s="24">
        <f>IFERROR(__xludf.DUMMYFUNCTION("""COMPUTED_VALUE"""),34133.0)</f>
        <v>34133</v>
      </c>
      <c r="K277" s="22" t="str">
        <f>IFERROR(__xludf.DUMMYFUNCTION("""COMPUTED_VALUE"""),"Phường Quảng Vinh -  Thành Phố Sầm Sơn -  Tỉnh Thanh Hóa")</f>
        <v>Phường Quảng Vinh -  Thành Phố Sầm Sơn -  Tỉnh Thanh Hóa</v>
      </c>
      <c r="L277" s="22" t="str">
        <f>IFERROR(__xludf.DUMMYFUNCTION("""COMPUTED_VALUE"""),"0366790724")</f>
        <v>0366790724</v>
      </c>
      <c r="M277" s="22" t="str">
        <f>IFERROR(__xludf.DUMMYFUNCTION("""COMPUTED_VALUE"""),"038093042910")</f>
        <v>038093042910</v>
      </c>
      <c r="N277" s="26">
        <f>IFERROR(__xludf.DUMMYFUNCTION("""COMPUTED_VALUE"""),44435.0)</f>
        <v>44435</v>
      </c>
      <c r="O277" s="22" t="str">
        <f>IFERROR(__xludf.DUMMYFUNCTION("""COMPUTED_VALUE"""),"Cục Cảnh sát QLHC về TTXH")</f>
        <v>Cục Cảnh sát QLHC về TTXH</v>
      </c>
      <c r="P277" s="22" t="str">
        <f>IFERROR(__xludf.DUMMYFUNCTION("""COMPUTED_VALUE"""),"LĐPT")</f>
        <v>LĐPT</v>
      </c>
      <c r="Q277" s="22" t="str">
        <f>IFERROR(__xludf.DUMMYFUNCTION("""COMPUTED_VALUE"""),"Lao động phổ thông")</f>
        <v>Lao động phổ thông</v>
      </c>
      <c r="R277" s="24">
        <f>IFERROR(__xludf.DUMMYFUNCTION("""COMPUTED_VALUE"""),42344.0)</f>
        <v>42344</v>
      </c>
      <c r="S277" s="24">
        <f>IFERROR(__xludf.DUMMYFUNCTION("""COMPUTED_VALUE"""),42856.0)</f>
        <v>42856</v>
      </c>
      <c r="T277" s="22" t="str">
        <f>IFERROR(__xludf.DUMMYFUNCTION("""COMPUTED_VALUE"""),"Chính thức")</f>
        <v>Chính thức</v>
      </c>
      <c r="U277" s="22"/>
      <c r="V277" s="22" t="str">
        <f>IFERROR(__xludf.DUMMYFUNCTION("""COMPUTED_VALUE"""),"Chính thức")</f>
        <v>Chính thức</v>
      </c>
      <c r="W277" s="22" t="str">
        <f>IFERROR(__xludf.DUMMYFUNCTION("""COMPUTED_VALUE"""),"10 năm 0 tháng")</f>
        <v>10 năm 0 tháng</v>
      </c>
      <c r="X277" s="22"/>
      <c r="Y277" s="22"/>
      <c r="Z277" s="22"/>
    </row>
    <row r="278">
      <c r="A278" s="22">
        <f>IFERROR(__xludf.DUMMYFUNCTION("""COMPUTED_VALUE"""),6.0)</f>
        <v>6</v>
      </c>
      <c r="B278" s="22" t="str">
        <f>IFERROR(__xludf.DUMMYFUNCTION("""COMPUTED_VALUE"""),"DC6-PXSX2")</f>
        <v>DC6-PXSX2</v>
      </c>
      <c r="C278" s="22" t="str">
        <f>IFERROR(__xludf.DUMMYFUNCTION("""COMPUTED_VALUE"""),"Bộ phận Trạm than và Lò nung")</f>
        <v>Bộ phận Trạm than và Lò nung</v>
      </c>
      <c r="D278" s="22" t="str">
        <f>IFERROR(__xludf.DUMMYFUNCTION("""COMPUTED_VALUE"""),"Lò nung - Đóng hộp Ca A")</f>
        <v>Lò nung - Đóng hộp Ca A</v>
      </c>
      <c r="E278" s="22" t="str">
        <f>IFERROR(__xludf.DUMMYFUNCTION("""COMPUTED_VALUE"""),"CN đóng hộp")</f>
        <v>CN đóng hộp</v>
      </c>
      <c r="F278" s="22" t="str">
        <f>IFERROR(__xludf.DUMMYFUNCTION("""COMPUTED_VALUE"""),"NV0513")</f>
        <v>NV0513</v>
      </c>
      <c r="G278" s="22">
        <f>IFERROR(__xludf.DUMMYFUNCTION("""COMPUTED_VALUE"""),455.0)</f>
        <v>455</v>
      </c>
      <c r="H278" s="22" t="str">
        <f>IFERROR(__xludf.DUMMYFUNCTION("""COMPUTED_VALUE"""),"Trịnh Thị Thư")</f>
        <v>Trịnh Thị Thư</v>
      </c>
      <c r="I278" s="22" t="str">
        <f>IFERROR(__xludf.DUMMYFUNCTION("""COMPUTED_VALUE"""),"Nữ")</f>
        <v>Nữ</v>
      </c>
      <c r="J278" s="24">
        <f>IFERROR(__xludf.DUMMYFUNCTION("""COMPUTED_VALUE"""),33061.0)</f>
        <v>33061</v>
      </c>
      <c r="K278" s="22" t="str">
        <f>IFERROR(__xludf.DUMMYFUNCTION("""COMPUTED_VALUE"""),"Thượng Đình 3 -  Xã Quảng Định -  Huyện Quảng Xương -  Thanh Hóa")</f>
        <v>Thượng Đình 3 -  Xã Quảng Định -  Huyện Quảng Xương -  Thanh Hóa</v>
      </c>
      <c r="L278" s="22" t="str">
        <f>IFERROR(__xludf.DUMMYFUNCTION("""COMPUTED_VALUE"""),"0976558067")</f>
        <v>0976558067</v>
      </c>
      <c r="M278" s="22" t="str">
        <f>IFERROR(__xludf.DUMMYFUNCTION("""COMPUTED_VALUE"""),"038190017584")</f>
        <v>038190017584</v>
      </c>
      <c r="N278" s="26">
        <f>IFERROR(__xludf.DUMMYFUNCTION("""COMPUTED_VALUE"""),44325.0)</f>
        <v>44325</v>
      </c>
      <c r="O278" s="22" t="str">
        <f>IFERROR(__xludf.DUMMYFUNCTION("""COMPUTED_VALUE"""),"Cục Cảnh sát QLHC về TTXH")</f>
        <v>Cục Cảnh sát QLHC về TTXH</v>
      </c>
      <c r="P278" s="22" t="str">
        <f>IFERROR(__xludf.DUMMYFUNCTION("""COMPUTED_VALUE"""),"LĐPT")</f>
        <v>LĐPT</v>
      </c>
      <c r="Q278" s="22" t="str">
        <f>IFERROR(__xludf.DUMMYFUNCTION("""COMPUTED_VALUE"""),"Lao động phổ thông")</f>
        <v>Lao động phổ thông</v>
      </c>
      <c r="R278" s="24">
        <f>IFERROR(__xludf.DUMMYFUNCTION("""COMPUTED_VALUE"""),40592.0)</f>
        <v>40592</v>
      </c>
      <c r="S278" s="24">
        <f>IFERROR(__xludf.DUMMYFUNCTION("""COMPUTED_VALUE"""),40592.0)</f>
        <v>40592</v>
      </c>
      <c r="T278" s="22" t="str">
        <f>IFERROR(__xludf.DUMMYFUNCTION("""COMPUTED_VALUE"""),"Chính thức")</f>
        <v>Chính thức</v>
      </c>
      <c r="U278" s="22"/>
      <c r="V278" s="22" t="str">
        <f>IFERROR(__xludf.DUMMYFUNCTION("""COMPUTED_VALUE"""),"Chính thức")</f>
        <v>Chính thức</v>
      </c>
      <c r="W278" s="22" t="str">
        <f>IFERROR(__xludf.DUMMYFUNCTION("""COMPUTED_VALUE"""),"14 năm 10 tháng")</f>
        <v>14 năm 10 tháng</v>
      </c>
      <c r="X278" s="22"/>
      <c r="Y278" s="22"/>
      <c r="Z278" s="22"/>
    </row>
    <row r="279">
      <c r="A279" s="22">
        <f>IFERROR(__xludf.DUMMYFUNCTION("""COMPUTED_VALUE"""),7.0)</f>
        <v>7</v>
      </c>
      <c r="B279" s="22" t="str">
        <f>IFERROR(__xludf.DUMMYFUNCTION("""COMPUTED_VALUE"""),"DC6-PXSX2")</f>
        <v>DC6-PXSX2</v>
      </c>
      <c r="C279" s="22" t="str">
        <f>IFERROR(__xludf.DUMMYFUNCTION("""COMPUTED_VALUE"""),"Bộ phận Trạm than và Lò nung")</f>
        <v>Bộ phận Trạm than và Lò nung</v>
      </c>
      <c r="D279" s="22" t="str">
        <f>IFERROR(__xludf.DUMMYFUNCTION("""COMPUTED_VALUE"""),"Lò nung - Đóng hộp Ca A")</f>
        <v>Lò nung - Đóng hộp Ca A</v>
      </c>
      <c r="E279" s="22" t="str">
        <f>IFERROR(__xludf.DUMMYFUNCTION("""COMPUTED_VALUE"""),"Xe nâng")</f>
        <v>Xe nâng</v>
      </c>
      <c r="F279" s="22" t="str">
        <f>IFERROR(__xludf.DUMMYFUNCTION("""COMPUTED_VALUE"""),"NV0544")</f>
        <v>NV0544</v>
      </c>
      <c r="G279" s="22">
        <f>IFERROR(__xludf.DUMMYFUNCTION("""COMPUTED_VALUE"""),720.0)</f>
        <v>720</v>
      </c>
      <c r="H279" s="22" t="str">
        <f>IFERROR(__xludf.DUMMYFUNCTION("""COMPUTED_VALUE"""),"Lê Đức Dự")</f>
        <v>Lê Đức Dự</v>
      </c>
      <c r="I279" s="22" t="str">
        <f>IFERROR(__xludf.DUMMYFUNCTION("""COMPUTED_VALUE"""),"Nam")</f>
        <v>Nam</v>
      </c>
      <c r="J279" s="24">
        <f>IFERROR(__xludf.DUMMYFUNCTION("""COMPUTED_VALUE"""),27679.0)</f>
        <v>27679</v>
      </c>
      <c r="K279" s="22" t="str">
        <f>IFERROR(__xludf.DUMMYFUNCTION("""COMPUTED_VALUE"""),"Xã Hoằng Tân -  Huyện Hoằng Hóa -  Thanh Hóa -  Việt Nam")</f>
        <v>Xã Hoằng Tân -  Huyện Hoằng Hóa -  Thanh Hóa -  Việt Nam</v>
      </c>
      <c r="L279" s="22" t="str">
        <f>IFERROR(__xludf.DUMMYFUNCTION("""COMPUTED_VALUE"""),"0988835175")</f>
        <v>0988835175</v>
      </c>
      <c r="M279" s="22" t="str">
        <f>IFERROR(__xludf.DUMMYFUNCTION("""COMPUTED_VALUE"""),"038075011354")</f>
        <v>038075011354</v>
      </c>
      <c r="N279" s="26">
        <f>IFERROR(__xludf.DUMMYFUNCTION("""COMPUTED_VALUE"""),44941.0)</f>
        <v>44941</v>
      </c>
      <c r="O279" s="22" t="str">
        <f>IFERROR(__xludf.DUMMYFUNCTION("""COMPUTED_VALUE"""),"Cục Cảnh sát QLHC về TTXH")</f>
        <v>Cục Cảnh sát QLHC về TTXH</v>
      </c>
      <c r="P279" s="22" t="str">
        <f>IFERROR(__xludf.DUMMYFUNCTION("""COMPUTED_VALUE"""),"LĐPT")</f>
        <v>LĐPT</v>
      </c>
      <c r="Q279" s="22" t="str">
        <f>IFERROR(__xludf.DUMMYFUNCTION("""COMPUTED_VALUE"""),"Lao động phổ thông")</f>
        <v>Lao động phổ thông</v>
      </c>
      <c r="R279" s="24">
        <f>IFERROR(__xludf.DUMMYFUNCTION("""COMPUTED_VALUE"""),45707.0)</f>
        <v>45707</v>
      </c>
      <c r="S279" s="22"/>
      <c r="T279" s="22" t="str">
        <f>IFERROR(__xludf.DUMMYFUNCTION("""COMPUTED_VALUE"""),"Chính thức")</f>
        <v>Chính thức</v>
      </c>
      <c r="U279" s="22"/>
      <c r="V279" s="22" t="str">
        <f>IFERROR(__xludf.DUMMYFUNCTION("""COMPUTED_VALUE"""),"Chính thức")</f>
        <v>Chính thức</v>
      </c>
      <c r="W279" s="22" t="str">
        <f>IFERROR(__xludf.DUMMYFUNCTION("""COMPUTED_VALUE"""),"0 năm 10 tháng")</f>
        <v>0 năm 10 tháng</v>
      </c>
      <c r="X279" s="22"/>
      <c r="Y279" s="22"/>
      <c r="Z279" s="22"/>
    </row>
    <row r="280">
      <c r="A280" s="22">
        <f>IFERROR(__xludf.DUMMYFUNCTION("""COMPUTED_VALUE"""),8.0)</f>
        <v>8</v>
      </c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>
        <f>IFERROR(__xludf.DUMMYFUNCTION("""COMPUTED_VALUE"""),9.0)</f>
        <v>9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>
        <f>IFERROR(__xludf.DUMMYFUNCTION("""COMPUTED_VALUE"""),10.0)</f>
        <v>10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>
        <f>IFERROR(__xludf.DUMMYFUNCTION("""COMPUTED_VALUE"""),11.0)</f>
        <v>11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>
        <f>IFERROR(__xludf.DUMMYFUNCTION("""COMPUTED_VALUE"""),12.0)</f>
        <v>12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8">
        <f>IFERROR(__xludf.DUMMYFUNCTION("""COMPUTED_VALUE"""),45722.0)</f>
        <v>45722</v>
      </c>
      <c r="B285" s="22" t="str">
        <f>IFERROR(__xludf.DUMMYFUNCTION("""COMPUTED_VALUE"""),"Lò nung - Đóng hộp Ca B")</f>
        <v>Lò nung - Đóng hộp Ca B</v>
      </c>
      <c r="C285" s="22">
        <f>IFERROR(__xludf.DUMMYFUNCTION("""COMPUTED_VALUE"""),9.0)</f>
        <v>9</v>
      </c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>
        <f>IFERROR(__xludf.DUMMYFUNCTION("""COMPUTED_VALUE"""),1.0)</f>
        <v>1</v>
      </c>
      <c r="B286" s="22" t="str">
        <f>IFERROR(__xludf.DUMMYFUNCTION("""COMPUTED_VALUE"""),"DC6-PXSX2")</f>
        <v>DC6-PXSX2</v>
      </c>
      <c r="C286" s="22" t="str">
        <f>IFERROR(__xludf.DUMMYFUNCTION("""COMPUTED_VALUE"""),"Bộ phận Trạm than và Lò nung")</f>
        <v>Bộ phận Trạm than và Lò nung</v>
      </c>
      <c r="D286" s="22" t="str">
        <f>IFERROR(__xludf.DUMMYFUNCTION("""COMPUTED_VALUE"""),"Lò nung - Đóng hộp Ca B")</f>
        <v>Lò nung - Đóng hộp Ca B</v>
      </c>
      <c r="E286" s="22" t="str">
        <f>IFERROR(__xludf.DUMMYFUNCTION("""COMPUTED_VALUE"""),"CN đóng hộp")</f>
        <v>CN đóng hộp</v>
      </c>
      <c r="F286" s="22" t="str">
        <f>IFERROR(__xludf.DUMMYFUNCTION("""COMPUTED_VALUE"""),"NV0552")</f>
        <v>NV0552</v>
      </c>
      <c r="G286" s="22">
        <f>IFERROR(__xludf.DUMMYFUNCTION("""COMPUTED_VALUE"""),421.0)</f>
        <v>421</v>
      </c>
      <c r="H286" s="22" t="str">
        <f>IFERROR(__xludf.DUMMYFUNCTION("""COMPUTED_VALUE"""),"Nguyễn Thị Ngân")</f>
        <v>Nguyễn Thị Ngân</v>
      </c>
      <c r="I286" s="22" t="str">
        <f>IFERROR(__xludf.DUMMYFUNCTION("""COMPUTED_VALUE"""),"Nữ")</f>
        <v>Nữ</v>
      </c>
      <c r="J286" s="24">
        <f>IFERROR(__xludf.DUMMYFUNCTION("""COMPUTED_VALUE"""),28388.0)</f>
        <v>28388</v>
      </c>
      <c r="K286" s="22" t="str">
        <f>IFERROR(__xludf.DUMMYFUNCTION("""COMPUTED_VALUE"""),"Trung Định -  Xã Quảng Định -  Huyện Quảng Xương -  Thanh Hóa -  Việt Nam")</f>
        <v>Trung Định -  Xã Quảng Định -  Huyện Quảng Xương -  Thanh Hóa -  Việt Nam</v>
      </c>
      <c r="L286" s="22" t="str">
        <f>IFERROR(__xludf.DUMMYFUNCTION("""COMPUTED_VALUE"""),"0812567893")</f>
        <v>0812567893</v>
      </c>
      <c r="M286" s="22" t="str">
        <f>IFERROR(__xludf.DUMMYFUNCTION("""COMPUTED_VALUE"""),"038177015950")</f>
        <v>038177015950</v>
      </c>
      <c r="N286" s="26">
        <f>IFERROR(__xludf.DUMMYFUNCTION("""COMPUTED_VALUE"""),44375.0)</f>
        <v>44375</v>
      </c>
      <c r="O286" s="22" t="str">
        <f>IFERROR(__xludf.DUMMYFUNCTION("""COMPUTED_VALUE"""),"Cục Cảnh sát QLHC về TTXH")</f>
        <v>Cục Cảnh sát QLHC về TTXH</v>
      </c>
      <c r="P286" s="22" t="str">
        <f>IFERROR(__xludf.DUMMYFUNCTION("""COMPUTED_VALUE"""),"THPT")</f>
        <v>THPT</v>
      </c>
      <c r="Q286" s="22" t="str">
        <f>IFERROR(__xludf.DUMMYFUNCTION("""COMPUTED_VALUE"""),"Lao động phổ thông")</f>
        <v>Lao động phổ thông</v>
      </c>
      <c r="R286" s="24">
        <f>IFERROR(__xludf.DUMMYFUNCTION("""COMPUTED_VALUE"""),42839.0)</f>
        <v>42839</v>
      </c>
      <c r="S286" s="24">
        <f>IFERROR(__xludf.DUMMYFUNCTION("""COMPUTED_VALUE"""),43252.0)</f>
        <v>43252</v>
      </c>
      <c r="T286" s="22" t="str">
        <f>IFERROR(__xludf.DUMMYFUNCTION("""COMPUTED_VALUE"""),"Chính thức")</f>
        <v>Chính thức</v>
      </c>
      <c r="U286" s="22"/>
      <c r="V286" s="22" t="str">
        <f>IFERROR(__xludf.DUMMYFUNCTION("""COMPUTED_VALUE"""),"Chính thức")</f>
        <v>Chính thức</v>
      </c>
      <c r="W286" s="22" t="str">
        <f>IFERROR(__xludf.DUMMYFUNCTION("""COMPUTED_VALUE"""),"8 năm 8 tháng")</f>
        <v>8 năm 8 tháng</v>
      </c>
      <c r="X286" s="22"/>
      <c r="Y286" s="22"/>
      <c r="Z286" s="22"/>
    </row>
    <row r="287">
      <c r="A287" s="22">
        <f>IFERROR(__xludf.DUMMYFUNCTION("""COMPUTED_VALUE"""),2.0)</f>
        <v>2</v>
      </c>
      <c r="B287" s="22" t="str">
        <f>IFERROR(__xludf.DUMMYFUNCTION("""COMPUTED_VALUE"""),"DC6-PXSX2")</f>
        <v>DC6-PXSX2</v>
      </c>
      <c r="C287" s="22" t="str">
        <f>IFERROR(__xludf.DUMMYFUNCTION("""COMPUTED_VALUE"""),"Bộ phận Trạm than và Lò nung")</f>
        <v>Bộ phận Trạm than và Lò nung</v>
      </c>
      <c r="D287" s="22" t="str">
        <f>IFERROR(__xludf.DUMMYFUNCTION("""COMPUTED_VALUE"""),"Lò nung - Đóng hộp Ca B")</f>
        <v>Lò nung - Đóng hộp Ca B</v>
      </c>
      <c r="E287" s="22" t="str">
        <f>IFERROR(__xludf.DUMMYFUNCTION("""COMPUTED_VALUE"""),"Tổ trưởng")</f>
        <v>Tổ trưởng</v>
      </c>
      <c r="F287" s="22" t="str">
        <f>IFERROR(__xludf.DUMMYFUNCTION("""COMPUTED_VALUE"""),"NV0617")</f>
        <v>NV0617</v>
      </c>
      <c r="G287" s="22">
        <f>IFERROR(__xludf.DUMMYFUNCTION("""COMPUTED_VALUE"""),627.0)</f>
        <v>627</v>
      </c>
      <c r="H287" s="22" t="str">
        <f>IFERROR(__xludf.DUMMYFUNCTION("""COMPUTED_VALUE"""),"Phạm Văn Chiến")</f>
        <v>Phạm Văn Chiến</v>
      </c>
      <c r="I287" s="22" t="str">
        <f>IFERROR(__xludf.DUMMYFUNCTION("""COMPUTED_VALUE"""),"Nam")</f>
        <v>Nam</v>
      </c>
      <c r="J287" s="24">
        <f>IFERROR(__xludf.DUMMYFUNCTION("""COMPUTED_VALUE"""),29879.0)</f>
        <v>29879</v>
      </c>
      <c r="K287" s="22" t="str">
        <f>IFERROR(__xludf.DUMMYFUNCTION("""COMPUTED_VALUE"""),"387 Nguyễn Tĩnh -  Xã Đông Hương -  Thành phố Thanh Hóa - ")</f>
        <v>387 Nguyễn Tĩnh -  Xã Đông Hương -  Thành phố Thanh Hóa - </v>
      </c>
      <c r="L287" s="22" t="str">
        <f>IFERROR(__xludf.DUMMYFUNCTION("""COMPUTED_VALUE"""),"0399851868")</f>
        <v>0399851868</v>
      </c>
      <c r="M287" s="22" t="str">
        <f>IFERROR(__xludf.DUMMYFUNCTION("""COMPUTED_VALUE"""),"038081032450")</f>
        <v>038081032450</v>
      </c>
      <c r="N287" s="26">
        <f>IFERROR(__xludf.DUMMYFUNCTION("""COMPUTED_VALUE"""),44440.0)</f>
        <v>44440</v>
      </c>
      <c r="O287" s="22" t="str">
        <f>IFERROR(__xludf.DUMMYFUNCTION("""COMPUTED_VALUE"""),"Cục Cảnh sát QLHC về TTXH")</f>
        <v>Cục Cảnh sát QLHC về TTXH</v>
      </c>
      <c r="P287" s="22" t="str">
        <f>IFERROR(__xludf.DUMMYFUNCTION("""COMPUTED_VALUE"""),"LĐPT")</f>
        <v>LĐPT</v>
      </c>
      <c r="Q287" s="22" t="str">
        <f>IFERROR(__xludf.DUMMYFUNCTION("""COMPUTED_VALUE"""),"Lao động phổ thông")</f>
        <v>Lao động phổ thông</v>
      </c>
      <c r="R287" s="24">
        <f>IFERROR(__xludf.DUMMYFUNCTION("""COMPUTED_VALUE"""),36526.0)</f>
        <v>36526</v>
      </c>
      <c r="S287" s="24">
        <f>IFERROR(__xludf.DUMMYFUNCTION("""COMPUTED_VALUE"""),36526.0)</f>
        <v>36526</v>
      </c>
      <c r="T287" s="22" t="str">
        <f>IFERROR(__xludf.DUMMYFUNCTION("""COMPUTED_VALUE"""),"Chính thức")</f>
        <v>Chính thức</v>
      </c>
      <c r="U287" s="22"/>
      <c r="V287" s="22" t="str">
        <f>IFERROR(__xludf.DUMMYFUNCTION("""COMPUTED_VALUE"""),"Chính thức")</f>
        <v>Chính thức</v>
      </c>
      <c r="W287" s="22" t="str">
        <f>IFERROR(__xludf.DUMMYFUNCTION("""COMPUTED_VALUE"""),"25 năm 11 tháng")</f>
        <v>25 năm 11 tháng</v>
      </c>
      <c r="X287" s="22"/>
      <c r="Y287" s="22"/>
      <c r="Z287" s="22"/>
    </row>
    <row r="288">
      <c r="A288" s="22">
        <f>IFERROR(__xludf.DUMMYFUNCTION("""COMPUTED_VALUE"""),3.0)</f>
        <v>3</v>
      </c>
      <c r="B288" s="22" t="str">
        <f>IFERROR(__xludf.DUMMYFUNCTION("""COMPUTED_VALUE"""),"DC6-PXSX2")</f>
        <v>DC6-PXSX2</v>
      </c>
      <c r="C288" s="22" t="str">
        <f>IFERROR(__xludf.DUMMYFUNCTION("""COMPUTED_VALUE"""),"Bộ phận Trạm than và Lò nung")</f>
        <v>Bộ phận Trạm than và Lò nung</v>
      </c>
      <c r="D288" s="22" t="str">
        <f>IFERROR(__xludf.DUMMYFUNCTION("""COMPUTED_VALUE"""),"Lò nung - Đóng hộp Ca B")</f>
        <v>Lò nung - Đóng hộp Ca B</v>
      </c>
      <c r="E288" s="22" t="str">
        <f>IFERROR(__xludf.DUMMYFUNCTION("""COMPUTED_VALUE"""),"VHC lò")</f>
        <v>VHC lò</v>
      </c>
      <c r="F288" s="22" t="str">
        <f>IFERROR(__xludf.DUMMYFUNCTION("""COMPUTED_VALUE"""),"NV0518")</f>
        <v>NV0518</v>
      </c>
      <c r="G288" s="22">
        <f>IFERROR(__xludf.DUMMYFUNCTION("""COMPUTED_VALUE"""),425.0)</f>
        <v>425</v>
      </c>
      <c r="H288" s="22" t="str">
        <f>IFERROR(__xludf.DUMMYFUNCTION("""COMPUTED_VALUE"""),"Lê Đình Thanh")</f>
        <v>Lê Đình Thanh</v>
      </c>
      <c r="I288" s="22" t="str">
        <f>IFERROR(__xludf.DUMMYFUNCTION("""COMPUTED_VALUE"""),"Nam")</f>
        <v>Nam</v>
      </c>
      <c r="J288" s="24">
        <f>IFERROR(__xludf.DUMMYFUNCTION("""COMPUTED_VALUE"""),31944.0)</f>
        <v>31944</v>
      </c>
      <c r="K288" s="22" t="str">
        <f>IFERROR(__xludf.DUMMYFUNCTION("""COMPUTED_VALUE"""),"17/73 Lê Thần Tông -  Phường Đông Vệ -  Thành phố Thanh Hóa")</f>
        <v>17/73 Lê Thần Tông -  Phường Đông Vệ -  Thành phố Thanh Hóa</v>
      </c>
      <c r="L288" s="22" t="str">
        <f>IFERROR(__xludf.DUMMYFUNCTION("""COMPUTED_VALUE"""),"0944668917")</f>
        <v>0944668917</v>
      </c>
      <c r="M288" s="22" t="str">
        <f>IFERROR(__xludf.DUMMYFUNCTION("""COMPUTED_VALUE"""),"038087006514")</f>
        <v>038087006514</v>
      </c>
      <c r="N288" s="26">
        <f>IFERROR(__xludf.DUMMYFUNCTION("""COMPUTED_VALUE"""),43630.0)</f>
        <v>43630</v>
      </c>
      <c r="O288" s="22" t="str">
        <f>IFERROR(__xludf.DUMMYFUNCTION("""COMPUTED_VALUE"""),"Cục Cảnh sát QLHC về TTXH")</f>
        <v>Cục Cảnh sát QLHC về TTXH</v>
      </c>
      <c r="P288" s="22" t="str">
        <f>IFERROR(__xludf.DUMMYFUNCTION("""COMPUTED_VALUE"""),"LĐPT")</f>
        <v>LĐPT</v>
      </c>
      <c r="Q288" s="22" t="str">
        <f>IFERROR(__xludf.DUMMYFUNCTION("""COMPUTED_VALUE"""),"Lao động phổ thông")</f>
        <v>Lao động phổ thông</v>
      </c>
      <c r="R288" s="24">
        <f>IFERROR(__xludf.DUMMYFUNCTION("""COMPUTED_VALUE"""),41677.0)</f>
        <v>41677</v>
      </c>
      <c r="S288" s="24">
        <f>IFERROR(__xludf.DUMMYFUNCTION("""COMPUTED_VALUE"""),41677.0)</f>
        <v>41677</v>
      </c>
      <c r="T288" s="22" t="str">
        <f>IFERROR(__xludf.DUMMYFUNCTION("""COMPUTED_VALUE"""),"Chính thức")</f>
        <v>Chính thức</v>
      </c>
      <c r="U288" s="22"/>
      <c r="V288" s="22" t="str">
        <f>IFERROR(__xludf.DUMMYFUNCTION("""COMPUTED_VALUE"""),"Chính thức")</f>
        <v>Chính thức</v>
      </c>
      <c r="W288" s="22" t="str">
        <f>IFERROR(__xludf.DUMMYFUNCTION("""COMPUTED_VALUE"""),"11 năm 10 tháng")</f>
        <v>11 năm 10 tháng</v>
      </c>
      <c r="X288" s="22"/>
      <c r="Y288" s="22"/>
      <c r="Z288" s="22"/>
    </row>
    <row r="289">
      <c r="A289" s="22">
        <f>IFERROR(__xludf.DUMMYFUNCTION("""COMPUTED_VALUE"""),4.0)</f>
        <v>4</v>
      </c>
      <c r="B289" s="22" t="str">
        <f>IFERROR(__xludf.DUMMYFUNCTION("""COMPUTED_VALUE"""),"DC6-PXSX2")</f>
        <v>DC6-PXSX2</v>
      </c>
      <c r="C289" s="22" t="str">
        <f>IFERROR(__xludf.DUMMYFUNCTION("""COMPUTED_VALUE"""),"Bộ phận Trạm than và Lò nung")</f>
        <v>Bộ phận Trạm than và Lò nung</v>
      </c>
      <c r="D289" s="22" t="str">
        <f>IFERROR(__xludf.DUMMYFUNCTION("""COMPUTED_VALUE"""),"Lò nung - Đóng hộp Ca B")</f>
        <v>Lò nung - Đóng hộp Ca B</v>
      </c>
      <c r="E289" s="22" t="str">
        <f>IFERROR(__xludf.DUMMYFUNCTION("""COMPUTED_VALUE"""),"VH Bù đầu lò")</f>
        <v>VH Bù đầu lò</v>
      </c>
      <c r="F289" s="22" t="str">
        <f>IFERROR(__xludf.DUMMYFUNCTION("""COMPUTED_VALUE"""),"NV0493")</f>
        <v>NV0493</v>
      </c>
      <c r="G289" s="22">
        <f>IFERROR(__xludf.DUMMYFUNCTION("""COMPUTED_VALUE"""),426.0)</f>
        <v>426</v>
      </c>
      <c r="H289" s="22" t="str">
        <f>IFERROR(__xludf.DUMMYFUNCTION("""COMPUTED_VALUE"""),"Nguyễn Trọng Sưởng")</f>
        <v>Nguyễn Trọng Sưởng</v>
      </c>
      <c r="I289" s="22" t="str">
        <f>IFERROR(__xludf.DUMMYFUNCTION("""COMPUTED_VALUE"""),"Nam")</f>
        <v>Nam</v>
      </c>
      <c r="J289" s="24">
        <f>IFERROR(__xludf.DUMMYFUNCTION("""COMPUTED_VALUE"""),27467.0)</f>
        <v>27467</v>
      </c>
      <c r="K289" s="22" t="str">
        <f>IFERROR(__xludf.DUMMYFUNCTION("""COMPUTED_VALUE"""),"Xã Hoằng Trạch -  Huyện Hoằng Hóa -  Tỉnh Thanh Hóa")</f>
        <v>Xã Hoằng Trạch -  Huyện Hoằng Hóa -  Tỉnh Thanh Hóa</v>
      </c>
      <c r="L289" s="22" t="str">
        <f>IFERROR(__xludf.DUMMYFUNCTION("""COMPUTED_VALUE"""),"0969178952")</f>
        <v>0969178952</v>
      </c>
      <c r="M289" s="22" t="str">
        <f>IFERROR(__xludf.DUMMYFUNCTION("""COMPUTED_VALUE"""),"038075002893")</f>
        <v>038075002893</v>
      </c>
      <c r="N289" s="26">
        <f>IFERROR(__xludf.DUMMYFUNCTION("""COMPUTED_VALUE"""),44420.0)</f>
        <v>44420</v>
      </c>
      <c r="O289" s="22" t="str">
        <f>IFERROR(__xludf.DUMMYFUNCTION("""COMPUTED_VALUE"""),"Cục Cảnh sát QLHC về TTXH")</f>
        <v>Cục Cảnh sát QLHC về TTXH</v>
      </c>
      <c r="P289" s="22" t="str">
        <f>IFERROR(__xludf.DUMMYFUNCTION("""COMPUTED_VALUE"""),"LĐPT")</f>
        <v>LĐPT</v>
      </c>
      <c r="Q289" s="22" t="str">
        <f>IFERROR(__xludf.DUMMYFUNCTION("""COMPUTED_VALUE"""),"Lao động phổ thông")</f>
        <v>Lao động phổ thông</v>
      </c>
      <c r="R289" s="24">
        <f>IFERROR(__xludf.DUMMYFUNCTION("""COMPUTED_VALUE"""),39692.0)</f>
        <v>39692</v>
      </c>
      <c r="S289" s="24">
        <f>IFERROR(__xludf.DUMMYFUNCTION("""COMPUTED_VALUE"""),39692.0)</f>
        <v>39692</v>
      </c>
      <c r="T289" s="22" t="str">
        <f>IFERROR(__xludf.DUMMYFUNCTION("""COMPUTED_VALUE"""),"Chính thức")</f>
        <v>Chính thức</v>
      </c>
      <c r="U289" s="22"/>
      <c r="V289" s="22" t="str">
        <f>IFERROR(__xludf.DUMMYFUNCTION("""COMPUTED_VALUE"""),"Chính thức")</f>
        <v>Chính thức</v>
      </c>
      <c r="W289" s="22" t="str">
        <f>IFERROR(__xludf.DUMMYFUNCTION("""COMPUTED_VALUE"""),"17 năm 3 tháng")</f>
        <v>17 năm 3 tháng</v>
      </c>
      <c r="X289" s="22"/>
      <c r="Y289" s="22"/>
      <c r="Z289" s="22"/>
    </row>
    <row r="290">
      <c r="A290" s="22">
        <f>IFERROR(__xludf.DUMMYFUNCTION("""COMPUTED_VALUE"""),5.0)</f>
        <v>5</v>
      </c>
      <c r="B290" s="22" t="str">
        <f>IFERROR(__xludf.DUMMYFUNCTION("""COMPUTED_VALUE"""),"DC6-PXSX2")</f>
        <v>DC6-PXSX2</v>
      </c>
      <c r="C290" s="22" t="str">
        <f>IFERROR(__xludf.DUMMYFUNCTION("""COMPUTED_VALUE"""),"Bộ phận Trạm than và Lò nung")</f>
        <v>Bộ phận Trạm than và Lò nung</v>
      </c>
      <c r="D290" s="22" t="str">
        <f>IFERROR(__xludf.DUMMYFUNCTION("""COMPUTED_VALUE"""),"Lò nung - Đóng hộp Ca B")</f>
        <v>Lò nung - Đóng hộp Ca B</v>
      </c>
      <c r="E290" s="22" t="str">
        <f>IFERROR(__xludf.DUMMYFUNCTION("""COMPUTED_VALUE"""),"CN đóng hộp")</f>
        <v>CN đóng hộp</v>
      </c>
      <c r="F290" s="22" t="str">
        <f>IFERROR(__xludf.DUMMYFUNCTION("""COMPUTED_VALUE"""),"NV0504")</f>
        <v>NV0504</v>
      </c>
      <c r="G290" s="22">
        <f>IFERROR(__xludf.DUMMYFUNCTION("""COMPUTED_VALUE"""),621.0)</f>
        <v>621</v>
      </c>
      <c r="H290" s="22" t="str">
        <f>IFERROR(__xludf.DUMMYFUNCTION("""COMPUTED_VALUE"""),"Lê Văn Hà")</f>
        <v>Lê Văn Hà</v>
      </c>
      <c r="I290" s="22" t="str">
        <f>IFERROR(__xludf.DUMMYFUNCTION("""COMPUTED_VALUE"""),"Nam")</f>
        <v>Nam</v>
      </c>
      <c r="J290" s="24">
        <f>IFERROR(__xludf.DUMMYFUNCTION("""COMPUTED_VALUE"""),31935.0)</f>
        <v>31935</v>
      </c>
      <c r="K290" s="22" t="str">
        <f>IFERROR(__xludf.DUMMYFUNCTION("""COMPUTED_VALUE"""),"Thôn 4 -  Xã Quảng Cát -  Thành phố Thanh Hóa")</f>
        <v>Thôn 4 -  Xã Quảng Cát -  Thành phố Thanh Hóa</v>
      </c>
      <c r="L290" s="22" t="str">
        <f>IFERROR(__xludf.DUMMYFUNCTION("""COMPUTED_VALUE"""),"0328149998")</f>
        <v>0328149998</v>
      </c>
      <c r="M290" s="22" t="str">
        <f>IFERROR(__xludf.DUMMYFUNCTION("""COMPUTED_VALUE"""),"038087003928")</f>
        <v>038087003928</v>
      </c>
      <c r="N290" s="26">
        <f>IFERROR(__xludf.DUMMYFUNCTION("""COMPUTED_VALUE"""),44419.0)</f>
        <v>44419</v>
      </c>
      <c r="O290" s="22" t="str">
        <f>IFERROR(__xludf.DUMMYFUNCTION("""COMPUTED_VALUE"""),"Cục Cảnh sát QLHC về TTXH")</f>
        <v>Cục Cảnh sát QLHC về TTXH</v>
      </c>
      <c r="P290" s="22" t="str">
        <f>IFERROR(__xludf.DUMMYFUNCTION("""COMPUTED_VALUE"""),"LĐPT")</f>
        <v>LĐPT</v>
      </c>
      <c r="Q290" s="22" t="str">
        <f>IFERROR(__xludf.DUMMYFUNCTION("""COMPUTED_VALUE"""),"Lao động phổ thông")</f>
        <v>Lao động phổ thông</v>
      </c>
      <c r="R290" s="24">
        <f>IFERROR(__xludf.DUMMYFUNCTION("""COMPUTED_VALUE"""),42291.0)</f>
        <v>42291</v>
      </c>
      <c r="S290" s="24">
        <f>IFERROR(__xludf.DUMMYFUNCTION("""COMPUTED_VALUE"""),42291.0)</f>
        <v>42291</v>
      </c>
      <c r="T290" s="22" t="str">
        <f>IFERROR(__xludf.DUMMYFUNCTION("""COMPUTED_VALUE"""),"Chính thức")</f>
        <v>Chính thức</v>
      </c>
      <c r="U290" s="22"/>
      <c r="V290" s="22" t="str">
        <f>IFERROR(__xludf.DUMMYFUNCTION("""COMPUTED_VALUE"""),"Chính thức")</f>
        <v>Chính thức</v>
      </c>
      <c r="W290" s="22" t="str">
        <f>IFERROR(__xludf.DUMMYFUNCTION("""COMPUTED_VALUE"""),"10 năm 2 tháng")</f>
        <v>10 năm 2 tháng</v>
      </c>
      <c r="X290" s="22"/>
      <c r="Y290" s="22"/>
      <c r="Z290" s="22"/>
    </row>
    <row r="291">
      <c r="A291" s="22">
        <f>IFERROR(__xludf.DUMMYFUNCTION("""COMPUTED_VALUE"""),6.0)</f>
        <v>6</v>
      </c>
      <c r="B291" s="22" t="str">
        <f>IFERROR(__xludf.DUMMYFUNCTION("""COMPUTED_VALUE"""),"DC6-PXSX2")</f>
        <v>DC6-PXSX2</v>
      </c>
      <c r="C291" s="22" t="str">
        <f>IFERROR(__xludf.DUMMYFUNCTION("""COMPUTED_VALUE"""),"Bộ phận Trạm than và Lò nung")</f>
        <v>Bộ phận Trạm than và Lò nung</v>
      </c>
      <c r="D291" s="22" t="str">
        <f>IFERROR(__xludf.DUMMYFUNCTION("""COMPUTED_VALUE"""),"Lò nung - Đóng hộp Ca B")</f>
        <v>Lò nung - Đóng hộp Ca B</v>
      </c>
      <c r="E291" s="22" t="str">
        <f>IFERROR(__xludf.DUMMYFUNCTION("""COMPUTED_VALUE"""),"CN đóng hộp")</f>
        <v>CN đóng hộp</v>
      </c>
      <c r="F291" s="22" t="str">
        <f>IFERROR(__xludf.DUMMYFUNCTION("""COMPUTED_VALUE"""),"NV0593")</f>
        <v>NV0593</v>
      </c>
      <c r="G291" s="22">
        <f>IFERROR(__xludf.DUMMYFUNCTION("""COMPUTED_VALUE"""),483.0)</f>
        <v>483</v>
      </c>
      <c r="H291" s="22" t="str">
        <f>IFERROR(__xludf.DUMMYFUNCTION("""COMPUTED_VALUE"""),"Phạm Thị Lê")</f>
        <v>Phạm Thị Lê</v>
      </c>
      <c r="I291" s="22" t="str">
        <f>IFERROR(__xludf.DUMMYFUNCTION("""COMPUTED_VALUE"""),"Nữ")</f>
        <v>Nữ</v>
      </c>
      <c r="J291" s="24">
        <f>IFERROR(__xludf.DUMMYFUNCTION("""COMPUTED_VALUE"""),29761.0)</f>
        <v>29761</v>
      </c>
      <c r="K291" s="22" t="str">
        <f>IFERROR(__xludf.DUMMYFUNCTION("""COMPUTED_VALUE"""),"Xã Quảng Đông -  Thành phố Thanh Hóa - ")</f>
        <v>Xã Quảng Đông -  Thành phố Thanh Hóa - </v>
      </c>
      <c r="L291" s="22" t="str">
        <f>IFERROR(__xludf.DUMMYFUNCTION("""COMPUTED_VALUE"""),"0987135819")</f>
        <v>0987135819</v>
      </c>
      <c r="M291" s="22" t="str">
        <f>IFERROR(__xludf.DUMMYFUNCTION("""COMPUTED_VALUE"""),"038181011609")</f>
        <v>038181011609</v>
      </c>
      <c r="N291" s="26">
        <f>IFERROR(__xludf.DUMMYFUNCTION("""COMPUTED_VALUE"""),44418.0)</f>
        <v>44418</v>
      </c>
      <c r="O291" s="22" t="str">
        <f>IFERROR(__xludf.DUMMYFUNCTION("""COMPUTED_VALUE"""),"Cục Cảnh sát QLHC về TTXH")</f>
        <v>Cục Cảnh sát QLHC về TTXH</v>
      </c>
      <c r="P291" s="22" t="str">
        <f>IFERROR(__xludf.DUMMYFUNCTION("""COMPUTED_VALUE"""),"LĐPT")</f>
        <v>LĐPT</v>
      </c>
      <c r="Q291" s="22" t="str">
        <f>IFERROR(__xludf.DUMMYFUNCTION("""COMPUTED_VALUE"""),"Lao động phổ thông")</f>
        <v>Lao động phổ thông</v>
      </c>
      <c r="R291" s="24">
        <f>IFERROR(__xludf.DUMMYFUNCTION("""COMPUTED_VALUE"""),41222.0)</f>
        <v>41222</v>
      </c>
      <c r="S291" s="24">
        <f>IFERROR(__xludf.DUMMYFUNCTION("""COMPUTED_VALUE"""),41222.0)</f>
        <v>41222</v>
      </c>
      <c r="T291" s="22" t="str">
        <f>IFERROR(__xludf.DUMMYFUNCTION("""COMPUTED_VALUE"""),"Chính thức")</f>
        <v>Chính thức</v>
      </c>
      <c r="U291" s="22"/>
      <c r="V291" s="22" t="str">
        <f>IFERROR(__xludf.DUMMYFUNCTION("""COMPUTED_VALUE"""),"Chính thức")</f>
        <v>Chính thức</v>
      </c>
      <c r="W291" s="22" t="str">
        <f>IFERROR(__xludf.DUMMYFUNCTION("""COMPUTED_VALUE"""),"13 năm 1 tháng")</f>
        <v>13 năm 1 tháng</v>
      </c>
      <c r="X291" s="22"/>
      <c r="Y291" s="22"/>
      <c r="Z291" s="22"/>
    </row>
    <row r="292">
      <c r="A292" s="22">
        <f>IFERROR(__xludf.DUMMYFUNCTION("""COMPUTED_VALUE"""),7.0)</f>
        <v>7</v>
      </c>
      <c r="B292" s="22" t="str">
        <f>IFERROR(__xludf.DUMMYFUNCTION("""COMPUTED_VALUE"""),"DC6-PXSX2")</f>
        <v>DC6-PXSX2</v>
      </c>
      <c r="C292" s="22" t="str">
        <f>IFERROR(__xludf.DUMMYFUNCTION("""COMPUTED_VALUE"""),"Bộ phận Trạm than và Lò nung")</f>
        <v>Bộ phận Trạm than và Lò nung</v>
      </c>
      <c r="D292" s="22" t="str">
        <f>IFERROR(__xludf.DUMMYFUNCTION("""COMPUTED_VALUE"""),"Lò nung - Đóng hộp Ca B")</f>
        <v>Lò nung - Đóng hộp Ca B</v>
      </c>
      <c r="E292" s="22" t="str">
        <f>IFERROR(__xludf.DUMMYFUNCTION("""COMPUTED_VALUE"""),"CN đóng hộp")</f>
        <v>CN đóng hộp</v>
      </c>
      <c r="F292" s="22" t="str">
        <f>IFERROR(__xludf.DUMMYFUNCTION("""COMPUTED_VALUE"""),"NV0616")</f>
        <v>NV0616</v>
      </c>
      <c r="G292" s="22">
        <f>IFERROR(__xludf.DUMMYFUNCTION("""COMPUTED_VALUE"""),454.0)</f>
        <v>454</v>
      </c>
      <c r="H292" s="22" t="str">
        <f>IFERROR(__xludf.DUMMYFUNCTION("""COMPUTED_VALUE"""),"Nguyễn Thị Lệ")</f>
        <v>Nguyễn Thị Lệ</v>
      </c>
      <c r="I292" s="22" t="str">
        <f>IFERROR(__xludf.DUMMYFUNCTION("""COMPUTED_VALUE"""),"Nữ")</f>
        <v>Nữ</v>
      </c>
      <c r="J292" s="24">
        <f>IFERROR(__xludf.DUMMYFUNCTION("""COMPUTED_VALUE"""),30780.0)</f>
        <v>30780</v>
      </c>
      <c r="K292" s="22" t="str">
        <f>IFERROR(__xludf.DUMMYFUNCTION("""COMPUTED_VALUE"""),"Xã Hoằng Trạch -  Huyện Hoằng Hóa -  Thanh Hóa -  Việt Nam")</f>
        <v>Xã Hoằng Trạch -  Huyện Hoằng Hóa -  Thanh Hóa -  Việt Nam</v>
      </c>
      <c r="L292" s="22" t="str">
        <f>IFERROR(__xludf.DUMMYFUNCTION("""COMPUTED_VALUE"""),"0398504300")</f>
        <v>0398504300</v>
      </c>
      <c r="M292" s="22" t="str">
        <f>IFERROR(__xludf.DUMMYFUNCTION("""COMPUTED_VALUE"""),"038184041628")</f>
        <v>038184041628</v>
      </c>
      <c r="N292" s="26">
        <f>IFERROR(__xludf.DUMMYFUNCTION("""COMPUTED_VALUE"""),44419.0)</f>
        <v>44419</v>
      </c>
      <c r="O292" s="22" t="str">
        <f>IFERROR(__xludf.DUMMYFUNCTION("""COMPUTED_VALUE"""),"Cục Cảnh sát QLHC về TTXH")</f>
        <v>Cục Cảnh sát QLHC về TTXH</v>
      </c>
      <c r="P292" s="22" t="str">
        <f>IFERROR(__xludf.DUMMYFUNCTION("""COMPUTED_VALUE"""),"LĐPT")</f>
        <v>LĐPT</v>
      </c>
      <c r="Q292" s="22" t="str">
        <f>IFERROR(__xludf.DUMMYFUNCTION("""COMPUTED_VALUE"""),"Lao động phổ thông")</f>
        <v>Lao động phổ thông</v>
      </c>
      <c r="R292" s="24">
        <f>IFERROR(__xludf.DUMMYFUNCTION("""COMPUTED_VALUE"""),40612.0)</f>
        <v>40612</v>
      </c>
      <c r="S292" s="24">
        <f>IFERROR(__xludf.DUMMYFUNCTION("""COMPUTED_VALUE"""),40612.0)</f>
        <v>40612</v>
      </c>
      <c r="T292" s="22" t="str">
        <f>IFERROR(__xludf.DUMMYFUNCTION("""COMPUTED_VALUE"""),"Chính thức")</f>
        <v>Chính thức</v>
      </c>
      <c r="U292" s="22"/>
      <c r="V292" s="22" t="str">
        <f>IFERROR(__xludf.DUMMYFUNCTION("""COMPUTED_VALUE"""),"Chính thức")</f>
        <v>Chính thức</v>
      </c>
      <c r="W292" s="22" t="str">
        <f>IFERROR(__xludf.DUMMYFUNCTION("""COMPUTED_VALUE"""),"14 năm 9 tháng")</f>
        <v>14 năm 9 tháng</v>
      </c>
      <c r="X292" s="22"/>
      <c r="Y292" s="22"/>
      <c r="Z292" s="22"/>
    </row>
    <row r="293">
      <c r="A293" s="22">
        <f>IFERROR(__xludf.DUMMYFUNCTION("""COMPUTED_VALUE"""),8.0)</f>
        <v>8</v>
      </c>
      <c r="B293" s="22" t="str">
        <f>IFERROR(__xludf.DUMMYFUNCTION("""COMPUTED_VALUE"""),"DC6-PXSX2")</f>
        <v>DC6-PXSX2</v>
      </c>
      <c r="C293" s="22" t="str">
        <f>IFERROR(__xludf.DUMMYFUNCTION("""COMPUTED_VALUE"""),"Bộ phận Trạm than và Lò nung")</f>
        <v>Bộ phận Trạm than và Lò nung</v>
      </c>
      <c r="D293" s="22" t="str">
        <f>IFERROR(__xludf.DUMMYFUNCTION("""COMPUTED_VALUE"""),"Lò nung - Đóng hộp Ca B")</f>
        <v>Lò nung - Đóng hộp Ca B</v>
      </c>
      <c r="E293" s="22" t="str">
        <f>IFERROR(__xludf.DUMMYFUNCTION("""COMPUTED_VALUE"""),"Xe nâng")</f>
        <v>Xe nâng</v>
      </c>
      <c r="F293" s="22" t="str">
        <f>IFERROR(__xludf.DUMMYFUNCTION("""COMPUTED_VALUE"""),"NV3948")</f>
        <v>NV3948</v>
      </c>
      <c r="G293" s="22">
        <f>IFERROR(__xludf.DUMMYFUNCTION("""COMPUTED_VALUE"""),484.0)</f>
        <v>484</v>
      </c>
      <c r="H293" s="22" t="str">
        <f>IFERROR(__xludf.DUMMYFUNCTION("""COMPUTED_VALUE"""),"Lê Trí Tư")</f>
        <v>Lê Trí Tư</v>
      </c>
      <c r="I293" s="22" t="str">
        <f>IFERROR(__xludf.DUMMYFUNCTION("""COMPUTED_VALUE"""),"Nam")</f>
        <v>Nam</v>
      </c>
      <c r="J293" s="24">
        <f>IFERROR(__xludf.DUMMYFUNCTION("""COMPUTED_VALUE"""),32150.0)</f>
        <v>32150</v>
      </c>
      <c r="K293" s="22" t="str">
        <f>IFERROR(__xludf.DUMMYFUNCTION("""COMPUTED_VALUE"""),"33 Hàm Tử -  P. Quảng Hưng -  Thành phố Thanh Hóa")</f>
        <v>33 Hàm Tử -  P. Quảng Hưng -  Thành phố Thanh Hóa</v>
      </c>
      <c r="L293" s="22" t="str">
        <f>IFERROR(__xludf.DUMMYFUNCTION("""COMPUTED_VALUE"""),"0948142689")</f>
        <v>0948142689</v>
      </c>
      <c r="M293" s="22" t="str">
        <f>IFERROR(__xludf.DUMMYFUNCTION("""COMPUTED_VALUE"""),"038088018283")</f>
        <v>038088018283</v>
      </c>
      <c r="N293" s="26">
        <f>IFERROR(__xludf.DUMMYFUNCTION("""COMPUTED_VALUE"""),44502.0)</f>
        <v>44502</v>
      </c>
      <c r="O293" s="22" t="str">
        <f>IFERROR(__xludf.DUMMYFUNCTION("""COMPUTED_VALUE"""),"Cục Cảnh sát QLHC về TTXH")</f>
        <v>Cục Cảnh sát QLHC về TTXH</v>
      </c>
      <c r="P293" s="22" t="str">
        <f>IFERROR(__xludf.DUMMYFUNCTION("""COMPUTED_VALUE"""),"Sơ cấp nghề")</f>
        <v>Sơ cấp nghề</v>
      </c>
      <c r="Q293" s="22" t="str">
        <f>IFERROR(__xludf.DUMMYFUNCTION("""COMPUTED_VALUE"""),"Vận hành xe nâng")</f>
        <v>Vận hành xe nâng</v>
      </c>
      <c r="R293" s="24">
        <f>IFERROR(__xludf.DUMMYFUNCTION("""COMPUTED_VALUE"""),44528.0)</f>
        <v>44528</v>
      </c>
      <c r="S293" s="24">
        <f>IFERROR(__xludf.DUMMYFUNCTION("""COMPUTED_VALUE"""),44774.0)</f>
        <v>44774</v>
      </c>
      <c r="T293" s="22" t="str">
        <f>IFERROR(__xludf.DUMMYFUNCTION("""COMPUTED_VALUE"""),"Chính thức")</f>
        <v>Chính thức</v>
      </c>
      <c r="U293" s="22"/>
      <c r="V293" s="22" t="str">
        <f>IFERROR(__xludf.DUMMYFUNCTION("""COMPUTED_VALUE"""),"Chính thức")</f>
        <v>Chính thức</v>
      </c>
      <c r="W293" s="22" t="str">
        <f>IFERROR(__xludf.DUMMYFUNCTION("""COMPUTED_VALUE"""),"4 năm 1 tháng")</f>
        <v>4 năm 1 tháng</v>
      </c>
      <c r="X293" s="22"/>
      <c r="Y293" s="22"/>
      <c r="Z293" s="22"/>
    </row>
    <row r="294">
      <c r="A294" s="22">
        <f>IFERROR(__xludf.DUMMYFUNCTION("""COMPUTED_VALUE"""),9.0)</f>
        <v>9</v>
      </c>
      <c r="B294" s="22" t="str">
        <f>IFERROR(__xludf.DUMMYFUNCTION("""COMPUTED_VALUE"""),"DC6-PXSX2")</f>
        <v>DC6-PXSX2</v>
      </c>
      <c r="C294" s="22" t="str">
        <f>IFERROR(__xludf.DUMMYFUNCTION("""COMPUTED_VALUE"""),"Bộ phận Trạm than và Lò nung")</f>
        <v>Bộ phận Trạm than và Lò nung</v>
      </c>
      <c r="D294" s="22" t="str">
        <f>IFERROR(__xludf.DUMMYFUNCTION("""COMPUTED_VALUE"""),"Lò nung - Đóng hộp Ca B")</f>
        <v>Lò nung - Đóng hộp Ca B</v>
      </c>
      <c r="E294" s="22"/>
      <c r="F294" s="22" t="str">
        <f>IFERROR(__xludf.DUMMYFUNCTION("""COMPUTED_VALUE"""),"NV5802")</f>
        <v>NV5802</v>
      </c>
      <c r="G294" s="22">
        <f>IFERROR(__xludf.DUMMYFUNCTION("""COMPUTED_VALUE"""),1284.0)</f>
        <v>1284</v>
      </c>
      <c r="H294" s="22" t="str">
        <f>IFERROR(__xludf.DUMMYFUNCTION("""COMPUTED_VALUE"""),"Đỗ Trung Sơn")</f>
        <v>Đỗ Trung Sơn</v>
      </c>
      <c r="I294" s="22" t="str">
        <f>IFERROR(__xludf.DUMMYFUNCTION("""COMPUTED_VALUE"""),"Nam")</f>
        <v>Nam</v>
      </c>
      <c r="J294" s="24">
        <f>IFERROR(__xludf.DUMMYFUNCTION("""COMPUTED_VALUE"""),33391.0)</f>
        <v>33391</v>
      </c>
      <c r="K294" s="22" t="str">
        <f>IFERROR(__xludf.DUMMYFUNCTION("""COMPUTED_VALUE"""),"09 đường Đình Giáp Bắc - Phường Hạc Thành - tỉnh Thanh Hóa")</f>
        <v>09 đường Đình Giáp Bắc - Phường Hạc Thành - tỉnh Thanh Hóa</v>
      </c>
      <c r="L294" s="22" t="str">
        <f>IFERROR(__xludf.DUMMYFUNCTION("""COMPUTED_VALUE"""),"0354037420")</f>
        <v>0354037420</v>
      </c>
      <c r="M294" s="22" t="str">
        <f>IFERROR(__xludf.DUMMYFUNCTION("""COMPUTED_VALUE"""),"038091011877")</f>
        <v>038091011877</v>
      </c>
      <c r="N294" s="26">
        <f>IFERROR(__xludf.DUMMYFUNCTION("""COMPUTED_VALUE"""),44326.0)</f>
        <v>44326</v>
      </c>
      <c r="O294" s="22" t="str">
        <f>IFERROR(__xludf.DUMMYFUNCTION("""COMPUTED_VALUE"""),"Cục Cảnh sát QLHC về TTXH")</f>
        <v>Cục Cảnh sát QLHC về TTXH</v>
      </c>
      <c r="P294" s="22" t="str">
        <f>IFERROR(__xludf.DUMMYFUNCTION("""COMPUTED_VALUE"""),"LĐPT")</f>
        <v>LĐPT</v>
      </c>
      <c r="Q294" s="22" t="str">
        <f>IFERROR(__xludf.DUMMYFUNCTION("""COMPUTED_VALUE"""),"Lao động phổ thông")</f>
        <v>Lao động phổ thông</v>
      </c>
      <c r="R294" s="24">
        <f>IFERROR(__xludf.DUMMYFUNCTION("""COMPUTED_VALUE"""),45972.0)</f>
        <v>45972</v>
      </c>
      <c r="S294" s="24">
        <f>IFERROR(__xludf.DUMMYFUNCTION("""COMPUTED_VALUE"""),46002.0)</f>
        <v>46002</v>
      </c>
      <c r="T294" s="22" t="str">
        <f>IFERROR(__xludf.DUMMYFUNCTION("""COMPUTED_VALUE"""),"Thử việc")</f>
        <v>Thử việc</v>
      </c>
      <c r="U294" s="22"/>
      <c r="V294" s="22" t="str">
        <f>IFERROR(__xludf.DUMMYFUNCTION("""COMPUTED_VALUE"""),"Thử việc")</f>
        <v>Thử việc</v>
      </c>
      <c r="W294" s="22" t="str">
        <f>IFERROR(__xludf.DUMMYFUNCTION("""COMPUTED_VALUE"""),"0 năm 1 tháng")</f>
        <v>0 năm 1 tháng</v>
      </c>
      <c r="X294" s="22"/>
      <c r="Y294" s="22"/>
      <c r="Z294" s="22"/>
    </row>
    <row r="295">
      <c r="A295" s="22">
        <f>IFERROR(__xludf.DUMMYFUNCTION("""COMPUTED_VALUE"""),10.0)</f>
        <v>10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>
        <f>IFERROR(__xludf.DUMMYFUNCTION("""COMPUTED_VALUE"""),11.0)</f>
        <v>11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>
        <f>IFERROR(__xludf.DUMMYFUNCTION("""COMPUTED_VALUE"""),12.0)</f>
        <v>12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8">
        <f>IFERROR(__xludf.DUMMYFUNCTION("""COMPUTED_VALUE"""),45753.0)</f>
        <v>45753</v>
      </c>
      <c r="B298" s="22" t="str">
        <f>IFERROR(__xludf.DUMMYFUNCTION("""COMPUTED_VALUE"""),"Lò nung - Đóng hộp Ca C")</f>
        <v>Lò nung - Đóng hộp Ca C</v>
      </c>
      <c r="C298" s="22">
        <f>IFERROR(__xludf.DUMMYFUNCTION("""COMPUTED_VALUE"""),0.0)</f>
        <v>0</v>
      </c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>
        <f>IFERROR(__xludf.DUMMYFUNCTION("""COMPUTED_VALUE"""),1.0)</f>
        <v>1</v>
      </c>
      <c r="B299" s="22" t="str">
        <f>IFERROR(__xludf.DUMMYFUNCTION("""COMPUTED_VALUE"""),"#N/A")</f>
        <v>#N/A</v>
      </c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>
        <f>IFERROR(__xludf.DUMMYFUNCTION("""COMPUTED_VALUE"""),2.0)</f>
        <v>2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>
        <f>IFERROR(__xludf.DUMMYFUNCTION("""COMPUTED_VALUE"""),3.0)</f>
        <v>3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>
        <f>IFERROR(__xludf.DUMMYFUNCTION("""COMPUTED_VALUE"""),4.0)</f>
        <v>4</v>
      </c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>
        <f>IFERROR(__xludf.DUMMYFUNCTION("""COMPUTED_VALUE"""),5.0)</f>
        <v>5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>
        <f>IFERROR(__xludf.DUMMYFUNCTION("""COMPUTED_VALUE"""),6.0)</f>
        <v>6</v>
      </c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>
        <f>IFERROR(__xludf.DUMMYFUNCTION("""COMPUTED_VALUE"""),7.0)</f>
        <v>7</v>
      </c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>
        <f>IFERROR(__xludf.DUMMYFUNCTION("""COMPUTED_VALUE"""),8.0)</f>
        <v>8</v>
      </c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>
        <f>IFERROR(__xludf.DUMMYFUNCTION("""COMPUTED_VALUE"""),9.0)</f>
        <v>9</v>
      </c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>
        <f>IFERROR(__xludf.DUMMYFUNCTION("""COMPUTED_VALUE"""),10.0)</f>
        <v>10</v>
      </c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>
        <f>IFERROR(__xludf.DUMMYFUNCTION("""COMPUTED_VALUE"""),11.0)</f>
        <v>11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>
        <f>IFERROR(__xludf.DUMMYFUNCTION("""COMPUTED_VALUE"""),12.0)</f>
        <v>12</v>
      </c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>
        <f>IFERROR(__xludf.DUMMYFUNCTION("""COMPUTED_VALUE"""),13.0)</f>
        <v>13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>
        <f>IFERROR(__xludf.DUMMYFUNCTION("""COMPUTED_VALUE"""),14.0)</f>
        <v>14</v>
      </c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>
        <f>IFERROR(__xludf.DUMMYFUNCTION("""COMPUTED_VALUE"""),15.0)</f>
        <v>15</v>
      </c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>
        <f>IFERROR(__xludf.DUMMYFUNCTION("""COMPUTED_VALUE"""),16.0)</f>
        <v>16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>
        <f>IFERROR(__xludf.DUMMYFUNCTION("""COMPUTED_VALUE"""),17.0)</f>
        <v>17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>
        <f>IFERROR(__xludf.DUMMYFUNCTION("""COMPUTED_VALUE"""),18.0)</f>
        <v>18</v>
      </c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8">
        <f>IFERROR(__xludf.DUMMYFUNCTION("""COMPUTED_VALUE"""),45783.0)</f>
        <v>45783</v>
      </c>
      <c r="B317" s="22" t="str">
        <f>IFERROR(__xludf.DUMMYFUNCTION("""COMPUTED_VALUE"""),"Trạm than Ca A")</f>
        <v>Trạm than Ca A</v>
      </c>
      <c r="C317" s="22">
        <f>IFERROR(__xludf.DUMMYFUNCTION("""COMPUTED_VALUE"""),5.0)</f>
        <v>5</v>
      </c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>
        <f>IFERROR(__xludf.DUMMYFUNCTION("""COMPUTED_VALUE"""),1.0)</f>
        <v>1</v>
      </c>
      <c r="B318" s="22" t="str">
        <f>IFERROR(__xludf.DUMMYFUNCTION("""COMPUTED_VALUE"""),"DC6-PXSX2")</f>
        <v>DC6-PXSX2</v>
      </c>
      <c r="C318" s="22" t="str">
        <f>IFERROR(__xludf.DUMMYFUNCTION("""COMPUTED_VALUE"""),"Bộ phận Trạm than và Lò nung")</f>
        <v>Bộ phận Trạm than và Lò nung</v>
      </c>
      <c r="D318" s="22" t="str">
        <f>IFERROR(__xludf.DUMMYFUNCTION("""COMPUTED_VALUE"""),"Trạm than Ca A")</f>
        <v>Trạm than Ca A</v>
      </c>
      <c r="E318" s="22" t="str">
        <f>IFERROR(__xludf.DUMMYFUNCTION("""COMPUTED_VALUE"""),"Tổ phó")</f>
        <v>Tổ phó</v>
      </c>
      <c r="F318" s="22" t="str">
        <f>IFERROR(__xludf.DUMMYFUNCTION("""COMPUTED_VALUE"""),"NV0550")</f>
        <v>NV0550</v>
      </c>
      <c r="G318" s="22">
        <f>IFERROR(__xludf.DUMMYFUNCTION("""COMPUTED_VALUE"""),606.0)</f>
        <v>606</v>
      </c>
      <c r="H318" s="22" t="str">
        <f>IFERROR(__xludf.DUMMYFUNCTION("""COMPUTED_VALUE"""),"Trần Văn Tưởng")</f>
        <v>Trần Văn Tưởng</v>
      </c>
      <c r="I318" s="22" t="str">
        <f>IFERROR(__xludf.DUMMYFUNCTION("""COMPUTED_VALUE"""),"Nam")</f>
        <v>Nam</v>
      </c>
      <c r="J318" s="24">
        <f>IFERROR(__xludf.DUMMYFUNCTION("""COMPUTED_VALUE"""),28525.0)</f>
        <v>28525</v>
      </c>
      <c r="K318" s="22" t="str">
        <f>IFERROR(__xludf.DUMMYFUNCTION("""COMPUTED_VALUE"""),"Thôn 17 - Xã Quảng Cát - Quảng Xương - Thanh Hóa")</f>
        <v>Thôn 17 - Xã Quảng Cát - Quảng Xương - Thanh Hóa</v>
      </c>
      <c r="L318" s="22" t="str">
        <f>IFERROR(__xludf.DUMMYFUNCTION("""COMPUTED_VALUE"""),"0946128778")</f>
        <v>0946128778</v>
      </c>
      <c r="M318" s="22" t="str">
        <f>IFERROR(__xludf.DUMMYFUNCTION("""COMPUTED_VALUE"""),"038078027916")</f>
        <v>038078027916</v>
      </c>
      <c r="N318" s="26">
        <f>IFERROR(__xludf.DUMMYFUNCTION("""COMPUTED_VALUE"""),44422.0)</f>
        <v>44422</v>
      </c>
      <c r="O318" s="22" t="str">
        <f>IFERROR(__xludf.DUMMYFUNCTION("""COMPUTED_VALUE"""),"Cục Cảnh sát QLHC về TTXH")</f>
        <v>Cục Cảnh sát QLHC về TTXH</v>
      </c>
      <c r="P318" s="22" t="str">
        <f>IFERROR(__xludf.DUMMYFUNCTION("""COMPUTED_VALUE"""),"LĐPT")</f>
        <v>LĐPT</v>
      </c>
      <c r="Q318" s="22" t="str">
        <f>IFERROR(__xludf.DUMMYFUNCTION("""COMPUTED_VALUE"""),"Lao động phổ thông")</f>
        <v>Lao động phổ thông</v>
      </c>
      <c r="R318" s="24">
        <f>IFERROR(__xludf.DUMMYFUNCTION("""COMPUTED_VALUE"""),39286.0)</f>
        <v>39286</v>
      </c>
      <c r="S318" s="24">
        <f>IFERROR(__xludf.DUMMYFUNCTION("""COMPUTED_VALUE"""),39286.0)</f>
        <v>39286</v>
      </c>
      <c r="T318" s="22" t="str">
        <f>IFERROR(__xludf.DUMMYFUNCTION("""COMPUTED_VALUE"""),"Chính thức")</f>
        <v>Chính thức</v>
      </c>
      <c r="U318" s="22"/>
      <c r="V318" s="22" t="str">
        <f>IFERROR(__xludf.DUMMYFUNCTION("""COMPUTED_VALUE"""),"Chính thức")</f>
        <v>Chính thức</v>
      </c>
      <c r="W318" s="22" t="str">
        <f>IFERROR(__xludf.DUMMYFUNCTION("""COMPUTED_VALUE"""),"18 năm 5 tháng")</f>
        <v>18 năm 5 tháng</v>
      </c>
      <c r="X318" s="22"/>
      <c r="Y318" s="22"/>
      <c r="Z318" s="22"/>
    </row>
    <row r="319">
      <c r="A319" s="22">
        <f>IFERROR(__xludf.DUMMYFUNCTION("""COMPUTED_VALUE"""),2.0)</f>
        <v>2</v>
      </c>
      <c r="B319" s="22" t="str">
        <f>IFERROR(__xludf.DUMMYFUNCTION("""COMPUTED_VALUE"""),"DC6-PXSX2")</f>
        <v>DC6-PXSX2</v>
      </c>
      <c r="C319" s="22" t="str">
        <f>IFERROR(__xludf.DUMMYFUNCTION("""COMPUTED_VALUE"""),"Bộ phận Trạm than và Lò nung")</f>
        <v>Bộ phận Trạm than và Lò nung</v>
      </c>
      <c r="D319" s="22" t="str">
        <f>IFERROR(__xludf.DUMMYFUNCTION("""COMPUTED_VALUE"""),"Trạm than Ca A")</f>
        <v>Trạm than Ca A</v>
      </c>
      <c r="E319" s="22" t="str">
        <f>IFERROR(__xludf.DUMMYFUNCTION("""COMPUTED_VALUE"""),"VH lò mức 1")</f>
        <v>VH lò mức 1</v>
      </c>
      <c r="F319" s="22" t="str">
        <f>IFERROR(__xludf.DUMMYFUNCTION("""COMPUTED_VALUE"""),"NV0553")</f>
        <v>NV0553</v>
      </c>
      <c r="G319" s="22">
        <f>IFERROR(__xludf.DUMMYFUNCTION("""COMPUTED_VALUE"""),593.0)</f>
        <v>593</v>
      </c>
      <c r="H319" s="22" t="str">
        <f>IFERROR(__xludf.DUMMYFUNCTION("""COMPUTED_VALUE"""),"Đỗ Văn Cự")</f>
        <v>Đỗ Văn Cự</v>
      </c>
      <c r="I319" s="22" t="str">
        <f>IFERROR(__xludf.DUMMYFUNCTION("""COMPUTED_VALUE"""),"Nam")</f>
        <v>Nam</v>
      </c>
      <c r="J319" s="24">
        <f>IFERROR(__xludf.DUMMYFUNCTION("""COMPUTED_VALUE"""),27496.0)</f>
        <v>27496</v>
      </c>
      <c r="K319" s="22" t="str">
        <f>IFERROR(__xludf.DUMMYFUNCTION("""COMPUTED_VALUE"""),"Xã Hoằng Trạch - Hoằng Hóa - Thanh Hóa")</f>
        <v>Xã Hoằng Trạch - Hoằng Hóa - Thanh Hóa</v>
      </c>
      <c r="L319" s="22" t="str">
        <f>IFERROR(__xludf.DUMMYFUNCTION("""COMPUTED_VALUE"""),"0832191012")</f>
        <v>0832191012</v>
      </c>
      <c r="M319" s="22" t="str">
        <f>IFERROR(__xludf.DUMMYFUNCTION("""COMPUTED_VALUE"""),"038075040863")</f>
        <v>038075040863</v>
      </c>
      <c r="N319" s="26">
        <f>IFERROR(__xludf.DUMMYFUNCTION("""COMPUTED_VALUE"""),44545.0)</f>
        <v>44545</v>
      </c>
      <c r="O319" s="22" t="str">
        <f>IFERROR(__xludf.DUMMYFUNCTION("""COMPUTED_VALUE"""),"Cục Cảnh sát QLHC về TTXH")</f>
        <v>Cục Cảnh sát QLHC về TTXH</v>
      </c>
      <c r="P319" s="22" t="str">
        <f>IFERROR(__xludf.DUMMYFUNCTION("""COMPUTED_VALUE"""),"LĐPT")</f>
        <v>LĐPT</v>
      </c>
      <c r="Q319" s="22" t="str">
        <f>IFERROR(__xludf.DUMMYFUNCTION("""COMPUTED_VALUE"""),"Lao động phổ thông")</f>
        <v>Lao động phổ thông</v>
      </c>
      <c r="R319" s="24">
        <f>IFERROR(__xludf.DUMMYFUNCTION("""COMPUTED_VALUE"""),38826.0)</f>
        <v>38826</v>
      </c>
      <c r="S319" s="24">
        <f>IFERROR(__xludf.DUMMYFUNCTION("""COMPUTED_VALUE"""),38826.0)</f>
        <v>38826</v>
      </c>
      <c r="T319" s="22" t="str">
        <f>IFERROR(__xludf.DUMMYFUNCTION("""COMPUTED_VALUE"""),"Chính thức")</f>
        <v>Chính thức</v>
      </c>
      <c r="U319" s="22"/>
      <c r="V319" s="22" t="str">
        <f>IFERROR(__xludf.DUMMYFUNCTION("""COMPUTED_VALUE"""),"Chính thức")</f>
        <v>Chính thức</v>
      </c>
      <c r="W319" s="22" t="str">
        <f>IFERROR(__xludf.DUMMYFUNCTION("""COMPUTED_VALUE"""),"19 năm 8 tháng")</f>
        <v>19 năm 8 tháng</v>
      </c>
      <c r="X319" s="22"/>
      <c r="Y319" s="22"/>
      <c r="Z319" s="22"/>
    </row>
    <row r="320">
      <c r="A320" s="22">
        <f>IFERROR(__xludf.DUMMYFUNCTION("""COMPUTED_VALUE"""),3.0)</f>
        <v>3</v>
      </c>
      <c r="B320" s="22" t="str">
        <f>IFERROR(__xludf.DUMMYFUNCTION("""COMPUTED_VALUE"""),"DC6-PXSX2")</f>
        <v>DC6-PXSX2</v>
      </c>
      <c r="C320" s="22" t="str">
        <f>IFERROR(__xludf.DUMMYFUNCTION("""COMPUTED_VALUE"""),"Bộ phận Trạm than và Lò nung")</f>
        <v>Bộ phận Trạm than và Lò nung</v>
      </c>
      <c r="D320" s="22" t="str">
        <f>IFERROR(__xludf.DUMMYFUNCTION("""COMPUTED_VALUE"""),"Trạm than Ca A")</f>
        <v>Trạm than Ca A</v>
      </c>
      <c r="E320" s="22" t="str">
        <f>IFERROR(__xludf.DUMMYFUNCTION("""COMPUTED_VALUE"""),"VH lò mức 1")</f>
        <v>VH lò mức 1</v>
      </c>
      <c r="F320" s="22" t="str">
        <f>IFERROR(__xludf.DUMMYFUNCTION("""COMPUTED_VALUE"""),"NV0508")</f>
        <v>NV0508</v>
      </c>
      <c r="G320" s="22">
        <f>IFERROR(__xludf.DUMMYFUNCTION("""COMPUTED_VALUE"""),401.0)</f>
        <v>401</v>
      </c>
      <c r="H320" s="22" t="str">
        <f>IFERROR(__xludf.DUMMYFUNCTION("""COMPUTED_VALUE"""),"Phạm Văn Quân")</f>
        <v>Phạm Văn Quân</v>
      </c>
      <c r="I320" s="22" t="str">
        <f>IFERROR(__xludf.DUMMYFUNCTION("""COMPUTED_VALUE"""),"Nam")</f>
        <v>Nam</v>
      </c>
      <c r="J320" s="24">
        <f>IFERROR(__xludf.DUMMYFUNCTION("""COMPUTED_VALUE"""),35011.0)</f>
        <v>35011</v>
      </c>
      <c r="K320" s="22" t="str">
        <f>IFERROR(__xludf.DUMMYFUNCTION("""COMPUTED_VALUE"""),"Nguyệt Viên 3 -  Xã Hoằng Quang -  Thành phố Thanh Hóa")</f>
        <v>Nguyệt Viên 3 -  Xã Hoằng Quang -  Thành phố Thanh Hóa</v>
      </c>
      <c r="L320" s="22" t="str">
        <f>IFERROR(__xludf.DUMMYFUNCTION("""COMPUTED_VALUE"""),"0328315546")</f>
        <v>0328315546</v>
      </c>
      <c r="M320" s="22" t="str">
        <f>IFERROR(__xludf.DUMMYFUNCTION("""COMPUTED_VALUE"""),"038095017594")</f>
        <v>038095017594</v>
      </c>
      <c r="N320" s="26">
        <f>IFERROR(__xludf.DUMMYFUNCTION("""COMPUTED_VALUE"""),44317.0)</f>
        <v>44317</v>
      </c>
      <c r="O320" s="22" t="str">
        <f>IFERROR(__xludf.DUMMYFUNCTION("""COMPUTED_VALUE"""),"Cục Cảnh sát QLHC về TTXH")</f>
        <v>Cục Cảnh sát QLHC về TTXH</v>
      </c>
      <c r="P320" s="22" t="str">
        <f>IFERROR(__xludf.DUMMYFUNCTION("""COMPUTED_VALUE"""),"LĐPT")</f>
        <v>LĐPT</v>
      </c>
      <c r="Q320" s="22" t="str">
        <f>IFERROR(__xludf.DUMMYFUNCTION("""COMPUTED_VALUE"""),"Lao động phổ thông")</f>
        <v>Lao động phổ thông</v>
      </c>
      <c r="R320" s="24">
        <f>IFERROR(__xludf.DUMMYFUNCTION("""COMPUTED_VALUE"""),42629.0)</f>
        <v>42629</v>
      </c>
      <c r="S320" s="24">
        <f>IFERROR(__xludf.DUMMYFUNCTION("""COMPUTED_VALUE"""),42856.0)</f>
        <v>42856</v>
      </c>
      <c r="T320" s="22" t="str">
        <f>IFERROR(__xludf.DUMMYFUNCTION("""COMPUTED_VALUE"""),"Chính thức")</f>
        <v>Chính thức</v>
      </c>
      <c r="U320" s="22"/>
      <c r="V320" s="22" t="str">
        <f>IFERROR(__xludf.DUMMYFUNCTION("""COMPUTED_VALUE"""),"Chính thức")</f>
        <v>Chính thức</v>
      </c>
      <c r="W320" s="22" t="str">
        <f>IFERROR(__xludf.DUMMYFUNCTION("""COMPUTED_VALUE"""),"9 năm 3 tháng")</f>
        <v>9 năm 3 tháng</v>
      </c>
      <c r="X320" s="22"/>
      <c r="Y320" s="22"/>
      <c r="Z320" s="22"/>
    </row>
    <row r="321">
      <c r="A321" s="22">
        <f>IFERROR(__xludf.DUMMYFUNCTION("""COMPUTED_VALUE"""),4.0)</f>
        <v>4</v>
      </c>
      <c r="B321" s="22" t="str">
        <f>IFERROR(__xludf.DUMMYFUNCTION("""COMPUTED_VALUE"""),"DC6-PXSX2")</f>
        <v>DC6-PXSX2</v>
      </c>
      <c r="C321" s="22" t="str">
        <f>IFERROR(__xludf.DUMMYFUNCTION("""COMPUTED_VALUE"""),"Bộ phận Trạm than và Lò nung")</f>
        <v>Bộ phận Trạm than và Lò nung</v>
      </c>
      <c r="D321" s="22" t="str">
        <f>IFERROR(__xludf.DUMMYFUNCTION("""COMPUTED_VALUE"""),"Trạm than Ca A")</f>
        <v>Trạm than Ca A</v>
      </c>
      <c r="E321" s="22" t="str">
        <f>IFERROR(__xludf.DUMMYFUNCTION("""COMPUTED_VALUE"""),"VHC lò")</f>
        <v>VHC lò</v>
      </c>
      <c r="F321" s="22" t="str">
        <f>IFERROR(__xludf.DUMMYFUNCTION("""COMPUTED_VALUE"""),"NV0548")</f>
        <v>NV0548</v>
      </c>
      <c r="G321" s="22">
        <f>IFERROR(__xludf.DUMMYFUNCTION("""COMPUTED_VALUE"""),353.0)</f>
        <v>353</v>
      </c>
      <c r="H321" s="22" t="str">
        <f>IFERROR(__xludf.DUMMYFUNCTION("""COMPUTED_VALUE"""),"Đỗ Văn Năm")</f>
        <v>Đỗ Văn Năm</v>
      </c>
      <c r="I321" s="22" t="str">
        <f>IFERROR(__xludf.DUMMYFUNCTION("""COMPUTED_VALUE"""),"Nam")</f>
        <v>Nam</v>
      </c>
      <c r="J321" s="24">
        <f>IFERROR(__xludf.DUMMYFUNCTION("""COMPUTED_VALUE"""),26715.0)</f>
        <v>26715</v>
      </c>
      <c r="K321" s="22" t="str">
        <f>IFERROR(__xludf.DUMMYFUNCTION("""COMPUTED_VALUE"""),"Hoằng Trạch - Hoằng Hóa - Thanh Hóa")</f>
        <v>Hoằng Trạch - Hoằng Hóa - Thanh Hóa</v>
      </c>
      <c r="L321" s="22" t="str">
        <f>IFERROR(__xludf.DUMMYFUNCTION("""COMPUTED_VALUE"""),"0347823235")</f>
        <v>0347823235</v>
      </c>
      <c r="M321" s="22" t="str">
        <f>IFERROR(__xludf.DUMMYFUNCTION("""COMPUTED_VALUE"""),"038073036137")</f>
        <v>038073036137</v>
      </c>
      <c r="N321" s="26">
        <f>IFERROR(__xludf.DUMMYFUNCTION("""COMPUTED_VALUE"""),44419.0)</f>
        <v>44419</v>
      </c>
      <c r="O321" s="22" t="str">
        <f>IFERROR(__xludf.DUMMYFUNCTION("""COMPUTED_VALUE"""),"Cục Cảnh sát QLHC về TTXH")</f>
        <v>Cục Cảnh sát QLHC về TTXH</v>
      </c>
      <c r="P321" s="22" t="str">
        <f>IFERROR(__xludf.DUMMYFUNCTION("""COMPUTED_VALUE"""),"LĐPT")</f>
        <v>LĐPT</v>
      </c>
      <c r="Q321" s="22" t="str">
        <f>IFERROR(__xludf.DUMMYFUNCTION("""COMPUTED_VALUE"""),"Lao động phổ thông")</f>
        <v>Lao động phổ thông</v>
      </c>
      <c r="R321" s="24">
        <f>IFERROR(__xludf.DUMMYFUNCTION("""COMPUTED_VALUE"""),39690.0)</f>
        <v>39690</v>
      </c>
      <c r="S321" s="24">
        <f>IFERROR(__xludf.DUMMYFUNCTION("""COMPUTED_VALUE"""),39690.0)</f>
        <v>39690</v>
      </c>
      <c r="T321" s="22" t="str">
        <f>IFERROR(__xludf.DUMMYFUNCTION("""COMPUTED_VALUE"""),"Chính thức")</f>
        <v>Chính thức</v>
      </c>
      <c r="U321" s="22"/>
      <c r="V321" s="22" t="str">
        <f>IFERROR(__xludf.DUMMYFUNCTION("""COMPUTED_VALUE"""),"Chính thức")</f>
        <v>Chính thức</v>
      </c>
      <c r="W321" s="22" t="str">
        <f>IFERROR(__xludf.DUMMYFUNCTION("""COMPUTED_VALUE"""),"17 năm 4 tháng")</f>
        <v>17 năm 4 tháng</v>
      </c>
      <c r="X321" s="22"/>
      <c r="Y321" s="22"/>
      <c r="Z321" s="22"/>
    </row>
    <row r="322">
      <c r="A322" s="22">
        <f>IFERROR(__xludf.DUMMYFUNCTION("""COMPUTED_VALUE"""),5.0)</f>
        <v>5</v>
      </c>
      <c r="B322" s="22" t="str">
        <f>IFERROR(__xludf.DUMMYFUNCTION("""COMPUTED_VALUE"""),"DC6-PXSX2")</f>
        <v>DC6-PXSX2</v>
      </c>
      <c r="C322" s="22" t="str">
        <f>IFERROR(__xludf.DUMMYFUNCTION("""COMPUTED_VALUE"""),"Bộ phận Trạm than và Lò nung")</f>
        <v>Bộ phận Trạm than và Lò nung</v>
      </c>
      <c r="D322" s="22" t="str">
        <f>IFERROR(__xludf.DUMMYFUNCTION("""COMPUTED_VALUE"""),"Trạm than Ca A")</f>
        <v>Trạm than Ca A</v>
      </c>
      <c r="E322" s="22" t="str">
        <f>IFERROR(__xludf.DUMMYFUNCTION("""COMPUTED_VALUE"""),"VH Lò mức 2")</f>
        <v>VH Lò mức 2</v>
      </c>
      <c r="F322" s="22" t="str">
        <f>IFERROR(__xludf.DUMMYFUNCTION("""COMPUTED_VALUE"""),"NV4007")</f>
        <v>NV4007</v>
      </c>
      <c r="G322" s="22">
        <f>IFERROR(__xludf.DUMMYFUNCTION("""COMPUTED_VALUE"""),941.0)</f>
        <v>941</v>
      </c>
      <c r="H322" s="22" t="str">
        <f>IFERROR(__xludf.DUMMYFUNCTION("""COMPUTED_VALUE"""),"Lê Văn Hiếu")</f>
        <v>Lê Văn Hiếu</v>
      </c>
      <c r="I322" s="22" t="str">
        <f>IFERROR(__xludf.DUMMYFUNCTION("""COMPUTED_VALUE"""),"Nam")</f>
        <v>Nam</v>
      </c>
      <c r="J322" s="24">
        <f>IFERROR(__xludf.DUMMYFUNCTION("""COMPUTED_VALUE"""),37798.0)</f>
        <v>37798</v>
      </c>
      <c r="K322" s="22" t="str">
        <f>IFERROR(__xludf.DUMMYFUNCTION("""COMPUTED_VALUE"""),"Phố 9 -  Xã Quảng Phú -  Thành phố Thanh Hóa")</f>
        <v>Phố 9 -  Xã Quảng Phú -  Thành phố Thanh Hóa</v>
      </c>
      <c r="L322" s="22" t="str">
        <f>IFERROR(__xludf.DUMMYFUNCTION("""COMPUTED_VALUE"""),"0977933356")</f>
        <v>0977933356</v>
      </c>
      <c r="M322" s="22" t="str">
        <f>IFERROR(__xludf.DUMMYFUNCTION("""COMPUTED_VALUE"""),"038203008442")</f>
        <v>038203008442</v>
      </c>
      <c r="N322" s="26">
        <f>IFERROR(__xludf.DUMMYFUNCTION("""COMPUTED_VALUE"""),44376.0)</f>
        <v>44376</v>
      </c>
      <c r="O322" s="22" t="str">
        <f>IFERROR(__xludf.DUMMYFUNCTION("""COMPUTED_VALUE"""),"Cục Cảnh sát QLHC về TTXH")</f>
        <v>Cục Cảnh sát QLHC về TTXH</v>
      </c>
      <c r="P322" s="22" t="str">
        <f>IFERROR(__xludf.DUMMYFUNCTION("""COMPUTED_VALUE"""),"LĐPT")</f>
        <v>LĐPT</v>
      </c>
      <c r="Q322" s="22" t="str">
        <f>IFERROR(__xludf.DUMMYFUNCTION("""COMPUTED_VALUE"""),"Lao động phổ thông")</f>
        <v>Lao động phổ thông</v>
      </c>
      <c r="R322" s="24">
        <f>IFERROR(__xludf.DUMMYFUNCTION("""COMPUTED_VALUE"""),44606.0)</f>
        <v>44606</v>
      </c>
      <c r="S322" s="24">
        <f>IFERROR(__xludf.DUMMYFUNCTION("""COMPUTED_VALUE"""),44695.0)</f>
        <v>44695</v>
      </c>
      <c r="T322" s="22" t="str">
        <f>IFERROR(__xludf.DUMMYFUNCTION("""COMPUTED_VALUE"""),"Chính thức")</f>
        <v>Chính thức</v>
      </c>
      <c r="U322" s="22"/>
      <c r="V322" s="22" t="str">
        <f>IFERROR(__xludf.DUMMYFUNCTION("""COMPUTED_VALUE"""),"Chính thức")</f>
        <v>Chính thức</v>
      </c>
      <c r="W322" s="22" t="str">
        <f>IFERROR(__xludf.DUMMYFUNCTION("""COMPUTED_VALUE"""),"3 năm 10 tháng")</f>
        <v>3 năm 10 tháng</v>
      </c>
      <c r="X322" s="22"/>
      <c r="Y322" s="22"/>
      <c r="Z322" s="22"/>
    </row>
    <row r="323">
      <c r="A323" s="22">
        <f>IFERROR(__xludf.DUMMYFUNCTION("""COMPUTED_VALUE"""),6.0)</f>
        <v>6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8">
        <f>IFERROR(__xludf.DUMMYFUNCTION("""COMPUTED_VALUE"""),45814.0)</f>
        <v>45814</v>
      </c>
      <c r="B324" s="22" t="str">
        <f>IFERROR(__xludf.DUMMYFUNCTION("""COMPUTED_VALUE"""),"Trạm than Ca B")</f>
        <v>Trạm than Ca B</v>
      </c>
      <c r="C324" s="22">
        <f>IFERROR(__xludf.DUMMYFUNCTION("""COMPUTED_VALUE"""),6.0)</f>
        <v>6</v>
      </c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>
        <f>IFERROR(__xludf.DUMMYFUNCTION("""COMPUTED_VALUE"""),1.0)</f>
        <v>1</v>
      </c>
      <c r="B325" s="22" t="str">
        <f>IFERROR(__xludf.DUMMYFUNCTION("""COMPUTED_VALUE"""),"DC6-PXSX2")</f>
        <v>DC6-PXSX2</v>
      </c>
      <c r="C325" s="22" t="str">
        <f>IFERROR(__xludf.DUMMYFUNCTION("""COMPUTED_VALUE"""),"Bộ phận Trạm than và Lò nung")</f>
        <v>Bộ phận Trạm than và Lò nung</v>
      </c>
      <c r="D325" s="22" t="str">
        <f>IFERROR(__xludf.DUMMYFUNCTION("""COMPUTED_VALUE"""),"Trạm than Ca B")</f>
        <v>Trạm than Ca B</v>
      </c>
      <c r="E325" s="22" t="str">
        <f>IFERROR(__xludf.DUMMYFUNCTION("""COMPUTED_VALUE"""),"Tổ phó")</f>
        <v>Tổ phó</v>
      </c>
      <c r="F325" s="22" t="str">
        <f>IFERROR(__xludf.DUMMYFUNCTION("""COMPUTED_VALUE"""),"NV0547")</f>
        <v>NV0547</v>
      </c>
      <c r="G325" s="22">
        <f>IFERROR(__xludf.DUMMYFUNCTION("""COMPUTED_VALUE"""),351.0)</f>
        <v>351</v>
      </c>
      <c r="H325" s="22" t="str">
        <f>IFERROR(__xludf.DUMMYFUNCTION("""COMPUTED_VALUE"""),"Lê Gia Đăng")</f>
        <v>Lê Gia Đăng</v>
      </c>
      <c r="I325" s="22" t="str">
        <f>IFERROR(__xludf.DUMMYFUNCTION("""COMPUTED_VALUE"""),"Nam")</f>
        <v>Nam</v>
      </c>
      <c r="J325" s="24">
        <f>IFERROR(__xludf.DUMMYFUNCTION("""COMPUTED_VALUE"""),28492.0)</f>
        <v>28492</v>
      </c>
      <c r="K325" s="22" t="str">
        <f>IFERROR(__xludf.DUMMYFUNCTION("""COMPUTED_VALUE"""),"Xã Quảng Cát -  Thành phố Thanh Hóa")</f>
        <v>Xã Quảng Cát -  Thành phố Thanh Hóa</v>
      </c>
      <c r="L325" s="22" t="str">
        <f>IFERROR(__xludf.DUMMYFUNCTION("""COMPUTED_VALUE"""),"0912105368")</f>
        <v>0912105368</v>
      </c>
      <c r="M325" s="22" t="str">
        <f>IFERROR(__xludf.DUMMYFUNCTION("""COMPUTED_VALUE"""),"038078001054")</f>
        <v>038078001054</v>
      </c>
      <c r="N325" s="26">
        <f>IFERROR(__xludf.DUMMYFUNCTION("""COMPUTED_VALUE"""),44534.0)</f>
        <v>44534</v>
      </c>
      <c r="O325" s="22" t="str">
        <f>IFERROR(__xludf.DUMMYFUNCTION("""COMPUTED_VALUE"""),"Cục Cảnh sát QLHC về TTXH")</f>
        <v>Cục Cảnh sát QLHC về TTXH</v>
      </c>
      <c r="P325" s="22" t="str">
        <f>IFERROR(__xludf.DUMMYFUNCTION("""COMPUTED_VALUE"""),"Trung cấp")</f>
        <v>Trung cấp</v>
      </c>
      <c r="Q325" s="22" t="str">
        <f>IFERROR(__xludf.DUMMYFUNCTION("""COMPUTED_VALUE"""),"Cấp nước đô thị")</f>
        <v>Cấp nước đô thị</v>
      </c>
      <c r="R325" s="24">
        <f>IFERROR(__xludf.DUMMYFUNCTION("""COMPUTED_VALUE"""),37212.0)</f>
        <v>37212</v>
      </c>
      <c r="S325" s="24">
        <f>IFERROR(__xludf.DUMMYFUNCTION("""COMPUTED_VALUE"""),37212.0)</f>
        <v>37212</v>
      </c>
      <c r="T325" s="22" t="str">
        <f>IFERROR(__xludf.DUMMYFUNCTION("""COMPUTED_VALUE"""),"Chính thức")</f>
        <v>Chính thức</v>
      </c>
      <c r="U325" s="22"/>
      <c r="V325" s="22" t="str">
        <f>IFERROR(__xludf.DUMMYFUNCTION("""COMPUTED_VALUE"""),"Chính thức")</f>
        <v>Chính thức</v>
      </c>
      <c r="W325" s="22" t="str">
        <f>IFERROR(__xludf.DUMMYFUNCTION("""COMPUTED_VALUE"""),"24 năm 1 tháng")</f>
        <v>24 năm 1 tháng</v>
      </c>
      <c r="X325" s="22"/>
      <c r="Y325" s="22"/>
      <c r="Z325" s="22"/>
    </row>
    <row r="326">
      <c r="A326" s="22">
        <f>IFERROR(__xludf.DUMMYFUNCTION("""COMPUTED_VALUE"""),2.0)</f>
        <v>2</v>
      </c>
      <c r="B326" s="22" t="str">
        <f>IFERROR(__xludf.DUMMYFUNCTION("""COMPUTED_VALUE"""),"DC6-PXSX2")</f>
        <v>DC6-PXSX2</v>
      </c>
      <c r="C326" s="22" t="str">
        <f>IFERROR(__xludf.DUMMYFUNCTION("""COMPUTED_VALUE"""),"Bộ phận Trạm than và Lò nung")</f>
        <v>Bộ phận Trạm than và Lò nung</v>
      </c>
      <c r="D326" s="22" t="str">
        <f>IFERROR(__xludf.DUMMYFUNCTION("""COMPUTED_VALUE"""),"Trạm than Ca B")</f>
        <v>Trạm than Ca B</v>
      </c>
      <c r="E326" s="22" t="str">
        <f>IFERROR(__xludf.DUMMYFUNCTION("""COMPUTED_VALUE"""),"Tổ phó")</f>
        <v>Tổ phó</v>
      </c>
      <c r="F326" s="22" t="str">
        <f>IFERROR(__xludf.DUMMYFUNCTION("""COMPUTED_VALUE"""),"NV0138")</f>
        <v>NV0138</v>
      </c>
      <c r="G326" s="22">
        <f>IFERROR(__xludf.DUMMYFUNCTION("""COMPUTED_VALUE"""),625.0)</f>
        <v>625</v>
      </c>
      <c r="H326" s="22" t="str">
        <f>IFERROR(__xludf.DUMMYFUNCTION("""COMPUTED_VALUE"""),"Đặng Minh Hải")</f>
        <v>Đặng Minh Hải</v>
      </c>
      <c r="I326" s="22" t="str">
        <f>IFERROR(__xludf.DUMMYFUNCTION("""COMPUTED_VALUE"""),"Nam")</f>
        <v>Nam</v>
      </c>
      <c r="J326" s="24">
        <f>IFERROR(__xludf.DUMMYFUNCTION("""COMPUTED_VALUE"""),29742.0)</f>
        <v>29742</v>
      </c>
      <c r="K326" s="22" t="str">
        <f>IFERROR(__xludf.DUMMYFUNCTION("""COMPUTED_VALUE"""),"Phố 1 -  Xã Quảng Hưng -  Thành phố Thanh Hóa -  Thanh Hóa")</f>
        <v>Phố 1 -  Xã Quảng Hưng -  Thành phố Thanh Hóa -  Thanh Hóa</v>
      </c>
      <c r="L326" s="22" t="str">
        <f>IFERROR(__xludf.DUMMYFUNCTION("""COMPUTED_VALUE"""),"0367376668")</f>
        <v>0367376668</v>
      </c>
      <c r="M326" s="22" t="str">
        <f>IFERROR(__xludf.DUMMYFUNCTION("""COMPUTED_VALUE"""),"038081000642")</f>
        <v>038081000642</v>
      </c>
      <c r="N326" s="26">
        <f>IFERROR(__xludf.DUMMYFUNCTION("""COMPUTED_VALUE"""),44320.0)</f>
        <v>44320</v>
      </c>
      <c r="O326" s="22" t="str">
        <f>IFERROR(__xludf.DUMMYFUNCTION("""COMPUTED_VALUE"""),"Cục Cảnh sát QLHC về TTXH")</f>
        <v>Cục Cảnh sát QLHC về TTXH</v>
      </c>
      <c r="P326" s="22" t="str">
        <f>IFERROR(__xludf.DUMMYFUNCTION("""COMPUTED_VALUE"""),"Trung cấp")</f>
        <v>Trung cấp</v>
      </c>
      <c r="Q326" s="22" t="str">
        <f>IFERROR(__xludf.DUMMYFUNCTION("""COMPUTED_VALUE"""),"Điện")</f>
        <v>Điện</v>
      </c>
      <c r="R326" s="24">
        <f>IFERROR(__xludf.DUMMYFUNCTION("""COMPUTED_VALUE"""),38341.0)</f>
        <v>38341</v>
      </c>
      <c r="S326" s="24">
        <f>IFERROR(__xludf.DUMMYFUNCTION("""COMPUTED_VALUE"""),38341.0)</f>
        <v>38341</v>
      </c>
      <c r="T326" s="22" t="str">
        <f>IFERROR(__xludf.DUMMYFUNCTION("""COMPUTED_VALUE"""),"Chính thức")</f>
        <v>Chính thức</v>
      </c>
      <c r="U326" s="22"/>
      <c r="V326" s="22" t="str">
        <f>IFERROR(__xludf.DUMMYFUNCTION("""COMPUTED_VALUE"""),"Chính thức")</f>
        <v>Chính thức</v>
      </c>
      <c r="W326" s="22" t="str">
        <f>IFERROR(__xludf.DUMMYFUNCTION("""COMPUTED_VALUE"""),"21 năm 0 tháng")</f>
        <v>21 năm 0 tháng</v>
      </c>
      <c r="X326" s="22"/>
      <c r="Y326" s="22"/>
      <c r="Z326" s="22"/>
    </row>
    <row r="327">
      <c r="A327" s="22">
        <f>IFERROR(__xludf.DUMMYFUNCTION("""COMPUTED_VALUE"""),3.0)</f>
        <v>3</v>
      </c>
      <c r="B327" s="22" t="str">
        <f>IFERROR(__xludf.DUMMYFUNCTION("""COMPUTED_VALUE"""),"DC6-PXSX2")</f>
        <v>DC6-PXSX2</v>
      </c>
      <c r="C327" s="22" t="str">
        <f>IFERROR(__xludf.DUMMYFUNCTION("""COMPUTED_VALUE"""),"Bộ phận Trạm than và Lò nung")</f>
        <v>Bộ phận Trạm than và Lò nung</v>
      </c>
      <c r="D327" s="22" t="str">
        <f>IFERROR(__xludf.DUMMYFUNCTION("""COMPUTED_VALUE"""),"Trạm than Ca B")</f>
        <v>Trạm than Ca B</v>
      </c>
      <c r="E327" s="22" t="str">
        <f>IFERROR(__xludf.DUMMYFUNCTION("""COMPUTED_VALUE"""),"VH lò mức 1")</f>
        <v>VH lò mức 1</v>
      </c>
      <c r="F327" s="22" t="str">
        <f>IFERROR(__xludf.DUMMYFUNCTION("""COMPUTED_VALUE"""),"NV0558")</f>
        <v>NV0558</v>
      </c>
      <c r="G327" s="22">
        <f>IFERROR(__xludf.DUMMYFUNCTION("""COMPUTED_VALUE"""),356.0)</f>
        <v>356</v>
      </c>
      <c r="H327" s="22" t="str">
        <f>IFERROR(__xludf.DUMMYFUNCTION("""COMPUTED_VALUE"""),"Cao Văn Hoàng")</f>
        <v>Cao Văn Hoàng</v>
      </c>
      <c r="I327" s="22" t="str">
        <f>IFERROR(__xludf.DUMMYFUNCTION("""COMPUTED_VALUE"""),"Nam")</f>
        <v>Nam</v>
      </c>
      <c r="J327" s="24">
        <f>IFERROR(__xludf.DUMMYFUNCTION("""COMPUTED_VALUE"""),32858.0)</f>
        <v>32858</v>
      </c>
      <c r="K327" s="22" t="str">
        <f>IFERROR(__xludf.DUMMYFUNCTION("""COMPUTED_VALUE"""),"Thôn Phong Mỹ - Xã Hoằng Phong - Hoằng Hóa - Thanh Hóa")</f>
        <v>Thôn Phong Mỹ - Xã Hoằng Phong - Hoằng Hóa - Thanh Hóa</v>
      </c>
      <c r="L327" s="22" t="str">
        <f>IFERROR(__xludf.DUMMYFUNCTION("""COMPUTED_VALUE"""),"0967362117")</f>
        <v>0967362117</v>
      </c>
      <c r="M327" s="22" t="str">
        <f>IFERROR(__xludf.DUMMYFUNCTION("""COMPUTED_VALUE"""),"038089026237")</f>
        <v>038089026237</v>
      </c>
      <c r="N327" s="26">
        <f>IFERROR(__xludf.DUMMYFUNCTION("""COMPUTED_VALUE"""),44419.0)</f>
        <v>44419</v>
      </c>
      <c r="O327" s="22" t="str">
        <f>IFERROR(__xludf.DUMMYFUNCTION("""COMPUTED_VALUE"""),"Cục Cảnh sát QLHC về TTXH")</f>
        <v>Cục Cảnh sát QLHC về TTXH</v>
      </c>
      <c r="P327" s="22" t="str">
        <f>IFERROR(__xludf.DUMMYFUNCTION("""COMPUTED_VALUE"""),"LĐPT")</f>
        <v>LĐPT</v>
      </c>
      <c r="Q327" s="22" t="str">
        <f>IFERROR(__xludf.DUMMYFUNCTION("""COMPUTED_VALUE"""),"Lao động phổ thông")</f>
        <v>Lao động phổ thông</v>
      </c>
      <c r="R327" s="24">
        <f>IFERROR(__xludf.DUMMYFUNCTION("""COMPUTED_VALUE"""),42068.0)</f>
        <v>42068</v>
      </c>
      <c r="S327" s="24">
        <f>IFERROR(__xludf.DUMMYFUNCTION("""COMPUTED_VALUE"""),42068.0)</f>
        <v>42068</v>
      </c>
      <c r="T327" s="22" t="str">
        <f>IFERROR(__xludf.DUMMYFUNCTION("""COMPUTED_VALUE"""),"Chính thức")</f>
        <v>Chính thức</v>
      </c>
      <c r="U327" s="22"/>
      <c r="V327" s="22" t="str">
        <f>IFERROR(__xludf.DUMMYFUNCTION("""COMPUTED_VALUE"""),"Chính thức")</f>
        <v>Chính thức</v>
      </c>
      <c r="W327" s="22" t="str">
        <f>IFERROR(__xludf.DUMMYFUNCTION("""COMPUTED_VALUE"""),"10 năm 9 tháng")</f>
        <v>10 năm 9 tháng</v>
      </c>
      <c r="X327" s="22"/>
      <c r="Y327" s="22"/>
      <c r="Z327" s="22"/>
    </row>
    <row r="328">
      <c r="A328" s="22">
        <f>IFERROR(__xludf.DUMMYFUNCTION("""COMPUTED_VALUE"""),4.0)</f>
        <v>4</v>
      </c>
      <c r="B328" s="22" t="str">
        <f>IFERROR(__xludf.DUMMYFUNCTION("""COMPUTED_VALUE"""),"DC6-PXSX2")</f>
        <v>DC6-PXSX2</v>
      </c>
      <c r="C328" s="22" t="str">
        <f>IFERROR(__xludf.DUMMYFUNCTION("""COMPUTED_VALUE"""),"Bộ phận Trạm than và Lò nung")</f>
        <v>Bộ phận Trạm than và Lò nung</v>
      </c>
      <c r="D328" s="22" t="str">
        <f>IFERROR(__xludf.DUMMYFUNCTION("""COMPUTED_VALUE"""),"Trạm than Ca B")</f>
        <v>Trạm than Ca B</v>
      </c>
      <c r="E328" s="22" t="str">
        <f>IFERROR(__xludf.DUMMYFUNCTION("""COMPUTED_VALUE"""),"VH Lò mức 2")</f>
        <v>VH Lò mức 2</v>
      </c>
      <c r="F328" s="22" t="str">
        <f>IFERROR(__xludf.DUMMYFUNCTION("""COMPUTED_VALUE"""),"NV0551")</f>
        <v>NV0551</v>
      </c>
      <c r="G328" s="22">
        <f>IFERROR(__xludf.DUMMYFUNCTION("""COMPUTED_VALUE"""),623.0)</f>
        <v>623</v>
      </c>
      <c r="H328" s="22" t="str">
        <f>IFERROR(__xludf.DUMMYFUNCTION("""COMPUTED_VALUE"""),"Nguyễn Xuân Cấp")</f>
        <v>Nguyễn Xuân Cấp</v>
      </c>
      <c r="I328" s="22" t="str">
        <f>IFERROR(__xludf.DUMMYFUNCTION("""COMPUTED_VALUE"""),"Nam")</f>
        <v>Nam</v>
      </c>
      <c r="J328" s="24">
        <f>IFERROR(__xludf.DUMMYFUNCTION("""COMPUTED_VALUE"""),28313.0)</f>
        <v>28313</v>
      </c>
      <c r="K328" s="22" t="str">
        <f>IFERROR(__xludf.DUMMYFUNCTION("""COMPUTED_VALUE"""),"Đội 7 - Xã Hoằng Trạch - Hoằng Hóa - Thanh Hóa")</f>
        <v>Đội 7 - Xã Hoằng Trạch - Hoằng Hóa - Thanh Hóa</v>
      </c>
      <c r="L328" s="22" t="str">
        <f>IFERROR(__xludf.DUMMYFUNCTION("""COMPUTED_VALUE"""),"0358439243")</f>
        <v>0358439243</v>
      </c>
      <c r="M328" s="22" t="str">
        <f>IFERROR(__xludf.DUMMYFUNCTION("""COMPUTED_VALUE"""),"038077031120")</f>
        <v>038077031120</v>
      </c>
      <c r="N328" s="26">
        <f>IFERROR(__xludf.DUMMYFUNCTION("""COMPUTED_VALUE"""),44419.0)</f>
        <v>44419</v>
      </c>
      <c r="O328" s="22" t="str">
        <f>IFERROR(__xludf.DUMMYFUNCTION("""COMPUTED_VALUE"""),"Cục Cảnh sát QLHC về TTXH")</f>
        <v>Cục Cảnh sát QLHC về TTXH</v>
      </c>
      <c r="P328" s="22" t="str">
        <f>IFERROR(__xludf.DUMMYFUNCTION("""COMPUTED_VALUE"""),"LĐPT")</f>
        <v>LĐPT</v>
      </c>
      <c r="Q328" s="22" t="str">
        <f>IFERROR(__xludf.DUMMYFUNCTION("""COMPUTED_VALUE"""),"Lao động phổ thông")</f>
        <v>Lao động phổ thông</v>
      </c>
      <c r="R328" s="24">
        <f>IFERROR(__xludf.DUMMYFUNCTION("""COMPUTED_VALUE"""),39114.0)</f>
        <v>39114</v>
      </c>
      <c r="S328" s="24">
        <f>IFERROR(__xludf.DUMMYFUNCTION("""COMPUTED_VALUE"""),39114.0)</f>
        <v>39114</v>
      </c>
      <c r="T328" s="22" t="str">
        <f>IFERROR(__xludf.DUMMYFUNCTION("""COMPUTED_VALUE"""),"Chính thức")</f>
        <v>Chính thức</v>
      </c>
      <c r="U328" s="22"/>
      <c r="V328" s="22" t="str">
        <f>IFERROR(__xludf.DUMMYFUNCTION("""COMPUTED_VALUE"""),"Chính thức")</f>
        <v>Chính thức</v>
      </c>
      <c r="W328" s="22" t="str">
        <f>IFERROR(__xludf.DUMMYFUNCTION("""COMPUTED_VALUE"""),"18 năm 10 tháng")</f>
        <v>18 năm 10 tháng</v>
      </c>
      <c r="X328" s="22"/>
      <c r="Y328" s="22"/>
      <c r="Z328" s="22"/>
    </row>
    <row r="329">
      <c r="A329" s="22">
        <f>IFERROR(__xludf.DUMMYFUNCTION("""COMPUTED_VALUE"""),5.0)</f>
        <v>5</v>
      </c>
      <c r="B329" s="22" t="str">
        <f>IFERROR(__xludf.DUMMYFUNCTION("""COMPUTED_VALUE"""),"DC6-PXSX2")</f>
        <v>DC6-PXSX2</v>
      </c>
      <c r="C329" s="22" t="str">
        <f>IFERROR(__xludf.DUMMYFUNCTION("""COMPUTED_VALUE"""),"Bộ phận Trạm than và Lò nung")</f>
        <v>Bộ phận Trạm than và Lò nung</v>
      </c>
      <c r="D329" s="22" t="str">
        <f>IFERROR(__xludf.DUMMYFUNCTION("""COMPUTED_VALUE"""),"Trạm than Ca B")</f>
        <v>Trạm than Ca B</v>
      </c>
      <c r="E329" s="22" t="str">
        <f>IFERROR(__xludf.DUMMYFUNCTION("""COMPUTED_VALUE"""),"VH lò mức 1")</f>
        <v>VH lò mức 1</v>
      </c>
      <c r="F329" s="22" t="str">
        <f>IFERROR(__xludf.DUMMYFUNCTION("""COMPUTED_VALUE"""),"NV1564")</f>
        <v>NV1564</v>
      </c>
      <c r="G329" s="22">
        <f>IFERROR(__xludf.DUMMYFUNCTION("""COMPUTED_VALUE"""),352.0)</f>
        <v>352</v>
      </c>
      <c r="H329" s="22" t="str">
        <f>IFERROR(__xludf.DUMMYFUNCTION("""COMPUTED_VALUE"""),"Hoàng Bùi Tuyên")</f>
        <v>Hoàng Bùi Tuyên</v>
      </c>
      <c r="I329" s="22" t="str">
        <f>IFERROR(__xludf.DUMMYFUNCTION("""COMPUTED_VALUE"""),"Nam")</f>
        <v>Nam</v>
      </c>
      <c r="J329" s="24">
        <f>IFERROR(__xludf.DUMMYFUNCTION("""COMPUTED_VALUE"""),29623.0)</f>
        <v>29623</v>
      </c>
      <c r="K329" s="22" t="str">
        <f>IFERROR(__xludf.DUMMYFUNCTION("""COMPUTED_VALUE"""),"Thôn Hồng 2 -  Xã Quảng Trạch -  Huyện Quảng Xương -  Thanh Hóa -  Việt Nam")</f>
        <v>Thôn Hồng 2 -  Xã Quảng Trạch -  Huyện Quảng Xương -  Thanh Hóa -  Việt Nam</v>
      </c>
      <c r="L329" s="22" t="str">
        <f>IFERROR(__xludf.DUMMYFUNCTION("""COMPUTED_VALUE"""),"0945139829")</f>
        <v>0945139829</v>
      </c>
      <c r="M329" s="22" t="str">
        <f>IFERROR(__xludf.DUMMYFUNCTION("""COMPUTED_VALUE"""),"038081023409")</f>
        <v>038081023409</v>
      </c>
      <c r="N329" s="26">
        <f>IFERROR(__xludf.DUMMYFUNCTION("""COMPUTED_VALUE"""),44420.0)</f>
        <v>44420</v>
      </c>
      <c r="O329" s="22" t="str">
        <f>IFERROR(__xludf.DUMMYFUNCTION("""COMPUTED_VALUE"""),"Cục Cảnh sát QLHC về TTXH")</f>
        <v>Cục Cảnh sát QLHC về TTXH</v>
      </c>
      <c r="P329" s="22" t="str">
        <f>IFERROR(__xludf.DUMMYFUNCTION("""COMPUTED_VALUE"""),"Bằng nghề")</f>
        <v>Bằng nghề</v>
      </c>
      <c r="Q329" s="22" t="str">
        <f>IFERROR(__xludf.DUMMYFUNCTION("""COMPUTED_VALUE"""),"Sửa chữa điện xí nghiệp")</f>
        <v>Sửa chữa điện xí nghiệp</v>
      </c>
      <c r="R329" s="24">
        <f>IFERROR(__xludf.DUMMYFUNCTION("""COMPUTED_VALUE"""),43306.0)</f>
        <v>43306</v>
      </c>
      <c r="S329" s="24">
        <f>IFERROR(__xludf.DUMMYFUNCTION("""COMPUTED_VALUE"""),43647.0)</f>
        <v>43647</v>
      </c>
      <c r="T329" s="22" t="str">
        <f>IFERROR(__xludf.DUMMYFUNCTION("""COMPUTED_VALUE"""),"Chính thức")</f>
        <v>Chính thức</v>
      </c>
      <c r="U329" s="22"/>
      <c r="V329" s="22" t="str">
        <f>IFERROR(__xludf.DUMMYFUNCTION("""COMPUTED_VALUE"""),"Chính thức")</f>
        <v>Chính thức</v>
      </c>
      <c r="W329" s="22" t="str">
        <f>IFERROR(__xludf.DUMMYFUNCTION("""COMPUTED_VALUE"""),"7 năm 5 tháng")</f>
        <v>7 năm 5 tháng</v>
      </c>
      <c r="X329" s="22"/>
      <c r="Y329" s="22"/>
      <c r="Z329" s="22"/>
    </row>
    <row r="330">
      <c r="A330" s="22">
        <f>IFERROR(__xludf.DUMMYFUNCTION("""COMPUTED_VALUE"""),6.0)</f>
        <v>6</v>
      </c>
      <c r="B330" s="22" t="str">
        <f>IFERROR(__xludf.DUMMYFUNCTION("""COMPUTED_VALUE"""),"DC6-PXSX2")</f>
        <v>DC6-PXSX2</v>
      </c>
      <c r="C330" s="22" t="str">
        <f>IFERROR(__xludf.DUMMYFUNCTION("""COMPUTED_VALUE"""),"Bộ phận Trạm than và Lò nung")</f>
        <v>Bộ phận Trạm than và Lò nung</v>
      </c>
      <c r="D330" s="22" t="str">
        <f>IFERROR(__xludf.DUMMYFUNCTION("""COMPUTED_VALUE"""),"Trạm than Ca B")</f>
        <v>Trạm than Ca B</v>
      </c>
      <c r="E330" s="22" t="str">
        <f>IFERROR(__xludf.DUMMYFUNCTION("""COMPUTED_VALUE"""),"VH Lò mức 2")</f>
        <v>VH Lò mức 2</v>
      </c>
      <c r="F330" s="22" t="str">
        <f>IFERROR(__xludf.DUMMYFUNCTION("""COMPUTED_VALUE"""),"NV5202")</f>
        <v>NV5202</v>
      </c>
      <c r="G330" s="22">
        <f>IFERROR(__xludf.DUMMYFUNCTION("""COMPUTED_VALUE"""),612.0)</f>
        <v>612</v>
      </c>
      <c r="H330" s="22" t="str">
        <f>IFERROR(__xludf.DUMMYFUNCTION("""COMPUTED_VALUE"""),"Vũ Văn Hanh")</f>
        <v>Vũ Văn Hanh</v>
      </c>
      <c r="I330" s="22" t="str">
        <f>IFERROR(__xludf.DUMMYFUNCTION("""COMPUTED_VALUE"""),"Nam")</f>
        <v>Nam</v>
      </c>
      <c r="J330" s="24">
        <f>IFERROR(__xludf.DUMMYFUNCTION("""COMPUTED_VALUE"""),26178.0)</f>
        <v>26178</v>
      </c>
      <c r="K330" s="22" t="str">
        <f>IFERROR(__xludf.DUMMYFUNCTION("""COMPUTED_VALUE"""),"Xã Quảng Trạch - Huyện Quảng Xương - Tỉnh Thanh Hóa")</f>
        <v>Xã Quảng Trạch - Huyện Quảng Xương - Tỉnh Thanh Hóa</v>
      </c>
      <c r="L330" s="22" t="str">
        <f>IFERROR(__xludf.DUMMYFUNCTION("""COMPUTED_VALUE"""),"0974860701")</f>
        <v>0974860701</v>
      </c>
      <c r="M330" s="22" t="str">
        <f>IFERROR(__xludf.DUMMYFUNCTION("""COMPUTED_VALUE"""),"038071026572")</f>
        <v>038071026572</v>
      </c>
      <c r="N330" s="26">
        <f>IFERROR(__xludf.DUMMYFUNCTION("""COMPUTED_VALUE"""),44375.0)</f>
        <v>44375</v>
      </c>
      <c r="O330" s="22" t="str">
        <f>IFERROR(__xludf.DUMMYFUNCTION("""COMPUTED_VALUE"""),"Cục Cảnh sát QLHC về TTXH")</f>
        <v>Cục Cảnh sát QLHC về TTXH</v>
      </c>
      <c r="P330" s="22" t="str">
        <f>IFERROR(__xludf.DUMMYFUNCTION("""COMPUTED_VALUE"""),"LĐPT")</f>
        <v>LĐPT</v>
      </c>
      <c r="Q330" s="22" t="str">
        <f>IFERROR(__xludf.DUMMYFUNCTION("""COMPUTED_VALUE"""),"Lao động phổ thông")</f>
        <v>Lao động phổ thông</v>
      </c>
      <c r="R330" s="24">
        <f>IFERROR(__xludf.DUMMYFUNCTION("""COMPUTED_VALUE"""),45804.0)</f>
        <v>45804</v>
      </c>
      <c r="S330" s="24">
        <f>IFERROR(__xludf.DUMMYFUNCTION("""COMPUTED_VALUE"""),45804.0)</f>
        <v>45804</v>
      </c>
      <c r="T330" s="22" t="str">
        <f>IFERROR(__xludf.DUMMYFUNCTION("""COMPUTED_VALUE"""),"Chính thức")</f>
        <v>Chính thức</v>
      </c>
      <c r="U330" s="22"/>
      <c r="V330" s="22" t="str">
        <f>IFERROR(__xludf.DUMMYFUNCTION("""COMPUTED_VALUE"""),"Chính thức")</f>
        <v>Chính thức</v>
      </c>
      <c r="W330" s="22" t="str">
        <f>IFERROR(__xludf.DUMMYFUNCTION("""COMPUTED_VALUE"""),"0 năm 7 tháng")</f>
        <v>0 năm 7 tháng</v>
      </c>
      <c r="X330" s="22"/>
      <c r="Y330" s="22"/>
      <c r="Z330" s="22"/>
    </row>
    <row r="331">
      <c r="A331" s="28">
        <f>IFERROR(__xludf.DUMMYFUNCTION("""COMPUTED_VALUE"""),45844.0)</f>
        <v>45844</v>
      </c>
      <c r="B331" s="22" t="str">
        <f>IFERROR(__xludf.DUMMYFUNCTION("""COMPUTED_VALUE"""),"Trạm than Ca C")</f>
        <v>Trạm than Ca C</v>
      </c>
      <c r="C331" s="22">
        <f>IFERROR(__xludf.DUMMYFUNCTION("""COMPUTED_VALUE"""),0.0)</f>
        <v>0</v>
      </c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>
        <f>IFERROR(__xludf.DUMMYFUNCTION("""COMPUTED_VALUE"""),1.0)</f>
        <v>1</v>
      </c>
      <c r="B332" s="22" t="str">
        <f>IFERROR(__xludf.DUMMYFUNCTION("""COMPUTED_VALUE"""),"#N/A")</f>
        <v>#N/A</v>
      </c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>
        <f>IFERROR(__xludf.DUMMYFUNCTION("""COMPUTED_VALUE"""),2.0)</f>
        <v>2</v>
      </c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>
        <f>IFERROR(__xludf.DUMMYFUNCTION("""COMPUTED_VALUE"""),3.0)</f>
        <v>3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>
        <f>IFERROR(__xludf.DUMMYFUNCTION("""COMPUTED_VALUE"""),4.0)</f>
        <v>4</v>
      </c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>
        <f>IFERROR(__xludf.DUMMYFUNCTION("""COMPUTED_VALUE"""),5.0)</f>
        <v>5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>
        <f>IFERROR(__xludf.DUMMYFUNCTION("""COMPUTED_VALUE"""),6.0)</f>
        <v>6</v>
      </c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 t="str">
        <f>IFERROR(__xludf.DUMMYFUNCTION("""COMPUTED_VALUE"""),"7.")</f>
        <v>7.</v>
      </c>
      <c r="B338" s="22" t="str">
        <f>IFERROR(__xludf.DUMMYFUNCTION("""COMPUTED_VALUE"""),"Phòng Kỹ thuật")</f>
        <v>Phòng Kỹ thuật</v>
      </c>
      <c r="C338" s="22">
        <f>IFERROR(__xludf.DUMMYFUNCTION("""COMPUTED_VALUE"""),35.0)</f>
        <v>35</v>
      </c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8">
        <f>IFERROR(__xludf.DUMMYFUNCTION("""COMPUTED_VALUE"""),45664.0)</f>
        <v>45664</v>
      </c>
      <c r="B339" s="22" t="str">
        <f>IFERROR(__xludf.DUMMYFUNCTION("""COMPUTED_VALUE"""),"Quản lý - Kỹ thuật")</f>
        <v>Quản lý - Kỹ thuật</v>
      </c>
      <c r="C339" s="22">
        <f>IFERROR(__xludf.DUMMYFUNCTION("""COMPUTED_VALUE"""),7.0)</f>
        <v>7</v>
      </c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>
        <f>IFERROR(__xludf.DUMMYFUNCTION("""COMPUTED_VALUE"""),1.0)</f>
        <v>1</v>
      </c>
      <c r="B340" s="22" t="str">
        <f>IFERROR(__xludf.DUMMYFUNCTION("""COMPUTED_VALUE"""),"PXSX2")</f>
        <v>PXSX2</v>
      </c>
      <c r="C340" s="22" t="str">
        <f>IFERROR(__xludf.DUMMYFUNCTION("""COMPUTED_VALUE"""),"Phòng Kỹ thuật")</f>
        <v>Phòng Kỹ thuật</v>
      </c>
      <c r="D340" s="22" t="str">
        <f>IFERROR(__xludf.DUMMYFUNCTION("""COMPUTED_VALUE"""),"Quản lý - Kỹ thuật")</f>
        <v>Quản lý - Kỹ thuật</v>
      </c>
      <c r="E340" s="22" t="str">
        <f>IFERROR(__xludf.DUMMYFUNCTION("""COMPUTED_VALUE"""),"Phó phòng Kỹ thuật")</f>
        <v>Phó phòng Kỹ thuật</v>
      </c>
      <c r="F340" s="22" t="str">
        <f>IFERROR(__xludf.DUMMYFUNCTION("""COMPUTED_VALUE"""),"NV0775")</f>
        <v>NV0775</v>
      </c>
      <c r="G340" s="22">
        <f>IFERROR(__xludf.DUMMYFUNCTION("""COMPUTED_VALUE"""),629.0)</f>
        <v>629</v>
      </c>
      <c r="H340" s="22" t="str">
        <f>IFERROR(__xludf.DUMMYFUNCTION("""COMPUTED_VALUE"""),"Nguyễn Văn Toàn")</f>
        <v>Nguyễn Văn Toàn</v>
      </c>
      <c r="I340" s="22" t="str">
        <f>IFERROR(__xludf.DUMMYFUNCTION("""COMPUTED_VALUE"""),"Nam")</f>
        <v>Nam</v>
      </c>
      <c r="J340" s="24">
        <f>IFERROR(__xludf.DUMMYFUNCTION("""COMPUTED_VALUE"""),30966.0)</f>
        <v>30966</v>
      </c>
      <c r="K340" s="22" t="str">
        <f>IFERROR(__xludf.DUMMYFUNCTION("""COMPUTED_VALUE"""),"Khu Phố Thống nhất 4 - Phường Nam Sầm Sơn - Tỉnh Thanh Hóa")</f>
        <v>Khu Phố Thống nhất 4 - Phường Nam Sầm Sơn - Tỉnh Thanh Hóa</v>
      </c>
      <c r="L340" s="22" t="str">
        <f>IFERROR(__xludf.DUMMYFUNCTION("""COMPUTED_VALUE"""),"0978268874")</f>
        <v>0978268874</v>
      </c>
      <c r="M340" s="22" t="str">
        <f>IFERROR(__xludf.DUMMYFUNCTION("""COMPUTED_VALUE"""),"038084029006")</f>
        <v>038084029006</v>
      </c>
      <c r="N340" s="26">
        <f>IFERROR(__xludf.DUMMYFUNCTION("""COMPUTED_VALUE"""),44320.0)</f>
        <v>44320</v>
      </c>
      <c r="O340" s="22" t="str">
        <f>IFERROR(__xludf.DUMMYFUNCTION("""COMPUTED_VALUE"""),"Cục Cảnh sát QLHC về TTXH")</f>
        <v>Cục Cảnh sát QLHC về TTXH</v>
      </c>
      <c r="P340" s="22" t="str">
        <f>IFERROR(__xludf.DUMMYFUNCTION("""COMPUTED_VALUE"""),"Đại học")</f>
        <v>Đại học</v>
      </c>
      <c r="Q340" s="22" t="str">
        <f>IFERROR(__xludf.DUMMYFUNCTION("""COMPUTED_VALUE"""),"Công nghệ kỹ thuật điện -  điện tử")</f>
        <v>Công nghệ kỹ thuật điện -  điện tử</v>
      </c>
      <c r="R340" s="24">
        <f>IFERROR(__xludf.DUMMYFUNCTION("""COMPUTED_VALUE"""),41713.0)</f>
        <v>41713</v>
      </c>
      <c r="S340" s="24">
        <f>IFERROR(__xludf.DUMMYFUNCTION("""COMPUTED_VALUE"""),41713.0)</f>
        <v>41713</v>
      </c>
      <c r="T340" s="22" t="str">
        <f>IFERROR(__xludf.DUMMYFUNCTION("""COMPUTED_VALUE"""),"Chính thức")</f>
        <v>Chính thức</v>
      </c>
      <c r="U340" s="22"/>
      <c r="V340" s="22" t="str">
        <f>IFERROR(__xludf.DUMMYFUNCTION("""COMPUTED_VALUE"""),"Chính thức")</f>
        <v>Chính thức</v>
      </c>
      <c r="W340" s="22" t="str">
        <f>IFERROR(__xludf.DUMMYFUNCTION("""COMPUTED_VALUE"""),"11 năm 9 tháng")</f>
        <v>11 năm 9 tháng</v>
      </c>
      <c r="X340" s="22"/>
      <c r="Y340" s="22"/>
      <c r="Z340" s="22"/>
    </row>
    <row r="341">
      <c r="A341" s="22">
        <f>IFERROR(__xludf.DUMMYFUNCTION("""COMPUTED_VALUE"""),2.0)</f>
        <v>2</v>
      </c>
      <c r="B341" s="22" t="str">
        <f>IFERROR(__xludf.DUMMYFUNCTION("""COMPUTED_VALUE"""),"PXSX2")</f>
        <v>PXSX2</v>
      </c>
      <c r="C341" s="22" t="str">
        <f>IFERROR(__xludf.DUMMYFUNCTION("""COMPUTED_VALUE"""),"Phòng Kỹ thuật")</f>
        <v>Phòng Kỹ thuật</v>
      </c>
      <c r="D341" s="22" t="str">
        <f>IFERROR(__xludf.DUMMYFUNCTION("""COMPUTED_VALUE"""),"Quản lý - Kỹ thuật")</f>
        <v>Quản lý - Kỹ thuật</v>
      </c>
      <c r="E341" s="22" t="str">
        <f>IFERROR(__xludf.DUMMYFUNCTION("""COMPUTED_VALUE"""),"Phó phòng Kỹ thuật")</f>
        <v>Phó phòng Kỹ thuật</v>
      </c>
      <c r="F341" s="22" t="str">
        <f>IFERROR(__xludf.DUMMYFUNCTION("""COMPUTED_VALUE"""),"NV0087")</f>
        <v>NV0087</v>
      </c>
      <c r="G341" s="22">
        <f>IFERROR(__xludf.DUMMYFUNCTION("""COMPUTED_VALUE"""),241.0)</f>
        <v>241</v>
      </c>
      <c r="H341" s="22" t="str">
        <f>IFERROR(__xludf.DUMMYFUNCTION("""COMPUTED_VALUE"""),"Lê Xuân Long")</f>
        <v>Lê Xuân Long</v>
      </c>
      <c r="I341" s="22" t="str">
        <f>IFERROR(__xludf.DUMMYFUNCTION("""COMPUTED_VALUE"""),"Nam")</f>
        <v>Nam</v>
      </c>
      <c r="J341" s="24">
        <f>IFERROR(__xludf.DUMMYFUNCTION("""COMPUTED_VALUE"""),31573.0)</f>
        <v>31573</v>
      </c>
      <c r="K341" s="22" t="str">
        <f>IFERROR(__xludf.DUMMYFUNCTION("""COMPUTED_VALUE"""),"Phường Nguyệt Viên - Tỉnh Thanh Hóa")</f>
        <v>Phường Nguyệt Viên - Tỉnh Thanh Hóa</v>
      </c>
      <c r="L341" s="22" t="str">
        <f>IFERROR(__xludf.DUMMYFUNCTION("""COMPUTED_VALUE"""),"0917537893")</f>
        <v>0917537893</v>
      </c>
      <c r="M341" s="22" t="str">
        <f>IFERROR(__xludf.DUMMYFUNCTION("""COMPUTED_VALUE"""),"038086013674")</f>
        <v>038086013674</v>
      </c>
      <c r="N341" s="26">
        <f>IFERROR(__xludf.DUMMYFUNCTION("""COMPUTED_VALUE"""),43410.0)</f>
        <v>43410</v>
      </c>
      <c r="O341" s="22" t="str">
        <f>IFERROR(__xludf.DUMMYFUNCTION("""COMPUTED_VALUE"""),"Cục Cảnh sát QLHC về TTXH")</f>
        <v>Cục Cảnh sát QLHC về TTXH</v>
      </c>
      <c r="P341" s="22" t="str">
        <f>IFERROR(__xludf.DUMMYFUNCTION("""COMPUTED_VALUE"""),"Đại học")</f>
        <v>Đại học</v>
      </c>
      <c r="Q341" s="22" t="str">
        <f>IFERROR(__xludf.DUMMYFUNCTION("""COMPUTED_VALUE"""),"Cơ khí chuyền dùng")</f>
        <v>Cơ khí chuyền dùng</v>
      </c>
      <c r="R341" s="24">
        <f>IFERROR(__xludf.DUMMYFUNCTION("""COMPUTED_VALUE"""),41713.0)</f>
        <v>41713</v>
      </c>
      <c r="S341" s="24">
        <f>IFERROR(__xludf.DUMMYFUNCTION("""COMPUTED_VALUE"""),41713.0)</f>
        <v>41713</v>
      </c>
      <c r="T341" s="22" t="str">
        <f>IFERROR(__xludf.DUMMYFUNCTION("""COMPUTED_VALUE"""),"Chính thức")</f>
        <v>Chính thức</v>
      </c>
      <c r="U341" s="22"/>
      <c r="V341" s="22" t="str">
        <f>IFERROR(__xludf.DUMMYFUNCTION("""COMPUTED_VALUE"""),"Chính thức")</f>
        <v>Chính thức</v>
      </c>
      <c r="W341" s="22" t="str">
        <f>IFERROR(__xludf.DUMMYFUNCTION("""COMPUTED_VALUE"""),"11 năm 9 tháng")</f>
        <v>11 năm 9 tháng</v>
      </c>
      <c r="X341" s="22"/>
      <c r="Y341" s="22"/>
      <c r="Z341" s="22"/>
    </row>
    <row r="342">
      <c r="A342" s="22">
        <f>IFERROR(__xludf.DUMMYFUNCTION("""COMPUTED_VALUE"""),3.0)</f>
        <v>3</v>
      </c>
      <c r="B342" s="22" t="str">
        <f>IFERROR(__xludf.DUMMYFUNCTION("""COMPUTED_VALUE"""),"PXSX2")</f>
        <v>PXSX2</v>
      </c>
      <c r="C342" s="22" t="str">
        <f>IFERROR(__xludf.DUMMYFUNCTION("""COMPUTED_VALUE"""),"Phòng Kỹ thuật")</f>
        <v>Phòng Kỹ thuật</v>
      </c>
      <c r="D342" s="22" t="str">
        <f>IFERROR(__xludf.DUMMYFUNCTION("""COMPUTED_VALUE"""),"Quản lý - Kỹ thuật")</f>
        <v>Quản lý - Kỹ thuật</v>
      </c>
      <c r="E342" s="22" t="str">
        <f>IFERROR(__xludf.DUMMYFUNCTION("""COMPUTED_VALUE"""),"CBKT")</f>
        <v>CBKT</v>
      </c>
      <c r="F342" s="22" t="str">
        <f>IFERROR(__xludf.DUMMYFUNCTION("""COMPUTED_VALUE"""),"NV0673")</f>
        <v>NV0673</v>
      </c>
      <c r="G342" s="22">
        <f>IFERROR(__xludf.DUMMYFUNCTION("""COMPUTED_VALUE"""),496.0)</f>
        <v>496</v>
      </c>
      <c r="H342" s="22" t="str">
        <f>IFERROR(__xludf.DUMMYFUNCTION("""COMPUTED_VALUE"""),"Nguyễn Văn Dũng")</f>
        <v>Nguyễn Văn Dũng</v>
      </c>
      <c r="I342" s="22" t="str">
        <f>IFERROR(__xludf.DUMMYFUNCTION("""COMPUTED_VALUE"""),"Nam")</f>
        <v>Nam</v>
      </c>
      <c r="J342" s="24">
        <f>IFERROR(__xludf.DUMMYFUNCTION("""COMPUTED_VALUE"""),32257.0)</f>
        <v>32257</v>
      </c>
      <c r="K342" s="22" t="str">
        <f>IFERROR(__xludf.DUMMYFUNCTION("""COMPUTED_VALUE"""),"Phường Quảng Phú - Tỉnh Thanh Hóa")</f>
        <v>Phường Quảng Phú - Tỉnh Thanh Hóa</v>
      </c>
      <c r="L342" s="22" t="str">
        <f>IFERROR(__xludf.DUMMYFUNCTION("""COMPUTED_VALUE"""),"0976582123")</f>
        <v>0976582123</v>
      </c>
      <c r="M342" s="22" t="str">
        <f>IFERROR(__xludf.DUMMYFUNCTION("""COMPUTED_VALUE"""),"038082038663")</f>
        <v>038082038663</v>
      </c>
      <c r="N342" s="26">
        <f>IFERROR(__xludf.DUMMYFUNCTION("""COMPUTED_VALUE"""),44419.0)</f>
        <v>44419</v>
      </c>
      <c r="O342" s="22" t="str">
        <f>IFERROR(__xludf.DUMMYFUNCTION("""COMPUTED_VALUE"""),"Cục Cảnh sát QLHC về TTXH")</f>
        <v>Cục Cảnh sát QLHC về TTXH</v>
      </c>
      <c r="P342" s="22" t="str">
        <f>IFERROR(__xludf.DUMMYFUNCTION("""COMPUTED_VALUE"""),"Kỹ sư")</f>
        <v>Kỹ sư</v>
      </c>
      <c r="Q342" s="22" t="str">
        <f>IFERROR(__xludf.DUMMYFUNCTION("""COMPUTED_VALUE"""),"Điện tử và tự động hóa")</f>
        <v>Điện tử và tự động hóa</v>
      </c>
      <c r="R342" s="24">
        <f>IFERROR(__xludf.DUMMYFUNCTION("""COMPUTED_VALUE"""),41774.0)</f>
        <v>41774</v>
      </c>
      <c r="S342" s="24">
        <f>IFERROR(__xludf.DUMMYFUNCTION("""COMPUTED_VALUE"""),41774.0)</f>
        <v>41774</v>
      </c>
      <c r="T342" s="22" t="str">
        <f>IFERROR(__xludf.DUMMYFUNCTION("""COMPUTED_VALUE"""),"Chính thức")</f>
        <v>Chính thức</v>
      </c>
      <c r="U342" s="22"/>
      <c r="V342" s="22" t="str">
        <f>IFERROR(__xludf.DUMMYFUNCTION("""COMPUTED_VALUE"""),"Chính thức")</f>
        <v>Chính thức</v>
      </c>
      <c r="W342" s="22" t="str">
        <f>IFERROR(__xludf.DUMMYFUNCTION("""COMPUTED_VALUE"""),"11 năm 7 tháng")</f>
        <v>11 năm 7 tháng</v>
      </c>
      <c r="X342" s="22"/>
      <c r="Y342" s="22"/>
      <c r="Z342" s="22"/>
    </row>
    <row r="343">
      <c r="A343" s="22">
        <f>IFERROR(__xludf.DUMMYFUNCTION("""COMPUTED_VALUE"""),4.0)</f>
        <v>4</v>
      </c>
      <c r="B343" s="22" t="str">
        <f>IFERROR(__xludf.DUMMYFUNCTION("""COMPUTED_VALUE"""),"PXSX2")</f>
        <v>PXSX2</v>
      </c>
      <c r="C343" s="22" t="str">
        <f>IFERROR(__xludf.DUMMYFUNCTION("""COMPUTED_VALUE"""),"Phòng Kỹ thuật")</f>
        <v>Phòng Kỹ thuật</v>
      </c>
      <c r="D343" s="22" t="str">
        <f>IFERROR(__xludf.DUMMYFUNCTION("""COMPUTED_VALUE"""),"Quản lý - Kỹ thuật")</f>
        <v>Quản lý - Kỹ thuật</v>
      </c>
      <c r="E343" s="22" t="str">
        <f>IFERROR(__xludf.DUMMYFUNCTION("""COMPUTED_VALUE"""),"CBKT")</f>
        <v>CBKT</v>
      </c>
      <c r="F343" s="22" t="str">
        <f>IFERROR(__xludf.DUMMYFUNCTION("""COMPUTED_VALUE"""),"NV1148")</f>
        <v>NV1148</v>
      </c>
      <c r="G343" s="22">
        <f>IFERROR(__xludf.DUMMYFUNCTION("""COMPUTED_VALUE"""),500.0)</f>
        <v>500</v>
      </c>
      <c r="H343" s="22" t="str">
        <f>IFERROR(__xludf.DUMMYFUNCTION("""COMPUTED_VALUE"""),"Phạm Văn Hưng")</f>
        <v>Phạm Văn Hưng</v>
      </c>
      <c r="I343" s="22" t="str">
        <f>IFERROR(__xludf.DUMMYFUNCTION("""COMPUTED_VALUE"""),"Nam")</f>
        <v>Nam</v>
      </c>
      <c r="J343" s="24">
        <f>IFERROR(__xludf.DUMMYFUNCTION("""COMPUTED_VALUE"""),35016.0)</f>
        <v>35016</v>
      </c>
      <c r="K343" s="22" t="str">
        <f>IFERROR(__xludf.DUMMYFUNCTION("""COMPUTED_VALUE"""),"Phố Lễ Môn - Phường Hạc Thành - Tỉnh Thanh Hóa")</f>
        <v>Phố Lễ Môn - Phường Hạc Thành - Tỉnh Thanh Hóa</v>
      </c>
      <c r="L343" s="22" t="str">
        <f>IFERROR(__xludf.DUMMYFUNCTION("""COMPUTED_VALUE"""),"0394702995")</f>
        <v>0394702995</v>
      </c>
      <c r="M343" s="22" t="str">
        <f>IFERROR(__xludf.DUMMYFUNCTION("""COMPUTED_VALUE"""),"038095017287")</f>
        <v>038095017287</v>
      </c>
      <c r="N343" s="26">
        <f>IFERROR(__xludf.DUMMYFUNCTION("""COMPUTED_VALUE"""),44316.0)</f>
        <v>44316</v>
      </c>
      <c r="O343" s="22" t="str">
        <f>IFERROR(__xludf.DUMMYFUNCTION("""COMPUTED_VALUE"""),"Cục Cảnh sát QLHC về TTXH")</f>
        <v>Cục Cảnh sát QLHC về TTXH</v>
      </c>
      <c r="P343" s="22" t="str">
        <f>IFERROR(__xludf.DUMMYFUNCTION("""COMPUTED_VALUE"""),"Trung cấp, nghề")</f>
        <v>Trung cấp, nghề</v>
      </c>
      <c r="Q343" s="22" t="str">
        <f>IFERROR(__xludf.DUMMYFUNCTION("""COMPUTED_VALUE"""),"Điện công nghiệp")</f>
        <v>Điện công nghiệp</v>
      </c>
      <c r="R343" s="24">
        <f>IFERROR(__xludf.DUMMYFUNCTION("""COMPUTED_VALUE"""),43017.0)</f>
        <v>43017</v>
      </c>
      <c r="S343" s="24">
        <f>IFERROR(__xludf.DUMMYFUNCTION("""COMPUTED_VALUE"""),43017.0)</f>
        <v>43017</v>
      </c>
      <c r="T343" s="22" t="str">
        <f>IFERROR(__xludf.DUMMYFUNCTION("""COMPUTED_VALUE"""),"Chính thức")</f>
        <v>Chính thức</v>
      </c>
      <c r="U343" s="22"/>
      <c r="V343" s="22" t="str">
        <f>IFERROR(__xludf.DUMMYFUNCTION("""COMPUTED_VALUE"""),"Chính thức")</f>
        <v>Chính thức</v>
      </c>
      <c r="W343" s="22" t="str">
        <f>IFERROR(__xludf.DUMMYFUNCTION("""COMPUTED_VALUE"""),"8 năm 2 tháng")</f>
        <v>8 năm 2 tháng</v>
      </c>
      <c r="X343" s="22"/>
      <c r="Y343" s="22"/>
      <c r="Z343" s="22"/>
    </row>
    <row r="344">
      <c r="A344" s="22">
        <f>IFERROR(__xludf.DUMMYFUNCTION("""COMPUTED_VALUE"""),5.0)</f>
        <v>5</v>
      </c>
      <c r="B344" s="22" t="str">
        <f>IFERROR(__xludf.DUMMYFUNCTION("""COMPUTED_VALUE"""),"PXSX2")</f>
        <v>PXSX2</v>
      </c>
      <c r="C344" s="22" t="str">
        <f>IFERROR(__xludf.DUMMYFUNCTION("""COMPUTED_VALUE"""),"Phòng Kỹ thuật")</f>
        <v>Phòng Kỹ thuật</v>
      </c>
      <c r="D344" s="22" t="str">
        <f>IFERROR(__xludf.DUMMYFUNCTION("""COMPUTED_VALUE"""),"Quản lý - Kỹ thuật")</f>
        <v>Quản lý - Kỹ thuật</v>
      </c>
      <c r="E344" s="22" t="str">
        <f>IFERROR(__xludf.DUMMYFUNCTION("""COMPUTED_VALUE"""),"CBKT")</f>
        <v>CBKT</v>
      </c>
      <c r="F344" s="22" t="str">
        <f>IFERROR(__xludf.DUMMYFUNCTION("""COMPUTED_VALUE"""),"NV0320")</f>
        <v>NV0320</v>
      </c>
      <c r="G344" s="22">
        <f>IFERROR(__xludf.DUMMYFUNCTION("""COMPUTED_VALUE"""),495.0)</f>
        <v>495</v>
      </c>
      <c r="H344" s="22" t="str">
        <f>IFERROR(__xludf.DUMMYFUNCTION("""COMPUTED_VALUE"""),"Lê Như An")</f>
        <v>Lê Như An</v>
      </c>
      <c r="I344" s="22" t="str">
        <f>IFERROR(__xludf.DUMMYFUNCTION("""COMPUTED_VALUE"""),"Nam")</f>
        <v>Nam</v>
      </c>
      <c r="J344" s="24">
        <f>IFERROR(__xludf.DUMMYFUNCTION("""COMPUTED_VALUE"""),31649.0)</f>
        <v>31649</v>
      </c>
      <c r="K344" s="22" t="str">
        <f>IFERROR(__xludf.DUMMYFUNCTION("""COMPUTED_VALUE"""),"Vĩnh Trị 3 - Phường Nguyệt Viên - Tỉnh Thanh Hóa")</f>
        <v>Vĩnh Trị 3 - Phường Nguyệt Viên - Tỉnh Thanh Hóa</v>
      </c>
      <c r="L344" s="22" t="str">
        <f>IFERROR(__xludf.DUMMYFUNCTION("""COMPUTED_VALUE"""),"0979214110")</f>
        <v>0979214110</v>
      </c>
      <c r="M344" s="22" t="str">
        <f>IFERROR(__xludf.DUMMYFUNCTION("""COMPUTED_VALUE"""),"038086021521")</f>
        <v>038086021521</v>
      </c>
      <c r="N344" s="26">
        <f>IFERROR(__xludf.DUMMYFUNCTION("""COMPUTED_VALUE"""),44435.0)</f>
        <v>44435</v>
      </c>
      <c r="O344" s="22" t="str">
        <f>IFERROR(__xludf.DUMMYFUNCTION("""COMPUTED_VALUE"""),"Cục Cảnh sát QLHC về TTXH")</f>
        <v>Cục Cảnh sát QLHC về TTXH</v>
      </c>
      <c r="P344" s="22" t="str">
        <f>IFERROR(__xludf.DUMMYFUNCTION("""COMPUTED_VALUE"""),"Đại học")</f>
        <v>Đại học</v>
      </c>
      <c r="Q344" s="22" t="str">
        <f>IFERROR(__xludf.DUMMYFUNCTION("""COMPUTED_VALUE"""),"Công nghệ kỹ thuật điện -  điện tử")</f>
        <v>Công nghệ kỹ thuật điện -  điện tử</v>
      </c>
      <c r="R344" s="24">
        <f>IFERROR(__xludf.DUMMYFUNCTION("""COMPUTED_VALUE"""),41960.0)</f>
        <v>41960</v>
      </c>
      <c r="S344" s="24">
        <f>IFERROR(__xludf.DUMMYFUNCTION("""COMPUTED_VALUE"""),41960.0)</f>
        <v>41960</v>
      </c>
      <c r="T344" s="22" t="str">
        <f>IFERROR(__xludf.DUMMYFUNCTION("""COMPUTED_VALUE"""),"Chính thức")</f>
        <v>Chính thức</v>
      </c>
      <c r="U344" s="22"/>
      <c r="V344" s="22" t="str">
        <f>IFERROR(__xludf.DUMMYFUNCTION("""COMPUTED_VALUE"""),"Chính thức")</f>
        <v>Chính thức</v>
      </c>
      <c r="W344" s="22" t="str">
        <f>IFERROR(__xludf.DUMMYFUNCTION("""COMPUTED_VALUE"""),"11 năm 1 tháng")</f>
        <v>11 năm 1 tháng</v>
      </c>
      <c r="X344" s="22"/>
      <c r="Y344" s="22"/>
      <c r="Z344" s="22"/>
    </row>
    <row r="345">
      <c r="A345" s="22">
        <f>IFERROR(__xludf.DUMMYFUNCTION("""COMPUTED_VALUE"""),6.0)</f>
        <v>6</v>
      </c>
      <c r="B345" s="22" t="str">
        <f>IFERROR(__xludf.DUMMYFUNCTION("""COMPUTED_VALUE"""),"PXSX2")</f>
        <v>PXSX2</v>
      </c>
      <c r="C345" s="22" t="str">
        <f>IFERROR(__xludf.DUMMYFUNCTION("""COMPUTED_VALUE"""),"Phòng Kỹ thuật")</f>
        <v>Phòng Kỹ thuật</v>
      </c>
      <c r="D345" s="22" t="str">
        <f>IFERROR(__xludf.DUMMYFUNCTION("""COMPUTED_VALUE"""),"Quản lý - Kỹ thuật")</f>
        <v>Quản lý - Kỹ thuật</v>
      </c>
      <c r="E345" s="22" t="str">
        <f>IFERROR(__xludf.DUMMYFUNCTION("""COMPUTED_VALUE"""),"CBKT")</f>
        <v>CBKT</v>
      </c>
      <c r="F345" s="22" t="str">
        <f>IFERROR(__xludf.DUMMYFUNCTION("""COMPUTED_VALUE"""),"NV5034")</f>
        <v>NV5034</v>
      </c>
      <c r="G345" s="22">
        <f>IFERROR(__xludf.DUMMYFUNCTION("""COMPUTED_VALUE"""),541.0)</f>
        <v>541</v>
      </c>
      <c r="H345" s="22" t="str">
        <f>IFERROR(__xludf.DUMMYFUNCTION("""COMPUTED_VALUE"""),"Lê Trọng Khánh")</f>
        <v>Lê Trọng Khánh</v>
      </c>
      <c r="I345" s="22" t="str">
        <f>IFERROR(__xludf.DUMMYFUNCTION("""COMPUTED_VALUE"""),"Nam")</f>
        <v>Nam</v>
      </c>
      <c r="J345" s="24">
        <f>IFERROR(__xludf.DUMMYFUNCTION("""COMPUTED_VALUE"""),36818.0)</f>
        <v>36818</v>
      </c>
      <c r="K345" s="22" t="str">
        <f>IFERROR(__xludf.DUMMYFUNCTION("""COMPUTED_VALUE"""),"Xã Quảng Bình - Tỉnh Thanh Hóa")</f>
        <v>Xã Quảng Bình - Tỉnh Thanh Hóa</v>
      </c>
      <c r="L345" s="22" t="str">
        <f>IFERROR(__xludf.DUMMYFUNCTION("""COMPUTED_VALUE"""),"0338638615")</f>
        <v>0338638615</v>
      </c>
      <c r="M345" s="22" t="str">
        <f>IFERROR(__xludf.DUMMYFUNCTION("""COMPUTED_VALUE"""),"038200009867")</f>
        <v>038200009867</v>
      </c>
      <c r="N345" s="26">
        <f>IFERROR(__xludf.DUMMYFUNCTION("""COMPUTED_VALUE"""),44833.0)</f>
        <v>44833</v>
      </c>
      <c r="O345" s="22" t="str">
        <f>IFERROR(__xludf.DUMMYFUNCTION("""COMPUTED_VALUE"""),"Cục Cảnh sát QLHC về TTXH")</f>
        <v>Cục Cảnh sát QLHC về TTXH</v>
      </c>
      <c r="P345" s="22" t="str">
        <f>IFERROR(__xludf.DUMMYFUNCTION("""COMPUTED_VALUE"""),"Cao đẳng")</f>
        <v>Cao đẳng</v>
      </c>
      <c r="Q345" s="22" t="str">
        <f>IFERROR(__xludf.DUMMYFUNCTION("""COMPUTED_VALUE"""),"Công nghệ kỹ thuật cơ khí")</f>
        <v>Công nghệ kỹ thuật cơ khí</v>
      </c>
      <c r="R345" s="24">
        <f>IFERROR(__xludf.DUMMYFUNCTION("""COMPUTED_VALUE"""),45356.0)</f>
        <v>45356</v>
      </c>
      <c r="S345" s="24">
        <f>IFERROR(__xludf.DUMMYFUNCTION("""COMPUTED_VALUE"""),45444.0)</f>
        <v>45444</v>
      </c>
      <c r="T345" s="22" t="str">
        <f>IFERROR(__xludf.DUMMYFUNCTION("""COMPUTED_VALUE"""),"Chính thức")</f>
        <v>Chính thức</v>
      </c>
      <c r="U345" s="22"/>
      <c r="V345" s="22" t="str">
        <f>IFERROR(__xludf.DUMMYFUNCTION("""COMPUTED_VALUE"""),"Chính thức")</f>
        <v>Chính thức</v>
      </c>
      <c r="W345" s="22" t="str">
        <f>IFERROR(__xludf.DUMMYFUNCTION("""COMPUTED_VALUE"""),"1 năm 9 tháng")</f>
        <v>1 năm 9 tháng</v>
      </c>
      <c r="X345" s="22"/>
      <c r="Y345" s="22"/>
      <c r="Z345" s="22"/>
    </row>
    <row r="346">
      <c r="A346" s="22">
        <f>IFERROR(__xludf.DUMMYFUNCTION("""COMPUTED_VALUE"""),7.0)</f>
        <v>7</v>
      </c>
      <c r="B346" s="22" t="str">
        <f>IFERROR(__xludf.DUMMYFUNCTION("""COMPUTED_VALUE"""),"PXSX2")</f>
        <v>PXSX2</v>
      </c>
      <c r="C346" s="22" t="str">
        <f>IFERROR(__xludf.DUMMYFUNCTION("""COMPUTED_VALUE"""),"Phòng Kỹ thuật")</f>
        <v>Phòng Kỹ thuật</v>
      </c>
      <c r="D346" s="22" t="str">
        <f>IFERROR(__xludf.DUMMYFUNCTION("""COMPUTED_VALUE"""),"Quản lý - Kỹ thuật")</f>
        <v>Quản lý - Kỹ thuật</v>
      </c>
      <c r="E346" s="22" t="str">
        <f>IFERROR(__xludf.DUMMYFUNCTION("""COMPUTED_VALUE"""),"Phó phòng Kỹ thuật")</f>
        <v>Phó phòng Kỹ thuật</v>
      </c>
      <c r="F346" s="22" t="str">
        <f>IFERROR(__xludf.DUMMYFUNCTION("""COMPUTED_VALUE"""),"NV5433")</f>
        <v>NV5433</v>
      </c>
      <c r="G346" s="22">
        <f>IFERROR(__xludf.DUMMYFUNCTION("""COMPUTED_VALUE"""),890.0)</f>
        <v>890</v>
      </c>
      <c r="H346" s="22" t="str">
        <f>IFERROR(__xludf.DUMMYFUNCTION("""COMPUTED_VALUE"""),"Nguyễn Văn Tuấn")</f>
        <v>Nguyễn Văn Tuấn</v>
      </c>
      <c r="I346" s="22" t="str">
        <f>IFERROR(__xludf.DUMMYFUNCTION("""COMPUTED_VALUE"""),"Nam")</f>
        <v>Nam</v>
      </c>
      <c r="J346" s="24">
        <f>IFERROR(__xludf.DUMMYFUNCTION("""COMPUTED_VALUE"""),33696.0)</f>
        <v>33696</v>
      </c>
      <c r="K346" s="22" t="str">
        <f>IFERROR(__xludf.DUMMYFUNCTION("""COMPUTED_VALUE"""),"Xã Đồng Tiến - Tỉnh Thanh Hóa")</f>
        <v>Xã Đồng Tiến - Tỉnh Thanh Hóa</v>
      </c>
      <c r="L346" s="22" t="str">
        <f>IFERROR(__xludf.DUMMYFUNCTION("""COMPUTED_VALUE"""),"0914519789")</f>
        <v>0914519789</v>
      </c>
      <c r="M346" s="22" t="str">
        <f>IFERROR(__xludf.DUMMYFUNCTION("""COMPUTED_VALUE"""),"038092016596")</f>
        <v>038092016596</v>
      </c>
      <c r="N346" s="26">
        <f>IFERROR(__xludf.DUMMYFUNCTION("""COMPUTED_VALUE"""),44902.0)</f>
        <v>44902</v>
      </c>
      <c r="O346" s="22" t="str">
        <f>IFERROR(__xludf.DUMMYFUNCTION("""COMPUTED_VALUE"""),"Cục Cảnh sát QLHC về TTXH")</f>
        <v>Cục Cảnh sát QLHC về TTXH</v>
      </c>
      <c r="P346" s="22" t="str">
        <f>IFERROR(__xludf.DUMMYFUNCTION("""COMPUTED_VALUE"""),"Đại học")</f>
        <v>Đại học</v>
      </c>
      <c r="Q346" s="22" t="str">
        <f>IFERROR(__xludf.DUMMYFUNCTION("""COMPUTED_VALUE"""),"Kỹ sư Cơ khí chế tạo máy")</f>
        <v>Kỹ sư Cơ khí chế tạo máy</v>
      </c>
      <c r="R346" s="24">
        <f>IFERROR(__xludf.DUMMYFUNCTION("""COMPUTED_VALUE"""),45730.0)</f>
        <v>45730</v>
      </c>
      <c r="S346" s="24">
        <f>IFERROR(__xludf.DUMMYFUNCTION("""COMPUTED_VALUE"""),45863.0)</f>
        <v>45863</v>
      </c>
      <c r="T346" s="22" t="str">
        <f>IFERROR(__xludf.DUMMYFUNCTION("""COMPUTED_VALUE"""),"Chính thức")</f>
        <v>Chính thức</v>
      </c>
      <c r="U346" s="22"/>
      <c r="V346" s="22" t="str">
        <f>IFERROR(__xludf.DUMMYFUNCTION("""COMPUTED_VALUE"""),"Chính thức")</f>
        <v>Chính thức</v>
      </c>
      <c r="W346" s="22" t="str">
        <f>IFERROR(__xludf.DUMMYFUNCTION("""COMPUTED_VALUE"""),"0 năm 9 tháng")</f>
        <v>0 năm 9 tháng</v>
      </c>
      <c r="X346" s="22"/>
      <c r="Y346" s="22"/>
      <c r="Z346" s="22"/>
    </row>
    <row r="347">
      <c r="A347" s="22">
        <f>IFERROR(__xludf.DUMMYFUNCTION("""COMPUTED_VALUE"""),8.0)</f>
        <v>8</v>
      </c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>
        <f>IFERROR(__xludf.DUMMYFUNCTION("""COMPUTED_VALUE"""),9.0)</f>
        <v>9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8">
        <f>IFERROR(__xludf.DUMMYFUNCTION("""COMPUTED_VALUE"""),45695.0)</f>
        <v>45695</v>
      </c>
      <c r="B349" s="22" t="str">
        <f>IFERROR(__xludf.DUMMYFUNCTION("""COMPUTED_VALUE"""),"Bảo dưỡng Dây chuyền mài PXSX2")</f>
        <v>Bảo dưỡng Dây chuyền mài PXSX2</v>
      </c>
      <c r="C349" s="22">
        <f>IFERROR(__xludf.DUMMYFUNCTION("""COMPUTED_VALUE"""),6.0)</f>
        <v>6</v>
      </c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>
        <f>IFERROR(__xludf.DUMMYFUNCTION("""COMPUTED_VALUE"""),1.0)</f>
        <v>1</v>
      </c>
      <c r="B350" s="22" t="str">
        <f>IFERROR(__xludf.DUMMYFUNCTION("""COMPUTED_VALUE"""),"PXSX2")</f>
        <v>PXSX2</v>
      </c>
      <c r="C350" s="22" t="str">
        <f>IFERROR(__xludf.DUMMYFUNCTION("""COMPUTED_VALUE"""),"Phòng Kỹ thuật")</f>
        <v>Phòng Kỹ thuật</v>
      </c>
      <c r="D350" s="22" t="str">
        <f>IFERROR(__xludf.DUMMYFUNCTION("""COMPUTED_VALUE"""),"Bảo dưỡng Dây chuyền mài PXSX2")</f>
        <v>Bảo dưỡng Dây chuyền mài PXSX2</v>
      </c>
      <c r="E350" s="22" t="str">
        <f>IFERROR(__xludf.DUMMYFUNCTION("""COMPUTED_VALUE"""),"Tổ Phó bảo dưỡng mài")</f>
        <v>Tổ Phó bảo dưỡng mài</v>
      </c>
      <c r="F350" s="22" t="str">
        <f>IFERROR(__xludf.DUMMYFUNCTION("""COMPUTED_VALUE"""),"NV0458")</f>
        <v>NV0458</v>
      </c>
      <c r="G350" s="22">
        <f>IFERROR(__xludf.DUMMYFUNCTION("""COMPUTED_VALUE"""),583.0)</f>
        <v>583</v>
      </c>
      <c r="H350" s="22" t="str">
        <f>IFERROR(__xludf.DUMMYFUNCTION("""COMPUTED_VALUE"""),"Nguyễn Trung Phương")</f>
        <v>Nguyễn Trung Phương</v>
      </c>
      <c r="I350" s="22" t="str">
        <f>IFERROR(__xludf.DUMMYFUNCTION("""COMPUTED_VALUE"""),"Nam")</f>
        <v>Nam</v>
      </c>
      <c r="J350" s="24">
        <f>IFERROR(__xludf.DUMMYFUNCTION("""COMPUTED_VALUE"""),30004.0)</f>
        <v>30004</v>
      </c>
      <c r="K350" s="22" t="str">
        <f>IFERROR(__xludf.DUMMYFUNCTION("""COMPUTED_VALUE"""),"Tân Khánh - Xã Hoằng Giang - Tỉnh Thanh Hóa")</f>
        <v>Tân Khánh - Xã Hoằng Giang - Tỉnh Thanh Hóa</v>
      </c>
      <c r="L350" s="22" t="str">
        <f>IFERROR(__xludf.DUMMYFUNCTION("""COMPUTED_VALUE"""),"0377876197")</f>
        <v>0377876197</v>
      </c>
      <c r="M350" s="22" t="str">
        <f>IFERROR(__xludf.DUMMYFUNCTION("""COMPUTED_VALUE"""),"038082012127")</f>
        <v>038082012127</v>
      </c>
      <c r="N350" s="26">
        <f>IFERROR(__xludf.DUMMYFUNCTION("""COMPUTED_VALUE"""),44428.0)</f>
        <v>44428</v>
      </c>
      <c r="O350" s="22" t="str">
        <f>IFERROR(__xludf.DUMMYFUNCTION("""COMPUTED_VALUE"""),"Cục Cảnh sát QLHC về TTXH")</f>
        <v>Cục Cảnh sát QLHC về TTXH</v>
      </c>
      <c r="P350" s="22" t="str">
        <f>IFERROR(__xludf.DUMMYFUNCTION("""COMPUTED_VALUE"""),"Trung cấp")</f>
        <v>Trung cấp</v>
      </c>
      <c r="Q350" s="22" t="str">
        <f>IFERROR(__xludf.DUMMYFUNCTION("""COMPUTED_VALUE"""),"Thợ điện")</f>
        <v>Thợ điện</v>
      </c>
      <c r="R350" s="24">
        <f>IFERROR(__xludf.DUMMYFUNCTION("""COMPUTED_VALUE"""),39107.0)</f>
        <v>39107</v>
      </c>
      <c r="S350" s="22"/>
      <c r="T350" s="22" t="str">
        <f>IFERROR(__xludf.DUMMYFUNCTION("""COMPUTED_VALUE"""),"Chính thức")</f>
        <v>Chính thức</v>
      </c>
      <c r="U350" s="22"/>
      <c r="V350" s="22" t="str">
        <f>IFERROR(__xludf.DUMMYFUNCTION("""COMPUTED_VALUE"""),"Chính thức")</f>
        <v>Chính thức</v>
      </c>
      <c r="W350" s="22" t="str">
        <f>IFERROR(__xludf.DUMMYFUNCTION("""COMPUTED_VALUE"""),"18 năm 11 tháng")</f>
        <v>18 năm 11 tháng</v>
      </c>
      <c r="X350" s="22"/>
      <c r="Y350" s="22"/>
      <c r="Z350" s="22"/>
    </row>
    <row r="351">
      <c r="A351" s="22">
        <f>IFERROR(__xludf.DUMMYFUNCTION("""COMPUTED_VALUE"""),2.0)</f>
        <v>2</v>
      </c>
      <c r="B351" s="22" t="str">
        <f>IFERROR(__xludf.DUMMYFUNCTION("""COMPUTED_VALUE"""),"PXSX2")</f>
        <v>PXSX2</v>
      </c>
      <c r="C351" s="22" t="str">
        <f>IFERROR(__xludf.DUMMYFUNCTION("""COMPUTED_VALUE"""),"Phòng Kỹ thuật")</f>
        <v>Phòng Kỹ thuật</v>
      </c>
      <c r="D351" s="22" t="str">
        <f>IFERROR(__xludf.DUMMYFUNCTION("""COMPUTED_VALUE"""),"Bảo dưỡng Dây chuyền mài PXSX2")</f>
        <v>Bảo dưỡng Dây chuyền mài PXSX2</v>
      </c>
      <c r="E351" s="22" t="str">
        <f>IFERROR(__xludf.DUMMYFUNCTION("""COMPUTED_VALUE"""),"Bảo dưỡng mài cạnh mức 1")</f>
        <v>Bảo dưỡng mài cạnh mức 1</v>
      </c>
      <c r="F351" s="22" t="str">
        <f>IFERROR(__xludf.DUMMYFUNCTION("""COMPUTED_VALUE"""),"NV4190")</f>
        <v>NV4190</v>
      </c>
      <c r="G351" s="22">
        <f>IFERROR(__xludf.DUMMYFUNCTION("""COMPUTED_VALUE"""),594.0)</f>
        <v>594</v>
      </c>
      <c r="H351" s="22" t="str">
        <f>IFERROR(__xludf.DUMMYFUNCTION("""COMPUTED_VALUE"""),"Trần Minh Thế")</f>
        <v>Trần Minh Thế</v>
      </c>
      <c r="I351" s="22" t="str">
        <f>IFERROR(__xludf.DUMMYFUNCTION("""COMPUTED_VALUE"""),"Nam")</f>
        <v>Nam</v>
      </c>
      <c r="J351" s="24">
        <f>IFERROR(__xludf.DUMMYFUNCTION("""COMPUTED_VALUE"""),28479.0)</f>
        <v>28479</v>
      </c>
      <c r="K351" s="22" t="str">
        <f>IFERROR(__xludf.DUMMYFUNCTION("""COMPUTED_VALUE"""),"Xã Nông Cống - Tỉnh Thanh Hóa")</f>
        <v>Xã Nông Cống - Tỉnh Thanh Hóa</v>
      </c>
      <c r="L351" s="22" t="str">
        <f>IFERROR(__xludf.DUMMYFUNCTION("""COMPUTED_VALUE"""),"0865788586")</f>
        <v>0865788586</v>
      </c>
      <c r="M351" s="22" t="str">
        <f>IFERROR(__xludf.DUMMYFUNCTION("""COMPUTED_VALUE"""),"038077008630")</f>
        <v>038077008630</v>
      </c>
      <c r="N351" s="26">
        <f>IFERROR(__xludf.DUMMYFUNCTION("""COMPUTED_VALUE"""),44440.0)</f>
        <v>44440</v>
      </c>
      <c r="O351" s="22" t="str">
        <f>IFERROR(__xludf.DUMMYFUNCTION("""COMPUTED_VALUE"""),"Cục Cảnh sát QLHC về TTXH")</f>
        <v>Cục Cảnh sát QLHC về TTXH</v>
      </c>
      <c r="P351" s="22" t="str">
        <f>IFERROR(__xludf.DUMMYFUNCTION("""COMPUTED_VALUE"""),"Bằng nghề")</f>
        <v>Bằng nghề</v>
      </c>
      <c r="Q351" s="22" t="str">
        <f>IFERROR(__xludf.DUMMYFUNCTION("""COMPUTED_VALUE"""),"Vận hành điện nước")</f>
        <v>Vận hành điện nước</v>
      </c>
      <c r="R351" s="24">
        <f>IFERROR(__xludf.DUMMYFUNCTION("""COMPUTED_VALUE"""),45414.0)</f>
        <v>45414</v>
      </c>
      <c r="S351" s="24">
        <f>IFERROR(__xludf.DUMMYFUNCTION("""COMPUTED_VALUE"""),45505.0)</f>
        <v>45505</v>
      </c>
      <c r="T351" s="22" t="str">
        <f>IFERROR(__xludf.DUMMYFUNCTION("""COMPUTED_VALUE"""),"Chính thức")</f>
        <v>Chính thức</v>
      </c>
      <c r="U351" s="22"/>
      <c r="V351" s="22" t="str">
        <f>IFERROR(__xludf.DUMMYFUNCTION("""COMPUTED_VALUE"""),"Chính thức")</f>
        <v>Chính thức</v>
      </c>
      <c r="W351" s="22" t="str">
        <f>IFERROR(__xludf.DUMMYFUNCTION("""COMPUTED_VALUE"""),"1 năm 7 tháng")</f>
        <v>1 năm 7 tháng</v>
      </c>
      <c r="X351" s="22"/>
      <c r="Y351" s="22"/>
      <c r="Z351" s="22"/>
    </row>
    <row r="352">
      <c r="A352" s="22">
        <f>IFERROR(__xludf.DUMMYFUNCTION("""COMPUTED_VALUE"""),3.0)</f>
        <v>3</v>
      </c>
      <c r="B352" s="22" t="str">
        <f>IFERROR(__xludf.DUMMYFUNCTION("""COMPUTED_VALUE"""),"PXSX2")</f>
        <v>PXSX2</v>
      </c>
      <c r="C352" s="22" t="str">
        <f>IFERROR(__xludf.DUMMYFUNCTION("""COMPUTED_VALUE"""),"Phòng Kỹ thuật")</f>
        <v>Phòng Kỹ thuật</v>
      </c>
      <c r="D352" s="22" t="str">
        <f>IFERROR(__xludf.DUMMYFUNCTION("""COMPUTED_VALUE"""),"Bảo dưỡng Dây chuyền mài PXSX2")</f>
        <v>Bảo dưỡng Dây chuyền mài PXSX2</v>
      </c>
      <c r="E352" s="22" t="str">
        <f>IFERROR(__xludf.DUMMYFUNCTION("""COMPUTED_VALUE"""),"Bảo dưỡng mài cạnh")</f>
        <v>Bảo dưỡng mài cạnh</v>
      </c>
      <c r="F352" s="22" t="str">
        <f>IFERROR(__xludf.DUMMYFUNCTION("""COMPUTED_VALUE"""),"NV5131")</f>
        <v>NV5131</v>
      </c>
      <c r="G352" s="22">
        <f>IFERROR(__xludf.DUMMYFUNCTION("""COMPUTED_VALUE"""),580.0)</f>
        <v>580</v>
      </c>
      <c r="H352" s="22" t="str">
        <f>IFERROR(__xludf.DUMMYFUNCTION("""COMPUTED_VALUE"""),"Nguyễn Trọng Duân")</f>
        <v>Nguyễn Trọng Duân</v>
      </c>
      <c r="I352" s="22" t="str">
        <f>IFERROR(__xludf.DUMMYFUNCTION("""COMPUTED_VALUE"""),"Nam")</f>
        <v>Nam</v>
      </c>
      <c r="J352" s="24">
        <f>IFERROR(__xludf.DUMMYFUNCTION("""COMPUTED_VALUE"""),33284.0)</f>
        <v>33284</v>
      </c>
      <c r="K352" s="22" t="str">
        <f>IFERROR(__xludf.DUMMYFUNCTION("""COMPUTED_VALUE"""),"Phường Quảng Phú - Tỉnh Thanh Hóa")</f>
        <v>Phường Quảng Phú - Tỉnh Thanh Hóa</v>
      </c>
      <c r="L352" s="22" t="str">
        <f>IFERROR(__xludf.DUMMYFUNCTION("""COMPUTED_VALUE"""),"0366761948")</f>
        <v>0366761948</v>
      </c>
      <c r="M352" s="22" t="str">
        <f>IFERROR(__xludf.DUMMYFUNCTION("""COMPUTED_VALUE"""),"038091007488")</f>
        <v>038091007488</v>
      </c>
      <c r="N352" s="26">
        <f>IFERROR(__xludf.DUMMYFUNCTION("""COMPUTED_VALUE"""),44608.0)</f>
        <v>44608</v>
      </c>
      <c r="O352" s="22" t="str">
        <f>IFERROR(__xludf.DUMMYFUNCTION("""COMPUTED_VALUE"""),"Cục Cảnh sát QLHC về TTXH")</f>
        <v>Cục Cảnh sát QLHC về TTXH</v>
      </c>
      <c r="P352" s="22" t="str">
        <f>IFERROR(__xludf.DUMMYFUNCTION("""COMPUTED_VALUE"""),"Cao đẳng")</f>
        <v>Cao đẳng</v>
      </c>
      <c r="Q352" s="22" t="str">
        <f>IFERROR(__xludf.DUMMYFUNCTION("""COMPUTED_VALUE"""),"Công nghệ cơ khí ")</f>
        <v>Công nghệ cơ khí </v>
      </c>
      <c r="R352" s="24">
        <f>IFERROR(__xludf.DUMMYFUNCTION("""COMPUTED_VALUE"""),45393.0)</f>
        <v>45393</v>
      </c>
      <c r="S352" s="24">
        <f>IFERROR(__xludf.DUMMYFUNCTION("""COMPUTED_VALUE"""),45474.0)</f>
        <v>45474</v>
      </c>
      <c r="T352" s="22" t="str">
        <f>IFERROR(__xludf.DUMMYFUNCTION("""COMPUTED_VALUE"""),"Chính thức")</f>
        <v>Chính thức</v>
      </c>
      <c r="U352" s="22"/>
      <c r="V352" s="22" t="str">
        <f>IFERROR(__xludf.DUMMYFUNCTION("""COMPUTED_VALUE"""),"Chính thức")</f>
        <v>Chính thức</v>
      </c>
      <c r="W352" s="22" t="str">
        <f>IFERROR(__xludf.DUMMYFUNCTION("""COMPUTED_VALUE"""),"1 năm 8 tháng")</f>
        <v>1 năm 8 tháng</v>
      </c>
      <c r="X352" s="22"/>
      <c r="Y352" s="22"/>
      <c r="Z352" s="22"/>
    </row>
    <row r="353">
      <c r="A353" s="22">
        <f>IFERROR(__xludf.DUMMYFUNCTION("""COMPUTED_VALUE"""),4.0)</f>
        <v>4</v>
      </c>
      <c r="B353" s="22" t="str">
        <f>IFERROR(__xludf.DUMMYFUNCTION("""COMPUTED_VALUE"""),"PXSX2")</f>
        <v>PXSX2</v>
      </c>
      <c r="C353" s="22" t="str">
        <f>IFERROR(__xludf.DUMMYFUNCTION("""COMPUTED_VALUE"""),"Phòng Kỹ thuật")</f>
        <v>Phòng Kỹ thuật</v>
      </c>
      <c r="D353" s="22" t="str">
        <f>IFERROR(__xludf.DUMMYFUNCTION("""COMPUTED_VALUE"""),"Bảo dưỡng Dây chuyền mài PXSX2")</f>
        <v>Bảo dưỡng Dây chuyền mài PXSX2</v>
      </c>
      <c r="E353" s="22" t="str">
        <f>IFERROR(__xludf.DUMMYFUNCTION("""COMPUTED_VALUE"""),"Bảo dưỡng mài cạnh")</f>
        <v>Bảo dưỡng mài cạnh</v>
      </c>
      <c r="F353" s="22" t="str">
        <f>IFERROR(__xludf.DUMMYFUNCTION("""COMPUTED_VALUE"""),"NV3449")</f>
        <v>NV3449</v>
      </c>
      <c r="G353" s="22">
        <f>IFERROR(__xludf.DUMMYFUNCTION("""COMPUTED_VALUE"""),598.0)</f>
        <v>598</v>
      </c>
      <c r="H353" s="22" t="str">
        <f>IFERROR(__xludf.DUMMYFUNCTION("""COMPUTED_VALUE"""),"Trần Thanh Hải")</f>
        <v>Trần Thanh Hải</v>
      </c>
      <c r="I353" s="22" t="str">
        <f>IFERROR(__xludf.DUMMYFUNCTION("""COMPUTED_VALUE"""),"Nam")</f>
        <v>Nam</v>
      </c>
      <c r="J353" s="24">
        <f>IFERROR(__xludf.DUMMYFUNCTION("""COMPUTED_VALUE"""),29466.0)</f>
        <v>29466</v>
      </c>
      <c r="K353" s="22" t="str">
        <f>IFERROR(__xludf.DUMMYFUNCTION("""COMPUTED_VALUE"""),"Hoằng Châu -  hoằng Hóa  -  TH")</f>
        <v>Hoằng Châu -  hoằng Hóa  -  TH</v>
      </c>
      <c r="L353" s="22" t="str">
        <f>IFERROR(__xludf.DUMMYFUNCTION("""COMPUTED_VALUE"""),"0979702980")</f>
        <v>0979702980</v>
      </c>
      <c r="M353" s="22" t="str">
        <f>IFERROR(__xludf.DUMMYFUNCTION("""COMPUTED_VALUE"""),"038080036651")</f>
        <v>038080036651</v>
      </c>
      <c r="N353" s="26">
        <f>IFERROR(__xludf.DUMMYFUNCTION("""COMPUTED_VALUE"""),44420.0)</f>
        <v>44420</v>
      </c>
      <c r="O353" s="22" t="str">
        <f>IFERROR(__xludf.DUMMYFUNCTION("""COMPUTED_VALUE"""),"Cục Cảnh sát QLHC về TTXH")</f>
        <v>Cục Cảnh sát QLHC về TTXH</v>
      </c>
      <c r="P353" s="22" t="str">
        <f>IFERROR(__xludf.DUMMYFUNCTION("""COMPUTED_VALUE"""),"LĐPT")</f>
        <v>LĐPT</v>
      </c>
      <c r="Q353" s="22" t="str">
        <f>IFERROR(__xludf.DUMMYFUNCTION("""COMPUTED_VALUE"""),"Lao động phổ thông")</f>
        <v>Lao động phổ thông</v>
      </c>
      <c r="R353" s="24">
        <f>IFERROR(__xludf.DUMMYFUNCTION("""COMPUTED_VALUE"""),44251.0)</f>
        <v>44251</v>
      </c>
      <c r="S353" s="24">
        <f>IFERROR(__xludf.DUMMYFUNCTION("""COMPUTED_VALUE"""),44531.0)</f>
        <v>44531</v>
      </c>
      <c r="T353" s="22" t="str">
        <f>IFERROR(__xludf.DUMMYFUNCTION("""COMPUTED_VALUE"""),"Chính thức")</f>
        <v>Chính thức</v>
      </c>
      <c r="U353" s="22"/>
      <c r="V353" s="22" t="str">
        <f>IFERROR(__xludf.DUMMYFUNCTION("""COMPUTED_VALUE"""),"Chính thức")</f>
        <v>Chính thức</v>
      </c>
      <c r="W353" s="22" t="str">
        <f>IFERROR(__xludf.DUMMYFUNCTION("""COMPUTED_VALUE"""),"4 năm 10 tháng")</f>
        <v>4 năm 10 tháng</v>
      </c>
      <c r="X353" s="22"/>
      <c r="Y353" s="22"/>
      <c r="Z353" s="22"/>
    </row>
    <row r="354">
      <c r="A354" s="22">
        <f>IFERROR(__xludf.DUMMYFUNCTION("""COMPUTED_VALUE"""),5.0)</f>
        <v>5</v>
      </c>
      <c r="B354" s="22" t="str">
        <f>IFERROR(__xludf.DUMMYFUNCTION("""COMPUTED_VALUE"""),"PXSX2")</f>
        <v>PXSX2</v>
      </c>
      <c r="C354" s="22" t="str">
        <f>IFERROR(__xludf.DUMMYFUNCTION("""COMPUTED_VALUE"""),"Phòng Kỹ thuật")</f>
        <v>Phòng Kỹ thuật</v>
      </c>
      <c r="D354" s="22" t="str">
        <f>IFERROR(__xludf.DUMMYFUNCTION("""COMPUTED_VALUE"""),"Bảo dưỡng Dây chuyền mài PXSX2")</f>
        <v>Bảo dưỡng Dây chuyền mài PXSX2</v>
      </c>
      <c r="E354" s="22" t="str">
        <f>IFERROR(__xludf.DUMMYFUNCTION("""COMPUTED_VALUE"""),"Bảo dưỡng mài bóng mức 2")</f>
        <v>Bảo dưỡng mài bóng mức 2</v>
      </c>
      <c r="F354" s="22" t="str">
        <f>IFERROR(__xludf.DUMMYFUNCTION("""COMPUTED_VALUE"""),"NV3983")</f>
        <v>NV3983</v>
      </c>
      <c r="G354" s="22">
        <f>IFERROR(__xludf.DUMMYFUNCTION("""COMPUTED_VALUE"""),579.0)</f>
        <v>579</v>
      </c>
      <c r="H354" s="22" t="str">
        <f>IFERROR(__xludf.DUMMYFUNCTION("""COMPUTED_VALUE"""),"Trần Bá Toàn")</f>
        <v>Trần Bá Toàn</v>
      </c>
      <c r="I354" s="22" t="str">
        <f>IFERROR(__xludf.DUMMYFUNCTION("""COMPUTED_VALUE"""),"Nam")</f>
        <v>Nam</v>
      </c>
      <c r="J354" s="24">
        <f>IFERROR(__xludf.DUMMYFUNCTION("""COMPUTED_VALUE"""),36748.0)</f>
        <v>36748</v>
      </c>
      <c r="K354" s="22" t="str">
        <f>IFERROR(__xludf.DUMMYFUNCTION("""COMPUTED_VALUE"""),"Thôn Quan Nội 2 -  Xã Long Anh -  Thành phố Thanh Hóa - ")</f>
        <v>Thôn Quan Nội 2 -  Xã Long Anh -  Thành phố Thanh Hóa - </v>
      </c>
      <c r="L354" s="22" t="str">
        <f>IFERROR(__xludf.DUMMYFUNCTION("""COMPUTED_VALUE"""),"0357219836")</f>
        <v>0357219836</v>
      </c>
      <c r="M354" s="22" t="str">
        <f>IFERROR(__xludf.DUMMYFUNCTION("""COMPUTED_VALUE"""),"038200026490")</f>
        <v>038200026490</v>
      </c>
      <c r="N354" s="26">
        <f>IFERROR(__xludf.DUMMYFUNCTION("""COMPUTED_VALUE"""),44440.0)</f>
        <v>44440</v>
      </c>
      <c r="O354" s="22" t="str">
        <f>IFERROR(__xludf.DUMMYFUNCTION("""COMPUTED_VALUE"""),"Cục Cảnh sát QLHC về TTXH")</f>
        <v>Cục Cảnh sát QLHC về TTXH</v>
      </c>
      <c r="P354" s="22" t="str">
        <f>IFERROR(__xludf.DUMMYFUNCTION("""COMPUTED_VALUE"""),"Trung cấp")</f>
        <v>Trung cấp</v>
      </c>
      <c r="Q354" s="22" t="str">
        <f>IFERROR(__xludf.DUMMYFUNCTION("""COMPUTED_VALUE"""),"Kỹ thuật hàn cơ khí")</f>
        <v>Kỹ thuật hàn cơ khí</v>
      </c>
      <c r="R354" s="24">
        <f>IFERROR(__xludf.DUMMYFUNCTION("""COMPUTED_VALUE"""),44565.0)</f>
        <v>44565</v>
      </c>
      <c r="S354" s="24">
        <f>IFERROR(__xludf.DUMMYFUNCTION("""COMPUTED_VALUE"""),44835.0)</f>
        <v>44835</v>
      </c>
      <c r="T354" s="22" t="str">
        <f>IFERROR(__xludf.DUMMYFUNCTION("""COMPUTED_VALUE"""),"Chính thức")</f>
        <v>Chính thức</v>
      </c>
      <c r="U354" s="22"/>
      <c r="V354" s="22" t="str">
        <f>IFERROR(__xludf.DUMMYFUNCTION("""COMPUTED_VALUE"""),"Chính thức")</f>
        <v>Chính thức</v>
      </c>
      <c r="W354" s="22" t="str">
        <f>IFERROR(__xludf.DUMMYFUNCTION("""COMPUTED_VALUE"""),"3 năm 11 tháng")</f>
        <v>3 năm 11 tháng</v>
      </c>
      <c r="X354" s="22"/>
      <c r="Y354" s="22"/>
      <c r="Z354" s="22"/>
    </row>
    <row r="355">
      <c r="A355" s="22">
        <f>IFERROR(__xludf.DUMMYFUNCTION("""COMPUTED_VALUE"""),6.0)</f>
        <v>6</v>
      </c>
      <c r="B355" s="22" t="str">
        <f>IFERROR(__xludf.DUMMYFUNCTION("""COMPUTED_VALUE"""),"PXSX2")</f>
        <v>PXSX2</v>
      </c>
      <c r="C355" s="22" t="str">
        <f>IFERROR(__xludf.DUMMYFUNCTION("""COMPUTED_VALUE"""),"Phòng Kỹ thuật")</f>
        <v>Phòng Kỹ thuật</v>
      </c>
      <c r="D355" s="22" t="str">
        <f>IFERROR(__xludf.DUMMYFUNCTION("""COMPUTED_VALUE"""),"Bảo dưỡng Dây chuyền mài PXSX2")</f>
        <v>Bảo dưỡng Dây chuyền mài PXSX2</v>
      </c>
      <c r="E355" s="22"/>
      <c r="F355" s="22" t="str">
        <f>IFERROR(__xludf.DUMMYFUNCTION("""COMPUTED_VALUE"""),"NV5762")</f>
        <v>NV5762</v>
      </c>
      <c r="G355" s="22">
        <f>IFERROR(__xludf.DUMMYFUNCTION("""COMPUTED_VALUE"""),1243.0)</f>
        <v>1243</v>
      </c>
      <c r="H355" s="22" t="str">
        <f>IFERROR(__xludf.DUMMYFUNCTION("""COMPUTED_VALUE"""),"Hoàng Sĩ Miên")</f>
        <v>Hoàng Sĩ Miên</v>
      </c>
      <c r="I355" s="22" t="str">
        <f>IFERROR(__xludf.DUMMYFUNCTION("""COMPUTED_VALUE"""),"Nam")</f>
        <v>Nam</v>
      </c>
      <c r="J355" s="24">
        <f>IFERROR(__xludf.DUMMYFUNCTION("""COMPUTED_VALUE"""),33681.0)</f>
        <v>33681</v>
      </c>
      <c r="K355" s="22" t="str">
        <f>IFERROR(__xludf.DUMMYFUNCTION("""COMPUTED_VALUE"""),"Thôn Bộ Đầu  -  Xã Hậu Lộc - Tỉnh Thanh Hóa")</f>
        <v>Thôn Bộ Đầu  -  Xã Hậu Lộc - Tỉnh Thanh Hóa</v>
      </c>
      <c r="L355" s="22" t="str">
        <f>IFERROR(__xludf.DUMMYFUNCTION("""COMPUTED_VALUE"""),"0329368078")</f>
        <v>0329368078</v>
      </c>
      <c r="M355" s="22" t="str">
        <f>IFERROR(__xludf.DUMMYFUNCTION("""COMPUTED_VALUE"""),"038092022599")</f>
        <v>038092022599</v>
      </c>
      <c r="N355" s="26">
        <f>IFERROR(__xludf.DUMMYFUNCTION("""COMPUTED_VALUE"""),44309.0)</f>
        <v>44309</v>
      </c>
      <c r="O355" s="22" t="str">
        <f>IFERROR(__xludf.DUMMYFUNCTION("""COMPUTED_VALUE"""),"Cục Cảnh sát QLHC về TTXH")</f>
        <v>Cục Cảnh sát QLHC về TTXH</v>
      </c>
      <c r="P355" s="22" t="str">
        <f>IFERROR(__xludf.DUMMYFUNCTION("""COMPUTED_VALUE"""),"Cao đẳng")</f>
        <v>Cao đẳng</v>
      </c>
      <c r="Q355" s="22" t="str">
        <f>IFERROR(__xludf.DUMMYFUNCTION("""COMPUTED_VALUE"""),"Cao đẳng điện công nghiệp")</f>
        <v>Cao đẳng điện công nghiệp</v>
      </c>
      <c r="R355" s="24">
        <f>IFERROR(__xludf.DUMMYFUNCTION("""COMPUTED_VALUE"""),45945.0)</f>
        <v>45945</v>
      </c>
      <c r="S355" s="24">
        <f>IFERROR(__xludf.DUMMYFUNCTION("""COMPUTED_VALUE"""),45976.0)</f>
        <v>45976</v>
      </c>
      <c r="T355" s="22" t="str">
        <f>IFERROR(__xludf.DUMMYFUNCTION("""COMPUTED_VALUE"""),"Chính thức")</f>
        <v>Chính thức</v>
      </c>
      <c r="U355" s="22"/>
      <c r="V355" s="22" t="str">
        <f>IFERROR(__xludf.DUMMYFUNCTION("""COMPUTED_VALUE"""),"Chính thức")</f>
        <v>Chính thức</v>
      </c>
      <c r="W355" s="22" t="str">
        <f>IFERROR(__xludf.DUMMYFUNCTION("""COMPUTED_VALUE"""),"0 năm 2 tháng")</f>
        <v>0 năm 2 tháng</v>
      </c>
      <c r="X355" s="22"/>
      <c r="Y355" s="22"/>
      <c r="Z355" s="22"/>
    </row>
    <row r="356">
      <c r="A356" s="28">
        <f>IFERROR(__xludf.DUMMYFUNCTION("""COMPUTED_VALUE"""),45723.0)</f>
        <v>45723</v>
      </c>
      <c r="B356" s="22" t="str">
        <f>IFERROR(__xludf.DUMMYFUNCTION("""COMPUTED_VALUE"""),"Cơ điện hành chính - DC5")</f>
        <v>Cơ điện hành chính - DC5</v>
      </c>
      <c r="C356" s="22">
        <f>IFERROR(__xludf.DUMMYFUNCTION("""COMPUTED_VALUE"""),8.0)</f>
        <v>8</v>
      </c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>
        <f>IFERROR(__xludf.DUMMYFUNCTION("""COMPUTED_VALUE"""),1.0)</f>
        <v>1</v>
      </c>
      <c r="B357" s="22" t="str">
        <f>IFERROR(__xludf.DUMMYFUNCTION("""COMPUTED_VALUE"""),"DC5-PXSX2")</f>
        <v>DC5-PXSX2</v>
      </c>
      <c r="C357" s="22" t="str">
        <f>IFERROR(__xludf.DUMMYFUNCTION("""COMPUTED_VALUE"""),"Phòng Kỹ thuật")</f>
        <v>Phòng Kỹ thuật</v>
      </c>
      <c r="D357" s="22" t="str">
        <f>IFERROR(__xludf.DUMMYFUNCTION("""COMPUTED_VALUE"""),"Cơ điện hành chính - DC5")</f>
        <v>Cơ điện hành chính - DC5</v>
      </c>
      <c r="E357" s="22" t="str">
        <f>IFERROR(__xludf.DUMMYFUNCTION("""COMPUTED_VALUE"""),"Cơ điện hành chính")</f>
        <v>Cơ điện hành chính</v>
      </c>
      <c r="F357" s="22" t="str">
        <f>IFERROR(__xludf.DUMMYFUNCTION("""COMPUTED_VALUE"""),"NV0670")</f>
        <v>NV0670</v>
      </c>
      <c r="G357" s="22">
        <f>IFERROR(__xludf.DUMMYFUNCTION("""COMPUTED_VALUE"""),862.0)</f>
        <v>862</v>
      </c>
      <c r="H357" s="22" t="str">
        <f>IFERROR(__xludf.DUMMYFUNCTION("""COMPUTED_VALUE"""),"Lê Khắc Lương")</f>
        <v>Lê Khắc Lương</v>
      </c>
      <c r="I357" s="22" t="str">
        <f>IFERROR(__xludf.DUMMYFUNCTION("""COMPUTED_VALUE"""),"Nam")</f>
        <v>Nam</v>
      </c>
      <c r="J357" s="22"/>
      <c r="K357" s="22" t="str">
        <f>IFERROR(__xludf.DUMMYFUNCTION("""COMPUTED_VALUE"""),"Xã Hoằng Phú - Tỉnh Thanh Hóa")</f>
        <v>Xã Hoằng Phú - Tỉnh Thanh Hóa</v>
      </c>
      <c r="L357" s="22" t="str">
        <f>IFERROR(__xludf.DUMMYFUNCTION("""COMPUTED_VALUE"""),"0946951356")</f>
        <v>0946951356</v>
      </c>
      <c r="M357" s="22" t="str">
        <f>IFERROR(__xludf.DUMMYFUNCTION("""COMPUTED_VALUE"""),"038092026846")</f>
        <v>038092026846</v>
      </c>
      <c r="N357" s="26">
        <f>IFERROR(__xludf.DUMMYFUNCTION("""COMPUTED_VALUE"""),44428.0)</f>
        <v>44428</v>
      </c>
      <c r="O357" s="22" t="str">
        <f>IFERROR(__xludf.DUMMYFUNCTION("""COMPUTED_VALUE"""),"Cục Cảnh sát QLHC về TTXH")</f>
        <v>Cục Cảnh sát QLHC về TTXH</v>
      </c>
      <c r="P357" s="22" t="str">
        <f>IFERROR(__xludf.DUMMYFUNCTION("""COMPUTED_VALUE"""),"Cao đẳng")</f>
        <v>Cao đẳng</v>
      </c>
      <c r="Q357" s="22" t="str">
        <f>IFERROR(__xludf.DUMMYFUNCTION("""COMPUTED_VALUE"""),"Nghề hàn")</f>
        <v>Nghề hàn</v>
      </c>
      <c r="R357" s="24">
        <f>IFERROR(__xludf.DUMMYFUNCTION("""COMPUTED_VALUE"""),45715.0)</f>
        <v>45715</v>
      </c>
      <c r="S357" s="24">
        <f>IFERROR(__xludf.DUMMYFUNCTION("""COMPUTED_VALUE"""),45715.0)</f>
        <v>45715</v>
      </c>
      <c r="T357" s="22" t="str">
        <f>IFERROR(__xludf.DUMMYFUNCTION("""COMPUTED_VALUE"""),"Chính thức")</f>
        <v>Chính thức</v>
      </c>
      <c r="U357" s="22"/>
      <c r="V357" s="22" t="str">
        <f>IFERROR(__xludf.DUMMYFUNCTION("""COMPUTED_VALUE"""),"Chính thức")</f>
        <v>Chính thức</v>
      </c>
      <c r="W357" s="22" t="str">
        <f>IFERROR(__xludf.DUMMYFUNCTION("""COMPUTED_VALUE"""),"0 năm 10 tháng")</f>
        <v>0 năm 10 tháng</v>
      </c>
      <c r="X357" s="22"/>
      <c r="Y357" s="22"/>
      <c r="Z357" s="22"/>
    </row>
    <row r="358">
      <c r="A358" s="22">
        <f>IFERROR(__xludf.DUMMYFUNCTION("""COMPUTED_VALUE"""),2.0)</f>
        <v>2</v>
      </c>
      <c r="B358" s="22" t="str">
        <f>IFERROR(__xludf.DUMMYFUNCTION("""COMPUTED_VALUE"""),"DC5-PXSX2")</f>
        <v>DC5-PXSX2</v>
      </c>
      <c r="C358" s="22" t="str">
        <f>IFERROR(__xludf.DUMMYFUNCTION("""COMPUTED_VALUE"""),"Phòng Kỹ thuật")</f>
        <v>Phòng Kỹ thuật</v>
      </c>
      <c r="D358" s="22" t="str">
        <f>IFERROR(__xludf.DUMMYFUNCTION("""COMPUTED_VALUE"""),"Cơ điện hành chính - DC5")</f>
        <v>Cơ điện hành chính - DC5</v>
      </c>
      <c r="E358" s="22" t="str">
        <f>IFERROR(__xludf.DUMMYFUNCTION("""COMPUTED_VALUE"""),"Tổ phó cơ điện - kỹ thuật")</f>
        <v>Tổ phó cơ điện - kỹ thuật</v>
      </c>
      <c r="F358" s="22" t="str">
        <f>IFERROR(__xludf.DUMMYFUNCTION("""COMPUTED_VALUE"""),"NV0107")</f>
        <v>NV0107</v>
      </c>
      <c r="G358" s="22">
        <f>IFERROR(__xludf.DUMMYFUNCTION("""COMPUTED_VALUE"""),730.0)</f>
        <v>730</v>
      </c>
      <c r="H358" s="22" t="str">
        <f>IFERROR(__xludf.DUMMYFUNCTION("""COMPUTED_VALUE"""),"Lê Văn Đại")</f>
        <v>Lê Văn Đại</v>
      </c>
      <c r="I358" s="22" t="str">
        <f>IFERROR(__xludf.DUMMYFUNCTION("""COMPUTED_VALUE"""),"Nam")</f>
        <v>Nam</v>
      </c>
      <c r="J358" s="24">
        <f>IFERROR(__xludf.DUMMYFUNCTION("""COMPUTED_VALUE"""),27890.0)</f>
        <v>27890</v>
      </c>
      <c r="K358" s="22" t="str">
        <f>IFERROR(__xludf.DUMMYFUNCTION("""COMPUTED_VALUE"""),"Thôn Tự Đông -  Xã Hoằng Phú -  Tỉnh Thanh Hóa")</f>
        <v>Thôn Tự Đông -  Xã Hoằng Phú -  Tỉnh Thanh Hóa</v>
      </c>
      <c r="L358" s="22" t="str">
        <f>IFERROR(__xludf.DUMMYFUNCTION("""COMPUTED_VALUE"""),"0353078788")</f>
        <v>0353078788</v>
      </c>
      <c r="M358" s="22" t="str">
        <f>IFERROR(__xludf.DUMMYFUNCTION("""COMPUTED_VALUE"""),"038076008504")</f>
        <v>038076008504</v>
      </c>
      <c r="N358" s="26">
        <f>IFERROR(__xludf.DUMMYFUNCTION("""COMPUTED_VALUE"""),44420.0)</f>
        <v>44420</v>
      </c>
      <c r="O358" s="22" t="str">
        <f>IFERROR(__xludf.DUMMYFUNCTION("""COMPUTED_VALUE"""),"Cục Cảnh sát QLHC về TTXH")</f>
        <v>Cục Cảnh sát QLHC về TTXH</v>
      </c>
      <c r="P358" s="22" t="str">
        <f>IFERROR(__xludf.DUMMYFUNCTION("""COMPUTED_VALUE"""),"Trung cấp")</f>
        <v>Trung cấp</v>
      </c>
      <c r="Q358" s="22" t="str">
        <f>IFERROR(__xludf.DUMMYFUNCTION("""COMPUTED_VALUE"""),"Nghề hàn")</f>
        <v>Nghề hàn</v>
      </c>
      <c r="R358" s="24">
        <f>IFERROR(__xludf.DUMMYFUNCTION("""COMPUTED_VALUE"""),39890.0)</f>
        <v>39890</v>
      </c>
      <c r="S358" s="24">
        <f>IFERROR(__xludf.DUMMYFUNCTION("""COMPUTED_VALUE"""),39890.0)</f>
        <v>39890</v>
      </c>
      <c r="T358" s="22" t="str">
        <f>IFERROR(__xludf.DUMMYFUNCTION("""COMPUTED_VALUE"""),"Chính thức")</f>
        <v>Chính thức</v>
      </c>
      <c r="U358" s="22"/>
      <c r="V358" s="22" t="str">
        <f>IFERROR(__xludf.DUMMYFUNCTION("""COMPUTED_VALUE"""),"Chính thức")</f>
        <v>Chính thức</v>
      </c>
      <c r="W358" s="22" t="str">
        <f>IFERROR(__xludf.DUMMYFUNCTION("""COMPUTED_VALUE"""),"16 năm 9 tháng")</f>
        <v>16 năm 9 tháng</v>
      </c>
      <c r="X358" s="22"/>
      <c r="Y358" s="22"/>
      <c r="Z358" s="22"/>
    </row>
    <row r="359">
      <c r="A359" s="22">
        <f>IFERROR(__xludf.DUMMYFUNCTION("""COMPUTED_VALUE"""),3.0)</f>
        <v>3</v>
      </c>
      <c r="B359" s="22" t="str">
        <f>IFERROR(__xludf.DUMMYFUNCTION("""COMPUTED_VALUE"""),"DC5-PXSX2")</f>
        <v>DC5-PXSX2</v>
      </c>
      <c r="C359" s="22" t="str">
        <f>IFERROR(__xludf.DUMMYFUNCTION("""COMPUTED_VALUE"""),"Phòng Kỹ thuật")</f>
        <v>Phòng Kỹ thuật</v>
      </c>
      <c r="D359" s="22" t="str">
        <f>IFERROR(__xludf.DUMMYFUNCTION("""COMPUTED_VALUE"""),"Cơ điện hành chính - DC5")</f>
        <v>Cơ điện hành chính - DC5</v>
      </c>
      <c r="E359" s="22" t="str">
        <f>IFERROR(__xludf.DUMMYFUNCTION("""COMPUTED_VALUE"""),"Tổ phó cơ điện - kỹ thuật")</f>
        <v>Tổ phó cơ điện - kỹ thuật</v>
      </c>
      <c r="F359" s="22" t="str">
        <f>IFERROR(__xludf.DUMMYFUNCTION("""COMPUTED_VALUE"""),"NV1480")</f>
        <v>NV1480</v>
      </c>
      <c r="G359" s="22">
        <f>IFERROR(__xludf.DUMMYFUNCTION("""COMPUTED_VALUE"""),498.0)</f>
        <v>498</v>
      </c>
      <c r="H359" s="22" t="str">
        <f>IFERROR(__xludf.DUMMYFUNCTION("""COMPUTED_VALUE"""),"Doãn Quốc Mẹo")</f>
        <v>Doãn Quốc Mẹo</v>
      </c>
      <c r="I359" s="22" t="str">
        <f>IFERROR(__xludf.DUMMYFUNCTION("""COMPUTED_VALUE"""),"Nam")</f>
        <v>Nam</v>
      </c>
      <c r="J359" s="24">
        <f>IFERROR(__xludf.DUMMYFUNCTION("""COMPUTED_VALUE"""),26886.0)</f>
        <v>26886</v>
      </c>
      <c r="K359" s="22" t="str">
        <f>IFERROR(__xludf.DUMMYFUNCTION("""COMPUTED_VALUE"""),"Tân cộng - Phường Đông Sơn - Tỉnh Thanh Hóa")</f>
        <v>Tân cộng - Phường Đông Sơn - Tỉnh Thanh Hóa</v>
      </c>
      <c r="L359" s="22" t="str">
        <f>IFERROR(__xludf.DUMMYFUNCTION("""COMPUTED_VALUE"""),"0828849987")</f>
        <v>0828849987</v>
      </c>
      <c r="M359" s="22" t="str">
        <f>IFERROR(__xludf.DUMMYFUNCTION("""COMPUTED_VALUE"""),"038073027607")</f>
        <v>038073027607</v>
      </c>
      <c r="N359" s="26">
        <f>IFERROR(__xludf.DUMMYFUNCTION("""COMPUTED_VALUE"""),44422.0)</f>
        <v>44422</v>
      </c>
      <c r="O359" s="22" t="str">
        <f>IFERROR(__xludf.DUMMYFUNCTION("""COMPUTED_VALUE"""),"Cục Cảnh sát QLHC về TTXH")</f>
        <v>Cục Cảnh sát QLHC về TTXH</v>
      </c>
      <c r="P359" s="22" t="str">
        <f>IFERROR(__xludf.DUMMYFUNCTION("""COMPUTED_VALUE"""),"Trung học chuyên nghiệp")</f>
        <v>Trung học chuyên nghiệp</v>
      </c>
      <c r="Q359" s="22" t="str">
        <f>IFERROR(__xludf.DUMMYFUNCTION("""COMPUTED_VALUE"""),"Cơ khí")</f>
        <v>Cơ khí</v>
      </c>
      <c r="R359" s="24">
        <f>IFERROR(__xludf.DUMMYFUNCTION("""COMPUTED_VALUE"""),43272.0)</f>
        <v>43272</v>
      </c>
      <c r="S359" s="24">
        <f>IFERROR(__xludf.DUMMYFUNCTION("""COMPUTED_VALUE"""),43617.0)</f>
        <v>43617</v>
      </c>
      <c r="T359" s="22" t="str">
        <f>IFERROR(__xludf.DUMMYFUNCTION("""COMPUTED_VALUE"""),"Chính thức")</f>
        <v>Chính thức</v>
      </c>
      <c r="U359" s="22"/>
      <c r="V359" s="22" t="str">
        <f>IFERROR(__xludf.DUMMYFUNCTION("""COMPUTED_VALUE"""),"Chính thức")</f>
        <v>Chính thức</v>
      </c>
      <c r="W359" s="22" t="str">
        <f>IFERROR(__xludf.DUMMYFUNCTION("""COMPUTED_VALUE"""),"7 năm 6 tháng")</f>
        <v>7 năm 6 tháng</v>
      </c>
      <c r="X359" s="22"/>
      <c r="Y359" s="22"/>
      <c r="Z359" s="22"/>
    </row>
    <row r="360">
      <c r="A360" s="22">
        <f>IFERROR(__xludf.DUMMYFUNCTION("""COMPUTED_VALUE"""),4.0)</f>
        <v>4</v>
      </c>
      <c r="B360" s="22" t="str">
        <f>IFERROR(__xludf.DUMMYFUNCTION("""COMPUTED_VALUE"""),"DC5-PXSX2")</f>
        <v>DC5-PXSX2</v>
      </c>
      <c r="C360" s="22" t="str">
        <f>IFERROR(__xludf.DUMMYFUNCTION("""COMPUTED_VALUE"""),"Phòng Kỹ thuật")</f>
        <v>Phòng Kỹ thuật</v>
      </c>
      <c r="D360" s="22" t="str">
        <f>IFERROR(__xludf.DUMMYFUNCTION("""COMPUTED_VALUE"""),"Cơ điện hành chính - DC5")</f>
        <v>Cơ điện hành chính - DC5</v>
      </c>
      <c r="E360" s="22" t="str">
        <f>IFERROR(__xludf.DUMMYFUNCTION("""COMPUTED_VALUE"""),"NT Cơ điện hành chính")</f>
        <v>NT Cơ điện hành chính</v>
      </c>
      <c r="F360" s="22" t="str">
        <f>IFERROR(__xludf.DUMMYFUNCTION("""COMPUTED_VALUE"""),"NV4480")</f>
        <v>NV4480</v>
      </c>
      <c r="G360" s="22">
        <f>IFERROR(__xludf.DUMMYFUNCTION("""COMPUTED_VALUE"""),618.0)</f>
        <v>618</v>
      </c>
      <c r="H360" s="22" t="str">
        <f>IFERROR(__xludf.DUMMYFUNCTION("""COMPUTED_VALUE"""),"Nguyễn Văn Trường")</f>
        <v>Nguyễn Văn Trường</v>
      </c>
      <c r="I360" s="22" t="str">
        <f>IFERROR(__xludf.DUMMYFUNCTION("""COMPUTED_VALUE"""),"Nam")</f>
        <v>Nam</v>
      </c>
      <c r="J360" s="24">
        <f>IFERROR(__xludf.DUMMYFUNCTION("""COMPUTED_VALUE"""),31025.0)</f>
        <v>31025</v>
      </c>
      <c r="K360" s="22" t="str">
        <f>IFERROR(__xludf.DUMMYFUNCTION("""COMPUTED_VALUE"""),"13/12 Chương Dương - Phường Quảng Phú - Tỉnh Thanh Hóa")</f>
        <v>13/12 Chương Dương - Phường Quảng Phú - Tỉnh Thanh Hóa</v>
      </c>
      <c r="L360" s="22" t="str">
        <f>IFERROR(__xludf.DUMMYFUNCTION("""COMPUTED_VALUE"""),"0944413868")</f>
        <v>0944413868</v>
      </c>
      <c r="M360" s="22" t="str">
        <f>IFERROR(__xludf.DUMMYFUNCTION("""COMPUTED_VALUE"""),"038084007421")</f>
        <v>038084007421</v>
      </c>
      <c r="N360" s="26">
        <f>IFERROR(__xludf.DUMMYFUNCTION("""COMPUTED_VALUE"""),42845.0)</f>
        <v>42845</v>
      </c>
      <c r="O360" s="22" t="str">
        <f>IFERROR(__xludf.DUMMYFUNCTION("""COMPUTED_VALUE"""),"Cục Cảnh sát QLHC về TTXH")</f>
        <v>Cục Cảnh sát QLHC về TTXH</v>
      </c>
      <c r="P360" s="22" t="str">
        <f>IFERROR(__xludf.DUMMYFUNCTION("""COMPUTED_VALUE"""),"Cao đẳng")</f>
        <v>Cao đẳng</v>
      </c>
      <c r="Q360" s="22" t="str">
        <f>IFERROR(__xludf.DUMMYFUNCTION("""COMPUTED_VALUE"""),"Cơ khí")</f>
        <v>Cơ khí</v>
      </c>
      <c r="R360" s="24">
        <f>IFERROR(__xludf.DUMMYFUNCTION("""COMPUTED_VALUE"""),44827.0)</f>
        <v>44827</v>
      </c>
      <c r="S360" s="24">
        <f>IFERROR(__xludf.DUMMYFUNCTION("""COMPUTED_VALUE"""),45047.0)</f>
        <v>45047</v>
      </c>
      <c r="T360" s="22" t="str">
        <f>IFERROR(__xludf.DUMMYFUNCTION("""COMPUTED_VALUE"""),"Chính thức")</f>
        <v>Chính thức</v>
      </c>
      <c r="U360" s="22"/>
      <c r="V360" s="22" t="str">
        <f>IFERROR(__xludf.DUMMYFUNCTION("""COMPUTED_VALUE"""),"Chính thức")</f>
        <v>Chính thức</v>
      </c>
      <c r="W360" s="22" t="str">
        <f>IFERROR(__xludf.DUMMYFUNCTION("""COMPUTED_VALUE"""),"3 năm 3 tháng")</f>
        <v>3 năm 3 tháng</v>
      </c>
      <c r="X360" s="22"/>
      <c r="Y360" s="22"/>
      <c r="Z360" s="22"/>
    </row>
    <row r="361">
      <c r="A361" s="22">
        <f>IFERROR(__xludf.DUMMYFUNCTION("""COMPUTED_VALUE"""),5.0)</f>
        <v>5</v>
      </c>
      <c r="B361" s="22" t="str">
        <f>IFERROR(__xludf.DUMMYFUNCTION("""COMPUTED_VALUE"""),"DC5-PXSX2")</f>
        <v>DC5-PXSX2</v>
      </c>
      <c r="C361" s="22" t="str">
        <f>IFERROR(__xludf.DUMMYFUNCTION("""COMPUTED_VALUE"""),"Phòng Kỹ thuật")</f>
        <v>Phòng Kỹ thuật</v>
      </c>
      <c r="D361" s="22" t="str">
        <f>IFERROR(__xludf.DUMMYFUNCTION("""COMPUTED_VALUE"""),"Cơ điện hành chính - DC5")</f>
        <v>Cơ điện hành chính - DC5</v>
      </c>
      <c r="E361" s="22" t="str">
        <f>IFERROR(__xludf.DUMMYFUNCTION("""COMPUTED_VALUE"""),"Cơ điện hành chính")</f>
        <v>Cơ điện hành chính</v>
      </c>
      <c r="F361" s="22" t="str">
        <f>IFERROR(__xludf.DUMMYFUNCTION("""COMPUTED_VALUE"""),"NV0662")</f>
        <v>NV0662</v>
      </c>
      <c r="G361" s="22">
        <f>IFERROR(__xludf.DUMMYFUNCTION("""COMPUTED_VALUE"""),626.0)</f>
        <v>626</v>
      </c>
      <c r="H361" s="22" t="str">
        <f>IFERROR(__xludf.DUMMYFUNCTION("""COMPUTED_VALUE"""),"Hoàng Văn Thắng")</f>
        <v>Hoàng Văn Thắng</v>
      </c>
      <c r="I361" s="22" t="str">
        <f>IFERROR(__xludf.DUMMYFUNCTION("""COMPUTED_VALUE"""),"Nam")</f>
        <v>Nam</v>
      </c>
      <c r="J361" s="24">
        <f>IFERROR(__xludf.DUMMYFUNCTION("""COMPUTED_VALUE"""),30821.0)</f>
        <v>30821</v>
      </c>
      <c r="K361" s="22" t="str">
        <f>IFERROR(__xludf.DUMMYFUNCTION("""COMPUTED_VALUE"""),"Thôn 7 - Phường Quảng Phú - Tỉnh Thanh Hóa")</f>
        <v>Thôn 7 - Phường Quảng Phú - Tỉnh Thanh Hóa</v>
      </c>
      <c r="L361" s="22" t="str">
        <f>IFERROR(__xludf.DUMMYFUNCTION("""COMPUTED_VALUE"""),"0974203119")</f>
        <v>0974203119</v>
      </c>
      <c r="M361" s="22" t="str">
        <f>IFERROR(__xludf.DUMMYFUNCTION("""COMPUTED_VALUE"""),"038084016713")</f>
        <v>038084016713</v>
      </c>
      <c r="N361" s="26">
        <f>IFERROR(__xludf.DUMMYFUNCTION("""COMPUTED_VALUE"""),44419.0)</f>
        <v>44419</v>
      </c>
      <c r="O361" s="22" t="str">
        <f>IFERROR(__xludf.DUMMYFUNCTION("""COMPUTED_VALUE"""),"Cục Cảnh sát QLHC về TTXH")</f>
        <v>Cục Cảnh sát QLHC về TTXH</v>
      </c>
      <c r="P361" s="22" t="str">
        <f>IFERROR(__xludf.DUMMYFUNCTION("""COMPUTED_VALUE"""),"LĐPT")</f>
        <v>LĐPT</v>
      </c>
      <c r="Q361" s="22" t="str">
        <f>IFERROR(__xludf.DUMMYFUNCTION("""COMPUTED_VALUE"""),"Lao động phổ thông")</f>
        <v>Lao động phổ thông</v>
      </c>
      <c r="R361" s="24">
        <f>IFERROR(__xludf.DUMMYFUNCTION("""COMPUTED_VALUE"""),42110.0)</f>
        <v>42110</v>
      </c>
      <c r="S361" s="24">
        <f>IFERROR(__xludf.DUMMYFUNCTION("""COMPUTED_VALUE"""),42110.0)</f>
        <v>42110</v>
      </c>
      <c r="T361" s="22" t="str">
        <f>IFERROR(__xludf.DUMMYFUNCTION("""COMPUTED_VALUE"""),"Chính thức")</f>
        <v>Chính thức</v>
      </c>
      <c r="U361" s="22"/>
      <c r="V361" s="22" t="str">
        <f>IFERROR(__xludf.DUMMYFUNCTION("""COMPUTED_VALUE"""),"Chính thức")</f>
        <v>Chính thức</v>
      </c>
      <c r="W361" s="22" t="str">
        <f>IFERROR(__xludf.DUMMYFUNCTION("""COMPUTED_VALUE"""),"10 năm 8 tháng")</f>
        <v>10 năm 8 tháng</v>
      </c>
      <c r="X361" s="22"/>
      <c r="Y361" s="22"/>
      <c r="Z361" s="22"/>
    </row>
    <row r="362">
      <c r="A362" s="22">
        <f>IFERROR(__xludf.DUMMYFUNCTION("""COMPUTED_VALUE"""),6.0)</f>
        <v>6</v>
      </c>
      <c r="B362" s="22" t="str">
        <f>IFERROR(__xludf.DUMMYFUNCTION("""COMPUTED_VALUE"""),"DC5-PXSX2")</f>
        <v>DC5-PXSX2</v>
      </c>
      <c r="C362" s="22" t="str">
        <f>IFERROR(__xludf.DUMMYFUNCTION("""COMPUTED_VALUE"""),"Phòng Kỹ thuật")</f>
        <v>Phòng Kỹ thuật</v>
      </c>
      <c r="D362" s="22" t="str">
        <f>IFERROR(__xludf.DUMMYFUNCTION("""COMPUTED_VALUE"""),"Cơ điện hành chính - DC5")</f>
        <v>Cơ điện hành chính - DC5</v>
      </c>
      <c r="E362" s="22" t="str">
        <f>IFERROR(__xludf.DUMMYFUNCTION("""COMPUTED_VALUE"""),"Cơ điện")</f>
        <v>Cơ điện</v>
      </c>
      <c r="F362" s="22" t="str">
        <f>IFERROR(__xludf.DUMMYFUNCTION("""COMPUTED_VALUE"""),"NV5474")</f>
        <v>NV5474</v>
      </c>
      <c r="G362" s="22">
        <f>IFERROR(__xludf.DUMMYFUNCTION("""COMPUTED_VALUE"""),955.0)</f>
        <v>955</v>
      </c>
      <c r="H362" s="22" t="str">
        <f>IFERROR(__xludf.DUMMYFUNCTION("""COMPUTED_VALUE"""),"Lê Trung Nguyên")</f>
        <v>Lê Trung Nguyên</v>
      </c>
      <c r="I362" s="22" t="str">
        <f>IFERROR(__xludf.DUMMYFUNCTION("""COMPUTED_VALUE"""),"Nam")</f>
        <v>Nam</v>
      </c>
      <c r="J362" s="24">
        <f>IFERROR(__xludf.DUMMYFUNCTION("""COMPUTED_VALUE"""),38736.0)</f>
        <v>38736</v>
      </c>
      <c r="K362" s="22" t="str">
        <f>IFERROR(__xludf.DUMMYFUNCTION("""COMPUTED_VALUE"""),"Phường Đông Cương - TP Thanh Hóa- Tỉnh Thanh Hóa")</f>
        <v>Phường Đông Cương - TP Thanh Hóa- Tỉnh Thanh Hóa</v>
      </c>
      <c r="L362" s="22" t="str">
        <f>IFERROR(__xludf.DUMMYFUNCTION("""COMPUTED_VALUE"""),"0904769525")</f>
        <v>0904769525</v>
      </c>
      <c r="M362" s="22" t="str">
        <f>IFERROR(__xludf.DUMMYFUNCTION("""COMPUTED_VALUE"""),"075206000010")</f>
        <v>075206000010</v>
      </c>
      <c r="N362" s="26">
        <f>IFERROR(__xludf.DUMMYFUNCTION("""COMPUTED_VALUE"""),44419.0)</f>
        <v>44419</v>
      </c>
      <c r="O362" s="22" t="str">
        <f>IFERROR(__xludf.DUMMYFUNCTION("""COMPUTED_VALUE"""),"Cục Cảnh sát QLHC về TTXH")</f>
        <v>Cục Cảnh sát QLHC về TTXH</v>
      </c>
      <c r="P362" s="22" t="str">
        <f>IFERROR(__xludf.DUMMYFUNCTION("""COMPUTED_VALUE"""),"Cao đẳng")</f>
        <v>Cao đẳng</v>
      </c>
      <c r="Q362" s="22" t="str">
        <f>IFERROR(__xludf.DUMMYFUNCTION("""COMPUTED_VALUE"""),"Cao đẳng điện công nghiệp")</f>
        <v>Cao đẳng điện công nghiệp</v>
      </c>
      <c r="R362" s="24">
        <f>IFERROR(__xludf.DUMMYFUNCTION("""COMPUTED_VALUE"""),45803.0)</f>
        <v>45803</v>
      </c>
      <c r="S362" s="24">
        <f>IFERROR(__xludf.DUMMYFUNCTION("""COMPUTED_VALUE"""),45834.0)</f>
        <v>45834</v>
      </c>
      <c r="T362" s="22" t="str">
        <f>IFERROR(__xludf.DUMMYFUNCTION("""COMPUTED_VALUE"""),"Chính thức")</f>
        <v>Chính thức</v>
      </c>
      <c r="U362" s="22"/>
      <c r="V362" s="22" t="str">
        <f>IFERROR(__xludf.DUMMYFUNCTION("""COMPUTED_VALUE"""),"Chính thức")</f>
        <v>Chính thức</v>
      </c>
      <c r="W362" s="22" t="str">
        <f>IFERROR(__xludf.DUMMYFUNCTION("""COMPUTED_VALUE"""),"0 năm 7 tháng")</f>
        <v>0 năm 7 tháng</v>
      </c>
      <c r="X362" s="22"/>
      <c r="Y362" s="22"/>
      <c r="Z362" s="22"/>
    </row>
    <row r="363">
      <c r="A363" s="22">
        <f>IFERROR(__xludf.DUMMYFUNCTION("""COMPUTED_VALUE"""),7.0)</f>
        <v>7</v>
      </c>
      <c r="B363" s="22" t="str">
        <f>IFERROR(__xludf.DUMMYFUNCTION("""COMPUTED_VALUE"""),"DC5-PXSX2")</f>
        <v>DC5-PXSX2</v>
      </c>
      <c r="C363" s="22" t="str">
        <f>IFERROR(__xludf.DUMMYFUNCTION("""COMPUTED_VALUE"""),"Phòng Kỹ thuật")</f>
        <v>Phòng Kỹ thuật</v>
      </c>
      <c r="D363" s="22" t="str">
        <f>IFERROR(__xludf.DUMMYFUNCTION("""COMPUTED_VALUE"""),"Cơ điện hành chính - DC5")</f>
        <v>Cơ điện hành chính - DC5</v>
      </c>
      <c r="E363" s="22" t="str">
        <f>IFERROR(__xludf.DUMMYFUNCTION("""COMPUTED_VALUE"""),"Cơ điện")</f>
        <v>Cơ điện</v>
      </c>
      <c r="F363" s="22" t="str">
        <f>IFERROR(__xludf.DUMMYFUNCTION("""COMPUTED_VALUE"""),"NV5554")</f>
        <v>NV5554</v>
      </c>
      <c r="G363" s="22">
        <f>IFERROR(__xludf.DUMMYFUNCTION("""COMPUTED_VALUE"""),1038.0)</f>
        <v>1038</v>
      </c>
      <c r="H363" s="22" t="str">
        <f>IFERROR(__xludf.DUMMYFUNCTION("""COMPUTED_VALUE"""),"Lê Đình Quyền")</f>
        <v>Lê Đình Quyền</v>
      </c>
      <c r="I363" s="22" t="str">
        <f>IFERROR(__xludf.DUMMYFUNCTION("""COMPUTED_VALUE"""),"Nam")</f>
        <v>Nam</v>
      </c>
      <c r="J363" s="24">
        <f>IFERROR(__xludf.DUMMYFUNCTION("""COMPUTED_VALUE"""),38316.0)</f>
        <v>38316</v>
      </c>
      <c r="K363" s="22" t="str">
        <f>IFERROR(__xludf.DUMMYFUNCTION("""COMPUTED_VALUE"""),"Phường Ngọc Sơn - Tỉnh Thanh Hóa")</f>
        <v>Phường Ngọc Sơn - Tỉnh Thanh Hóa</v>
      </c>
      <c r="L363" s="22" t="str">
        <f>IFERROR(__xludf.DUMMYFUNCTION("""COMPUTED_VALUE"""),"0335034113")</f>
        <v>0335034113</v>
      </c>
      <c r="M363" s="22" t="str">
        <f>IFERROR(__xludf.DUMMYFUNCTION("""COMPUTED_VALUE"""),"014204000049")</f>
        <v>014204000049</v>
      </c>
      <c r="N363" s="26">
        <f>IFERROR(__xludf.DUMMYFUNCTION("""COMPUTED_VALUE"""),44460.0)</f>
        <v>44460</v>
      </c>
      <c r="O363" s="22" t="str">
        <f>IFERROR(__xludf.DUMMYFUNCTION("""COMPUTED_VALUE"""),"Cục Cảnh sát QLHC về TTXH")</f>
        <v>Cục Cảnh sát QLHC về TTXH</v>
      </c>
      <c r="P363" s="22" t="str">
        <f>IFERROR(__xludf.DUMMYFUNCTION("""COMPUTED_VALUE"""),"Cao đẳng")</f>
        <v>Cao đẳng</v>
      </c>
      <c r="Q363" s="22" t="str">
        <f>IFERROR(__xludf.DUMMYFUNCTION("""COMPUTED_VALUE"""),"Cao đẳng điện công nghiệp")</f>
        <v>Cao đẳng điện công nghiệp</v>
      </c>
      <c r="R363" s="24">
        <f>IFERROR(__xludf.DUMMYFUNCTION("""COMPUTED_VALUE"""),45828.0)</f>
        <v>45828</v>
      </c>
      <c r="S363" s="24">
        <f>IFERROR(__xludf.DUMMYFUNCTION("""COMPUTED_VALUE"""),45858.0)</f>
        <v>45858</v>
      </c>
      <c r="T363" s="22" t="str">
        <f>IFERROR(__xludf.DUMMYFUNCTION("""COMPUTED_VALUE"""),"Chính thức")</f>
        <v>Chính thức</v>
      </c>
      <c r="U363" s="22"/>
      <c r="V363" s="22" t="str">
        <f>IFERROR(__xludf.DUMMYFUNCTION("""COMPUTED_VALUE"""),"Chính thức")</f>
        <v>Chính thức</v>
      </c>
      <c r="W363" s="22" t="str">
        <f>IFERROR(__xludf.DUMMYFUNCTION("""COMPUTED_VALUE"""),"0 năm 6 tháng")</f>
        <v>0 năm 6 tháng</v>
      </c>
      <c r="X363" s="22"/>
      <c r="Y363" s="22"/>
      <c r="Z363" s="22"/>
    </row>
    <row r="364">
      <c r="A364" s="22">
        <f>IFERROR(__xludf.DUMMYFUNCTION("""COMPUTED_VALUE"""),8.0)</f>
        <v>8</v>
      </c>
      <c r="B364" s="22" t="str">
        <f>IFERROR(__xludf.DUMMYFUNCTION("""COMPUTED_VALUE"""),"DC5-PXSX2")</f>
        <v>DC5-PXSX2</v>
      </c>
      <c r="C364" s="22" t="str">
        <f>IFERROR(__xludf.DUMMYFUNCTION("""COMPUTED_VALUE"""),"Phòng Kỹ thuật")</f>
        <v>Phòng Kỹ thuật</v>
      </c>
      <c r="D364" s="22" t="str">
        <f>IFERROR(__xludf.DUMMYFUNCTION("""COMPUTED_VALUE"""),"Cơ điện hành chính - DC5")</f>
        <v>Cơ điện hành chính - DC5</v>
      </c>
      <c r="E364" s="22" t="str">
        <f>IFERROR(__xludf.DUMMYFUNCTION("""COMPUTED_VALUE"""),"Cơ điện")</f>
        <v>Cơ điện</v>
      </c>
      <c r="F364" s="22" t="str">
        <f>IFERROR(__xludf.DUMMYFUNCTION("""COMPUTED_VALUE"""),"NV5755")</f>
        <v>NV5755</v>
      </c>
      <c r="G364" s="22">
        <f>IFERROR(__xludf.DUMMYFUNCTION("""COMPUTED_VALUE"""),1234.0)</f>
        <v>1234</v>
      </c>
      <c r="H364" s="22" t="str">
        <f>IFERROR(__xludf.DUMMYFUNCTION("""COMPUTED_VALUE"""),"Đỗ Văn Dũng")</f>
        <v>Đỗ Văn Dũng</v>
      </c>
      <c r="I364" s="22" t="str">
        <f>IFERROR(__xludf.DUMMYFUNCTION("""COMPUTED_VALUE"""),"Nam")</f>
        <v>Nam</v>
      </c>
      <c r="J364" s="24">
        <f>IFERROR(__xludf.DUMMYFUNCTION("""COMPUTED_VALUE"""),35938.0)</f>
        <v>35938</v>
      </c>
      <c r="K364" s="22" t="str">
        <f>IFERROR(__xludf.DUMMYFUNCTION("""COMPUTED_VALUE"""),"Thôn 2 - Phường Đông Tiến - Tỉnh Thanh Hóa")</f>
        <v>Thôn 2 - Phường Đông Tiến - Tỉnh Thanh Hóa</v>
      </c>
      <c r="L364" s="22" t="str">
        <f>IFERROR(__xludf.DUMMYFUNCTION("""COMPUTED_VALUE"""),"0979852573")</f>
        <v>0979852573</v>
      </c>
      <c r="M364" s="22" t="str">
        <f>IFERROR(__xludf.DUMMYFUNCTION("""COMPUTED_VALUE"""),"038098022572")</f>
        <v>038098022572</v>
      </c>
      <c r="N364" s="26">
        <f>IFERROR(__xludf.DUMMYFUNCTION("""COMPUTED_VALUE"""),44419.0)</f>
        <v>44419</v>
      </c>
      <c r="O364" s="22" t="str">
        <f>IFERROR(__xludf.DUMMYFUNCTION("""COMPUTED_VALUE"""),"Cục Cảnh sát QLHC về TTXH")</f>
        <v>Cục Cảnh sát QLHC về TTXH</v>
      </c>
      <c r="P364" s="22" t="str">
        <f>IFERROR(__xludf.DUMMYFUNCTION("""COMPUTED_VALUE"""),"Kỹ sư")</f>
        <v>Kỹ sư</v>
      </c>
      <c r="Q364" s="22" t="str">
        <f>IFERROR(__xludf.DUMMYFUNCTION("""COMPUTED_VALUE"""),"Kỹ sư kỹ thuật điện - điện tử")</f>
        <v>Kỹ sư kỹ thuật điện - điện tử</v>
      </c>
      <c r="R364" s="24">
        <f>IFERROR(__xludf.DUMMYFUNCTION("""COMPUTED_VALUE"""),45938.0)</f>
        <v>45938</v>
      </c>
      <c r="S364" s="24">
        <f>IFERROR(__xludf.DUMMYFUNCTION("""COMPUTED_VALUE"""),45969.0)</f>
        <v>45969</v>
      </c>
      <c r="T364" s="22" t="str">
        <f>IFERROR(__xludf.DUMMYFUNCTION("""COMPUTED_VALUE"""),"Chính thức")</f>
        <v>Chính thức</v>
      </c>
      <c r="U364" s="22"/>
      <c r="V364" s="22" t="str">
        <f>IFERROR(__xludf.DUMMYFUNCTION("""COMPUTED_VALUE"""),"Chính thức")</f>
        <v>Chính thức</v>
      </c>
      <c r="W364" s="22" t="str">
        <f>IFERROR(__xludf.DUMMYFUNCTION("""COMPUTED_VALUE"""),"0 năm 2 tháng")</f>
        <v>0 năm 2 tháng</v>
      </c>
      <c r="X364" s="22"/>
      <c r="Y364" s="22"/>
      <c r="Z364" s="22"/>
    </row>
    <row r="365">
      <c r="A365" s="22">
        <f>IFERROR(__xludf.DUMMYFUNCTION("""COMPUTED_VALUE"""),9.0)</f>
        <v>9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>
        <f>IFERROR(__xludf.DUMMYFUNCTION("""COMPUTED_VALUE"""),10.0)</f>
        <v>10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>
        <f>IFERROR(__xludf.DUMMYFUNCTION("""COMPUTED_VALUE"""),11.0)</f>
        <v>11</v>
      </c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8">
        <f>IFERROR(__xludf.DUMMYFUNCTION("""COMPUTED_VALUE"""),45754.0)</f>
        <v>45754</v>
      </c>
      <c r="B368" s="22" t="str">
        <f>IFERROR(__xludf.DUMMYFUNCTION("""COMPUTED_VALUE"""),"Cơ điện Ca A - DC5")</f>
        <v>Cơ điện Ca A - DC5</v>
      </c>
      <c r="C368" s="22">
        <f>IFERROR(__xludf.DUMMYFUNCTION("""COMPUTED_VALUE"""),3.0)</f>
        <v>3</v>
      </c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>
        <f>IFERROR(__xludf.DUMMYFUNCTION("""COMPUTED_VALUE"""),1.0)</f>
        <v>1</v>
      </c>
      <c r="B369" s="22" t="str">
        <f>IFERROR(__xludf.DUMMYFUNCTION("""COMPUTED_VALUE"""),"DC5-PXSX2")</f>
        <v>DC5-PXSX2</v>
      </c>
      <c r="C369" s="22" t="str">
        <f>IFERROR(__xludf.DUMMYFUNCTION("""COMPUTED_VALUE"""),"Phòng Kỹ thuật")</f>
        <v>Phòng Kỹ thuật</v>
      </c>
      <c r="D369" s="22" t="str">
        <f>IFERROR(__xludf.DUMMYFUNCTION("""COMPUTED_VALUE"""),"Cơ điện Ca A - DC5")</f>
        <v>Cơ điện Ca A - DC5</v>
      </c>
      <c r="E369" s="22" t="str">
        <f>IFERROR(__xludf.DUMMYFUNCTION("""COMPUTED_VALUE"""),"NT cơ điện đi ca")</f>
        <v>NT cơ điện đi ca</v>
      </c>
      <c r="F369" s="22" t="str">
        <f>IFERROR(__xludf.DUMMYFUNCTION("""COMPUTED_VALUE"""),"NV0672")</f>
        <v>NV0672</v>
      </c>
      <c r="G369" s="22">
        <f>IFERROR(__xludf.DUMMYFUNCTION("""COMPUTED_VALUE"""),615.0)</f>
        <v>615</v>
      </c>
      <c r="H369" s="22" t="str">
        <f>IFERROR(__xludf.DUMMYFUNCTION("""COMPUTED_VALUE"""),"Nguyễn Thắng Thịnh")</f>
        <v>Nguyễn Thắng Thịnh</v>
      </c>
      <c r="I369" s="22" t="str">
        <f>IFERROR(__xludf.DUMMYFUNCTION("""COMPUTED_VALUE"""),"Nam")</f>
        <v>Nam</v>
      </c>
      <c r="J369" s="24">
        <f>IFERROR(__xludf.DUMMYFUNCTION("""COMPUTED_VALUE"""),32398.0)</f>
        <v>32398</v>
      </c>
      <c r="K369" s="22" t="str">
        <f>IFERROR(__xludf.DUMMYFUNCTION("""COMPUTED_VALUE"""),"Đặng Tiến Đông - Phường Hạc Thành - Tỉnh Thanh Hóa")</f>
        <v>Đặng Tiến Đông - Phường Hạc Thành - Tỉnh Thanh Hóa</v>
      </c>
      <c r="L369" s="22" t="str">
        <f>IFERROR(__xludf.DUMMYFUNCTION("""COMPUTED_VALUE"""),"0988977411")</f>
        <v>0988977411</v>
      </c>
      <c r="M369" s="22" t="str">
        <f>IFERROR(__xludf.DUMMYFUNCTION("""COMPUTED_VALUE"""),"038088017447")</f>
        <v>038088017447</v>
      </c>
      <c r="N369" s="26">
        <f>IFERROR(__xludf.DUMMYFUNCTION("""COMPUTED_VALUE"""),44748.0)</f>
        <v>44748</v>
      </c>
      <c r="O369" s="22" t="str">
        <f>IFERROR(__xludf.DUMMYFUNCTION("""COMPUTED_VALUE"""),"Cục Cảnh sát QLHC về TTXH")</f>
        <v>Cục Cảnh sát QLHC về TTXH</v>
      </c>
      <c r="P369" s="22" t="str">
        <f>IFERROR(__xludf.DUMMYFUNCTION("""COMPUTED_VALUE"""),"Công nhân kỹ thuật")</f>
        <v>Công nhân kỹ thuật</v>
      </c>
      <c r="Q369" s="22" t="str">
        <f>IFERROR(__xludf.DUMMYFUNCTION("""COMPUTED_VALUE"""),"Công nghệ điện")</f>
        <v>Công nghệ điện</v>
      </c>
      <c r="R369" s="24">
        <f>IFERROR(__xludf.DUMMYFUNCTION("""COMPUTED_VALUE"""),41701.0)</f>
        <v>41701</v>
      </c>
      <c r="S369" s="24">
        <f>IFERROR(__xludf.DUMMYFUNCTION("""COMPUTED_VALUE"""),41701.0)</f>
        <v>41701</v>
      </c>
      <c r="T369" s="22" t="str">
        <f>IFERROR(__xludf.DUMMYFUNCTION("""COMPUTED_VALUE"""),"Chính thức")</f>
        <v>Chính thức</v>
      </c>
      <c r="U369" s="22"/>
      <c r="V369" s="22" t="str">
        <f>IFERROR(__xludf.DUMMYFUNCTION("""COMPUTED_VALUE"""),"Chính thức")</f>
        <v>Chính thức</v>
      </c>
      <c r="W369" s="22" t="str">
        <f>IFERROR(__xludf.DUMMYFUNCTION("""COMPUTED_VALUE"""),"11 năm 9 tháng")</f>
        <v>11 năm 9 tháng</v>
      </c>
      <c r="X369" s="22"/>
      <c r="Y369" s="22"/>
      <c r="Z369" s="22"/>
    </row>
    <row r="370">
      <c r="A370" s="22">
        <f>IFERROR(__xludf.DUMMYFUNCTION("""COMPUTED_VALUE"""),2.0)</f>
        <v>2</v>
      </c>
      <c r="B370" s="22" t="str">
        <f>IFERROR(__xludf.DUMMYFUNCTION("""COMPUTED_VALUE"""),"DC5-PXSX2")</f>
        <v>DC5-PXSX2</v>
      </c>
      <c r="C370" s="22" t="str">
        <f>IFERROR(__xludf.DUMMYFUNCTION("""COMPUTED_VALUE"""),"Phòng Kỹ thuật")</f>
        <v>Phòng Kỹ thuật</v>
      </c>
      <c r="D370" s="22" t="str">
        <f>IFERROR(__xludf.DUMMYFUNCTION("""COMPUTED_VALUE"""),"Cơ điện Ca A - DC5")</f>
        <v>Cơ điện Ca A - DC5</v>
      </c>
      <c r="E370" s="22" t="str">
        <f>IFERROR(__xludf.DUMMYFUNCTION("""COMPUTED_VALUE"""),"Cơ điện đi ca")</f>
        <v>Cơ điện đi ca</v>
      </c>
      <c r="F370" s="22" t="str">
        <f>IFERROR(__xludf.DUMMYFUNCTION("""COMPUTED_VALUE"""),"NV2328")</f>
        <v>NV2328</v>
      </c>
      <c r="G370" s="22">
        <f>IFERROR(__xludf.DUMMYFUNCTION("""COMPUTED_VALUE"""),481.0)</f>
        <v>481</v>
      </c>
      <c r="H370" s="22" t="str">
        <f>IFERROR(__xludf.DUMMYFUNCTION("""COMPUTED_VALUE"""),"Trịnh Quang Ngọc")</f>
        <v>Trịnh Quang Ngọc</v>
      </c>
      <c r="I370" s="22" t="str">
        <f>IFERROR(__xludf.DUMMYFUNCTION("""COMPUTED_VALUE"""),"Nam")</f>
        <v>Nam</v>
      </c>
      <c r="J370" s="24">
        <f>IFERROR(__xludf.DUMMYFUNCTION("""COMPUTED_VALUE"""),26872.0)</f>
        <v>26872</v>
      </c>
      <c r="K370" s="22" t="str">
        <f>IFERROR(__xludf.DUMMYFUNCTION("""COMPUTED_VALUE"""),"30 Lý Tự Trọng - Phường Hạc Thành - Tỉnh Thanh Hóa")</f>
        <v>30 Lý Tự Trọng - Phường Hạc Thành - Tỉnh Thanh Hóa</v>
      </c>
      <c r="L370" s="22" t="str">
        <f>IFERROR(__xludf.DUMMYFUNCTION("""COMPUTED_VALUE"""),"0386692496")</f>
        <v>0386692496</v>
      </c>
      <c r="M370" s="22" t="str">
        <f>IFERROR(__xludf.DUMMYFUNCTION("""COMPUTED_VALUE"""),"038073020840")</f>
        <v>038073020840</v>
      </c>
      <c r="N370" s="26">
        <f>IFERROR(__xludf.DUMMYFUNCTION("""COMPUTED_VALUE"""),44326.0)</f>
        <v>44326</v>
      </c>
      <c r="O370" s="22" t="str">
        <f>IFERROR(__xludf.DUMMYFUNCTION("""COMPUTED_VALUE"""),"Cục Cảnh sát QLHC về TTXH")</f>
        <v>Cục Cảnh sát QLHC về TTXH</v>
      </c>
      <c r="P370" s="22" t="str">
        <f>IFERROR(__xludf.DUMMYFUNCTION("""COMPUTED_VALUE"""),"Sơ cấp nghề")</f>
        <v>Sơ cấp nghề</v>
      </c>
      <c r="Q370" s="22" t="str">
        <f>IFERROR(__xludf.DUMMYFUNCTION("""COMPUTED_VALUE"""),"Điện")</f>
        <v>Điện</v>
      </c>
      <c r="R370" s="24">
        <f>IFERROR(__xludf.DUMMYFUNCTION("""COMPUTED_VALUE"""),43577.0)</f>
        <v>43577</v>
      </c>
      <c r="S370" s="24">
        <f>IFERROR(__xludf.DUMMYFUNCTION("""COMPUTED_VALUE"""),43983.0)</f>
        <v>43983</v>
      </c>
      <c r="T370" s="22" t="str">
        <f>IFERROR(__xludf.DUMMYFUNCTION("""COMPUTED_VALUE"""),"Chính thức")</f>
        <v>Chính thức</v>
      </c>
      <c r="U370" s="22"/>
      <c r="V370" s="22" t="str">
        <f>IFERROR(__xludf.DUMMYFUNCTION("""COMPUTED_VALUE"""),"Chính thức")</f>
        <v>Chính thức</v>
      </c>
      <c r="W370" s="22" t="str">
        <f>IFERROR(__xludf.DUMMYFUNCTION("""COMPUTED_VALUE"""),"6 năm 8 tháng")</f>
        <v>6 năm 8 tháng</v>
      </c>
      <c r="X370" s="22"/>
      <c r="Y370" s="22"/>
      <c r="Z370" s="22"/>
    </row>
    <row r="371">
      <c r="A371" s="22">
        <f>IFERROR(__xludf.DUMMYFUNCTION("""COMPUTED_VALUE"""),3.0)</f>
        <v>3</v>
      </c>
      <c r="B371" s="22" t="str">
        <f>IFERROR(__xludf.DUMMYFUNCTION("""COMPUTED_VALUE"""),"DC5-PXSX2")</f>
        <v>DC5-PXSX2</v>
      </c>
      <c r="C371" s="22" t="str">
        <f>IFERROR(__xludf.DUMMYFUNCTION("""COMPUTED_VALUE"""),"Phòng Kỹ thuật")</f>
        <v>Phòng Kỹ thuật</v>
      </c>
      <c r="D371" s="22" t="str">
        <f>IFERROR(__xludf.DUMMYFUNCTION("""COMPUTED_VALUE"""),"Cơ điện Ca A - DC5")</f>
        <v>Cơ điện Ca A - DC5</v>
      </c>
      <c r="E371" s="22" t="str">
        <f>IFERROR(__xludf.DUMMYFUNCTION("""COMPUTED_VALUE"""),"Cơ điện đi ca")</f>
        <v>Cơ điện đi ca</v>
      </c>
      <c r="F371" s="22" t="str">
        <f>IFERROR(__xludf.DUMMYFUNCTION("""COMPUTED_VALUE"""),"NV5493")</f>
        <v>NV5493</v>
      </c>
      <c r="G371" s="22">
        <f>IFERROR(__xludf.DUMMYFUNCTION("""COMPUTED_VALUE"""),976.0)</f>
        <v>976</v>
      </c>
      <c r="H371" s="22" t="str">
        <f>IFERROR(__xludf.DUMMYFUNCTION("""COMPUTED_VALUE"""),"Mai Anh Đức")</f>
        <v>Mai Anh Đức</v>
      </c>
      <c r="I371" s="22" t="str">
        <f>IFERROR(__xludf.DUMMYFUNCTION("""COMPUTED_VALUE"""),"Nam")</f>
        <v>Nam</v>
      </c>
      <c r="J371" s="24">
        <f>IFERROR(__xludf.DUMMYFUNCTION("""COMPUTED_VALUE"""),38107.0)</f>
        <v>38107</v>
      </c>
      <c r="K371" s="22" t="str">
        <f>IFERROR(__xludf.DUMMYFUNCTION("""COMPUTED_VALUE"""),"Định Hải - Nghi Sơn - Thanh Hóa")</f>
        <v>Định Hải - Nghi Sơn - Thanh Hóa</v>
      </c>
      <c r="L371" s="22" t="str">
        <f>IFERROR(__xludf.DUMMYFUNCTION("""COMPUTED_VALUE"""),"0378160062")</f>
        <v>0378160062</v>
      </c>
      <c r="M371" s="22" t="str">
        <f>IFERROR(__xludf.DUMMYFUNCTION("""COMPUTED_VALUE"""),"038204027138")</f>
        <v>038204027138</v>
      </c>
      <c r="N371" s="26">
        <f>IFERROR(__xludf.DUMMYFUNCTION("""COMPUTED_VALUE"""),44419.0)</f>
        <v>44419</v>
      </c>
      <c r="O371" s="22" t="str">
        <f>IFERROR(__xludf.DUMMYFUNCTION("""COMPUTED_VALUE"""),"Cục Cảnh sát QLHC về TTXH")</f>
        <v>Cục Cảnh sát QLHC về TTXH</v>
      </c>
      <c r="P371" s="22" t="str">
        <f>IFERROR(__xludf.DUMMYFUNCTION("""COMPUTED_VALUE"""),"Cao đẳng")</f>
        <v>Cao đẳng</v>
      </c>
      <c r="Q371" s="22" t="str">
        <f>IFERROR(__xludf.DUMMYFUNCTION("""COMPUTED_VALUE"""),"Cao đẳng điện công nghiệp")</f>
        <v>Cao đẳng điện công nghiệp</v>
      </c>
      <c r="R371" s="24">
        <f>IFERROR(__xludf.DUMMYFUNCTION("""COMPUTED_VALUE"""),45807.0)</f>
        <v>45807</v>
      </c>
      <c r="S371" s="24">
        <f>IFERROR(__xludf.DUMMYFUNCTION("""COMPUTED_VALUE"""),45838.0)</f>
        <v>45838</v>
      </c>
      <c r="T371" s="22" t="str">
        <f>IFERROR(__xludf.DUMMYFUNCTION("""COMPUTED_VALUE"""),"Chính thức")</f>
        <v>Chính thức</v>
      </c>
      <c r="U371" s="22"/>
      <c r="V371" s="22" t="str">
        <f>IFERROR(__xludf.DUMMYFUNCTION("""COMPUTED_VALUE"""),"Chính thức")</f>
        <v>Chính thức</v>
      </c>
      <c r="W371" s="22" t="str">
        <f>IFERROR(__xludf.DUMMYFUNCTION("""COMPUTED_VALUE"""),"0 năm 7 tháng")</f>
        <v>0 năm 7 tháng</v>
      </c>
      <c r="X371" s="22"/>
      <c r="Y371" s="22"/>
      <c r="Z371" s="22"/>
    </row>
    <row r="372">
      <c r="A372" s="28">
        <f>IFERROR(__xludf.DUMMYFUNCTION("""COMPUTED_VALUE"""),45784.0)</f>
        <v>45784</v>
      </c>
      <c r="B372" s="22" t="str">
        <f>IFERROR(__xludf.DUMMYFUNCTION("""COMPUTED_VALUE"""),"Cơ điện Ca B - DC5")</f>
        <v>Cơ điện Ca B - DC5</v>
      </c>
      <c r="C372" s="22">
        <f>IFERROR(__xludf.DUMMYFUNCTION("""COMPUTED_VALUE"""),3.0)</f>
        <v>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>
        <f>IFERROR(__xludf.DUMMYFUNCTION("""COMPUTED_VALUE"""),1.0)</f>
        <v>1</v>
      </c>
      <c r="B373" s="22" t="str">
        <f>IFERROR(__xludf.DUMMYFUNCTION("""COMPUTED_VALUE"""),"DC5-PXSX2")</f>
        <v>DC5-PXSX2</v>
      </c>
      <c r="C373" s="22" t="str">
        <f>IFERROR(__xludf.DUMMYFUNCTION("""COMPUTED_VALUE"""),"Phòng Kỹ thuật")</f>
        <v>Phòng Kỹ thuật</v>
      </c>
      <c r="D373" s="22" t="str">
        <f>IFERROR(__xludf.DUMMYFUNCTION("""COMPUTED_VALUE"""),"Cơ điện Ca B - DC5")</f>
        <v>Cơ điện Ca B - DC5</v>
      </c>
      <c r="E373" s="22" t="str">
        <f>IFERROR(__xludf.DUMMYFUNCTION("""COMPUTED_VALUE"""),"Cơ điện đi ca")</f>
        <v>Cơ điện đi ca</v>
      </c>
      <c r="F373" s="22" t="str">
        <f>IFERROR(__xludf.DUMMYFUNCTION("""COMPUTED_VALUE"""),"NV0677")</f>
        <v>NV0677</v>
      </c>
      <c r="G373" s="22">
        <f>IFERROR(__xludf.DUMMYFUNCTION("""COMPUTED_VALUE"""),540.0)</f>
        <v>540</v>
      </c>
      <c r="H373" s="22" t="str">
        <f>IFERROR(__xludf.DUMMYFUNCTION("""COMPUTED_VALUE"""),"Trần Minh Công")</f>
        <v>Trần Minh Công</v>
      </c>
      <c r="I373" s="22" t="str">
        <f>IFERROR(__xludf.DUMMYFUNCTION("""COMPUTED_VALUE"""),"Nam")</f>
        <v>Nam</v>
      </c>
      <c r="J373" s="24">
        <f>IFERROR(__xludf.DUMMYFUNCTION("""COMPUTED_VALUE"""),31810.0)</f>
        <v>31810</v>
      </c>
      <c r="K373" s="22" t="str">
        <f>IFERROR(__xludf.DUMMYFUNCTION("""COMPUTED_VALUE"""),"Tân Thượng - Xã Lưu Vệ - Tỉnh Thanh Hóa")</f>
        <v>Tân Thượng - Xã Lưu Vệ - Tỉnh Thanh Hóa</v>
      </c>
      <c r="L373" s="22" t="str">
        <f>IFERROR(__xludf.DUMMYFUNCTION("""COMPUTED_VALUE"""),"0943314995")</f>
        <v>0943314995</v>
      </c>
      <c r="M373" s="22" t="str">
        <f>IFERROR(__xludf.DUMMYFUNCTION("""COMPUTED_VALUE"""),"038087023413")</f>
        <v>038087023413</v>
      </c>
      <c r="N373" s="26">
        <f>IFERROR(__xludf.DUMMYFUNCTION("""COMPUTED_VALUE"""),44270.0)</f>
        <v>44270</v>
      </c>
      <c r="O373" s="22" t="str">
        <f>IFERROR(__xludf.DUMMYFUNCTION("""COMPUTED_VALUE"""),"Cục Cảnh sát QLHC về TTXH")</f>
        <v>Cục Cảnh sát QLHC về TTXH</v>
      </c>
      <c r="P373" s="22" t="str">
        <f>IFERROR(__xludf.DUMMYFUNCTION("""COMPUTED_VALUE"""),"Trung cấp")</f>
        <v>Trung cấp</v>
      </c>
      <c r="Q373" s="22" t="str">
        <f>IFERROR(__xludf.DUMMYFUNCTION("""COMPUTED_VALUE"""),"Điện công nghiệp")</f>
        <v>Điện công nghiệp</v>
      </c>
      <c r="R373" s="24">
        <f>IFERROR(__xludf.DUMMYFUNCTION("""COMPUTED_VALUE"""),42424.0)</f>
        <v>42424</v>
      </c>
      <c r="S373" s="24">
        <f>IFERROR(__xludf.DUMMYFUNCTION("""COMPUTED_VALUE"""),42424.0)</f>
        <v>42424</v>
      </c>
      <c r="T373" s="22" t="str">
        <f>IFERROR(__xludf.DUMMYFUNCTION("""COMPUTED_VALUE"""),"Chính thức")</f>
        <v>Chính thức</v>
      </c>
      <c r="U373" s="22"/>
      <c r="V373" s="22" t="str">
        <f>IFERROR(__xludf.DUMMYFUNCTION("""COMPUTED_VALUE"""),"Chính thức")</f>
        <v>Chính thức</v>
      </c>
      <c r="W373" s="22" t="str">
        <f>IFERROR(__xludf.DUMMYFUNCTION("""COMPUTED_VALUE"""),"9 năm 10 tháng")</f>
        <v>9 năm 10 tháng</v>
      </c>
      <c r="X373" s="22"/>
      <c r="Y373" s="22"/>
      <c r="Z373" s="22"/>
    </row>
    <row r="374">
      <c r="A374" s="22">
        <f>IFERROR(__xludf.DUMMYFUNCTION("""COMPUTED_VALUE"""),2.0)</f>
        <v>2</v>
      </c>
      <c r="B374" s="22" t="str">
        <f>IFERROR(__xludf.DUMMYFUNCTION("""COMPUTED_VALUE"""),"DC5-PXSX2")</f>
        <v>DC5-PXSX2</v>
      </c>
      <c r="C374" s="22" t="str">
        <f>IFERROR(__xludf.DUMMYFUNCTION("""COMPUTED_VALUE"""),"Phòng Kỹ thuật")</f>
        <v>Phòng Kỹ thuật</v>
      </c>
      <c r="D374" s="22" t="str">
        <f>IFERROR(__xludf.DUMMYFUNCTION("""COMPUTED_VALUE"""),"Cơ điện Ca B - DC5")</f>
        <v>Cơ điện Ca B - DC5</v>
      </c>
      <c r="E374" s="22" t="str">
        <f>IFERROR(__xludf.DUMMYFUNCTION("""COMPUTED_VALUE"""),"Cơ điện đi ca")</f>
        <v>Cơ điện đi ca</v>
      </c>
      <c r="F374" s="22" t="str">
        <f>IFERROR(__xludf.DUMMYFUNCTION("""COMPUTED_VALUE"""),"NV0664")</f>
        <v>NV0664</v>
      </c>
      <c r="G374" s="22">
        <f>IFERROR(__xludf.DUMMYFUNCTION("""COMPUTED_VALUE"""),446.0)</f>
        <v>446</v>
      </c>
      <c r="H374" s="22" t="str">
        <f>IFERROR(__xludf.DUMMYFUNCTION("""COMPUTED_VALUE"""),"Lê Viết Lượng")</f>
        <v>Lê Viết Lượng</v>
      </c>
      <c r="I374" s="22" t="str">
        <f>IFERROR(__xludf.DUMMYFUNCTION("""COMPUTED_VALUE"""),"Nam")</f>
        <v>Nam</v>
      </c>
      <c r="J374" s="24">
        <f>IFERROR(__xludf.DUMMYFUNCTION("""COMPUTED_VALUE"""),29826.0)</f>
        <v>29826</v>
      </c>
      <c r="K374" s="22" t="str">
        <f>IFERROR(__xludf.DUMMYFUNCTION("""COMPUTED_VALUE"""),"Đội 1 -  Xã Thiệu Trung - Tỉnh Thanh Hóa")</f>
        <v>Đội 1 -  Xã Thiệu Trung - Tỉnh Thanh Hóa</v>
      </c>
      <c r="L374" s="22" t="str">
        <f>IFERROR(__xludf.DUMMYFUNCTION("""COMPUTED_VALUE"""),"0985491465")</f>
        <v>0985491465</v>
      </c>
      <c r="M374" s="22" t="str">
        <f>IFERROR(__xludf.DUMMYFUNCTION("""COMPUTED_VALUE"""),"038081036900")</f>
        <v>038081036900</v>
      </c>
      <c r="N374" s="26">
        <f>IFERROR(__xludf.DUMMYFUNCTION("""COMPUTED_VALUE"""),44419.0)</f>
        <v>44419</v>
      </c>
      <c r="O374" s="22" t="str">
        <f>IFERROR(__xludf.DUMMYFUNCTION("""COMPUTED_VALUE"""),"Cục Cảnh sát QLHC về TTXH")</f>
        <v>Cục Cảnh sát QLHC về TTXH</v>
      </c>
      <c r="P374" s="22" t="str">
        <f>IFERROR(__xludf.DUMMYFUNCTION("""COMPUTED_VALUE"""),"Trung cấp")</f>
        <v>Trung cấp</v>
      </c>
      <c r="Q374" s="22" t="str">
        <f>IFERROR(__xludf.DUMMYFUNCTION("""COMPUTED_VALUE"""),"Thợ điện")</f>
        <v>Thợ điện</v>
      </c>
      <c r="R374" s="24">
        <f>IFERROR(__xludf.DUMMYFUNCTION("""COMPUTED_VALUE"""),38089.0)</f>
        <v>38089</v>
      </c>
      <c r="S374" s="24">
        <f>IFERROR(__xludf.DUMMYFUNCTION("""COMPUTED_VALUE"""),38089.0)</f>
        <v>38089</v>
      </c>
      <c r="T374" s="22" t="str">
        <f>IFERROR(__xludf.DUMMYFUNCTION("""COMPUTED_VALUE"""),"Chính thức")</f>
        <v>Chính thức</v>
      </c>
      <c r="U374" s="22"/>
      <c r="V374" s="22" t="str">
        <f>IFERROR(__xludf.DUMMYFUNCTION("""COMPUTED_VALUE"""),"Chính thức")</f>
        <v>Chính thức</v>
      </c>
      <c r="W374" s="22" t="str">
        <f>IFERROR(__xludf.DUMMYFUNCTION("""COMPUTED_VALUE"""),"21 năm 8 tháng")</f>
        <v>21 năm 8 tháng</v>
      </c>
      <c r="X374" s="22"/>
      <c r="Y374" s="22"/>
      <c r="Z374" s="22"/>
    </row>
    <row r="375">
      <c r="A375" s="22">
        <f>IFERROR(__xludf.DUMMYFUNCTION("""COMPUTED_VALUE"""),3.0)</f>
        <v>3</v>
      </c>
      <c r="B375" s="22" t="str">
        <f>IFERROR(__xludf.DUMMYFUNCTION("""COMPUTED_VALUE"""),"DC5-PXSX2")</f>
        <v>DC5-PXSX2</v>
      </c>
      <c r="C375" s="22" t="str">
        <f>IFERROR(__xludf.DUMMYFUNCTION("""COMPUTED_VALUE"""),"Phòng Kỹ thuật")</f>
        <v>Phòng Kỹ thuật</v>
      </c>
      <c r="D375" s="22" t="str">
        <f>IFERROR(__xludf.DUMMYFUNCTION("""COMPUTED_VALUE"""),"Cơ điện Ca B - DC5")</f>
        <v>Cơ điện Ca B - DC5</v>
      </c>
      <c r="E375" s="22" t="str">
        <f>IFERROR(__xludf.DUMMYFUNCTION("""COMPUTED_VALUE"""),"Cơ điện đi ca")</f>
        <v>Cơ điện đi ca</v>
      </c>
      <c r="F375" s="22" t="str">
        <f>IFERROR(__xludf.DUMMYFUNCTION("""COMPUTED_VALUE"""),"NV5201")</f>
        <v>NV5201</v>
      </c>
      <c r="G375" s="22">
        <f>IFERROR(__xludf.DUMMYFUNCTION("""COMPUTED_VALUE"""),522.0)</f>
        <v>522</v>
      </c>
      <c r="H375" s="22" t="str">
        <f>IFERROR(__xludf.DUMMYFUNCTION("""COMPUTED_VALUE"""),"Trần Xuân Long Vũ")</f>
        <v>Trần Xuân Long Vũ</v>
      </c>
      <c r="I375" s="22" t="str">
        <f>IFERROR(__xludf.DUMMYFUNCTION("""COMPUTED_VALUE"""),"Nam")</f>
        <v>Nam</v>
      </c>
      <c r="J375" s="24">
        <f>IFERROR(__xludf.DUMMYFUNCTION("""COMPUTED_VALUE"""),36995.0)</f>
        <v>36995</v>
      </c>
      <c r="K375" s="22" t="str">
        <f>IFERROR(__xludf.DUMMYFUNCTION("""COMPUTED_VALUE"""),"Xã Hợp Tiến - Tỉnh Thanh Hóa")</f>
        <v>Xã Hợp Tiến - Tỉnh Thanh Hóa</v>
      </c>
      <c r="L375" s="22" t="str">
        <f>IFERROR(__xludf.DUMMYFUNCTION("""COMPUTED_VALUE"""),"0964734750")</f>
        <v>0964734750</v>
      </c>
      <c r="M375" s="22" t="str">
        <f>IFERROR(__xludf.DUMMYFUNCTION("""COMPUTED_VALUE"""),"038201014058")</f>
        <v>038201014058</v>
      </c>
      <c r="N375" s="26">
        <f>IFERROR(__xludf.DUMMYFUNCTION("""COMPUTED_VALUE"""),44819.0)</f>
        <v>44819</v>
      </c>
      <c r="O375" s="22" t="str">
        <f>IFERROR(__xludf.DUMMYFUNCTION("""COMPUTED_VALUE"""),"Cục Cảnh sát QLHC về TTXH")</f>
        <v>Cục Cảnh sát QLHC về TTXH</v>
      </c>
      <c r="P375" s="22" t="str">
        <f>IFERROR(__xludf.DUMMYFUNCTION("""COMPUTED_VALUE"""),"Đại học")</f>
        <v>Đại học</v>
      </c>
      <c r="Q375" s="22" t="str">
        <f>IFERROR(__xludf.DUMMYFUNCTION("""COMPUTED_VALUE"""),"Cơ khí chế tạo")</f>
        <v>Cơ khí chế tạo</v>
      </c>
      <c r="R375" s="24">
        <f>IFERROR(__xludf.DUMMYFUNCTION("""COMPUTED_VALUE"""),45434.0)</f>
        <v>45434</v>
      </c>
      <c r="S375" s="24">
        <f>IFERROR(__xludf.DUMMYFUNCTION("""COMPUTED_VALUE"""),45505.0)</f>
        <v>45505</v>
      </c>
      <c r="T375" s="22" t="str">
        <f>IFERROR(__xludf.DUMMYFUNCTION("""COMPUTED_VALUE"""),"Chính thức")</f>
        <v>Chính thức</v>
      </c>
      <c r="U375" s="22"/>
      <c r="V375" s="22" t="str">
        <f>IFERROR(__xludf.DUMMYFUNCTION("""COMPUTED_VALUE"""),"Chính thức")</f>
        <v>Chính thức</v>
      </c>
      <c r="W375" s="22" t="str">
        <f>IFERROR(__xludf.DUMMYFUNCTION("""COMPUTED_VALUE"""),"1 năm 7 tháng")</f>
        <v>1 năm 7 tháng</v>
      </c>
      <c r="X375" s="22"/>
      <c r="Y375" s="22"/>
      <c r="Z375" s="22"/>
    </row>
    <row r="376">
      <c r="A376" s="28">
        <f>IFERROR(__xludf.DUMMYFUNCTION("""COMPUTED_VALUE"""),45815.0)</f>
        <v>45815</v>
      </c>
      <c r="B376" s="22" t="str">
        <f>IFERROR(__xludf.DUMMYFUNCTION("""COMPUTED_VALUE"""),"Cơ điện Ca C - DC5")</f>
        <v>Cơ điện Ca C - DC5</v>
      </c>
      <c r="C376" s="22">
        <f>IFERROR(__xludf.DUMMYFUNCTION("""COMPUTED_VALUE"""),0.0)</f>
        <v>0</v>
      </c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>
        <f>IFERROR(__xludf.DUMMYFUNCTION("""COMPUTED_VALUE"""),1.0)</f>
        <v>1</v>
      </c>
      <c r="B377" s="22" t="str">
        <f>IFERROR(__xludf.DUMMYFUNCTION("""COMPUTED_VALUE"""),"#N/A")</f>
        <v>#N/A</v>
      </c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>
        <f>IFERROR(__xludf.DUMMYFUNCTION("""COMPUTED_VALUE"""),2.0)</f>
        <v>2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>
        <f>IFERROR(__xludf.DUMMYFUNCTION("""COMPUTED_VALUE"""),3.0)</f>
        <v>3</v>
      </c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8">
        <f>IFERROR(__xludf.DUMMYFUNCTION("""COMPUTED_VALUE"""),45845.0)</f>
        <v>45845</v>
      </c>
      <c r="B380" s="22" t="str">
        <f>IFERROR(__xludf.DUMMYFUNCTION("""COMPUTED_VALUE"""),"Cơ điện hành chính - DC6")</f>
        <v>Cơ điện hành chính - DC6</v>
      </c>
      <c r="C380" s="22">
        <f>IFERROR(__xludf.DUMMYFUNCTION("""COMPUTED_VALUE"""),4.0)</f>
        <v>4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>
        <f>IFERROR(__xludf.DUMMYFUNCTION("""COMPUTED_VALUE"""),1.0)</f>
        <v>1</v>
      </c>
      <c r="B381" s="22" t="str">
        <f>IFERROR(__xludf.DUMMYFUNCTION("""COMPUTED_VALUE"""),"DC6-PXSX2")</f>
        <v>DC6-PXSX2</v>
      </c>
      <c r="C381" s="22" t="str">
        <f>IFERROR(__xludf.DUMMYFUNCTION("""COMPUTED_VALUE"""),"Phòng Kỹ thuật")</f>
        <v>Phòng Kỹ thuật</v>
      </c>
      <c r="D381" s="22" t="str">
        <f>IFERROR(__xludf.DUMMYFUNCTION("""COMPUTED_VALUE"""),"Cơ điện hành chính - DC6")</f>
        <v>Cơ điện hành chính - DC6</v>
      </c>
      <c r="E381" s="22" t="str">
        <f>IFERROR(__xludf.DUMMYFUNCTION("""COMPUTED_VALUE"""),"NT Cơ điện hành chính")</f>
        <v>NT Cơ điện hành chính</v>
      </c>
      <c r="F381" s="22" t="str">
        <f>IFERROR(__xludf.DUMMYFUNCTION("""COMPUTED_VALUE"""),"NV0461")</f>
        <v>NV0461</v>
      </c>
      <c r="G381" s="22">
        <f>IFERROR(__xludf.DUMMYFUNCTION("""COMPUTED_VALUE"""),510.0)</f>
        <v>510</v>
      </c>
      <c r="H381" s="22" t="str">
        <f>IFERROR(__xludf.DUMMYFUNCTION("""COMPUTED_VALUE"""),"Phạm Văn Tiến")</f>
        <v>Phạm Văn Tiến</v>
      </c>
      <c r="I381" s="22" t="str">
        <f>IFERROR(__xludf.DUMMYFUNCTION("""COMPUTED_VALUE"""),"Nam")</f>
        <v>Nam</v>
      </c>
      <c r="J381" s="24">
        <f>IFERROR(__xludf.DUMMYFUNCTION("""COMPUTED_VALUE"""),32544.0)</f>
        <v>32544</v>
      </c>
      <c r="K381" s="22" t="str">
        <f>IFERROR(__xludf.DUMMYFUNCTION("""COMPUTED_VALUE"""),"Phường Hạc Thành - Tỉnh Thanh Hóa")</f>
        <v>Phường Hạc Thành - Tỉnh Thanh Hóa</v>
      </c>
      <c r="L381" s="22" t="str">
        <f>IFERROR(__xludf.DUMMYFUNCTION("""COMPUTED_VALUE"""),"0974999132")</f>
        <v>0974999132</v>
      </c>
      <c r="M381" s="22" t="str">
        <f>IFERROR(__xludf.DUMMYFUNCTION("""COMPUTED_VALUE"""),"038089039119")</f>
        <v>038089039119</v>
      </c>
      <c r="N381" s="26">
        <f>IFERROR(__xludf.DUMMYFUNCTION("""COMPUTED_VALUE"""),44461.0)</f>
        <v>44461</v>
      </c>
      <c r="O381" s="22" t="str">
        <f>IFERROR(__xludf.DUMMYFUNCTION("""COMPUTED_VALUE"""),"Cục Cảnh sát QLHC về TTXH")</f>
        <v>Cục Cảnh sát QLHC về TTXH</v>
      </c>
      <c r="P381" s="22" t="str">
        <f>IFERROR(__xludf.DUMMYFUNCTION("""COMPUTED_VALUE"""),"Trung cấp")</f>
        <v>Trung cấp</v>
      </c>
      <c r="Q381" s="22" t="str">
        <f>IFERROR(__xludf.DUMMYFUNCTION("""COMPUTED_VALUE"""),"Công nghệ kỹ thuật điiện")</f>
        <v>Công nghệ kỹ thuật điiện</v>
      </c>
      <c r="R381" s="24">
        <f>IFERROR(__xludf.DUMMYFUNCTION("""COMPUTED_VALUE"""),41784.0)</f>
        <v>41784</v>
      </c>
      <c r="S381" s="24">
        <f>IFERROR(__xludf.DUMMYFUNCTION("""COMPUTED_VALUE"""),41784.0)</f>
        <v>41784</v>
      </c>
      <c r="T381" s="22" t="str">
        <f>IFERROR(__xludf.DUMMYFUNCTION("""COMPUTED_VALUE"""),"Chính thức")</f>
        <v>Chính thức</v>
      </c>
      <c r="U381" s="22"/>
      <c r="V381" s="22" t="str">
        <f>IFERROR(__xludf.DUMMYFUNCTION("""COMPUTED_VALUE"""),"Chính thức")</f>
        <v>Chính thức</v>
      </c>
      <c r="W381" s="22" t="str">
        <f>IFERROR(__xludf.DUMMYFUNCTION("""COMPUTED_VALUE"""),"11 năm 7 tháng")</f>
        <v>11 năm 7 tháng</v>
      </c>
      <c r="X381" s="22"/>
      <c r="Y381" s="22"/>
      <c r="Z381" s="22"/>
    </row>
    <row r="382">
      <c r="A382" s="22">
        <f>IFERROR(__xludf.DUMMYFUNCTION("""COMPUTED_VALUE"""),2.0)</f>
        <v>2</v>
      </c>
      <c r="B382" s="22" t="str">
        <f>IFERROR(__xludf.DUMMYFUNCTION("""COMPUTED_VALUE"""),"DC6-PXSX2")</f>
        <v>DC6-PXSX2</v>
      </c>
      <c r="C382" s="22" t="str">
        <f>IFERROR(__xludf.DUMMYFUNCTION("""COMPUTED_VALUE"""),"Phòng Kỹ thuật")</f>
        <v>Phòng Kỹ thuật</v>
      </c>
      <c r="D382" s="22" t="str">
        <f>IFERROR(__xludf.DUMMYFUNCTION("""COMPUTED_VALUE"""),"Cơ điện hành chính - DC6")</f>
        <v>Cơ điện hành chính - DC6</v>
      </c>
      <c r="E382" s="22" t="str">
        <f>IFERROR(__xludf.DUMMYFUNCTION("""COMPUTED_VALUE"""),"Cơ điện hành chính Mức 1")</f>
        <v>Cơ điện hành chính Mức 1</v>
      </c>
      <c r="F382" s="22" t="str">
        <f>IFERROR(__xludf.DUMMYFUNCTION("""COMPUTED_VALUE"""),"NV0950")</f>
        <v>NV0950</v>
      </c>
      <c r="G382" s="22">
        <f>IFERROR(__xludf.DUMMYFUNCTION("""COMPUTED_VALUE"""),502.0)</f>
        <v>502</v>
      </c>
      <c r="H382" s="22" t="str">
        <f>IFERROR(__xludf.DUMMYFUNCTION("""COMPUTED_VALUE"""),"Nguyễn Huy Công")</f>
        <v>Nguyễn Huy Công</v>
      </c>
      <c r="I382" s="22" t="str">
        <f>IFERROR(__xludf.DUMMYFUNCTION("""COMPUTED_VALUE"""),"Nam")</f>
        <v>Nam</v>
      </c>
      <c r="J382" s="24">
        <f>IFERROR(__xludf.DUMMYFUNCTION("""COMPUTED_VALUE"""),33370.0)</f>
        <v>33370</v>
      </c>
      <c r="K382" s="22" t="str">
        <f>IFERROR(__xludf.DUMMYFUNCTION("""COMPUTED_VALUE"""),"Xã Hoằng Sơn - Tỉnh Thanh Hóa")</f>
        <v>Xã Hoằng Sơn - Tỉnh Thanh Hóa</v>
      </c>
      <c r="L382" s="22" t="str">
        <f>IFERROR(__xludf.DUMMYFUNCTION("""COMPUTED_VALUE"""),"0367095745")</f>
        <v>0367095745</v>
      </c>
      <c r="M382" s="22" t="str">
        <f>IFERROR(__xludf.DUMMYFUNCTION("""COMPUTED_VALUE"""),"038091006372")</f>
        <v>038091006372</v>
      </c>
      <c r="N382" s="26">
        <f>IFERROR(__xludf.DUMMYFUNCTION("""COMPUTED_VALUE"""),44420.0)</f>
        <v>44420</v>
      </c>
      <c r="O382" s="22" t="str">
        <f>IFERROR(__xludf.DUMMYFUNCTION("""COMPUTED_VALUE"""),"Cục Cảnh sát QLHC về TTXH")</f>
        <v>Cục Cảnh sát QLHC về TTXH</v>
      </c>
      <c r="P382" s="22" t="str">
        <f>IFERROR(__xludf.DUMMYFUNCTION("""COMPUTED_VALUE"""),"Trung cấp")</f>
        <v>Trung cấp</v>
      </c>
      <c r="Q382" s="22" t="str">
        <f>IFERROR(__xludf.DUMMYFUNCTION("""COMPUTED_VALUE"""),"Nghề hàn")</f>
        <v>Nghề hàn</v>
      </c>
      <c r="R382" s="24">
        <f>IFERROR(__xludf.DUMMYFUNCTION("""COMPUTED_VALUE"""),44351.0)</f>
        <v>44351</v>
      </c>
      <c r="S382" s="24">
        <f>IFERROR(__xludf.DUMMYFUNCTION("""COMPUTED_VALUE"""),44652.0)</f>
        <v>44652</v>
      </c>
      <c r="T382" s="22" t="str">
        <f>IFERROR(__xludf.DUMMYFUNCTION("""COMPUTED_VALUE"""),"Chính thức")</f>
        <v>Chính thức</v>
      </c>
      <c r="U382" s="22"/>
      <c r="V382" s="22" t="str">
        <f>IFERROR(__xludf.DUMMYFUNCTION("""COMPUTED_VALUE"""),"Chính thức")</f>
        <v>Chính thức</v>
      </c>
      <c r="W382" s="22" t="str">
        <f>IFERROR(__xludf.DUMMYFUNCTION("""COMPUTED_VALUE"""),"4 năm 6 tháng")</f>
        <v>4 năm 6 tháng</v>
      </c>
      <c r="X382" s="22"/>
      <c r="Y382" s="22"/>
      <c r="Z382" s="22"/>
    </row>
    <row r="383">
      <c r="A383" s="22">
        <f>IFERROR(__xludf.DUMMYFUNCTION("""COMPUTED_VALUE"""),3.0)</f>
        <v>3</v>
      </c>
      <c r="B383" s="22" t="str">
        <f>IFERROR(__xludf.DUMMYFUNCTION("""COMPUTED_VALUE"""),"DC6-PXSX2")</f>
        <v>DC6-PXSX2</v>
      </c>
      <c r="C383" s="22" t="str">
        <f>IFERROR(__xludf.DUMMYFUNCTION("""COMPUTED_VALUE"""),"Phòng Kỹ thuật")</f>
        <v>Phòng Kỹ thuật</v>
      </c>
      <c r="D383" s="22" t="str">
        <f>IFERROR(__xludf.DUMMYFUNCTION("""COMPUTED_VALUE"""),"Cơ điện hành chính - DC6")</f>
        <v>Cơ điện hành chính - DC6</v>
      </c>
      <c r="E383" s="22" t="str">
        <f>IFERROR(__xludf.DUMMYFUNCTION("""COMPUTED_VALUE"""),"Cơ điện hành chính Mức 2")</f>
        <v>Cơ điện hành chính Mức 2</v>
      </c>
      <c r="F383" s="22" t="str">
        <f>IFERROR(__xludf.DUMMYFUNCTION("""COMPUTED_VALUE"""),"NV0976")</f>
        <v>NV0976</v>
      </c>
      <c r="G383" s="22">
        <f>IFERROR(__xludf.DUMMYFUNCTION("""COMPUTED_VALUE"""),544.0)</f>
        <v>544</v>
      </c>
      <c r="H383" s="22" t="str">
        <f>IFERROR(__xludf.DUMMYFUNCTION("""COMPUTED_VALUE"""),"Hoàng Văn Vũ")</f>
        <v>Hoàng Văn Vũ</v>
      </c>
      <c r="I383" s="22" t="str">
        <f>IFERROR(__xludf.DUMMYFUNCTION("""COMPUTED_VALUE"""),"Nam")</f>
        <v>Nam</v>
      </c>
      <c r="J383" s="24">
        <f>IFERROR(__xludf.DUMMYFUNCTION("""COMPUTED_VALUE"""),33620.0)</f>
        <v>33620</v>
      </c>
      <c r="K383" s="22" t="str">
        <f>IFERROR(__xludf.DUMMYFUNCTION("""COMPUTED_VALUE"""),"Phố 5 - Phường Quảng Phú - Tỉnh Thanh Hóa")</f>
        <v>Phố 5 - Phường Quảng Phú - Tỉnh Thanh Hóa</v>
      </c>
      <c r="L383" s="22" t="str">
        <f>IFERROR(__xludf.DUMMYFUNCTION("""COMPUTED_VALUE"""),"0969270558")</f>
        <v>0969270558</v>
      </c>
      <c r="M383" s="22" t="str">
        <f>IFERROR(__xludf.DUMMYFUNCTION("""COMPUTED_VALUE"""),"038092016905")</f>
        <v>038092016905</v>
      </c>
      <c r="N383" s="26">
        <f>IFERROR(__xludf.DUMMYFUNCTION("""COMPUTED_VALUE"""),43775.0)</f>
        <v>43775</v>
      </c>
      <c r="O383" s="22" t="str">
        <f>IFERROR(__xludf.DUMMYFUNCTION("""COMPUTED_VALUE"""),"Cục Cảnh sát QLHC về TTXH")</f>
        <v>Cục Cảnh sát QLHC về TTXH</v>
      </c>
      <c r="P383" s="22" t="str">
        <f>IFERROR(__xludf.DUMMYFUNCTION("""COMPUTED_VALUE"""),"Trung cấp, nghề")</f>
        <v>Trung cấp, nghề</v>
      </c>
      <c r="Q383" s="22" t="str">
        <f>IFERROR(__xludf.DUMMYFUNCTION("""COMPUTED_VALUE"""),"Điện dân dụng và công nghiệp")</f>
        <v>Điện dân dụng và công nghiệp</v>
      </c>
      <c r="R383" s="24">
        <f>IFERROR(__xludf.DUMMYFUNCTION("""COMPUTED_VALUE"""),44264.0)</f>
        <v>44264</v>
      </c>
      <c r="S383" s="24">
        <f>IFERROR(__xludf.DUMMYFUNCTION("""COMPUTED_VALUE"""),44562.0)</f>
        <v>44562</v>
      </c>
      <c r="T383" s="22" t="str">
        <f>IFERROR(__xludf.DUMMYFUNCTION("""COMPUTED_VALUE"""),"Chính thức")</f>
        <v>Chính thức</v>
      </c>
      <c r="U383" s="22"/>
      <c r="V383" s="22" t="str">
        <f>IFERROR(__xludf.DUMMYFUNCTION("""COMPUTED_VALUE"""),"Chính thức")</f>
        <v>Chính thức</v>
      </c>
      <c r="W383" s="22" t="str">
        <f>IFERROR(__xludf.DUMMYFUNCTION("""COMPUTED_VALUE"""),"4 năm 9 tháng")</f>
        <v>4 năm 9 tháng</v>
      </c>
      <c r="X383" s="22"/>
      <c r="Y383" s="22"/>
      <c r="Z383" s="22"/>
    </row>
    <row r="384">
      <c r="A384" s="22">
        <f>IFERROR(__xludf.DUMMYFUNCTION("""COMPUTED_VALUE"""),4.0)</f>
        <v>4</v>
      </c>
      <c r="B384" s="22" t="str">
        <f>IFERROR(__xludf.DUMMYFUNCTION("""COMPUTED_VALUE"""),"DC6-PXSX2")</f>
        <v>DC6-PXSX2</v>
      </c>
      <c r="C384" s="22" t="str">
        <f>IFERROR(__xludf.DUMMYFUNCTION("""COMPUTED_VALUE"""),"Phòng Kỹ thuật")</f>
        <v>Phòng Kỹ thuật</v>
      </c>
      <c r="D384" s="22" t="str">
        <f>IFERROR(__xludf.DUMMYFUNCTION("""COMPUTED_VALUE"""),"Cơ điện hành chính - DC6")</f>
        <v>Cơ điện hành chính - DC6</v>
      </c>
      <c r="E384" s="22" t="str">
        <f>IFERROR(__xludf.DUMMYFUNCTION("""COMPUTED_VALUE"""),"Cơ điện hành chính Mức 2")</f>
        <v>Cơ điện hành chính Mức 2</v>
      </c>
      <c r="F384" s="22" t="str">
        <f>IFERROR(__xludf.DUMMYFUNCTION("""COMPUTED_VALUE"""),"NV5492")</f>
        <v>NV5492</v>
      </c>
      <c r="G384" s="22">
        <f>IFERROR(__xludf.DUMMYFUNCTION("""COMPUTED_VALUE"""),975.0)</f>
        <v>975</v>
      </c>
      <c r="H384" s="22" t="str">
        <f>IFERROR(__xludf.DUMMYFUNCTION("""COMPUTED_VALUE"""),"Lê Bật Nam")</f>
        <v>Lê Bật Nam</v>
      </c>
      <c r="I384" s="22" t="str">
        <f>IFERROR(__xludf.DUMMYFUNCTION("""COMPUTED_VALUE"""),"Nam")</f>
        <v>Nam</v>
      </c>
      <c r="J384" s="24">
        <f>IFERROR(__xludf.DUMMYFUNCTION("""COMPUTED_VALUE"""),36750.0)</f>
        <v>36750</v>
      </c>
      <c r="K384" s="22" t="str">
        <f>IFERROR(__xludf.DUMMYFUNCTION("""COMPUTED_VALUE"""),"Thị trấn Nưa - Triệu Sơn - Thanh Hóa")</f>
        <v>Thị trấn Nưa - Triệu Sơn - Thanh Hóa</v>
      </c>
      <c r="L384" s="22" t="str">
        <f>IFERROR(__xludf.DUMMYFUNCTION("""COMPUTED_VALUE"""),"0923757104")</f>
        <v>0923757104</v>
      </c>
      <c r="M384" s="22" t="str">
        <f>IFERROR(__xludf.DUMMYFUNCTION("""COMPUTED_VALUE"""),"038200009693")</f>
        <v>038200009693</v>
      </c>
      <c r="N384" s="26">
        <f>IFERROR(__xludf.DUMMYFUNCTION("""COMPUTED_VALUE"""),44833.0)</f>
        <v>44833</v>
      </c>
      <c r="O384" s="22" t="str">
        <f>IFERROR(__xludf.DUMMYFUNCTION("""COMPUTED_VALUE"""),"Cục Cảnh sát QLHC về TTXH")</f>
        <v>Cục Cảnh sát QLHC về TTXH</v>
      </c>
      <c r="P384" s="22" t="str">
        <f>IFERROR(__xludf.DUMMYFUNCTION("""COMPUTED_VALUE"""),"Trung cấp, nghề")</f>
        <v>Trung cấp, nghề</v>
      </c>
      <c r="Q384" s="22" t="str">
        <f>IFERROR(__xludf.DUMMYFUNCTION("""COMPUTED_VALUE"""),"Công nghệ oto")</f>
        <v>Công nghệ oto</v>
      </c>
      <c r="R384" s="24">
        <f>IFERROR(__xludf.DUMMYFUNCTION("""COMPUTED_VALUE"""),45807.0)</f>
        <v>45807</v>
      </c>
      <c r="S384" s="24">
        <f>IFERROR(__xludf.DUMMYFUNCTION("""COMPUTED_VALUE"""),45838.0)</f>
        <v>45838</v>
      </c>
      <c r="T384" s="22" t="str">
        <f>IFERROR(__xludf.DUMMYFUNCTION("""COMPUTED_VALUE"""),"Chính thức")</f>
        <v>Chính thức</v>
      </c>
      <c r="U384" s="22"/>
      <c r="V384" s="22" t="str">
        <f>IFERROR(__xludf.DUMMYFUNCTION("""COMPUTED_VALUE"""),"Chính thức")</f>
        <v>Chính thức</v>
      </c>
      <c r="W384" s="22" t="str">
        <f>IFERROR(__xludf.DUMMYFUNCTION("""COMPUTED_VALUE"""),"0 năm 7 tháng")</f>
        <v>0 năm 7 tháng</v>
      </c>
      <c r="X384" s="22"/>
      <c r="Y384" s="22"/>
      <c r="Z384" s="22"/>
    </row>
    <row r="385">
      <c r="A385" s="28">
        <f>IFERROR(__xludf.DUMMYFUNCTION("""COMPUTED_VALUE"""),45876.0)</f>
        <v>45876</v>
      </c>
      <c r="B385" s="22" t="str">
        <f>IFERROR(__xludf.DUMMYFUNCTION("""COMPUTED_VALUE"""),"Cơ điện Ca A - DC6")</f>
        <v>Cơ điện Ca A - DC6</v>
      </c>
      <c r="C385" s="22">
        <f>IFERROR(__xludf.DUMMYFUNCTION("""COMPUTED_VALUE"""),2.0)</f>
        <v>2</v>
      </c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>
        <f>IFERROR(__xludf.DUMMYFUNCTION("""COMPUTED_VALUE"""),1.0)</f>
        <v>1</v>
      </c>
      <c r="B386" s="22" t="str">
        <f>IFERROR(__xludf.DUMMYFUNCTION("""COMPUTED_VALUE"""),"DC6-PXSX2")</f>
        <v>DC6-PXSX2</v>
      </c>
      <c r="C386" s="22" t="str">
        <f>IFERROR(__xludf.DUMMYFUNCTION("""COMPUTED_VALUE"""),"Phòng Kỹ thuật")</f>
        <v>Phòng Kỹ thuật</v>
      </c>
      <c r="D386" s="22" t="str">
        <f>IFERROR(__xludf.DUMMYFUNCTION("""COMPUTED_VALUE"""),"Cơ điện Ca A - DC6")</f>
        <v>Cơ điện Ca A - DC6</v>
      </c>
      <c r="E386" s="22" t="str">
        <f>IFERROR(__xludf.DUMMYFUNCTION("""COMPUTED_VALUE"""),"NT cơ điện đi ca")</f>
        <v>NT cơ điện đi ca</v>
      </c>
      <c r="F386" s="22" t="str">
        <f>IFERROR(__xludf.DUMMYFUNCTION("""COMPUTED_VALUE"""),"NV0731")</f>
        <v>NV0731</v>
      </c>
      <c r="G386" s="22">
        <f>IFERROR(__xludf.DUMMYFUNCTION("""COMPUTED_VALUE"""),399.0)</f>
        <v>399</v>
      </c>
      <c r="H386" s="22" t="str">
        <f>IFERROR(__xludf.DUMMYFUNCTION("""COMPUTED_VALUE"""),"Nguyễn Doãn Nghiêm")</f>
        <v>Nguyễn Doãn Nghiêm</v>
      </c>
      <c r="I386" s="22" t="str">
        <f>IFERROR(__xludf.DUMMYFUNCTION("""COMPUTED_VALUE"""),"Nam")</f>
        <v>Nam</v>
      </c>
      <c r="J386" s="24">
        <f>IFERROR(__xludf.DUMMYFUNCTION("""COMPUTED_VALUE"""),33782.0)</f>
        <v>33782</v>
      </c>
      <c r="K386" s="22" t="str">
        <f>IFERROR(__xludf.DUMMYFUNCTION("""COMPUTED_VALUE"""),"Thôn 6 -  Xã Hoằng Hóa - Tỉnh Thanh Hóa")</f>
        <v>Thôn 6 -  Xã Hoằng Hóa - Tỉnh Thanh Hóa</v>
      </c>
      <c r="L386" s="22" t="str">
        <f>IFERROR(__xludf.DUMMYFUNCTION("""COMPUTED_VALUE"""),"0379846509")</f>
        <v>0379846509</v>
      </c>
      <c r="M386" s="22" t="str">
        <f>IFERROR(__xludf.DUMMYFUNCTION("""COMPUTED_VALUE"""),"038092024522")</f>
        <v>038092024522</v>
      </c>
      <c r="N386" s="26">
        <f>IFERROR(__xludf.DUMMYFUNCTION("""COMPUTED_VALUE"""),44547.0)</f>
        <v>44547</v>
      </c>
      <c r="O386" s="22" t="str">
        <f>IFERROR(__xludf.DUMMYFUNCTION("""COMPUTED_VALUE"""),"Cục Cảnh sát QLHC về TTXH")</f>
        <v>Cục Cảnh sát QLHC về TTXH</v>
      </c>
      <c r="P386" s="22" t="str">
        <f>IFERROR(__xludf.DUMMYFUNCTION("""COMPUTED_VALUE"""),"Sơ cấp nghề")</f>
        <v>Sơ cấp nghề</v>
      </c>
      <c r="Q386" s="22" t="str">
        <f>IFERROR(__xludf.DUMMYFUNCTION("""COMPUTED_VALUE"""),"THợ sửa điện")</f>
        <v>THợ sửa điện</v>
      </c>
      <c r="R386" s="24">
        <f>IFERROR(__xludf.DUMMYFUNCTION("""COMPUTED_VALUE"""),42119.0)</f>
        <v>42119</v>
      </c>
      <c r="S386" s="24">
        <f>IFERROR(__xludf.DUMMYFUNCTION("""COMPUTED_VALUE"""),42119.0)</f>
        <v>42119</v>
      </c>
      <c r="T386" s="22" t="str">
        <f>IFERROR(__xludf.DUMMYFUNCTION("""COMPUTED_VALUE"""),"Chính thức")</f>
        <v>Chính thức</v>
      </c>
      <c r="U386" s="22"/>
      <c r="V386" s="22" t="str">
        <f>IFERROR(__xludf.DUMMYFUNCTION("""COMPUTED_VALUE"""),"Chính thức")</f>
        <v>Chính thức</v>
      </c>
      <c r="W386" s="22" t="str">
        <f>IFERROR(__xludf.DUMMYFUNCTION("""COMPUTED_VALUE"""),"10 năm 8 tháng")</f>
        <v>10 năm 8 tháng</v>
      </c>
      <c r="X386" s="22"/>
      <c r="Y386" s="22"/>
      <c r="Z386" s="22"/>
    </row>
    <row r="387">
      <c r="A387" s="22">
        <f>IFERROR(__xludf.DUMMYFUNCTION("""COMPUTED_VALUE"""),2.0)</f>
        <v>2</v>
      </c>
      <c r="B387" s="22" t="str">
        <f>IFERROR(__xludf.DUMMYFUNCTION("""COMPUTED_VALUE"""),"DC6-PXSX2")</f>
        <v>DC6-PXSX2</v>
      </c>
      <c r="C387" s="22" t="str">
        <f>IFERROR(__xludf.DUMMYFUNCTION("""COMPUTED_VALUE"""),"Phòng Kỹ thuật")</f>
        <v>Phòng Kỹ thuật</v>
      </c>
      <c r="D387" s="22" t="str">
        <f>IFERROR(__xludf.DUMMYFUNCTION("""COMPUTED_VALUE"""),"Cơ điện Ca A - DC6")</f>
        <v>Cơ điện Ca A - DC6</v>
      </c>
      <c r="E387" s="22" t="str">
        <f>IFERROR(__xludf.DUMMYFUNCTION("""COMPUTED_VALUE"""),"Cơ điện đi ca")</f>
        <v>Cơ điện đi ca</v>
      </c>
      <c r="F387" s="22" t="str">
        <f>IFERROR(__xludf.DUMMYFUNCTION("""COMPUTED_VALUE"""),"NV4175")</f>
        <v>NV4175</v>
      </c>
      <c r="G387" s="22">
        <f>IFERROR(__xludf.DUMMYFUNCTION("""COMPUTED_VALUE"""),400.0)</f>
        <v>400</v>
      </c>
      <c r="H387" s="22" t="str">
        <f>IFERROR(__xludf.DUMMYFUNCTION("""COMPUTED_VALUE"""),"Dương Văn Lý")</f>
        <v>Dương Văn Lý</v>
      </c>
      <c r="I387" s="22" t="str">
        <f>IFERROR(__xludf.DUMMYFUNCTION("""COMPUTED_VALUE"""),"Nam")</f>
        <v>Nam</v>
      </c>
      <c r="J387" s="24">
        <f>IFERROR(__xludf.DUMMYFUNCTION("""COMPUTED_VALUE"""),32084.0)</f>
        <v>32084</v>
      </c>
      <c r="K387" s="22" t="str">
        <f>IFERROR(__xludf.DUMMYFUNCTION("""COMPUTED_VALUE"""),"Phường Ngọc Sơn - Tỉnh Thanh Hóa")</f>
        <v>Phường Ngọc Sơn - Tỉnh Thanh Hóa</v>
      </c>
      <c r="L387" s="22" t="str">
        <f>IFERROR(__xludf.DUMMYFUNCTION("""COMPUTED_VALUE"""),"0962252180")</f>
        <v>0962252180</v>
      </c>
      <c r="M387" s="22" t="str">
        <f>IFERROR(__xludf.DUMMYFUNCTION("""COMPUTED_VALUE"""),"038087022873")</f>
        <v>038087022873</v>
      </c>
      <c r="N387" s="26">
        <f>IFERROR(__xludf.DUMMYFUNCTION("""COMPUTED_VALUE"""),44418.0)</f>
        <v>44418</v>
      </c>
      <c r="O387" s="22" t="str">
        <f>IFERROR(__xludf.DUMMYFUNCTION("""COMPUTED_VALUE"""),"Cục Cảnh sát QLHC về TTXH")</f>
        <v>Cục Cảnh sát QLHC về TTXH</v>
      </c>
      <c r="P387" s="22" t="str">
        <f>IFERROR(__xludf.DUMMYFUNCTION("""COMPUTED_VALUE"""),"Trung học chuyên nghiệp")</f>
        <v>Trung học chuyên nghiệp</v>
      </c>
      <c r="Q387" s="22" t="str">
        <f>IFERROR(__xludf.DUMMYFUNCTION("""COMPUTED_VALUE"""),"Điện xí nghiệp")</f>
        <v>Điện xí nghiệp</v>
      </c>
      <c r="R387" s="24">
        <f>IFERROR(__xludf.DUMMYFUNCTION("""COMPUTED_VALUE"""),44690.0)</f>
        <v>44690</v>
      </c>
      <c r="S387" s="24">
        <f>IFERROR(__xludf.DUMMYFUNCTION("""COMPUTED_VALUE"""),44986.0)</f>
        <v>44986</v>
      </c>
      <c r="T387" s="22" t="str">
        <f>IFERROR(__xludf.DUMMYFUNCTION("""COMPUTED_VALUE"""),"Chính thức")</f>
        <v>Chính thức</v>
      </c>
      <c r="U387" s="22"/>
      <c r="V387" s="22" t="str">
        <f>IFERROR(__xludf.DUMMYFUNCTION("""COMPUTED_VALUE"""),"Chính thức")</f>
        <v>Chính thức</v>
      </c>
      <c r="W387" s="22" t="str">
        <f>IFERROR(__xludf.DUMMYFUNCTION("""COMPUTED_VALUE"""),"3 năm 7 tháng")</f>
        <v>3 năm 7 tháng</v>
      </c>
      <c r="X387" s="22"/>
      <c r="Y387" s="22"/>
      <c r="Z387" s="22"/>
    </row>
    <row r="388">
      <c r="A388" s="28">
        <f>IFERROR(__xludf.DUMMYFUNCTION("""COMPUTED_VALUE"""),45907.0)</f>
        <v>45907</v>
      </c>
      <c r="B388" s="22" t="str">
        <f>IFERROR(__xludf.DUMMYFUNCTION("""COMPUTED_VALUE"""),"Cơ điện Ca B - DC6")</f>
        <v>Cơ điện Ca B - DC6</v>
      </c>
      <c r="C388" s="22">
        <f>IFERROR(__xludf.DUMMYFUNCTION("""COMPUTED_VALUE"""),2.0)</f>
        <v>2</v>
      </c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 t="str">
        <f>IFERROR(__xludf.DUMMYFUNCTION("""COMPUTED_VALUE"""),"DC6-PXSX2")</f>
        <v>DC6-PXSX2</v>
      </c>
      <c r="C389" s="22" t="str">
        <f>IFERROR(__xludf.DUMMYFUNCTION("""COMPUTED_VALUE"""),"Phòng Kỹ thuật")</f>
        <v>Phòng Kỹ thuật</v>
      </c>
      <c r="D389" s="22" t="str">
        <f>IFERROR(__xludf.DUMMYFUNCTION("""COMPUTED_VALUE"""),"Cơ điện Ca B - DC6")</f>
        <v>Cơ điện Ca B - DC6</v>
      </c>
      <c r="E389" s="22" t="str">
        <f>IFERROR(__xludf.DUMMYFUNCTION("""COMPUTED_VALUE"""),"NT cơ điện đi ca")</f>
        <v>NT cơ điện đi ca</v>
      </c>
      <c r="F389" s="22" t="str">
        <f>IFERROR(__xludf.DUMMYFUNCTION("""COMPUTED_VALUE"""),"NV5163")</f>
        <v>NV5163</v>
      </c>
      <c r="G389" s="22">
        <f>IFERROR(__xludf.DUMMYFUNCTION("""COMPUTED_VALUE"""),578.0)</f>
        <v>578</v>
      </c>
      <c r="H389" s="22" t="str">
        <f>IFERROR(__xludf.DUMMYFUNCTION("""COMPUTED_VALUE"""),"Phan Đình Văn ")</f>
        <v>Phan Đình Văn </v>
      </c>
      <c r="I389" s="22" t="str">
        <f>IFERROR(__xludf.DUMMYFUNCTION("""COMPUTED_VALUE"""),"Nam")</f>
        <v>Nam</v>
      </c>
      <c r="J389" s="24">
        <f>IFERROR(__xludf.DUMMYFUNCTION("""COMPUTED_VALUE"""),31737.0)</f>
        <v>31737</v>
      </c>
      <c r="K389" s="22" t="str">
        <f>IFERROR(__xludf.DUMMYFUNCTION("""COMPUTED_VALUE"""),"Xã Hoằng Lộc - Tỉnh Thanh Hóa")</f>
        <v>Xã Hoằng Lộc - Tỉnh Thanh Hóa</v>
      </c>
      <c r="L389" s="22" t="str">
        <f>IFERROR(__xludf.DUMMYFUNCTION("""COMPUTED_VALUE"""),"0785728668")</f>
        <v>0785728668</v>
      </c>
      <c r="M389" s="22" t="str">
        <f>IFERROR(__xludf.DUMMYFUNCTION("""COMPUTED_VALUE"""),"038086039792")</f>
        <v>038086039792</v>
      </c>
      <c r="N389" s="26">
        <f>IFERROR(__xludf.DUMMYFUNCTION("""COMPUTED_VALUE"""),44602.0)</f>
        <v>44602</v>
      </c>
      <c r="O389" s="22" t="str">
        <f>IFERROR(__xludf.DUMMYFUNCTION("""COMPUTED_VALUE"""),"Cục Cảnh sát QLHC về TTXH")</f>
        <v>Cục Cảnh sát QLHC về TTXH</v>
      </c>
      <c r="P389" s="22" t="str">
        <f>IFERROR(__xludf.DUMMYFUNCTION("""COMPUTED_VALUE"""),"Bằng nghề")</f>
        <v>Bằng nghề</v>
      </c>
      <c r="Q389" s="22" t="str">
        <f>IFERROR(__xludf.DUMMYFUNCTION("""COMPUTED_VALUE"""),"Điện Công nghiệp và dân dụng")</f>
        <v>Điện Công nghiệp và dân dụng</v>
      </c>
      <c r="R389" s="24">
        <f>IFERROR(__xludf.DUMMYFUNCTION("""COMPUTED_VALUE"""),45414.0)</f>
        <v>45414</v>
      </c>
      <c r="S389" s="24">
        <f>IFERROR(__xludf.DUMMYFUNCTION("""COMPUTED_VALUE"""),45505.0)</f>
        <v>45505</v>
      </c>
      <c r="T389" s="22" t="str">
        <f>IFERROR(__xludf.DUMMYFUNCTION("""COMPUTED_VALUE"""),"Chính thức")</f>
        <v>Chính thức</v>
      </c>
      <c r="U389" s="22"/>
      <c r="V389" s="22" t="str">
        <f>IFERROR(__xludf.DUMMYFUNCTION("""COMPUTED_VALUE"""),"Chính thức")</f>
        <v>Chính thức</v>
      </c>
      <c r="W389" s="22" t="str">
        <f>IFERROR(__xludf.DUMMYFUNCTION("""COMPUTED_VALUE"""),"1 năm 7 tháng")</f>
        <v>1 năm 7 tháng</v>
      </c>
      <c r="X389" s="22"/>
      <c r="Y389" s="22"/>
      <c r="Z389" s="22"/>
    </row>
    <row r="390">
      <c r="A390" s="22"/>
      <c r="B390" s="22" t="str">
        <f>IFERROR(__xludf.DUMMYFUNCTION("""COMPUTED_VALUE"""),"DC6-PXSX2")</f>
        <v>DC6-PXSX2</v>
      </c>
      <c r="C390" s="22" t="str">
        <f>IFERROR(__xludf.DUMMYFUNCTION("""COMPUTED_VALUE"""),"Phòng Kỹ thuật")</f>
        <v>Phòng Kỹ thuật</v>
      </c>
      <c r="D390" s="22" t="str">
        <f>IFERROR(__xludf.DUMMYFUNCTION("""COMPUTED_VALUE"""),"Cơ điện Ca B - DC6")</f>
        <v>Cơ điện Ca B - DC6</v>
      </c>
      <c r="E390" s="22" t="str">
        <f>IFERROR(__xludf.DUMMYFUNCTION("""COMPUTED_VALUE"""),"Cơ điện đi ca")</f>
        <v>Cơ điện đi ca</v>
      </c>
      <c r="F390" s="22" t="str">
        <f>IFERROR(__xludf.DUMMYFUNCTION("""COMPUTED_VALUE"""),"NV3083")</f>
        <v>NV3083</v>
      </c>
      <c r="G390" s="22">
        <f>IFERROR(__xludf.DUMMYFUNCTION("""COMPUTED_VALUE"""),819.0)</f>
        <v>819</v>
      </c>
      <c r="H390" s="22" t="str">
        <f>IFERROR(__xludf.DUMMYFUNCTION("""COMPUTED_VALUE"""),"Phạm Hồng Phong")</f>
        <v>Phạm Hồng Phong</v>
      </c>
      <c r="I390" s="22" t="str">
        <f>IFERROR(__xludf.DUMMYFUNCTION("""COMPUTED_VALUE"""),"Nam")</f>
        <v>Nam</v>
      </c>
      <c r="J390" s="24">
        <f>IFERROR(__xludf.DUMMYFUNCTION("""COMPUTED_VALUE"""),33829.0)</f>
        <v>33829</v>
      </c>
      <c r="K390" s="22" t="str">
        <f>IFERROR(__xludf.DUMMYFUNCTION("""COMPUTED_VALUE"""),"Phường Hàm Rồng - Tỉnh Thanh Hóa")</f>
        <v>Phường Hàm Rồng - Tỉnh Thanh Hóa</v>
      </c>
      <c r="L390" s="22" t="str">
        <f>IFERROR(__xludf.DUMMYFUNCTION("""COMPUTED_VALUE"""),"0968135042")</f>
        <v>0968135042</v>
      </c>
      <c r="M390" s="22" t="str">
        <f>IFERROR(__xludf.DUMMYFUNCTION("""COMPUTED_VALUE"""),"038092052977")</f>
        <v>038092052977</v>
      </c>
      <c r="N390" s="26">
        <f>IFERROR(__xludf.DUMMYFUNCTION("""COMPUTED_VALUE"""),44460.0)</f>
        <v>44460</v>
      </c>
      <c r="O390" s="22" t="str">
        <f>IFERROR(__xludf.DUMMYFUNCTION("""COMPUTED_VALUE"""),"Cục Cảnh sát QLHC về TTXH")</f>
        <v>Cục Cảnh sát QLHC về TTXH</v>
      </c>
      <c r="P390" s="22" t="str">
        <f>IFERROR(__xludf.DUMMYFUNCTION("""COMPUTED_VALUE"""),"Cao đẳng nghề")</f>
        <v>Cao đẳng nghề</v>
      </c>
      <c r="Q390" s="22" t="str">
        <f>IFERROR(__xludf.DUMMYFUNCTION("""COMPUTED_VALUE"""),"Điện công nghiệp")</f>
        <v>Điện công nghiệp</v>
      </c>
      <c r="R390" s="24">
        <f>IFERROR(__xludf.DUMMYFUNCTION("""COMPUTED_VALUE"""),44019.0)</f>
        <v>44019</v>
      </c>
      <c r="S390" s="24">
        <f>IFERROR(__xludf.DUMMYFUNCTION("""COMPUTED_VALUE"""),44317.0)</f>
        <v>44317</v>
      </c>
      <c r="T390" s="22" t="str">
        <f>IFERROR(__xludf.DUMMYFUNCTION("""COMPUTED_VALUE"""),"Chính thức")</f>
        <v>Chính thức</v>
      </c>
      <c r="U390" s="22"/>
      <c r="V390" s="22" t="str">
        <f>IFERROR(__xludf.DUMMYFUNCTION("""COMPUTED_VALUE"""),"Chính thức")</f>
        <v>Chính thức</v>
      </c>
      <c r="W390" s="22" t="str">
        <f>IFERROR(__xludf.DUMMYFUNCTION("""COMPUTED_VALUE"""),"5 năm 5 tháng")</f>
        <v>5 năm 5 tháng</v>
      </c>
      <c r="X390" s="22"/>
      <c r="Y390" s="22"/>
      <c r="Z390" s="22"/>
    </row>
    <row r="391">
      <c r="A391" s="28">
        <f>IFERROR(__xludf.DUMMYFUNCTION("""COMPUTED_VALUE"""),45937.0)</f>
        <v>45937</v>
      </c>
      <c r="B391" s="22" t="str">
        <f>IFERROR(__xludf.DUMMYFUNCTION("""COMPUTED_VALUE"""),"Cơ điện Ca C - DC6")</f>
        <v>Cơ điện Ca C - DC6</v>
      </c>
      <c r="C391" s="22">
        <f>IFERROR(__xludf.DUMMYFUNCTION("""COMPUTED_VALUE"""),0.0)</f>
        <v>0</v>
      </c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 t="str">
        <f>IFERROR(__xludf.DUMMYFUNCTION("""COMPUTED_VALUE"""),"#N/A")</f>
        <v>#N/A</v>
      </c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>
        <f>IFERROR(__xludf.DUMMYFUNCTION("""COMPUTED_VALUE"""),8.0)</f>
        <v>8</v>
      </c>
      <c r="B394" s="22" t="str">
        <f>IFERROR(__xludf.DUMMYFUNCTION("""COMPUTED_VALUE"""),"Nhóm Hậu cần nội vụ PXSX2")</f>
        <v>Nhóm Hậu cần nội vụ PXSX2</v>
      </c>
      <c r="C394" s="22">
        <f>IFERROR(__xludf.DUMMYFUNCTION("""COMPUTED_VALUE"""),6.0)</f>
        <v>6</v>
      </c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>
        <f>IFERROR(__xludf.DUMMYFUNCTION("""COMPUTED_VALUE"""),1.0)</f>
        <v>1</v>
      </c>
      <c r="B395" s="22" t="str">
        <f>IFERROR(__xludf.DUMMYFUNCTION("""COMPUTED_VALUE"""),"PXSX2")</f>
        <v>PXSX2</v>
      </c>
      <c r="C395" s="22" t="str">
        <f>IFERROR(__xludf.DUMMYFUNCTION("""COMPUTED_VALUE"""),"Nhóm Hậu cần nội vụ PXSX2")</f>
        <v>Nhóm Hậu cần nội vụ PXSX2</v>
      </c>
      <c r="D395" s="22" t="str">
        <f>IFERROR(__xludf.DUMMYFUNCTION("""COMPUTED_VALUE"""),"Bộ phận hành chính")</f>
        <v>Bộ phận hành chính</v>
      </c>
      <c r="E395" s="22" t="str">
        <f>IFERROR(__xludf.DUMMYFUNCTION("""COMPUTED_VALUE"""),"Tổ phó tổ xe máy hậu cần")</f>
        <v>Tổ phó tổ xe máy hậu cần</v>
      </c>
      <c r="F395" s="22" t="str">
        <f>IFERROR(__xludf.DUMMYFUNCTION("""COMPUTED_VALUE"""),"NV1613")</f>
        <v>NV1613</v>
      </c>
      <c r="G395" s="22">
        <f>IFERROR(__xludf.DUMMYFUNCTION("""COMPUTED_VALUE"""),509.0)</f>
        <v>509</v>
      </c>
      <c r="H395" s="22" t="str">
        <f>IFERROR(__xludf.DUMMYFUNCTION("""COMPUTED_VALUE"""),"Lê Hữu Thiết")</f>
        <v>Lê Hữu Thiết</v>
      </c>
      <c r="I395" s="22" t="str">
        <f>IFERROR(__xludf.DUMMYFUNCTION("""COMPUTED_VALUE"""),"Nam")</f>
        <v>Nam</v>
      </c>
      <c r="J395" s="24">
        <f>IFERROR(__xludf.DUMMYFUNCTION("""COMPUTED_VALUE"""),32304.0)</f>
        <v>32304</v>
      </c>
      <c r="K395" s="22" t="str">
        <f>IFERROR(__xludf.DUMMYFUNCTION("""COMPUTED_VALUE"""),"Thôn 6 -  Xã Hoằng Thành -  Huyện Hoằng Hóa -  Thanh Hóa - ")</f>
        <v>Thôn 6 -  Xã Hoằng Thành -  Huyện Hoằng Hóa -  Thanh Hóa - </v>
      </c>
      <c r="L395" s="22" t="str">
        <f>IFERROR(__xludf.DUMMYFUNCTION("""COMPUTED_VALUE"""),"0949272018")</f>
        <v>0949272018</v>
      </c>
      <c r="M395" s="22" t="str">
        <f>IFERROR(__xludf.DUMMYFUNCTION("""COMPUTED_VALUE"""),"038088046017")</f>
        <v>038088046017</v>
      </c>
      <c r="N395" s="26">
        <f>IFERROR(__xludf.DUMMYFUNCTION("""COMPUTED_VALUE"""),44420.0)</f>
        <v>44420</v>
      </c>
      <c r="O395" s="22" t="str">
        <f>IFERROR(__xludf.DUMMYFUNCTION("""COMPUTED_VALUE"""),"Cục Cảnh sát QLHC về TTXH")</f>
        <v>Cục Cảnh sát QLHC về TTXH</v>
      </c>
      <c r="P395" s="22" t="str">
        <f>IFERROR(__xludf.DUMMYFUNCTION("""COMPUTED_VALUE"""),"Bằng nghề")</f>
        <v>Bằng nghề</v>
      </c>
      <c r="Q395" s="22" t="str">
        <f>IFERROR(__xludf.DUMMYFUNCTION("""COMPUTED_VALUE"""),"Lái xe hạng C")</f>
        <v>Lái xe hạng C</v>
      </c>
      <c r="R395" s="24">
        <f>IFERROR(__xludf.DUMMYFUNCTION("""COMPUTED_VALUE"""),43307.0)</f>
        <v>43307</v>
      </c>
      <c r="S395" s="24">
        <f>IFERROR(__xludf.DUMMYFUNCTION("""COMPUTED_VALUE"""),43466.0)</f>
        <v>43466</v>
      </c>
      <c r="T395" s="22" t="str">
        <f>IFERROR(__xludf.DUMMYFUNCTION("""COMPUTED_VALUE"""),"Chính thức")</f>
        <v>Chính thức</v>
      </c>
      <c r="U395" s="22"/>
      <c r="V395" s="22" t="str">
        <f>IFERROR(__xludf.DUMMYFUNCTION("""COMPUTED_VALUE"""),"Chính thức")</f>
        <v>Chính thức</v>
      </c>
      <c r="W395" s="22" t="str">
        <f>IFERROR(__xludf.DUMMYFUNCTION("""COMPUTED_VALUE"""),"7 năm 5 tháng")</f>
        <v>7 năm 5 tháng</v>
      </c>
      <c r="X395" s="22"/>
      <c r="Y395" s="22"/>
      <c r="Z395" s="22"/>
    </row>
    <row r="396">
      <c r="A396" s="22">
        <f>IFERROR(__xludf.DUMMYFUNCTION("""COMPUTED_VALUE"""),2.0)</f>
        <v>2</v>
      </c>
      <c r="B396" s="22" t="str">
        <f>IFERROR(__xludf.DUMMYFUNCTION("""COMPUTED_VALUE"""),"PXSX2")</f>
        <v>PXSX2</v>
      </c>
      <c r="C396" s="22" t="str">
        <f>IFERROR(__xludf.DUMMYFUNCTION("""COMPUTED_VALUE"""),"Nhóm Hậu cần nội vụ PXSX2")</f>
        <v>Nhóm Hậu cần nội vụ PXSX2</v>
      </c>
      <c r="D396" s="22" t="str">
        <f>IFERROR(__xludf.DUMMYFUNCTION("""COMPUTED_VALUE"""),"Bộ phận hành chính")</f>
        <v>Bộ phận hành chính</v>
      </c>
      <c r="E396" s="22" t="str">
        <f>IFERROR(__xludf.DUMMYFUNCTION("""COMPUTED_VALUE"""),"Vệ sinh công nghiệp")</f>
        <v>Vệ sinh công nghiệp</v>
      </c>
      <c r="F396" s="22" t="str">
        <f>IFERROR(__xludf.DUMMYFUNCTION("""COMPUTED_VALUE"""),"NV2606")</f>
        <v>NV2606</v>
      </c>
      <c r="G396" s="22">
        <f>IFERROR(__xludf.DUMMYFUNCTION("""COMPUTED_VALUE"""),533.0)</f>
        <v>533</v>
      </c>
      <c r="H396" s="22" t="str">
        <f>IFERROR(__xludf.DUMMYFUNCTION("""COMPUTED_VALUE"""),"Nguyễn Thị Vân")</f>
        <v>Nguyễn Thị Vân</v>
      </c>
      <c r="I396" s="22" t="str">
        <f>IFERROR(__xludf.DUMMYFUNCTION("""COMPUTED_VALUE"""),"Nữ")</f>
        <v>Nữ</v>
      </c>
      <c r="J396" s="24">
        <f>IFERROR(__xludf.DUMMYFUNCTION("""COMPUTED_VALUE"""),28483.0)</f>
        <v>28483</v>
      </c>
      <c r="K396" s="22" t="str">
        <f>IFERROR(__xludf.DUMMYFUNCTION("""COMPUTED_VALUE"""),"Xã Xuân Bình -  Huyện Như Xuân -  Thanh Hóa")</f>
        <v>Xã Xuân Bình -  Huyện Như Xuân -  Thanh Hóa</v>
      </c>
      <c r="L396" s="22" t="str">
        <f>IFERROR(__xludf.DUMMYFUNCTION("""COMPUTED_VALUE"""),"0961601352")</f>
        <v>0961601352</v>
      </c>
      <c r="M396" s="22" t="str">
        <f>IFERROR(__xludf.DUMMYFUNCTION("""COMPUTED_VALUE"""),"038177004378")</f>
        <v>038177004378</v>
      </c>
      <c r="N396" s="26">
        <f>IFERROR(__xludf.DUMMYFUNCTION("""COMPUTED_VALUE"""),43019.0)</f>
        <v>43019</v>
      </c>
      <c r="O396" s="22" t="str">
        <f>IFERROR(__xludf.DUMMYFUNCTION("""COMPUTED_VALUE"""),"Cục Cảnh sát QLHC về TTXH")</f>
        <v>Cục Cảnh sát QLHC về TTXH</v>
      </c>
      <c r="P396" s="22" t="str">
        <f>IFERROR(__xludf.DUMMYFUNCTION("""COMPUTED_VALUE"""),"LĐPT")</f>
        <v>LĐPT</v>
      </c>
      <c r="Q396" s="22" t="str">
        <f>IFERROR(__xludf.DUMMYFUNCTION("""COMPUTED_VALUE"""),"Lao động phổ thông")</f>
        <v>Lao động phổ thông</v>
      </c>
      <c r="R396" s="24">
        <f>IFERROR(__xludf.DUMMYFUNCTION("""COMPUTED_VALUE"""),45404.0)</f>
        <v>45404</v>
      </c>
      <c r="S396" s="24">
        <f>IFERROR(__xludf.DUMMYFUNCTION("""COMPUTED_VALUE"""),45536.0)</f>
        <v>45536</v>
      </c>
      <c r="T396" s="22" t="str">
        <f>IFERROR(__xludf.DUMMYFUNCTION("""COMPUTED_VALUE"""),"Chính thức")</f>
        <v>Chính thức</v>
      </c>
      <c r="U396" s="22"/>
      <c r="V396" s="22" t="str">
        <f>IFERROR(__xludf.DUMMYFUNCTION("""COMPUTED_VALUE"""),"Chính thức")</f>
        <v>Chính thức</v>
      </c>
      <c r="W396" s="22" t="str">
        <f>IFERROR(__xludf.DUMMYFUNCTION("""COMPUTED_VALUE"""),"1 năm 8 tháng")</f>
        <v>1 năm 8 tháng</v>
      </c>
      <c r="X396" s="22"/>
      <c r="Y396" s="22"/>
      <c r="Z396" s="22"/>
    </row>
    <row r="397">
      <c r="A397" s="22">
        <f>IFERROR(__xludf.DUMMYFUNCTION("""COMPUTED_VALUE"""),3.0)</f>
        <v>3</v>
      </c>
      <c r="B397" s="22" t="str">
        <f>IFERROR(__xludf.DUMMYFUNCTION("""COMPUTED_VALUE"""),"PXSX2")</f>
        <v>PXSX2</v>
      </c>
      <c r="C397" s="22" t="str">
        <f>IFERROR(__xludf.DUMMYFUNCTION("""COMPUTED_VALUE"""),"Nhóm Hậu cần nội vụ PXSX2")</f>
        <v>Nhóm Hậu cần nội vụ PXSX2</v>
      </c>
      <c r="D397" s="22" t="str">
        <f>IFERROR(__xludf.DUMMYFUNCTION("""COMPUTED_VALUE"""),"Bộ phận hành chính")</f>
        <v>Bộ phận hành chính</v>
      </c>
      <c r="E397" s="22" t="str">
        <f>IFERROR(__xludf.DUMMYFUNCTION("""COMPUTED_VALUE"""),"Nhóm trưởng xúc lật")</f>
        <v>Nhóm trưởng xúc lật</v>
      </c>
      <c r="F397" s="22" t="str">
        <f>IFERROR(__xludf.DUMMYFUNCTION("""COMPUTED_VALUE"""),"NV0714")</f>
        <v>NV0714</v>
      </c>
      <c r="G397" s="22">
        <f>IFERROR(__xludf.DUMMYFUNCTION("""COMPUTED_VALUE"""),728.0)</f>
        <v>728</v>
      </c>
      <c r="H397" s="22" t="str">
        <f>IFERROR(__xludf.DUMMYFUNCTION("""COMPUTED_VALUE"""),"Phùng Văn Dũng")</f>
        <v>Phùng Văn Dũng</v>
      </c>
      <c r="I397" s="22" t="str">
        <f>IFERROR(__xludf.DUMMYFUNCTION("""COMPUTED_VALUE"""),"Nam")</f>
        <v>Nam</v>
      </c>
      <c r="J397" s="24">
        <f>IFERROR(__xludf.DUMMYFUNCTION("""COMPUTED_VALUE"""),28392.0)</f>
        <v>28392</v>
      </c>
      <c r="K397" s="22" t="str">
        <f>IFERROR(__xludf.DUMMYFUNCTION("""COMPUTED_VALUE"""),"Xã Hà Yên -  Huyện Hà Trung -  Thanh Hóa")</f>
        <v>Xã Hà Yên -  Huyện Hà Trung -  Thanh Hóa</v>
      </c>
      <c r="L397" s="22" t="str">
        <f>IFERROR(__xludf.DUMMYFUNCTION("""COMPUTED_VALUE"""),"0977280532")</f>
        <v>0977280532</v>
      </c>
      <c r="M397" s="22" t="str">
        <f>IFERROR(__xludf.DUMMYFUNCTION("""COMPUTED_VALUE"""),"038077009001")</f>
        <v>038077009001</v>
      </c>
      <c r="N397" s="26">
        <f>IFERROR(__xludf.DUMMYFUNCTION("""COMPUTED_VALUE"""),44375.0)</f>
        <v>44375</v>
      </c>
      <c r="O397" s="22" t="str">
        <f>IFERROR(__xludf.DUMMYFUNCTION("""COMPUTED_VALUE"""),"Cục Cảnh sát QLHC về TTXH")</f>
        <v>Cục Cảnh sát QLHC về TTXH</v>
      </c>
      <c r="P397" s="22" t="str">
        <f>IFERROR(__xludf.DUMMYFUNCTION("""COMPUTED_VALUE"""),"Bằng nghề")</f>
        <v>Bằng nghề</v>
      </c>
      <c r="Q397" s="22" t="str">
        <f>IFERROR(__xludf.DUMMYFUNCTION("""COMPUTED_VALUE"""),"Lái máy xúc")</f>
        <v>Lái máy xúc</v>
      </c>
      <c r="R397" s="24">
        <f>IFERROR(__xludf.DUMMYFUNCTION("""COMPUTED_VALUE"""),38108.0)</f>
        <v>38108</v>
      </c>
      <c r="S397" s="24">
        <f>IFERROR(__xludf.DUMMYFUNCTION("""COMPUTED_VALUE"""),38108.0)</f>
        <v>38108</v>
      </c>
      <c r="T397" s="22" t="str">
        <f>IFERROR(__xludf.DUMMYFUNCTION("""COMPUTED_VALUE"""),"Chính thức")</f>
        <v>Chính thức</v>
      </c>
      <c r="U397" s="22"/>
      <c r="V397" s="22" t="str">
        <f>IFERROR(__xludf.DUMMYFUNCTION("""COMPUTED_VALUE"""),"Chính thức")</f>
        <v>Chính thức</v>
      </c>
      <c r="W397" s="22" t="str">
        <f>IFERROR(__xludf.DUMMYFUNCTION("""COMPUTED_VALUE"""),"21 năm 7 tháng")</f>
        <v>21 năm 7 tháng</v>
      </c>
      <c r="X397" s="22"/>
      <c r="Y397" s="22"/>
      <c r="Z397" s="22"/>
    </row>
    <row r="398">
      <c r="A398" s="22">
        <f>IFERROR(__xludf.DUMMYFUNCTION("""COMPUTED_VALUE"""),4.0)</f>
        <v>4</v>
      </c>
      <c r="B398" s="22" t="str">
        <f>IFERROR(__xludf.DUMMYFUNCTION("""COMPUTED_VALUE"""),"PXSX2")</f>
        <v>PXSX2</v>
      </c>
      <c r="C398" s="22" t="str">
        <f>IFERROR(__xludf.DUMMYFUNCTION("""COMPUTED_VALUE"""),"Nhóm Hậu cần nội vụ PXSX2")</f>
        <v>Nhóm Hậu cần nội vụ PXSX2</v>
      </c>
      <c r="D398" s="22" t="str">
        <f>IFERROR(__xludf.DUMMYFUNCTION("""COMPUTED_VALUE"""),"Bộ phận hành chính")</f>
        <v>Bộ phận hành chính</v>
      </c>
      <c r="E398" s="22" t="str">
        <f>IFERROR(__xludf.DUMMYFUNCTION("""COMPUTED_VALUE"""),"Xúc lật")</f>
        <v>Xúc lật</v>
      </c>
      <c r="F398" s="22" t="str">
        <f>IFERROR(__xludf.DUMMYFUNCTION("""COMPUTED_VALUE"""),"NV0713")</f>
        <v>NV0713</v>
      </c>
      <c r="G398" s="22">
        <f>IFERROR(__xludf.DUMMYFUNCTION("""COMPUTED_VALUE"""),581.0)</f>
        <v>581</v>
      </c>
      <c r="H398" s="22" t="str">
        <f>IFERROR(__xludf.DUMMYFUNCTION("""COMPUTED_VALUE"""),"Đỗ Đức Hà")</f>
        <v>Đỗ Đức Hà</v>
      </c>
      <c r="I398" s="22" t="str">
        <f>IFERROR(__xludf.DUMMYFUNCTION("""COMPUTED_VALUE"""),"Nam")</f>
        <v>Nam</v>
      </c>
      <c r="J398" s="24">
        <f>IFERROR(__xludf.DUMMYFUNCTION("""COMPUTED_VALUE"""),26475.0)</f>
        <v>26475</v>
      </c>
      <c r="K398" s="22" t="str">
        <f>IFERROR(__xludf.DUMMYFUNCTION("""COMPUTED_VALUE"""),"Thôn 8 -  Xã Hoằng Trạch -  Huyện Hoằng Hóa -  Thanh Hóa - ")</f>
        <v>Thôn 8 -  Xã Hoằng Trạch -  Huyện Hoằng Hóa -  Thanh Hóa - </v>
      </c>
      <c r="L398" s="22" t="str">
        <f>IFERROR(__xludf.DUMMYFUNCTION("""COMPUTED_VALUE"""),"0399751070")</f>
        <v>0399751070</v>
      </c>
      <c r="M398" s="22" t="str">
        <f>IFERROR(__xludf.DUMMYFUNCTION("""COMPUTED_VALUE"""),"038072005305")</f>
        <v>038072005305</v>
      </c>
      <c r="N398" s="26">
        <f>IFERROR(__xludf.DUMMYFUNCTION("""COMPUTED_VALUE"""),43035.0)</f>
        <v>43035</v>
      </c>
      <c r="O398" s="22" t="str">
        <f>IFERROR(__xludf.DUMMYFUNCTION("""COMPUTED_VALUE"""),"Cục Cảnh sát QLHC về TTXH")</f>
        <v>Cục Cảnh sát QLHC về TTXH</v>
      </c>
      <c r="P398" s="22" t="str">
        <f>IFERROR(__xludf.DUMMYFUNCTION("""COMPUTED_VALUE"""),"Bằng nghề")</f>
        <v>Bằng nghề</v>
      </c>
      <c r="Q398" s="22" t="str">
        <f>IFERROR(__xludf.DUMMYFUNCTION("""COMPUTED_VALUE"""),"Lái máy xúc")</f>
        <v>Lái máy xúc</v>
      </c>
      <c r="R398" s="24">
        <f>IFERROR(__xludf.DUMMYFUNCTION("""COMPUTED_VALUE"""),38078.0)</f>
        <v>38078</v>
      </c>
      <c r="S398" s="24">
        <f>IFERROR(__xludf.DUMMYFUNCTION("""COMPUTED_VALUE"""),38078.0)</f>
        <v>38078</v>
      </c>
      <c r="T398" s="22" t="str">
        <f>IFERROR(__xludf.DUMMYFUNCTION("""COMPUTED_VALUE"""),"Chính thức")</f>
        <v>Chính thức</v>
      </c>
      <c r="U398" s="22"/>
      <c r="V398" s="22" t="str">
        <f>IFERROR(__xludf.DUMMYFUNCTION("""COMPUTED_VALUE"""),"Chính thức")</f>
        <v>Chính thức</v>
      </c>
      <c r="W398" s="22" t="str">
        <f>IFERROR(__xludf.DUMMYFUNCTION("""COMPUTED_VALUE"""),"21 năm 8 tháng")</f>
        <v>21 năm 8 tháng</v>
      </c>
      <c r="X398" s="22"/>
      <c r="Y398" s="22"/>
      <c r="Z398" s="22"/>
    </row>
    <row r="399">
      <c r="A399" s="22">
        <f>IFERROR(__xludf.DUMMYFUNCTION("""COMPUTED_VALUE"""),5.0)</f>
        <v>5</v>
      </c>
      <c r="B399" s="22" t="str">
        <f>IFERROR(__xludf.DUMMYFUNCTION("""COMPUTED_VALUE"""),"PXSX2")</f>
        <v>PXSX2</v>
      </c>
      <c r="C399" s="22" t="str">
        <f>IFERROR(__xludf.DUMMYFUNCTION("""COMPUTED_VALUE"""),"Nhóm Hậu cần nội vụ PXSX2")</f>
        <v>Nhóm Hậu cần nội vụ PXSX2</v>
      </c>
      <c r="D399" s="22" t="str">
        <f>IFERROR(__xludf.DUMMYFUNCTION("""COMPUTED_VALUE"""),"Bộ phận hành chính")</f>
        <v>Bộ phận hành chính</v>
      </c>
      <c r="E399" s="22" t="str">
        <f>IFERROR(__xludf.DUMMYFUNCTION("""COMPUTED_VALUE"""),"Xúc lật")</f>
        <v>Xúc lật</v>
      </c>
      <c r="F399" s="22" t="str">
        <f>IFERROR(__xludf.DUMMYFUNCTION("""COMPUTED_VALUE"""),"NV1695")</f>
        <v>NV1695</v>
      </c>
      <c r="G399" s="22">
        <f>IFERROR(__xludf.DUMMYFUNCTION("""COMPUTED_VALUE"""),581.0)</f>
        <v>581</v>
      </c>
      <c r="H399" s="22" t="str">
        <f>IFERROR(__xludf.DUMMYFUNCTION("""COMPUTED_VALUE"""),"Trần Văn Đức")</f>
        <v>Trần Văn Đức</v>
      </c>
      <c r="I399" s="22" t="str">
        <f>IFERROR(__xludf.DUMMYFUNCTION("""COMPUTED_VALUE"""),"Nam")</f>
        <v>Nam</v>
      </c>
      <c r="J399" s="24">
        <f>IFERROR(__xludf.DUMMYFUNCTION("""COMPUTED_VALUE"""),31690.0)</f>
        <v>31690</v>
      </c>
      <c r="K399" s="22" t="str">
        <f>IFERROR(__xludf.DUMMYFUNCTION("""COMPUTED_VALUE"""),"Thôn 12 -  Xã Quảng Cát -  Thành phố Thanh Hóa -  Thanh Hóa -  Việt Nam")</f>
        <v>Thôn 12 -  Xã Quảng Cát -  Thành phố Thanh Hóa -  Thanh Hóa -  Việt Nam</v>
      </c>
      <c r="L399" s="22" t="str">
        <f>IFERROR(__xludf.DUMMYFUNCTION("""COMPUTED_VALUE"""),"0866103109")</f>
        <v>0866103109</v>
      </c>
      <c r="M399" s="22" t="str">
        <f>IFERROR(__xludf.DUMMYFUNCTION("""COMPUTED_VALUE"""),"038086004016")</f>
        <v>038086004016</v>
      </c>
      <c r="N399" s="26">
        <f>IFERROR(__xludf.DUMMYFUNCTION("""COMPUTED_VALUE"""),43340.0)</f>
        <v>43340</v>
      </c>
      <c r="O399" s="22" t="str">
        <f>IFERROR(__xludf.DUMMYFUNCTION("""COMPUTED_VALUE"""),"Cục Cảnh sát QLHC về TTXH")</f>
        <v>Cục Cảnh sát QLHC về TTXH</v>
      </c>
      <c r="P399" s="22" t="str">
        <f>IFERROR(__xludf.DUMMYFUNCTION("""COMPUTED_VALUE"""),"Bằng nghề")</f>
        <v>Bằng nghề</v>
      </c>
      <c r="Q399" s="22" t="str">
        <f>IFERROR(__xludf.DUMMYFUNCTION("""COMPUTED_VALUE"""),"Lái Xe hạng C")</f>
        <v>Lái Xe hạng C</v>
      </c>
      <c r="R399" s="24">
        <f>IFERROR(__xludf.DUMMYFUNCTION("""COMPUTED_VALUE"""),43340.0)</f>
        <v>43340</v>
      </c>
      <c r="S399" s="24">
        <f>IFERROR(__xludf.DUMMYFUNCTION("""COMPUTED_VALUE"""),43647.0)</f>
        <v>43647</v>
      </c>
      <c r="T399" s="22" t="str">
        <f>IFERROR(__xludf.DUMMYFUNCTION("""COMPUTED_VALUE"""),"Chính thức")</f>
        <v>Chính thức</v>
      </c>
      <c r="U399" s="22"/>
      <c r="V399" s="22" t="str">
        <f>IFERROR(__xludf.DUMMYFUNCTION("""COMPUTED_VALUE"""),"Chính thức")</f>
        <v>Chính thức</v>
      </c>
      <c r="W399" s="22" t="str">
        <f>IFERROR(__xludf.DUMMYFUNCTION("""COMPUTED_VALUE"""),"7 năm 4 tháng")</f>
        <v>7 năm 4 tháng</v>
      </c>
      <c r="X399" s="22"/>
      <c r="Y399" s="22"/>
      <c r="Z399" s="22"/>
    </row>
    <row r="400">
      <c r="A400" s="22">
        <f>IFERROR(__xludf.DUMMYFUNCTION("""COMPUTED_VALUE"""),6.0)</f>
        <v>6</v>
      </c>
      <c r="B400" s="22" t="str">
        <f>IFERROR(__xludf.DUMMYFUNCTION("""COMPUTED_VALUE"""),"PXSX2")</f>
        <v>PXSX2</v>
      </c>
      <c r="C400" s="22" t="str">
        <f>IFERROR(__xludf.DUMMYFUNCTION("""COMPUTED_VALUE"""),"Nhóm Hậu cần nội vụ PXSX2")</f>
        <v>Nhóm Hậu cần nội vụ PXSX2</v>
      </c>
      <c r="D400" s="22" t="str">
        <f>IFERROR(__xludf.DUMMYFUNCTION("""COMPUTED_VALUE"""),"Bộ phận hành chính")</f>
        <v>Bộ phận hành chính</v>
      </c>
      <c r="E400" s="22" t="str">
        <f>IFERROR(__xludf.DUMMYFUNCTION("""COMPUTED_VALUE"""),"Vệ sinh công nghiệp")</f>
        <v>Vệ sinh công nghiệp</v>
      </c>
      <c r="F400" s="22" t="str">
        <f>IFERROR(__xludf.DUMMYFUNCTION("""COMPUTED_VALUE"""),"NV5302")</f>
        <v>NV5302</v>
      </c>
      <c r="G400" s="22">
        <f>IFERROR(__xludf.DUMMYFUNCTION("""COMPUTED_VALUE"""),893.0)</f>
        <v>893</v>
      </c>
      <c r="H400" s="22" t="str">
        <f>IFERROR(__xludf.DUMMYFUNCTION("""COMPUTED_VALUE"""),"Lê Thị Ánh")</f>
        <v>Lê Thị Ánh</v>
      </c>
      <c r="I400" s="22" t="str">
        <f>IFERROR(__xludf.DUMMYFUNCTION("""COMPUTED_VALUE"""),"Nữ")</f>
        <v>Nữ</v>
      </c>
      <c r="J400" s="24">
        <f>IFERROR(__xludf.DUMMYFUNCTION("""COMPUTED_VALUE"""),32585.0)</f>
        <v>32585</v>
      </c>
      <c r="K400" s="22" t="str">
        <f>IFERROR(__xludf.DUMMYFUNCTION("""COMPUTED_VALUE"""),"Hoằng Phong -  Hoằng Hóa -  Thanh Hóa")</f>
        <v>Hoằng Phong -  Hoằng Hóa -  Thanh Hóa</v>
      </c>
      <c r="L400" s="22" t="str">
        <f>IFERROR(__xludf.DUMMYFUNCTION("""COMPUTED_VALUE"""),"0984675315")</f>
        <v>0984675315</v>
      </c>
      <c r="M400" s="22" t="str">
        <f>IFERROR(__xludf.DUMMYFUNCTION("""COMPUTED_VALUE"""),"038189032432")</f>
        <v>038189032432</v>
      </c>
      <c r="N400" s="26">
        <f>IFERROR(__xludf.DUMMYFUNCTION("""COMPUTED_VALUE"""),44557.0)</f>
        <v>44557</v>
      </c>
      <c r="O400" s="22" t="str">
        <f>IFERROR(__xludf.DUMMYFUNCTION("""COMPUTED_VALUE"""),"Cục Cảnh sát QLHC về TTXH")</f>
        <v>Cục Cảnh sát QLHC về TTXH</v>
      </c>
      <c r="P400" s="22" t="str">
        <f>IFERROR(__xludf.DUMMYFUNCTION("""COMPUTED_VALUE"""),"LĐPT")</f>
        <v>LĐPT</v>
      </c>
      <c r="Q400" s="22" t="str">
        <f>IFERROR(__xludf.DUMMYFUNCTION("""COMPUTED_VALUE"""),"Lao động phổ thông")</f>
        <v>Lao động phổ thông</v>
      </c>
      <c r="R400" s="24">
        <f>IFERROR(__xludf.DUMMYFUNCTION("""COMPUTED_VALUE"""),45733.0)</f>
        <v>45733</v>
      </c>
      <c r="S400" s="24">
        <f>IFERROR(__xludf.DUMMYFUNCTION("""COMPUTED_VALUE"""),45733.0)</f>
        <v>45733</v>
      </c>
      <c r="T400" s="22" t="str">
        <f>IFERROR(__xludf.DUMMYFUNCTION("""COMPUTED_VALUE"""),"Chính thức")</f>
        <v>Chính thức</v>
      </c>
      <c r="U400" s="22"/>
      <c r="V400" s="22" t="str">
        <f>IFERROR(__xludf.DUMMYFUNCTION("""COMPUTED_VALUE"""),"Chính thức")</f>
        <v>Chính thức</v>
      </c>
      <c r="W400" s="22" t="str">
        <f>IFERROR(__xludf.DUMMYFUNCTION("""COMPUTED_VALUE"""),"0 năm 9 tháng")</f>
        <v>0 năm 9 tháng</v>
      </c>
      <c r="X400" s="22"/>
      <c r="Y400" s="22"/>
      <c r="Z400" s="22"/>
    </row>
    <row r="401">
      <c r="A401" s="22" t="str">
        <f>IFERROR(__xludf.DUMMYFUNCTION("""COMPUTED_VALUE"""),"9.")</f>
        <v>9.</v>
      </c>
      <c r="B401" s="22" t="str">
        <f>IFERROR(__xludf.DUMMYFUNCTION("""COMPUTED_VALUE"""),"Test mẫu PXSX2")</f>
        <v>Test mẫu PXSX2</v>
      </c>
      <c r="C401" s="22">
        <f>IFERROR(__xludf.DUMMYFUNCTION("""COMPUTED_VALUE"""),4.0)</f>
        <v>4</v>
      </c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>
        <f>IFERROR(__xludf.DUMMYFUNCTION("""COMPUTED_VALUE"""),1.0)</f>
        <v>1</v>
      </c>
      <c r="B402" s="22" t="str">
        <f>IFERROR(__xludf.DUMMYFUNCTION("""COMPUTED_VALUE"""),"PXSX2")</f>
        <v>PXSX2</v>
      </c>
      <c r="C402" s="22" t="str">
        <f>IFERROR(__xludf.DUMMYFUNCTION("""COMPUTED_VALUE"""),"Test mẫu PXSX2")</f>
        <v>Test mẫu PXSX2</v>
      </c>
      <c r="D402" s="22" t="str">
        <f>IFERROR(__xludf.DUMMYFUNCTION("""COMPUTED_VALUE"""),"Test mẫu PXSX2")</f>
        <v>Test mẫu PXSX2</v>
      </c>
      <c r="E402" s="22" t="str">
        <f>IFERROR(__xludf.DUMMYFUNCTION("""COMPUTED_VALUE"""),"CBKT thiết kế mẫu")</f>
        <v>CBKT thiết kế mẫu</v>
      </c>
      <c r="F402" s="22" t="str">
        <f>IFERROR(__xludf.DUMMYFUNCTION("""COMPUTED_VALUE"""),"NV0768")</f>
        <v>NV0768</v>
      </c>
      <c r="G402" s="22">
        <f>IFERROR(__xludf.DUMMYFUNCTION("""COMPUTED_VALUE"""),575.0)</f>
        <v>575</v>
      </c>
      <c r="H402" s="22" t="str">
        <f>IFERROR(__xludf.DUMMYFUNCTION("""COMPUTED_VALUE"""),"Vũ Đức Cường")</f>
        <v>Vũ Đức Cường</v>
      </c>
      <c r="I402" s="22" t="str">
        <f>IFERROR(__xludf.DUMMYFUNCTION("""COMPUTED_VALUE"""),"Nam")</f>
        <v>Nam</v>
      </c>
      <c r="J402" s="24">
        <f>IFERROR(__xludf.DUMMYFUNCTION("""COMPUTED_VALUE"""),29778.0)</f>
        <v>29778</v>
      </c>
      <c r="K402" s="22" t="str">
        <f>IFERROR(__xludf.DUMMYFUNCTION("""COMPUTED_VALUE"""),"Phố Thành Bắc - P.Quảng Hưng - TP Thanh Hóa")</f>
        <v>Phố Thành Bắc - P.Quảng Hưng - TP Thanh Hóa</v>
      </c>
      <c r="L402" s="22" t="str">
        <f>IFERROR(__xludf.DUMMYFUNCTION("""COMPUTED_VALUE"""),"0944397773")</f>
        <v>0944397773</v>
      </c>
      <c r="M402" s="22" t="str">
        <f>IFERROR(__xludf.DUMMYFUNCTION("""COMPUTED_VALUE"""),"038081019292")</f>
        <v>038081019292</v>
      </c>
      <c r="N402" s="26">
        <f>IFERROR(__xludf.DUMMYFUNCTION("""COMPUTED_VALUE"""),44428.0)</f>
        <v>44428</v>
      </c>
      <c r="O402" s="22" t="str">
        <f>IFERROR(__xludf.DUMMYFUNCTION("""COMPUTED_VALUE"""),"Cục Cảnh sát QLHC về TTXH")</f>
        <v>Cục Cảnh sát QLHC về TTXH</v>
      </c>
      <c r="P402" s="22" t="str">
        <f>IFERROR(__xludf.DUMMYFUNCTION("""COMPUTED_VALUE"""),"Đại học")</f>
        <v>Đại học</v>
      </c>
      <c r="Q402" s="22" t="str">
        <f>IFERROR(__xludf.DUMMYFUNCTION("""COMPUTED_VALUE"""),"Công nghệ kỹ thuật hóa học")</f>
        <v>Công nghệ kỹ thuật hóa học</v>
      </c>
      <c r="R402" s="24">
        <f>IFERROR(__xludf.DUMMYFUNCTION("""COMPUTED_VALUE"""),36774.0)</f>
        <v>36774</v>
      </c>
      <c r="S402" s="24">
        <f>IFERROR(__xludf.DUMMYFUNCTION("""COMPUTED_VALUE"""),36774.0)</f>
        <v>36774</v>
      </c>
      <c r="T402" s="22" t="str">
        <f>IFERROR(__xludf.DUMMYFUNCTION("""COMPUTED_VALUE"""),"Chính thức")</f>
        <v>Chính thức</v>
      </c>
      <c r="U402" s="22"/>
      <c r="V402" s="22" t="str">
        <f>IFERROR(__xludf.DUMMYFUNCTION("""COMPUTED_VALUE"""),"Chính thức")</f>
        <v>Chính thức</v>
      </c>
      <c r="W402" s="22" t="str">
        <f>IFERROR(__xludf.DUMMYFUNCTION("""COMPUTED_VALUE"""),"25 năm 3 tháng")</f>
        <v>25 năm 3 tháng</v>
      </c>
      <c r="X402" s="22"/>
      <c r="Y402" s="22"/>
      <c r="Z402" s="22"/>
    </row>
    <row r="403">
      <c r="A403" s="22">
        <f>IFERROR(__xludf.DUMMYFUNCTION("""COMPUTED_VALUE"""),2.0)</f>
        <v>2</v>
      </c>
      <c r="B403" s="22" t="str">
        <f>IFERROR(__xludf.DUMMYFUNCTION("""COMPUTED_VALUE"""),"PXSX2")</f>
        <v>PXSX2</v>
      </c>
      <c r="C403" s="22" t="str">
        <f>IFERROR(__xludf.DUMMYFUNCTION("""COMPUTED_VALUE"""),"Test mẫu PXSX2")</f>
        <v>Test mẫu PXSX2</v>
      </c>
      <c r="D403" s="22" t="str">
        <f>IFERROR(__xludf.DUMMYFUNCTION("""COMPUTED_VALUE"""),"Test mẫu PXSX2")</f>
        <v>Test mẫu PXSX2</v>
      </c>
      <c r="E403" s="22" t="str">
        <f>IFERROR(__xludf.DUMMYFUNCTION("""COMPUTED_VALUE"""),"NV Test mẫu")</f>
        <v>NV Test mẫu</v>
      </c>
      <c r="F403" s="22" t="str">
        <f>IFERROR(__xludf.DUMMYFUNCTION("""COMPUTED_VALUE"""),"NV5216")</f>
        <v>NV5216</v>
      </c>
      <c r="G403" s="22">
        <f>IFERROR(__xludf.DUMMYFUNCTION("""COMPUTED_VALUE"""),550.0)</f>
        <v>550</v>
      </c>
      <c r="H403" s="22" t="str">
        <f>IFERROR(__xludf.DUMMYFUNCTION("""COMPUTED_VALUE"""),"Lưu Đăng Khoa")</f>
        <v>Lưu Đăng Khoa</v>
      </c>
      <c r="I403" s="22" t="str">
        <f>IFERROR(__xludf.DUMMYFUNCTION("""COMPUTED_VALUE"""),"Nam")</f>
        <v>Nam</v>
      </c>
      <c r="J403" s="24">
        <f>IFERROR(__xludf.DUMMYFUNCTION("""COMPUTED_VALUE"""),33646.0)</f>
        <v>33646</v>
      </c>
      <c r="K403" s="22" t="str">
        <f>IFERROR(__xludf.DUMMYFUNCTION("""COMPUTED_VALUE"""),"94 Trần Bình Trọng -  Phường Đông Sơn -  thành phố Thanh Hóa")</f>
        <v>94 Trần Bình Trọng -  Phường Đông Sơn -  thành phố Thanh Hóa</v>
      </c>
      <c r="L403" s="22" t="str">
        <f>IFERROR(__xludf.DUMMYFUNCTION("""COMPUTED_VALUE"""),"0964983926")</f>
        <v>0964983926</v>
      </c>
      <c r="M403" s="22" t="str">
        <f>IFERROR(__xludf.DUMMYFUNCTION("""COMPUTED_VALUE"""),"038092010901")</f>
        <v>038092010901</v>
      </c>
      <c r="N403" s="26">
        <f>IFERROR(__xludf.DUMMYFUNCTION("""COMPUTED_VALUE"""),45486.0)</f>
        <v>45486</v>
      </c>
      <c r="O403" s="22" t="str">
        <f>IFERROR(__xludf.DUMMYFUNCTION("""COMPUTED_VALUE"""),"Cục Cảnh sát QLHC về TTXH")</f>
        <v>Cục Cảnh sát QLHC về TTXH</v>
      </c>
      <c r="P403" s="22" t="str">
        <f>IFERROR(__xludf.DUMMYFUNCTION("""COMPUTED_VALUE"""),"Cử nhân")</f>
        <v>Cử nhân</v>
      </c>
      <c r="Q403" s="22" t="str">
        <f>IFERROR(__xludf.DUMMYFUNCTION("""COMPUTED_VALUE"""),"Công nghệ thông tin")</f>
        <v>Công nghệ thông tin</v>
      </c>
      <c r="R403" s="24">
        <f>IFERROR(__xludf.DUMMYFUNCTION("""COMPUTED_VALUE"""),45439.0)</f>
        <v>45439</v>
      </c>
      <c r="S403" s="24">
        <f>IFERROR(__xludf.DUMMYFUNCTION("""COMPUTED_VALUE"""),45505.0)</f>
        <v>45505</v>
      </c>
      <c r="T403" s="22" t="str">
        <f>IFERROR(__xludf.DUMMYFUNCTION("""COMPUTED_VALUE"""),"Chính thức")</f>
        <v>Chính thức</v>
      </c>
      <c r="U403" s="22"/>
      <c r="V403" s="22" t="str">
        <f>IFERROR(__xludf.DUMMYFUNCTION("""COMPUTED_VALUE"""),"Chính thức")</f>
        <v>Chính thức</v>
      </c>
      <c r="W403" s="22" t="str">
        <f>IFERROR(__xludf.DUMMYFUNCTION("""COMPUTED_VALUE"""),"1 năm 7 tháng")</f>
        <v>1 năm 7 tháng</v>
      </c>
      <c r="X403" s="22"/>
      <c r="Y403" s="22"/>
      <c r="Z403" s="22"/>
    </row>
    <row r="404">
      <c r="A404" s="22">
        <f>IFERROR(__xludf.DUMMYFUNCTION("""COMPUTED_VALUE"""),3.0)</f>
        <v>3</v>
      </c>
      <c r="B404" s="22" t="str">
        <f>IFERROR(__xludf.DUMMYFUNCTION("""COMPUTED_VALUE"""),"PXSX2")</f>
        <v>PXSX2</v>
      </c>
      <c r="C404" s="22" t="str">
        <f>IFERROR(__xludf.DUMMYFUNCTION("""COMPUTED_VALUE"""),"Test mẫu PXSX2")</f>
        <v>Test mẫu PXSX2</v>
      </c>
      <c r="D404" s="22" t="str">
        <f>IFERROR(__xludf.DUMMYFUNCTION("""COMPUTED_VALUE"""),"Test mẫu PXSX2")</f>
        <v>Test mẫu PXSX2</v>
      </c>
      <c r="E404" s="22" t="str">
        <f>IFERROR(__xludf.DUMMYFUNCTION("""COMPUTED_VALUE"""),"NV Test mẫu")</f>
        <v>NV Test mẫu</v>
      </c>
      <c r="F404" s="22" t="str">
        <f>IFERROR(__xludf.DUMMYFUNCTION("""COMPUTED_VALUE"""),"NV3086")</f>
        <v>NV3086</v>
      </c>
      <c r="G404" s="22">
        <f>IFERROR(__xludf.DUMMYFUNCTION("""COMPUTED_VALUE"""),527.0)</f>
        <v>527</v>
      </c>
      <c r="H404" s="22" t="str">
        <f>IFERROR(__xludf.DUMMYFUNCTION("""COMPUTED_VALUE"""),"Nguyễn Sỹ Tư")</f>
        <v>Nguyễn Sỹ Tư</v>
      </c>
      <c r="I404" s="22" t="str">
        <f>IFERROR(__xludf.DUMMYFUNCTION("""COMPUTED_VALUE"""),"Nam")</f>
        <v>Nam</v>
      </c>
      <c r="J404" s="24">
        <f>IFERROR(__xludf.DUMMYFUNCTION("""COMPUTED_VALUE"""),33342.0)</f>
        <v>33342</v>
      </c>
      <c r="K404" s="22" t="str">
        <f>IFERROR(__xludf.DUMMYFUNCTION("""COMPUTED_VALUE"""),"Xã Quảng Thành -  Thành phố Thanh Hóa -  Thanh Hóa -  Việt Nam")</f>
        <v>Xã Quảng Thành -  Thành phố Thanh Hóa -  Thanh Hóa -  Việt Nam</v>
      </c>
      <c r="L404" s="22" t="str">
        <f>IFERROR(__xludf.DUMMYFUNCTION("""COMPUTED_VALUE"""),"0842009296")</f>
        <v>0842009296</v>
      </c>
      <c r="M404" s="22" t="str">
        <f>IFERROR(__xludf.DUMMYFUNCTION("""COMPUTED_VALUE"""),"038091029473")</f>
        <v>038091029473</v>
      </c>
      <c r="N404" s="26">
        <f>IFERROR(__xludf.DUMMYFUNCTION("""COMPUTED_VALUE"""),44375.0)</f>
        <v>44375</v>
      </c>
      <c r="O404" s="22" t="str">
        <f>IFERROR(__xludf.DUMMYFUNCTION("""COMPUTED_VALUE"""),"Cục Cảnh sát QLHC về TTXH")</f>
        <v>Cục Cảnh sát QLHC về TTXH</v>
      </c>
      <c r="P404" s="22" t="str">
        <f>IFERROR(__xludf.DUMMYFUNCTION("""COMPUTED_VALUE"""),"Kỹ sư")</f>
        <v>Kỹ sư</v>
      </c>
      <c r="Q404" s="22" t="str">
        <f>IFERROR(__xludf.DUMMYFUNCTION("""COMPUTED_VALUE"""),"Công Nghệ Kỹ thuật hóa học")</f>
        <v>Công Nghệ Kỹ thuật hóa học</v>
      </c>
      <c r="R404" s="24">
        <f>IFERROR(__xludf.DUMMYFUNCTION("""COMPUTED_VALUE"""),45697.0)</f>
        <v>45697</v>
      </c>
      <c r="S404" s="24">
        <f>IFERROR(__xludf.DUMMYFUNCTION("""COMPUTED_VALUE"""),45697.0)</f>
        <v>45697</v>
      </c>
      <c r="T404" s="22" t="str">
        <f>IFERROR(__xludf.DUMMYFUNCTION("""COMPUTED_VALUE"""),"Chính thức")</f>
        <v>Chính thức</v>
      </c>
      <c r="U404" s="22"/>
      <c r="V404" s="22" t="str">
        <f>IFERROR(__xludf.DUMMYFUNCTION("""COMPUTED_VALUE"""),"Chính thức")</f>
        <v>Chính thức</v>
      </c>
      <c r="W404" s="22" t="str">
        <f>IFERROR(__xludf.DUMMYFUNCTION("""COMPUTED_VALUE"""),"0 năm 10 tháng")</f>
        <v>0 năm 10 tháng</v>
      </c>
      <c r="X404" s="22"/>
      <c r="Y404" s="22"/>
      <c r="Z404" s="22"/>
    </row>
    <row r="405">
      <c r="A405" s="22">
        <f>IFERROR(__xludf.DUMMYFUNCTION("""COMPUTED_VALUE"""),4.0)</f>
        <v>4</v>
      </c>
      <c r="B405" s="22" t="str">
        <f>IFERROR(__xludf.DUMMYFUNCTION("""COMPUTED_VALUE"""),"PXSX2")</f>
        <v>PXSX2</v>
      </c>
      <c r="C405" s="22" t="str">
        <f>IFERROR(__xludf.DUMMYFUNCTION("""COMPUTED_VALUE"""),"Test mẫu PXSX2")</f>
        <v>Test mẫu PXSX2</v>
      </c>
      <c r="D405" s="22" t="str">
        <f>IFERROR(__xludf.DUMMYFUNCTION("""COMPUTED_VALUE"""),"Test mẫu PXSX2")</f>
        <v>Test mẫu PXSX2</v>
      </c>
      <c r="E405" s="22" t="str">
        <f>IFERROR(__xludf.DUMMYFUNCTION("""COMPUTED_VALUE"""),"NV Test mẫu")</f>
        <v>NV Test mẫu</v>
      </c>
      <c r="F405" s="22" t="str">
        <f>IFERROR(__xludf.DUMMYFUNCTION("""COMPUTED_VALUE"""),"NV0710")</f>
        <v>NV0710</v>
      </c>
      <c r="G405" s="22">
        <f>IFERROR(__xludf.DUMMYFUNCTION("""COMPUTED_VALUE"""),468.0)</f>
        <v>468</v>
      </c>
      <c r="H405" s="22" t="str">
        <f>IFERROR(__xludf.DUMMYFUNCTION("""COMPUTED_VALUE"""),"Lê Ngọc Minh")</f>
        <v>Lê Ngọc Minh</v>
      </c>
      <c r="I405" s="22" t="str">
        <f>IFERROR(__xludf.DUMMYFUNCTION("""COMPUTED_VALUE"""),"Nam")</f>
        <v>Nam</v>
      </c>
      <c r="J405" s="24">
        <f>IFERROR(__xludf.DUMMYFUNCTION("""COMPUTED_VALUE"""),34672.0)</f>
        <v>34672</v>
      </c>
      <c r="K405" s="22" t="str">
        <f>IFERROR(__xludf.DUMMYFUNCTION("""COMPUTED_VALUE"""),"Xã Quảng Tâm -  Thành phố Thanh Hóa -  Thanh Hóa -  Việt Nam")</f>
        <v>Xã Quảng Tâm -  Thành phố Thanh Hóa -  Thanh Hóa -  Việt Nam</v>
      </c>
      <c r="L405" s="22" t="str">
        <f>IFERROR(__xludf.DUMMYFUNCTION("""COMPUTED_VALUE"""),"0359015877")</f>
        <v>0359015877</v>
      </c>
      <c r="M405" s="22" t="str">
        <f>IFERROR(__xludf.DUMMYFUNCTION("""COMPUTED_VALUE"""),"038094008908")</f>
        <v>038094008908</v>
      </c>
      <c r="N405" s="26">
        <f>IFERROR(__xludf.DUMMYFUNCTION("""COMPUTED_VALUE"""),44375.0)</f>
        <v>44375</v>
      </c>
      <c r="O405" s="22" t="str">
        <f>IFERROR(__xludf.DUMMYFUNCTION("""COMPUTED_VALUE"""),"Cục Cảnh sát QLHC về TTXH")</f>
        <v>Cục Cảnh sát QLHC về TTXH</v>
      </c>
      <c r="P405" s="22" t="str">
        <f>IFERROR(__xludf.DUMMYFUNCTION("""COMPUTED_VALUE"""),"Trung cấp")</f>
        <v>Trung cấp</v>
      </c>
      <c r="Q405" s="22" t="str">
        <f>IFERROR(__xludf.DUMMYFUNCTION("""COMPUTED_VALUE"""),"Xây dựng")</f>
        <v>Xây dựng</v>
      </c>
      <c r="R405" s="24">
        <f>IFERROR(__xludf.DUMMYFUNCTION("""COMPUTED_VALUE"""),41872.0)</f>
        <v>41872</v>
      </c>
      <c r="S405" s="24">
        <f>IFERROR(__xludf.DUMMYFUNCTION("""COMPUTED_VALUE"""),41872.0)</f>
        <v>41872</v>
      </c>
      <c r="T405" s="22" t="str">
        <f>IFERROR(__xludf.DUMMYFUNCTION("""COMPUTED_VALUE"""),"Chính thức")</f>
        <v>Chính thức</v>
      </c>
      <c r="U405" s="22"/>
      <c r="V405" s="22" t="str">
        <f>IFERROR(__xludf.DUMMYFUNCTION("""COMPUTED_VALUE"""),"Chính thức")</f>
        <v>Chính thức</v>
      </c>
      <c r="W405" s="22" t="str">
        <f>IFERROR(__xludf.DUMMYFUNCTION("""COMPUTED_VALUE"""),"11 năm 4 tháng")</f>
        <v>11 năm 4 tháng</v>
      </c>
      <c r="X405" s="22"/>
      <c r="Y405" s="22"/>
      <c r="Z405" s="22"/>
    </row>
    <row r="406">
      <c r="A406" s="22" t="str">
        <f>IFERROR(__xludf.DUMMYFUNCTION("""COMPUTED_VALUE"""),"10.")</f>
        <v>10.</v>
      </c>
      <c r="B406" s="22" t="str">
        <f>IFERROR(__xludf.DUMMYFUNCTION("""COMPUTED_VALUE"""),"Phân xưởng sản xuất bao bì")</f>
        <v>Phân xưởng sản xuất bao bì</v>
      </c>
      <c r="C406" s="22">
        <f>IFERROR(__xludf.DUMMYFUNCTION("""COMPUTED_VALUE"""),23.0)</f>
        <v>23</v>
      </c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>
        <f>IFERROR(__xludf.DUMMYFUNCTION("""COMPUTED_VALUE"""),1.0)</f>
        <v>1</v>
      </c>
      <c r="B407" s="22" t="str">
        <f>IFERROR(__xludf.DUMMYFUNCTION("""COMPUTED_VALUE"""),"PXSX2")</f>
        <v>PXSX2</v>
      </c>
      <c r="C407" s="22" t="str">
        <f>IFERROR(__xludf.DUMMYFUNCTION("""COMPUTED_VALUE"""),"Phân xưởng sản xuất bao bì")</f>
        <v>Phân xưởng sản xuất bao bì</v>
      </c>
      <c r="D407" s="22" t="str">
        <f>IFERROR(__xludf.DUMMYFUNCTION("""COMPUTED_VALUE"""),"Bộ phận hành chính")</f>
        <v>Bộ phận hành chính</v>
      </c>
      <c r="E407" s="22" t="str">
        <f>IFERROR(__xludf.DUMMYFUNCTION("""COMPUTED_VALUE"""),"Xuất hàng kiêm thủ kho")</f>
        <v>Xuất hàng kiêm thủ kho</v>
      </c>
      <c r="F407" s="22" t="str">
        <f>IFERROR(__xludf.DUMMYFUNCTION("""COMPUTED_VALUE"""),"NV5651")</f>
        <v>NV5651</v>
      </c>
      <c r="G407" s="22">
        <f>IFERROR(__xludf.DUMMYFUNCTION("""COMPUTED_VALUE"""),1144.0)</f>
        <v>1144</v>
      </c>
      <c r="H407" s="22" t="str">
        <f>IFERROR(__xludf.DUMMYFUNCTION("""COMPUTED_VALUE"""),"Đào Thị Hoa")</f>
        <v>Đào Thị Hoa</v>
      </c>
      <c r="I407" s="22" t="str">
        <f>IFERROR(__xludf.DUMMYFUNCTION("""COMPUTED_VALUE"""),"Nữ")</f>
        <v>Nữ</v>
      </c>
      <c r="J407" s="24">
        <f>IFERROR(__xludf.DUMMYFUNCTION("""COMPUTED_VALUE"""),31238.0)</f>
        <v>31238</v>
      </c>
      <c r="K407" s="22" t="str">
        <f>IFERROR(__xludf.DUMMYFUNCTION("""COMPUTED_VALUE"""),"16 Dương Văn Nga - Phường Hàm Rồng - Tỉnh Thanh Hóa")</f>
        <v>16 Dương Văn Nga - Phường Hàm Rồng - Tỉnh Thanh Hóa</v>
      </c>
      <c r="L407" s="22" t="str">
        <f>IFERROR(__xludf.DUMMYFUNCTION("""COMPUTED_VALUE"""),"0915126262")</f>
        <v>0915126262</v>
      </c>
      <c r="M407" s="22" t="str">
        <f>IFERROR(__xludf.DUMMYFUNCTION("""COMPUTED_VALUE"""),"038185016066")</f>
        <v>038185016066</v>
      </c>
      <c r="N407" s="26">
        <f>IFERROR(__xludf.DUMMYFUNCTION("""COMPUTED_VALUE"""),45764.0)</f>
        <v>45764</v>
      </c>
      <c r="O407" s="22" t="str">
        <f>IFERROR(__xludf.DUMMYFUNCTION("""COMPUTED_VALUE"""),"Bộ công an")</f>
        <v>Bộ công an</v>
      </c>
      <c r="P407" s="22" t="str">
        <f>IFERROR(__xludf.DUMMYFUNCTION("""COMPUTED_VALUE"""),"Đại học")</f>
        <v>Đại học</v>
      </c>
      <c r="Q407" s="22" t="str">
        <f>IFERROR(__xludf.DUMMYFUNCTION("""COMPUTED_VALUE"""),"Cử nhân Tiếng Anh")</f>
        <v>Cử nhân Tiếng Anh</v>
      </c>
      <c r="R407" s="24">
        <f>IFERROR(__xludf.DUMMYFUNCTION("""COMPUTED_VALUE"""),45880.0)</f>
        <v>45880</v>
      </c>
      <c r="S407" s="24">
        <f>IFERROR(__xludf.DUMMYFUNCTION("""COMPUTED_VALUE"""),45911.0)</f>
        <v>45911</v>
      </c>
      <c r="T407" s="22" t="str">
        <f>IFERROR(__xludf.DUMMYFUNCTION("""COMPUTED_VALUE"""),"Chính thức")</f>
        <v>Chính thức</v>
      </c>
      <c r="U407" s="22"/>
      <c r="V407" s="22" t="str">
        <f>IFERROR(__xludf.DUMMYFUNCTION("""COMPUTED_VALUE"""),"Chính thức")</f>
        <v>Chính thức</v>
      </c>
      <c r="W407" s="22" t="str">
        <f>IFERROR(__xludf.DUMMYFUNCTION("""COMPUTED_VALUE"""),"0 năm 4 tháng")</f>
        <v>0 năm 4 tháng</v>
      </c>
      <c r="X407" s="22"/>
      <c r="Y407" s="22"/>
      <c r="Z407" s="22"/>
    </row>
    <row r="408">
      <c r="A408" s="22">
        <f>IFERROR(__xludf.DUMMYFUNCTION("""COMPUTED_VALUE"""),2.0)</f>
        <v>2</v>
      </c>
      <c r="B408" s="22" t="str">
        <f>IFERROR(__xludf.DUMMYFUNCTION("""COMPUTED_VALUE"""),"PXSX2")</f>
        <v>PXSX2</v>
      </c>
      <c r="C408" s="22" t="str">
        <f>IFERROR(__xludf.DUMMYFUNCTION("""COMPUTED_VALUE"""),"Phân xưởng sản xuất bao bì")</f>
        <v>Phân xưởng sản xuất bao bì</v>
      </c>
      <c r="D408" s="22" t="str">
        <f>IFERROR(__xludf.DUMMYFUNCTION("""COMPUTED_VALUE"""),"Bộ phận hành chính")</f>
        <v>Bộ phận hành chính</v>
      </c>
      <c r="E408" s="22" t="str">
        <f>IFERROR(__xludf.DUMMYFUNCTION("""COMPUTED_VALUE"""),"Công nhân vận hành")</f>
        <v>Công nhân vận hành</v>
      </c>
      <c r="F408" s="22" t="str">
        <f>IFERROR(__xludf.DUMMYFUNCTION("""COMPUTED_VALUE"""),"NV5653")</f>
        <v>NV5653</v>
      </c>
      <c r="G408" s="22">
        <f>IFERROR(__xludf.DUMMYFUNCTION("""COMPUTED_VALUE"""),1146.0)</f>
        <v>1146</v>
      </c>
      <c r="H408" s="22" t="str">
        <f>IFERROR(__xludf.DUMMYFUNCTION("""COMPUTED_VALUE"""),"Lê Duy Hiền")</f>
        <v>Lê Duy Hiền</v>
      </c>
      <c r="I408" s="22" t="str">
        <f>IFERROR(__xludf.DUMMYFUNCTION("""COMPUTED_VALUE"""),"Nam")</f>
        <v>Nam</v>
      </c>
      <c r="J408" s="24">
        <f>IFERROR(__xludf.DUMMYFUNCTION("""COMPUTED_VALUE"""),25602.0)</f>
        <v>25602</v>
      </c>
      <c r="K408" s="22" t="str">
        <f>IFERROR(__xludf.DUMMYFUNCTION("""COMPUTED_VALUE"""),"Thôn Phục Lễ - Xã Hoằng Châu - Tỉnh Thanh Hóa")</f>
        <v>Thôn Phục Lễ - Xã Hoằng Châu - Tỉnh Thanh Hóa</v>
      </c>
      <c r="L408" s="22" t="str">
        <f>IFERROR(__xludf.DUMMYFUNCTION("""COMPUTED_VALUE"""),"0964388129")</f>
        <v>0964388129</v>
      </c>
      <c r="M408" s="22" t="str">
        <f>IFERROR(__xludf.DUMMYFUNCTION("""COMPUTED_VALUE"""),"038070009765")</f>
        <v>038070009765</v>
      </c>
      <c r="N408" s="26">
        <f>IFERROR(__xludf.DUMMYFUNCTION("""COMPUTED_VALUE"""),44435.0)</f>
        <v>44435</v>
      </c>
      <c r="O408" s="22" t="str">
        <f>IFERROR(__xludf.DUMMYFUNCTION("""COMPUTED_VALUE"""),"Cục Cảnh sát QLHC về TTXH")</f>
        <v>Cục Cảnh sát QLHC về TTXH</v>
      </c>
      <c r="P408" s="22" t="str">
        <f>IFERROR(__xludf.DUMMYFUNCTION("""COMPUTED_VALUE"""),"LĐPT")</f>
        <v>LĐPT</v>
      </c>
      <c r="Q408" s="22" t="str">
        <f>IFERROR(__xludf.DUMMYFUNCTION("""COMPUTED_VALUE"""),"Lao động phổ thông")</f>
        <v>Lao động phổ thông</v>
      </c>
      <c r="R408" s="24">
        <f>IFERROR(__xludf.DUMMYFUNCTION("""COMPUTED_VALUE"""),45880.0)</f>
        <v>45880</v>
      </c>
      <c r="S408" s="24">
        <f>IFERROR(__xludf.DUMMYFUNCTION("""COMPUTED_VALUE"""),45911.0)</f>
        <v>45911</v>
      </c>
      <c r="T408" s="22" t="str">
        <f>IFERROR(__xludf.DUMMYFUNCTION("""COMPUTED_VALUE"""),"Chính thức")</f>
        <v>Chính thức</v>
      </c>
      <c r="U408" s="22"/>
      <c r="V408" s="22" t="str">
        <f>IFERROR(__xludf.DUMMYFUNCTION("""COMPUTED_VALUE"""),"Chính thức")</f>
        <v>Chính thức</v>
      </c>
      <c r="W408" s="22" t="str">
        <f>IFERROR(__xludf.DUMMYFUNCTION("""COMPUTED_VALUE"""),"0 năm 4 tháng")</f>
        <v>0 năm 4 tháng</v>
      </c>
      <c r="X408" s="22"/>
      <c r="Y408" s="22"/>
      <c r="Z408" s="22"/>
    </row>
    <row r="409">
      <c r="A409" s="22">
        <f>IFERROR(__xludf.DUMMYFUNCTION("""COMPUTED_VALUE"""),3.0)</f>
        <v>3</v>
      </c>
      <c r="B409" s="22" t="str">
        <f>IFERROR(__xludf.DUMMYFUNCTION("""COMPUTED_VALUE"""),"PXSX2")</f>
        <v>PXSX2</v>
      </c>
      <c r="C409" s="22" t="str">
        <f>IFERROR(__xludf.DUMMYFUNCTION("""COMPUTED_VALUE"""),"Phân xưởng sản xuất bao bì")</f>
        <v>Phân xưởng sản xuất bao bì</v>
      </c>
      <c r="D409" s="22" t="str">
        <f>IFERROR(__xludf.DUMMYFUNCTION("""COMPUTED_VALUE"""),"Bộ phận hành chính")</f>
        <v>Bộ phận hành chính</v>
      </c>
      <c r="E409" s="22" t="str">
        <f>IFERROR(__xludf.DUMMYFUNCTION("""COMPUTED_VALUE"""),"Tổ trưởng - VH máy dán")</f>
        <v>Tổ trưởng - VH máy dán</v>
      </c>
      <c r="F409" s="22" t="str">
        <f>IFERROR(__xludf.DUMMYFUNCTION("""COMPUTED_VALUE"""),"NV5656")</f>
        <v>NV5656</v>
      </c>
      <c r="G409" s="22">
        <f>IFERROR(__xludf.DUMMYFUNCTION("""COMPUTED_VALUE"""),1149.0)</f>
        <v>1149</v>
      </c>
      <c r="H409" s="22" t="str">
        <f>IFERROR(__xludf.DUMMYFUNCTION("""COMPUTED_VALUE"""),"Lê Văn Hiệp")</f>
        <v>Lê Văn Hiệp</v>
      </c>
      <c r="I409" s="22" t="str">
        <f>IFERROR(__xludf.DUMMYFUNCTION("""COMPUTED_VALUE"""),"Nam")</f>
        <v>Nam</v>
      </c>
      <c r="J409" s="24">
        <f>IFERROR(__xludf.DUMMYFUNCTION("""COMPUTED_VALUE"""),31551.0)</f>
        <v>31551</v>
      </c>
      <c r="K409" s="22" t="str">
        <f>IFERROR(__xludf.DUMMYFUNCTION("""COMPUTED_VALUE"""),"Thôn Thần Xuân - Xã Hoằng Sơn - Tỉnh Thanh Hóa")</f>
        <v>Thôn Thần Xuân - Xã Hoằng Sơn - Tỉnh Thanh Hóa</v>
      </c>
      <c r="L409" s="22" t="str">
        <f>IFERROR(__xludf.DUMMYFUNCTION("""COMPUTED_VALUE"""),"0385003973")</f>
        <v>0385003973</v>
      </c>
      <c r="M409" s="22" t="str">
        <f>IFERROR(__xludf.DUMMYFUNCTION("""COMPUTED_VALUE"""),"038086036935")</f>
        <v>038086036935</v>
      </c>
      <c r="N409" s="26">
        <f>IFERROR(__xludf.DUMMYFUNCTION("""COMPUTED_VALUE"""),44534.0)</f>
        <v>44534</v>
      </c>
      <c r="O409" s="22" t="str">
        <f>IFERROR(__xludf.DUMMYFUNCTION("""COMPUTED_VALUE"""),"Cục Cảnh sát QLHC về TTXH")</f>
        <v>Cục Cảnh sát QLHC về TTXH</v>
      </c>
      <c r="P409" s="22" t="str">
        <f>IFERROR(__xludf.DUMMYFUNCTION("""COMPUTED_VALUE"""),"Cao đẳng")</f>
        <v>Cao đẳng</v>
      </c>
      <c r="Q409" s="22" t="str">
        <f>IFERROR(__xludf.DUMMYFUNCTION("""COMPUTED_VALUE"""),"Cao đẳng công nghiệp")</f>
        <v>Cao đẳng công nghiệp</v>
      </c>
      <c r="R409" s="24">
        <f>IFERROR(__xludf.DUMMYFUNCTION("""COMPUTED_VALUE"""),45880.0)</f>
        <v>45880</v>
      </c>
      <c r="S409" s="24">
        <f>IFERROR(__xludf.DUMMYFUNCTION("""COMPUTED_VALUE"""),45911.0)</f>
        <v>45911</v>
      </c>
      <c r="T409" s="22" t="str">
        <f>IFERROR(__xludf.DUMMYFUNCTION("""COMPUTED_VALUE"""),"Chính thức")</f>
        <v>Chính thức</v>
      </c>
      <c r="U409" s="22"/>
      <c r="V409" s="22" t="str">
        <f>IFERROR(__xludf.DUMMYFUNCTION("""COMPUTED_VALUE"""),"Chính thức")</f>
        <v>Chính thức</v>
      </c>
      <c r="W409" s="22" t="str">
        <f>IFERROR(__xludf.DUMMYFUNCTION("""COMPUTED_VALUE"""),"0 năm 4 tháng")</f>
        <v>0 năm 4 tháng</v>
      </c>
      <c r="X409" s="22"/>
      <c r="Y409" s="22"/>
      <c r="Z409" s="22"/>
    </row>
    <row r="410">
      <c r="A410" s="22">
        <f>IFERROR(__xludf.DUMMYFUNCTION("""COMPUTED_VALUE"""),4.0)</f>
        <v>4</v>
      </c>
      <c r="B410" s="22" t="str">
        <f>IFERROR(__xludf.DUMMYFUNCTION("""COMPUTED_VALUE"""),"PXSX2")</f>
        <v>PXSX2</v>
      </c>
      <c r="C410" s="22" t="str">
        <f>IFERROR(__xludf.DUMMYFUNCTION("""COMPUTED_VALUE"""),"Phân xưởng sản xuất bao bì")</f>
        <v>Phân xưởng sản xuất bao bì</v>
      </c>
      <c r="D410" s="22" t="str">
        <f>IFERROR(__xludf.DUMMYFUNCTION("""COMPUTED_VALUE"""),"Bộ phận hành chính")</f>
        <v>Bộ phận hành chính</v>
      </c>
      <c r="E410" s="22" t="str">
        <f>IFERROR(__xludf.DUMMYFUNCTION("""COMPUTED_VALUE"""),"Quản đốc - kiêm kế hoạch SX")</f>
        <v>Quản đốc - kiêm kế hoạch SX</v>
      </c>
      <c r="F410" s="22" t="str">
        <f>IFERROR(__xludf.DUMMYFUNCTION("""COMPUTED_VALUE"""),"NV5677")</f>
        <v>NV5677</v>
      </c>
      <c r="G410" s="22">
        <f>IFERROR(__xludf.DUMMYFUNCTION("""COMPUTED_VALUE"""),1171.0)</f>
        <v>1171</v>
      </c>
      <c r="H410" s="22" t="str">
        <f>IFERROR(__xludf.DUMMYFUNCTION("""COMPUTED_VALUE"""),"Đinh Xuân Lộc")</f>
        <v>Đinh Xuân Lộc</v>
      </c>
      <c r="I410" s="22" t="str">
        <f>IFERROR(__xludf.DUMMYFUNCTION("""COMPUTED_VALUE"""),"Nam")</f>
        <v>Nam</v>
      </c>
      <c r="J410" s="24">
        <f>IFERROR(__xludf.DUMMYFUNCTION("""COMPUTED_VALUE"""),32176.0)</f>
        <v>32176</v>
      </c>
      <c r="K410" s="22" t="str">
        <f>IFERROR(__xludf.DUMMYFUNCTION("""COMPUTED_VALUE"""),"Phúc Sơn - Hoằng Hóa - Thanh Hóa")</f>
        <v>Phúc Sơn - Hoằng Hóa - Thanh Hóa</v>
      </c>
      <c r="L410" s="22" t="str">
        <f>IFERROR(__xludf.DUMMYFUNCTION("""COMPUTED_VALUE"""),"0984257615")</f>
        <v>0984257615</v>
      </c>
      <c r="M410" s="22" t="str">
        <f>IFERROR(__xludf.DUMMYFUNCTION("""COMPUTED_VALUE"""),"038088005240")</f>
        <v>038088005240</v>
      </c>
      <c r="N410" s="26">
        <f>IFERROR(__xludf.DUMMYFUNCTION("""COMPUTED_VALUE"""),44419.0)</f>
        <v>44419</v>
      </c>
      <c r="O410" s="22" t="str">
        <f>IFERROR(__xludf.DUMMYFUNCTION("""COMPUTED_VALUE"""),"Cục Cảnh sát QLHC về TTXH")</f>
        <v>Cục Cảnh sát QLHC về TTXH</v>
      </c>
      <c r="P410" s="22" t="str">
        <f>IFERROR(__xludf.DUMMYFUNCTION("""COMPUTED_VALUE"""),"Trung cấp")</f>
        <v>Trung cấp</v>
      </c>
      <c r="Q410" s="22" t="str">
        <f>IFERROR(__xludf.DUMMYFUNCTION("""COMPUTED_VALUE"""),"Trung cấp nghề sữa chữa 
ô tô -  xe máy")</f>
        <v>Trung cấp nghề sữa chữa 
ô tô -  xe máy</v>
      </c>
      <c r="R410" s="24">
        <f>IFERROR(__xludf.DUMMYFUNCTION("""COMPUTED_VALUE"""),45870.0)</f>
        <v>45870</v>
      </c>
      <c r="S410" s="24">
        <f>IFERROR(__xludf.DUMMYFUNCTION("""COMPUTED_VALUE"""),45901.0)</f>
        <v>45901</v>
      </c>
      <c r="T410" s="22" t="str">
        <f>IFERROR(__xludf.DUMMYFUNCTION("""COMPUTED_VALUE"""),"Chính thức")</f>
        <v>Chính thức</v>
      </c>
      <c r="U410" s="22"/>
      <c r="V410" s="22" t="str">
        <f>IFERROR(__xludf.DUMMYFUNCTION("""COMPUTED_VALUE"""),"Chính thức")</f>
        <v>Chính thức</v>
      </c>
      <c r="W410" s="22" t="str">
        <f>IFERROR(__xludf.DUMMYFUNCTION("""COMPUTED_VALUE"""),"0 năm 4 tháng")</f>
        <v>0 năm 4 tháng</v>
      </c>
      <c r="X410" s="22"/>
      <c r="Y410" s="22"/>
      <c r="Z410" s="22"/>
    </row>
    <row r="411">
      <c r="A411" s="22">
        <f>IFERROR(__xludf.DUMMYFUNCTION("""COMPUTED_VALUE"""),5.0)</f>
        <v>5</v>
      </c>
      <c r="B411" s="22" t="str">
        <f>IFERROR(__xludf.DUMMYFUNCTION("""COMPUTED_VALUE"""),"PXSX2")</f>
        <v>PXSX2</v>
      </c>
      <c r="C411" s="22" t="str">
        <f>IFERROR(__xludf.DUMMYFUNCTION("""COMPUTED_VALUE"""),"Phân xưởng sản xuất bao bì")</f>
        <v>Phân xưởng sản xuất bao bì</v>
      </c>
      <c r="D411" s="22" t="str">
        <f>IFERROR(__xludf.DUMMYFUNCTION("""COMPUTED_VALUE"""),"Bộ phận hành chính")</f>
        <v>Bộ phận hành chính</v>
      </c>
      <c r="E411" s="22" t="str">
        <f>IFERROR(__xludf.DUMMYFUNCTION("""COMPUTED_VALUE"""),"Tổ trưởng - VH máy in")</f>
        <v>Tổ trưởng - VH máy in</v>
      </c>
      <c r="F411" s="22" t="str">
        <f>IFERROR(__xludf.DUMMYFUNCTION("""COMPUTED_VALUE"""),"NV5679")</f>
        <v>NV5679</v>
      </c>
      <c r="G411" s="22">
        <f>IFERROR(__xludf.DUMMYFUNCTION("""COMPUTED_VALUE"""),1173.0)</f>
        <v>1173</v>
      </c>
      <c r="H411" s="22" t="str">
        <f>IFERROR(__xludf.DUMMYFUNCTION("""COMPUTED_VALUE"""),"Đỗ Văn Hùng")</f>
        <v>Đỗ Văn Hùng</v>
      </c>
      <c r="I411" s="22" t="str">
        <f>IFERROR(__xludf.DUMMYFUNCTION("""COMPUTED_VALUE"""),"Nam")</f>
        <v>Nam</v>
      </c>
      <c r="J411" s="24">
        <f>IFERROR(__xludf.DUMMYFUNCTION("""COMPUTED_VALUE"""),30880.0)</f>
        <v>30880</v>
      </c>
      <c r="K411" s="22" t="str">
        <f>IFERROR(__xludf.DUMMYFUNCTION("""COMPUTED_VALUE"""),"Thôn Hải Phúc- Xã Hoằng Châu - Tỉnh Thanh Hóa")</f>
        <v>Thôn Hải Phúc- Xã Hoằng Châu - Tỉnh Thanh Hóa</v>
      </c>
      <c r="L411" s="22" t="str">
        <f>IFERROR(__xludf.DUMMYFUNCTION("""COMPUTED_VALUE"""),"0973266233")</f>
        <v>0973266233</v>
      </c>
      <c r="M411" s="22" t="str">
        <f>IFERROR(__xludf.DUMMYFUNCTION("""COMPUTED_VALUE"""),"038084054485")</f>
        <v>038084054485</v>
      </c>
      <c r="N411" s="26">
        <f>IFERROR(__xludf.DUMMYFUNCTION("""COMPUTED_VALUE"""),45225.0)</f>
        <v>45225</v>
      </c>
      <c r="O411" s="22" t="str">
        <f>IFERROR(__xludf.DUMMYFUNCTION("""COMPUTED_VALUE"""),"Cục Cảnh sát QLHC về TTXH")</f>
        <v>Cục Cảnh sát QLHC về TTXH</v>
      </c>
      <c r="P411" s="22" t="str">
        <f>IFERROR(__xludf.DUMMYFUNCTION("""COMPUTED_VALUE"""),"LĐPT")</f>
        <v>LĐPT</v>
      </c>
      <c r="Q411" s="22" t="str">
        <f>IFERROR(__xludf.DUMMYFUNCTION("""COMPUTED_VALUE"""),"Lao động phổ thông")</f>
        <v>Lao động phổ thông</v>
      </c>
      <c r="R411" s="24">
        <f>IFERROR(__xludf.DUMMYFUNCTION("""COMPUTED_VALUE"""),45885.0)</f>
        <v>45885</v>
      </c>
      <c r="S411" s="24">
        <f>IFERROR(__xludf.DUMMYFUNCTION("""COMPUTED_VALUE"""),45916.0)</f>
        <v>45916</v>
      </c>
      <c r="T411" s="22" t="str">
        <f>IFERROR(__xludf.DUMMYFUNCTION("""COMPUTED_VALUE"""),"Chính thức")</f>
        <v>Chính thức</v>
      </c>
      <c r="U411" s="22"/>
      <c r="V411" s="22" t="str">
        <f>IFERROR(__xludf.DUMMYFUNCTION("""COMPUTED_VALUE"""),"Chính thức")</f>
        <v>Chính thức</v>
      </c>
      <c r="W411" s="22" t="str">
        <f>IFERROR(__xludf.DUMMYFUNCTION("""COMPUTED_VALUE"""),"0 năm 4 tháng")</f>
        <v>0 năm 4 tháng</v>
      </c>
      <c r="X411" s="22"/>
      <c r="Y411" s="22"/>
      <c r="Z411" s="22"/>
    </row>
    <row r="412">
      <c r="A412" s="22">
        <f>IFERROR(__xludf.DUMMYFUNCTION("""COMPUTED_VALUE"""),6.0)</f>
        <v>6</v>
      </c>
      <c r="B412" s="22" t="str">
        <f>IFERROR(__xludf.DUMMYFUNCTION("""COMPUTED_VALUE"""),"PXSX2")</f>
        <v>PXSX2</v>
      </c>
      <c r="C412" s="22" t="str">
        <f>IFERROR(__xludf.DUMMYFUNCTION("""COMPUTED_VALUE"""),"Phân xưởng sản xuất bao bì")</f>
        <v>Phân xưởng sản xuất bao bì</v>
      </c>
      <c r="D412" s="22" t="str">
        <f>IFERROR(__xludf.DUMMYFUNCTION("""COMPUTED_VALUE"""),"Bộ phận hành chính")</f>
        <v>Bộ phận hành chính</v>
      </c>
      <c r="E412" s="22" t="str">
        <f>IFERROR(__xludf.DUMMYFUNCTION("""COMPUTED_VALUE"""),"Công nhân vận hành")</f>
        <v>Công nhân vận hành</v>
      </c>
      <c r="F412" s="22" t="str">
        <f>IFERROR(__xludf.DUMMYFUNCTION("""COMPUTED_VALUE"""),"NV5680")</f>
        <v>NV5680</v>
      </c>
      <c r="G412" s="22">
        <f>IFERROR(__xludf.DUMMYFUNCTION("""COMPUTED_VALUE"""),1174.0)</f>
        <v>1174</v>
      </c>
      <c r="H412" s="22" t="str">
        <f>IFERROR(__xludf.DUMMYFUNCTION("""COMPUTED_VALUE"""),"Lê Văn Thúy")</f>
        <v>Lê Văn Thúy</v>
      </c>
      <c r="I412" s="22" t="str">
        <f>IFERROR(__xludf.DUMMYFUNCTION("""COMPUTED_VALUE"""),"Nam")</f>
        <v>Nam</v>
      </c>
      <c r="J412" s="24">
        <f>IFERROR(__xludf.DUMMYFUNCTION("""COMPUTED_VALUE"""),28078.0)</f>
        <v>28078</v>
      </c>
      <c r="K412" s="22" t="str">
        <f>IFERROR(__xludf.DUMMYFUNCTION("""COMPUTED_VALUE"""),"Thôn Đức Thành - Xã Hoằng Sơn - Tỉnh Thanh Hóa")</f>
        <v>Thôn Đức Thành - Xã Hoằng Sơn - Tỉnh Thanh Hóa</v>
      </c>
      <c r="L412" s="22" t="str">
        <f>IFERROR(__xludf.DUMMYFUNCTION("""COMPUTED_VALUE"""),"0365605549")</f>
        <v>0365605549</v>
      </c>
      <c r="M412" s="22" t="str">
        <f>IFERROR(__xludf.DUMMYFUNCTION("""COMPUTED_VALUE"""),"038076016590")</f>
        <v>038076016590</v>
      </c>
      <c r="N412" s="22"/>
      <c r="O412" s="22" t="str">
        <f>IFERROR(__xludf.DUMMYFUNCTION("""COMPUTED_VALUE"""),"Cục Cảnh sát QLHC về TTXH")</f>
        <v>Cục Cảnh sát QLHC về TTXH</v>
      </c>
      <c r="P412" s="22" t="str">
        <f>IFERROR(__xludf.DUMMYFUNCTION("""COMPUTED_VALUE"""),"LĐPT")</f>
        <v>LĐPT</v>
      </c>
      <c r="Q412" s="22" t="str">
        <f>IFERROR(__xludf.DUMMYFUNCTION("""COMPUTED_VALUE"""),"Lao động phổ thông")</f>
        <v>Lao động phổ thông</v>
      </c>
      <c r="R412" s="24">
        <f>IFERROR(__xludf.DUMMYFUNCTION("""COMPUTED_VALUE"""),45875.0)</f>
        <v>45875</v>
      </c>
      <c r="S412" s="24">
        <f>IFERROR(__xludf.DUMMYFUNCTION("""COMPUTED_VALUE"""),45906.0)</f>
        <v>45906</v>
      </c>
      <c r="T412" s="22" t="str">
        <f>IFERROR(__xludf.DUMMYFUNCTION("""COMPUTED_VALUE"""),"Chính thức")</f>
        <v>Chính thức</v>
      </c>
      <c r="U412" s="22"/>
      <c r="V412" s="22" t="str">
        <f>IFERROR(__xludf.DUMMYFUNCTION("""COMPUTED_VALUE"""),"Chính thức")</f>
        <v>Chính thức</v>
      </c>
      <c r="W412" s="22" t="str">
        <f>IFERROR(__xludf.DUMMYFUNCTION("""COMPUTED_VALUE"""),"0 năm 4 tháng")</f>
        <v>0 năm 4 tháng</v>
      </c>
      <c r="X412" s="22"/>
      <c r="Y412" s="22"/>
      <c r="Z412" s="22"/>
    </row>
    <row r="413">
      <c r="A413" s="22">
        <f>IFERROR(__xludf.DUMMYFUNCTION("""COMPUTED_VALUE"""),7.0)</f>
        <v>7</v>
      </c>
      <c r="B413" s="22" t="str">
        <f>IFERROR(__xludf.DUMMYFUNCTION("""COMPUTED_VALUE"""),"PXSX2")</f>
        <v>PXSX2</v>
      </c>
      <c r="C413" s="22" t="str">
        <f>IFERROR(__xludf.DUMMYFUNCTION("""COMPUTED_VALUE"""),"Phân xưởng sản xuất bao bì")</f>
        <v>Phân xưởng sản xuất bao bì</v>
      </c>
      <c r="D413" s="22" t="str">
        <f>IFERROR(__xludf.DUMMYFUNCTION("""COMPUTED_VALUE"""),"Bộ phận hành chính")</f>
        <v>Bộ phận hành chính</v>
      </c>
      <c r="E413" s="22" t="str">
        <f>IFERROR(__xludf.DUMMYFUNCTION("""COMPUTED_VALUE"""),"Công nhân vận hành")</f>
        <v>Công nhân vận hành</v>
      </c>
      <c r="F413" s="22" t="str">
        <f>IFERROR(__xludf.DUMMYFUNCTION("""COMPUTED_VALUE"""),"NV5681")</f>
        <v>NV5681</v>
      </c>
      <c r="G413" s="22">
        <f>IFERROR(__xludf.DUMMYFUNCTION("""COMPUTED_VALUE"""),1175.0)</f>
        <v>1175</v>
      </c>
      <c r="H413" s="22" t="str">
        <f>IFERROR(__xludf.DUMMYFUNCTION("""COMPUTED_VALUE"""),"Lê Văn Tư")</f>
        <v>Lê Văn Tư</v>
      </c>
      <c r="I413" s="22" t="str">
        <f>IFERROR(__xludf.DUMMYFUNCTION("""COMPUTED_VALUE"""),"Nam")</f>
        <v>Nam</v>
      </c>
      <c r="J413" s="24">
        <f>IFERROR(__xludf.DUMMYFUNCTION("""COMPUTED_VALUE"""),32883.0)</f>
        <v>32883</v>
      </c>
      <c r="K413" s="22" t="str">
        <f>IFERROR(__xludf.DUMMYFUNCTION("""COMPUTED_VALUE"""),"Thôn Đình Sen- Xã Hoằng Châu - Tỉnh Thanh Hóa")</f>
        <v>Thôn Đình Sen- Xã Hoằng Châu - Tỉnh Thanh Hóa</v>
      </c>
      <c r="L413" s="22" t="str">
        <f>IFERROR(__xludf.DUMMYFUNCTION("""COMPUTED_VALUE"""),"0372521667")</f>
        <v>0372521667</v>
      </c>
      <c r="M413" s="22" t="str">
        <f>IFERROR(__xludf.DUMMYFUNCTION("""COMPUTED_VALUE"""),"038090038005")</f>
        <v>038090038005</v>
      </c>
      <c r="N413" s="26">
        <f>IFERROR(__xludf.DUMMYFUNCTION("""COMPUTED_VALUE"""),44742.0)</f>
        <v>44742</v>
      </c>
      <c r="O413" s="22" t="str">
        <f>IFERROR(__xludf.DUMMYFUNCTION("""COMPUTED_VALUE"""),"Cục Cảnh sát QLHC về TTXH")</f>
        <v>Cục Cảnh sát QLHC về TTXH</v>
      </c>
      <c r="P413" s="22" t="str">
        <f>IFERROR(__xludf.DUMMYFUNCTION("""COMPUTED_VALUE"""),"LĐPT")</f>
        <v>LĐPT</v>
      </c>
      <c r="Q413" s="22" t="str">
        <f>IFERROR(__xludf.DUMMYFUNCTION("""COMPUTED_VALUE"""),"Lao động phổ thông")</f>
        <v>Lao động phổ thông</v>
      </c>
      <c r="R413" s="24">
        <f>IFERROR(__xludf.DUMMYFUNCTION("""COMPUTED_VALUE"""),45874.0)</f>
        <v>45874</v>
      </c>
      <c r="S413" s="24">
        <f>IFERROR(__xludf.DUMMYFUNCTION("""COMPUTED_VALUE"""),45905.0)</f>
        <v>45905</v>
      </c>
      <c r="T413" s="22" t="str">
        <f>IFERROR(__xludf.DUMMYFUNCTION("""COMPUTED_VALUE"""),"Chính thức")</f>
        <v>Chính thức</v>
      </c>
      <c r="U413" s="22"/>
      <c r="V413" s="22" t="str">
        <f>IFERROR(__xludf.DUMMYFUNCTION("""COMPUTED_VALUE"""),"Chính thức")</f>
        <v>Chính thức</v>
      </c>
      <c r="W413" s="22" t="str">
        <f>IFERROR(__xludf.DUMMYFUNCTION("""COMPUTED_VALUE"""),"0 năm 4 tháng")</f>
        <v>0 năm 4 tháng</v>
      </c>
      <c r="X413" s="22"/>
      <c r="Y413" s="22"/>
      <c r="Z413" s="22"/>
    </row>
    <row r="414">
      <c r="A414" s="22">
        <f>IFERROR(__xludf.DUMMYFUNCTION("""COMPUTED_VALUE"""),8.0)</f>
        <v>8</v>
      </c>
      <c r="B414" s="22" t="str">
        <f>IFERROR(__xludf.DUMMYFUNCTION("""COMPUTED_VALUE"""),"PXSX2")</f>
        <v>PXSX2</v>
      </c>
      <c r="C414" s="22" t="str">
        <f>IFERROR(__xludf.DUMMYFUNCTION("""COMPUTED_VALUE"""),"Phân xưởng sản xuất bao bì")</f>
        <v>Phân xưởng sản xuất bao bì</v>
      </c>
      <c r="D414" s="22" t="str">
        <f>IFERROR(__xludf.DUMMYFUNCTION("""COMPUTED_VALUE"""),"Bộ phận hành chính")</f>
        <v>Bộ phận hành chính</v>
      </c>
      <c r="E414" s="22" t="str">
        <f>IFERROR(__xludf.DUMMYFUNCTION("""COMPUTED_VALUE"""),"Công nhân vận hành")</f>
        <v>Công nhân vận hành</v>
      </c>
      <c r="F414" s="22" t="str">
        <f>IFERROR(__xludf.DUMMYFUNCTION("""COMPUTED_VALUE"""),"NV5682")</f>
        <v>NV5682</v>
      </c>
      <c r="G414" s="22">
        <f>IFERROR(__xludf.DUMMYFUNCTION("""COMPUTED_VALUE"""),1176.0)</f>
        <v>1176</v>
      </c>
      <c r="H414" s="22" t="str">
        <f>IFERROR(__xludf.DUMMYFUNCTION("""COMPUTED_VALUE"""),"Tống Ngọc Liên")</f>
        <v>Tống Ngọc Liên</v>
      </c>
      <c r="I414" s="22" t="str">
        <f>IFERROR(__xludf.DUMMYFUNCTION("""COMPUTED_VALUE"""),"Nam")</f>
        <v>Nam</v>
      </c>
      <c r="J414" s="24">
        <f>IFERROR(__xludf.DUMMYFUNCTION("""COMPUTED_VALUE"""),24586.0)</f>
        <v>24586</v>
      </c>
      <c r="K414" s="22" t="str">
        <f>IFERROR(__xludf.DUMMYFUNCTION("""COMPUTED_VALUE"""),"Thôn Gia Hòa- Xã Hoằng Châu - Tỉnh Thanh Hóa")</f>
        <v>Thôn Gia Hòa- Xã Hoằng Châu - Tỉnh Thanh Hóa</v>
      </c>
      <c r="L414" s="22" t="str">
        <f>IFERROR(__xludf.DUMMYFUNCTION("""COMPUTED_VALUE"""),"0986190514")</f>
        <v>0986190514</v>
      </c>
      <c r="M414" s="22" t="str">
        <f>IFERROR(__xludf.DUMMYFUNCTION("""COMPUTED_VALUE"""),"038067004362")</f>
        <v>038067004362</v>
      </c>
      <c r="N414" s="22"/>
      <c r="O414" s="22" t="str">
        <f>IFERROR(__xludf.DUMMYFUNCTION("""COMPUTED_VALUE"""),"Cục Cảnh sát QLHC về TTXH")</f>
        <v>Cục Cảnh sát QLHC về TTXH</v>
      </c>
      <c r="P414" s="22" t="str">
        <f>IFERROR(__xludf.DUMMYFUNCTION("""COMPUTED_VALUE"""),"LĐPT")</f>
        <v>LĐPT</v>
      </c>
      <c r="Q414" s="22" t="str">
        <f>IFERROR(__xludf.DUMMYFUNCTION("""COMPUTED_VALUE"""),"Lao động phổ thông")</f>
        <v>Lao động phổ thông</v>
      </c>
      <c r="R414" s="24">
        <f>IFERROR(__xludf.DUMMYFUNCTION("""COMPUTED_VALUE"""),45875.0)</f>
        <v>45875</v>
      </c>
      <c r="S414" s="24">
        <f>IFERROR(__xludf.DUMMYFUNCTION("""COMPUTED_VALUE"""),45906.0)</f>
        <v>45906</v>
      </c>
      <c r="T414" s="22" t="str">
        <f>IFERROR(__xludf.DUMMYFUNCTION("""COMPUTED_VALUE"""),"Chính thức")</f>
        <v>Chính thức</v>
      </c>
      <c r="U414" s="22"/>
      <c r="V414" s="22" t="str">
        <f>IFERROR(__xludf.DUMMYFUNCTION("""COMPUTED_VALUE"""),"Chính thức")</f>
        <v>Chính thức</v>
      </c>
      <c r="W414" s="22" t="str">
        <f>IFERROR(__xludf.DUMMYFUNCTION("""COMPUTED_VALUE"""),"0 năm 4 tháng")</f>
        <v>0 năm 4 tháng</v>
      </c>
      <c r="X414" s="22"/>
      <c r="Y414" s="22"/>
      <c r="Z414" s="22"/>
    </row>
    <row r="415">
      <c r="A415" s="22">
        <f>IFERROR(__xludf.DUMMYFUNCTION("""COMPUTED_VALUE"""),9.0)</f>
        <v>9</v>
      </c>
      <c r="B415" s="22" t="str">
        <f>IFERROR(__xludf.DUMMYFUNCTION("""COMPUTED_VALUE"""),"PXSX2")</f>
        <v>PXSX2</v>
      </c>
      <c r="C415" s="22" t="str">
        <f>IFERROR(__xludf.DUMMYFUNCTION("""COMPUTED_VALUE"""),"Phân xưởng sản xuất bao bì")</f>
        <v>Phân xưởng sản xuất bao bì</v>
      </c>
      <c r="D415" s="22" t="str">
        <f>IFERROR(__xludf.DUMMYFUNCTION("""COMPUTED_VALUE"""),"Bộ phận hành chính")</f>
        <v>Bộ phận hành chính</v>
      </c>
      <c r="E415" s="22" t="str">
        <f>IFERROR(__xludf.DUMMYFUNCTION("""COMPUTED_VALUE"""),"Công nhân vận hành")</f>
        <v>Công nhân vận hành</v>
      </c>
      <c r="F415" s="22" t="str">
        <f>IFERROR(__xludf.DUMMYFUNCTION("""COMPUTED_VALUE"""),"NV5685")</f>
        <v>NV5685</v>
      </c>
      <c r="G415" s="22">
        <f>IFERROR(__xludf.DUMMYFUNCTION("""COMPUTED_VALUE"""),1179.0)</f>
        <v>1179</v>
      </c>
      <c r="H415" s="22" t="str">
        <f>IFERROR(__xludf.DUMMYFUNCTION("""COMPUTED_VALUE"""),"Lê Văn Minh")</f>
        <v>Lê Văn Minh</v>
      </c>
      <c r="I415" s="22" t="str">
        <f>IFERROR(__xludf.DUMMYFUNCTION("""COMPUTED_VALUE"""),"Nam")</f>
        <v>Nam</v>
      </c>
      <c r="J415" s="24">
        <f>IFERROR(__xludf.DUMMYFUNCTION("""COMPUTED_VALUE"""),35608.0)</f>
        <v>35608</v>
      </c>
      <c r="K415" s="22" t="str">
        <f>IFERROR(__xludf.DUMMYFUNCTION("""COMPUTED_VALUE"""),"31 Trần Bình Trọng - Phường Hạc Thành - Tỉnh Thanh Hóa")</f>
        <v>31 Trần Bình Trọng - Phường Hạc Thành - Tỉnh Thanh Hóa</v>
      </c>
      <c r="L415" s="22" t="str">
        <f>IFERROR(__xludf.DUMMYFUNCTION("""COMPUTED_VALUE"""),"0356566718")</f>
        <v>0356566718</v>
      </c>
      <c r="M415" s="22" t="str">
        <f>IFERROR(__xludf.DUMMYFUNCTION("""COMPUTED_VALUE"""),"038097030003")</f>
        <v>038097030003</v>
      </c>
      <c r="N415" s="26">
        <f>IFERROR(__xludf.DUMMYFUNCTION("""COMPUTED_VALUE"""),44683.0)</f>
        <v>44683</v>
      </c>
      <c r="O415" s="22" t="str">
        <f>IFERROR(__xludf.DUMMYFUNCTION("""COMPUTED_VALUE"""),"Cục Cảnh sát QLHC về TTXH")</f>
        <v>Cục Cảnh sát QLHC về TTXH</v>
      </c>
      <c r="P415" s="22" t="str">
        <f>IFERROR(__xludf.DUMMYFUNCTION("""COMPUTED_VALUE"""),"Kỹ sư")</f>
        <v>Kỹ sư</v>
      </c>
      <c r="Q415" s="22" t="str">
        <f>IFERROR(__xludf.DUMMYFUNCTION("""COMPUTED_VALUE"""),"Kỹ sư kỹ thuật điện tử và tự động hóa")</f>
        <v>Kỹ sư kỹ thuật điện tử và tự động hóa</v>
      </c>
      <c r="R415" s="24">
        <f>IFERROR(__xludf.DUMMYFUNCTION("""COMPUTED_VALUE"""),45905.0)</f>
        <v>45905</v>
      </c>
      <c r="S415" s="24">
        <f>IFERROR(__xludf.DUMMYFUNCTION("""COMPUTED_VALUE"""),45935.0)</f>
        <v>45935</v>
      </c>
      <c r="T415" s="22" t="str">
        <f>IFERROR(__xludf.DUMMYFUNCTION("""COMPUTED_VALUE"""),"Chính thức")</f>
        <v>Chính thức</v>
      </c>
      <c r="U415" s="22"/>
      <c r="V415" s="22" t="str">
        <f>IFERROR(__xludf.DUMMYFUNCTION("""COMPUTED_VALUE"""),"Chính thức")</f>
        <v>Chính thức</v>
      </c>
      <c r="W415" s="22" t="str">
        <f>IFERROR(__xludf.DUMMYFUNCTION("""COMPUTED_VALUE"""),"0 năm 3 tháng")</f>
        <v>0 năm 3 tháng</v>
      </c>
      <c r="X415" s="22"/>
      <c r="Y415" s="22"/>
      <c r="Z415" s="22"/>
    </row>
    <row r="416">
      <c r="A416" s="22">
        <f>IFERROR(__xludf.DUMMYFUNCTION("""COMPUTED_VALUE"""),10.0)</f>
        <v>10</v>
      </c>
      <c r="B416" s="22" t="str">
        <f>IFERROR(__xludf.DUMMYFUNCTION("""COMPUTED_VALUE"""),"PXSX2")</f>
        <v>PXSX2</v>
      </c>
      <c r="C416" s="22" t="str">
        <f>IFERROR(__xludf.DUMMYFUNCTION("""COMPUTED_VALUE"""),"Phân xưởng sản xuất bao bì")</f>
        <v>Phân xưởng sản xuất bao bì</v>
      </c>
      <c r="D416" s="22" t="str">
        <f>IFERROR(__xludf.DUMMYFUNCTION("""COMPUTED_VALUE"""),"Bộ phận hành chính")</f>
        <v>Bộ phận hành chính</v>
      </c>
      <c r="E416" s="22" t="str">
        <f>IFERROR(__xludf.DUMMYFUNCTION("""COMPUTED_VALUE"""),"Tổ phó và VH đầu dồn")</f>
        <v>Tổ phó và VH đầu dồn</v>
      </c>
      <c r="F416" s="22" t="str">
        <f>IFERROR(__xludf.DUMMYFUNCTION("""COMPUTED_VALUE"""),"NV5688")</f>
        <v>NV5688</v>
      </c>
      <c r="G416" s="22">
        <f>IFERROR(__xludf.DUMMYFUNCTION("""COMPUTED_VALUE"""),1182.0)</f>
        <v>1182</v>
      </c>
      <c r="H416" s="22" t="str">
        <f>IFERROR(__xludf.DUMMYFUNCTION("""COMPUTED_VALUE"""),"Nguyễn Ngọc Vũ")</f>
        <v>Nguyễn Ngọc Vũ</v>
      </c>
      <c r="I416" s="22" t="str">
        <f>IFERROR(__xludf.DUMMYFUNCTION("""COMPUTED_VALUE"""),"Nam")</f>
        <v>Nam</v>
      </c>
      <c r="J416" s="24">
        <f>IFERROR(__xludf.DUMMYFUNCTION("""COMPUTED_VALUE"""),35120.0)</f>
        <v>35120</v>
      </c>
      <c r="K416" s="22" t="str">
        <f>IFERROR(__xludf.DUMMYFUNCTION("""COMPUTED_VALUE"""),"Xã Thọ Bình - Tỉnh Thanh Hóa")</f>
        <v>Xã Thọ Bình - Tỉnh Thanh Hóa</v>
      </c>
      <c r="L416" s="22" t="str">
        <f>IFERROR(__xludf.DUMMYFUNCTION("""COMPUTED_VALUE"""),"0386877418")</f>
        <v>0386877418</v>
      </c>
      <c r="M416" s="22" t="str">
        <f>IFERROR(__xludf.DUMMYFUNCTION("""COMPUTED_VALUE"""),"038096029498")</f>
        <v>038096029498</v>
      </c>
      <c r="N416" s="26">
        <f>IFERROR(__xludf.DUMMYFUNCTION("""COMPUTED_VALUE"""),45176.0)</f>
        <v>45176</v>
      </c>
      <c r="O416" s="22" t="str">
        <f>IFERROR(__xludf.DUMMYFUNCTION("""COMPUTED_VALUE"""),"Cục Cảnh sát QLHC về TTXH")</f>
        <v>Cục Cảnh sát QLHC về TTXH</v>
      </c>
      <c r="P416" s="22" t="str">
        <f>IFERROR(__xludf.DUMMYFUNCTION("""COMPUTED_VALUE"""),"LĐPT")</f>
        <v>LĐPT</v>
      </c>
      <c r="Q416" s="22" t="str">
        <f>IFERROR(__xludf.DUMMYFUNCTION("""COMPUTED_VALUE"""),"Lao động phổ thông")</f>
        <v>Lao động phổ thông</v>
      </c>
      <c r="R416" s="24">
        <f>IFERROR(__xludf.DUMMYFUNCTION("""COMPUTED_VALUE"""),45905.0)</f>
        <v>45905</v>
      </c>
      <c r="S416" s="24">
        <f>IFERROR(__xludf.DUMMYFUNCTION("""COMPUTED_VALUE"""),45935.0)</f>
        <v>45935</v>
      </c>
      <c r="T416" s="22" t="str">
        <f>IFERROR(__xludf.DUMMYFUNCTION("""COMPUTED_VALUE"""),"Chính thức")</f>
        <v>Chính thức</v>
      </c>
      <c r="U416" s="22"/>
      <c r="V416" s="22" t="str">
        <f>IFERROR(__xludf.DUMMYFUNCTION("""COMPUTED_VALUE"""),"Chính thức")</f>
        <v>Chính thức</v>
      </c>
      <c r="W416" s="22" t="str">
        <f>IFERROR(__xludf.DUMMYFUNCTION("""COMPUTED_VALUE"""),"0 năm 3 tháng")</f>
        <v>0 năm 3 tháng</v>
      </c>
      <c r="X416" s="22"/>
      <c r="Y416" s="22"/>
      <c r="Z416" s="22"/>
    </row>
    <row r="417">
      <c r="A417" s="22">
        <f>IFERROR(__xludf.DUMMYFUNCTION("""COMPUTED_VALUE"""),11.0)</f>
        <v>11</v>
      </c>
      <c r="B417" s="22" t="str">
        <f>IFERROR(__xludf.DUMMYFUNCTION("""COMPUTED_VALUE"""),"PXSX2")</f>
        <v>PXSX2</v>
      </c>
      <c r="C417" s="22" t="str">
        <f>IFERROR(__xludf.DUMMYFUNCTION("""COMPUTED_VALUE"""),"Phân xưởng sản xuất bao bì")</f>
        <v>Phân xưởng sản xuất bao bì</v>
      </c>
      <c r="D417" s="22" t="str">
        <f>IFERROR(__xludf.DUMMYFUNCTION("""COMPUTED_VALUE"""),"Bộ phận hành chính")</f>
        <v>Bộ phận hành chính</v>
      </c>
      <c r="E417" s="22" t="str">
        <f>IFERROR(__xludf.DUMMYFUNCTION("""COMPUTED_VALUE"""),"Cán bộ cơ điện")</f>
        <v>Cán bộ cơ điện</v>
      </c>
      <c r="F417" s="22" t="str">
        <f>IFERROR(__xludf.DUMMYFUNCTION("""COMPUTED_VALUE"""),"NV5698")</f>
        <v>NV5698</v>
      </c>
      <c r="G417" s="22">
        <f>IFERROR(__xludf.DUMMYFUNCTION("""COMPUTED_VALUE"""),1190.0)</f>
        <v>1190</v>
      </c>
      <c r="H417" s="22" t="str">
        <f>IFERROR(__xludf.DUMMYFUNCTION("""COMPUTED_VALUE"""),"Lê Hữu Tuấn")</f>
        <v>Lê Hữu Tuấn</v>
      </c>
      <c r="I417" s="22" t="str">
        <f>IFERROR(__xludf.DUMMYFUNCTION("""COMPUTED_VALUE"""),"Nam")</f>
        <v>Nam</v>
      </c>
      <c r="J417" s="24">
        <f>IFERROR(__xludf.DUMMYFUNCTION("""COMPUTED_VALUE"""),34431.0)</f>
        <v>34431</v>
      </c>
      <c r="K417" s="22" t="str">
        <f>IFERROR(__xludf.DUMMYFUNCTION("""COMPUTED_VALUE"""),"Quang Minh - Xã Quảng Ngọc - Tỉnh Thanh Hóa")</f>
        <v>Quang Minh - Xã Quảng Ngọc - Tỉnh Thanh Hóa</v>
      </c>
      <c r="L417" s="22" t="str">
        <f>IFERROR(__xludf.DUMMYFUNCTION("""COMPUTED_VALUE"""),"0984328309")</f>
        <v>0984328309</v>
      </c>
      <c r="M417" s="22" t="str">
        <f>IFERROR(__xludf.DUMMYFUNCTION("""COMPUTED_VALUE"""),"038094026742")</f>
        <v>038094026742</v>
      </c>
      <c r="N417" s="26">
        <f>IFERROR(__xludf.DUMMYFUNCTION("""COMPUTED_VALUE"""),44419.0)</f>
        <v>44419</v>
      </c>
      <c r="O417" s="22" t="str">
        <f>IFERROR(__xludf.DUMMYFUNCTION("""COMPUTED_VALUE"""),"Cục Cảnh sát QLHC về TTXH")</f>
        <v>Cục Cảnh sát QLHC về TTXH</v>
      </c>
      <c r="P417" s="22" t="str">
        <f>IFERROR(__xludf.DUMMYFUNCTION("""COMPUTED_VALUE"""),"Kỹ sư")</f>
        <v>Kỹ sư</v>
      </c>
      <c r="Q417" s="22" t="str">
        <f>IFERROR(__xludf.DUMMYFUNCTION("""COMPUTED_VALUE"""),"Kỹ sư công nghệ kỹ thuật cơ khí")</f>
        <v>Kỹ sư công nghệ kỹ thuật cơ khí</v>
      </c>
      <c r="R417" s="24">
        <f>IFERROR(__xludf.DUMMYFUNCTION("""COMPUTED_VALUE"""),45911.0)</f>
        <v>45911</v>
      </c>
      <c r="S417" s="24">
        <f>IFERROR(__xludf.DUMMYFUNCTION("""COMPUTED_VALUE"""),45941.0)</f>
        <v>45941</v>
      </c>
      <c r="T417" s="22" t="str">
        <f>IFERROR(__xludf.DUMMYFUNCTION("""COMPUTED_VALUE"""),"Chính thức")</f>
        <v>Chính thức</v>
      </c>
      <c r="U417" s="22"/>
      <c r="V417" s="22" t="str">
        <f>IFERROR(__xludf.DUMMYFUNCTION("""COMPUTED_VALUE"""),"Chính thức")</f>
        <v>Chính thức</v>
      </c>
      <c r="W417" s="22" t="str">
        <f>IFERROR(__xludf.DUMMYFUNCTION("""COMPUTED_VALUE"""),"0 năm 3 tháng")</f>
        <v>0 năm 3 tháng</v>
      </c>
      <c r="X417" s="22"/>
      <c r="Y417" s="22"/>
      <c r="Z417" s="22"/>
    </row>
    <row r="418">
      <c r="A418" s="22">
        <f>IFERROR(__xludf.DUMMYFUNCTION("""COMPUTED_VALUE"""),12.0)</f>
        <v>12</v>
      </c>
      <c r="B418" s="22" t="str">
        <f>IFERROR(__xludf.DUMMYFUNCTION("""COMPUTED_VALUE"""),"PXSX2")</f>
        <v>PXSX2</v>
      </c>
      <c r="C418" s="22" t="str">
        <f>IFERROR(__xludf.DUMMYFUNCTION("""COMPUTED_VALUE"""),"Phân xưởng sản xuất bao bì")</f>
        <v>Phân xưởng sản xuất bao bì</v>
      </c>
      <c r="D418" s="22" t="str">
        <f>IFERROR(__xludf.DUMMYFUNCTION("""COMPUTED_VALUE"""),"Bộ phận hành chính")</f>
        <v>Bộ phận hành chính</v>
      </c>
      <c r="E418" s="22" t="str">
        <f>IFERROR(__xludf.DUMMYFUNCTION("""COMPUTED_VALUE"""),"Thiết kế và khắc bản in")</f>
        <v>Thiết kế và khắc bản in</v>
      </c>
      <c r="F418" s="22" t="str">
        <f>IFERROR(__xludf.DUMMYFUNCTION("""COMPUTED_VALUE"""),"NV5703")</f>
        <v>NV5703</v>
      </c>
      <c r="G418" s="22">
        <f>IFERROR(__xludf.DUMMYFUNCTION("""COMPUTED_VALUE"""),1191.0)</f>
        <v>1191</v>
      </c>
      <c r="H418" s="22" t="str">
        <f>IFERROR(__xludf.DUMMYFUNCTION("""COMPUTED_VALUE"""),"Hoàng Văn Yên")</f>
        <v>Hoàng Văn Yên</v>
      </c>
      <c r="I418" s="22" t="str">
        <f>IFERROR(__xludf.DUMMYFUNCTION("""COMPUTED_VALUE"""),"Nam")</f>
        <v>Nam</v>
      </c>
      <c r="J418" s="24">
        <f>IFERROR(__xludf.DUMMYFUNCTION("""COMPUTED_VALUE"""),27839.0)</f>
        <v>27839</v>
      </c>
      <c r="K418" s="22" t="str">
        <f>IFERROR(__xludf.DUMMYFUNCTION("""COMPUTED_VALUE"""),"SN 29/109 Đường Ngô Từ - Phường Hạc Thành - Tỉnh Thanh Hóa")</f>
        <v>SN 29/109 Đường Ngô Từ - Phường Hạc Thành - Tỉnh Thanh Hóa</v>
      </c>
      <c r="L418" s="22" t="str">
        <f>IFERROR(__xludf.DUMMYFUNCTION("""COMPUTED_VALUE"""),"0978753899")</f>
        <v>0978753899</v>
      </c>
      <c r="M418" s="22" t="str">
        <f>IFERROR(__xludf.DUMMYFUNCTION("""COMPUTED_VALUE"""),"038076018099")</f>
        <v>038076018099</v>
      </c>
      <c r="N418" s="26">
        <f>IFERROR(__xludf.DUMMYFUNCTION("""COMPUTED_VALUE"""),44375.0)</f>
        <v>44375</v>
      </c>
      <c r="O418" s="22" t="str">
        <f>IFERROR(__xludf.DUMMYFUNCTION("""COMPUTED_VALUE"""),"Cục Cảnh sát QLHC về TTXH")</f>
        <v>Cục Cảnh sát QLHC về TTXH</v>
      </c>
      <c r="P418" s="22" t="str">
        <f>IFERROR(__xludf.DUMMYFUNCTION("""COMPUTED_VALUE"""),"LĐPT")</f>
        <v>LĐPT</v>
      </c>
      <c r="Q418" s="22" t="str">
        <f>IFERROR(__xludf.DUMMYFUNCTION("""COMPUTED_VALUE"""),"Lao động phổ thông")</f>
        <v>Lao động phổ thông</v>
      </c>
      <c r="R418" s="24">
        <f>IFERROR(__xludf.DUMMYFUNCTION("""COMPUTED_VALUE"""),45915.0)</f>
        <v>45915</v>
      </c>
      <c r="S418" s="24">
        <f>IFERROR(__xludf.DUMMYFUNCTION("""COMPUTED_VALUE"""),45945.0)</f>
        <v>45945</v>
      </c>
      <c r="T418" s="22" t="str">
        <f>IFERROR(__xludf.DUMMYFUNCTION("""COMPUTED_VALUE"""),"Chính thức")</f>
        <v>Chính thức</v>
      </c>
      <c r="U418" s="22"/>
      <c r="V418" s="22" t="str">
        <f>IFERROR(__xludf.DUMMYFUNCTION("""COMPUTED_VALUE"""),"Chính thức")</f>
        <v>Chính thức</v>
      </c>
      <c r="W418" s="22" t="str">
        <f>IFERROR(__xludf.DUMMYFUNCTION("""COMPUTED_VALUE"""),"0 năm 3 tháng")</f>
        <v>0 năm 3 tháng</v>
      </c>
      <c r="X418" s="22"/>
      <c r="Y418" s="22"/>
      <c r="Z418" s="22"/>
    </row>
    <row r="419">
      <c r="A419" s="22">
        <f>IFERROR(__xludf.DUMMYFUNCTION("""COMPUTED_VALUE"""),13.0)</f>
        <v>13</v>
      </c>
      <c r="B419" s="22" t="str">
        <f>IFERROR(__xludf.DUMMYFUNCTION("""COMPUTED_VALUE"""),"PXSX2")</f>
        <v>PXSX2</v>
      </c>
      <c r="C419" s="22" t="str">
        <f>IFERROR(__xludf.DUMMYFUNCTION("""COMPUTED_VALUE"""),"Phân xưởng sản xuất bao bì")</f>
        <v>Phân xưởng sản xuất bao bì</v>
      </c>
      <c r="D419" s="22" t="str">
        <f>IFERROR(__xludf.DUMMYFUNCTION("""COMPUTED_VALUE"""),"Bộ phận hành chính")</f>
        <v>Bộ phận hành chính</v>
      </c>
      <c r="E419" s="22" t="str">
        <f>IFERROR(__xludf.DUMMYFUNCTION("""COMPUTED_VALUE"""),"Tổ phó - VH máy in")</f>
        <v>Tổ phó - VH máy in</v>
      </c>
      <c r="F419" s="22" t="str">
        <f>IFERROR(__xludf.DUMMYFUNCTION("""COMPUTED_VALUE"""),"NV5704")</f>
        <v>NV5704</v>
      </c>
      <c r="G419" s="22">
        <f>IFERROR(__xludf.DUMMYFUNCTION("""COMPUTED_VALUE"""),1192.0)</f>
        <v>1192</v>
      </c>
      <c r="H419" s="22" t="str">
        <f>IFERROR(__xludf.DUMMYFUNCTION("""COMPUTED_VALUE"""),"Hoàng Văn Thủy")</f>
        <v>Hoàng Văn Thủy</v>
      </c>
      <c r="I419" s="22" t="str">
        <f>IFERROR(__xludf.DUMMYFUNCTION("""COMPUTED_VALUE"""),"Nam")</f>
        <v>Nam</v>
      </c>
      <c r="J419" s="24">
        <f>IFERROR(__xludf.DUMMYFUNCTION("""COMPUTED_VALUE"""),32121.0)</f>
        <v>32121</v>
      </c>
      <c r="K419" s="22" t="str">
        <f>IFERROR(__xludf.DUMMYFUNCTION("""COMPUTED_VALUE"""),"Thôn Phúc Hải 1 - Xã Hoằng Châu - Tỉnh Thanh Hóa")</f>
        <v>Thôn Phúc Hải 1 - Xã Hoằng Châu - Tỉnh Thanh Hóa</v>
      </c>
      <c r="L419" s="22" t="str">
        <f>IFERROR(__xludf.DUMMYFUNCTION("""COMPUTED_VALUE"""),"0962498030")</f>
        <v>0962498030</v>
      </c>
      <c r="M419" s="22" t="str">
        <f>IFERROR(__xludf.DUMMYFUNCTION("""COMPUTED_VALUE"""),"038087006713")</f>
        <v>038087006713</v>
      </c>
      <c r="N419" s="26">
        <f>IFERROR(__xludf.DUMMYFUNCTION("""COMPUTED_VALUE"""),45211.0)</f>
        <v>45211</v>
      </c>
      <c r="O419" s="22" t="str">
        <f>IFERROR(__xludf.DUMMYFUNCTION("""COMPUTED_VALUE"""),"Cục Cảnh sát QLHC về TTXH")</f>
        <v>Cục Cảnh sát QLHC về TTXH</v>
      </c>
      <c r="P419" s="22" t="str">
        <f>IFERROR(__xludf.DUMMYFUNCTION("""COMPUTED_VALUE"""),"LĐPT")</f>
        <v>LĐPT</v>
      </c>
      <c r="Q419" s="22" t="str">
        <f>IFERROR(__xludf.DUMMYFUNCTION("""COMPUTED_VALUE"""),"Lao động phổ thông")</f>
        <v>Lao động phổ thông</v>
      </c>
      <c r="R419" s="24">
        <f>IFERROR(__xludf.DUMMYFUNCTION("""COMPUTED_VALUE"""),45915.0)</f>
        <v>45915</v>
      </c>
      <c r="S419" s="24">
        <f>IFERROR(__xludf.DUMMYFUNCTION("""COMPUTED_VALUE"""),45945.0)</f>
        <v>45945</v>
      </c>
      <c r="T419" s="22" t="str">
        <f>IFERROR(__xludf.DUMMYFUNCTION("""COMPUTED_VALUE"""),"Chính thức")</f>
        <v>Chính thức</v>
      </c>
      <c r="U419" s="22"/>
      <c r="V419" s="22" t="str">
        <f>IFERROR(__xludf.DUMMYFUNCTION("""COMPUTED_VALUE"""),"Chính thức")</f>
        <v>Chính thức</v>
      </c>
      <c r="W419" s="22" t="str">
        <f>IFERROR(__xludf.DUMMYFUNCTION("""COMPUTED_VALUE"""),"0 năm 3 tháng")</f>
        <v>0 năm 3 tháng</v>
      </c>
      <c r="X419" s="22"/>
      <c r="Y419" s="22"/>
      <c r="Z419" s="22"/>
    </row>
    <row r="420">
      <c r="A420" s="22">
        <f>IFERROR(__xludf.DUMMYFUNCTION("""COMPUTED_VALUE"""),14.0)</f>
        <v>14</v>
      </c>
      <c r="B420" s="22" t="str">
        <f>IFERROR(__xludf.DUMMYFUNCTION("""COMPUTED_VALUE"""),"PXSX2")</f>
        <v>PXSX2</v>
      </c>
      <c r="C420" s="22" t="str">
        <f>IFERROR(__xludf.DUMMYFUNCTION("""COMPUTED_VALUE"""),"Phân xưởng sản xuất bao bì")</f>
        <v>Phân xưởng sản xuất bao bì</v>
      </c>
      <c r="D420" s="22" t="str">
        <f>IFERROR(__xludf.DUMMYFUNCTION("""COMPUTED_VALUE"""),"Bộ phận hành chính")</f>
        <v>Bộ phận hành chính</v>
      </c>
      <c r="E420" s="22" t="str">
        <f>IFERROR(__xludf.DUMMYFUNCTION("""COMPUTED_VALUE"""),"Tổ trưởng kiêm VH giàn sóng")</f>
        <v>Tổ trưởng kiêm VH giàn sóng</v>
      </c>
      <c r="F420" s="22" t="str">
        <f>IFERROR(__xludf.DUMMYFUNCTION("""COMPUTED_VALUE"""),"NV5722")</f>
        <v>NV5722</v>
      </c>
      <c r="G420" s="22">
        <f>IFERROR(__xludf.DUMMYFUNCTION("""COMPUTED_VALUE"""),1214.0)</f>
        <v>1214</v>
      </c>
      <c r="H420" s="22" t="str">
        <f>IFERROR(__xludf.DUMMYFUNCTION("""COMPUTED_VALUE"""),"Đàm Khắc Nghị")</f>
        <v>Đàm Khắc Nghị</v>
      </c>
      <c r="I420" s="22" t="str">
        <f>IFERROR(__xludf.DUMMYFUNCTION("""COMPUTED_VALUE"""),"Nam")</f>
        <v>Nam</v>
      </c>
      <c r="J420" s="24">
        <f>IFERROR(__xludf.DUMMYFUNCTION("""COMPUTED_VALUE"""),29984.0)</f>
        <v>29984</v>
      </c>
      <c r="K420" s="22" t="str">
        <f>IFERROR(__xludf.DUMMYFUNCTION("""COMPUTED_VALUE"""),"133B đường Đông Tác -  Phường Hàm Rồng - Tỉnh Thanh Hóa")</f>
        <v>133B đường Đông Tác -  Phường Hàm Rồng - Tỉnh Thanh Hóa</v>
      </c>
      <c r="L420" s="22" t="str">
        <f>IFERROR(__xludf.DUMMYFUNCTION("""COMPUTED_VALUE"""),"0986067716")</f>
        <v>0986067716</v>
      </c>
      <c r="M420" s="22" t="str">
        <f>IFERROR(__xludf.DUMMYFUNCTION("""COMPUTED_VALUE"""),"038082015923")</f>
        <v>038082015923</v>
      </c>
      <c r="N420" s="26">
        <f>IFERROR(__xludf.DUMMYFUNCTION("""COMPUTED_VALUE"""),44418.0)</f>
        <v>44418</v>
      </c>
      <c r="O420" s="22" t="str">
        <f>IFERROR(__xludf.DUMMYFUNCTION("""COMPUTED_VALUE"""),"Cục Cảnh sát QLHC về TTXH")</f>
        <v>Cục Cảnh sát QLHC về TTXH</v>
      </c>
      <c r="P420" s="22" t="str">
        <f>IFERROR(__xludf.DUMMYFUNCTION("""COMPUTED_VALUE"""),"Cao đẳng")</f>
        <v>Cao đẳng</v>
      </c>
      <c r="Q420" s="22" t="str">
        <f>IFERROR(__xludf.DUMMYFUNCTION("""COMPUTED_VALUE"""),"Cao đẳng chế tạo máy")</f>
        <v>Cao đẳng chế tạo máy</v>
      </c>
      <c r="R420" s="24">
        <f>IFERROR(__xludf.DUMMYFUNCTION("""COMPUTED_VALUE"""),45927.0)</f>
        <v>45927</v>
      </c>
      <c r="S420" s="24">
        <f>IFERROR(__xludf.DUMMYFUNCTION("""COMPUTED_VALUE"""),45927.0)</f>
        <v>45927</v>
      </c>
      <c r="T420" s="22" t="str">
        <f>IFERROR(__xludf.DUMMYFUNCTION("""COMPUTED_VALUE"""),"Chính thức")</f>
        <v>Chính thức</v>
      </c>
      <c r="U420" s="22"/>
      <c r="V420" s="22" t="str">
        <f>IFERROR(__xludf.DUMMYFUNCTION("""COMPUTED_VALUE"""),"Chính thức")</f>
        <v>Chính thức</v>
      </c>
      <c r="W420" s="22" t="str">
        <f>IFERROR(__xludf.DUMMYFUNCTION("""COMPUTED_VALUE"""),"0 năm 3 tháng")</f>
        <v>0 năm 3 tháng</v>
      </c>
      <c r="X420" s="22"/>
      <c r="Y420" s="22"/>
      <c r="Z420" s="22"/>
    </row>
    <row r="421">
      <c r="A421" s="22">
        <f>IFERROR(__xludf.DUMMYFUNCTION("""COMPUTED_VALUE"""),15.0)</f>
        <v>15</v>
      </c>
      <c r="B421" s="22" t="str">
        <f>IFERROR(__xludf.DUMMYFUNCTION("""COMPUTED_VALUE"""),"PXSX2")</f>
        <v>PXSX2</v>
      </c>
      <c r="C421" s="22" t="str">
        <f>IFERROR(__xludf.DUMMYFUNCTION("""COMPUTED_VALUE"""),"Phân xưởng sản xuất bao bì")</f>
        <v>Phân xưởng sản xuất bao bì</v>
      </c>
      <c r="D421" s="22" t="str">
        <f>IFERROR(__xludf.DUMMYFUNCTION("""COMPUTED_VALUE"""),"Bộ phận hành chính")</f>
        <v>Bộ phận hành chính</v>
      </c>
      <c r="E421" s="22" t="str">
        <f>IFERROR(__xludf.DUMMYFUNCTION("""COMPUTED_VALUE"""),"Công nhân vận hành")</f>
        <v>Công nhân vận hành</v>
      </c>
      <c r="F421" s="22" t="str">
        <f>IFERROR(__xludf.DUMMYFUNCTION("""COMPUTED_VALUE"""),"NV5753")</f>
        <v>NV5753</v>
      </c>
      <c r="G421" s="22">
        <f>IFERROR(__xludf.DUMMYFUNCTION("""COMPUTED_VALUE"""),1232.0)</f>
        <v>1232</v>
      </c>
      <c r="H421" s="22" t="str">
        <f>IFERROR(__xludf.DUMMYFUNCTION("""COMPUTED_VALUE"""),"Nguyễn Văn Thanh")</f>
        <v>Nguyễn Văn Thanh</v>
      </c>
      <c r="I421" s="22" t="str">
        <f>IFERROR(__xludf.DUMMYFUNCTION("""COMPUTED_VALUE"""),"Nam")</f>
        <v>Nam</v>
      </c>
      <c r="J421" s="24">
        <f>IFERROR(__xludf.DUMMYFUNCTION("""COMPUTED_VALUE"""),30625.0)</f>
        <v>30625</v>
      </c>
      <c r="K421" s="22" t="str">
        <f>IFERROR(__xludf.DUMMYFUNCTION("""COMPUTED_VALUE"""),"Yên Cảnh - Xã Quảng Yên - Tỉnh Thanh Hóa")</f>
        <v>Yên Cảnh - Xã Quảng Yên - Tỉnh Thanh Hóa</v>
      </c>
      <c r="L421" s="22" t="str">
        <f>IFERROR(__xludf.DUMMYFUNCTION("""COMPUTED_VALUE"""),"0904784373")</f>
        <v>0904784373</v>
      </c>
      <c r="M421" s="22" t="str">
        <f>IFERROR(__xludf.DUMMYFUNCTION("""COMPUTED_VALUE"""),"038083001901")</f>
        <v>038083001901</v>
      </c>
      <c r="N421" s="26">
        <f>IFERROR(__xludf.DUMMYFUNCTION("""COMPUTED_VALUE"""),45408.0)</f>
        <v>45408</v>
      </c>
      <c r="O421" s="22" t="str">
        <f>IFERROR(__xludf.DUMMYFUNCTION("""COMPUTED_VALUE"""),"Cục Cảnh sát QLHC về TTXH")</f>
        <v>Cục Cảnh sát QLHC về TTXH</v>
      </c>
      <c r="P421" s="22" t="str">
        <f>IFERROR(__xludf.DUMMYFUNCTION("""COMPUTED_VALUE"""),"LĐPT")</f>
        <v>LĐPT</v>
      </c>
      <c r="Q421" s="22" t="str">
        <f>IFERROR(__xludf.DUMMYFUNCTION("""COMPUTED_VALUE"""),"Lao động phổ thông")</f>
        <v>Lao động phổ thông</v>
      </c>
      <c r="R421" s="24">
        <f>IFERROR(__xludf.DUMMYFUNCTION("""COMPUTED_VALUE"""),45937.0)</f>
        <v>45937</v>
      </c>
      <c r="S421" s="24">
        <f>IFERROR(__xludf.DUMMYFUNCTION("""COMPUTED_VALUE"""),45968.0)</f>
        <v>45968</v>
      </c>
      <c r="T421" s="22" t="str">
        <f>IFERROR(__xludf.DUMMYFUNCTION("""COMPUTED_VALUE"""),"Chính thức")</f>
        <v>Chính thức</v>
      </c>
      <c r="U421" s="22"/>
      <c r="V421" s="22" t="str">
        <f>IFERROR(__xludf.DUMMYFUNCTION("""COMPUTED_VALUE"""),"Chính thức")</f>
        <v>Chính thức</v>
      </c>
      <c r="W421" s="22" t="str">
        <f>IFERROR(__xludf.DUMMYFUNCTION("""COMPUTED_VALUE"""),"0 năm 2 tháng")</f>
        <v>0 năm 2 tháng</v>
      </c>
      <c r="X421" s="22"/>
      <c r="Y421" s="22"/>
      <c r="Z421" s="22"/>
    </row>
    <row r="422">
      <c r="A422" s="22">
        <f>IFERROR(__xludf.DUMMYFUNCTION("""COMPUTED_VALUE"""),16.0)</f>
        <v>16</v>
      </c>
      <c r="B422" s="22" t="str">
        <f>IFERROR(__xludf.DUMMYFUNCTION("""COMPUTED_VALUE"""),"PXSX2")</f>
        <v>PXSX2</v>
      </c>
      <c r="C422" s="22" t="str">
        <f>IFERROR(__xludf.DUMMYFUNCTION("""COMPUTED_VALUE"""),"Phân xưởng sản xuất bao bì")</f>
        <v>Phân xưởng sản xuất bao bì</v>
      </c>
      <c r="D422" s="22" t="str">
        <f>IFERROR(__xludf.DUMMYFUNCTION("""COMPUTED_VALUE"""),"Bộ phận hành chính")</f>
        <v>Bộ phận hành chính</v>
      </c>
      <c r="E422" s="22" t="str">
        <f>IFERROR(__xludf.DUMMYFUNCTION("""COMPUTED_VALUE"""),"Công nhân vận hành")</f>
        <v>Công nhân vận hành</v>
      </c>
      <c r="F422" s="22" t="str">
        <f>IFERROR(__xludf.DUMMYFUNCTION("""COMPUTED_VALUE"""),"NV5759")</f>
        <v>NV5759</v>
      </c>
      <c r="G422" s="22">
        <f>IFERROR(__xludf.DUMMYFUNCTION("""COMPUTED_VALUE"""),1240.0)</f>
        <v>1240</v>
      </c>
      <c r="H422" s="22" t="str">
        <f>IFERROR(__xludf.DUMMYFUNCTION("""COMPUTED_VALUE"""),"Nguyễn Văn Hiếu")</f>
        <v>Nguyễn Văn Hiếu</v>
      </c>
      <c r="I422" s="22" t="str">
        <f>IFERROR(__xludf.DUMMYFUNCTION("""COMPUTED_VALUE"""),"Nam")</f>
        <v>Nam</v>
      </c>
      <c r="J422" s="24">
        <f>IFERROR(__xludf.DUMMYFUNCTION("""COMPUTED_VALUE"""),30420.0)</f>
        <v>30420</v>
      </c>
      <c r="K422" s="22" t="str">
        <f>IFERROR(__xludf.DUMMYFUNCTION("""COMPUTED_VALUE"""),"Phường Nam Sầm Sơn - Tỉnh Thanh Hóa")</f>
        <v>Phường Nam Sầm Sơn - Tỉnh Thanh Hóa</v>
      </c>
      <c r="L422" s="22" t="str">
        <f>IFERROR(__xludf.DUMMYFUNCTION("""COMPUTED_VALUE"""),"0975803118")</f>
        <v>0975803118</v>
      </c>
      <c r="M422" s="22" t="str">
        <f>IFERROR(__xludf.DUMMYFUNCTION("""COMPUTED_VALUE"""),"038083035683")</f>
        <v>038083035683</v>
      </c>
      <c r="N422" s="26">
        <f>IFERROR(__xludf.DUMMYFUNCTION("""COMPUTED_VALUE"""),44326.0)</f>
        <v>44326</v>
      </c>
      <c r="O422" s="22" t="str">
        <f>IFERROR(__xludf.DUMMYFUNCTION("""COMPUTED_VALUE"""),"Cục Cảnh sát QLHC về TTXH")</f>
        <v>Cục Cảnh sát QLHC về TTXH</v>
      </c>
      <c r="P422" s="22" t="str">
        <f>IFERROR(__xludf.DUMMYFUNCTION("""COMPUTED_VALUE"""),"Cao đẳng")</f>
        <v>Cao đẳng</v>
      </c>
      <c r="Q422" s="22" t="str">
        <f>IFERROR(__xludf.DUMMYFUNCTION("""COMPUTED_VALUE"""),"Cao đẳng Lâm Nghiệp")</f>
        <v>Cao đẳng Lâm Nghiệp</v>
      </c>
      <c r="R422" s="24">
        <f>IFERROR(__xludf.DUMMYFUNCTION("""COMPUTED_VALUE"""),45941.0)</f>
        <v>45941</v>
      </c>
      <c r="S422" s="24">
        <f>IFERROR(__xludf.DUMMYFUNCTION("""COMPUTED_VALUE"""),45972.0)</f>
        <v>45972</v>
      </c>
      <c r="T422" s="22" t="str">
        <f>IFERROR(__xludf.DUMMYFUNCTION("""COMPUTED_VALUE"""),"Chính thức")</f>
        <v>Chính thức</v>
      </c>
      <c r="U422" s="22"/>
      <c r="V422" s="22" t="str">
        <f>IFERROR(__xludf.DUMMYFUNCTION("""COMPUTED_VALUE"""),"Chính thức")</f>
        <v>Chính thức</v>
      </c>
      <c r="W422" s="22" t="str">
        <f>IFERROR(__xludf.DUMMYFUNCTION("""COMPUTED_VALUE"""),"0 năm 2 tháng")</f>
        <v>0 năm 2 tháng</v>
      </c>
      <c r="X422" s="22"/>
      <c r="Y422" s="22"/>
      <c r="Z422" s="22"/>
    </row>
    <row r="423">
      <c r="A423" s="22">
        <f>IFERROR(__xludf.DUMMYFUNCTION("""COMPUTED_VALUE"""),17.0)</f>
        <v>17</v>
      </c>
      <c r="B423" s="22" t="str">
        <f>IFERROR(__xludf.DUMMYFUNCTION("""COMPUTED_VALUE"""),"PXSX2")</f>
        <v>PXSX2</v>
      </c>
      <c r="C423" s="22" t="str">
        <f>IFERROR(__xludf.DUMMYFUNCTION("""COMPUTED_VALUE"""),"Phân xưởng sản xuất bao bì")</f>
        <v>Phân xưởng sản xuất bao bì</v>
      </c>
      <c r="D423" s="22" t="str">
        <f>IFERROR(__xludf.DUMMYFUNCTION("""COMPUTED_VALUE"""),"Bộ phận hành chính")</f>
        <v>Bộ phận hành chính</v>
      </c>
      <c r="E423" s="22" t="str">
        <f>IFERROR(__xludf.DUMMYFUNCTION("""COMPUTED_VALUE"""),"Công nhân vận hành")</f>
        <v>Công nhân vận hành</v>
      </c>
      <c r="F423" s="22" t="str">
        <f>IFERROR(__xludf.DUMMYFUNCTION("""COMPUTED_VALUE"""),"NV5760")</f>
        <v>NV5760</v>
      </c>
      <c r="G423" s="22">
        <f>IFERROR(__xludf.DUMMYFUNCTION("""COMPUTED_VALUE"""),1241.0)</f>
        <v>1241</v>
      </c>
      <c r="H423" s="22" t="str">
        <f>IFERROR(__xludf.DUMMYFUNCTION("""COMPUTED_VALUE"""),"Ngũ Thị Thu Phương")</f>
        <v>Ngũ Thị Thu Phương</v>
      </c>
      <c r="I423" s="22" t="str">
        <f>IFERROR(__xludf.DUMMYFUNCTION("""COMPUTED_VALUE"""),"Nữ")</f>
        <v>Nữ</v>
      </c>
      <c r="J423" s="24">
        <f>IFERROR(__xludf.DUMMYFUNCTION("""COMPUTED_VALUE"""),30732.0)</f>
        <v>30732</v>
      </c>
      <c r="K423" s="22" t="str">
        <f>IFERROR(__xludf.DUMMYFUNCTION("""COMPUTED_VALUE"""),"1242 Quang trung - Phường Quảng Phú - Tỉnh Thanh Hóa")</f>
        <v>1242 Quang trung - Phường Quảng Phú - Tỉnh Thanh Hóa</v>
      </c>
      <c r="L423" s="22" t="str">
        <f>IFERROR(__xludf.DUMMYFUNCTION("""COMPUTED_VALUE"""),"0915869332")</f>
        <v>0915869332</v>
      </c>
      <c r="M423" s="22" t="str">
        <f>IFERROR(__xludf.DUMMYFUNCTION("""COMPUTED_VALUE"""),"038184048943")</f>
        <v>038184048943</v>
      </c>
      <c r="N423" s="26">
        <f>IFERROR(__xludf.DUMMYFUNCTION("""COMPUTED_VALUE"""),45296.0)</f>
        <v>45296</v>
      </c>
      <c r="O423" s="22" t="str">
        <f>IFERROR(__xludf.DUMMYFUNCTION("""COMPUTED_VALUE"""),"Cục Cảnh sát QLHC về TTXH")</f>
        <v>Cục Cảnh sát QLHC về TTXH</v>
      </c>
      <c r="P423" s="22" t="str">
        <f>IFERROR(__xludf.DUMMYFUNCTION("""COMPUTED_VALUE"""),"LĐPT")</f>
        <v>LĐPT</v>
      </c>
      <c r="Q423" s="22" t="str">
        <f>IFERROR(__xludf.DUMMYFUNCTION("""COMPUTED_VALUE"""),"Lao động phổ thông")</f>
        <v>Lao động phổ thông</v>
      </c>
      <c r="R423" s="24">
        <f>IFERROR(__xludf.DUMMYFUNCTION("""COMPUTED_VALUE"""),45943.0)</f>
        <v>45943</v>
      </c>
      <c r="S423" s="24">
        <f>IFERROR(__xludf.DUMMYFUNCTION("""COMPUTED_VALUE"""),45974.0)</f>
        <v>45974</v>
      </c>
      <c r="T423" s="22" t="str">
        <f>IFERROR(__xludf.DUMMYFUNCTION("""COMPUTED_VALUE"""),"Chính thức")</f>
        <v>Chính thức</v>
      </c>
      <c r="U423" s="22"/>
      <c r="V423" s="22" t="str">
        <f>IFERROR(__xludf.DUMMYFUNCTION("""COMPUTED_VALUE"""),"Chính thức")</f>
        <v>Chính thức</v>
      </c>
      <c r="W423" s="22" t="str">
        <f>IFERROR(__xludf.DUMMYFUNCTION("""COMPUTED_VALUE"""),"0 năm 2 tháng")</f>
        <v>0 năm 2 tháng</v>
      </c>
      <c r="X423" s="22"/>
      <c r="Y423" s="22"/>
      <c r="Z423" s="22"/>
    </row>
    <row r="424">
      <c r="A424" s="22">
        <f>IFERROR(__xludf.DUMMYFUNCTION("""COMPUTED_VALUE"""),18.0)</f>
        <v>18</v>
      </c>
      <c r="B424" s="22" t="str">
        <f>IFERROR(__xludf.DUMMYFUNCTION("""COMPUTED_VALUE"""),"PXSX2")</f>
        <v>PXSX2</v>
      </c>
      <c r="C424" s="22" t="str">
        <f>IFERROR(__xludf.DUMMYFUNCTION("""COMPUTED_VALUE"""),"Phân xưởng sản xuất bao bì")</f>
        <v>Phân xưởng sản xuất bao bì</v>
      </c>
      <c r="D424" s="22" t="str">
        <f>IFERROR(__xludf.DUMMYFUNCTION("""COMPUTED_VALUE"""),"Bộ phận hành chính")</f>
        <v>Bộ phận hành chính</v>
      </c>
      <c r="E424" s="22" t="str">
        <f>IFERROR(__xludf.DUMMYFUNCTION("""COMPUTED_VALUE"""),"Công nhân vận hành")</f>
        <v>Công nhân vận hành</v>
      </c>
      <c r="F424" s="22" t="str">
        <f>IFERROR(__xludf.DUMMYFUNCTION("""COMPUTED_VALUE"""),"NV5756")</f>
        <v>NV5756</v>
      </c>
      <c r="G424" s="22">
        <f>IFERROR(__xludf.DUMMYFUNCTION("""COMPUTED_VALUE"""),1236.0)</f>
        <v>1236</v>
      </c>
      <c r="H424" s="22" t="str">
        <f>IFERROR(__xludf.DUMMYFUNCTION("""COMPUTED_VALUE"""),"Lê Thị Huê")</f>
        <v>Lê Thị Huê</v>
      </c>
      <c r="I424" s="22" t="str">
        <f>IFERROR(__xludf.DUMMYFUNCTION("""COMPUTED_VALUE"""),"Nữ")</f>
        <v>Nữ</v>
      </c>
      <c r="J424" s="24">
        <f>IFERROR(__xludf.DUMMYFUNCTION("""COMPUTED_VALUE"""),31665.0)</f>
        <v>31665</v>
      </c>
      <c r="K424" s="22" t="str">
        <f>IFERROR(__xludf.DUMMYFUNCTION("""COMPUTED_VALUE"""),"68 Trần Mai Ninh - KP Xuân Thượng - Phường Nam Sầm Sơn - Tỉnh Thanh Hóa")</f>
        <v>68 Trần Mai Ninh - KP Xuân Thượng - Phường Nam Sầm Sơn - Tỉnh Thanh Hóa</v>
      </c>
      <c r="L424" s="22" t="str">
        <f>IFERROR(__xludf.DUMMYFUNCTION("""COMPUTED_VALUE"""),"0343406382")</f>
        <v>0343406382</v>
      </c>
      <c r="M424" s="22" t="str">
        <f>IFERROR(__xludf.DUMMYFUNCTION("""COMPUTED_VALUE"""),"038186023253")</f>
        <v>038186023253</v>
      </c>
      <c r="N424" s="26">
        <f>IFERROR(__xludf.DUMMYFUNCTION("""COMPUTED_VALUE"""),44297.0)</f>
        <v>44297</v>
      </c>
      <c r="O424" s="22" t="str">
        <f>IFERROR(__xludf.DUMMYFUNCTION("""COMPUTED_VALUE"""),"Cục Cảnh sát QLHC về TTXH")</f>
        <v>Cục Cảnh sát QLHC về TTXH</v>
      </c>
      <c r="P424" s="22" t="str">
        <f>IFERROR(__xludf.DUMMYFUNCTION("""COMPUTED_VALUE"""),"Đại học")</f>
        <v>Đại học</v>
      </c>
      <c r="Q424" s="22" t="str">
        <f>IFERROR(__xludf.DUMMYFUNCTION("""COMPUTED_VALUE"""),"Cử nhân khoa học")</f>
        <v>Cử nhân khoa học</v>
      </c>
      <c r="R424" s="24">
        <f>IFERROR(__xludf.DUMMYFUNCTION("""COMPUTED_VALUE"""),45940.0)</f>
        <v>45940</v>
      </c>
      <c r="S424" s="24">
        <f>IFERROR(__xludf.DUMMYFUNCTION("""COMPUTED_VALUE"""),45971.0)</f>
        <v>45971</v>
      </c>
      <c r="T424" s="22" t="str">
        <f>IFERROR(__xludf.DUMMYFUNCTION("""COMPUTED_VALUE"""),"Chính thức")</f>
        <v>Chính thức</v>
      </c>
      <c r="U424" s="22"/>
      <c r="V424" s="22" t="str">
        <f>IFERROR(__xludf.DUMMYFUNCTION("""COMPUTED_VALUE"""),"Chính thức")</f>
        <v>Chính thức</v>
      </c>
      <c r="W424" s="22" t="str">
        <f>IFERROR(__xludf.DUMMYFUNCTION("""COMPUTED_VALUE"""),"0 năm 2 tháng")</f>
        <v>0 năm 2 tháng</v>
      </c>
      <c r="X424" s="22"/>
      <c r="Y424" s="22"/>
      <c r="Z424" s="22"/>
    </row>
    <row r="425">
      <c r="A425" s="22">
        <f>IFERROR(__xludf.DUMMYFUNCTION("""COMPUTED_VALUE"""),19.0)</f>
        <v>19</v>
      </c>
      <c r="B425" s="22" t="str">
        <f>IFERROR(__xludf.DUMMYFUNCTION("""COMPUTED_VALUE"""),"PXSX2")</f>
        <v>PXSX2</v>
      </c>
      <c r="C425" s="22" t="str">
        <f>IFERROR(__xludf.DUMMYFUNCTION("""COMPUTED_VALUE"""),"Phân xưởng sản xuất bao bì")</f>
        <v>Phân xưởng sản xuất bao bì</v>
      </c>
      <c r="D425" s="22" t="str">
        <f>IFERROR(__xludf.DUMMYFUNCTION("""COMPUTED_VALUE"""),"Bộ phận hành chính")</f>
        <v>Bộ phận hành chính</v>
      </c>
      <c r="E425" s="22" t="str">
        <f>IFERROR(__xludf.DUMMYFUNCTION("""COMPUTED_VALUE"""),"Công nhân vận hành")</f>
        <v>Công nhân vận hành</v>
      </c>
      <c r="F425" s="22" t="str">
        <f>IFERROR(__xludf.DUMMYFUNCTION("""COMPUTED_VALUE"""),"NV5778")</f>
        <v>NV5778</v>
      </c>
      <c r="G425" s="22">
        <f>IFERROR(__xludf.DUMMYFUNCTION("""COMPUTED_VALUE"""),1259.0)</f>
        <v>1259</v>
      </c>
      <c r="H425" s="22" t="str">
        <f>IFERROR(__xludf.DUMMYFUNCTION("""COMPUTED_VALUE"""),"Nguyễn Văn Dũng")</f>
        <v>Nguyễn Văn Dũng</v>
      </c>
      <c r="I425" s="22" t="str">
        <f>IFERROR(__xludf.DUMMYFUNCTION("""COMPUTED_VALUE"""),"Nam")</f>
        <v>Nam</v>
      </c>
      <c r="J425" s="24">
        <f>IFERROR(__xludf.DUMMYFUNCTION("""COMPUTED_VALUE"""),35287.0)</f>
        <v>35287</v>
      </c>
      <c r="K425" s="22" t="str">
        <f>IFERROR(__xludf.DUMMYFUNCTION("""COMPUTED_VALUE"""),"Thôn Thắng Lộc - Xã Vạn Lộc - Tỉnh Thanh Hóa")</f>
        <v>Thôn Thắng Lộc - Xã Vạn Lộc - Tỉnh Thanh Hóa</v>
      </c>
      <c r="L425" s="22" t="str">
        <f>IFERROR(__xludf.DUMMYFUNCTION("""COMPUTED_VALUE"""),"0985491815")</f>
        <v>0985491815</v>
      </c>
      <c r="M425" s="22" t="str">
        <f>IFERROR(__xludf.DUMMYFUNCTION("""COMPUTED_VALUE"""),"038096001583")</f>
        <v>038096001583</v>
      </c>
      <c r="N425" s="26">
        <f>IFERROR(__xludf.DUMMYFUNCTION("""COMPUTED_VALUE"""),45544.0)</f>
        <v>45544</v>
      </c>
      <c r="O425" s="22" t="str">
        <f>IFERROR(__xludf.DUMMYFUNCTION("""COMPUTED_VALUE"""),"Bộ công an")</f>
        <v>Bộ công an</v>
      </c>
      <c r="P425" s="22" t="str">
        <f>IFERROR(__xludf.DUMMYFUNCTION("""COMPUTED_VALUE"""),"LĐPT")</f>
        <v>LĐPT</v>
      </c>
      <c r="Q425" s="22" t="str">
        <f>IFERROR(__xludf.DUMMYFUNCTION("""COMPUTED_VALUE"""),"Lao động phổ thông")</f>
        <v>Lao động phổ thông</v>
      </c>
      <c r="R425" s="24">
        <f>IFERROR(__xludf.DUMMYFUNCTION("""COMPUTED_VALUE"""),45959.0)</f>
        <v>45959</v>
      </c>
      <c r="S425" s="24">
        <f>IFERROR(__xludf.DUMMYFUNCTION("""COMPUTED_VALUE"""),45990.0)</f>
        <v>45990</v>
      </c>
      <c r="T425" s="22" t="str">
        <f>IFERROR(__xludf.DUMMYFUNCTION("""COMPUTED_VALUE"""),"Thử việc")</f>
        <v>Thử việc</v>
      </c>
      <c r="U425" s="22"/>
      <c r="V425" s="22" t="str">
        <f>IFERROR(__xludf.DUMMYFUNCTION("""COMPUTED_VALUE"""),"Thử việc")</f>
        <v>Thử việc</v>
      </c>
      <c r="W425" s="22" t="str">
        <f>IFERROR(__xludf.DUMMYFUNCTION("""COMPUTED_VALUE"""),"0 năm 2 tháng")</f>
        <v>0 năm 2 tháng</v>
      </c>
      <c r="X425" s="22"/>
      <c r="Y425" s="22"/>
      <c r="Z425" s="22"/>
    </row>
    <row r="426">
      <c r="A426" s="22">
        <f>IFERROR(__xludf.DUMMYFUNCTION("""COMPUTED_VALUE"""),20.0)</f>
        <v>20</v>
      </c>
      <c r="B426" s="22" t="str">
        <f>IFERROR(__xludf.DUMMYFUNCTION("""COMPUTED_VALUE"""),"PXSX2")</f>
        <v>PXSX2</v>
      </c>
      <c r="C426" s="22" t="str">
        <f>IFERROR(__xludf.DUMMYFUNCTION("""COMPUTED_VALUE"""),"Phân xưởng sản xuất bao bì")</f>
        <v>Phân xưởng sản xuất bao bì</v>
      </c>
      <c r="D426" s="22" t="str">
        <f>IFERROR(__xludf.DUMMYFUNCTION("""COMPUTED_VALUE"""),"Bộ phận hành chính")</f>
        <v>Bộ phận hành chính</v>
      </c>
      <c r="E426" s="22" t="str">
        <f>IFERROR(__xludf.DUMMYFUNCTION("""COMPUTED_VALUE"""),"Công nhân vận hành")</f>
        <v>Công nhân vận hành</v>
      </c>
      <c r="F426" s="22" t="str">
        <f>IFERROR(__xludf.DUMMYFUNCTION("""COMPUTED_VALUE"""),"NV5769")</f>
        <v>NV5769</v>
      </c>
      <c r="G426" s="22">
        <f>IFERROR(__xludf.DUMMYFUNCTION("""COMPUTED_VALUE"""),1250.0)</f>
        <v>1250</v>
      </c>
      <c r="H426" s="22" t="str">
        <f>IFERROR(__xludf.DUMMYFUNCTION("""COMPUTED_VALUE"""),"Đỗ Xuân Hùng")</f>
        <v>Đỗ Xuân Hùng</v>
      </c>
      <c r="I426" s="22" t="str">
        <f>IFERROR(__xludf.DUMMYFUNCTION("""COMPUTED_VALUE"""),"Nam")</f>
        <v>Nam</v>
      </c>
      <c r="J426" s="24">
        <f>IFERROR(__xludf.DUMMYFUNCTION("""COMPUTED_VALUE"""),27265.0)</f>
        <v>27265</v>
      </c>
      <c r="K426" s="22" t="str">
        <f>IFERROR(__xludf.DUMMYFUNCTION("""COMPUTED_VALUE"""),"Thôn Hà Thái - Xã Hoằng Hóa - Tỉnh Thanh Hóa")</f>
        <v>Thôn Hà Thái - Xã Hoằng Hóa - Tỉnh Thanh Hóa</v>
      </c>
      <c r="L426" s="22" t="str">
        <f>IFERROR(__xludf.DUMMYFUNCTION("""COMPUTED_VALUE"""),"0964662087")</f>
        <v>0964662087</v>
      </c>
      <c r="M426" s="22" t="str">
        <f>IFERROR(__xludf.DUMMYFUNCTION("""COMPUTED_VALUE"""),"038074019375")</f>
        <v>038074019375</v>
      </c>
      <c r="N426" s="26">
        <f>IFERROR(__xludf.DUMMYFUNCTION("""COMPUTED_VALUE"""),45812.0)</f>
        <v>45812</v>
      </c>
      <c r="O426" s="22" t="str">
        <f>IFERROR(__xludf.DUMMYFUNCTION("""COMPUTED_VALUE"""),"Bộ công an")</f>
        <v>Bộ công an</v>
      </c>
      <c r="P426" s="22" t="str">
        <f>IFERROR(__xludf.DUMMYFUNCTION("""COMPUTED_VALUE"""),"LĐPT")</f>
        <v>LĐPT</v>
      </c>
      <c r="Q426" s="22" t="str">
        <f>IFERROR(__xludf.DUMMYFUNCTION("""COMPUTED_VALUE"""),"Lao động phổ thông")</f>
        <v>Lao động phổ thông</v>
      </c>
      <c r="R426" s="24">
        <f>IFERROR(__xludf.DUMMYFUNCTION("""COMPUTED_VALUE"""),45947.0)</f>
        <v>45947</v>
      </c>
      <c r="S426" s="24">
        <f>IFERROR(__xludf.DUMMYFUNCTION("""COMPUTED_VALUE"""),45947.0)</f>
        <v>45947</v>
      </c>
      <c r="T426" s="22" t="str">
        <f>IFERROR(__xludf.DUMMYFUNCTION("""COMPUTED_VALUE"""),"Thử việc")</f>
        <v>Thử việc</v>
      </c>
      <c r="U426" s="22"/>
      <c r="V426" s="22" t="str">
        <f>IFERROR(__xludf.DUMMYFUNCTION("""COMPUTED_VALUE"""),"Chính thức")</f>
        <v>Chính thức</v>
      </c>
      <c r="W426" s="22" t="str">
        <f>IFERROR(__xludf.DUMMYFUNCTION("""COMPUTED_VALUE"""),"0 năm 2 tháng")</f>
        <v>0 năm 2 tháng</v>
      </c>
      <c r="X426" s="22"/>
      <c r="Y426" s="22"/>
      <c r="Z426" s="22"/>
    </row>
    <row r="427">
      <c r="A427" s="22">
        <f>IFERROR(__xludf.DUMMYFUNCTION("""COMPUTED_VALUE"""),21.0)</f>
        <v>21</v>
      </c>
      <c r="B427" s="22" t="str">
        <f>IFERROR(__xludf.DUMMYFUNCTION("""COMPUTED_VALUE"""),"PXSX2")</f>
        <v>PXSX2</v>
      </c>
      <c r="C427" s="22" t="str">
        <f>IFERROR(__xludf.DUMMYFUNCTION("""COMPUTED_VALUE"""),"Phân xưởng sản xuất bao bì")</f>
        <v>Phân xưởng sản xuất bao bì</v>
      </c>
      <c r="D427" s="22" t="str">
        <f>IFERROR(__xludf.DUMMYFUNCTION("""COMPUTED_VALUE"""),"Bộ phận hành chính")</f>
        <v>Bộ phận hành chính</v>
      </c>
      <c r="E427" s="22" t="str">
        <f>IFERROR(__xludf.DUMMYFUNCTION("""COMPUTED_VALUE"""),"Công nhân vận hành")</f>
        <v>Công nhân vận hành</v>
      </c>
      <c r="F427" s="22" t="str">
        <f>IFERROR(__xludf.DUMMYFUNCTION("""COMPUTED_VALUE"""),"NV5790")</f>
        <v>NV5790</v>
      </c>
      <c r="G427" s="22">
        <f>IFERROR(__xludf.DUMMYFUNCTION("""COMPUTED_VALUE"""),1273.0)</f>
        <v>1273</v>
      </c>
      <c r="H427" s="22" t="str">
        <f>IFERROR(__xludf.DUMMYFUNCTION("""COMPUTED_VALUE"""),"Nguyễn Văn Quân")</f>
        <v>Nguyễn Văn Quân</v>
      </c>
      <c r="I427" s="22" t="str">
        <f>IFERROR(__xludf.DUMMYFUNCTION("""COMPUTED_VALUE"""),"Nam")</f>
        <v>Nam</v>
      </c>
      <c r="J427" s="24">
        <f>IFERROR(__xludf.DUMMYFUNCTION("""COMPUTED_VALUE"""),37764.0)</f>
        <v>37764</v>
      </c>
      <c r="K427" s="22" t="str">
        <f>IFERROR(__xludf.DUMMYFUNCTION("""COMPUTED_VALUE"""),"Thôn Xuân Lai - Xã Xuân Hòa - Tỉnh Thanh Hóa")</f>
        <v>Thôn Xuân Lai - Xã Xuân Hòa - Tỉnh Thanh Hóa</v>
      </c>
      <c r="L427" s="22" t="str">
        <f>IFERROR(__xludf.DUMMYFUNCTION("""COMPUTED_VALUE"""),"0365800706")</f>
        <v>0365800706</v>
      </c>
      <c r="M427" s="22" t="str">
        <f>IFERROR(__xludf.DUMMYFUNCTION("""COMPUTED_VALUE"""),"038203020962")</f>
        <v>038203020962</v>
      </c>
      <c r="N427" s="26">
        <f>IFERROR(__xludf.DUMMYFUNCTION("""COMPUTED_VALUE"""),44315.0)</f>
        <v>44315</v>
      </c>
      <c r="O427" s="22" t="str">
        <f>IFERROR(__xludf.DUMMYFUNCTION("""COMPUTED_VALUE"""),"Cục Cảnh sát QLHC về TTXH")</f>
        <v>Cục Cảnh sát QLHC về TTXH</v>
      </c>
      <c r="P427" s="22" t="str">
        <f>IFERROR(__xludf.DUMMYFUNCTION("""COMPUTED_VALUE"""),"LĐPT")</f>
        <v>LĐPT</v>
      </c>
      <c r="Q427" s="22" t="str">
        <f>IFERROR(__xludf.DUMMYFUNCTION("""COMPUTED_VALUE"""),"Lao động phổ thông")</f>
        <v>Lao động phổ thông</v>
      </c>
      <c r="R427" s="24">
        <f>IFERROR(__xludf.DUMMYFUNCTION("""COMPUTED_VALUE"""),45965.0)</f>
        <v>45965</v>
      </c>
      <c r="S427" s="24">
        <f>IFERROR(__xludf.DUMMYFUNCTION("""COMPUTED_VALUE"""),45995.0)</f>
        <v>45995</v>
      </c>
      <c r="T427" s="22" t="str">
        <f>IFERROR(__xludf.DUMMYFUNCTION("""COMPUTED_VALUE"""),"Thử việc")</f>
        <v>Thử việc</v>
      </c>
      <c r="U427" s="22"/>
      <c r="V427" s="22" t="str">
        <f>IFERROR(__xludf.DUMMYFUNCTION("""COMPUTED_VALUE"""),"Thử việc")</f>
        <v>Thử việc</v>
      </c>
      <c r="W427" s="22" t="str">
        <f>IFERROR(__xludf.DUMMYFUNCTION("""COMPUTED_VALUE"""),"0 năm 1 tháng")</f>
        <v>0 năm 1 tháng</v>
      </c>
      <c r="X427" s="22"/>
      <c r="Y427" s="22"/>
      <c r="Z427" s="22"/>
    </row>
    <row r="428">
      <c r="A428" s="22">
        <f>IFERROR(__xludf.DUMMYFUNCTION("""COMPUTED_VALUE"""),22.0)</f>
        <v>22</v>
      </c>
      <c r="B428" s="22" t="str">
        <f>IFERROR(__xludf.DUMMYFUNCTION("""COMPUTED_VALUE"""),"PXSX2")</f>
        <v>PXSX2</v>
      </c>
      <c r="C428" s="22" t="str">
        <f>IFERROR(__xludf.DUMMYFUNCTION("""COMPUTED_VALUE"""),"Phân xưởng sản xuất bao bì")</f>
        <v>Phân xưởng sản xuất bao bì</v>
      </c>
      <c r="D428" s="22" t="str">
        <f>IFERROR(__xludf.DUMMYFUNCTION("""COMPUTED_VALUE"""),"Bộ phận hành chính")</f>
        <v>Bộ phận hành chính</v>
      </c>
      <c r="E428" s="22" t="str">
        <f>IFERROR(__xludf.DUMMYFUNCTION("""COMPUTED_VALUE"""),"Công nhân vận hành")</f>
        <v>Công nhân vận hành</v>
      </c>
      <c r="F428" s="22" t="str">
        <f>IFERROR(__xludf.DUMMYFUNCTION("""COMPUTED_VALUE"""),"NV3245")</f>
        <v>NV3245</v>
      </c>
      <c r="G428" s="22">
        <f>IFERROR(__xludf.DUMMYFUNCTION("""COMPUTED_VALUE"""),397.0)</f>
        <v>397</v>
      </c>
      <c r="H428" s="22" t="str">
        <f>IFERROR(__xludf.DUMMYFUNCTION("""COMPUTED_VALUE"""),"Lê Hữu Việt")</f>
        <v>Lê Hữu Việt</v>
      </c>
      <c r="I428" s="22" t="str">
        <f>IFERROR(__xludf.DUMMYFUNCTION("""COMPUTED_VALUE"""),"Nam")</f>
        <v>Nam</v>
      </c>
      <c r="J428" s="24">
        <f>IFERROR(__xludf.DUMMYFUNCTION("""COMPUTED_VALUE"""),33850.0)</f>
        <v>33850</v>
      </c>
      <c r="K428" s="22" t="str">
        <f>IFERROR(__xludf.DUMMYFUNCTION("""COMPUTED_VALUE"""),"Thôn 1 -Xã Hoằng Lộc - Tỉnh Thanh Hóa")</f>
        <v>Thôn 1 -Xã Hoằng Lộc - Tỉnh Thanh Hóa</v>
      </c>
      <c r="L428" s="22" t="str">
        <f>IFERROR(__xludf.DUMMYFUNCTION("""COMPUTED_VALUE"""),"0946642286")</f>
        <v>0946642286</v>
      </c>
      <c r="M428" s="22" t="str">
        <f>IFERROR(__xludf.DUMMYFUNCTION("""COMPUTED_VALUE"""),"038092040869")</f>
        <v>038092040869</v>
      </c>
      <c r="N428" s="26">
        <f>IFERROR(__xludf.DUMMYFUNCTION("""COMPUTED_VALUE"""),44420.0)</f>
        <v>44420</v>
      </c>
      <c r="O428" s="22" t="str">
        <f>IFERROR(__xludf.DUMMYFUNCTION("""COMPUTED_VALUE"""),"Cục Cảnh sát QLHC về TTXH")</f>
        <v>Cục Cảnh sát QLHC về TTXH</v>
      </c>
      <c r="P428" s="22" t="str">
        <f>IFERROR(__xludf.DUMMYFUNCTION("""COMPUTED_VALUE"""),"Cao đẳng nghề")</f>
        <v>Cao đẳng nghề</v>
      </c>
      <c r="Q428" s="22" t="str">
        <f>IFERROR(__xludf.DUMMYFUNCTION("""COMPUTED_VALUE"""),"Công nghệ điện tử")</f>
        <v>Công nghệ điện tử</v>
      </c>
      <c r="R428" s="24">
        <f>IFERROR(__xludf.DUMMYFUNCTION("""COMPUTED_VALUE"""),44075.0)</f>
        <v>44075</v>
      </c>
      <c r="S428" s="24">
        <f>IFERROR(__xludf.DUMMYFUNCTION("""COMPUTED_VALUE"""),44197.0)</f>
        <v>44197</v>
      </c>
      <c r="T428" s="22" t="str">
        <f>IFERROR(__xludf.DUMMYFUNCTION("""COMPUTED_VALUE"""),"Chính thức")</f>
        <v>Chính thức</v>
      </c>
      <c r="U428" s="22"/>
      <c r="V428" s="22" t="str">
        <f>IFERROR(__xludf.DUMMYFUNCTION("""COMPUTED_VALUE"""),"Điều động")</f>
        <v>Điều động</v>
      </c>
      <c r="W428" s="22" t="str">
        <f>IFERROR(__xludf.DUMMYFUNCTION("""COMPUTED_VALUE"""),"5 năm 3 tháng")</f>
        <v>5 năm 3 tháng</v>
      </c>
      <c r="X428" s="22"/>
      <c r="Y428" s="22"/>
      <c r="Z428" s="22"/>
    </row>
    <row r="429">
      <c r="A429" s="22">
        <f>IFERROR(__xludf.DUMMYFUNCTION("""COMPUTED_VALUE"""),23.0)</f>
        <v>23</v>
      </c>
      <c r="B429" s="22" t="str">
        <f>IFERROR(__xludf.DUMMYFUNCTION("""COMPUTED_VALUE"""),"PXSX2")</f>
        <v>PXSX2</v>
      </c>
      <c r="C429" s="22" t="str">
        <f>IFERROR(__xludf.DUMMYFUNCTION("""COMPUTED_VALUE"""),"Phân xưởng sản xuất bao bì")</f>
        <v>Phân xưởng sản xuất bao bì</v>
      </c>
      <c r="D429" s="22" t="str">
        <f>IFERROR(__xludf.DUMMYFUNCTION("""COMPUTED_VALUE"""),"Bộ phận hành chính")</f>
        <v>Bộ phận hành chính</v>
      </c>
      <c r="E429" s="22" t="str">
        <f>IFERROR(__xludf.DUMMYFUNCTION("""COMPUTED_VALUE"""),"Công nhân vận hành")</f>
        <v>Công nhân vận hành</v>
      </c>
      <c r="F429" s="22" t="str">
        <f>IFERROR(__xludf.DUMMYFUNCTION("""COMPUTED_VALUE"""),"NV5811")</f>
        <v>NV5811</v>
      </c>
      <c r="G429" s="22">
        <f>IFERROR(__xludf.DUMMYFUNCTION("""COMPUTED_VALUE"""),1293.0)</f>
        <v>1293</v>
      </c>
      <c r="H429" s="22" t="str">
        <f>IFERROR(__xludf.DUMMYFUNCTION("""COMPUTED_VALUE"""),"Nguyễn Văn Hải")</f>
        <v>Nguyễn Văn Hải</v>
      </c>
      <c r="I429" s="22" t="str">
        <f>IFERROR(__xludf.DUMMYFUNCTION("""COMPUTED_VALUE"""),"Nam")</f>
        <v>Nam</v>
      </c>
      <c r="J429" s="24">
        <f>IFERROR(__xludf.DUMMYFUNCTION("""COMPUTED_VALUE"""),30538.0)</f>
        <v>30538</v>
      </c>
      <c r="K429" s="22" t="str">
        <f>IFERROR(__xludf.DUMMYFUNCTION("""COMPUTED_VALUE"""),"Phố Tiến Thành - Phường Quảng Phú - Tỉnh Thanh Hoá")</f>
        <v>Phố Tiến Thành - Phường Quảng Phú - Tỉnh Thanh Hoá</v>
      </c>
      <c r="L429" s="22" t="str">
        <f>IFERROR(__xludf.DUMMYFUNCTION("""COMPUTED_VALUE"""),"0968112167")</f>
        <v>0968112167</v>
      </c>
      <c r="M429" s="22" t="str">
        <f>IFERROR(__xludf.DUMMYFUNCTION("""COMPUTED_VALUE"""),"038083042959")</f>
        <v>038083042959</v>
      </c>
      <c r="N429" s="26">
        <f>IFERROR(__xludf.DUMMYFUNCTION("""COMPUTED_VALUE"""),44420.0)</f>
        <v>44420</v>
      </c>
      <c r="O429" s="22" t="str">
        <f>IFERROR(__xludf.DUMMYFUNCTION("""COMPUTED_VALUE"""),"Cục Cảnh sát QLHC về TTXH")</f>
        <v>Cục Cảnh sát QLHC về TTXH</v>
      </c>
      <c r="P429" s="22" t="str">
        <f>IFERROR(__xludf.DUMMYFUNCTION("""COMPUTED_VALUE"""),"LĐPT")</f>
        <v>LĐPT</v>
      </c>
      <c r="Q429" s="22" t="str">
        <f>IFERROR(__xludf.DUMMYFUNCTION("""COMPUTED_VALUE"""),"Lao động phổ thông")</f>
        <v>Lao động phổ thông</v>
      </c>
      <c r="R429" s="24">
        <f>IFERROR(__xludf.DUMMYFUNCTION("""COMPUTED_VALUE"""),45978.0)</f>
        <v>45978</v>
      </c>
      <c r="S429" s="24">
        <f>IFERROR(__xludf.DUMMYFUNCTION("""COMPUTED_VALUE"""),46008.0)</f>
        <v>46008</v>
      </c>
      <c r="T429" s="22" t="str">
        <f>IFERROR(__xludf.DUMMYFUNCTION("""COMPUTED_VALUE"""),"Thử việc")</f>
        <v>Thử việc</v>
      </c>
      <c r="U429" s="22"/>
      <c r="V429" s="22" t="str">
        <f>IFERROR(__xludf.DUMMYFUNCTION("""COMPUTED_VALUE"""),"Thử việc")</f>
        <v>Thử việc</v>
      </c>
      <c r="W429" s="22" t="str">
        <f>IFERROR(__xludf.DUMMYFUNCTION("""COMPUTED_VALUE"""),"0 năm 1 tháng")</f>
        <v>0 năm 1 tháng</v>
      </c>
      <c r="X429" s="22"/>
      <c r="Y429" s="22"/>
      <c r="Z429" s="22"/>
    </row>
    <row r="430">
      <c r="A430" s="22">
        <f>IFERROR(__xludf.DUMMYFUNCTION("""COMPUTED_VALUE"""),24.0)</f>
        <v>24</v>
      </c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>
        <f>IFERROR(__xludf.DUMMYFUNCTION("""COMPUTED_VALUE"""),25.0)</f>
        <v>25</v>
      </c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>
        <f>IFERROR(__xludf.DUMMYFUNCTION("""COMPUTED_VALUE"""),26.0)</f>
        <v>26</v>
      </c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>
        <f>IFERROR(__xludf.DUMMYFUNCTION("""COMPUTED_VALUE"""),27.0)</f>
        <v>27</v>
      </c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>
        <f>IFERROR(__xludf.DUMMYFUNCTION("""COMPUTED_VALUE"""),28.0)</f>
        <v>28</v>
      </c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>
        <f>IFERROR(__xludf.DUMMYFUNCTION("""COMPUTED_VALUE"""),29.0)</f>
        <v>29</v>
      </c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>
        <f>IFERROR(__xludf.DUMMYFUNCTION("""COMPUTED_VALUE"""),30.0)</f>
        <v>30</v>
      </c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>
        <f>IFERROR(__xludf.DUMMYFUNCTION("""COMPUTED_VALUE"""),31.0)</f>
        <v>31</v>
      </c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>
        <f>IFERROR(__xludf.DUMMYFUNCTION("""COMPUTED_VALUE"""),32.0)</f>
        <v>32</v>
      </c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>
        <f>IFERROR(__xludf.DUMMYFUNCTION("""COMPUTED_VALUE"""),33.0)</f>
        <v>33</v>
      </c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>
        <f>IFERROR(__xludf.DUMMYFUNCTION("""COMPUTED_VALUE"""),34.0)</f>
        <v>34</v>
      </c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3" t="str">
        <f>IFERROR(__xludf.DUMMYFUNCTION("""COMPUTED_VALUE"""),"1.")</f>
        <v>1.</v>
      </c>
      <c r="B441" s="22" t="str">
        <f>IFERROR(__xludf.DUMMYFUNCTION("""COMPUTED_VALUE"""),"Phòng công nghệ")</f>
        <v>Phòng công nghệ</v>
      </c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3" t="str">
        <f>IFERROR(__xludf.DUMMYFUNCTION("""COMPUTED_VALUE"""),"1.3")</f>
        <v>1.3</v>
      </c>
      <c r="B442" s="22" t="str">
        <f>IFERROR(__xludf.DUMMYFUNCTION("""COMPUTED_VALUE"""),"Bộ phận Công nghệ PXSX2")</f>
        <v>Bộ phận Công nghệ PXSX2</v>
      </c>
      <c r="C442" s="22">
        <f>IFERROR(__xludf.DUMMYFUNCTION("""COMPUTED_VALUE"""),15.0)</f>
        <v>15</v>
      </c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3" t="str">
        <f>IFERROR(__xludf.DUMMYFUNCTION("""COMPUTED_VALUE"""),"a.")</f>
        <v>a.</v>
      </c>
      <c r="B443" s="22" t="str">
        <f>IFERROR(__xludf.DUMMYFUNCTION("""COMPUTED_VALUE"""),"Công nghệ")</f>
        <v>Công nghệ</v>
      </c>
      <c r="C443" s="22">
        <f>IFERROR(__xludf.DUMMYFUNCTION("""COMPUTED_VALUE"""),6.0)</f>
        <v>6</v>
      </c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3" t="str">
        <f>IFERROR(__xludf.DUMMYFUNCTION("""COMPUTED_VALUE"""),"2")</f>
        <v>2</v>
      </c>
      <c r="B444" s="22" t="str">
        <f>IFERROR(__xludf.DUMMYFUNCTION("""COMPUTED_VALUE"""),"PXSX2")</f>
        <v>PXSX2</v>
      </c>
      <c r="C444" s="22" t="str">
        <f>IFERROR(__xludf.DUMMYFUNCTION("""COMPUTED_VALUE"""),"Phòng công nghệ")</f>
        <v>Phòng công nghệ</v>
      </c>
      <c r="D444" s="22" t="str">
        <f>IFERROR(__xludf.DUMMYFUNCTION("""COMPUTED_VALUE"""),"Công nghệ")</f>
        <v>Công nghệ</v>
      </c>
      <c r="E444" s="22" t="str">
        <f>IFERROR(__xludf.DUMMYFUNCTION("""COMPUTED_VALUE"""),"Trưởng bộ phận công nghệ")</f>
        <v>Trưởng bộ phận công nghệ</v>
      </c>
      <c r="F444" s="22" t="str">
        <f>IFERROR(__xludf.DUMMYFUNCTION("""COMPUTED_VALUE"""),"NV0215")</f>
        <v>NV0215</v>
      </c>
      <c r="G444" s="22">
        <f>IFERROR(__xludf.DUMMYFUNCTION("""COMPUTED_VALUE"""),169.0)</f>
        <v>169</v>
      </c>
      <c r="H444" s="22" t="str">
        <f>IFERROR(__xludf.DUMMYFUNCTION("""COMPUTED_VALUE"""),"Vũ Đình Hoàng")</f>
        <v>Vũ Đình Hoàng</v>
      </c>
      <c r="I444" s="22" t="str">
        <f>IFERROR(__xludf.DUMMYFUNCTION("""COMPUTED_VALUE"""),"Nam")</f>
        <v>Nam</v>
      </c>
      <c r="J444" s="24">
        <f>IFERROR(__xludf.DUMMYFUNCTION("""COMPUTED_VALUE"""),32795.0)</f>
        <v>32795</v>
      </c>
      <c r="K444" s="22" t="str">
        <f>IFERROR(__xludf.DUMMYFUNCTION("""COMPUTED_VALUE"""),"Phường Quảng Phú - Tỉnh Thanh Hóa")</f>
        <v>Phường Quảng Phú - Tỉnh Thanh Hóa</v>
      </c>
      <c r="L444" s="27" t="str">
        <f>IFERROR(__xludf.DUMMYFUNCTION("""COMPUTED_VALUE"""),"0977303383")</f>
        <v>0977303383</v>
      </c>
      <c r="M444" s="22" t="str">
        <f>IFERROR(__xludf.DUMMYFUNCTION("""COMPUTED_VALUE"""),"038089011822")</f>
        <v>038089011822</v>
      </c>
      <c r="N444" s="26">
        <f>IFERROR(__xludf.DUMMYFUNCTION("""COMPUTED_VALUE"""),44408.0)</f>
        <v>44408</v>
      </c>
      <c r="O444" s="22" t="str">
        <f>IFERROR(__xludf.DUMMYFUNCTION("""COMPUTED_VALUE"""),"Cục Cảnh sát QLHC về TTXH")</f>
        <v>Cục Cảnh sát QLHC về TTXH</v>
      </c>
      <c r="P444" s="22" t="str">
        <f>IFERROR(__xludf.DUMMYFUNCTION("""COMPUTED_VALUE"""),"Cao đẳng")</f>
        <v>Cao đẳng</v>
      </c>
      <c r="Q444" s="22" t="str">
        <f>IFERROR(__xludf.DUMMYFUNCTION("""COMPUTED_VALUE"""),"Công nghệ hóa dầu")</f>
        <v>Công nghệ hóa dầu</v>
      </c>
      <c r="R444" s="24">
        <f>IFERROR(__xludf.DUMMYFUNCTION("""COMPUTED_VALUE"""),41716.0)</f>
        <v>41716</v>
      </c>
      <c r="S444" s="24">
        <f>IFERROR(__xludf.DUMMYFUNCTION("""COMPUTED_VALUE"""),41716.0)</f>
        <v>41716</v>
      </c>
      <c r="T444" s="24" t="str">
        <f>IFERROR(__xludf.DUMMYFUNCTION("""COMPUTED_VALUE"""),"Chính thức")</f>
        <v>Chính thức</v>
      </c>
      <c r="U444" s="22"/>
      <c r="V444" s="22" t="str">
        <f>IFERROR(__xludf.DUMMYFUNCTION("""COMPUTED_VALUE"""),"Chính thức")</f>
        <v>Chính thức</v>
      </c>
      <c r="W444" s="22" t="str">
        <f>IFERROR(__xludf.DUMMYFUNCTION("""COMPUTED_VALUE"""),"11 năm 9 tháng")</f>
        <v>11 năm 9 tháng</v>
      </c>
      <c r="X444" s="22"/>
      <c r="Y444" s="22"/>
      <c r="Z444" s="22"/>
    </row>
    <row r="445">
      <c r="A445" s="23" t="str">
        <f>IFERROR(__xludf.DUMMYFUNCTION("""COMPUTED_VALUE"""),"3")</f>
        <v>3</v>
      </c>
      <c r="B445" s="22" t="str">
        <f>IFERROR(__xludf.DUMMYFUNCTION("""COMPUTED_VALUE"""),"PXSX2")</f>
        <v>PXSX2</v>
      </c>
      <c r="C445" s="22" t="str">
        <f>IFERROR(__xludf.DUMMYFUNCTION("""COMPUTED_VALUE"""),"Phòng công nghệ")</f>
        <v>Phòng công nghệ</v>
      </c>
      <c r="D445" s="22" t="str">
        <f>IFERROR(__xludf.DUMMYFUNCTION("""COMPUTED_VALUE"""),"Công nghệ")</f>
        <v>Công nghệ</v>
      </c>
      <c r="E445" s="22" t="str">
        <f>IFERROR(__xludf.DUMMYFUNCTION("""COMPUTED_VALUE"""),"CBKT Công nghệ")</f>
        <v>CBKT Công nghệ</v>
      </c>
      <c r="F445" s="22" t="str">
        <f>IFERROR(__xludf.DUMMYFUNCTION("""COMPUTED_VALUE"""),"NV0423")</f>
        <v>NV0423</v>
      </c>
      <c r="G445" s="22">
        <f>IFERROR(__xludf.DUMMYFUNCTION("""COMPUTED_VALUE"""),531.0)</f>
        <v>531</v>
      </c>
      <c r="H445" s="22" t="str">
        <f>IFERROR(__xludf.DUMMYFUNCTION("""COMPUTED_VALUE"""),"Trần Tiến Dũng")</f>
        <v>Trần Tiến Dũng</v>
      </c>
      <c r="I445" s="22" t="str">
        <f>IFERROR(__xludf.DUMMYFUNCTION("""COMPUTED_VALUE"""),"Nam")</f>
        <v>Nam</v>
      </c>
      <c r="J445" s="24">
        <f>IFERROR(__xludf.DUMMYFUNCTION("""COMPUTED_VALUE"""),28908.0)</f>
        <v>28908</v>
      </c>
      <c r="K445" s="22" t="str">
        <f>IFERROR(__xludf.DUMMYFUNCTION("""COMPUTED_VALUE"""),"Xã Lưu Vệ - Tỉnh Thanh Hóa")</f>
        <v>Xã Lưu Vệ - Tỉnh Thanh Hóa</v>
      </c>
      <c r="L445" s="27" t="str">
        <f>IFERROR(__xludf.DUMMYFUNCTION("""COMPUTED_VALUE"""),"0978234577")</f>
        <v>0978234577</v>
      </c>
      <c r="M445" s="22" t="str">
        <f>IFERROR(__xludf.DUMMYFUNCTION("""COMPUTED_VALUE"""),"038079004202")</f>
        <v>038079004202</v>
      </c>
      <c r="N445" s="26">
        <f>IFERROR(__xludf.DUMMYFUNCTION("""COMPUTED_VALUE"""),44419.0)</f>
        <v>44419</v>
      </c>
      <c r="O445" s="22" t="str">
        <f>IFERROR(__xludf.DUMMYFUNCTION("""COMPUTED_VALUE"""),"Cục Cảnh sát QLHC về TTXH")</f>
        <v>Cục Cảnh sát QLHC về TTXH</v>
      </c>
      <c r="P445" s="22" t="str">
        <f>IFERROR(__xludf.DUMMYFUNCTION("""COMPUTED_VALUE"""),"Trung cấp")</f>
        <v>Trung cấp</v>
      </c>
      <c r="Q445" s="22" t="str">
        <f>IFERROR(__xludf.DUMMYFUNCTION("""COMPUTED_VALUE"""),"Phân tích hóa")</f>
        <v>Phân tích hóa</v>
      </c>
      <c r="R445" s="24">
        <f>IFERROR(__xludf.DUMMYFUNCTION("""COMPUTED_VALUE"""),40262.0)</f>
        <v>40262</v>
      </c>
      <c r="S445" s="24">
        <f>IFERROR(__xludf.DUMMYFUNCTION("""COMPUTED_VALUE"""),40262.0)</f>
        <v>40262</v>
      </c>
      <c r="T445" s="24" t="str">
        <f>IFERROR(__xludf.DUMMYFUNCTION("""COMPUTED_VALUE"""),"Chính thức")</f>
        <v>Chính thức</v>
      </c>
      <c r="U445" s="22"/>
      <c r="V445" s="22" t="str">
        <f>IFERROR(__xludf.DUMMYFUNCTION("""COMPUTED_VALUE"""),"Chính thức")</f>
        <v>Chính thức</v>
      </c>
      <c r="W445" s="22" t="str">
        <f>IFERROR(__xludf.DUMMYFUNCTION("""COMPUTED_VALUE"""),"15 năm 9 tháng")</f>
        <v>15 năm 9 tháng</v>
      </c>
      <c r="X445" s="22"/>
      <c r="Y445" s="22"/>
      <c r="Z445" s="22"/>
    </row>
    <row r="446">
      <c r="A446" s="23" t="str">
        <f>IFERROR(__xludf.DUMMYFUNCTION("""COMPUTED_VALUE"""),"4")</f>
        <v>4</v>
      </c>
      <c r="B446" s="22" t="str">
        <f>IFERROR(__xludf.DUMMYFUNCTION("""COMPUTED_VALUE"""),"PXSX2")</f>
        <v>PXSX2</v>
      </c>
      <c r="C446" s="22" t="str">
        <f>IFERROR(__xludf.DUMMYFUNCTION("""COMPUTED_VALUE"""),"Phòng công nghệ")</f>
        <v>Phòng công nghệ</v>
      </c>
      <c r="D446" s="22" t="str">
        <f>IFERROR(__xludf.DUMMYFUNCTION("""COMPUTED_VALUE"""),"Công nghệ")</f>
        <v>Công nghệ</v>
      </c>
      <c r="E446" s="22" t="str">
        <f>IFERROR(__xludf.DUMMYFUNCTION("""COMPUTED_VALUE"""),"Nhân viên kỹ thuật")</f>
        <v>Nhân viên kỹ thuật</v>
      </c>
      <c r="F446" s="22" t="str">
        <f>IFERROR(__xludf.DUMMYFUNCTION("""COMPUTED_VALUE"""),"NV1330")</f>
        <v>NV1330</v>
      </c>
      <c r="G446" s="22">
        <f>IFERROR(__xludf.DUMMYFUNCTION("""COMPUTED_VALUE"""),515.0)</f>
        <v>515</v>
      </c>
      <c r="H446" s="22" t="str">
        <f>IFERROR(__xludf.DUMMYFUNCTION("""COMPUTED_VALUE"""),"Đoàn Ngọc Toàn")</f>
        <v>Đoàn Ngọc Toàn</v>
      </c>
      <c r="I446" s="22" t="str">
        <f>IFERROR(__xludf.DUMMYFUNCTION("""COMPUTED_VALUE"""),"Nam")</f>
        <v>Nam</v>
      </c>
      <c r="J446" s="24">
        <f>IFERROR(__xludf.DUMMYFUNCTION("""COMPUTED_VALUE"""),32653.0)</f>
        <v>32653</v>
      </c>
      <c r="K446" s="22" t="str">
        <f>IFERROR(__xludf.DUMMYFUNCTION("""COMPUTED_VALUE"""),"Hưng Lộc - Hậu Lộc - Thanh Hóa")</f>
        <v>Hưng Lộc - Hậu Lộc - Thanh Hóa</v>
      </c>
      <c r="L446" s="27" t="str">
        <f>IFERROR(__xludf.DUMMYFUNCTION("""COMPUTED_VALUE"""),"0973790322")</f>
        <v>0973790322</v>
      </c>
      <c r="M446" s="22" t="str">
        <f>IFERROR(__xludf.DUMMYFUNCTION("""COMPUTED_VALUE"""),"038089040509")</f>
        <v>038089040509</v>
      </c>
      <c r="N446" s="26">
        <f>IFERROR(__xludf.DUMMYFUNCTION("""COMPUTED_VALUE"""),44896.0)</f>
        <v>44896</v>
      </c>
      <c r="O446" s="22" t="str">
        <f>IFERROR(__xludf.DUMMYFUNCTION("""COMPUTED_VALUE"""),"Cục Cảnh sát QLHC về TTXH")</f>
        <v>Cục Cảnh sát QLHC về TTXH</v>
      </c>
      <c r="P446" s="22" t="str">
        <f>IFERROR(__xludf.DUMMYFUNCTION("""COMPUTED_VALUE"""),"Đại học")</f>
        <v>Đại học</v>
      </c>
      <c r="Q446" s="22" t="str">
        <f>IFERROR(__xludf.DUMMYFUNCTION("""COMPUTED_VALUE"""),"Công nghệ kỹ thuật hóa học")</f>
        <v>Công nghệ kỹ thuật hóa học</v>
      </c>
      <c r="R446" s="24">
        <f>IFERROR(__xludf.DUMMYFUNCTION("""COMPUTED_VALUE"""),43192.0)</f>
        <v>43192</v>
      </c>
      <c r="S446" s="24">
        <f>IFERROR(__xludf.DUMMYFUNCTION("""COMPUTED_VALUE"""),47239.0)</f>
        <v>47239</v>
      </c>
      <c r="T446" s="24" t="str">
        <f>IFERROR(__xludf.DUMMYFUNCTION("""COMPUTED_VALUE"""),"Chính thức")</f>
        <v>Chính thức</v>
      </c>
      <c r="U446" s="22"/>
      <c r="V446" s="22" t="str">
        <f>IFERROR(__xludf.DUMMYFUNCTION("""COMPUTED_VALUE"""),"Chính thức")</f>
        <v>Chính thức</v>
      </c>
      <c r="W446" s="22" t="str">
        <f>IFERROR(__xludf.DUMMYFUNCTION("""COMPUTED_VALUE"""),"7 năm 8 tháng")</f>
        <v>7 năm 8 tháng</v>
      </c>
      <c r="X446" s="22"/>
      <c r="Y446" s="22"/>
      <c r="Z446" s="22"/>
    </row>
    <row r="447">
      <c r="A447" s="23" t="str">
        <f>IFERROR(__xludf.DUMMYFUNCTION("""COMPUTED_VALUE"""),"5")</f>
        <v>5</v>
      </c>
      <c r="B447" s="22" t="str">
        <f>IFERROR(__xludf.DUMMYFUNCTION("""COMPUTED_VALUE"""),"PXSX2")</f>
        <v>PXSX2</v>
      </c>
      <c r="C447" s="22" t="str">
        <f>IFERROR(__xludf.DUMMYFUNCTION("""COMPUTED_VALUE"""),"Phòng công nghệ")</f>
        <v>Phòng công nghệ</v>
      </c>
      <c r="D447" s="22" t="str">
        <f>IFERROR(__xludf.DUMMYFUNCTION("""COMPUTED_VALUE"""),"Công nghệ")</f>
        <v>Công nghệ</v>
      </c>
      <c r="E447" s="22" t="str">
        <f>IFERROR(__xludf.DUMMYFUNCTION("""COMPUTED_VALUE"""),"NV kiểm tra nguyên liệu xương")</f>
        <v>NV kiểm tra nguyên liệu xương</v>
      </c>
      <c r="F447" s="22" t="str">
        <f>IFERROR(__xludf.DUMMYFUNCTION("""COMPUTED_VALUE"""),"NV4152")</f>
        <v>NV4152</v>
      </c>
      <c r="G447" s="22">
        <f>IFERROR(__xludf.DUMMYFUNCTION("""COMPUTED_VALUE"""),622.0)</f>
        <v>622</v>
      </c>
      <c r="H447" s="22" t="str">
        <f>IFERROR(__xludf.DUMMYFUNCTION("""COMPUTED_VALUE"""),"Lê Kim Tùng")</f>
        <v>Lê Kim Tùng</v>
      </c>
      <c r="I447" s="22" t="str">
        <f>IFERROR(__xludf.DUMMYFUNCTION("""COMPUTED_VALUE"""),"Nam")</f>
        <v>Nam</v>
      </c>
      <c r="J447" s="24">
        <f>IFERROR(__xludf.DUMMYFUNCTION("""COMPUTED_VALUE"""),33917.0)</f>
        <v>33917</v>
      </c>
      <c r="K447" s="22" t="str">
        <f>IFERROR(__xludf.DUMMYFUNCTION("""COMPUTED_VALUE"""),"Xã Hợp Thành -  Huyện Triệu Sơn -  Thanh Hóa")</f>
        <v>Xã Hợp Thành -  Huyện Triệu Sơn -  Thanh Hóa</v>
      </c>
      <c r="L447" s="27" t="str">
        <f>IFERROR(__xludf.DUMMYFUNCTION("""COMPUTED_VALUE"""),"0369963484")</f>
        <v>0369963484</v>
      </c>
      <c r="M447" s="22" t="str">
        <f>IFERROR(__xludf.DUMMYFUNCTION("""COMPUTED_VALUE"""),"038092010207")</f>
        <v>038092010207</v>
      </c>
      <c r="N447" s="26">
        <f>IFERROR(__xludf.DUMMYFUNCTION("""COMPUTED_VALUE"""),44427.0)</f>
        <v>44427</v>
      </c>
      <c r="O447" s="22" t="str">
        <f>IFERROR(__xludf.DUMMYFUNCTION("""COMPUTED_VALUE"""),"Cục Cảnh sát QLHC về TTXH")</f>
        <v>Cục Cảnh sát QLHC về TTXH</v>
      </c>
      <c r="P447" s="22" t="str">
        <f>IFERROR(__xludf.DUMMYFUNCTION("""COMPUTED_VALUE"""),"Cao đẳng")</f>
        <v>Cao đẳng</v>
      </c>
      <c r="Q447" s="22" t="str">
        <f>IFERROR(__xludf.DUMMYFUNCTION("""COMPUTED_VALUE"""),"Công nghệ kỹ thuật hóa học")</f>
        <v>Công nghệ kỹ thuật hóa học</v>
      </c>
      <c r="R447" s="24">
        <f>IFERROR(__xludf.DUMMYFUNCTION("""COMPUTED_VALUE"""),44673.0)</f>
        <v>44673</v>
      </c>
      <c r="S447" s="24">
        <f>IFERROR(__xludf.DUMMYFUNCTION("""COMPUTED_VALUE"""),44986.0)</f>
        <v>44986</v>
      </c>
      <c r="T447" s="24" t="str">
        <f>IFERROR(__xludf.DUMMYFUNCTION("""COMPUTED_VALUE"""),"Chính thức")</f>
        <v>Chính thức</v>
      </c>
      <c r="U447" s="22"/>
      <c r="V447" s="22" t="str">
        <f>IFERROR(__xludf.DUMMYFUNCTION("""COMPUTED_VALUE"""),"Chính thức")</f>
        <v>Chính thức</v>
      </c>
      <c r="W447" s="22" t="str">
        <f>IFERROR(__xludf.DUMMYFUNCTION("""COMPUTED_VALUE"""),"3 năm 8 tháng")</f>
        <v>3 năm 8 tháng</v>
      </c>
      <c r="X447" s="22"/>
      <c r="Y447" s="22"/>
      <c r="Z447" s="22"/>
    </row>
    <row r="448">
      <c r="A448" s="23" t="str">
        <f>IFERROR(__xludf.DUMMYFUNCTION("""COMPUTED_VALUE"""),"6")</f>
        <v>6</v>
      </c>
      <c r="B448" s="22" t="str">
        <f>IFERROR(__xludf.DUMMYFUNCTION("""COMPUTED_VALUE"""),"PXSX2")</f>
        <v>PXSX2</v>
      </c>
      <c r="C448" s="22" t="str">
        <f>IFERROR(__xludf.DUMMYFUNCTION("""COMPUTED_VALUE"""),"Phòng công nghệ")</f>
        <v>Phòng công nghệ</v>
      </c>
      <c r="D448" s="22" t="str">
        <f>IFERROR(__xludf.DUMMYFUNCTION("""COMPUTED_VALUE"""),"Công nghệ")</f>
        <v>Công nghệ</v>
      </c>
      <c r="E448" s="22" t="str">
        <f>IFERROR(__xludf.DUMMYFUNCTION("""COMPUTED_VALUE"""),"NV kiểm tra nguyên liệu xương")</f>
        <v>NV kiểm tra nguyên liệu xương</v>
      </c>
      <c r="F448" s="22" t="str">
        <f>IFERROR(__xludf.DUMMYFUNCTION("""COMPUTED_VALUE"""),"NV5537")</f>
        <v>NV5537</v>
      </c>
      <c r="G448" s="22">
        <f>IFERROR(__xludf.DUMMYFUNCTION("""COMPUTED_VALUE"""),1019.0)</f>
        <v>1019</v>
      </c>
      <c r="H448" s="22" t="str">
        <f>IFERROR(__xludf.DUMMYFUNCTION("""COMPUTED_VALUE"""),"Tào Văn Đạt")</f>
        <v>Tào Văn Đạt</v>
      </c>
      <c r="I448" s="22" t="str">
        <f>IFERROR(__xludf.DUMMYFUNCTION("""COMPUTED_VALUE"""),"Nam")</f>
        <v>Nam</v>
      </c>
      <c r="J448" s="24">
        <f>IFERROR(__xludf.DUMMYFUNCTION("""COMPUTED_VALUE"""),32452.0)</f>
        <v>32452</v>
      </c>
      <c r="K448" s="22" t="str">
        <f>IFERROR(__xludf.DUMMYFUNCTION("""COMPUTED_VALUE"""),"Thôn Phú Trung - Xã Hoằng Phú - Tỉnh Thanh Hóa")</f>
        <v>Thôn Phú Trung - Xã Hoằng Phú - Tỉnh Thanh Hóa</v>
      </c>
      <c r="L448" s="27" t="str">
        <f>IFERROR(__xludf.DUMMYFUNCTION("""COMPUTED_VALUE"""),"0986885289")</f>
        <v>0986885289</v>
      </c>
      <c r="M448" s="22" t="str">
        <f>IFERROR(__xludf.DUMMYFUNCTION("""COMPUTED_VALUE"""),"038088017736")</f>
        <v>038088017736</v>
      </c>
      <c r="N448" s="26">
        <f>IFERROR(__xludf.DUMMYFUNCTION("""COMPUTED_VALUE"""),44551.0)</f>
        <v>44551</v>
      </c>
      <c r="O448" s="22" t="str">
        <f>IFERROR(__xludf.DUMMYFUNCTION("""COMPUTED_VALUE"""),"Cục Cảnh sát QLHC về TTXH")</f>
        <v>Cục Cảnh sát QLHC về TTXH</v>
      </c>
      <c r="P448" s="22" t="str">
        <f>IFERROR(__xludf.DUMMYFUNCTION("""COMPUTED_VALUE"""),"Đại học")</f>
        <v>Đại học</v>
      </c>
      <c r="Q448" s="22" t="str">
        <f>IFERROR(__xludf.DUMMYFUNCTION("""COMPUTED_VALUE"""),"Kỹ Sư Môi Trường")</f>
        <v>Kỹ Sư Môi Trường</v>
      </c>
      <c r="R448" s="24">
        <f>IFERROR(__xludf.DUMMYFUNCTION("""COMPUTED_VALUE"""),45820.0)</f>
        <v>45820</v>
      </c>
      <c r="S448" s="24">
        <f>IFERROR(__xludf.DUMMYFUNCTION("""COMPUTED_VALUE"""),45850.0)</f>
        <v>45850</v>
      </c>
      <c r="T448" s="24" t="str">
        <f>IFERROR(__xludf.DUMMYFUNCTION("""COMPUTED_VALUE"""),"Chính thức")</f>
        <v>Chính thức</v>
      </c>
      <c r="U448" s="22"/>
      <c r="V448" s="22" t="str">
        <f>IFERROR(__xludf.DUMMYFUNCTION("""COMPUTED_VALUE"""),"Chính thức")</f>
        <v>Chính thức</v>
      </c>
      <c r="W448" s="22" t="str">
        <f>IFERROR(__xludf.DUMMYFUNCTION("""COMPUTED_VALUE"""),"0 năm 6 tháng")</f>
        <v>0 năm 6 tháng</v>
      </c>
      <c r="X448" s="22"/>
      <c r="Y448" s="22"/>
      <c r="Z448" s="22"/>
    </row>
    <row r="449">
      <c r="A449" s="23" t="str">
        <f>IFERROR(__xludf.DUMMYFUNCTION("""COMPUTED_VALUE"""),"7")</f>
        <v>7</v>
      </c>
      <c r="B449" s="22" t="str">
        <f>IFERROR(__xludf.DUMMYFUNCTION("""COMPUTED_VALUE"""),"PXSX2")</f>
        <v>PXSX2</v>
      </c>
      <c r="C449" s="22" t="str">
        <f>IFERROR(__xludf.DUMMYFUNCTION("""COMPUTED_VALUE"""),"Phòng công nghệ")</f>
        <v>Phòng công nghệ</v>
      </c>
      <c r="D449" s="22" t="str">
        <f>IFERROR(__xludf.DUMMYFUNCTION("""COMPUTED_VALUE"""),"Công nghệ")</f>
        <v>Công nghệ</v>
      </c>
      <c r="E449" s="22"/>
      <c r="F449" s="22" t="str">
        <f>IFERROR(__xludf.DUMMYFUNCTION("""COMPUTED_VALUE"""),"NV5794")</f>
        <v>NV5794</v>
      </c>
      <c r="G449" s="22">
        <f>IFERROR(__xludf.DUMMYFUNCTION("""COMPUTED_VALUE"""),1276.0)</f>
        <v>1276</v>
      </c>
      <c r="H449" s="22" t="str">
        <f>IFERROR(__xludf.DUMMYFUNCTION("""COMPUTED_VALUE"""),"Phạm Việt Anh")</f>
        <v>Phạm Việt Anh</v>
      </c>
      <c r="I449" s="22" t="str">
        <f>IFERROR(__xludf.DUMMYFUNCTION("""COMPUTED_VALUE"""),"Nam")</f>
        <v>Nam</v>
      </c>
      <c r="J449" s="24">
        <f>IFERROR(__xludf.DUMMYFUNCTION("""COMPUTED_VALUE"""),35284.0)</f>
        <v>35284</v>
      </c>
      <c r="K449" s="22" t="str">
        <f>IFERROR(__xludf.DUMMYFUNCTION("""COMPUTED_VALUE"""),"Thôn Định Hưng - Xã Kim Tân - Tỉnh Thanh Hóa")</f>
        <v>Thôn Định Hưng - Xã Kim Tân - Tỉnh Thanh Hóa</v>
      </c>
      <c r="L449" s="27" t="str">
        <f>IFERROR(__xludf.DUMMYFUNCTION("""COMPUTED_VALUE"""),"0962390346")</f>
        <v>0962390346</v>
      </c>
      <c r="M449" s="22" t="str">
        <f>IFERROR(__xludf.DUMMYFUNCTION("""COMPUTED_VALUE"""),"038096010588")</f>
        <v>038096010588</v>
      </c>
      <c r="N449" s="26">
        <f>IFERROR(__xludf.DUMMYFUNCTION("""COMPUTED_VALUE"""),44459.0)</f>
        <v>44459</v>
      </c>
      <c r="O449" s="22" t="str">
        <f>IFERROR(__xludf.DUMMYFUNCTION("""COMPUTED_VALUE"""),"Cục Cảnh sát QLHC về TTXH")</f>
        <v>Cục Cảnh sát QLHC về TTXH</v>
      </c>
      <c r="P449" s="22" t="str">
        <f>IFERROR(__xludf.DUMMYFUNCTION("""COMPUTED_VALUE"""),"LĐPT")</f>
        <v>LĐPT</v>
      </c>
      <c r="Q449" s="22" t="str">
        <f>IFERROR(__xludf.DUMMYFUNCTION("""COMPUTED_VALUE"""),"Lao động phổ thông")</f>
        <v>Lao động phổ thông</v>
      </c>
      <c r="R449" s="24">
        <f>IFERROR(__xludf.DUMMYFUNCTION("""COMPUTED_VALUE"""),45966.0)</f>
        <v>45966</v>
      </c>
      <c r="S449" s="24">
        <f>IFERROR(__xludf.DUMMYFUNCTION("""COMPUTED_VALUE"""),45996.0)</f>
        <v>45996</v>
      </c>
      <c r="T449" s="24" t="str">
        <f>IFERROR(__xludf.DUMMYFUNCTION("""COMPUTED_VALUE"""),"Thử việc")</f>
        <v>Thử việc</v>
      </c>
      <c r="U449" s="22"/>
      <c r="V449" s="22" t="str">
        <f>IFERROR(__xludf.DUMMYFUNCTION("""COMPUTED_VALUE"""),"Thử việc")</f>
        <v>Thử việc</v>
      </c>
      <c r="W449" s="22" t="str">
        <f>IFERROR(__xludf.DUMMYFUNCTION("""COMPUTED_VALUE"""),"0 năm 1 tháng")</f>
        <v>0 năm 1 tháng</v>
      </c>
      <c r="X449" s="22"/>
      <c r="Y449" s="22"/>
      <c r="Z449" s="22"/>
    </row>
    <row r="450">
      <c r="A450" s="23" t="str">
        <f>IFERROR(__xludf.DUMMYFUNCTION("""COMPUTED_VALUE"""),"8")</f>
        <v>8</v>
      </c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3" t="str">
        <f>IFERROR(__xludf.DUMMYFUNCTION("""COMPUTED_VALUE"""),"b.")</f>
        <v>b.</v>
      </c>
      <c r="B451" s="22" t="str">
        <f>IFERROR(__xludf.DUMMYFUNCTION("""COMPUTED_VALUE"""),"Cơ lý đi ca")</f>
        <v>Cơ lý đi ca</v>
      </c>
      <c r="C451" s="22">
        <f>IFERROR(__xludf.DUMMYFUNCTION("""COMPUTED_VALUE"""),3.0)</f>
        <v>3</v>
      </c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3" t="str">
        <f>IFERROR(__xludf.DUMMYFUNCTION("""COMPUTED_VALUE"""),"1")</f>
        <v>1</v>
      </c>
      <c r="B452" s="22" t="str">
        <f>IFERROR(__xludf.DUMMYFUNCTION("""COMPUTED_VALUE"""),"PXSX2")</f>
        <v>PXSX2</v>
      </c>
      <c r="C452" s="22" t="str">
        <f>IFERROR(__xludf.DUMMYFUNCTION("""COMPUTED_VALUE"""),"Phòng công nghệ")</f>
        <v>Phòng công nghệ</v>
      </c>
      <c r="D452" s="22" t="str">
        <f>IFERROR(__xludf.DUMMYFUNCTION("""COMPUTED_VALUE"""),"Cơ lý đi ca")</f>
        <v>Cơ lý đi ca</v>
      </c>
      <c r="E452" s="22" t="str">
        <f>IFERROR(__xludf.DUMMYFUNCTION("""COMPUTED_VALUE"""),"NV kiểm soát công nghệ Ca A")</f>
        <v>NV kiểm soát công nghệ Ca A</v>
      </c>
      <c r="F452" s="22" t="str">
        <f>IFERROR(__xludf.DUMMYFUNCTION("""COMPUTED_VALUE"""),"NV1762")</f>
        <v>NV1762</v>
      </c>
      <c r="G452" s="22">
        <f>IFERROR(__xludf.DUMMYFUNCTION("""COMPUTED_VALUE"""),616.0)</f>
        <v>616</v>
      </c>
      <c r="H452" s="22" t="str">
        <f>IFERROR(__xludf.DUMMYFUNCTION("""COMPUTED_VALUE"""),"Nguyễn Văn Tân")</f>
        <v>Nguyễn Văn Tân</v>
      </c>
      <c r="I452" s="22" t="str">
        <f>IFERROR(__xludf.DUMMYFUNCTION("""COMPUTED_VALUE"""),"Nam")</f>
        <v>Nam</v>
      </c>
      <c r="J452" s="24">
        <f>IFERROR(__xludf.DUMMYFUNCTION("""COMPUTED_VALUE"""),35126.0)</f>
        <v>35126</v>
      </c>
      <c r="K452" s="22" t="str">
        <f>IFERROR(__xludf.DUMMYFUNCTION("""COMPUTED_VALUE"""),"Thôn Chùa -  Xã Hoằng Lộc -  Huyện Hoằng Hóa -  Thanh Hóa")</f>
        <v>Thôn Chùa -  Xã Hoằng Lộc -  Huyện Hoằng Hóa -  Thanh Hóa</v>
      </c>
      <c r="L452" s="27" t="str">
        <f>IFERROR(__xludf.DUMMYFUNCTION("""COMPUTED_VALUE"""),"0976134438")</f>
        <v>0976134438</v>
      </c>
      <c r="M452" s="22" t="str">
        <f>IFERROR(__xludf.DUMMYFUNCTION("""COMPUTED_VALUE"""),"038096033285")</f>
        <v>038096033285</v>
      </c>
      <c r="N452" s="26">
        <f>IFERROR(__xludf.DUMMYFUNCTION("""COMPUTED_VALUE"""),44419.0)</f>
        <v>44419</v>
      </c>
      <c r="O452" s="22" t="str">
        <f>IFERROR(__xludf.DUMMYFUNCTION("""COMPUTED_VALUE"""),"Cục Cảnh sát QLHC về TTXH")</f>
        <v>Cục Cảnh sát QLHC về TTXH</v>
      </c>
      <c r="P452" s="22" t="str">
        <f>IFERROR(__xludf.DUMMYFUNCTION("""COMPUTED_VALUE"""),"Đại học")</f>
        <v>Đại học</v>
      </c>
      <c r="Q452" s="22" t="str">
        <f>IFERROR(__xludf.DUMMYFUNCTION("""COMPUTED_VALUE"""),"Sư phạm hóa")</f>
        <v>Sư phạm hóa</v>
      </c>
      <c r="R452" s="24">
        <f>IFERROR(__xludf.DUMMYFUNCTION("""COMPUTED_VALUE"""),43339.0)</f>
        <v>43339</v>
      </c>
      <c r="S452" s="24">
        <f>IFERROR(__xludf.DUMMYFUNCTION("""COMPUTED_VALUE"""),43678.0)</f>
        <v>43678</v>
      </c>
      <c r="T452" s="24" t="str">
        <f>IFERROR(__xludf.DUMMYFUNCTION("""COMPUTED_VALUE"""),"Chính thức")</f>
        <v>Chính thức</v>
      </c>
      <c r="U452" s="22"/>
      <c r="V452" s="22" t="str">
        <f>IFERROR(__xludf.DUMMYFUNCTION("""COMPUTED_VALUE"""),"Chính thức")</f>
        <v>Chính thức</v>
      </c>
      <c r="W452" s="22" t="str">
        <f>IFERROR(__xludf.DUMMYFUNCTION("""COMPUTED_VALUE"""),"7 năm 4 tháng")</f>
        <v>7 năm 4 tháng</v>
      </c>
      <c r="X452" s="22"/>
      <c r="Y452" s="22"/>
      <c r="Z452" s="22"/>
    </row>
    <row r="453">
      <c r="A453" s="23" t="str">
        <f>IFERROR(__xludf.DUMMYFUNCTION("""COMPUTED_VALUE"""),"2")</f>
        <v>2</v>
      </c>
      <c r="B453" s="22" t="str">
        <f>IFERROR(__xludf.DUMMYFUNCTION("""COMPUTED_VALUE"""),"PXSX2")</f>
        <v>PXSX2</v>
      </c>
      <c r="C453" s="22" t="str">
        <f>IFERROR(__xludf.DUMMYFUNCTION("""COMPUTED_VALUE"""),"Phòng công nghệ")</f>
        <v>Phòng công nghệ</v>
      </c>
      <c r="D453" s="22" t="str">
        <f>IFERROR(__xludf.DUMMYFUNCTION("""COMPUTED_VALUE"""),"Cơ lý đi ca")</f>
        <v>Cơ lý đi ca</v>
      </c>
      <c r="E453" s="22" t="str">
        <f>IFERROR(__xludf.DUMMYFUNCTION("""COMPUTED_VALUE"""),"NV kiểm soát công nghệ Ca B")</f>
        <v>NV kiểm soát công nghệ Ca B</v>
      </c>
      <c r="F453" s="22" t="str">
        <f>IFERROR(__xludf.DUMMYFUNCTION("""COMPUTED_VALUE"""),"NV0433")</f>
        <v>NV0433</v>
      </c>
      <c r="G453" s="22">
        <f>IFERROR(__xludf.DUMMYFUNCTION("""COMPUTED_VALUE"""),357.0)</f>
        <v>357</v>
      </c>
      <c r="H453" s="22" t="str">
        <f>IFERROR(__xludf.DUMMYFUNCTION("""COMPUTED_VALUE"""),"Nguyễn Ngọc Quyền")</f>
        <v>Nguyễn Ngọc Quyền</v>
      </c>
      <c r="I453" s="22" t="str">
        <f>IFERROR(__xludf.DUMMYFUNCTION("""COMPUTED_VALUE"""),"Nam")</f>
        <v>Nam</v>
      </c>
      <c r="J453" s="24">
        <f>IFERROR(__xludf.DUMMYFUNCTION("""COMPUTED_VALUE"""),29074.0)</f>
        <v>29074</v>
      </c>
      <c r="K453" s="22" t="str">
        <f>IFERROR(__xludf.DUMMYFUNCTION("""COMPUTED_VALUE"""),"Yên Bái - Yên Định - Thanh Hóa")</f>
        <v>Yên Bái - Yên Định - Thanh Hóa</v>
      </c>
      <c r="L453" s="27" t="str">
        <f>IFERROR(__xludf.DUMMYFUNCTION("""COMPUTED_VALUE"""),"0976134438")</f>
        <v>0976134438</v>
      </c>
      <c r="M453" s="22" t="str">
        <f>IFERROR(__xludf.DUMMYFUNCTION("""COMPUTED_VALUE"""),"038079027273")</f>
        <v>038079027273</v>
      </c>
      <c r="N453" s="26">
        <f>IFERROR(__xludf.DUMMYFUNCTION("""COMPUTED_VALUE"""),44420.0)</f>
        <v>44420</v>
      </c>
      <c r="O453" s="22" t="str">
        <f>IFERROR(__xludf.DUMMYFUNCTION("""COMPUTED_VALUE"""),"Cục Cảnh sát QLHC về TTXH")</f>
        <v>Cục Cảnh sát QLHC về TTXH</v>
      </c>
      <c r="P453" s="22" t="str">
        <f>IFERROR(__xludf.DUMMYFUNCTION("""COMPUTED_VALUE"""),"Kỹ sư")</f>
        <v>Kỹ sư</v>
      </c>
      <c r="Q453" s="22" t="str">
        <f>IFERROR(__xludf.DUMMYFUNCTION("""COMPUTED_VALUE"""),"Công nghệ hóa học")</f>
        <v>Công nghệ hóa học</v>
      </c>
      <c r="R453" s="24">
        <f>IFERROR(__xludf.DUMMYFUNCTION("""COMPUTED_VALUE"""),41949.0)</f>
        <v>41949</v>
      </c>
      <c r="S453" s="24">
        <f>IFERROR(__xludf.DUMMYFUNCTION("""COMPUTED_VALUE"""),41949.0)</f>
        <v>41949</v>
      </c>
      <c r="T453" s="24" t="str">
        <f>IFERROR(__xludf.DUMMYFUNCTION("""COMPUTED_VALUE"""),"Chính thức")</f>
        <v>Chính thức</v>
      </c>
      <c r="U453" s="22"/>
      <c r="V453" s="22" t="str">
        <f>IFERROR(__xludf.DUMMYFUNCTION("""COMPUTED_VALUE"""),"Chính thức")</f>
        <v>Chính thức</v>
      </c>
      <c r="W453" s="22" t="str">
        <f>IFERROR(__xludf.DUMMYFUNCTION("""COMPUTED_VALUE"""),"11 năm 1 tháng")</f>
        <v>11 năm 1 tháng</v>
      </c>
      <c r="X453" s="22"/>
      <c r="Y453" s="22"/>
      <c r="Z453" s="22"/>
    </row>
    <row r="454">
      <c r="A454" s="23" t="str">
        <f>IFERROR(__xludf.DUMMYFUNCTION("""COMPUTED_VALUE"""),"3")</f>
        <v>3</v>
      </c>
      <c r="B454" s="22" t="str">
        <f>IFERROR(__xludf.DUMMYFUNCTION("""COMPUTED_VALUE"""),"PXSX2")</f>
        <v>PXSX2</v>
      </c>
      <c r="C454" s="22" t="str">
        <f>IFERROR(__xludf.DUMMYFUNCTION("""COMPUTED_VALUE"""),"Phòng công nghệ")</f>
        <v>Phòng công nghệ</v>
      </c>
      <c r="D454" s="22" t="str">
        <f>IFERROR(__xludf.DUMMYFUNCTION("""COMPUTED_VALUE"""),"Cơ lý đi ca")</f>
        <v>Cơ lý đi ca</v>
      </c>
      <c r="E454" s="22" t="str">
        <f>IFERROR(__xludf.DUMMYFUNCTION("""COMPUTED_VALUE"""),"NV kiểm soát công nghệ Ca C")</f>
        <v>NV kiểm soát công nghệ Ca C</v>
      </c>
      <c r="F454" s="22" t="str">
        <f>IFERROR(__xludf.DUMMYFUNCTION("""COMPUTED_VALUE"""),"NV5116")</f>
        <v>NV5116</v>
      </c>
      <c r="G454" s="22">
        <f>IFERROR(__xludf.DUMMYFUNCTION("""COMPUTED_VALUE"""),503.0)</f>
        <v>503</v>
      </c>
      <c r="H454" s="22" t="str">
        <f>IFERROR(__xludf.DUMMYFUNCTION("""COMPUTED_VALUE"""),"Nguyễn Đức Hải")</f>
        <v>Nguyễn Đức Hải</v>
      </c>
      <c r="I454" s="22" t="str">
        <f>IFERROR(__xludf.DUMMYFUNCTION("""COMPUTED_VALUE"""),"Nam")</f>
        <v>Nam</v>
      </c>
      <c r="J454" s="24">
        <f>IFERROR(__xludf.DUMMYFUNCTION("""COMPUTED_VALUE"""),30025.0)</f>
        <v>30025</v>
      </c>
      <c r="K454" s="22" t="str">
        <f>IFERROR(__xludf.DUMMYFUNCTION("""COMPUTED_VALUE"""),"Lê Thánh Tông -  Phường Đông Sơn -  thành phố Thanh Hóa")</f>
        <v>Lê Thánh Tông -  Phường Đông Sơn -  thành phố Thanh Hóa</v>
      </c>
      <c r="L454" s="27" t="str">
        <f>IFERROR(__xludf.DUMMYFUNCTION("""COMPUTED_VALUE"""),"0865673113")</f>
        <v>0865673113</v>
      </c>
      <c r="M454" s="22" t="str">
        <f>IFERROR(__xludf.DUMMYFUNCTION("""COMPUTED_VALUE"""),"038082009151")</f>
        <v>038082009151</v>
      </c>
      <c r="N454" s="26">
        <f>IFERROR(__xludf.DUMMYFUNCTION("""COMPUTED_VALUE"""),44641.0)</f>
        <v>44641</v>
      </c>
      <c r="O454" s="22" t="str">
        <f>IFERROR(__xludf.DUMMYFUNCTION("""COMPUTED_VALUE"""),"Cục Cảnh sát QLHC về TTXH")</f>
        <v>Cục Cảnh sát QLHC về TTXH</v>
      </c>
      <c r="P454" s="22" t="str">
        <f>IFERROR(__xludf.DUMMYFUNCTION("""COMPUTED_VALUE"""),"Cử nhân")</f>
        <v>Cử nhân</v>
      </c>
      <c r="Q454" s="22" t="str">
        <f>IFERROR(__xludf.DUMMYFUNCTION("""COMPUTED_VALUE"""),"Hóa học")</f>
        <v>Hóa học</v>
      </c>
      <c r="R454" s="24">
        <f>IFERROR(__xludf.DUMMYFUNCTION("""COMPUTED_VALUE"""),45386.0)</f>
        <v>45386</v>
      </c>
      <c r="S454" s="24">
        <f>IFERROR(__xludf.DUMMYFUNCTION("""COMPUTED_VALUE"""),45505.0)</f>
        <v>45505</v>
      </c>
      <c r="T454" s="24" t="str">
        <f>IFERROR(__xludf.DUMMYFUNCTION("""COMPUTED_VALUE"""),"Chính thức")</f>
        <v>Chính thức</v>
      </c>
      <c r="U454" s="22"/>
      <c r="V454" s="22" t="str">
        <f>IFERROR(__xludf.DUMMYFUNCTION("""COMPUTED_VALUE"""),"Chính thức")</f>
        <v>Chính thức</v>
      </c>
      <c r="W454" s="22" t="str">
        <f>IFERROR(__xludf.DUMMYFUNCTION("""COMPUTED_VALUE"""),"1 năm 8 tháng")</f>
        <v>1 năm 8 tháng</v>
      </c>
      <c r="X454" s="22"/>
      <c r="Y454" s="22"/>
      <c r="Z454" s="22"/>
    </row>
    <row r="455">
      <c r="A455" s="23" t="str">
        <f>IFERROR(__xludf.DUMMYFUNCTION("""COMPUTED_VALUE"""),"c.")</f>
        <v>c.</v>
      </c>
      <c r="B455" s="22" t="str">
        <f>IFERROR(__xludf.DUMMYFUNCTION("""COMPUTED_VALUE"""),"Tổ nghiền men PXSX2")</f>
        <v>Tổ nghiền men PXSX2</v>
      </c>
      <c r="C455" s="22">
        <f>IFERROR(__xludf.DUMMYFUNCTION("""COMPUTED_VALUE"""),6.0)</f>
        <v>6</v>
      </c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3" t="str">
        <f>IFERROR(__xludf.DUMMYFUNCTION("""COMPUTED_VALUE"""),"1")</f>
        <v>1</v>
      </c>
      <c r="B456" s="22" t="str">
        <f>IFERROR(__xludf.DUMMYFUNCTION("""COMPUTED_VALUE"""),"PXSX2")</f>
        <v>PXSX2</v>
      </c>
      <c r="C456" s="22" t="str">
        <f>IFERROR(__xludf.DUMMYFUNCTION("""COMPUTED_VALUE"""),"Phòng công nghệ")</f>
        <v>Phòng công nghệ</v>
      </c>
      <c r="D456" s="22" t="str">
        <f>IFERROR(__xludf.DUMMYFUNCTION("""COMPUTED_VALUE"""),"Tổ nghiền men PXSX2")</f>
        <v>Tổ nghiền men PXSX2</v>
      </c>
      <c r="E456" s="22" t="str">
        <f>IFERROR(__xludf.DUMMYFUNCTION("""COMPUTED_VALUE"""),"Tổ phó hành chính - Phụ trách nghiền PXSX2")</f>
        <v>Tổ phó hành chính - Phụ trách nghiền PXSX2</v>
      </c>
      <c r="F456" s="22" t="str">
        <f>IFERROR(__xludf.DUMMYFUNCTION("""COMPUTED_VALUE"""),"NV0424")</f>
        <v>NV0424</v>
      </c>
      <c r="G456" s="22">
        <f>IFERROR(__xludf.DUMMYFUNCTION("""COMPUTED_VALUE"""),485.0)</f>
        <v>485</v>
      </c>
      <c r="H456" s="22" t="str">
        <f>IFERROR(__xludf.DUMMYFUNCTION("""COMPUTED_VALUE"""),"Lê Văn Linh")</f>
        <v>Lê Văn Linh</v>
      </c>
      <c r="I456" s="22" t="str">
        <f>IFERROR(__xludf.DUMMYFUNCTION("""COMPUTED_VALUE"""),"Nam")</f>
        <v>Nam</v>
      </c>
      <c r="J456" s="24">
        <f>IFERROR(__xludf.DUMMYFUNCTION("""COMPUTED_VALUE"""),27030.0)</f>
        <v>27030</v>
      </c>
      <c r="K456" s="22" t="str">
        <f>IFERROR(__xludf.DUMMYFUNCTION("""COMPUTED_VALUE"""),"03/20 Nguyễn Công Trứ -  Phường Đông Sơn -  Thành phố Thanh Hóa")</f>
        <v>03/20 Nguyễn Công Trứ -  Phường Đông Sơn -  Thành phố Thanh Hóa</v>
      </c>
      <c r="L456" s="27" t="str">
        <f>IFERROR(__xludf.DUMMYFUNCTION("""COMPUTED_VALUE"""),"0946891135")</f>
        <v>0946891135</v>
      </c>
      <c r="M456" s="22" t="str">
        <f>IFERROR(__xludf.DUMMYFUNCTION("""COMPUTED_VALUE"""),"038074017203")</f>
        <v>038074017203</v>
      </c>
      <c r="N456" s="26">
        <f>IFERROR(__xludf.DUMMYFUNCTION("""COMPUTED_VALUE"""),44435.0)</f>
        <v>44435</v>
      </c>
      <c r="O456" s="22" t="str">
        <f>IFERROR(__xludf.DUMMYFUNCTION("""COMPUTED_VALUE"""),"Cục Cảnh sát QLHC về TTXH")</f>
        <v>Cục Cảnh sát QLHC về TTXH</v>
      </c>
      <c r="P456" s="22" t="str">
        <f>IFERROR(__xludf.DUMMYFUNCTION("""COMPUTED_VALUE"""),"LĐPT")</f>
        <v>LĐPT</v>
      </c>
      <c r="Q456" s="22" t="str">
        <f>IFERROR(__xludf.DUMMYFUNCTION("""COMPUTED_VALUE"""),"Lao động phổ thông")</f>
        <v>Lao động phổ thông</v>
      </c>
      <c r="R456" s="24">
        <f>IFERROR(__xludf.DUMMYFUNCTION("""COMPUTED_VALUE"""),39142.0)</f>
        <v>39142</v>
      </c>
      <c r="S456" s="24">
        <f>IFERROR(__xludf.DUMMYFUNCTION("""COMPUTED_VALUE"""),39142.0)</f>
        <v>39142</v>
      </c>
      <c r="T456" s="22" t="str">
        <f>IFERROR(__xludf.DUMMYFUNCTION("""COMPUTED_VALUE"""),"Chính thức")</f>
        <v>Chính thức</v>
      </c>
      <c r="U456" s="22"/>
      <c r="V456" s="22" t="str">
        <f>IFERROR(__xludf.DUMMYFUNCTION("""COMPUTED_VALUE"""),"Chính thức")</f>
        <v>Chính thức</v>
      </c>
      <c r="W456" s="22" t="str">
        <f>IFERROR(__xludf.DUMMYFUNCTION("""COMPUTED_VALUE"""),"18 năm 9 tháng")</f>
        <v>18 năm 9 tháng</v>
      </c>
      <c r="X456" s="22"/>
      <c r="Y456" s="22"/>
      <c r="Z456" s="22"/>
    </row>
    <row r="457">
      <c r="A457" s="23" t="str">
        <f>IFERROR(__xludf.DUMMYFUNCTION("""COMPUTED_VALUE"""),"2")</f>
        <v>2</v>
      </c>
      <c r="B457" s="22" t="str">
        <f>IFERROR(__xludf.DUMMYFUNCTION("""COMPUTED_VALUE"""),"PXSX2")</f>
        <v>PXSX2</v>
      </c>
      <c r="C457" s="22" t="str">
        <f>IFERROR(__xludf.DUMMYFUNCTION("""COMPUTED_VALUE"""),"Phòng công nghệ")</f>
        <v>Phòng công nghệ</v>
      </c>
      <c r="D457" s="22" t="str">
        <f>IFERROR(__xludf.DUMMYFUNCTION("""COMPUTED_VALUE"""),"Tổ nghiền men PXSX2")</f>
        <v>Tổ nghiền men PXSX2</v>
      </c>
      <c r="E457" s="22" t="str">
        <f>IFERROR(__xludf.DUMMYFUNCTION("""COMPUTED_VALUE"""),"Công nhân men màu mức 1")</f>
        <v>Công nhân men màu mức 1</v>
      </c>
      <c r="F457" s="22" t="str">
        <f>IFERROR(__xludf.DUMMYFUNCTION("""COMPUTED_VALUE"""),"NV0941")</f>
        <v>NV0941</v>
      </c>
      <c r="G457" s="22">
        <f>IFERROR(__xludf.DUMMYFUNCTION("""COMPUTED_VALUE"""),463.0)</f>
        <v>463</v>
      </c>
      <c r="H457" s="22" t="str">
        <f>IFERROR(__xludf.DUMMYFUNCTION("""COMPUTED_VALUE"""),"Hoàng Văn Biên")</f>
        <v>Hoàng Văn Biên</v>
      </c>
      <c r="I457" s="22" t="str">
        <f>IFERROR(__xludf.DUMMYFUNCTION("""COMPUTED_VALUE"""),"Nam")</f>
        <v>Nam</v>
      </c>
      <c r="J457" s="24">
        <f>IFERROR(__xludf.DUMMYFUNCTION("""COMPUTED_VALUE"""),27595.0)</f>
        <v>27595</v>
      </c>
      <c r="K457" s="22" t="str">
        <f>IFERROR(__xludf.DUMMYFUNCTION("""COMPUTED_VALUE"""),"15/29/421 Cốc Hạ -  Xã Đông Hương -  Thành phố Thanh Hóa - ")</f>
        <v>15/29/421 Cốc Hạ -  Xã Đông Hương -  Thành phố Thanh Hóa - </v>
      </c>
      <c r="L457" s="27" t="str">
        <f>IFERROR(__xludf.DUMMYFUNCTION("""COMPUTED_VALUE"""),"0337550669")</f>
        <v>0337550669</v>
      </c>
      <c r="M457" s="22" t="str">
        <f>IFERROR(__xludf.DUMMYFUNCTION("""COMPUTED_VALUE"""),"040075015067")</f>
        <v>040075015067</v>
      </c>
      <c r="N457" s="26">
        <f>IFERROR(__xludf.DUMMYFUNCTION("""COMPUTED_VALUE"""),44435.0)</f>
        <v>44435</v>
      </c>
      <c r="O457" s="22" t="str">
        <f>IFERROR(__xludf.DUMMYFUNCTION("""COMPUTED_VALUE"""),"Cục Cảnh sát QLHC về TTXH")</f>
        <v>Cục Cảnh sát QLHC về TTXH</v>
      </c>
      <c r="P457" s="22" t="str">
        <f>IFERROR(__xludf.DUMMYFUNCTION("""COMPUTED_VALUE"""),"Bằng nghề")</f>
        <v>Bằng nghề</v>
      </c>
      <c r="Q457" s="22" t="str">
        <f>IFERROR(__xludf.DUMMYFUNCTION("""COMPUTED_VALUE"""),"Thợ điện")</f>
        <v>Thợ điện</v>
      </c>
      <c r="R457" s="24">
        <f>IFERROR(__xludf.DUMMYFUNCTION("""COMPUTED_VALUE"""),42853.0)</f>
        <v>42853</v>
      </c>
      <c r="S457" s="24">
        <f>IFERROR(__xludf.DUMMYFUNCTION("""COMPUTED_VALUE"""),43466.0)</f>
        <v>43466</v>
      </c>
      <c r="T457" s="22" t="str">
        <f>IFERROR(__xludf.DUMMYFUNCTION("""COMPUTED_VALUE"""),"Chính thức")</f>
        <v>Chính thức</v>
      </c>
      <c r="U457" s="22"/>
      <c r="V457" s="22" t="str">
        <f>IFERROR(__xludf.DUMMYFUNCTION("""COMPUTED_VALUE"""),"Chính thức")</f>
        <v>Chính thức</v>
      </c>
      <c r="W457" s="22" t="str">
        <f>IFERROR(__xludf.DUMMYFUNCTION("""COMPUTED_VALUE"""),"8 năm 8 tháng")</f>
        <v>8 năm 8 tháng</v>
      </c>
      <c r="X457" s="22"/>
      <c r="Y457" s="22"/>
      <c r="Z457" s="22"/>
    </row>
    <row r="458">
      <c r="A458" s="23" t="str">
        <f>IFERROR(__xludf.DUMMYFUNCTION("""COMPUTED_VALUE"""),"3")</f>
        <v>3</v>
      </c>
      <c r="B458" s="22" t="str">
        <f>IFERROR(__xludf.DUMMYFUNCTION("""COMPUTED_VALUE"""),"PXSX2")</f>
        <v>PXSX2</v>
      </c>
      <c r="C458" s="22" t="str">
        <f>IFERROR(__xludf.DUMMYFUNCTION("""COMPUTED_VALUE"""),"Phòng công nghệ")</f>
        <v>Phòng công nghệ</v>
      </c>
      <c r="D458" s="22" t="str">
        <f>IFERROR(__xludf.DUMMYFUNCTION("""COMPUTED_VALUE"""),"Tổ nghiền men PXSX2")</f>
        <v>Tổ nghiền men PXSX2</v>
      </c>
      <c r="E458" s="22" t="str">
        <f>IFERROR(__xludf.DUMMYFUNCTION("""COMPUTED_VALUE"""),"Công nhân men màu mức 2")</f>
        <v>Công nhân men màu mức 2</v>
      </c>
      <c r="F458" s="22" t="str">
        <f>IFERROR(__xludf.DUMMYFUNCTION("""COMPUTED_VALUE"""),"NV2868")</f>
        <v>NV2868</v>
      </c>
      <c r="G458" s="22">
        <f>IFERROR(__xludf.DUMMYFUNCTION("""COMPUTED_VALUE"""),490.0)</f>
        <v>490</v>
      </c>
      <c r="H458" s="22" t="str">
        <f>IFERROR(__xludf.DUMMYFUNCTION("""COMPUTED_VALUE"""),"Bùi Công Thủy")</f>
        <v>Bùi Công Thủy</v>
      </c>
      <c r="I458" s="22" t="str">
        <f>IFERROR(__xludf.DUMMYFUNCTION("""COMPUTED_VALUE"""),"Nam")</f>
        <v>Nam</v>
      </c>
      <c r="J458" s="24">
        <f>IFERROR(__xludf.DUMMYFUNCTION("""COMPUTED_VALUE"""),29509.0)</f>
        <v>29509</v>
      </c>
      <c r="K458" s="22" t="str">
        <f>IFERROR(__xludf.DUMMYFUNCTION("""COMPUTED_VALUE"""),"Thôn 2 -  Xã Quảng Hòa -  Huyện Quảng Xương -  Thanh Hóa")</f>
        <v>Thôn 2 -  Xã Quảng Hòa -  Huyện Quảng Xương -  Thanh Hóa</v>
      </c>
      <c r="L458" s="27" t="str">
        <f>IFERROR(__xludf.DUMMYFUNCTION("""COMPUTED_VALUE"""),"0399751070")</f>
        <v>0399751070</v>
      </c>
      <c r="M458" s="22" t="str">
        <f>IFERROR(__xludf.DUMMYFUNCTION("""COMPUTED_VALUE"""),"038080007727")</f>
        <v>038080007727</v>
      </c>
      <c r="N458" s="26">
        <f>IFERROR(__xludf.DUMMYFUNCTION("""COMPUTED_VALUE"""),44252.0)</f>
        <v>44252</v>
      </c>
      <c r="O458" s="22" t="str">
        <f>IFERROR(__xludf.DUMMYFUNCTION("""COMPUTED_VALUE"""),"Cục Cảnh sát QLHC về TTXH")</f>
        <v>Cục Cảnh sát QLHC về TTXH</v>
      </c>
      <c r="P458" s="22" t="str">
        <f>IFERROR(__xludf.DUMMYFUNCTION("""COMPUTED_VALUE"""),"LĐPT")</f>
        <v>LĐPT</v>
      </c>
      <c r="Q458" s="22" t="str">
        <f>IFERROR(__xludf.DUMMYFUNCTION("""COMPUTED_VALUE"""),"Lao động phổ thông")</f>
        <v>Lao động phổ thông</v>
      </c>
      <c r="R458" s="24">
        <f>IFERROR(__xludf.DUMMYFUNCTION("""COMPUTED_VALUE"""),43902.0)</f>
        <v>43902</v>
      </c>
      <c r="S458" s="24">
        <f>IFERROR(__xludf.DUMMYFUNCTION("""COMPUTED_VALUE"""),44197.0)</f>
        <v>44197</v>
      </c>
      <c r="T458" s="22" t="str">
        <f>IFERROR(__xludf.DUMMYFUNCTION("""COMPUTED_VALUE"""),"Chính thức")</f>
        <v>Chính thức</v>
      </c>
      <c r="U458" s="22"/>
      <c r="V458" s="22" t="str">
        <f>IFERROR(__xludf.DUMMYFUNCTION("""COMPUTED_VALUE"""),"Chính thức")</f>
        <v>Chính thức</v>
      </c>
      <c r="W458" s="22" t="str">
        <f>IFERROR(__xludf.DUMMYFUNCTION("""COMPUTED_VALUE"""),"5 năm 9 tháng")</f>
        <v>5 năm 9 tháng</v>
      </c>
      <c r="X458" s="22"/>
      <c r="Y458" s="22"/>
      <c r="Z458" s="22"/>
    </row>
    <row r="459">
      <c r="A459" s="23" t="str">
        <f>IFERROR(__xludf.DUMMYFUNCTION("""COMPUTED_VALUE"""),"4")</f>
        <v>4</v>
      </c>
      <c r="B459" s="22" t="str">
        <f>IFERROR(__xludf.DUMMYFUNCTION("""COMPUTED_VALUE"""),"PXSX2")</f>
        <v>PXSX2</v>
      </c>
      <c r="C459" s="22" t="str">
        <f>IFERROR(__xludf.DUMMYFUNCTION("""COMPUTED_VALUE"""),"Phòng công nghệ")</f>
        <v>Phòng công nghệ</v>
      </c>
      <c r="D459" s="22" t="str">
        <f>IFERROR(__xludf.DUMMYFUNCTION("""COMPUTED_VALUE"""),"Tổ nghiền men PXSX2")</f>
        <v>Tổ nghiền men PXSX2</v>
      </c>
      <c r="E459" s="22" t="str">
        <f>IFERROR(__xludf.DUMMYFUNCTION("""COMPUTED_VALUE"""),"Công nhân men màu mức 2")</f>
        <v>Công nhân men màu mức 2</v>
      </c>
      <c r="F459" s="22" t="str">
        <f>IFERROR(__xludf.DUMMYFUNCTION("""COMPUTED_VALUE"""),"NV0446")</f>
        <v>NV0446</v>
      </c>
      <c r="G459" s="22">
        <f>IFERROR(__xludf.DUMMYFUNCTION("""COMPUTED_VALUE"""),491.0)</f>
        <v>491</v>
      </c>
      <c r="H459" s="22" t="str">
        <f>IFERROR(__xludf.DUMMYFUNCTION("""COMPUTED_VALUE"""),"Nguyễn Văn Tùng")</f>
        <v>Nguyễn Văn Tùng</v>
      </c>
      <c r="I459" s="22" t="str">
        <f>IFERROR(__xludf.DUMMYFUNCTION("""COMPUTED_VALUE"""),"Nam")</f>
        <v>Nam</v>
      </c>
      <c r="J459" s="24">
        <f>IFERROR(__xludf.DUMMYFUNCTION("""COMPUTED_VALUE"""),31504.0)</f>
        <v>31504</v>
      </c>
      <c r="K459" s="22" t="str">
        <f>IFERROR(__xludf.DUMMYFUNCTION("""COMPUTED_VALUE"""),"Xã Thiệu Long -  Huyện Thiệu Hoá -  Thanh Hóa - ")</f>
        <v>Xã Thiệu Long -  Huyện Thiệu Hoá -  Thanh Hóa - </v>
      </c>
      <c r="L459" s="27" t="str">
        <f>IFERROR(__xludf.DUMMYFUNCTION("""COMPUTED_VALUE"""),"0904036843")</f>
        <v>0904036843</v>
      </c>
      <c r="M459" s="22" t="str">
        <f>IFERROR(__xludf.DUMMYFUNCTION("""COMPUTED_VALUE"""),"038086048029")</f>
        <v>038086048029</v>
      </c>
      <c r="N459" s="26">
        <f>IFERROR(__xludf.DUMMYFUNCTION("""COMPUTED_VALUE"""),44375.0)</f>
        <v>44375</v>
      </c>
      <c r="O459" s="22" t="str">
        <f>IFERROR(__xludf.DUMMYFUNCTION("""COMPUTED_VALUE"""),"Cục Cảnh sát QLHC về TTXH")</f>
        <v>Cục Cảnh sát QLHC về TTXH</v>
      </c>
      <c r="P459" s="22" t="str">
        <f>IFERROR(__xludf.DUMMYFUNCTION("""COMPUTED_VALUE"""),"Cao đẳng")</f>
        <v>Cao đẳng</v>
      </c>
      <c r="Q459" s="22" t="str">
        <f>IFERROR(__xludf.DUMMYFUNCTION("""COMPUTED_VALUE"""),"Công nghệ kỹ thuật hóa học")</f>
        <v>Công nghệ kỹ thuật hóa học</v>
      </c>
      <c r="R459" s="24">
        <f>IFERROR(__xludf.DUMMYFUNCTION("""COMPUTED_VALUE"""),44609.0)</f>
        <v>44609</v>
      </c>
      <c r="S459" s="24">
        <f>IFERROR(__xludf.DUMMYFUNCTION("""COMPUTED_VALUE"""),45017.0)</f>
        <v>45017</v>
      </c>
      <c r="T459" s="22" t="str">
        <f>IFERROR(__xludf.DUMMYFUNCTION("""COMPUTED_VALUE"""),"Chính thức")</f>
        <v>Chính thức</v>
      </c>
      <c r="U459" s="22"/>
      <c r="V459" s="22" t="str">
        <f>IFERROR(__xludf.DUMMYFUNCTION("""COMPUTED_VALUE"""),"Chính thức")</f>
        <v>Chính thức</v>
      </c>
      <c r="W459" s="22" t="str">
        <f>IFERROR(__xludf.DUMMYFUNCTION("""COMPUTED_VALUE"""),"3 năm 10 tháng")</f>
        <v>3 năm 10 tháng</v>
      </c>
      <c r="X459" s="22"/>
      <c r="Y459" s="22"/>
      <c r="Z459" s="22"/>
    </row>
    <row r="460">
      <c r="A460" s="23" t="str">
        <f>IFERROR(__xludf.DUMMYFUNCTION("""COMPUTED_VALUE"""),"5")</f>
        <v>5</v>
      </c>
      <c r="B460" s="22" t="str">
        <f>IFERROR(__xludf.DUMMYFUNCTION("""COMPUTED_VALUE"""),"PXSX2")</f>
        <v>PXSX2</v>
      </c>
      <c r="C460" s="22" t="str">
        <f>IFERROR(__xludf.DUMMYFUNCTION("""COMPUTED_VALUE"""),"Phòng công nghệ")</f>
        <v>Phòng công nghệ</v>
      </c>
      <c r="D460" s="22" t="str">
        <f>IFERROR(__xludf.DUMMYFUNCTION("""COMPUTED_VALUE"""),"Tổ nghiền men PXSX2")</f>
        <v>Tổ nghiền men PXSX2</v>
      </c>
      <c r="E460" s="22" t="str">
        <f>IFERROR(__xludf.DUMMYFUNCTION("""COMPUTED_VALUE"""),"Công nhân men màu mức 2")</f>
        <v>Công nhân men màu mức 2</v>
      </c>
      <c r="F460" s="22" t="str">
        <f>IFERROR(__xludf.DUMMYFUNCTION("""COMPUTED_VALUE"""),"NV3529")</f>
        <v>NV3529</v>
      </c>
      <c r="G460" s="22">
        <f>IFERROR(__xludf.DUMMYFUNCTION("""COMPUTED_VALUE"""),858.0)</f>
        <v>858</v>
      </c>
      <c r="H460" s="22" t="str">
        <f>IFERROR(__xludf.DUMMYFUNCTION("""COMPUTED_VALUE"""),"Lê Duy Nguyên")</f>
        <v>Lê Duy Nguyên</v>
      </c>
      <c r="I460" s="22" t="str">
        <f>IFERROR(__xludf.DUMMYFUNCTION("""COMPUTED_VALUE"""),"Nam")</f>
        <v>Nam</v>
      </c>
      <c r="J460" s="22"/>
      <c r="K460" s="22" t="str">
        <f>IFERROR(__xludf.DUMMYFUNCTION("""COMPUTED_VALUE"""),"Phố 7 -  Phường Quảng Hưng -  Thành phố Thanh Hóa -  Tỉnh Thanh Hóa")</f>
        <v>Phố 7 -  Phường Quảng Hưng -  Thành phố Thanh Hóa -  Tỉnh Thanh Hóa</v>
      </c>
      <c r="L460" s="27" t="str">
        <f>IFERROR(__xludf.DUMMYFUNCTION("""COMPUTED_VALUE"""),"0943313985")</f>
        <v>0943313985</v>
      </c>
      <c r="M460" s="22" t="str">
        <f>IFERROR(__xludf.DUMMYFUNCTION("""COMPUTED_VALUE"""),"037083020663")</f>
        <v>037083020663</v>
      </c>
      <c r="N460" s="26">
        <f>IFERROR(__xludf.DUMMYFUNCTION("""COMPUTED_VALUE"""),44596.0)</f>
        <v>44596</v>
      </c>
      <c r="O460" s="22" t="str">
        <f>IFERROR(__xludf.DUMMYFUNCTION("""COMPUTED_VALUE"""),"Cục Cảnh sát QLHC về TTXH")</f>
        <v>Cục Cảnh sát QLHC về TTXH</v>
      </c>
      <c r="P460" s="22" t="str">
        <f>IFERROR(__xludf.DUMMYFUNCTION("""COMPUTED_VALUE"""),"LĐPT")</f>
        <v>LĐPT</v>
      </c>
      <c r="Q460" s="22" t="str">
        <f>IFERROR(__xludf.DUMMYFUNCTION("""COMPUTED_VALUE"""),"Lao động phổ thông")</f>
        <v>Lao động phổ thông</v>
      </c>
      <c r="R460" s="24">
        <f>IFERROR(__xludf.DUMMYFUNCTION("""COMPUTED_VALUE"""),45712.0)</f>
        <v>45712</v>
      </c>
      <c r="S460" s="24">
        <f>IFERROR(__xludf.DUMMYFUNCTION("""COMPUTED_VALUE"""),45712.0)</f>
        <v>45712</v>
      </c>
      <c r="T460" s="22" t="str">
        <f>IFERROR(__xludf.DUMMYFUNCTION("""COMPUTED_VALUE"""),"Chính thức")</f>
        <v>Chính thức</v>
      </c>
      <c r="U460" s="22"/>
      <c r="V460" s="22" t="str">
        <f>IFERROR(__xludf.DUMMYFUNCTION("""COMPUTED_VALUE"""),"Chính thức")</f>
        <v>Chính thức</v>
      </c>
      <c r="W460" s="22" t="str">
        <f>IFERROR(__xludf.DUMMYFUNCTION("""COMPUTED_VALUE"""),"0 năm 10 tháng")</f>
        <v>0 năm 10 tháng</v>
      </c>
      <c r="X460" s="22"/>
      <c r="Y460" s="22"/>
      <c r="Z460" s="22"/>
    </row>
    <row r="461">
      <c r="A461" s="23" t="str">
        <f>IFERROR(__xludf.DUMMYFUNCTION("""COMPUTED_VALUE"""),"6")</f>
        <v>6</v>
      </c>
      <c r="B461" s="22" t="str">
        <f>IFERROR(__xludf.DUMMYFUNCTION("""COMPUTED_VALUE"""),"PXSX2")</f>
        <v>PXSX2</v>
      </c>
      <c r="C461" s="22" t="str">
        <f>IFERROR(__xludf.DUMMYFUNCTION("""COMPUTED_VALUE"""),"Phòng công nghệ")</f>
        <v>Phòng công nghệ</v>
      </c>
      <c r="D461" s="22" t="str">
        <f>IFERROR(__xludf.DUMMYFUNCTION("""COMPUTED_VALUE"""),"Tổ nghiền men PXSX2")</f>
        <v>Tổ nghiền men PXSX2</v>
      </c>
      <c r="E461" s="22" t="str">
        <f>IFERROR(__xludf.DUMMYFUNCTION("""COMPUTED_VALUE"""),"Công nhân men màu mức 1")</f>
        <v>Công nhân men màu mức 1</v>
      </c>
      <c r="F461" s="22" t="str">
        <f>IFERROR(__xludf.DUMMYFUNCTION("""COMPUTED_VALUE"""),"NV1901")</f>
        <v>NV1901</v>
      </c>
      <c r="G461" s="22">
        <f>IFERROR(__xludf.DUMMYFUNCTION("""COMPUTED_VALUE"""),885.0)</f>
        <v>885</v>
      </c>
      <c r="H461" s="22" t="str">
        <f>IFERROR(__xludf.DUMMYFUNCTION("""COMPUTED_VALUE"""),"Lê Ngọc Toàn")</f>
        <v>Lê Ngọc Toàn</v>
      </c>
      <c r="I461" s="22" t="str">
        <f>IFERROR(__xludf.DUMMYFUNCTION("""COMPUTED_VALUE"""),"Nam")</f>
        <v>Nam</v>
      </c>
      <c r="J461" s="24">
        <f>IFERROR(__xludf.DUMMYFUNCTION("""COMPUTED_VALUE"""),36583.0)</f>
        <v>36583</v>
      </c>
      <c r="K461" s="22" t="str">
        <f>IFERROR(__xludf.DUMMYFUNCTION("""COMPUTED_VALUE"""),"Xã Hoằng Thanh -  Huyện Hoằng Hóa -  Thanh Hóa -  Việt Nam")</f>
        <v>Xã Hoằng Thanh -  Huyện Hoằng Hóa -  Thanh Hóa -  Việt Nam</v>
      </c>
      <c r="L461" s="27" t="str">
        <f>IFERROR(__xludf.DUMMYFUNCTION("""COMPUTED_VALUE"""),"0979796910;0325270534")</f>
        <v>0979796910;0325270534</v>
      </c>
      <c r="M461" s="22" t="str">
        <f>IFERROR(__xludf.DUMMYFUNCTION("""COMPUTED_VALUE"""),"038200007917")</f>
        <v>038200007917</v>
      </c>
      <c r="N461" s="26">
        <f>IFERROR(__xludf.DUMMYFUNCTION("""COMPUTED_VALUE"""),42926.0)</f>
        <v>42926</v>
      </c>
      <c r="O461" s="22" t="str">
        <f>IFERROR(__xludf.DUMMYFUNCTION("""COMPUTED_VALUE"""),"Cục Cảnh sát QLHC về TTXH")</f>
        <v>Cục Cảnh sát QLHC về TTXH</v>
      </c>
      <c r="P461" s="22" t="str">
        <f>IFERROR(__xludf.DUMMYFUNCTION("""COMPUTED_VALUE"""),"LĐPT")</f>
        <v>LĐPT</v>
      </c>
      <c r="Q461" s="22" t="str">
        <f>IFERROR(__xludf.DUMMYFUNCTION("""COMPUTED_VALUE"""),"Lao động phổ thông")</f>
        <v>Lao động phổ thông</v>
      </c>
      <c r="R461" s="24">
        <f>IFERROR(__xludf.DUMMYFUNCTION("""COMPUTED_VALUE"""),44979.0)</f>
        <v>44979</v>
      </c>
      <c r="S461" s="24">
        <f>IFERROR(__xludf.DUMMYFUNCTION("""COMPUTED_VALUE"""),45292.0)</f>
        <v>45292</v>
      </c>
      <c r="T461" s="22" t="str">
        <f>IFERROR(__xludf.DUMMYFUNCTION("""COMPUTED_VALUE"""),"Chính thức")</f>
        <v>Chính thức</v>
      </c>
      <c r="U461" s="22"/>
      <c r="V461" s="22" t="str">
        <f>IFERROR(__xludf.DUMMYFUNCTION("""COMPUTED_VALUE"""),"Chính thức")</f>
        <v>Chính thức</v>
      </c>
      <c r="W461" s="22" t="str">
        <f>IFERROR(__xludf.DUMMYFUNCTION("""COMPUTED_VALUE"""),"2 năm 10 tháng")</f>
        <v>2 năm 10 tháng</v>
      </c>
      <c r="X461" s="22"/>
      <c r="Y461" s="22"/>
      <c r="Z461" s="22"/>
    </row>
  </sheetData>
  <drawing r:id="rId1"/>
</worksheet>
</file>